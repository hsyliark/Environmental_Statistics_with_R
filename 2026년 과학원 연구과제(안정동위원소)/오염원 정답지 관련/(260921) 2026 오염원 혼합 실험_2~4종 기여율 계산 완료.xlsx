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정답지 관련\"/>
    </mc:Choice>
  </mc:AlternateContent>
  <xr:revisionPtr revIDLastSave="0" documentId="13_ncr:1_{47FDFC8D-5DCD-41A9-9CC4-B0A79F3CB0C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est 및 2종" sheetId="1" r:id="rId1"/>
    <sheet name="3종" sheetId="6" r:id="rId2"/>
    <sheet name="4종" sheetId="7" r:id="rId3"/>
    <sheet name="실험 계획" sheetId="5" r:id="rId4"/>
    <sheet name="260416 실험" sheetId="2" r:id="rId5"/>
    <sheet name="260423 실험(Volume)" sheetId="3" r:id="rId6"/>
    <sheet name="260423 실험(Weight)" sheetId="4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7" l="1"/>
  <c r="R10" i="7"/>
  <c r="R11" i="7"/>
  <c r="R12" i="7"/>
  <c r="R13" i="7"/>
  <c r="R14" i="7"/>
  <c r="R15" i="7"/>
  <c r="R16" i="7"/>
  <c r="R8" i="7"/>
  <c r="P53" i="6"/>
  <c r="P54" i="6"/>
  <c r="P55" i="6"/>
  <c r="P56" i="6"/>
  <c r="P57" i="6"/>
  <c r="P58" i="6"/>
  <c r="P52" i="6"/>
  <c r="P38" i="6"/>
  <c r="P39" i="6"/>
  <c r="P40" i="6"/>
  <c r="P41" i="6"/>
  <c r="P42" i="6"/>
  <c r="P43" i="6"/>
  <c r="P37" i="6"/>
  <c r="P23" i="6"/>
  <c r="P24" i="6"/>
  <c r="P25" i="6"/>
  <c r="P26" i="6"/>
  <c r="P27" i="6"/>
  <c r="P28" i="6"/>
  <c r="P22" i="6"/>
  <c r="P8" i="6"/>
  <c r="P9" i="6"/>
  <c r="P10" i="6"/>
  <c r="P11" i="6"/>
  <c r="P12" i="6"/>
  <c r="P13" i="6"/>
  <c r="P7" i="6"/>
  <c r="L9" i="7"/>
  <c r="L10" i="7"/>
  <c r="L11" i="7"/>
  <c r="L12" i="7"/>
  <c r="L13" i="7"/>
  <c r="L14" i="7"/>
  <c r="L15" i="7"/>
  <c r="L16" i="7"/>
  <c r="K58" i="6"/>
  <c r="K57" i="6"/>
  <c r="K56" i="6"/>
  <c r="K55" i="6"/>
  <c r="K54" i="6"/>
  <c r="K53" i="6"/>
  <c r="K52" i="6"/>
  <c r="K43" i="6"/>
  <c r="K42" i="6"/>
  <c r="K41" i="6"/>
  <c r="K40" i="6"/>
  <c r="K39" i="6"/>
  <c r="K38" i="6"/>
  <c r="K37" i="6"/>
  <c r="K28" i="6"/>
  <c r="K27" i="6"/>
  <c r="K26" i="6"/>
  <c r="K25" i="6"/>
  <c r="K24" i="6"/>
  <c r="K23" i="6"/>
  <c r="K22" i="6"/>
  <c r="K8" i="6"/>
  <c r="K9" i="6"/>
  <c r="K10" i="6"/>
  <c r="K11" i="6"/>
  <c r="K12" i="6"/>
  <c r="K13" i="6"/>
  <c r="K7" i="6"/>
  <c r="AD9" i="7"/>
  <c r="AD10" i="7"/>
  <c r="AD11" i="7"/>
  <c r="AD12" i="7"/>
  <c r="AD13" i="7"/>
  <c r="AD14" i="7"/>
  <c r="AD15" i="7"/>
  <c r="AD16" i="7"/>
  <c r="AB16" i="7"/>
  <c r="AF16" i="7" s="1"/>
  <c r="AA16" i="7"/>
  <c r="AE16" i="7" s="1"/>
  <c r="AB15" i="7"/>
  <c r="AF15" i="7" s="1"/>
  <c r="AA15" i="7"/>
  <c r="AE15" i="7" s="1"/>
  <c r="AB14" i="7"/>
  <c r="AF14" i="7" s="1"/>
  <c r="AA14" i="7"/>
  <c r="AE14" i="7" s="1"/>
  <c r="AB13" i="7"/>
  <c r="AF13" i="7" s="1"/>
  <c r="AA13" i="7"/>
  <c r="AE13" i="7" s="1"/>
  <c r="AB12" i="7"/>
  <c r="AF12" i="7" s="1"/>
  <c r="AA12" i="7"/>
  <c r="AE12" i="7" s="1"/>
  <c r="AB11" i="7"/>
  <c r="AF11" i="7" s="1"/>
  <c r="AA11" i="7"/>
  <c r="AE11" i="7" s="1"/>
  <c r="AB10" i="7"/>
  <c r="AF10" i="7" s="1"/>
  <c r="AA9" i="7"/>
  <c r="AE9" i="7" s="1"/>
  <c r="AA10" i="7"/>
  <c r="AE10" i="7" s="1"/>
  <c r="AB9" i="7"/>
  <c r="AF9" i="7" s="1"/>
  <c r="AB8" i="7"/>
  <c r="AF8" i="7" s="1"/>
  <c r="AA8" i="7"/>
  <c r="AE8" i="7" s="1"/>
  <c r="V8" i="7"/>
  <c r="U12" i="7"/>
  <c r="U11" i="7"/>
  <c r="U10" i="7"/>
  <c r="U9" i="7"/>
  <c r="U8" i="7"/>
  <c r="Z9" i="7"/>
  <c r="Z10" i="7"/>
  <c r="Z11" i="7"/>
  <c r="Z12" i="7"/>
  <c r="Z13" i="7"/>
  <c r="Z14" i="7"/>
  <c r="Z15" i="7"/>
  <c r="Z16" i="7"/>
  <c r="Z8" i="7"/>
  <c r="W15" i="7"/>
  <c r="W13" i="7"/>
  <c r="W11" i="7"/>
  <c r="W9" i="7"/>
  <c r="X9" i="7" s="1"/>
  <c r="W16" i="7"/>
  <c r="W14" i="7"/>
  <c r="W12" i="7"/>
  <c r="W10" i="7"/>
  <c r="V14" i="7"/>
  <c r="V13" i="7"/>
  <c r="V11" i="7"/>
  <c r="V10" i="7"/>
  <c r="V9" i="7"/>
  <c r="V16" i="7"/>
  <c r="V15" i="7"/>
  <c r="V12" i="7"/>
  <c r="U16" i="7"/>
  <c r="U15" i="7"/>
  <c r="U14" i="7"/>
  <c r="U13" i="7"/>
  <c r="W8" i="7"/>
  <c r="S12" i="6"/>
  <c r="S11" i="6"/>
  <c r="S10" i="6"/>
  <c r="S9" i="6"/>
  <c r="S8" i="6"/>
  <c r="S7" i="6"/>
  <c r="T9" i="7"/>
  <c r="T10" i="7"/>
  <c r="T11" i="7"/>
  <c r="T12" i="7"/>
  <c r="T13" i="7"/>
  <c r="T14" i="7"/>
  <c r="T15" i="7"/>
  <c r="T16" i="7"/>
  <c r="T8" i="7"/>
  <c r="AD8" i="7"/>
  <c r="X12" i="7" l="1"/>
  <c r="X10" i="7"/>
  <c r="X13" i="7"/>
  <c r="X11" i="7"/>
  <c r="X16" i="7"/>
  <c r="X15" i="7"/>
  <c r="X14" i="7"/>
  <c r="X8" i="7"/>
  <c r="L8" i="7" l="1"/>
  <c r="Z58" i="6"/>
  <c r="AD58" i="6" s="1"/>
  <c r="Y58" i="6"/>
  <c r="AC58" i="6" s="1"/>
  <c r="Z57" i="6"/>
  <c r="AD57" i="6" s="1"/>
  <c r="Y57" i="6"/>
  <c r="AC57" i="6" s="1"/>
  <c r="Z56" i="6"/>
  <c r="Y56" i="6"/>
  <c r="Z55" i="6"/>
  <c r="AD55" i="6" s="1"/>
  <c r="Y55" i="6"/>
  <c r="AC55" i="6" s="1"/>
  <c r="Z54" i="6"/>
  <c r="AD54" i="6" s="1"/>
  <c r="Y54" i="6"/>
  <c r="Z53" i="6"/>
  <c r="Y53" i="6"/>
  <c r="Z52" i="6"/>
  <c r="AD52" i="6" s="1"/>
  <c r="Y52" i="6"/>
  <c r="AC52" i="6" s="1"/>
  <c r="T58" i="6"/>
  <c r="S58" i="6"/>
  <c r="U58" i="6" s="1"/>
  <c r="T57" i="6"/>
  <c r="S57" i="6"/>
  <c r="T56" i="6"/>
  <c r="S56" i="6"/>
  <c r="T55" i="6"/>
  <c r="S55" i="6"/>
  <c r="U55" i="6" s="1"/>
  <c r="T54" i="6"/>
  <c r="S54" i="6"/>
  <c r="U54" i="6" s="1"/>
  <c r="T53" i="6"/>
  <c r="S53" i="6"/>
  <c r="T52" i="6"/>
  <c r="S52" i="6"/>
  <c r="U52" i="6" s="1"/>
  <c r="Z43" i="6"/>
  <c r="Y43" i="6"/>
  <c r="Z42" i="6"/>
  <c r="AD42" i="6" s="1"/>
  <c r="Y42" i="6"/>
  <c r="AC42" i="6" s="1"/>
  <c r="Z41" i="6"/>
  <c r="AD41" i="6" s="1"/>
  <c r="Y41" i="6"/>
  <c r="AC41" i="6" s="1"/>
  <c r="Z40" i="6"/>
  <c r="Y40" i="6"/>
  <c r="AC40" i="6" s="1"/>
  <c r="Z39" i="6"/>
  <c r="AD39" i="6" s="1"/>
  <c r="Y39" i="6"/>
  <c r="AC39" i="6" s="1"/>
  <c r="Z38" i="6"/>
  <c r="AD38" i="6" s="1"/>
  <c r="Y38" i="6"/>
  <c r="AC38" i="6" s="1"/>
  <c r="Z37" i="6"/>
  <c r="AD37" i="6" s="1"/>
  <c r="Y37" i="6"/>
  <c r="AC37" i="6" s="1"/>
  <c r="T43" i="6"/>
  <c r="S43" i="6"/>
  <c r="U43" i="6" s="1"/>
  <c r="T42" i="6"/>
  <c r="S42" i="6"/>
  <c r="U42" i="6" s="1"/>
  <c r="T41" i="6"/>
  <c r="S41" i="6"/>
  <c r="T40" i="6"/>
  <c r="S40" i="6"/>
  <c r="T39" i="6"/>
  <c r="S39" i="6"/>
  <c r="U39" i="6" s="1"/>
  <c r="T38" i="6"/>
  <c r="S38" i="6"/>
  <c r="U38" i="6" s="1"/>
  <c r="T37" i="6"/>
  <c r="S37" i="6"/>
  <c r="U37" i="6" s="1"/>
  <c r="T22" i="6"/>
  <c r="S22" i="6"/>
  <c r="AB58" i="6"/>
  <c r="X58" i="6"/>
  <c r="R58" i="6"/>
  <c r="AB57" i="6"/>
  <c r="X57" i="6"/>
  <c r="R57" i="6"/>
  <c r="AD56" i="6"/>
  <c r="AC56" i="6"/>
  <c r="AB56" i="6"/>
  <c r="X56" i="6"/>
  <c r="R56" i="6"/>
  <c r="AB55" i="6"/>
  <c r="X55" i="6"/>
  <c r="R55" i="6"/>
  <c r="AC54" i="6"/>
  <c r="AB54" i="6"/>
  <c r="X54" i="6"/>
  <c r="R54" i="6"/>
  <c r="AD53" i="6"/>
  <c r="AC53" i="6"/>
  <c r="AB53" i="6"/>
  <c r="X53" i="6"/>
  <c r="R53" i="6"/>
  <c r="AB52" i="6"/>
  <c r="X52" i="6"/>
  <c r="R52" i="6"/>
  <c r="AB43" i="6"/>
  <c r="AD43" i="6"/>
  <c r="AC43" i="6"/>
  <c r="X43" i="6"/>
  <c r="R43" i="6"/>
  <c r="AB42" i="6"/>
  <c r="X42" i="6"/>
  <c r="R42" i="6"/>
  <c r="AB41" i="6"/>
  <c r="X41" i="6"/>
  <c r="R41" i="6"/>
  <c r="AD40" i="6"/>
  <c r="AB40" i="6"/>
  <c r="X40" i="6"/>
  <c r="R40" i="6"/>
  <c r="AB39" i="6"/>
  <c r="X39" i="6"/>
  <c r="R39" i="6"/>
  <c r="AB38" i="6"/>
  <c r="X38" i="6"/>
  <c r="R38" i="6"/>
  <c r="AB37" i="6"/>
  <c r="X37" i="6"/>
  <c r="R37" i="6"/>
  <c r="U40" i="6" l="1"/>
  <c r="U53" i="6"/>
  <c r="U57" i="6"/>
  <c r="U41" i="6"/>
  <c r="U56" i="6"/>
  <c r="Y28" i="6"/>
  <c r="Y27" i="6"/>
  <c r="Y26" i="6"/>
  <c r="Y25" i="6"/>
  <c r="Y24" i="6"/>
  <c r="Y23" i="6"/>
  <c r="Y22" i="6"/>
  <c r="AB28" i="6" l="1"/>
  <c r="AB27" i="6"/>
  <c r="AB26" i="6"/>
  <c r="AB25" i="6"/>
  <c r="AC24" i="6"/>
  <c r="AB24" i="6"/>
  <c r="AB23" i="6"/>
  <c r="AB22" i="6"/>
  <c r="AB7" i="6"/>
  <c r="AB8" i="6"/>
  <c r="AB9" i="6"/>
  <c r="AB10" i="6"/>
  <c r="AB11" i="6"/>
  <c r="AB12" i="6"/>
  <c r="AB13" i="6"/>
  <c r="Z28" i="6"/>
  <c r="AD28" i="6" s="1"/>
  <c r="AC28" i="6"/>
  <c r="X28" i="6"/>
  <c r="Z27" i="6"/>
  <c r="AD27" i="6" s="1"/>
  <c r="AC27" i="6"/>
  <c r="X27" i="6"/>
  <c r="Z26" i="6"/>
  <c r="AD26" i="6" s="1"/>
  <c r="AC26" i="6"/>
  <c r="X26" i="6"/>
  <c r="Z25" i="6"/>
  <c r="AD25" i="6" s="1"/>
  <c r="AC25" i="6"/>
  <c r="X25" i="6"/>
  <c r="Z24" i="6"/>
  <c r="AD24" i="6" s="1"/>
  <c r="X24" i="6"/>
  <c r="Z23" i="6"/>
  <c r="AD23" i="6" s="1"/>
  <c r="AC23" i="6"/>
  <c r="X23" i="6"/>
  <c r="Z22" i="6"/>
  <c r="AD22" i="6" s="1"/>
  <c r="AC22" i="6"/>
  <c r="X22" i="6"/>
  <c r="Z13" i="6"/>
  <c r="AD13" i="6" s="1"/>
  <c r="Z12" i="6"/>
  <c r="AD12" i="6" s="1"/>
  <c r="Z11" i="6"/>
  <c r="AD11" i="6" s="1"/>
  <c r="Z10" i="6"/>
  <c r="AD10" i="6" s="1"/>
  <c r="Z9" i="6"/>
  <c r="AD9" i="6" s="1"/>
  <c r="Z8" i="6"/>
  <c r="AD8" i="6" s="1"/>
  <c r="Z7" i="6"/>
  <c r="AD7" i="6" s="1"/>
  <c r="Y13" i="6"/>
  <c r="AC13" i="6" s="1"/>
  <c r="Y12" i="6"/>
  <c r="AC12" i="6" s="1"/>
  <c r="Y11" i="6"/>
  <c r="AC11" i="6" s="1"/>
  <c r="Y10" i="6"/>
  <c r="AC10" i="6" s="1"/>
  <c r="Y9" i="6"/>
  <c r="AC9" i="6" s="1"/>
  <c r="Y8" i="6"/>
  <c r="AC8" i="6" s="1"/>
  <c r="Y7" i="6"/>
  <c r="AC7" i="6" s="1"/>
  <c r="U22" i="6"/>
  <c r="T28" i="6"/>
  <c r="S28" i="6"/>
  <c r="U28" i="6" s="1"/>
  <c r="R28" i="6"/>
  <c r="T27" i="6"/>
  <c r="S27" i="6"/>
  <c r="R27" i="6"/>
  <c r="T26" i="6"/>
  <c r="U26" i="6" s="1"/>
  <c r="S26" i="6"/>
  <c r="R26" i="6"/>
  <c r="T25" i="6"/>
  <c r="S25" i="6"/>
  <c r="R25" i="6"/>
  <c r="T24" i="6"/>
  <c r="S24" i="6"/>
  <c r="R24" i="6"/>
  <c r="T23" i="6"/>
  <c r="S23" i="6"/>
  <c r="U23" i="6" s="1"/>
  <c r="R23" i="6"/>
  <c r="R22" i="6"/>
  <c r="U8" i="6"/>
  <c r="T13" i="6"/>
  <c r="T12" i="6"/>
  <c r="U12" i="6" s="1"/>
  <c r="T11" i="6"/>
  <c r="U11" i="6" s="1"/>
  <c r="T10" i="6"/>
  <c r="U10" i="6" s="1"/>
  <c r="T9" i="6"/>
  <c r="U9" i="6" s="1"/>
  <c r="T8" i="6"/>
  <c r="T7" i="6"/>
  <c r="S13" i="6"/>
  <c r="U24" i="6" l="1"/>
  <c r="U25" i="6"/>
  <c r="U13" i="6"/>
  <c r="U27" i="6"/>
  <c r="U7" i="6"/>
  <c r="X10" i="6" l="1"/>
  <c r="X11" i="6"/>
  <c r="X12" i="6"/>
  <c r="X13" i="6"/>
  <c r="X8" i="6"/>
  <c r="X9" i="6"/>
  <c r="X7" i="6"/>
  <c r="R8" i="6"/>
  <c r="R9" i="6"/>
  <c r="R10" i="6"/>
  <c r="R11" i="6"/>
  <c r="R12" i="6"/>
  <c r="R13" i="6"/>
  <c r="R7" i="6"/>
  <c r="N126" i="1"/>
  <c r="J126" i="1"/>
  <c r="N125" i="1"/>
  <c r="J125" i="1"/>
  <c r="N124" i="1"/>
  <c r="J124" i="1"/>
  <c r="N118" i="1"/>
  <c r="J118" i="1"/>
  <c r="N117" i="1"/>
  <c r="J117" i="1"/>
  <c r="N116" i="1"/>
  <c r="J116" i="1"/>
  <c r="N110" i="1"/>
  <c r="J110" i="1"/>
  <c r="N109" i="1"/>
  <c r="J109" i="1"/>
  <c r="N108" i="1"/>
  <c r="J108" i="1"/>
  <c r="N102" i="1"/>
  <c r="J102" i="1"/>
  <c r="N101" i="1"/>
  <c r="J101" i="1"/>
  <c r="N100" i="1"/>
  <c r="J100" i="1"/>
  <c r="J94" i="1"/>
  <c r="J93" i="1"/>
  <c r="J92" i="1"/>
  <c r="N94" i="1"/>
  <c r="N93" i="1"/>
  <c r="N92" i="1"/>
  <c r="Y125" i="1"/>
  <c r="Z125" i="1" s="1"/>
  <c r="X125" i="1"/>
  <c r="Y124" i="1"/>
  <c r="Z124" i="1" s="1"/>
  <c r="X124" i="1"/>
  <c r="Z123" i="1"/>
  <c r="Y123" i="1"/>
  <c r="X123" i="1"/>
  <c r="Y117" i="1"/>
  <c r="Z117" i="1" s="1"/>
  <c r="X117" i="1"/>
  <c r="Y116" i="1"/>
  <c r="Z116" i="1" s="1"/>
  <c r="X116" i="1"/>
  <c r="Y115" i="1"/>
  <c r="Z115" i="1" s="1"/>
  <c r="X115" i="1"/>
  <c r="Y109" i="1"/>
  <c r="Z109" i="1" s="1"/>
  <c r="X109" i="1"/>
  <c r="Y108" i="1"/>
  <c r="Z108" i="1" s="1"/>
  <c r="X108" i="1"/>
  <c r="Y107" i="1"/>
  <c r="Z107" i="1" s="1"/>
  <c r="X107" i="1"/>
  <c r="Y101" i="1"/>
  <c r="Z101" i="1" s="1"/>
  <c r="X101" i="1"/>
  <c r="Y100" i="1"/>
  <c r="Z100" i="1" s="1"/>
  <c r="X100" i="1"/>
  <c r="Z99" i="1"/>
  <c r="Y99" i="1"/>
  <c r="X99" i="1"/>
  <c r="X93" i="1"/>
  <c r="X92" i="1"/>
  <c r="X91" i="1"/>
  <c r="Y93" i="1"/>
  <c r="Z93" i="1" s="1"/>
  <c r="Y92" i="1"/>
  <c r="Z92" i="1" s="1"/>
  <c r="Y91" i="1"/>
  <c r="Z91" i="1" s="1"/>
  <c r="Q93" i="1"/>
  <c r="Q92" i="1"/>
  <c r="Q91" i="1"/>
  <c r="R125" i="1" l="1"/>
  <c r="R124" i="1"/>
  <c r="R123" i="1"/>
  <c r="V125" i="1"/>
  <c r="Q125" i="1"/>
  <c r="U125" i="1" s="1"/>
  <c r="Q124" i="1"/>
  <c r="Q123" i="1"/>
  <c r="U123" i="1" s="1"/>
  <c r="R117" i="1"/>
  <c r="V117" i="1" s="1"/>
  <c r="R116" i="1"/>
  <c r="R115" i="1"/>
  <c r="Q117" i="1"/>
  <c r="U117" i="1" s="1"/>
  <c r="Q116" i="1"/>
  <c r="U116" i="1" s="1"/>
  <c r="Q115" i="1"/>
  <c r="U115" i="1" s="1"/>
  <c r="V115" i="1"/>
  <c r="R109" i="1"/>
  <c r="V109" i="1" s="1"/>
  <c r="R108" i="1"/>
  <c r="R107" i="1"/>
  <c r="Q109" i="1"/>
  <c r="U109" i="1" s="1"/>
  <c r="Q108" i="1"/>
  <c r="U108" i="1" s="1"/>
  <c r="Q107" i="1"/>
  <c r="U107" i="1" s="1"/>
  <c r="Q101" i="1"/>
  <c r="Q100" i="1"/>
  <c r="U100" i="1" s="1"/>
  <c r="Q99" i="1"/>
  <c r="U99" i="1" s="1"/>
  <c r="R101" i="1"/>
  <c r="V101" i="1" s="1"/>
  <c r="R100" i="1"/>
  <c r="V100" i="1"/>
  <c r="R99" i="1"/>
  <c r="R92" i="1"/>
  <c r="V92" i="1" s="1"/>
  <c r="U101" i="1"/>
  <c r="V99" i="1"/>
  <c r="R93" i="1"/>
  <c r="R91" i="1"/>
  <c r="U124" i="1"/>
  <c r="V123" i="1"/>
  <c r="V116" i="1"/>
  <c r="V107" i="1"/>
  <c r="V108" i="1"/>
  <c r="V124" i="1"/>
  <c r="U92" i="1"/>
  <c r="U93" i="1"/>
  <c r="V93" i="1"/>
  <c r="V91" i="1"/>
  <c r="U91" i="1"/>
  <c r="O34" i="5" l="1"/>
  <c r="O33" i="5"/>
  <c r="O32" i="5"/>
  <c r="O31" i="5"/>
  <c r="O30" i="5"/>
  <c r="O29" i="5"/>
  <c r="O28" i="5"/>
  <c r="W18" i="5"/>
  <c r="W17" i="5"/>
  <c r="W16" i="5"/>
  <c r="W15" i="5"/>
  <c r="W14" i="5"/>
  <c r="W13" i="5"/>
  <c r="W12" i="5"/>
  <c r="W11" i="5"/>
  <c r="W10" i="5"/>
  <c r="O43" i="5"/>
  <c r="O42" i="5"/>
  <c r="O41" i="5"/>
  <c r="O40" i="5"/>
  <c r="O39" i="5"/>
  <c r="O38" i="5"/>
  <c r="O37" i="5"/>
  <c r="O25" i="5"/>
  <c r="O24" i="5"/>
  <c r="O23" i="5"/>
  <c r="O22" i="5"/>
  <c r="O21" i="5"/>
  <c r="O20" i="5"/>
  <c r="O19" i="5"/>
  <c r="O16" i="5"/>
  <c r="O15" i="5"/>
  <c r="O14" i="5"/>
  <c r="O13" i="5"/>
  <c r="O12" i="5"/>
  <c r="O11" i="5"/>
  <c r="O10" i="5"/>
  <c r="C32" i="5"/>
  <c r="C31" i="5"/>
  <c r="C30" i="5"/>
  <c r="C27" i="5"/>
  <c r="C26" i="5"/>
  <c r="C25" i="5"/>
  <c r="C22" i="5"/>
  <c r="C21" i="5"/>
  <c r="C20" i="5"/>
  <c r="C15" i="5"/>
  <c r="C17" i="5"/>
  <c r="C16" i="5"/>
  <c r="C12" i="5"/>
  <c r="C11" i="5"/>
  <c r="C10" i="5"/>
  <c r="Y62" i="1" l="1"/>
  <c r="U62" i="1"/>
  <c r="Y61" i="1"/>
  <c r="U61" i="1"/>
  <c r="Y60" i="1"/>
  <c r="U60" i="1"/>
  <c r="N59" i="1"/>
  <c r="J59" i="1"/>
  <c r="N58" i="1"/>
  <c r="J58" i="1"/>
  <c r="N57" i="1"/>
  <c r="J57" i="1"/>
  <c r="R62" i="1"/>
  <c r="R67" i="1" s="1"/>
  <c r="R61" i="1"/>
  <c r="R66" i="1" s="1"/>
  <c r="Q62" i="1"/>
  <c r="Q67" i="1" s="1"/>
  <c r="Q61" i="1"/>
  <c r="Q66" i="1" s="1"/>
  <c r="R60" i="1"/>
  <c r="R65" i="1" s="1"/>
  <c r="Q60" i="1"/>
  <c r="Q65" i="1" s="1"/>
  <c r="R13" i="1"/>
  <c r="S15" i="1" l="1"/>
  <c r="S14" i="1"/>
  <c r="S13" i="1"/>
  <c r="R15" i="1"/>
  <c r="R14" i="1"/>
  <c r="N50" i="1" l="1"/>
  <c r="J50" i="1"/>
  <c r="N49" i="1"/>
  <c r="J49" i="1"/>
  <c r="N48" i="1"/>
  <c r="J48" i="1"/>
  <c r="N42" i="1" l="1"/>
  <c r="J42" i="1"/>
  <c r="N41" i="1"/>
  <c r="J41" i="1"/>
  <c r="N40" i="1"/>
  <c r="J40" i="1"/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<sst xmlns="http://schemas.openxmlformats.org/spreadsheetml/2006/main" count="820" uniqueCount="220">
  <si>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</si>
  <si>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</si>
  <si>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</si>
  <si>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</si>
  <si>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</si>
  <si>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</si>
  <si>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</si>
  <si>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</si>
  <si>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</si>
  <si>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</si>
  <si>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</si>
  <si>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</si>
  <si>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</si>
  <si>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</si>
  <si>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</si>
  <si>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</si>
  <si>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</si>
  <si>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</si>
  <si>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</si>
  <si>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</si>
  <si>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</si>
  <si>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</si>
  <si>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</si>
  <si>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</si>
  <si>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</si>
  <si>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</si>
  <si>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</si>
  <si>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</si>
  <si>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</si>
  <si>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</si>
  <si>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</si>
  <si>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</si>
  <si>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</si>
  <si>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</si>
  <si>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</si>
  <si>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</si>
  <si>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</si>
  <si>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</si>
  <si>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</si>
  <si>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</si>
  <si>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</si>
  <si>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</si>
  <si>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</si>
  <si>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</si>
  <si>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</si>
  <si>
    <t>남평퇴비</t>
    <phoneticPr fontId="4" type="noConversion"/>
  </si>
  <si>
    <t>하수25 : 퇴비 75</t>
  </si>
  <si>
    <t>하수50 : 퇴비 50</t>
  </si>
  <si>
    <t>하수75 : 퇴비 25</t>
  </si>
  <si>
    <t>(2024)EM-44</t>
    <phoneticPr fontId="4" type="noConversion"/>
  </si>
  <si>
    <t>manure</t>
    <phoneticPr fontId="11" type="noConversion"/>
  </si>
  <si>
    <t>2026-05-08(SW25 가상값)</t>
    <phoneticPr fontId="4" type="noConversion"/>
  </si>
  <si>
    <t>혼합비율</t>
    <phoneticPr fontId="4" type="noConversion"/>
  </si>
  <si>
    <t>이론 계산값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</si>
  <si>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</si>
  <si>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1" type="noConversion"/>
  </si>
  <si>
    <t>하수25 : 비료 75</t>
  </si>
  <si>
    <t>SW25-01</t>
  </si>
  <si>
    <t>SW50-01</t>
  </si>
  <si>
    <t>SW75-01</t>
  </si>
  <si>
    <t>혼합비율</t>
    <phoneticPr fontId="5" type="noConversion"/>
  </si>
  <si>
    <t>EMMTE(%) 결과</t>
    <phoneticPr fontId="11" type="noConversion"/>
  </si>
  <si>
    <t>계산값/이론값</t>
    <phoneticPr fontId="11" type="noConversion"/>
  </si>
  <si>
    <t>이론 계산값</t>
    <phoneticPr fontId="5" type="noConversion"/>
  </si>
  <si>
    <t>!!광주1하수처리장의 농도 및 동위원소 분석값 차이 발생</t>
    <phoneticPr fontId="11" type="noConversion"/>
  </si>
  <si>
    <t xml:space="preserve">!! 추후 계획 </t>
    <phoneticPr fontId="11" type="noConversion"/>
  </si>
  <si>
    <t>1. 분뇨 및 토양 시료 확인 및 필요시 NO3 분석</t>
    <phoneticPr fontId="11" type="noConversion"/>
  </si>
  <si>
    <t>2종</t>
    <phoneticPr fontId="11" type="noConversion"/>
  </si>
  <si>
    <t>하수 분뇨</t>
    <phoneticPr fontId="11" type="noConversion"/>
  </si>
  <si>
    <t>하수 토양</t>
    <phoneticPr fontId="11" type="noConversion"/>
  </si>
  <si>
    <t>비료 분뇨</t>
    <phoneticPr fontId="11" type="noConversion"/>
  </si>
  <si>
    <t>하수 비료</t>
    <phoneticPr fontId="11" type="noConversion"/>
  </si>
  <si>
    <t>비료 토양</t>
    <phoneticPr fontId="11" type="noConversion"/>
  </si>
  <si>
    <t>분뇨 토양</t>
    <phoneticPr fontId="11" type="noConversion"/>
  </si>
  <si>
    <t>3종</t>
    <phoneticPr fontId="11" type="noConversion"/>
  </si>
  <si>
    <t>하수 비료 분뇨</t>
    <phoneticPr fontId="11" type="noConversion"/>
  </si>
  <si>
    <t>하수 비료 토양</t>
    <phoneticPr fontId="11" type="noConversion"/>
  </si>
  <si>
    <t>비료 뷴뇨 토양</t>
    <phoneticPr fontId="11" type="noConversion"/>
  </si>
  <si>
    <t>4종</t>
    <phoneticPr fontId="11" type="noConversion"/>
  </si>
  <si>
    <t>하수 비료 분뇨 토양</t>
    <phoneticPr fontId="11" type="noConversion"/>
  </si>
  <si>
    <t xml:space="preserve">2. 하수, 비료, 분뇨, 토양 4종의 오염원을 대상으로 2종, 3종, 4종 혼합실험 진행 </t>
    <phoneticPr fontId="11" type="noConversion"/>
  </si>
  <si>
    <t>No</t>
    <phoneticPr fontId="4" type="noConversion"/>
  </si>
  <si>
    <t>Name</t>
    <phoneticPr fontId="4" type="noConversion"/>
  </si>
  <si>
    <t>종류</t>
    <phoneticPr fontId="4" type="noConversion"/>
  </si>
  <si>
    <t>NO3-N</t>
  </si>
  <si>
    <t>만봉천 논토양</t>
    <phoneticPr fontId="4" type="noConversion"/>
  </si>
  <si>
    <t>토양</t>
    <phoneticPr fontId="4" type="noConversion"/>
  </si>
  <si>
    <t>광주하수처리장</t>
    <phoneticPr fontId="4" type="noConversion"/>
  </si>
  <si>
    <t>하수</t>
    <phoneticPr fontId="4" type="noConversion"/>
  </si>
  <si>
    <t>요소비료</t>
    <phoneticPr fontId="4" type="noConversion"/>
  </si>
  <si>
    <t>비료</t>
    <phoneticPr fontId="4" type="noConversion"/>
  </si>
  <si>
    <t>하수+토양</t>
    <phoneticPr fontId="11" type="noConversion"/>
  </si>
  <si>
    <t>2종 실험</t>
    <phoneticPr fontId="11" type="noConversion"/>
  </si>
  <si>
    <t>퇴비</t>
    <phoneticPr fontId="4" type="noConversion"/>
  </si>
  <si>
    <t>하수+퇴비</t>
    <phoneticPr fontId="11" type="noConversion"/>
  </si>
  <si>
    <t>하수25 : 퇴비 75</t>
    <phoneticPr fontId="11" type="noConversion"/>
  </si>
  <si>
    <t>하수50 : 퇴비 50</t>
    <phoneticPr fontId="11" type="noConversion"/>
  </si>
  <si>
    <t>하수75 : 퇴비 25</t>
    <phoneticPr fontId="11" type="noConversion"/>
  </si>
  <si>
    <t>혼합 비율</t>
    <phoneticPr fontId="11" type="noConversion"/>
  </si>
  <si>
    <t>분류</t>
    <phoneticPr fontId="11" type="noConversion"/>
  </si>
  <si>
    <t>예상농도</t>
    <phoneticPr fontId="11" type="noConversion"/>
  </si>
  <si>
    <t>주입량</t>
    <phoneticPr fontId="11" type="noConversion"/>
  </si>
  <si>
    <t>혼합비율</t>
    <phoneticPr fontId="11" type="noConversion"/>
  </si>
  <si>
    <t>하수25 : 토양 75</t>
    <phoneticPr fontId="11" type="noConversion"/>
  </si>
  <si>
    <t>하수50 : 토양 50</t>
    <phoneticPr fontId="11" type="noConversion"/>
  </si>
  <si>
    <t>하수75 : 토양 25</t>
    <phoneticPr fontId="11" type="noConversion"/>
  </si>
  <si>
    <t>비료+퇴비</t>
    <phoneticPr fontId="11" type="noConversion"/>
  </si>
  <si>
    <t>비료25 : 퇴비 75</t>
    <phoneticPr fontId="11" type="noConversion"/>
  </si>
  <si>
    <t>비료50 : 퇴비 50</t>
    <phoneticPr fontId="11" type="noConversion"/>
  </si>
  <si>
    <t>비료75 : 퇴비 25</t>
    <phoneticPr fontId="11" type="noConversion"/>
  </si>
  <si>
    <t>비료+토양</t>
    <phoneticPr fontId="11" type="noConversion"/>
  </si>
  <si>
    <t>비료25 : 토양 75</t>
    <phoneticPr fontId="11" type="noConversion"/>
  </si>
  <si>
    <t>비료50 : 토양 50</t>
    <phoneticPr fontId="11" type="noConversion"/>
  </si>
  <si>
    <t>비료75 : 토양 25</t>
    <phoneticPr fontId="11" type="noConversion"/>
  </si>
  <si>
    <t>퇴비+토양</t>
    <phoneticPr fontId="11" type="noConversion"/>
  </si>
  <si>
    <t>퇴비25 : 토양 75</t>
    <phoneticPr fontId="11" type="noConversion"/>
  </si>
  <si>
    <t>퇴비50 : 토양 50</t>
    <phoneticPr fontId="11" type="noConversion"/>
  </si>
  <si>
    <t>퇴비75 : 토양 25</t>
    <phoneticPr fontId="11" type="noConversion"/>
  </si>
  <si>
    <t>3종 실험</t>
    <phoneticPr fontId="11" type="noConversion"/>
  </si>
  <si>
    <t>하수+비료+퇴비</t>
    <phoneticPr fontId="11" type="noConversion"/>
  </si>
  <si>
    <t>하수+비료+토양</t>
    <phoneticPr fontId="11" type="noConversion"/>
  </si>
  <si>
    <t>비료+퇴비+토양</t>
    <phoneticPr fontId="11" type="noConversion"/>
  </si>
  <si>
    <t>4종 실험</t>
    <phoneticPr fontId="11" type="noConversion"/>
  </si>
  <si>
    <t>하수+비료+퇴비+토양</t>
    <phoneticPr fontId="11" type="noConversion"/>
  </si>
  <si>
    <t>하수33.3 : 비료33.3 : 퇴비 33.3</t>
    <phoneticPr fontId="11" type="noConversion"/>
  </si>
  <si>
    <t>하수50 : 비료25 : 퇴비 25</t>
    <phoneticPr fontId="11" type="noConversion"/>
  </si>
  <si>
    <t>하수25 : 비료50 : 퇴비 25</t>
    <phoneticPr fontId="11" type="noConversion"/>
  </si>
  <si>
    <t>하수25 : 비료25 : 퇴비 50</t>
    <phoneticPr fontId="11" type="noConversion"/>
  </si>
  <si>
    <t>하수75 : 비료12.5 : 퇴비12.5</t>
    <phoneticPr fontId="11" type="noConversion"/>
  </si>
  <si>
    <t>하수12.5 : 비료75 : 퇴비12.5</t>
    <phoneticPr fontId="11" type="noConversion"/>
  </si>
  <si>
    <t>하수12.5 : 비료12.5 : 퇴비75</t>
    <phoneticPr fontId="11" type="noConversion"/>
  </si>
  <si>
    <t>하수33.3 : 비료33.3 : 토양 33.3</t>
    <phoneticPr fontId="11" type="noConversion"/>
  </si>
  <si>
    <t>하수50 : 비료25 : 토양 25</t>
    <phoneticPr fontId="11" type="noConversion"/>
  </si>
  <si>
    <t>하수25 : 비료50 : 토양 25</t>
    <phoneticPr fontId="11" type="noConversion"/>
  </si>
  <si>
    <t>하수25 : 비료25 : 토양 50</t>
    <phoneticPr fontId="11" type="noConversion"/>
  </si>
  <si>
    <t>하수75 : 비료12.5 : 토양12.5</t>
    <phoneticPr fontId="11" type="noConversion"/>
  </si>
  <si>
    <t>하수12.5 : 비료75 : 토양12.5</t>
    <phoneticPr fontId="11" type="noConversion"/>
  </si>
  <si>
    <t>하수12.5 : 비료12.5 : 토양75</t>
    <phoneticPr fontId="11" type="noConversion"/>
  </si>
  <si>
    <t>비료33.3 : 퇴비33.3 : 토양 33.3</t>
    <phoneticPr fontId="11" type="noConversion"/>
  </si>
  <si>
    <t>비료50 : 퇴비25 : 토양 25</t>
    <phoneticPr fontId="11" type="noConversion"/>
  </si>
  <si>
    <t>비료25 : 퇴비50 : 토양 25</t>
    <phoneticPr fontId="11" type="noConversion"/>
  </si>
  <si>
    <t>비료25 : 퇴비25 : 토양 50</t>
    <phoneticPr fontId="11" type="noConversion"/>
  </si>
  <si>
    <t>비료75 :퇴비12.5 : 토양12.5</t>
    <phoneticPr fontId="11" type="noConversion"/>
  </si>
  <si>
    <t>비료12.5 : 퇴비75 : 토양12.5</t>
    <phoneticPr fontId="11" type="noConversion"/>
  </si>
  <si>
    <t>비료12.5 : 퇴비12.5 : 토양75</t>
    <phoneticPr fontId="11" type="noConversion"/>
  </si>
  <si>
    <t>하수25 : 비료25 : 퇴비25 : 토양25</t>
    <phoneticPr fontId="11" type="noConversion"/>
  </si>
  <si>
    <t>하수40 : 비료20 : 퇴비20 : 토양20</t>
    <phoneticPr fontId="11" type="noConversion"/>
  </si>
  <si>
    <t>하수20 : 비료40 : 퇴비20 : 토양20</t>
    <phoneticPr fontId="11" type="noConversion"/>
  </si>
  <si>
    <t>하수20 : 비료20 : 퇴비40 : 토양20</t>
    <phoneticPr fontId="11" type="noConversion"/>
  </si>
  <si>
    <t>하수20 : 비료20 : 퇴비20 : 토양40</t>
    <phoneticPr fontId="11" type="noConversion"/>
  </si>
  <si>
    <t>하수70 : 비료10 : 퇴비10 : 토양10</t>
    <phoneticPr fontId="11" type="noConversion"/>
  </si>
  <si>
    <t>하수10 : 비료70 : 퇴비10 : 토양10</t>
    <phoneticPr fontId="11" type="noConversion"/>
  </si>
  <si>
    <t>하수10 : 비료10 : 퇴비70 : 토양10</t>
    <phoneticPr fontId="11" type="noConversion"/>
  </si>
  <si>
    <t>하수10 : 비료10 : 퇴비10 : 토양70</t>
    <phoneticPr fontId="11" type="noConversion"/>
  </si>
  <si>
    <t>하수+퇴비+토양</t>
    <phoneticPr fontId="11" type="noConversion"/>
  </si>
  <si>
    <t>하수33.3 : 퇴비33.3 : 토양 33.3</t>
    <phoneticPr fontId="11" type="noConversion"/>
  </si>
  <si>
    <t>하수50 : 퇴비25 : 토양 25</t>
    <phoneticPr fontId="11" type="noConversion"/>
  </si>
  <si>
    <t>하수25 : 퇴비50 : 토양 25</t>
    <phoneticPr fontId="11" type="noConversion"/>
  </si>
  <si>
    <t>하수25 : 퇴비25 : 토양 50</t>
    <phoneticPr fontId="11" type="noConversion"/>
  </si>
  <si>
    <t>하수75 : 퇴비12.5 : 토양12.5</t>
    <phoneticPr fontId="11" type="noConversion"/>
  </si>
  <si>
    <t>하수12.5 : 퇴비75 : 토양12.5</t>
    <phoneticPr fontId="11" type="noConversion"/>
  </si>
  <si>
    <t>하수12.5 : 퇴비12.5 : 토양75</t>
    <phoneticPr fontId="11" type="noConversion"/>
  </si>
  <si>
    <t>광주하수처리장</t>
  </si>
  <si>
    <t>남평퇴비</t>
  </si>
  <si>
    <t>만봉천 논토양</t>
  </si>
  <si>
    <t>하수25 : 토양 75</t>
  </si>
  <si>
    <t>하수50 : 토양 50</t>
  </si>
  <si>
    <t>하수75 : 토양 25</t>
  </si>
  <si>
    <t>요소비료</t>
  </si>
  <si>
    <t>비료25 : 퇴비 75</t>
  </si>
  <si>
    <t>비료50 : 퇴비 50</t>
  </si>
  <si>
    <t>비료75 : 퇴비 25</t>
  </si>
  <si>
    <t>비료25 : 토양 75</t>
  </si>
  <si>
    <t>비료50 : 토양 50</t>
  </si>
  <si>
    <t>비료75 : 토양 25</t>
  </si>
  <si>
    <t>퇴비25 : 토양 75</t>
  </si>
  <si>
    <t>퇴비50 : 토양 50</t>
  </si>
  <si>
    <t>퇴비75 : 토양 25</t>
  </si>
  <si>
    <t>계산값/이론값</t>
    <phoneticPr fontId="5" type="noConversion"/>
  </si>
  <si>
    <t>기여율 이론값</t>
    <phoneticPr fontId="5" type="noConversion"/>
  </si>
  <si>
    <t>A</t>
    <phoneticPr fontId="5" type="noConversion"/>
  </si>
  <si>
    <t>B</t>
    <phoneticPr fontId="11" type="noConversion"/>
  </si>
  <si>
    <t>2026-08-20~21</t>
    <phoneticPr fontId="11" type="noConversion"/>
  </si>
  <si>
    <t>soil</t>
    <phoneticPr fontId="11" type="noConversion"/>
  </si>
  <si>
    <t>fertilizer</t>
  </si>
  <si>
    <t>manure</t>
    <phoneticPr fontId="5" type="noConversion"/>
  </si>
  <si>
    <t>하수33.3 : 비료33.3 : 퇴비 33.3</t>
  </si>
  <si>
    <t>하수50 : 비료25 : 퇴비 25</t>
  </si>
  <si>
    <t>하수25 : 비료50 : 퇴비 25</t>
  </si>
  <si>
    <t>하수25 : 비료25 : 퇴비 50</t>
  </si>
  <si>
    <t>하수75 : 비료12.5 : 퇴비12.5</t>
  </si>
  <si>
    <t>하수12.5 : 비료75 : 퇴비12.5</t>
  </si>
  <si>
    <t>하수12.5 : 비료12.5 : 퇴비75</t>
  </si>
  <si>
    <t>A</t>
    <phoneticPr fontId="11" type="noConversion"/>
  </si>
  <si>
    <t>C</t>
    <phoneticPr fontId="11" type="noConversion"/>
  </si>
  <si>
    <t>하수33.3 : 비료33.3 : 토양 33.3</t>
  </si>
  <si>
    <t>하수50 : 비료25 : 토양 25</t>
  </si>
  <si>
    <t>하수25 : 비료50 : 토양 25</t>
  </si>
  <si>
    <t>하수25 : 비료25 : 토양 50</t>
  </si>
  <si>
    <t>하수75 : 비료12.5 : 토양12.5</t>
  </si>
  <si>
    <t>하수12.5 : 비료75 : 토양12.5</t>
  </si>
  <si>
    <t>하수12.5 : 비료12.5 : 토양75</t>
  </si>
  <si>
    <t>계산값/분석값</t>
    <phoneticPr fontId="5" type="noConversion"/>
  </si>
  <si>
    <t>하수+퇴비+토양</t>
  </si>
  <si>
    <t>하수33.3 : 퇴비33.3 : 토양 33.3</t>
  </si>
  <si>
    <t>하수50 : 퇴비25 : 토양 25</t>
  </si>
  <si>
    <t>하수25 : 퇴비50 : 토양 25</t>
  </si>
  <si>
    <t>하수25 : 퇴비25 : 토양 50</t>
  </si>
  <si>
    <t>하수75 : 퇴비12.5 : 토양12.5</t>
  </si>
  <si>
    <t>하수12.5 : 퇴비75 : 토양12.5</t>
  </si>
  <si>
    <t>하수12.5 : 퇴비12.5 : 토양75</t>
  </si>
  <si>
    <t>비료+퇴비+토양</t>
  </si>
  <si>
    <t>비료33.3 : 퇴비33.3 : 토양 33.3</t>
  </si>
  <si>
    <t>비료50 : 퇴비25 : 토양 25</t>
  </si>
  <si>
    <t>비료25 : 퇴비50 : 토양 25</t>
  </si>
  <si>
    <t>비료25 : 퇴비25 : 토양 50</t>
  </si>
  <si>
    <t>비료75 :퇴비12.5 : 토양12.5</t>
  </si>
  <si>
    <t>비료12.5 : 퇴비75 : 토양12.5</t>
  </si>
  <si>
    <t>비료12.5 : 퇴비12.5 : 토양75</t>
  </si>
  <si>
    <t>D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</si>
</sst>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_);[Red]\(0\)"/>
    <numFmt numFmtId="178" formatCode="0.00_ "/>
    <numFmt numFmtId="179" formatCode="0.000"/>
    <numFmt numFmtId="180" formatCode="0.000_ "/>
    <numFmt numFmtId="181" formatCode="0.0_);[Red]\(0.0\)"/>
  </numFmts>
  <fonts count="2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b/>
      <sz val="12"/>
      <color theme="1"/>
      <name val="휴먼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78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  <xf numFmtId="177" fontId="15" fillId="0" borderId="0" xfId="0" applyNumberFormat="1" applyFont="1"/>
    <xf numFmtId="176" fontId="16" fillId="0" borderId="4" xfId="0" applyNumberFormat="1" applyFont="1" applyBorder="1" applyAlignment="1">
      <alignment horizontal="right" vertical="center"/>
    </xf>
    <xf numFmtId="2" fontId="10" fillId="0" borderId="5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77" fontId="8" fillId="4" borderId="0" xfId="1" applyNumberFormat="1" applyFont="1" applyFill="1">
      <alignment vertical="center"/>
    </xf>
    <xf numFmtId="179" fontId="16" fillId="0" borderId="5" xfId="0" applyNumberFormat="1" applyFont="1" applyBorder="1" applyAlignment="1">
      <alignment horizontal="center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8" fillId="0" borderId="11" xfId="1" applyFont="1" applyBorder="1">
      <alignment vertical="center"/>
    </xf>
    <xf numFmtId="0" fontId="18" fillId="0" borderId="11" xfId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/>
    </xf>
    <xf numFmtId="49" fontId="19" fillId="5" borderId="14" xfId="0" applyNumberFormat="1" applyFont="1" applyFill="1" applyBorder="1" applyAlignment="1">
      <alignment horizontal="center" vertical="center" wrapText="1"/>
    </xf>
    <xf numFmtId="49" fontId="20" fillId="6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/>
    </xf>
    <xf numFmtId="0" fontId="0" fillId="7" borderId="11" xfId="0" applyFill="1" applyBorder="1"/>
    <xf numFmtId="0" fontId="0" fillId="0" borderId="11" xfId="0" applyBorder="1"/>
    <xf numFmtId="2" fontId="0" fillId="0" borderId="11" xfId="0" applyNumberFormat="1" applyBorder="1"/>
    <xf numFmtId="176" fontId="10" fillId="0" borderId="7" xfId="0" applyNumberFormat="1" applyFont="1" applyBorder="1" applyAlignment="1">
      <alignment horizontal="center" vertical="center"/>
    </xf>
    <xf numFmtId="181" fontId="0" fillId="0" borderId="0" xfId="0" applyNumberFormat="1"/>
    <xf numFmtId="14" fontId="8" fillId="3" borderId="0" xfId="1" applyNumberFormat="1" applyFont="1" applyFill="1">
      <alignment vertical="center"/>
    </xf>
    <xf numFmtId="0" fontId="8" fillId="3" borderId="0" xfId="1" applyFont="1" applyFill="1">
      <alignment vertical="center"/>
    </xf>
    <xf numFmtId="181" fontId="8" fillId="4" borderId="0" xfId="1" applyNumberFormat="1" applyFont="1" applyFill="1">
      <alignment vertical="center"/>
    </xf>
    <xf numFmtId="176" fontId="14" fillId="0" borderId="4" xfId="0" applyNumberFormat="1" applyFont="1" applyBorder="1" applyAlignment="1">
      <alignment horizontal="right" vertical="center"/>
    </xf>
    <xf numFmtId="176" fontId="10" fillId="8" borderId="5" xfId="0" applyNumberFormat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49" fontId="6" fillId="0" borderId="0" xfId="1" applyNumberFormat="1" applyFont="1" applyAlignment="1">
      <alignment horizontal="center" vertical="center" wrapText="1"/>
    </xf>
    <xf numFmtId="179" fontId="10" fillId="0" borderId="0" xfId="0" applyNumberFormat="1" applyFont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A5-4B66-8D7C-1328976621F7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A5-4B66-8D7C-1328976621F7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A5-4B66-8D7C-1328976621F7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A5-4B66-8D7C-1328976621F7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A5-4B66-8D7C-1328976621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A5-4B66-8D7C-1328976621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7A5-4B66-8D7C-1328976621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7A5-4B66-8D7C-1328976621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7A5-4B66-8D7C-1328976621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7A5-4B66-8D7C-1328976621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7A5-4B66-8D7C-1328976621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7A5-4B66-8D7C-1328976621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7A5-4B66-8D7C-1328976621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D7A5-4B66-8D7C-1328976621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7A5-4B66-8D7C-1328976621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7A5-4B66-8D7C-1328976621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7A5-4B66-8D7C-1328976621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D7A5-4B66-8D7C-1328976621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7A5-4B66-8D7C-1328976621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D7A5-4B66-8D7C-1328976621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7A5-4B66-8D7C-1328976621F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7A5-4B66-8D7C-1328976621F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D7A5-4B66-8D7C-1328976621F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D7A5-4B66-8D7C-1328976621F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7A5-4B66-8D7C-1328976621F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7A5-4B66-8D7C-1328976621F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D7A5-4B66-8D7C-1328976621F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D7A5-4B66-8D7C-1328976621F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D7A5-4B66-8D7C-1328976621F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D7A5-4B66-8D7C-1328976621F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D7A5-4B66-8D7C-1328976621F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D7A5-4B66-8D7C-1328976621F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D7A5-4B66-8D7C-1328976621F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D7A5-4B66-8D7C-1328976621F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D7A5-4B66-8D7C-1328976621F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D7A5-4B66-8D7C-1328976621F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D7A5-4B66-8D7C-1328976621F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D7A5-4B66-8D7C-1328976621F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D7A5-4B66-8D7C-1328976621F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D7A5-4B66-8D7C-1328976621F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D7A5-4B66-8D7C-1328976621F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D7A5-4B66-8D7C-1328976621F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D7A5-4B66-8D7C-1328976621F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D7A5-4B66-8D7C-1328976621F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D7A5-4B66-8D7C-1328976621F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D7A5-4B66-8D7C-1328976621F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D7A5-4B66-8D7C-1328976621F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D7A5-4B66-8D7C-1328976621F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D7A5-4B66-8D7C-1328976621F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D7A5-4B66-8D7C-1328976621F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D7A5-4B66-8D7C-1328976621F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D7A5-4B66-8D7C-1328976621F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D7A5-4B66-8D7C-1328976621F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D7A5-4B66-8D7C-1328976621F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D7A5-4B66-8D7C-1328976621F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D7A5-4B66-8D7C-1328976621F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D7A5-4B66-8D7C-1328976621F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D7A5-4B66-8D7C-1328976621F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D7A5-4B66-8D7C-1328976621F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D7A5-4B66-8D7C-1328976621F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D7A5-4B66-8D7C-1328976621F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D7A5-4B66-8D7C-1328976621F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D7A5-4B66-8D7C-1328976621F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D7A5-4B66-8D7C-1328976621F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D7A5-4B66-8D7C-1328976621F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D7A5-4B66-8D7C-1328976621F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'[1]Data Enter'!$D$3:$D$74</c:f>
              <c:numCache>
                <c:formatCode>General</c:formatCode>
                <c:ptCount val="72"/>
                <c:pt idx="0">
                  <c:v>3.51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D7A5-4B66-8D7C-1328976621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D7A5-4B66-8D7C-1328976621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D7A5-4B66-8D7C-1328976621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D7A5-4B66-8D7C-1328976621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'[1]Parameter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en-US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07-41BB-9C5E-8544415D5943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A07-41BB-9C5E-8544415D5943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07-41BB-9C5E-8544415D5943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A07-41BB-9C5E-8544415D5943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A07-41BB-9C5E-8544415D59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A07-41BB-9C5E-8544415D59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A07-41BB-9C5E-8544415D59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A07-41BB-9C5E-8544415D59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A07-41BB-9C5E-8544415D59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A07-41BB-9C5E-8544415D59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A07-41BB-9C5E-8544415D59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3A07-41BB-9C5E-8544415D59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A07-41BB-9C5E-8544415D59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A07-41BB-9C5E-8544415D594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A07-41BB-9C5E-8544415D594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A07-41BB-9C5E-8544415D594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A07-41BB-9C5E-8544415D594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A07-41BB-9C5E-8544415D594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A07-41BB-9C5E-8544415D594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A07-41BB-9C5E-8544415D594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A07-41BB-9C5E-8544415D594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A07-41BB-9C5E-8544415D594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A07-41BB-9C5E-8544415D594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A07-41BB-9C5E-8544415D594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A07-41BB-9C5E-8544415D594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A07-41BB-9C5E-8544415D594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A07-41BB-9C5E-8544415D594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A07-41BB-9C5E-8544415D594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A07-41BB-9C5E-8544415D594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A07-41BB-9C5E-8544415D594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A07-41BB-9C5E-8544415D594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A07-41BB-9C5E-8544415D594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A07-41BB-9C5E-8544415D594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A07-41BB-9C5E-8544415D594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A07-41BB-9C5E-8544415D594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A07-41BB-9C5E-8544415D594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A07-41BB-9C5E-8544415D594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A07-41BB-9C5E-8544415D594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A07-41BB-9C5E-8544415D594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A07-41BB-9C5E-8544415D594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A07-41BB-9C5E-8544415D594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A07-41BB-9C5E-8544415D594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A07-41BB-9C5E-8544415D594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A07-41BB-9C5E-8544415D594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A07-41BB-9C5E-8544415D594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A07-41BB-9C5E-8544415D594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A07-41BB-9C5E-8544415D594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A07-41BB-9C5E-8544415D594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A07-41BB-9C5E-8544415D594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A07-41BB-9C5E-8544415D594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A07-41BB-9C5E-8544415D594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A07-41BB-9C5E-8544415D594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A07-41BB-9C5E-8544415D594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A07-41BB-9C5E-8544415D594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A07-41BB-9C5E-8544415D594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A07-41BB-9C5E-8544415D594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A07-41BB-9C5E-8544415D594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A07-41BB-9C5E-8544415D594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A07-41BB-9C5E-8544415D594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A07-41BB-9C5E-8544415D594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A07-41BB-9C5E-8544415D594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A07-41BB-9C5E-8544415D594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A07-41BB-9C5E-8544415D594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A07-41BB-9C5E-8544415D594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A07-41BB-9C5E-8544415D594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A07-41BB-9C5E-8544415D594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'[2]Data Enter'!$D$3:$D$74</c:f>
              <c:numCache>
                <c:formatCode>General</c:formatCode>
                <c:ptCount val="72"/>
                <c:pt idx="0">
                  <c:v>5.3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A07-41BB-9C5E-8544415D59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A07-41BB-9C5E-8544415D59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A07-41BB-9C5E-8544415D59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A07-41BB-9C5E-8544415D59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'[2]Parameter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en-US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24657" y="5268120"/>
    <xdr:ext cx="4280807" cy="3101069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236823" y="8269937"/>
    <xdr:ext cx="4448736" cy="3204881"/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53;&#51333;&#50896;\2026\1.%20&#51312;&#49324;\EMMTE,%20SIAR%20&#44288;&#47144;\EMMTE\(260514)EMMTE_0508%20&#50724;&#50684;&#50896;%20&#51221;&#45813;&#51648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53;&#51333;&#50896;\2026\1.%20&#51312;&#49324;\EMMTE,%20SIAR%20&#44288;&#47144;\EMMTE\(260514)EMMTE_0508%20&#50724;&#50684;&#50896;%20&#51221;&#45813;&#51648;(&#44032;&#49345;&#44050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3.51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5.3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26"/>
  <sheetViews>
    <sheetView topLeftCell="A102" zoomScale="85" zoomScaleNormal="85" workbookViewId="0">
      <selection activeCell="K97" sqref="K97"/>
    </sheetView>
  </sheetViews>
  <sheetFormatPr defaultColWidth="9" defaultRowHeight="16.5" x14ac:dyDescent="0.3"/>
  <cols>
    <col min="1" max="1" width="10.625" style="5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5" width="9" style="5"/>
    <col min="16" max="16" width="15.875" style="5" bestFit="1" customWidth="1"/>
    <col min="17" max="17" width="12" style="5" bestFit="1" customWidth="1"/>
    <col min="18" max="18" width="9" style="5"/>
    <col min="19" max="19" width="9.5" style="5" customWidth="1"/>
    <col min="20" max="20" width="14.25" style="5" bestFit="1" customWidth="1"/>
    <col min="21" max="23" width="9" style="5"/>
    <col min="24" max="24" width="14.25" style="5" bestFit="1" customWidth="1"/>
    <col min="25" max="25" width="9" style="5"/>
    <col min="26" max="26" width="11.375" style="5" customWidth="1"/>
    <col min="27" max="16384" width="9" style="5"/>
  </cols>
  <sheetData>
    <row r="1" spans="1:19" x14ac:dyDescent="0.3">
      <c r="A1" s="37">
        <v>46128</v>
      </c>
    </row>
    <row r="2" spans="1:19" ht="30.75" customHeight="1" x14ac:dyDescent="0.3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9" ht="20.100000000000001" customHeight="1" x14ac:dyDescent="0.3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9" ht="20.100000000000001" customHeight="1" x14ac:dyDescent="0.3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9" ht="20.100000000000001" customHeight="1" x14ac:dyDescent="0.3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9" ht="20.100000000000001" customHeight="1" x14ac:dyDescent="0.3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9" ht="20.100000000000001" customHeight="1" x14ac:dyDescent="0.3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38">
        <v>65.36</v>
      </c>
      <c r="I7" s="38">
        <v>34.64</v>
      </c>
      <c r="J7" s="38">
        <f t="shared" si="0"/>
        <v>100</v>
      </c>
      <c r="L7" s="38">
        <v>23.5</v>
      </c>
      <c r="M7" s="38">
        <v>76</v>
      </c>
      <c r="N7" s="38">
        <f t="shared" si="1"/>
        <v>99.5</v>
      </c>
      <c r="R7" s="5" t="s">
        <v>52</v>
      </c>
    </row>
    <row r="8" spans="1:19" x14ac:dyDescent="0.3">
      <c r="A8" s="13"/>
      <c r="B8" s="13"/>
      <c r="C8" s="13"/>
      <c r="D8" s="13"/>
      <c r="E8" s="14"/>
      <c r="F8" s="14"/>
      <c r="R8" s="5">
        <v>0.25</v>
      </c>
    </row>
    <row r="9" spans="1:19" x14ac:dyDescent="0.3">
      <c r="A9" s="37">
        <v>46135</v>
      </c>
      <c r="B9" s="13"/>
      <c r="C9" s="13"/>
      <c r="D9" s="13"/>
      <c r="E9" s="15"/>
      <c r="F9" s="15"/>
      <c r="R9" s="5">
        <v>0.5</v>
      </c>
    </row>
    <row r="10" spans="1:19" ht="27" x14ac:dyDescent="0.3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  <c r="R10" s="5">
        <v>0.75</v>
      </c>
    </row>
    <row r="11" spans="1:19" x14ac:dyDescent="0.3">
      <c r="A11" s="7" t="s">
        <v>7</v>
      </c>
      <c r="B11" s="8" t="s">
        <v>8</v>
      </c>
      <c r="C11" s="41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  <c r="Q11" s="5" t="s">
        <v>53</v>
      </c>
    </row>
    <row r="12" spans="1:19" x14ac:dyDescent="0.3">
      <c r="A12" s="7" t="s">
        <v>24</v>
      </c>
      <c r="B12" s="8" t="s">
        <v>25</v>
      </c>
      <c r="C12" s="41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  <c r="Q12" s="1"/>
      <c r="R12" s="2" t="s">
        <v>54</v>
      </c>
      <c r="S12" s="3" t="s">
        <v>55</v>
      </c>
    </row>
    <row r="13" spans="1:19" x14ac:dyDescent="0.3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  <c r="Q13" s="7" t="s">
        <v>27</v>
      </c>
      <c r="R13" s="40">
        <f>((R8*$C$11*$E$11)+(R10*$C$12*$E$12))/((R8*$C$11)+(R10*$C$12))</f>
        <v>-10.995900332225917</v>
      </c>
      <c r="S13" s="40">
        <f>((R8*$C$11*$G$11)+(R10*$C$12*$G$12))/((R8*$C$11)+(R10*$C$12))</f>
        <v>8.7660465116279056</v>
      </c>
    </row>
    <row r="14" spans="1:19" x14ac:dyDescent="0.3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  <c r="Q14" s="7" t="s">
        <v>29</v>
      </c>
      <c r="R14" s="40">
        <f>((R9*$C$11*$E$11)+(R9*$C$12*$E$12))/((R9*$C$11)+(R9*$C$12))</f>
        <v>-0.29120141342756189</v>
      </c>
      <c r="S14" s="40">
        <f>((R9*$C$11*$G$11)+(R9*$C$12*$G$12))/((R9*$C$11)+(R9*$C$12))</f>
        <v>3.6169846878680807</v>
      </c>
    </row>
    <row r="15" spans="1:19" x14ac:dyDescent="0.3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  <c r="Q15" s="7" t="s">
        <v>31</v>
      </c>
      <c r="R15" s="40">
        <f>((R10*$C$11*$E$11)+(R8*$C$12*$E$12))/((R10*$C$11)+(R8*$C$12))</f>
        <v>8.2284029613960872</v>
      </c>
      <c r="S15" s="40">
        <f>((R10*$C$11*$G$11)+(R8*$C$12*$G$12))/((R10*$C$11)+(R8*$C$12))</f>
        <v>-0.48102591221575897</v>
      </c>
    </row>
    <row r="16" spans="1:19" x14ac:dyDescent="0.3">
      <c r="A16" s="13"/>
      <c r="B16" s="13" t="s">
        <v>34</v>
      </c>
      <c r="C16" s="13"/>
      <c r="D16" s="13"/>
      <c r="E16" s="15"/>
      <c r="F16" s="15"/>
    </row>
    <row r="17" spans="1:14" x14ac:dyDescent="0.3">
      <c r="A17" s="13"/>
      <c r="B17" s="13"/>
      <c r="C17" s="13"/>
      <c r="D17" s="13"/>
      <c r="E17" s="15"/>
      <c r="F17" s="15"/>
    </row>
    <row r="18" spans="1:14" x14ac:dyDescent="0.3">
      <c r="A18" s="37">
        <v>46135</v>
      </c>
    </row>
    <row r="19" spans="1:14" ht="27" x14ac:dyDescent="0.3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 x14ac:dyDescent="0.3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 x14ac:dyDescent="0.3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 x14ac:dyDescent="0.3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 x14ac:dyDescent="0.3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 x14ac:dyDescent="0.3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 x14ac:dyDescent="0.3">
      <c r="B25" s="5" t="s">
        <v>41</v>
      </c>
    </row>
    <row r="27" spans="1:14" x14ac:dyDescent="0.3">
      <c r="A27" s="37">
        <v>46138</v>
      </c>
    </row>
    <row r="28" spans="1:14" ht="27" x14ac:dyDescent="0.3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 x14ac:dyDescent="0.3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 x14ac:dyDescent="0.3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 x14ac:dyDescent="0.3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19">
        <v>24.91</v>
      </c>
      <c r="I31" s="19">
        <v>75.09</v>
      </c>
      <c r="J31" s="17">
        <f>SUM(H31:I31)</f>
        <v>100</v>
      </c>
      <c r="L31" s="17">
        <v>25.6</v>
      </c>
      <c r="M31" s="17">
        <v>74.400000000000006</v>
      </c>
      <c r="N31" s="17">
        <f>SUM(L31:M31)</f>
        <v>100</v>
      </c>
    </row>
    <row r="32" spans="1:14" x14ac:dyDescent="0.3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19">
        <v>49.85</v>
      </c>
      <c r="I32" s="19">
        <v>50.15</v>
      </c>
      <c r="J32" s="17">
        <f t="shared" ref="J32:J33" si="6">SUM(H32:I32)</f>
        <v>100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 x14ac:dyDescent="0.3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19">
        <v>74.959999999999994</v>
      </c>
      <c r="I33" s="19">
        <v>25.04</v>
      </c>
      <c r="J33" s="17">
        <f t="shared" si="6"/>
        <v>100</v>
      </c>
      <c r="L33" s="17">
        <v>74.900000000000006</v>
      </c>
      <c r="M33" s="17">
        <v>25.1</v>
      </c>
      <c r="N33" s="17">
        <f t="shared" si="7"/>
        <v>100</v>
      </c>
    </row>
    <row r="34" spans="1:14" x14ac:dyDescent="0.3">
      <c r="B34" s="5" t="s">
        <v>42</v>
      </c>
    </row>
    <row r="35" spans="1:14" x14ac:dyDescent="0.3">
      <c r="A35" s="13"/>
      <c r="B35" s="13"/>
      <c r="C35" s="13"/>
      <c r="D35" s="13"/>
      <c r="E35" s="15"/>
      <c r="F35" s="15"/>
    </row>
    <row r="36" spans="1:14" x14ac:dyDescent="0.3">
      <c r="A36" s="37">
        <v>46150</v>
      </c>
    </row>
    <row r="37" spans="1:14" ht="27" x14ac:dyDescent="0.3">
      <c r="A37" s="1" t="s">
        <v>0</v>
      </c>
      <c r="B37" s="2" t="s">
        <v>1</v>
      </c>
      <c r="C37" s="3" t="s">
        <v>12</v>
      </c>
      <c r="D37" s="3" t="s">
        <v>21</v>
      </c>
      <c r="E37" s="3" t="s">
        <v>2</v>
      </c>
      <c r="F37" s="4" t="s">
        <v>3</v>
      </c>
      <c r="G37" s="4" t="s">
        <v>3</v>
      </c>
      <c r="H37" s="18"/>
    </row>
    <row r="38" spans="1:14" x14ac:dyDescent="0.3">
      <c r="A38" s="7" t="s">
        <v>7</v>
      </c>
      <c r="B38" s="8" t="s">
        <v>8</v>
      </c>
      <c r="C38" s="16">
        <v>1.042</v>
      </c>
      <c r="D38" s="8"/>
      <c r="E38" s="9">
        <v>15.27</v>
      </c>
      <c r="F38" s="9"/>
      <c r="G38" s="9">
        <v>3.83</v>
      </c>
      <c r="H38" s="19" t="s">
        <v>35</v>
      </c>
      <c r="L38" s="17" t="s">
        <v>23</v>
      </c>
    </row>
    <row r="39" spans="1:14" x14ac:dyDescent="0.3">
      <c r="A39" s="7" t="s">
        <v>49</v>
      </c>
      <c r="B39" s="8" t="s">
        <v>45</v>
      </c>
      <c r="C39" s="16"/>
      <c r="D39" s="8"/>
      <c r="E39" s="9">
        <v>23.38</v>
      </c>
      <c r="F39" s="9"/>
      <c r="G39" s="9">
        <v>5.85</v>
      </c>
      <c r="H39" s="20" t="s">
        <v>13</v>
      </c>
      <c r="I39" s="20" t="s">
        <v>50</v>
      </c>
      <c r="J39" s="17" t="s">
        <v>15</v>
      </c>
      <c r="L39" s="20" t="s">
        <v>13</v>
      </c>
      <c r="M39" s="20" t="s">
        <v>50</v>
      </c>
      <c r="N39" s="17" t="s">
        <v>26</v>
      </c>
    </row>
    <row r="40" spans="1:14" x14ac:dyDescent="0.3">
      <c r="A40" s="7" t="s">
        <v>36</v>
      </c>
      <c r="B40" s="8" t="s">
        <v>46</v>
      </c>
      <c r="C40" s="8"/>
      <c r="D40" s="8"/>
      <c r="E40" s="9">
        <v>21.35</v>
      </c>
      <c r="F40" s="9">
        <v>3.51</v>
      </c>
      <c r="G40" s="9"/>
      <c r="H40" s="19">
        <v>79.819999999999993</v>
      </c>
      <c r="I40" s="19">
        <v>20.170000000000002</v>
      </c>
      <c r="J40" s="17">
        <f>SUM(H40:I40)</f>
        <v>99.99</v>
      </c>
      <c r="L40" s="45">
        <v>51.6</v>
      </c>
      <c r="M40" s="45">
        <v>48.4</v>
      </c>
      <c r="N40" s="17">
        <f>SUM(L40:M40)</f>
        <v>100</v>
      </c>
    </row>
    <row r="41" spans="1:14" x14ac:dyDescent="0.3">
      <c r="A41" s="7" t="s">
        <v>37</v>
      </c>
      <c r="B41" s="8" t="s">
        <v>47</v>
      </c>
      <c r="C41" s="8"/>
      <c r="D41" s="8"/>
      <c r="E41" s="9">
        <v>19.29</v>
      </c>
      <c r="F41" s="9">
        <v>4.38</v>
      </c>
      <c r="G41" s="9"/>
      <c r="H41" s="19">
        <v>62.13</v>
      </c>
      <c r="I41" s="19">
        <v>37.869999999999997</v>
      </c>
      <c r="J41" s="17">
        <f t="shared" ref="J41:J42" si="8">SUM(H41:I41)</f>
        <v>100</v>
      </c>
      <c r="L41" s="45">
        <v>59.4</v>
      </c>
      <c r="M41" s="45">
        <v>40.6</v>
      </c>
      <c r="N41" s="17">
        <f t="shared" ref="N41:N42" si="9">SUM(L41:M41)</f>
        <v>100</v>
      </c>
    </row>
    <row r="42" spans="1:14" x14ac:dyDescent="0.3">
      <c r="A42" s="10" t="s">
        <v>39</v>
      </c>
      <c r="B42" s="11" t="s">
        <v>48</v>
      </c>
      <c r="C42" s="11"/>
      <c r="D42" s="11"/>
      <c r="E42" s="12">
        <v>17.36</v>
      </c>
      <c r="F42" s="12">
        <v>4.3600000000000003</v>
      </c>
      <c r="G42" s="12"/>
      <c r="H42" s="19">
        <v>73.03</v>
      </c>
      <c r="I42" s="19">
        <v>26.96</v>
      </c>
      <c r="J42" s="17">
        <f t="shared" si="8"/>
        <v>99.990000000000009</v>
      </c>
      <c r="L42" s="45">
        <v>72.400000000000006</v>
      </c>
      <c r="M42" s="45">
        <v>27.6</v>
      </c>
      <c r="N42" s="17">
        <f t="shared" si="9"/>
        <v>100</v>
      </c>
    </row>
    <row r="44" spans="1:14" x14ac:dyDescent="0.3">
      <c r="A44" s="37" t="s">
        <v>51</v>
      </c>
    </row>
    <row r="45" spans="1:14" ht="27" x14ac:dyDescent="0.3">
      <c r="A45" s="1" t="s">
        <v>0</v>
      </c>
      <c r="B45" s="2" t="s">
        <v>1</v>
      </c>
      <c r="C45" s="3" t="s">
        <v>12</v>
      </c>
      <c r="D45" s="3" t="s">
        <v>21</v>
      </c>
      <c r="E45" s="3" t="s">
        <v>2</v>
      </c>
      <c r="F45" s="4" t="s">
        <v>3</v>
      </c>
      <c r="G45" s="4" t="s">
        <v>3</v>
      </c>
      <c r="H45" s="18"/>
    </row>
    <row r="46" spans="1:14" x14ac:dyDescent="0.3">
      <c r="A46" s="7" t="s">
        <v>7</v>
      </c>
      <c r="B46" s="8" t="s">
        <v>8</v>
      </c>
      <c r="C46" s="16">
        <v>1.042</v>
      </c>
      <c r="D46" s="8"/>
      <c r="E46" s="9">
        <v>15.27</v>
      </c>
      <c r="F46" s="9"/>
      <c r="G46" s="9">
        <v>3.83</v>
      </c>
      <c r="H46" s="19" t="s">
        <v>35</v>
      </c>
      <c r="L46" s="17" t="s">
        <v>23</v>
      </c>
    </row>
    <row r="47" spans="1:14" x14ac:dyDescent="0.3">
      <c r="A47" s="7" t="s">
        <v>49</v>
      </c>
      <c r="B47" s="8" t="s">
        <v>45</v>
      </c>
      <c r="C47" s="16"/>
      <c r="D47" s="8"/>
      <c r="E47" s="9">
        <v>23.38</v>
      </c>
      <c r="F47" s="9"/>
      <c r="G47" s="9">
        <v>5.85</v>
      </c>
      <c r="H47" s="20" t="s">
        <v>13</v>
      </c>
      <c r="I47" s="20" t="s">
        <v>50</v>
      </c>
      <c r="J47" s="17" t="s">
        <v>15</v>
      </c>
      <c r="L47" s="20" t="s">
        <v>13</v>
      </c>
      <c r="M47" s="20" t="s">
        <v>50</v>
      </c>
      <c r="N47" s="17" t="s">
        <v>26</v>
      </c>
    </row>
    <row r="48" spans="1:14" x14ac:dyDescent="0.3">
      <c r="A48" s="7" t="s">
        <v>36</v>
      </c>
      <c r="B48" s="8" t="s">
        <v>46</v>
      </c>
      <c r="C48" s="8"/>
      <c r="D48" s="8"/>
      <c r="E48" s="9">
        <v>21.35</v>
      </c>
      <c r="F48" s="39">
        <v>5.3</v>
      </c>
      <c r="G48" s="9"/>
      <c r="H48" s="19">
        <v>27.42</v>
      </c>
      <c r="I48" s="19">
        <v>72.58</v>
      </c>
      <c r="J48" s="17">
        <f>SUM(H48:I48)</f>
        <v>100</v>
      </c>
      <c r="L48" s="45">
        <v>29.4</v>
      </c>
      <c r="M48" s="45">
        <v>70.599999999999994</v>
      </c>
      <c r="N48" s="17">
        <f>SUM(L48:M48)</f>
        <v>100</v>
      </c>
    </row>
    <row r="49" spans="1:25" x14ac:dyDescent="0.3">
      <c r="A49" s="7" t="s">
        <v>37</v>
      </c>
      <c r="B49" s="8" t="s">
        <v>47</v>
      </c>
      <c r="C49" s="8"/>
      <c r="D49" s="8"/>
      <c r="E49" s="9">
        <v>19.29</v>
      </c>
      <c r="F49" s="9">
        <v>4.38</v>
      </c>
      <c r="G49" s="9"/>
      <c r="H49" s="19">
        <v>62.12</v>
      </c>
      <c r="I49" s="19">
        <v>37.869999999999997</v>
      </c>
      <c r="J49" s="17">
        <f t="shared" ref="J49:J50" si="10">SUM(H49:I49)</f>
        <v>99.99</v>
      </c>
      <c r="L49" s="45">
        <v>59.9</v>
      </c>
      <c r="M49" s="45">
        <v>40.1</v>
      </c>
      <c r="N49" s="17">
        <f t="shared" ref="N49:N50" si="11">SUM(L49:M49)</f>
        <v>100</v>
      </c>
    </row>
    <row r="50" spans="1:25" x14ac:dyDescent="0.3">
      <c r="A50" s="10" t="s">
        <v>39</v>
      </c>
      <c r="B50" s="11" t="s">
        <v>48</v>
      </c>
      <c r="C50" s="11"/>
      <c r="D50" s="11"/>
      <c r="E50" s="12">
        <v>17.36</v>
      </c>
      <c r="F50" s="12">
        <v>4.3600000000000003</v>
      </c>
      <c r="G50" s="12"/>
      <c r="H50" s="19">
        <v>73.010000000000005</v>
      </c>
      <c r="I50" s="19">
        <v>26.99</v>
      </c>
      <c r="J50" s="17">
        <f t="shared" si="10"/>
        <v>100</v>
      </c>
      <c r="L50" s="45">
        <v>72.7</v>
      </c>
      <c r="M50" s="45">
        <v>27.3</v>
      </c>
      <c r="N50" s="17">
        <f t="shared" si="11"/>
        <v>100</v>
      </c>
    </row>
    <row r="53" spans="1:25" x14ac:dyDescent="0.3">
      <c r="A53" s="64">
        <v>46234</v>
      </c>
      <c r="B53" s="13"/>
      <c r="C53" s="13"/>
      <c r="D53" s="13"/>
      <c r="E53" s="15"/>
      <c r="F53" s="15"/>
    </row>
    <row r="54" spans="1:25" ht="27" x14ac:dyDescent="0.3">
      <c r="A54" s="1" t="s">
        <v>0</v>
      </c>
      <c r="B54" s="2" t="s">
        <v>1</v>
      </c>
      <c r="C54" s="3" t="s">
        <v>12</v>
      </c>
      <c r="D54" s="3" t="s">
        <v>21</v>
      </c>
      <c r="E54" s="3" t="s">
        <v>2</v>
      </c>
      <c r="F54" s="4" t="s">
        <v>3</v>
      </c>
      <c r="G54" s="4" t="s">
        <v>3</v>
      </c>
      <c r="Q54" s="42" t="s">
        <v>60</v>
      </c>
    </row>
    <row r="55" spans="1:25" x14ac:dyDescent="0.3">
      <c r="A55" s="7" t="s">
        <v>7</v>
      </c>
      <c r="B55" s="8" t="s">
        <v>8</v>
      </c>
      <c r="C55" s="41">
        <v>1.8580000000000001</v>
      </c>
      <c r="D55" s="8"/>
      <c r="E55" s="9">
        <v>13.83</v>
      </c>
      <c r="F55" s="9"/>
      <c r="G55" s="9">
        <v>0.21</v>
      </c>
      <c r="H55" s="19" t="s">
        <v>61</v>
      </c>
      <c r="L55" s="17" t="s">
        <v>23</v>
      </c>
      <c r="Q55" s="43">
        <v>0.25</v>
      </c>
    </row>
    <row r="56" spans="1:25" x14ac:dyDescent="0.3">
      <c r="A56" s="7" t="s">
        <v>24</v>
      </c>
      <c r="B56" s="8" t="s">
        <v>25</v>
      </c>
      <c r="C56" s="41">
        <v>0.65600000000000003</v>
      </c>
      <c r="D56" s="8">
        <v>46</v>
      </c>
      <c r="E56" s="9">
        <v>-25.65</v>
      </c>
      <c r="F56" s="9"/>
      <c r="G56" s="9">
        <v>14.8</v>
      </c>
      <c r="H56" s="20" t="s">
        <v>13</v>
      </c>
      <c r="I56" s="20" t="s">
        <v>14</v>
      </c>
      <c r="J56" s="17" t="s">
        <v>15</v>
      </c>
      <c r="L56" s="20" t="s">
        <v>13</v>
      </c>
      <c r="M56" s="20" t="s">
        <v>14</v>
      </c>
      <c r="N56" s="17" t="s">
        <v>26</v>
      </c>
      <c r="Q56" s="43">
        <v>0.5</v>
      </c>
    </row>
    <row r="57" spans="1:25" x14ac:dyDescent="0.3">
      <c r="A57" s="7" t="s">
        <v>57</v>
      </c>
      <c r="B57" s="8" t="s">
        <v>56</v>
      </c>
      <c r="C57" s="41"/>
      <c r="D57" s="8"/>
      <c r="E57" s="9">
        <v>-4.95</v>
      </c>
      <c r="F57" s="9">
        <v>8.1999999999999993</v>
      </c>
      <c r="G57" s="9"/>
      <c r="H57" s="19">
        <v>51.23</v>
      </c>
      <c r="I57" s="19">
        <v>48.77</v>
      </c>
      <c r="J57" s="17">
        <f>SUM(H57:I57)</f>
        <v>100</v>
      </c>
      <c r="L57" s="45">
        <v>50.5</v>
      </c>
      <c r="M57" s="45">
        <v>49.5</v>
      </c>
      <c r="N57" s="17">
        <f>SUM(L57:M57)</f>
        <v>100</v>
      </c>
      <c r="Q57" s="44">
        <v>0.75</v>
      </c>
    </row>
    <row r="58" spans="1:25" x14ac:dyDescent="0.3">
      <c r="A58" s="7" t="s">
        <v>58</v>
      </c>
      <c r="B58" s="8" t="s">
        <v>38</v>
      </c>
      <c r="C58" s="41"/>
      <c r="D58" s="8"/>
      <c r="E58" s="9">
        <v>4.3</v>
      </c>
      <c r="F58" s="9">
        <v>4.3</v>
      </c>
      <c r="G58" s="9"/>
      <c r="H58" s="19">
        <v>74.84</v>
      </c>
      <c r="I58" s="19">
        <v>25.16</v>
      </c>
      <c r="J58" s="17">
        <f t="shared" ref="J58:J59" si="12">SUM(H58:I58)</f>
        <v>100</v>
      </c>
      <c r="L58" s="45">
        <v>74.3</v>
      </c>
      <c r="M58" s="45">
        <v>25.7</v>
      </c>
      <c r="N58" s="17">
        <f t="shared" ref="N58:N59" si="13">SUM(L58:M58)</f>
        <v>100</v>
      </c>
      <c r="S58" s="19" t="s">
        <v>61</v>
      </c>
      <c r="T58" s="17"/>
      <c r="U58" s="17"/>
      <c r="V58" s="17"/>
      <c r="W58" s="17" t="s">
        <v>23</v>
      </c>
      <c r="X58" s="17"/>
      <c r="Y58" s="17"/>
    </row>
    <row r="59" spans="1:25" x14ac:dyDescent="0.3">
      <c r="A59" s="7" t="s">
        <v>59</v>
      </c>
      <c r="B59" s="8" t="s">
        <v>40</v>
      </c>
      <c r="C59" s="8"/>
      <c r="D59" s="8"/>
      <c r="E59" s="9">
        <v>9.89</v>
      </c>
      <c r="F59" s="9">
        <v>1.96</v>
      </c>
      <c r="G59" s="9"/>
      <c r="H59" s="19">
        <v>88.67</v>
      </c>
      <c r="I59" s="19">
        <v>11.33</v>
      </c>
      <c r="J59" s="17">
        <f t="shared" si="12"/>
        <v>100</v>
      </c>
      <c r="L59" s="45">
        <v>88.9</v>
      </c>
      <c r="M59" s="45">
        <v>11.1</v>
      </c>
      <c r="N59" s="17">
        <f t="shared" si="13"/>
        <v>100</v>
      </c>
      <c r="P59" s="2" t="s">
        <v>63</v>
      </c>
      <c r="Q59" s="2" t="s">
        <v>54</v>
      </c>
      <c r="R59" s="3" t="s">
        <v>55</v>
      </c>
      <c r="S59" s="20" t="s">
        <v>13</v>
      </c>
      <c r="T59" s="20" t="s">
        <v>14</v>
      </c>
      <c r="U59" s="17" t="s">
        <v>15</v>
      </c>
      <c r="V59" s="17"/>
      <c r="W59" s="20" t="s">
        <v>13</v>
      </c>
      <c r="X59" s="20" t="s">
        <v>14</v>
      </c>
      <c r="Y59" s="17" t="s">
        <v>26</v>
      </c>
    </row>
    <row r="60" spans="1:25" x14ac:dyDescent="0.3">
      <c r="A60" s="7"/>
      <c r="B60" s="8"/>
      <c r="C60" s="8"/>
      <c r="D60" s="8"/>
      <c r="E60" s="9"/>
      <c r="F60" s="9"/>
      <c r="G60" s="9"/>
      <c r="P60" s="7" t="s">
        <v>56</v>
      </c>
      <c r="Q60" s="16">
        <f>((Q55*$C$55*$E$55)+(Q57*$C$56*$E$56))/((Q55*$C$55)+(Q57*$C$56))</f>
        <v>-6.4775378985886043</v>
      </c>
      <c r="R60" s="16">
        <f>((Q55*$C$55*$G$55)+(Q57*$C$56*$G$56))/((Q55*$C$55)+(Q57*$C$56))</f>
        <v>7.7147360167276533</v>
      </c>
      <c r="S60" s="19">
        <v>48.57</v>
      </c>
      <c r="T60" s="19">
        <v>51.43</v>
      </c>
      <c r="U60" s="17">
        <f>SUM(S60:T60)</f>
        <v>100</v>
      </c>
      <c r="V60" s="17"/>
      <c r="W60" s="45">
        <v>49</v>
      </c>
      <c r="X60" s="45">
        <v>51</v>
      </c>
      <c r="Y60" s="17">
        <f>SUM(W60:X60)</f>
        <v>100</v>
      </c>
    </row>
    <row r="61" spans="1:25" x14ac:dyDescent="0.3">
      <c r="A61" s="10"/>
      <c r="B61" s="11"/>
      <c r="C61" s="11"/>
      <c r="D61" s="11"/>
      <c r="E61" s="12"/>
      <c r="F61" s="12"/>
      <c r="G61" s="12"/>
      <c r="P61" s="7" t="s">
        <v>38</v>
      </c>
      <c r="Q61" s="16">
        <f>((Q56*$C$55*$E$55)+(Q56*$C$56*$E$56))/((Q56*$C$55)+(Q56*$C$56))</f>
        <v>3.5281384248210022</v>
      </c>
      <c r="R61" s="16">
        <f>((Q56*$C$55*$G$55)+(Q56*$C$56*$G$56))/((Q56*$C$55)+(Q56*$C$56))</f>
        <v>4.0170962609387431</v>
      </c>
      <c r="S61" s="19">
        <v>73.900000000000006</v>
      </c>
      <c r="T61" s="19">
        <v>26.1</v>
      </c>
      <c r="U61" s="17">
        <f t="shared" ref="U61:U62" si="14">SUM(S61:T61)</f>
        <v>100</v>
      </c>
      <c r="V61" s="17"/>
      <c r="W61" s="45">
        <v>73.8</v>
      </c>
      <c r="X61" s="45">
        <v>26.2</v>
      </c>
      <c r="Y61" s="17">
        <f t="shared" ref="Y61:Y62" si="15">SUM(W61:X61)</f>
        <v>100</v>
      </c>
    </row>
    <row r="62" spans="1:25" x14ac:dyDescent="0.3">
      <c r="P62" s="7" t="s">
        <v>40</v>
      </c>
      <c r="Q62" s="16">
        <f>((Q57*$C$55*$E$55)+(Q55*$C$56*$E$56))/((Q57*$C$55)+(Q55*$C$56))</f>
        <v>9.6728764044943834</v>
      </c>
      <c r="R62" s="16">
        <f>((Q57*$C$55*$G$55)+(Q55*$C$56*$G$56))/((Q57*$C$55)+(Q55*$C$56))</f>
        <v>1.7462825040128411</v>
      </c>
      <c r="S62" s="19">
        <v>89.47</v>
      </c>
      <c r="T62" s="19">
        <v>10.53</v>
      </c>
      <c r="U62" s="17">
        <f t="shared" si="14"/>
        <v>100</v>
      </c>
      <c r="V62" s="17"/>
      <c r="W62" s="45">
        <v>89.3</v>
      </c>
      <c r="X62" s="45">
        <v>10.7</v>
      </c>
      <c r="Y62" s="17">
        <f t="shared" si="15"/>
        <v>100</v>
      </c>
    </row>
    <row r="63" spans="1:25" x14ac:dyDescent="0.3">
      <c r="A63" s="47" t="s">
        <v>64</v>
      </c>
      <c r="S63" s="19"/>
      <c r="T63" s="19"/>
      <c r="U63" s="17"/>
      <c r="V63" s="17"/>
      <c r="W63" s="17"/>
      <c r="X63" s="17"/>
      <c r="Y63" s="17"/>
    </row>
    <row r="64" spans="1:25" x14ac:dyDescent="0.3">
      <c r="P64" s="1" t="s">
        <v>62</v>
      </c>
      <c r="Q64" s="2" t="s">
        <v>54</v>
      </c>
      <c r="R64" s="3" t="s">
        <v>55</v>
      </c>
      <c r="S64" s="1" t="s">
        <v>179</v>
      </c>
      <c r="T64" s="2" t="s">
        <v>180</v>
      </c>
      <c r="U64" s="4" t="s">
        <v>181</v>
      </c>
    </row>
    <row r="65" spans="1:21" x14ac:dyDescent="0.3">
      <c r="A65" s="37">
        <v>46135</v>
      </c>
      <c r="B65" s="13"/>
      <c r="C65" s="13"/>
      <c r="D65" s="13"/>
      <c r="E65" s="15"/>
      <c r="F65" s="15"/>
      <c r="P65" s="7" t="s">
        <v>56</v>
      </c>
      <c r="Q65" s="16">
        <f t="shared" ref="Q65:R67" si="16">E57/Q60</f>
        <v>0.76417924178854435</v>
      </c>
      <c r="R65" s="16">
        <f t="shared" si="16"/>
        <v>1.0629009187378753</v>
      </c>
      <c r="S65" s="7" t="s">
        <v>56</v>
      </c>
      <c r="T65" s="16">
        <v>48.562467328802924</v>
      </c>
      <c r="U65" s="16">
        <v>51.437532671197076</v>
      </c>
    </row>
    <row r="66" spans="1:21" ht="27" x14ac:dyDescent="0.3">
      <c r="A66" s="1" t="s">
        <v>0</v>
      </c>
      <c r="B66" s="2" t="s">
        <v>1</v>
      </c>
      <c r="C66" s="3" t="s">
        <v>12</v>
      </c>
      <c r="D66" s="3" t="s">
        <v>21</v>
      </c>
      <c r="E66" s="3" t="s">
        <v>2</v>
      </c>
      <c r="F66" s="4" t="s">
        <v>3</v>
      </c>
      <c r="G66" s="4" t="s">
        <v>3</v>
      </c>
      <c r="P66" s="7" t="s">
        <v>38</v>
      </c>
      <c r="Q66" s="16">
        <f t="shared" si="16"/>
        <v>1.2187730418253524</v>
      </c>
      <c r="R66" s="16">
        <f t="shared" si="16"/>
        <v>1.0704249340032359</v>
      </c>
      <c r="S66" s="7" t="s">
        <v>38</v>
      </c>
      <c r="T66" s="16">
        <v>73.906125696101839</v>
      </c>
      <c r="U66" s="16">
        <v>26.093874303898161</v>
      </c>
    </row>
    <row r="67" spans="1:21" x14ac:dyDescent="0.3">
      <c r="A67" s="7" t="s">
        <v>7</v>
      </c>
      <c r="B67" s="8" t="s">
        <v>8</v>
      </c>
      <c r="C67" s="46">
        <v>1.042</v>
      </c>
      <c r="D67" s="8"/>
      <c r="E67" s="39">
        <v>15.17</v>
      </c>
      <c r="F67" s="9"/>
      <c r="G67" s="39">
        <v>-3.82</v>
      </c>
      <c r="P67" s="7" t="s">
        <v>40</v>
      </c>
      <c r="Q67" s="16">
        <f t="shared" si="16"/>
        <v>1.0224466421802654</v>
      </c>
      <c r="R67" s="16">
        <f t="shared" si="16"/>
        <v>1.1223842622806162</v>
      </c>
      <c r="S67" s="7" t="s">
        <v>40</v>
      </c>
      <c r="T67" s="62">
        <v>89.470304975922957</v>
      </c>
      <c r="U67" s="62">
        <v>10.529695024077043</v>
      </c>
    </row>
    <row r="68" spans="1:21" x14ac:dyDescent="0.3">
      <c r="A68" s="7" t="s">
        <v>24</v>
      </c>
      <c r="B68" s="8" t="s">
        <v>25</v>
      </c>
      <c r="C68" s="41">
        <v>0.65600000000000003</v>
      </c>
      <c r="D68" s="8">
        <v>46</v>
      </c>
      <c r="E68" s="9">
        <v>-24.85</v>
      </c>
      <c r="F68" s="9"/>
      <c r="G68" s="9">
        <v>15.43</v>
      </c>
    </row>
    <row r="69" spans="1:21" x14ac:dyDescent="0.3">
      <c r="A69" s="7" t="s">
        <v>27</v>
      </c>
      <c r="B69" s="8" t="s">
        <v>28</v>
      </c>
      <c r="C69" s="8"/>
      <c r="D69" s="8"/>
      <c r="E69" s="9">
        <v>-3.54</v>
      </c>
      <c r="F69" s="9">
        <v>6.94</v>
      </c>
      <c r="G69" s="9"/>
    </row>
    <row r="70" spans="1:21" x14ac:dyDescent="0.3">
      <c r="A70" s="7" t="s">
        <v>29</v>
      </c>
      <c r="B70" s="8" t="s">
        <v>30</v>
      </c>
      <c r="C70" s="8"/>
      <c r="D70" s="8"/>
      <c r="E70" s="9">
        <v>4.75</v>
      </c>
      <c r="F70" s="9">
        <v>1.87</v>
      </c>
      <c r="G70" s="9"/>
    </row>
    <row r="71" spans="1:21" x14ac:dyDescent="0.3">
      <c r="A71" s="10" t="s">
        <v>31</v>
      </c>
      <c r="B71" s="11" t="s">
        <v>32</v>
      </c>
      <c r="C71" s="11"/>
      <c r="D71" s="11"/>
      <c r="E71" s="12">
        <v>11.43</v>
      </c>
      <c r="F71" s="12">
        <v>-2.67</v>
      </c>
      <c r="G71" s="12"/>
    </row>
    <row r="73" spans="1:21" x14ac:dyDescent="0.3">
      <c r="A73" s="48" t="s">
        <v>65</v>
      </c>
      <c r="B73" s="48"/>
      <c r="C73" s="48"/>
      <c r="D73" s="48"/>
    </row>
    <row r="74" spans="1:21" x14ac:dyDescent="0.3">
      <c r="A74" s="48" t="s">
        <v>66</v>
      </c>
      <c r="B74" s="48"/>
      <c r="C74" s="48"/>
      <c r="D74" s="48"/>
    </row>
    <row r="75" spans="1:21" x14ac:dyDescent="0.3">
      <c r="A75" s="48"/>
      <c r="B75" s="48"/>
      <c r="C75" s="48"/>
      <c r="D75" s="48"/>
    </row>
    <row r="76" spans="1:21" x14ac:dyDescent="0.3">
      <c r="A76" s="48" t="s">
        <v>80</v>
      </c>
      <c r="B76" s="48"/>
      <c r="C76" s="48"/>
      <c r="D76" s="48"/>
    </row>
    <row r="77" spans="1:21" x14ac:dyDescent="0.3">
      <c r="A77" s="75" t="s">
        <v>67</v>
      </c>
      <c r="B77" s="49" t="s">
        <v>71</v>
      </c>
      <c r="C77" s="49" t="s">
        <v>70</v>
      </c>
      <c r="D77" s="49" t="s">
        <v>73</v>
      </c>
    </row>
    <row r="78" spans="1:21" x14ac:dyDescent="0.3">
      <c r="A78" s="76"/>
      <c r="B78" s="49" t="s">
        <v>68</v>
      </c>
      <c r="C78" s="49" t="s">
        <v>72</v>
      </c>
      <c r="D78" s="49"/>
    </row>
    <row r="79" spans="1:21" x14ac:dyDescent="0.3">
      <c r="A79" s="77"/>
      <c r="B79" s="49" t="s">
        <v>69</v>
      </c>
      <c r="C79" s="49"/>
      <c r="D79" s="49"/>
    </row>
    <row r="80" spans="1:21" x14ac:dyDescent="0.3">
      <c r="A80" s="48"/>
      <c r="B80" s="48"/>
      <c r="C80" s="48"/>
      <c r="D80" s="48"/>
    </row>
    <row r="81" spans="1:26" x14ac:dyDescent="0.3">
      <c r="A81" s="75" t="s">
        <v>74</v>
      </c>
      <c r="B81" s="49" t="s">
        <v>75</v>
      </c>
      <c r="C81" s="49" t="s">
        <v>77</v>
      </c>
      <c r="D81" s="48"/>
    </row>
    <row r="82" spans="1:26" x14ac:dyDescent="0.3">
      <c r="A82" s="77"/>
      <c r="B82" s="49" t="s">
        <v>76</v>
      </c>
      <c r="C82" s="49"/>
      <c r="D82" s="48"/>
    </row>
    <row r="83" spans="1:26" x14ac:dyDescent="0.3">
      <c r="A83" s="48"/>
      <c r="B83" s="48"/>
      <c r="C83" s="48"/>
      <c r="D83" s="48"/>
    </row>
    <row r="84" spans="1:26" x14ac:dyDescent="0.3">
      <c r="A84" s="50" t="s">
        <v>78</v>
      </c>
      <c r="B84" s="49" t="s">
        <v>79</v>
      </c>
      <c r="C84" s="49"/>
      <c r="D84" s="48"/>
    </row>
    <row r="86" spans="1:26" x14ac:dyDescent="0.3">
      <c r="P86" s="42" t="s">
        <v>60</v>
      </c>
      <c r="Q86" s="43">
        <v>0.25</v>
      </c>
      <c r="R86" s="43">
        <v>0.5</v>
      </c>
      <c r="S86" s="44">
        <v>0.75</v>
      </c>
    </row>
    <row r="87" spans="1:26" x14ac:dyDescent="0.3">
      <c r="A87" s="65" t="s">
        <v>182</v>
      </c>
      <c r="B87" s="65"/>
    </row>
    <row r="88" spans="1:26" x14ac:dyDescent="0.3">
      <c r="A88" s="5" t="s">
        <v>94</v>
      </c>
    </row>
    <row r="89" spans="1:26" ht="27" x14ac:dyDescent="0.3">
      <c r="A89" s="1" t="s">
        <v>0</v>
      </c>
      <c r="B89" s="2" t="s">
        <v>1</v>
      </c>
      <c r="C89" s="3" t="s">
        <v>12</v>
      </c>
      <c r="D89" s="3"/>
      <c r="E89" s="3" t="s">
        <v>2</v>
      </c>
      <c r="F89" s="4" t="s">
        <v>3</v>
      </c>
      <c r="G89" s="4" t="s">
        <v>3</v>
      </c>
    </row>
    <row r="90" spans="1:26" x14ac:dyDescent="0.3">
      <c r="A90" s="7"/>
      <c r="B90" s="8" t="s">
        <v>162</v>
      </c>
      <c r="C90" s="41">
        <v>1.8580000000000001</v>
      </c>
      <c r="D90" s="8"/>
      <c r="E90" s="9">
        <v>11.82</v>
      </c>
      <c r="F90" s="9">
        <v>2.0699999999999998</v>
      </c>
      <c r="G90" s="9"/>
      <c r="H90" s="19" t="s">
        <v>61</v>
      </c>
      <c r="L90" s="17" t="s">
        <v>23</v>
      </c>
      <c r="P90" s="1" t="s">
        <v>63</v>
      </c>
      <c r="Q90" s="2" t="s">
        <v>54</v>
      </c>
      <c r="R90" s="4" t="s">
        <v>55</v>
      </c>
      <c r="T90" s="1" t="s">
        <v>202</v>
      </c>
      <c r="U90" s="2" t="s">
        <v>54</v>
      </c>
      <c r="V90" s="4" t="s">
        <v>55</v>
      </c>
      <c r="X90" s="1" t="s">
        <v>179</v>
      </c>
      <c r="Y90" s="2" t="s">
        <v>180</v>
      </c>
      <c r="Z90" s="4" t="s">
        <v>181</v>
      </c>
    </row>
    <row r="91" spans="1:26" x14ac:dyDescent="0.3">
      <c r="A91" s="7"/>
      <c r="B91" s="8" t="s">
        <v>163</v>
      </c>
      <c r="C91" s="41">
        <v>14.167999999999999</v>
      </c>
      <c r="D91" s="8"/>
      <c r="E91" s="9">
        <v>23.28</v>
      </c>
      <c r="F91" s="9">
        <v>4.47</v>
      </c>
      <c r="G91" s="9"/>
      <c r="H91" s="20" t="s">
        <v>13</v>
      </c>
      <c r="I91" s="20" t="s">
        <v>50</v>
      </c>
      <c r="J91" s="17" t="s">
        <v>15</v>
      </c>
      <c r="L91" s="20" t="s">
        <v>13</v>
      </c>
      <c r="M91" s="20" t="s">
        <v>50</v>
      </c>
      <c r="N91" s="17" t="s">
        <v>26</v>
      </c>
      <c r="P91" s="7" t="s">
        <v>46</v>
      </c>
      <c r="Q91" s="16">
        <f>(($Q$86*C90*E90)+($S$86*C91*E91))/(($Q$86*C90)+($S$86*C91))</f>
        <v>22.800024345160274</v>
      </c>
      <c r="R91" s="16">
        <f>(($Q$86*C90*F90)+($S$86*C91*F91))/(($Q$86*C90)+($S$86*C91))</f>
        <v>4.36948153825346</v>
      </c>
      <c r="T91" s="7" t="s">
        <v>46</v>
      </c>
      <c r="U91" s="16">
        <f>Q91/E92</f>
        <v>1.0057355247093194</v>
      </c>
      <c r="V91" s="16">
        <f>R91/F92</f>
        <v>0.91989085015862315</v>
      </c>
      <c r="X91" s="7" t="str">
        <f>B92</f>
        <v>하수25 : 퇴비 75</v>
      </c>
      <c r="Y91" s="16">
        <f>(($Q$86*C90)/(($Q$86*C90)+($S$86*C91)))*100</f>
        <v>4.1882692394391601</v>
      </c>
      <c r="Z91" s="16">
        <f>100-Y91</f>
        <v>95.811730760560835</v>
      </c>
    </row>
    <row r="92" spans="1:26" x14ac:dyDescent="0.3">
      <c r="A92" s="7"/>
      <c r="B92" s="8" t="s">
        <v>46</v>
      </c>
      <c r="C92" s="41"/>
      <c r="D92" s="8"/>
      <c r="E92" s="9">
        <v>22.67</v>
      </c>
      <c r="F92" s="9">
        <v>4.75</v>
      </c>
      <c r="G92" s="9"/>
      <c r="H92" s="63">
        <v>0.11</v>
      </c>
      <c r="I92" s="63">
        <v>99.89</v>
      </c>
      <c r="J92" s="17">
        <f>SUM(H92:I92)</f>
        <v>100</v>
      </c>
      <c r="L92" s="66">
        <v>8.3000000000000007</v>
      </c>
      <c r="M92" s="66">
        <v>91.7</v>
      </c>
      <c r="N92" s="17">
        <f>SUM(L92:M92)</f>
        <v>100</v>
      </c>
      <c r="P92" s="7" t="s">
        <v>47</v>
      </c>
      <c r="Q92" s="16">
        <f>(($R$86*C90*E90)+($R$86*C91*E91))/(($R$86*C90)+($R$86*C91))</f>
        <v>21.951366529389741</v>
      </c>
      <c r="R92" s="16">
        <f>(($R$86*C90*F90)+($R$86*C91*F91))/(($R$86*C90)+($R$86*C91))</f>
        <v>4.1917521527517776</v>
      </c>
      <c r="T92" s="7" t="s">
        <v>47</v>
      </c>
      <c r="U92" s="16">
        <f t="shared" ref="U92:U93" si="17">Q92/E93</f>
        <v>1.0167376808425077</v>
      </c>
      <c r="V92" s="16">
        <f t="shared" ref="V92:V93" si="18">R92/F93</f>
        <v>0.97256430458277909</v>
      </c>
      <c r="X92" s="7" t="str">
        <f>B93</f>
        <v>하수50 : 퇴비 50</v>
      </c>
      <c r="Y92" s="16">
        <f>(($R$86*C90)/(($R$86*C90)+($R$86*C91)))*100</f>
        <v>11.593660302009235</v>
      </c>
      <c r="Z92" s="16">
        <f t="shared" ref="Z92:Z93" si="19">100-Y92</f>
        <v>88.406339697990759</v>
      </c>
    </row>
    <row r="93" spans="1:26" x14ac:dyDescent="0.3">
      <c r="A93" s="7"/>
      <c r="B93" s="8" t="s">
        <v>47</v>
      </c>
      <c r="C93" s="41"/>
      <c r="D93" s="8"/>
      <c r="E93" s="9">
        <v>21.59</v>
      </c>
      <c r="F93" s="9">
        <v>4.3099999999999996</v>
      </c>
      <c r="G93" s="9"/>
      <c r="H93" s="63">
        <v>10.7</v>
      </c>
      <c r="I93" s="63">
        <v>89.29</v>
      </c>
      <c r="J93" s="17">
        <f t="shared" ref="J93:J94" si="20">SUM(H93:I93)</f>
        <v>99.990000000000009</v>
      </c>
      <c r="L93" s="66">
        <v>9.6</v>
      </c>
      <c r="M93" s="66">
        <v>90.4</v>
      </c>
      <c r="N93" s="17">
        <f t="shared" ref="N93:N94" si="21">SUM(L93:M93)</f>
        <v>100</v>
      </c>
      <c r="P93" s="10" t="s">
        <v>48</v>
      </c>
      <c r="Q93" s="62">
        <f>(($S$86*C90*E90)+($Q$86*C91*E91))/(($S$86*C90)+($Q$86*C91))</f>
        <v>20.044358221051567</v>
      </c>
      <c r="R93" s="62">
        <f>(($S$86*C90*F90)+($Q$86*C91*F91))/(($S$86*C90)+($Q$86*C91))</f>
        <v>3.7923786850369767</v>
      </c>
      <c r="T93" s="10" t="s">
        <v>48</v>
      </c>
      <c r="U93" s="62">
        <f t="shared" si="17"/>
        <v>1.0326820309660776</v>
      </c>
      <c r="V93" s="62">
        <f t="shared" si="18"/>
        <v>0.8427508188971059</v>
      </c>
      <c r="X93" s="7" t="str">
        <f>B94</f>
        <v>하수75 : 퇴비 25</v>
      </c>
      <c r="Y93" s="62">
        <f>(($S$86*C90)/(($S$86*C90)+($Q$86*C91)))*100</f>
        <v>28.234221456792628</v>
      </c>
      <c r="Z93" s="62">
        <f t="shared" si="19"/>
        <v>71.765778543207375</v>
      </c>
    </row>
    <row r="94" spans="1:26" x14ac:dyDescent="0.3">
      <c r="A94" s="10"/>
      <c r="B94" s="11" t="s">
        <v>48</v>
      </c>
      <c r="C94" s="11"/>
      <c r="D94" s="11"/>
      <c r="E94" s="12">
        <v>19.41</v>
      </c>
      <c r="F94" s="12">
        <v>4.5</v>
      </c>
      <c r="G94" s="12"/>
      <c r="H94" s="63">
        <v>17.16</v>
      </c>
      <c r="I94" s="63">
        <v>82.84</v>
      </c>
      <c r="J94" s="17">
        <f t="shared" si="20"/>
        <v>100</v>
      </c>
      <c r="L94" s="66">
        <v>17.8</v>
      </c>
      <c r="M94" s="66">
        <v>82.2</v>
      </c>
      <c r="N94" s="17">
        <f t="shared" si="21"/>
        <v>100</v>
      </c>
    </row>
    <row r="95" spans="1:26" x14ac:dyDescent="0.3">
      <c r="A95" s="13"/>
      <c r="B95" s="13"/>
      <c r="C95" s="13"/>
      <c r="D95" s="13"/>
      <c r="E95" s="14"/>
      <c r="F95" s="14"/>
      <c r="G95" s="14"/>
    </row>
    <row r="96" spans="1:26" x14ac:dyDescent="0.3">
      <c r="A96" s="13" t="s">
        <v>91</v>
      </c>
      <c r="B96" s="13"/>
      <c r="C96" s="13"/>
      <c r="D96" s="13"/>
      <c r="E96" s="14"/>
      <c r="F96" s="14"/>
      <c r="G96" s="14"/>
    </row>
    <row r="97" spans="1:26" ht="27" x14ac:dyDescent="0.3">
      <c r="A97" s="1" t="s">
        <v>0</v>
      </c>
      <c r="B97" s="2" t="s">
        <v>1</v>
      </c>
      <c r="C97" s="3" t="s">
        <v>12</v>
      </c>
      <c r="D97" s="3"/>
      <c r="E97" s="3" t="s">
        <v>2</v>
      </c>
      <c r="F97" s="4" t="s">
        <v>3</v>
      </c>
      <c r="G97" s="4" t="s">
        <v>3</v>
      </c>
    </row>
    <row r="98" spans="1:26" x14ac:dyDescent="0.3">
      <c r="A98" s="7"/>
      <c r="B98" s="8" t="s">
        <v>162</v>
      </c>
      <c r="C98" s="41">
        <v>1.8580000000000001</v>
      </c>
      <c r="D98" s="8"/>
      <c r="E98" s="9">
        <v>11.82</v>
      </c>
      <c r="F98" s="9">
        <v>2.0699999999999998</v>
      </c>
      <c r="G98" s="9"/>
      <c r="H98" s="19" t="s">
        <v>61</v>
      </c>
      <c r="L98" s="17" t="s">
        <v>23</v>
      </c>
      <c r="P98" s="1" t="s">
        <v>63</v>
      </c>
      <c r="Q98" s="2" t="s">
        <v>54</v>
      </c>
      <c r="R98" s="4" t="s">
        <v>55</v>
      </c>
      <c r="T98" s="1" t="s">
        <v>178</v>
      </c>
      <c r="U98" s="2" t="s">
        <v>54</v>
      </c>
      <c r="V98" s="4" t="s">
        <v>55</v>
      </c>
      <c r="X98" s="1" t="s">
        <v>179</v>
      </c>
      <c r="Y98" s="2" t="s">
        <v>180</v>
      </c>
      <c r="Z98" s="4" t="s">
        <v>181</v>
      </c>
    </row>
    <row r="99" spans="1:26" x14ac:dyDescent="0.3">
      <c r="A99" s="7"/>
      <c r="B99" s="8" t="s">
        <v>164</v>
      </c>
      <c r="C99" s="41">
        <v>0.27700000000000002</v>
      </c>
      <c r="D99" s="8"/>
      <c r="E99" s="9">
        <v>3.1</v>
      </c>
      <c r="F99" s="9">
        <v>11.41</v>
      </c>
      <c r="G99" s="9"/>
      <c r="H99" s="20" t="s">
        <v>13</v>
      </c>
      <c r="I99" s="20" t="s">
        <v>183</v>
      </c>
      <c r="J99" s="17" t="s">
        <v>15</v>
      </c>
      <c r="L99" s="20" t="s">
        <v>13</v>
      </c>
      <c r="M99" s="20" t="s">
        <v>183</v>
      </c>
      <c r="N99" s="17" t="s">
        <v>26</v>
      </c>
      <c r="P99" s="7" t="s">
        <v>165</v>
      </c>
      <c r="Q99" s="16">
        <f>(($Q$86*C98*E98)+($S$86*C99*E99))/(($Q$86*C98)+($S$86*C99))</f>
        <v>9.1251989587207145</v>
      </c>
      <c r="R99" s="16">
        <f>(($Q$86*C98*F98)+($S$86*C99*F99))/(($Q$86*C98)+($S$86*C99))</f>
        <v>4.9564038676087767</v>
      </c>
      <c r="T99" s="7" t="s">
        <v>165</v>
      </c>
      <c r="U99" s="16">
        <f t="shared" ref="U99:V101" si="22">Q99/E100</f>
        <v>0.91987892729039467</v>
      </c>
      <c r="V99" s="16">
        <f t="shared" si="22"/>
        <v>0.85161578481250455</v>
      </c>
      <c r="X99" s="7" t="str">
        <f>B100</f>
        <v>하수25 : 토양 75</v>
      </c>
      <c r="Y99" s="16">
        <f>(($Q$86*C98)/(($Q$86*C98)+($S$86*C99)))*100</f>
        <v>69.09631833395315</v>
      </c>
      <c r="Z99" s="16">
        <f>100-Y99</f>
        <v>30.90368166604685</v>
      </c>
    </row>
    <row r="100" spans="1:26" x14ac:dyDescent="0.3">
      <c r="A100" s="7"/>
      <c r="B100" s="8" t="s">
        <v>165</v>
      </c>
      <c r="C100" s="41"/>
      <c r="D100" s="8"/>
      <c r="E100" s="9">
        <v>9.92</v>
      </c>
      <c r="F100" s="9">
        <v>5.82</v>
      </c>
      <c r="G100" s="9"/>
      <c r="H100" s="63">
        <v>66.2</v>
      </c>
      <c r="I100" s="63">
        <v>33.799999999999997</v>
      </c>
      <c r="J100" s="17">
        <f>SUM(H100:I100)</f>
        <v>100</v>
      </c>
      <c r="L100" s="66">
        <v>74.7</v>
      </c>
      <c r="M100" s="66">
        <v>25.3</v>
      </c>
      <c r="N100" s="17">
        <f>SUM(L100:M100)</f>
        <v>100</v>
      </c>
      <c r="P100" s="7" t="s">
        <v>166</v>
      </c>
      <c r="Q100" s="16">
        <f>(($R$86*C98*E98)+($R$86*C99*E99))/(($R$86*C98)+($R$86*C99))</f>
        <v>10.688646370023418</v>
      </c>
      <c r="R100" s="16">
        <f>(($R$86*C98*F98)+($R$86*C99*F99))/(($R$86*C98)+($R$86*C99))</f>
        <v>3.2817939110070258</v>
      </c>
      <c r="T100" s="7" t="s">
        <v>166</v>
      </c>
      <c r="U100" s="16">
        <f t="shared" si="22"/>
        <v>0.9577640116508439</v>
      </c>
      <c r="V100" s="16">
        <f t="shared" si="22"/>
        <v>0.66298866889030816</v>
      </c>
      <c r="X100" s="7" t="str">
        <f>B101</f>
        <v>하수50 : 토양 50</v>
      </c>
      <c r="Y100" s="16">
        <f>(($R$86*C98)/(($R$86*C98)+($R$86*C99)))*100</f>
        <v>87.025761124121772</v>
      </c>
      <c r="Z100" s="16">
        <f t="shared" ref="Z100:Z101" si="23">100-Y100</f>
        <v>12.974238875878228</v>
      </c>
    </row>
    <row r="101" spans="1:26" x14ac:dyDescent="0.3">
      <c r="A101" s="7"/>
      <c r="B101" s="8" t="s">
        <v>166</v>
      </c>
      <c r="C101" s="41"/>
      <c r="D101" s="8"/>
      <c r="E101" s="9">
        <v>11.16</v>
      </c>
      <c r="F101" s="9">
        <v>4.95</v>
      </c>
      <c r="G101" s="9"/>
      <c r="H101" s="63">
        <v>75.930000000000007</v>
      </c>
      <c r="I101" s="63">
        <v>24.07</v>
      </c>
      <c r="J101" s="17">
        <f t="shared" ref="J101:J102" si="24">SUM(H101:I101)</f>
        <v>100</v>
      </c>
      <c r="L101" s="66">
        <v>85.3</v>
      </c>
      <c r="M101" s="66">
        <v>14.7</v>
      </c>
      <c r="N101" s="17">
        <f t="shared" ref="N101:N102" si="25">SUM(L101:M101)</f>
        <v>100</v>
      </c>
      <c r="P101" s="10" t="s">
        <v>167</v>
      </c>
      <c r="Q101" s="62">
        <f>(($S$86*C98*E98)+($Q$86*C99*E99))/(($S$86*C98)+($Q$86*C99))</f>
        <v>11.407174841907366</v>
      </c>
      <c r="R101" s="62">
        <f>(($S$86*C98*F98)+($Q$86*C99*F99))/(($S$86*C98)+($Q$86*C99))</f>
        <v>2.512177405571697</v>
      </c>
      <c r="T101" s="10" t="s">
        <v>167</v>
      </c>
      <c r="U101" s="62">
        <f t="shared" si="22"/>
        <v>0.98592695262812158</v>
      </c>
      <c r="V101" s="62">
        <f t="shared" si="22"/>
        <v>0.73887570752108733</v>
      </c>
      <c r="X101" s="7" t="str">
        <f>B102</f>
        <v>하수75 : 토양 25</v>
      </c>
      <c r="Y101" s="62">
        <f>(($S$86*C98)/(($S$86*C98)+($Q$86*C99)))*100</f>
        <v>95.265766535634938</v>
      </c>
      <c r="Z101" s="62">
        <f t="shared" si="23"/>
        <v>4.7342334643650616</v>
      </c>
    </row>
    <row r="102" spans="1:26" x14ac:dyDescent="0.3">
      <c r="A102" s="10"/>
      <c r="B102" s="11" t="s">
        <v>167</v>
      </c>
      <c r="C102" s="11"/>
      <c r="D102" s="11"/>
      <c r="E102" s="12">
        <v>11.57</v>
      </c>
      <c r="F102" s="12">
        <v>3.4</v>
      </c>
      <c r="G102" s="12"/>
      <c r="H102" s="63">
        <v>88.07</v>
      </c>
      <c r="I102" s="63">
        <v>11.93</v>
      </c>
      <c r="J102" s="17">
        <f t="shared" si="24"/>
        <v>100</v>
      </c>
      <c r="L102" s="66">
        <v>92.6</v>
      </c>
      <c r="M102" s="66">
        <v>7.4</v>
      </c>
      <c r="N102" s="17">
        <f t="shared" si="25"/>
        <v>100</v>
      </c>
    </row>
    <row r="104" spans="1:26" x14ac:dyDescent="0.3">
      <c r="A104" s="5" t="s">
        <v>106</v>
      </c>
    </row>
    <row r="105" spans="1:26" ht="27" x14ac:dyDescent="0.3">
      <c r="A105" s="1" t="s">
        <v>0</v>
      </c>
      <c r="B105" s="2" t="s">
        <v>1</v>
      </c>
      <c r="C105" s="3" t="s">
        <v>12</v>
      </c>
      <c r="D105" s="3"/>
      <c r="E105" s="3" t="s">
        <v>2</v>
      </c>
      <c r="F105" s="4" t="s">
        <v>3</v>
      </c>
      <c r="G105" s="4" t="s">
        <v>3</v>
      </c>
    </row>
    <row r="106" spans="1:26" x14ac:dyDescent="0.3">
      <c r="A106" s="7"/>
      <c r="B106" s="8" t="s">
        <v>168</v>
      </c>
      <c r="C106" s="41">
        <v>0.65600000000000003</v>
      </c>
      <c r="D106" s="8"/>
      <c r="E106" s="9">
        <v>-24.92</v>
      </c>
      <c r="F106" s="9">
        <v>15.56</v>
      </c>
      <c r="G106" s="9"/>
      <c r="H106" s="19" t="s">
        <v>61</v>
      </c>
      <c r="L106" s="17" t="s">
        <v>23</v>
      </c>
      <c r="P106" s="1" t="s">
        <v>63</v>
      </c>
      <c r="Q106" s="2" t="s">
        <v>54</v>
      </c>
      <c r="R106" s="4" t="s">
        <v>55</v>
      </c>
      <c r="T106" s="1" t="s">
        <v>178</v>
      </c>
      <c r="U106" s="2" t="s">
        <v>54</v>
      </c>
      <c r="V106" s="4" t="s">
        <v>55</v>
      </c>
      <c r="X106" s="1" t="s">
        <v>179</v>
      </c>
      <c r="Y106" s="2" t="s">
        <v>180</v>
      </c>
      <c r="Z106" s="4" t="s">
        <v>181</v>
      </c>
    </row>
    <row r="107" spans="1:26" x14ac:dyDescent="0.3">
      <c r="A107" s="7"/>
      <c r="B107" s="8" t="s">
        <v>163</v>
      </c>
      <c r="C107" s="41">
        <v>14.167999999999999</v>
      </c>
      <c r="D107" s="8"/>
      <c r="E107" s="9">
        <v>23.28</v>
      </c>
      <c r="F107" s="9">
        <v>4.47</v>
      </c>
      <c r="G107" s="9"/>
      <c r="H107" s="20" t="s">
        <v>184</v>
      </c>
      <c r="I107" s="20" t="s">
        <v>50</v>
      </c>
      <c r="J107" s="17" t="s">
        <v>15</v>
      </c>
      <c r="L107" s="20" t="s">
        <v>184</v>
      </c>
      <c r="M107" s="20" t="s">
        <v>50</v>
      </c>
      <c r="N107" s="17" t="s">
        <v>26</v>
      </c>
      <c r="P107" s="7" t="s">
        <v>169</v>
      </c>
      <c r="Q107" s="16">
        <f>(($Q$86*C106*E106)+($S$86*C107*E107))/(($Q$86*C106)+($S$86*C107))</f>
        <v>22.547395736793327</v>
      </c>
      <c r="R107" s="16">
        <f>(($Q$86*C106*F106)+($S$86*C107*F107))/(($Q$86*C106)+($S$86*C107))</f>
        <v>4.6385597775718255</v>
      </c>
      <c r="T107" s="7" t="s">
        <v>169</v>
      </c>
      <c r="U107" s="16">
        <f t="shared" ref="U107:V109" si="26">Q107/E108</f>
        <v>1.0029980309961444</v>
      </c>
      <c r="V107" s="16">
        <f t="shared" si="26"/>
        <v>1.1955050973123262</v>
      </c>
      <c r="X107" s="7" t="str">
        <f>B108</f>
        <v>비료25 : 퇴비 75</v>
      </c>
      <c r="Y107" s="16">
        <f>(($Q$86*C106)/(($Q$86*C106)+($S$86*C107)))*100</f>
        <v>1.519925857275255</v>
      </c>
      <c r="Z107" s="16">
        <f>100-Y107</f>
        <v>98.480074142724746</v>
      </c>
    </row>
    <row r="108" spans="1:26" x14ac:dyDescent="0.3">
      <c r="A108" s="7"/>
      <c r="B108" s="8" t="s">
        <v>169</v>
      </c>
      <c r="C108" s="41"/>
      <c r="D108" s="8"/>
      <c r="E108" s="9">
        <v>22.48</v>
      </c>
      <c r="F108" s="9">
        <v>3.88</v>
      </c>
      <c r="G108" s="9"/>
      <c r="H108" s="63">
        <v>0.13</v>
      </c>
      <c r="I108" s="63">
        <v>99.87</v>
      </c>
      <c r="J108" s="17">
        <f>SUM(H108:I108)</f>
        <v>100</v>
      </c>
      <c r="L108" s="66">
        <v>3.7</v>
      </c>
      <c r="M108" s="66">
        <v>96.3</v>
      </c>
      <c r="N108" s="17">
        <f>SUM(L108:M108)</f>
        <v>100</v>
      </c>
      <c r="P108" s="7" t="s">
        <v>170</v>
      </c>
      <c r="Q108" s="16">
        <f>(($R$86*C106*E106)+($R$86*C107*E107))/(($R$86*C106)+($R$86*C107))</f>
        <v>21.147026443604965</v>
      </c>
      <c r="R108" s="16">
        <f>(($R$86*C106*F106)+($R$86*C107*F107))/(($R$86*C106)+($R$86*C107))</f>
        <v>4.9607609282245004</v>
      </c>
      <c r="T108" s="7" t="s">
        <v>170</v>
      </c>
      <c r="U108" s="16">
        <f t="shared" si="26"/>
        <v>1.0046093322377656</v>
      </c>
      <c r="V108" s="16">
        <f t="shared" si="26"/>
        <v>1.1672378654645883</v>
      </c>
      <c r="X108" s="7" t="str">
        <f>B109</f>
        <v>비료50 : 퇴비 50</v>
      </c>
      <c r="Y108" s="16">
        <f>(($R$86*C106)/(($R$86*C106)+($R$86*C107)))*100</f>
        <v>4.4252563410685379</v>
      </c>
      <c r="Z108" s="16">
        <f t="shared" ref="Z108:Z109" si="27">100-Y108</f>
        <v>95.574743658931467</v>
      </c>
    </row>
    <row r="109" spans="1:26" x14ac:dyDescent="0.3">
      <c r="A109" s="7"/>
      <c r="B109" s="8" t="s">
        <v>170</v>
      </c>
      <c r="C109" s="41"/>
      <c r="D109" s="8"/>
      <c r="E109" s="9">
        <v>21.05</v>
      </c>
      <c r="F109" s="9">
        <v>4.25</v>
      </c>
      <c r="G109" s="9"/>
      <c r="H109" s="63">
        <v>1.08</v>
      </c>
      <c r="I109" s="63">
        <v>98.92</v>
      </c>
      <c r="J109" s="17">
        <f t="shared" ref="J109:J110" si="28">SUM(H109:I109)</f>
        <v>100</v>
      </c>
      <c r="L109" s="66">
        <v>3</v>
      </c>
      <c r="M109" s="66">
        <v>97</v>
      </c>
      <c r="N109" s="17">
        <f t="shared" ref="N109:N110" si="29">SUM(L109:M109)</f>
        <v>100</v>
      </c>
      <c r="P109" s="10" t="s">
        <v>171</v>
      </c>
      <c r="Q109" s="62">
        <f>(($S$86*C106*E106)+($Q$86*C107*E107))/(($S$86*C106)+($Q$86*C107))</f>
        <v>17.401368368864652</v>
      </c>
      <c r="R109" s="62">
        <f>(($S$86*C106*F106)+($Q$86*C107*F107))/(($S$86*C106)+($Q$86*C107))</f>
        <v>5.8225731284085267</v>
      </c>
      <c r="T109" s="10" t="s">
        <v>171</v>
      </c>
      <c r="U109" s="62">
        <f t="shared" si="26"/>
        <v>0.9983573361368131</v>
      </c>
      <c r="V109" s="62">
        <f t="shared" si="26"/>
        <v>1.021504057615531</v>
      </c>
      <c r="X109" s="7" t="str">
        <f>B110</f>
        <v>비료75 : 퇴비 25</v>
      </c>
      <c r="Y109" s="62">
        <f>(($S$86*C106)/(($S$86*C106)+($Q$86*C107)))*100</f>
        <v>12.196331184928111</v>
      </c>
      <c r="Z109" s="62">
        <f t="shared" si="27"/>
        <v>87.803668815071887</v>
      </c>
    </row>
    <row r="110" spans="1:26" x14ac:dyDescent="0.3">
      <c r="A110" s="10"/>
      <c r="B110" s="11" t="s">
        <v>171</v>
      </c>
      <c r="C110" s="11"/>
      <c r="D110" s="11"/>
      <c r="E110" s="12">
        <v>17.43</v>
      </c>
      <c r="F110" s="12">
        <v>5.7</v>
      </c>
      <c r="G110" s="12"/>
      <c r="H110" s="63">
        <v>11.98</v>
      </c>
      <c r="I110" s="63">
        <v>88.02</v>
      </c>
      <c r="J110" s="17">
        <f t="shared" si="28"/>
        <v>100</v>
      </c>
      <c r="L110" s="66">
        <v>9.3000000000000007</v>
      </c>
      <c r="M110" s="66">
        <v>90.7</v>
      </c>
      <c r="N110" s="17">
        <f t="shared" si="29"/>
        <v>100</v>
      </c>
    </row>
    <row r="112" spans="1:26" x14ac:dyDescent="0.3">
      <c r="A112" s="5" t="s">
        <v>110</v>
      </c>
    </row>
    <row r="113" spans="1:26" ht="27" x14ac:dyDescent="0.3">
      <c r="A113" s="1" t="s">
        <v>0</v>
      </c>
      <c r="B113" s="2" t="s">
        <v>1</v>
      </c>
      <c r="C113" s="3" t="s">
        <v>12</v>
      </c>
      <c r="D113" s="3"/>
      <c r="E113" s="3" t="s">
        <v>2</v>
      </c>
      <c r="F113" s="4" t="s">
        <v>3</v>
      </c>
      <c r="G113" s="4" t="s">
        <v>3</v>
      </c>
    </row>
    <row r="114" spans="1:26" x14ac:dyDescent="0.3">
      <c r="A114" s="7"/>
      <c r="B114" s="8" t="s">
        <v>168</v>
      </c>
      <c r="C114" s="41">
        <v>0.65600000000000003</v>
      </c>
      <c r="D114" s="8"/>
      <c r="E114" s="9">
        <v>-24.92</v>
      </c>
      <c r="F114" s="9">
        <v>15.56</v>
      </c>
      <c r="G114" s="9"/>
      <c r="H114" s="19" t="s">
        <v>61</v>
      </c>
      <c r="L114" s="17" t="s">
        <v>23</v>
      </c>
      <c r="P114" s="1" t="s">
        <v>63</v>
      </c>
      <c r="Q114" s="2" t="s">
        <v>54</v>
      </c>
      <c r="R114" s="4" t="s">
        <v>55</v>
      </c>
      <c r="T114" s="1" t="s">
        <v>178</v>
      </c>
      <c r="U114" s="2" t="s">
        <v>54</v>
      </c>
      <c r="V114" s="4" t="s">
        <v>55</v>
      </c>
      <c r="X114" s="1" t="s">
        <v>179</v>
      </c>
      <c r="Y114" s="2" t="s">
        <v>180</v>
      </c>
      <c r="Z114" s="4" t="s">
        <v>181</v>
      </c>
    </row>
    <row r="115" spans="1:26" x14ac:dyDescent="0.3">
      <c r="A115" s="7"/>
      <c r="B115" s="8" t="s">
        <v>164</v>
      </c>
      <c r="C115" s="41">
        <v>0.27700000000000002</v>
      </c>
      <c r="D115" s="8"/>
      <c r="E115" s="9">
        <v>3.1</v>
      </c>
      <c r="F115" s="9">
        <v>11.41</v>
      </c>
      <c r="G115" s="9"/>
      <c r="H115" s="20" t="s">
        <v>184</v>
      </c>
      <c r="I115" s="20" t="s">
        <v>183</v>
      </c>
      <c r="J115" s="17" t="s">
        <v>15</v>
      </c>
      <c r="L115" s="20" t="s">
        <v>184</v>
      </c>
      <c r="M115" s="20" t="s">
        <v>183</v>
      </c>
      <c r="N115" s="17" t="s">
        <v>26</v>
      </c>
      <c r="P115" s="7" t="s">
        <v>172</v>
      </c>
      <c r="Q115" s="16">
        <f>(($Q$86*C114*E114)+($S$86*C115*E115))/(($Q$86*C114)+($S$86*C115))</f>
        <v>-9.2612104909213198</v>
      </c>
      <c r="R115" s="16">
        <f>(($Q$86*C114*F114)+($S$86*C115*F115))/(($Q$86*C114)+($S$86*C115))</f>
        <v>13.240800268997983</v>
      </c>
      <c r="T115" s="7" t="s">
        <v>172</v>
      </c>
      <c r="U115" s="16">
        <f>Q115/E116</f>
        <v>0.93264959626599397</v>
      </c>
      <c r="V115" s="16">
        <f>R115/F116</f>
        <v>0.91378883844016445</v>
      </c>
      <c r="X115" s="7" t="str">
        <f>B116</f>
        <v>비료25 : 토양 75</v>
      </c>
      <c r="Y115" s="16">
        <f>(($Q$86*C114)/(($Q$86*C114)+($S$86*C115)))*100</f>
        <v>44.115669132481507</v>
      </c>
      <c r="Z115" s="16">
        <f>100-Y115</f>
        <v>55.884330867518493</v>
      </c>
    </row>
    <row r="116" spans="1:26" x14ac:dyDescent="0.3">
      <c r="A116" s="7"/>
      <c r="B116" s="8" t="s">
        <v>172</v>
      </c>
      <c r="C116" s="41"/>
      <c r="D116" s="8"/>
      <c r="E116" s="9">
        <v>-9.93</v>
      </c>
      <c r="F116" s="9">
        <v>14.49</v>
      </c>
      <c r="G116" s="9"/>
      <c r="H116" s="63">
        <v>47.82</v>
      </c>
      <c r="I116" s="63">
        <v>52.18</v>
      </c>
      <c r="J116" s="17">
        <f>SUM(H116:I116)</f>
        <v>100</v>
      </c>
      <c r="L116" s="66">
        <v>66.2</v>
      </c>
      <c r="M116" s="66">
        <v>33.799999999999997</v>
      </c>
      <c r="N116" s="17">
        <f>SUM(L116:M116)</f>
        <v>100</v>
      </c>
      <c r="P116" s="7" t="s">
        <v>173</v>
      </c>
      <c r="Q116" s="16">
        <f>(($R$86*C114*E114)+($R$86*C115*E115))/(($R$86*C114)+($R$86*C115))</f>
        <v>-16.601093247588427</v>
      </c>
      <c r="R116" s="16">
        <f>(($R$86*C114*F114)+($R$86*C115*F115))/(($R$86*C114)+($R$86*C115))</f>
        <v>14.327899249732047</v>
      </c>
      <c r="T116" s="7" t="s">
        <v>173</v>
      </c>
      <c r="U116" s="16">
        <f>Q116/E117</f>
        <v>0.96349931790994925</v>
      </c>
      <c r="V116" s="16">
        <f t="shared" ref="V116:V117" si="30">R116/F117</f>
        <v>0.9609590375407141</v>
      </c>
      <c r="X116" s="7" t="str">
        <f>B117</f>
        <v>비료50 : 토양 50</v>
      </c>
      <c r="Y116" s="16">
        <f>(($R$86*C114)/(($R$86*C114)+($R$86*C115)))*100</f>
        <v>70.310825294748128</v>
      </c>
      <c r="Z116" s="16">
        <f t="shared" ref="Z116:Z117" si="31">100-Y116</f>
        <v>29.689174705251872</v>
      </c>
    </row>
    <row r="117" spans="1:26" x14ac:dyDescent="0.3">
      <c r="A117" s="7"/>
      <c r="B117" s="8" t="s">
        <v>173</v>
      </c>
      <c r="C117" s="41"/>
      <c r="D117" s="8"/>
      <c r="E117" s="9">
        <v>-17.23</v>
      </c>
      <c r="F117" s="9">
        <v>14.91</v>
      </c>
      <c r="G117" s="9"/>
      <c r="H117" s="63">
        <v>72.510000000000005</v>
      </c>
      <c r="I117" s="63">
        <v>27.49</v>
      </c>
      <c r="J117" s="17">
        <f t="shared" ref="J117:J118" si="32">SUM(H117:I117)</f>
        <v>100</v>
      </c>
      <c r="L117" s="66">
        <v>79.7</v>
      </c>
      <c r="M117" s="66">
        <v>20.3</v>
      </c>
      <c r="N117" s="17">
        <f t="shared" ref="N117:N118" si="33">SUM(L117:M117)</f>
        <v>100</v>
      </c>
      <c r="P117" s="10" t="s">
        <v>174</v>
      </c>
      <c r="Q117" s="62">
        <f>(($S$86*C114*E114)+($Q$86*C115*E115))/(($S$86*C114)+($Q$86*C115))</f>
        <v>-21.462743875278395</v>
      </c>
      <c r="R117" s="62">
        <f>(($S$86*C114*F114)+($Q$86*C115*F115))/(($S$86*C114)+($Q$86*C115))</f>
        <v>15.047951002227173</v>
      </c>
      <c r="T117" s="10" t="s">
        <v>174</v>
      </c>
      <c r="U117" s="62">
        <f t="shared" ref="U117" si="34">Q117/E118</f>
        <v>1.0090617712871837</v>
      </c>
      <c r="V117" s="62">
        <f t="shared" si="30"/>
        <v>0.95907909510689437</v>
      </c>
      <c r="X117" s="7" t="str">
        <f>B118</f>
        <v>비료75 : 토양 25</v>
      </c>
      <c r="Y117" s="62">
        <f>(($S$86*C114)/(($S$86*C114)+($Q$86*C115)))*100</f>
        <v>87.661469933184861</v>
      </c>
      <c r="Z117" s="62">
        <f t="shared" si="31"/>
        <v>12.338530066815139</v>
      </c>
    </row>
    <row r="118" spans="1:26" x14ac:dyDescent="0.3">
      <c r="A118" s="10"/>
      <c r="B118" s="11" t="s">
        <v>174</v>
      </c>
      <c r="C118" s="11"/>
      <c r="D118" s="11"/>
      <c r="E118" s="12">
        <v>-21.27</v>
      </c>
      <c r="F118" s="12">
        <v>15.69</v>
      </c>
      <c r="G118" s="12"/>
      <c r="H118" s="63">
        <v>87.4</v>
      </c>
      <c r="I118" s="63">
        <v>12.6</v>
      </c>
      <c r="J118" s="17">
        <f t="shared" si="32"/>
        <v>100</v>
      </c>
      <c r="L118" s="66">
        <v>90.2</v>
      </c>
      <c r="M118" s="66">
        <v>9.8000000000000007</v>
      </c>
      <c r="N118" s="17">
        <f t="shared" si="33"/>
        <v>100</v>
      </c>
    </row>
    <row r="120" spans="1:26" x14ac:dyDescent="0.3">
      <c r="A120" s="5" t="s">
        <v>114</v>
      </c>
    </row>
    <row r="121" spans="1:26" ht="27" x14ac:dyDescent="0.3">
      <c r="A121" s="1" t="s">
        <v>0</v>
      </c>
      <c r="B121" s="2" t="s">
        <v>1</v>
      </c>
      <c r="C121" s="3" t="s">
        <v>12</v>
      </c>
      <c r="D121" s="3"/>
      <c r="E121" s="3" t="s">
        <v>2</v>
      </c>
      <c r="F121" s="4" t="s">
        <v>3</v>
      </c>
      <c r="G121" s="4" t="s">
        <v>3</v>
      </c>
    </row>
    <row r="122" spans="1:26" x14ac:dyDescent="0.3">
      <c r="A122" s="7"/>
      <c r="B122" s="8" t="s">
        <v>163</v>
      </c>
      <c r="C122" s="41">
        <v>14.167999999999999</v>
      </c>
      <c r="D122" s="8"/>
      <c r="E122" s="9">
        <v>23.28</v>
      </c>
      <c r="F122" s="9">
        <v>4.47</v>
      </c>
      <c r="G122" s="9"/>
      <c r="H122" s="19" t="s">
        <v>61</v>
      </c>
      <c r="L122" s="17" t="s">
        <v>23</v>
      </c>
      <c r="P122" s="1" t="s">
        <v>63</v>
      </c>
      <c r="Q122" s="2" t="s">
        <v>54</v>
      </c>
      <c r="R122" s="4" t="s">
        <v>55</v>
      </c>
      <c r="T122" s="1" t="s">
        <v>178</v>
      </c>
      <c r="U122" s="2" t="s">
        <v>54</v>
      </c>
      <c r="V122" s="4" t="s">
        <v>55</v>
      </c>
      <c r="X122" s="1" t="s">
        <v>179</v>
      </c>
      <c r="Y122" s="2" t="s">
        <v>180</v>
      </c>
      <c r="Z122" s="4" t="s">
        <v>181</v>
      </c>
    </row>
    <row r="123" spans="1:26" x14ac:dyDescent="0.3">
      <c r="A123" s="7"/>
      <c r="B123" s="8" t="s">
        <v>164</v>
      </c>
      <c r="C123" s="41">
        <v>0.27700000000000002</v>
      </c>
      <c r="D123" s="8"/>
      <c r="E123" s="9">
        <v>3.1</v>
      </c>
      <c r="F123" s="9">
        <v>11.41</v>
      </c>
      <c r="G123" s="9"/>
      <c r="H123" s="20" t="s">
        <v>185</v>
      </c>
      <c r="I123" s="20" t="s">
        <v>183</v>
      </c>
      <c r="J123" s="17" t="s">
        <v>15</v>
      </c>
      <c r="L123" s="20" t="s">
        <v>185</v>
      </c>
      <c r="M123" s="20" t="s">
        <v>183</v>
      </c>
      <c r="N123" s="17" t="s">
        <v>26</v>
      </c>
      <c r="P123" s="7" t="s">
        <v>175</v>
      </c>
      <c r="Q123" s="16">
        <f>(($Q$86*C122*E122)+($S$86*C123*E123))/(($Q$86*C122)+($S$86*C123))</f>
        <v>22.161953463564238</v>
      </c>
      <c r="R123" s="16">
        <f>(($Q$86*C122*F122)+($S$86*C123*F123))/(($Q$86*C122)+($S$86*C123))</f>
        <v>4.8545016334422293</v>
      </c>
      <c r="T123" s="7" t="s">
        <v>175</v>
      </c>
      <c r="U123" s="16">
        <f>Q123/E124</f>
        <v>0.99514833693597837</v>
      </c>
      <c r="V123" s="16">
        <f>R123/F124</f>
        <v>1.3263665665142703</v>
      </c>
      <c r="X123" s="7" t="str">
        <f>B124</f>
        <v>퇴비25 : 토양 75</v>
      </c>
      <c r="Y123" s="16">
        <f>(($Q$86*C122)/(($Q$86*C122)+($S$86*C123)))*100</f>
        <v>94.459630642042796</v>
      </c>
      <c r="Z123" s="16">
        <f>100-Y123</f>
        <v>5.5403693579572035</v>
      </c>
    </row>
    <row r="124" spans="1:26" x14ac:dyDescent="0.3">
      <c r="A124" s="7"/>
      <c r="B124" s="8" t="s">
        <v>175</v>
      </c>
      <c r="C124" s="41"/>
      <c r="D124" s="8"/>
      <c r="E124" s="9">
        <v>22.27</v>
      </c>
      <c r="F124" s="9">
        <v>3.66</v>
      </c>
      <c r="G124" s="9"/>
      <c r="H124" s="63">
        <v>99.75</v>
      </c>
      <c r="I124" s="63">
        <v>0.25</v>
      </c>
      <c r="J124" s="17">
        <f>SUM(H124:I124)</f>
        <v>100</v>
      </c>
      <c r="L124" s="66">
        <v>96.3</v>
      </c>
      <c r="M124" s="66">
        <v>3.7</v>
      </c>
      <c r="N124" s="17">
        <f>SUM(L124:M124)</f>
        <v>100</v>
      </c>
      <c r="P124" s="7" t="s">
        <v>176</v>
      </c>
      <c r="Q124" s="16">
        <f>(($R$86*C122*E122)+($R$86*C123*E123))/(($R$86*C122)+($R$86*C123))</f>
        <v>22.893024575977847</v>
      </c>
      <c r="R124" s="16">
        <f>(($R$86*C122*F122)+($R$86*C123*F123))/(($R$86*C122)+($R$86*C123))</f>
        <v>4.6030827275874007</v>
      </c>
      <c r="T124" s="7" t="s">
        <v>176</v>
      </c>
      <c r="U124" s="16">
        <f t="shared" ref="U124:U125" si="35">Q124/E125</f>
        <v>1.0010067588971512</v>
      </c>
      <c r="V124" s="16">
        <f t="shared" ref="V124:V125" si="36">R124/F125</f>
        <v>1.2893789152905886</v>
      </c>
      <c r="X124" s="7" t="str">
        <f>B125</f>
        <v>퇴비50 : 토양 50</v>
      </c>
      <c r="Y124" s="16">
        <f>(($R$86*C122)/(($R$86*C122)+($R$86*C123)))*100</f>
        <v>98.08238144686743</v>
      </c>
      <c r="Z124" s="16">
        <f t="shared" ref="Z124:Z125" si="37">100-Y124</f>
        <v>1.91761855313257</v>
      </c>
    </row>
    <row r="125" spans="1:26" x14ac:dyDescent="0.3">
      <c r="A125" s="7"/>
      <c r="B125" s="8" t="s">
        <v>176</v>
      </c>
      <c r="C125" s="41"/>
      <c r="D125" s="8"/>
      <c r="E125" s="9">
        <v>22.87</v>
      </c>
      <c r="F125" s="9">
        <v>3.57</v>
      </c>
      <c r="G125" s="9"/>
      <c r="H125" s="63">
        <v>99.81</v>
      </c>
      <c r="I125" s="63">
        <v>0.19</v>
      </c>
      <c r="J125" s="17">
        <f t="shared" ref="J125:J126" si="38">SUM(H125:I125)</f>
        <v>100</v>
      </c>
      <c r="L125" s="66">
        <v>97.9</v>
      </c>
      <c r="M125" s="66">
        <v>2.1</v>
      </c>
      <c r="N125" s="17">
        <f t="shared" ref="N125:N126" si="39">SUM(L125:M125)</f>
        <v>100</v>
      </c>
      <c r="P125" s="10" t="s">
        <v>177</v>
      </c>
      <c r="Q125" s="62">
        <f>(($S$86*C122*E122)+($Q$86*C123*E123))/(($S$86*C122)+($Q$86*C123))</f>
        <v>23.149337790140482</v>
      </c>
      <c r="R125" s="62">
        <f>(($S$86*C122*F122)+($Q$86*C123*F123))/(($S$86*C122)+($Q$86*C123))</f>
        <v>4.5149353685047098</v>
      </c>
      <c r="T125" s="10" t="s">
        <v>177</v>
      </c>
      <c r="U125" s="62">
        <f t="shared" si="35"/>
        <v>0.9999713948224831</v>
      </c>
      <c r="V125" s="62">
        <f t="shared" si="36"/>
        <v>1.3681622328802152</v>
      </c>
      <c r="X125" s="7" t="str">
        <f>B126</f>
        <v>퇴비75 : 토양 25</v>
      </c>
      <c r="Y125" s="62">
        <f>(($S$86*C122)/(($S$86*C122)+($Q$86*C123)))*100</f>
        <v>99.352516303966709</v>
      </c>
      <c r="Z125" s="62">
        <f t="shared" si="37"/>
        <v>0.64748369603329081</v>
      </c>
    </row>
    <row r="126" spans="1:26" x14ac:dyDescent="0.3">
      <c r="A126" s="10"/>
      <c r="B126" s="11" t="s">
        <v>177</v>
      </c>
      <c r="C126" s="11"/>
      <c r="D126" s="11"/>
      <c r="E126" s="12">
        <v>23.15</v>
      </c>
      <c r="F126" s="12">
        <v>3.3</v>
      </c>
      <c r="G126" s="12"/>
      <c r="H126" s="63">
        <v>99.88</v>
      </c>
      <c r="I126" s="63">
        <v>0.12</v>
      </c>
      <c r="J126" s="17">
        <f t="shared" si="38"/>
        <v>100</v>
      </c>
      <c r="L126" s="66">
        <v>98.2</v>
      </c>
      <c r="M126" s="66">
        <v>1.8</v>
      </c>
      <c r="N126" s="17">
        <f t="shared" si="39"/>
        <v>100</v>
      </c>
    </row>
  </sheetData>
  <mergeCells count="2">
    <mergeCell ref="A77:A79"/>
    <mergeCell ref="A81:A82"/>
  </mergeCells>
  <phoneticPr fontId="5" type="noConversion"/>
  <pageMargins left="0.7" right="0.7" top="0.75" bottom="0.75" header="0.3" footer="0.3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8A41-2DC4-4677-8AC6-991068352115}">
  <sheetPr>
    <pageSetUpPr fitToPage="1"/>
  </sheetPr>
  <dimension ref="A1:AD58"/>
  <sheetViews>
    <sheetView zoomScale="85" zoomScaleNormal="85" workbookViewId="0">
      <selection activeCell="H57" sqref="H57"/>
    </sheetView>
  </sheetViews>
  <sheetFormatPr defaultColWidth="9" defaultRowHeight="16.5" x14ac:dyDescent="0.3"/>
  <cols>
    <col min="1" max="1" width="10.625" style="5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7" width="9" style="17" customWidth="1"/>
    <col min="18" max="18" width="25.625" style="17" customWidth="1"/>
    <col min="19" max="21" width="9" style="17" customWidth="1"/>
    <col min="22" max="22" width="7.625" style="17" customWidth="1"/>
    <col min="23" max="23" width="9" style="5" customWidth="1"/>
    <col min="24" max="24" width="25.625" style="5" customWidth="1"/>
    <col min="25" max="25" width="12" style="5" customWidth="1"/>
    <col min="26" max="26" width="12.5" style="5" customWidth="1"/>
    <col min="27" max="27" width="9.5" style="5" customWidth="1"/>
    <col min="28" max="28" width="25.625" style="5" bestFit="1" customWidth="1"/>
    <col min="29" max="29" width="9" style="5"/>
    <col min="30" max="30" width="11.5" style="5" customWidth="1"/>
    <col min="31" max="31" width="9" style="5"/>
    <col min="32" max="32" width="14.25" style="5" bestFit="1" customWidth="1"/>
    <col min="33" max="33" width="9" style="5"/>
    <col min="34" max="34" width="11.375" style="5" customWidth="1"/>
    <col min="35" max="16384" width="9" style="5"/>
  </cols>
  <sheetData>
    <row r="1" spans="1:30" x14ac:dyDescent="0.3">
      <c r="A1" s="65"/>
      <c r="B1" s="65"/>
    </row>
    <row r="2" spans="1:30" x14ac:dyDescent="0.3">
      <c r="A2" s="5" t="s">
        <v>119</v>
      </c>
      <c r="R2" s="42" t="s">
        <v>60</v>
      </c>
      <c r="S2">
        <v>0.125</v>
      </c>
      <c r="T2">
        <v>0.25</v>
      </c>
      <c r="U2">
        <v>0.33300000000000002</v>
      </c>
      <c r="V2">
        <v>0.5</v>
      </c>
      <c r="W2">
        <v>0.75</v>
      </c>
    </row>
    <row r="3" spans="1:30" ht="27" x14ac:dyDescent="0.3">
      <c r="A3" s="1" t="s">
        <v>0</v>
      </c>
      <c r="B3" s="2" t="s">
        <v>1</v>
      </c>
      <c r="C3" s="3" t="s">
        <v>12</v>
      </c>
      <c r="D3" s="3"/>
      <c r="E3" s="3" t="s">
        <v>2</v>
      </c>
      <c r="F3" s="4" t="s">
        <v>3</v>
      </c>
      <c r="G3" s="4" t="s">
        <v>3</v>
      </c>
    </row>
    <row r="4" spans="1:30" x14ac:dyDescent="0.3">
      <c r="A4" s="7" t="s">
        <v>193</v>
      </c>
      <c r="B4" s="8" t="s">
        <v>162</v>
      </c>
      <c r="C4" s="41">
        <v>1.8580000000000001</v>
      </c>
      <c r="D4" s="8"/>
      <c r="E4" s="67">
        <v>11.82</v>
      </c>
      <c r="F4" s="67">
        <v>2.0699999999999998</v>
      </c>
      <c r="G4" s="9"/>
    </row>
    <row r="5" spans="1:30" x14ac:dyDescent="0.3">
      <c r="A5" s="7" t="s">
        <v>181</v>
      </c>
      <c r="B5" s="8" t="s">
        <v>25</v>
      </c>
      <c r="C5" s="41">
        <v>0.65600000000000003</v>
      </c>
      <c r="D5" s="8"/>
      <c r="E5" s="67">
        <v>-24.92</v>
      </c>
      <c r="F5" s="67">
        <v>15.56</v>
      </c>
      <c r="G5" s="9"/>
      <c r="H5" s="19" t="s">
        <v>61</v>
      </c>
      <c r="M5" s="17" t="s">
        <v>23</v>
      </c>
    </row>
    <row r="6" spans="1:30" x14ac:dyDescent="0.3">
      <c r="A6" s="7" t="s">
        <v>194</v>
      </c>
      <c r="B6" s="8" t="s">
        <v>163</v>
      </c>
      <c r="C6" s="41">
        <v>14.167999999999999</v>
      </c>
      <c r="D6" s="8"/>
      <c r="E6" s="67">
        <v>23.28</v>
      </c>
      <c r="F6" s="67">
        <v>4.47</v>
      </c>
      <c r="G6" s="9"/>
      <c r="H6" s="20" t="s">
        <v>13</v>
      </c>
      <c r="I6" s="20" t="s">
        <v>184</v>
      </c>
      <c r="J6" s="20" t="s">
        <v>50</v>
      </c>
      <c r="K6" s="17" t="s">
        <v>15</v>
      </c>
      <c r="M6" s="20" t="s">
        <v>13</v>
      </c>
      <c r="N6" s="20" t="s">
        <v>184</v>
      </c>
      <c r="O6" s="20" t="s">
        <v>50</v>
      </c>
      <c r="P6" s="17" t="s">
        <v>26</v>
      </c>
      <c r="R6" s="1" t="s">
        <v>179</v>
      </c>
      <c r="S6" s="2" t="s">
        <v>180</v>
      </c>
      <c r="T6" s="4" t="s">
        <v>181</v>
      </c>
      <c r="U6" s="4" t="s">
        <v>194</v>
      </c>
      <c r="X6" s="1" t="s">
        <v>63</v>
      </c>
      <c r="Y6" s="2" t="s">
        <v>54</v>
      </c>
      <c r="Z6" s="4" t="s">
        <v>55</v>
      </c>
      <c r="AB6" s="1" t="s">
        <v>202</v>
      </c>
      <c r="AC6" s="2" t="s">
        <v>54</v>
      </c>
      <c r="AD6" s="4" t="s">
        <v>55</v>
      </c>
    </row>
    <row r="7" spans="1:30" x14ac:dyDescent="0.3">
      <c r="A7" s="7"/>
      <c r="B7" s="8" t="s">
        <v>186</v>
      </c>
      <c r="C7" s="41"/>
      <c r="D7" s="8"/>
      <c r="E7" s="9">
        <v>19.989999999999998</v>
      </c>
      <c r="F7" s="9">
        <v>3.81</v>
      </c>
      <c r="G7" s="9"/>
      <c r="H7" s="19">
        <v>29.2</v>
      </c>
      <c r="I7" s="19">
        <v>0.67</v>
      </c>
      <c r="J7" s="19">
        <v>70.13</v>
      </c>
      <c r="K7" s="17">
        <f>SUM(H7:J7)</f>
        <v>100</v>
      </c>
      <c r="M7" s="45">
        <v>24</v>
      </c>
      <c r="N7" s="45">
        <v>3</v>
      </c>
      <c r="O7" s="45">
        <v>73</v>
      </c>
      <c r="P7" s="17">
        <f>SUM(M7:O7)</f>
        <v>100</v>
      </c>
      <c r="R7" s="7" t="str">
        <f>B7</f>
        <v>하수33.3 : 비료33.3 : 퇴비 33.3</v>
      </c>
      <c r="S7" s="16">
        <f>($U$2*C4)/(($U$2*C4)+($U$2*C5)+($U$2*C6))*100</f>
        <v>11.137753266994366</v>
      </c>
      <c r="T7" s="16">
        <f>($U$2*C5)/(($U$2*C4)+($U$2*C5)+($U$2*C6))*100</f>
        <v>3.9323822083683013</v>
      </c>
      <c r="U7" s="16">
        <f>100-(S7+T7)</f>
        <v>84.929864524637338</v>
      </c>
      <c r="X7" s="7" t="str">
        <f t="shared" ref="X7:X13" si="0">B7</f>
        <v>하수33.3 : 비료33.3 : 퇴비 33.3</v>
      </c>
      <c r="Y7" s="16">
        <f>(($U$2*C4*E4)+($U$2*C5*E5)+($U$2*C6*E6))/(($U$2*C4)+($U$2*C5)+($U$2*C6))</f>
        <v>20.108205251168926</v>
      </c>
      <c r="Z7" s="16">
        <f>(($U$2*C4*F4)+($U$2*C5*F5)+($U$2*C6*F6))/(($U$2*C4)+($U$2*C5)+($U$2*C6))</f>
        <v>4.6387951085001795</v>
      </c>
      <c r="AB7" s="7" t="str">
        <f t="shared" ref="AB7:AB13" si="1">B7</f>
        <v>하수33.3 : 비료33.3 : 퇴비 33.3</v>
      </c>
      <c r="AC7" s="16">
        <f>Y7/E7</f>
        <v>1.0059132191680304</v>
      </c>
      <c r="AD7" s="16">
        <f>Z7/F7</f>
        <v>1.2175315245407294</v>
      </c>
    </row>
    <row r="8" spans="1:30" x14ac:dyDescent="0.3">
      <c r="A8" s="7"/>
      <c r="B8" s="8" t="s">
        <v>187</v>
      </c>
      <c r="C8" s="41"/>
      <c r="D8" s="8"/>
      <c r="E8" s="9">
        <v>19.03</v>
      </c>
      <c r="F8" s="9">
        <v>3.52</v>
      </c>
      <c r="G8" s="9"/>
      <c r="H8" s="19">
        <v>39.409999999999997</v>
      </c>
      <c r="I8" s="19">
        <v>0.47</v>
      </c>
      <c r="J8" s="19">
        <v>60.12</v>
      </c>
      <c r="K8" s="17">
        <f t="shared" ref="K8:K13" si="2">SUM(H8:J8)</f>
        <v>100</v>
      </c>
      <c r="M8" s="45">
        <v>29</v>
      </c>
      <c r="N8" s="45">
        <v>3</v>
      </c>
      <c r="O8" s="45">
        <v>68</v>
      </c>
      <c r="P8" s="17">
        <f t="shared" ref="P8:P13" si="3">SUM(M8:O8)</f>
        <v>100</v>
      </c>
      <c r="R8" s="7" t="str">
        <f t="shared" ref="R8:R13" si="4">B8</f>
        <v>하수50 : 비료25 : 퇴비 25</v>
      </c>
      <c r="S8" s="16">
        <f>($V$2*C4)/(($V$2*C4)+($T$2*C5)+($T$2*C6))*100</f>
        <v>20.04314994606257</v>
      </c>
      <c r="T8" s="16">
        <f>($T$2*C5)/(($V$2*C4)+($T$2*C5)+($T$2*C6))*100</f>
        <v>3.5382955771305289</v>
      </c>
      <c r="U8" s="16">
        <f t="shared" ref="U8:U13" si="5">100-(S8+T8)</f>
        <v>76.418554476806904</v>
      </c>
      <c r="X8" s="7" t="str">
        <f t="shared" si="0"/>
        <v>하수50 : 비료25 : 퇴비 25</v>
      </c>
      <c r="Y8" s="16">
        <f>(($V$2*C4*E4)+($T$2*C5*E5)+($T$2*C6*E6))/(($V$2*C4)+($T$2*C5)+($T$2*C6))</f>
        <v>19.277596548004315</v>
      </c>
      <c r="Z8" s="16">
        <f>(($V$2*C4*F4)+($T$2*C5*F5)+($T$2*C6*F6))/(($V$2*C4)+($T$2*C5)+($T$2*C6))</f>
        <v>4.3813613807982739</v>
      </c>
      <c r="AB8" s="7" t="str">
        <f t="shared" si="1"/>
        <v>하수50 : 비료25 : 퇴비 25</v>
      </c>
      <c r="AC8" s="16">
        <f t="shared" ref="AC8:AC13" si="6">Y8/E8</f>
        <v>1.0130108538100007</v>
      </c>
      <c r="AD8" s="16">
        <f t="shared" ref="AD8:AD13" si="7">Z8/F8</f>
        <v>1.2447049377267823</v>
      </c>
    </row>
    <row r="9" spans="1:30" x14ac:dyDescent="0.3">
      <c r="A9" s="7"/>
      <c r="B9" s="8" t="s">
        <v>188</v>
      </c>
      <c r="C9" s="41"/>
      <c r="D9" s="8"/>
      <c r="E9" s="9">
        <v>18.39</v>
      </c>
      <c r="F9" s="9">
        <v>4.84</v>
      </c>
      <c r="G9" s="9"/>
      <c r="H9" s="19">
        <v>15.33</v>
      </c>
      <c r="I9" s="19">
        <v>6.72</v>
      </c>
      <c r="J9" s="19">
        <v>77.94</v>
      </c>
      <c r="K9" s="17">
        <f t="shared" si="2"/>
        <v>99.99</v>
      </c>
      <c r="M9" s="45">
        <v>21</v>
      </c>
      <c r="N9" s="45">
        <v>5</v>
      </c>
      <c r="O9" s="45">
        <v>74</v>
      </c>
      <c r="P9" s="17">
        <f t="shared" si="3"/>
        <v>100</v>
      </c>
      <c r="R9" s="7" t="str">
        <f t="shared" si="4"/>
        <v>하수25 : 비료50 : 퇴비 25</v>
      </c>
      <c r="S9" s="16">
        <f>($T$2*C4)/(($T$2*C4)+($V$2*C5)+($T$2*C6))*100</f>
        <v>10.716345599261738</v>
      </c>
      <c r="T9" s="16">
        <f>($V$2*C5)/(($T$2*C4)+($V$2*C5)+($T$2*C6))*100</f>
        <v>7.5671934479178677</v>
      </c>
      <c r="U9" s="16">
        <f t="shared" si="5"/>
        <v>81.716460952820398</v>
      </c>
      <c r="X9" s="7" t="str">
        <f t="shared" si="0"/>
        <v>하수25 : 비료50 : 퇴비 25</v>
      </c>
      <c r="Y9" s="16">
        <f>(($T$2*C4*E4)+($V$2*C5*E5)+($T$2*C6*E6))/(($T$2*C4)+($V$2*C5)+($T$2*C6))</f>
        <v>18.404519552428191</v>
      </c>
      <c r="Z9" s="16">
        <f>(($T$2*C4*F4)+($V$2*C5*F5)+($T$2*C6*F6))/(($T$2*C4)+($V$2*C5)+($T$2*C6))</f>
        <v>5.052009458991809</v>
      </c>
      <c r="AB9" s="7" t="str">
        <f t="shared" si="1"/>
        <v>하수25 : 비료50 : 퇴비 25</v>
      </c>
      <c r="AC9" s="16">
        <f t="shared" si="6"/>
        <v>1.0007895352054481</v>
      </c>
      <c r="AD9" s="16">
        <f t="shared" si="7"/>
        <v>1.0438036072297125</v>
      </c>
    </row>
    <row r="10" spans="1:30" x14ac:dyDescent="0.3">
      <c r="A10" s="7"/>
      <c r="B10" s="8" t="s">
        <v>189</v>
      </c>
      <c r="C10" s="41"/>
      <c r="D10" s="8"/>
      <c r="E10" s="9">
        <v>21.56</v>
      </c>
      <c r="F10" s="9">
        <v>3.49</v>
      </c>
      <c r="G10" s="9"/>
      <c r="H10" s="17">
        <v>29.96</v>
      </c>
      <c r="I10" s="17">
        <v>0.28999999999999998</v>
      </c>
      <c r="J10" s="17">
        <v>69.760000000000005</v>
      </c>
      <c r="K10" s="17">
        <f t="shared" si="2"/>
        <v>100.01</v>
      </c>
      <c r="M10" s="45">
        <v>18</v>
      </c>
      <c r="N10" s="45">
        <v>2</v>
      </c>
      <c r="O10" s="45">
        <v>80</v>
      </c>
      <c r="P10" s="17">
        <f t="shared" si="3"/>
        <v>100</v>
      </c>
      <c r="R10" s="7" t="str">
        <f t="shared" si="4"/>
        <v>하수25 : 비료25 : 퇴비 50</v>
      </c>
      <c r="S10" s="16">
        <f>($T$2*C4)/(($T$2*C4)+($T$2*C5)+($V$2*C6))*100</f>
        <v>6.0226904376012973</v>
      </c>
      <c r="T10" s="16">
        <f>($T$2*C5)/(($T$2*C4)+($T$2*C5)+($V$2*C6))*100</f>
        <v>2.1264181523500811</v>
      </c>
      <c r="U10" s="16">
        <f t="shared" si="5"/>
        <v>91.850891410048618</v>
      </c>
      <c r="X10" s="7" t="str">
        <f t="shared" si="0"/>
        <v>하수25 : 비료25 : 퇴비 50</v>
      </c>
      <c r="Y10" s="16">
        <f>(($T$2*C4*E4)+($T$2*C5*E5)+($V$2*C6*E6))/(($T$2*C4)+($T$2*C5)+($V$2*C6))</f>
        <v>21.564866126418153</v>
      </c>
      <c r="Z10" s="16">
        <f>(($T$2*C4*F4)+($T$2*C5*F5)+($V$2*C6*F6))/(($T$2*C4)+($T$2*C5)+($V$2*C6))</f>
        <v>4.5612752025931922</v>
      </c>
      <c r="AB10" s="7" t="str">
        <f t="shared" si="1"/>
        <v>하수25 : 비료25 : 퇴비 50</v>
      </c>
      <c r="AC10" s="16">
        <f t="shared" si="6"/>
        <v>1.0002257015963893</v>
      </c>
      <c r="AD10" s="16">
        <f t="shared" si="7"/>
        <v>1.3069556454421754</v>
      </c>
    </row>
    <row r="11" spans="1:30" x14ac:dyDescent="0.3">
      <c r="A11" s="7"/>
      <c r="B11" s="8" t="s">
        <v>190</v>
      </c>
      <c r="C11" s="41"/>
      <c r="D11" s="8"/>
      <c r="E11" s="9">
        <v>16.899999999999999</v>
      </c>
      <c r="F11" s="9">
        <v>2.99</v>
      </c>
      <c r="G11" s="9"/>
      <c r="H11" s="17">
        <v>58.76</v>
      </c>
      <c r="I11" s="17">
        <v>0.28000000000000003</v>
      </c>
      <c r="J11" s="17">
        <v>40.96</v>
      </c>
      <c r="K11" s="17">
        <f t="shared" si="2"/>
        <v>100</v>
      </c>
      <c r="M11" s="45">
        <v>45</v>
      </c>
      <c r="N11" s="45">
        <v>3</v>
      </c>
      <c r="O11" s="45">
        <v>52</v>
      </c>
      <c r="P11" s="17">
        <f t="shared" si="3"/>
        <v>100</v>
      </c>
      <c r="R11" s="7" t="str">
        <f t="shared" si="4"/>
        <v>하수75 : 비료12.5 : 퇴비12.5</v>
      </c>
      <c r="S11" s="16">
        <f>($W$2*C4)/(($W$2*C4)+($S$2*C5)+($S$2*C6))*100</f>
        <v>42.923148005544434</v>
      </c>
      <c r="T11" s="16">
        <f>($S$2*C5)/(($W$2*C4)+($S$2*C5)+($S$2*C6))*100</f>
        <v>2.5257970121669491</v>
      </c>
      <c r="U11" s="16">
        <f t="shared" si="5"/>
        <v>54.551054982288619</v>
      </c>
      <c r="X11" s="7" t="str">
        <f t="shared" si="0"/>
        <v>하수75 : 비료12.5 : 퇴비12.5</v>
      </c>
      <c r="Y11" s="16">
        <f>(($W$2*C4*E4)+($S$2*C5*E5)+($S$2*C6*E6))/(($W$2*C4)+($S$2*C5)+($S$2*C6))</f>
        <v>17.14357307870014</v>
      </c>
      <c r="Z11" s="16">
        <f>(($W$2*C4*F4)+($S$2*C5*F5)+($S$2*C6*F6))/(($W$2*C4)+($S$2*C5)+($S$2*C6))</f>
        <v>3.7199553365162479</v>
      </c>
      <c r="AB11" s="7" t="str">
        <f t="shared" si="1"/>
        <v>하수75 : 비료12.5 : 퇴비12.5</v>
      </c>
      <c r="AC11" s="16">
        <f t="shared" si="6"/>
        <v>1.014412608207109</v>
      </c>
      <c r="AD11" s="16">
        <f t="shared" si="7"/>
        <v>1.2441322195706515</v>
      </c>
    </row>
    <row r="12" spans="1:30" x14ac:dyDescent="0.3">
      <c r="A12" s="7"/>
      <c r="B12" s="8" t="s">
        <v>191</v>
      </c>
      <c r="C12" s="41"/>
      <c r="D12" s="8"/>
      <c r="E12" s="9">
        <v>12.8</v>
      </c>
      <c r="F12" s="9">
        <v>6.41</v>
      </c>
      <c r="G12" s="9"/>
      <c r="H12" s="17">
        <v>9.98</v>
      </c>
      <c r="I12" s="17">
        <v>19.47</v>
      </c>
      <c r="J12" s="17">
        <v>70.540000000000006</v>
      </c>
      <c r="K12" s="17">
        <f t="shared" si="2"/>
        <v>99.990000000000009</v>
      </c>
      <c r="M12" s="45">
        <v>25</v>
      </c>
      <c r="N12" s="45">
        <v>17</v>
      </c>
      <c r="O12" s="45">
        <v>58</v>
      </c>
      <c r="P12" s="17">
        <f t="shared" si="3"/>
        <v>100</v>
      </c>
      <c r="R12" s="7" t="str">
        <f t="shared" si="4"/>
        <v>하수12.5 : 비료75 : 퇴비12.5</v>
      </c>
      <c r="S12" s="16">
        <f>($S$2*C4)/(($S$2*C4)+($W$2*C5)+($S$2*C6))*100</f>
        <v>9.3076846007414087</v>
      </c>
      <c r="T12" s="16">
        <f>($W$2*C5)/(($S$2*C4)+($W$2*C5)+($S$2*C6))*100</f>
        <v>19.717463180042081</v>
      </c>
      <c r="U12" s="16">
        <f t="shared" si="5"/>
        <v>70.974852219216501</v>
      </c>
      <c r="X12" s="7" t="str">
        <f t="shared" si="0"/>
        <v>하수12.5 : 비료75 : 퇴비12.5</v>
      </c>
      <c r="Y12" s="16">
        <f>(($S$2*C4*E4)+($W$2*C5*E5)+($S$2*C6*E6))/(($S$2*C4)+($W$2*C5)+($S$2*C6))</f>
        <v>12.709522091974751</v>
      </c>
      <c r="Z12" s="16">
        <f>(($S$2*C4*F4)+($W$2*C5*F5)+($S$2*C6*F6))/(($S$2*C4)+($W$2*C5)+($S$2*C6))</f>
        <v>6.4332822362488722</v>
      </c>
      <c r="AB12" s="7" t="str">
        <f t="shared" si="1"/>
        <v>하수12.5 : 비료75 : 퇴비12.5</v>
      </c>
      <c r="AC12" s="16">
        <f t="shared" si="6"/>
        <v>0.99293141343552738</v>
      </c>
      <c r="AD12" s="16">
        <f t="shared" si="7"/>
        <v>1.0036321741417897</v>
      </c>
    </row>
    <row r="13" spans="1:30" x14ac:dyDescent="0.3">
      <c r="A13" s="7"/>
      <c r="B13" s="8" t="s">
        <v>192</v>
      </c>
      <c r="C13" s="41"/>
      <c r="D13" s="8"/>
      <c r="E13" s="9">
        <v>22.59</v>
      </c>
      <c r="F13" s="9">
        <v>3.52</v>
      </c>
      <c r="G13" s="9"/>
      <c r="H13" s="17">
        <v>25.06</v>
      </c>
      <c r="I13" s="17">
        <v>0.17</v>
      </c>
      <c r="J13" s="17">
        <v>74.77</v>
      </c>
      <c r="K13" s="17">
        <f t="shared" si="2"/>
        <v>100</v>
      </c>
      <c r="M13" s="45">
        <v>15</v>
      </c>
      <c r="N13" s="45">
        <v>2</v>
      </c>
      <c r="O13" s="45">
        <v>83</v>
      </c>
      <c r="P13" s="17">
        <f t="shared" si="3"/>
        <v>100</v>
      </c>
      <c r="R13" s="7" t="str">
        <f t="shared" si="4"/>
        <v>하수12.5 : 비료12.5 : 퇴비75</v>
      </c>
      <c r="S13" s="16">
        <f>($S$2*C4)/(($S$2*C4)+($S$2*C5)+($W$2*C6))*100</f>
        <v>2.1228948150179385</v>
      </c>
      <c r="T13" s="16">
        <f>($S$2*C5)/(($S$2*C4)+($S$2*C5)+($W$2*C6))*100</f>
        <v>0.74952583350471891</v>
      </c>
      <c r="U13" s="16">
        <f t="shared" si="5"/>
        <v>97.127579351477337</v>
      </c>
      <c r="X13" s="7" t="str">
        <f t="shared" si="0"/>
        <v>하수12.5 : 비료12.5 : 퇴비75</v>
      </c>
      <c r="Y13" s="16">
        <f>(($S$2*C4*E4)+($S$2*C5*E5)+($W$2*C6*E6))/(($S$2*C4)+($S$2*C5)+($W$2*C6))</f>
        <v>22.675444802449672</v>
      </c>
      <c r="Z13" s="16">
        <f>(($S$2*C4*F4)+($S$2*C5*F5)+($W$2*C6*F6))/(($S$2*C4)+($S$2*C5)+($W$2*C6))</f>
        <v>4.5021729393752432</v>
      </c>
      <c r="AB13" s="7" t="str">
        <f t="shared" si="1"/>
        <v>하수12.5 : 비료12.5 : 퇴비75</v>
      </c>
      <c r="AC13" s="16">
        <f t="shared" si="6"/>
        <v>1.0037824171071126</v>
      </c>
      <c r="AD13" s="16">
        <f t="shared" si="7"/>
        <v>1.2790264032316032</v>
      </c>
    </row>
    <row r="17" spans="1:30" x14ac:dyDescent="0.3">
      <c r="A17" s="5" t="s">
        <v>120</v>
      </c>
    </row>
    <row r="18" spans="1:30" ht="27" x14ac:dyDescent="0.3">
      <c r="A18" s="1" t="s">
        <v>0</v>
      </c>
      <c r="B18" s="2" t="s">
        <v>1</v>
      </c>
      <c r="C18" s="3" t="s">
        <v>12</v>
      </c>
      <c r="D18" s="3"/>
      <c r="E18" s="3" t="s">
        <v>2</v>
      </c>
      <c r="F18" s="4" t="s">
        <v>3</v>
      </c>
      <c r="G18" s="4" t="s">
        <v>3</v>
      </c>
    </row>
    <row r="19" spans="1:30" x14ac:dyDescent="0.3">
      <c r="A19" s="7" t="s">
        <v>193</v>
      </c>
      <c r="B19" s="8" t="s">
        <v>162</v>
      </c>
      <c r="C19" s="41">
        <v>1.8580000000000001</v>
      </c>
      <c r="D19" s="8"/>
      <c r="E19" s="67">
        <v>11.82</v>
      </c>
      <c r="F19" s="67">
        <v>2.0699999999999998</v>
      </c>
      <c r="G19" s="9"/>
    </row>
    <row r="20" spans="1:30" x14ac:dyDescent="0.3">
      <c r="A20" s="7" t="s">
        <v>181</v>
      </c>
      <c r="B20" s="8" t="s">
        <v>25</v>
      </c>
      <c r="C20" s="41">
        <v>0.65600000000000003</v>
      </c>
      <c r="D20" s="8"/>
      <c r="E20" s="67">
        <v>-24.92</v>
      </c>
      <c r="F20" s="67">
        <v>15.56</v>
      </c>
      <c r="G20" s="9"/>
      <c r="H20" s="19" t="s">
        <v>61</v>
      </c>
      <c r="M20" s="17" t="s">
        <v>23</v>
      </c>
    </row>
    <row r="21" spans="1:30" x14ac:dyDescent="0.3">
      <c r="A21" s="7" t="s">
        <v>194</v>
      </c>
      <c r="B21" s="8" t="s">
        <v>164</v>
      </c>
      <c r="C21" s="41">
        <v>0.27700000000000002</v>
      </c>
      <c r="D21" s="8"/>
      <c r="E21" s="67">
        <v>3.1</v>
      </c>
      <c r="F21" s="67">
        <v>11.41</v>
      </c>
      <c r="G21" s="9"/>
      <c r="H21" s="20" t="s">
        <v>13</v>
      </c>
      <c r="I21" s="20" t="s">
        <v>184</v>
      </c>
      <c r="J21" s="20" t="s">
        <v>183</v>
      </c>
      <c r="K21" s="17" t="s">
        <v>15</v>
      </c>
      <c r="M21" s="20" t="s">
        <v>13</v>
      </c>
      <c r="N21" s="20" t="s">
        <v>184</v>
      </c>
      <c r="O21" s="20" t="s">
        <v>183</v>
      </c>
      <c r="P21" s="17" t="s">
        <v>26</v>
      </c>
      <c r="R21" s="1" t="s">
        <v>179</v>
      </c>
      <c r="S21" s="2" t="s">
        <v>180</v>
      </c>
      <c r="T21" s="4" t="s">
        <v>181</v>
      </c>
      <c r="U21" s="4" t="s">
        <v>194</v>
      </c>
      <c r="X21" s="1" t="s">
        <v>63</v>
      </c>
      <c r="Y21" s="2" t="s">
        <v>54</v>
      </c>
      <c r="Z21" s="4" t="s">
        <v>55</v>
      </c>
      <c r="AB21" s="1" t="s">
        <v>202</v>
      </c>
      <c r="AC21" s="2" t="s">
        <v>54</v>
      </c>
      <c r="AD21" s="4" t="s">
        <v>55</v>
      </c>
    </row>
    <row r="22" spans="1:30" x14ac:dyDescent="0.3">
      <c r="A22" s="7"/>
      <c r="B22" s="8" t="s">
        <v>195</v>
      </c>
      <c r="C22" s="41"/>
      <c r="D22" s="8"/>
      <c r="E22" s="9">
        <v>4.18</v>
      </c>
      <c r="F22" s="9">
        <v>5.92</v>
      </c>
      <c r="G22" s="9"/>
      <c r="H22" s="19">
        <v>65.989999999999995</v>
      </c>
      <c r="I22" s="19">
        <v>16.63</v>
      </c>
      <c r="J22" s="19">
        <v>17.38</v>
      </c>
      <c r="K22" s="17">
        <f>SUM(H22:J22)</f>
        <v>99.999999999999986</v>
      </c>
      <c r="M22" s="45">
        <v>68</v>
      </c>
      <c r="N22" s="45">
        <v>19</v>
      </c>
      <c r="O22" s="45">
        <v>13</v>
      </c>
      <c r="P22" s="17">
        <f>SUM(M22:O22)</f>
        <v>100</v>
      </c>
      <c r="R22" s="7" t="str">
        <f>B22</f>
        <v>하수33.3 : 비료33.3 : 토양 33.3</v>
      </c>
      <c r="S22" s="16">
        <f>($U$2*C19)/(($U$2*C19)+($U$2*C20)+($U$2*C21))*100</f>
        <v>66.571121461841628</v>
      </c>
      <c r="T22" s="16">
        <f>($U$2*C20)/(($U$2*C19)+($U$2*C20)+($U$2*C21))*100</f>
        <v>23.504120386958078</v>
      </c>
      <c r="U22" s="16">
        <f>100-(S22+T22)</f>
        <v>9.9247581512002938</v>
      </c>
      <c r="X22" s="7" t="str">
        <f t="shared" ref="X22:X28" si="8">B22</f>
        <v>하수33.3 : 비료33.3 : 토양 33.3</v>
      </c>
      <c r="Y22" s="16">
        <f>(($U$2*C19*E19)+($U$2*C20*E20)+($U$2*C21*E21))/(($U$2*C19)+($U$2*C20)+($U$2*C21))</f>
        <v>2.3191472590469364</v>
      </c>
      <c r="Z22" s="16">
        <f>(($U$2*C19*F19)+($U$2*C20*F20)+($U$2*C21*F21))/(($U$2*C19)+($U$2*C20)+($U$2*C21))</f>
        <v>6.1676782515227506</v>
      </c>
      <c r="AB22" s="7" t="str">
        <f t="shared" ref="AB22:AB28" si="9">B22</f>
        <v>하수33.3 : 비료33.3 : 토양 33.3</v>
      </c>
      <c r="AC22" s="68">
        <f>Y22/E22</f>
        <v>0.55481991843228151</v>
      </c>
      <c r="AD22" s="16">
        <f>Z22/F22</f>
        <v>1.041837542486951</v>
      </c>
    </row>
    <row r="23" spans="1:30" x14ac:dyDescent="0.3">
      <c r="A23" s="7"/>
      <c r="B23" s="8" t="s">
        <v>196</v>
      </c>
      <c r="C23" s="41"/>
      <c r="D23" s="8"/>
      <c r="E23" s="9">
        <v>7.24</v>
      </c>
      <c r="F23" s="9">
        <v>4.1100000000000003</v>
      </c>
      <c r="G23" s="9"/>
      <c r="H23" s="19">
        <v>83.09</v>
      </c>
      <c r="I23" s="19">
        <v>11.08</v>
      </c>
      <c r="J23" s="19">
        <v>5.82</v>
      </c>
      <c r="K23" s="17">
        <f t="shared" ref="K23:K28" si="10">SUM(H23:J23)</f>
        <v>99.990000000000009</v>
      </c>
      <c r="M23" s="45">
        <v>82</v>
      </c>
      <c r="N23" s="45">
        <v>10</v>
      </c>
      <c r="O23" s="45">
        <v>8</v>
      </c>
      <c r="P23" s="17">
        <f t="shared" ref="P23:P28" si="11">SUM(M23:O23)</f>
        <v>100</v>
      </c>
      <c r="R23" s="7" t="str">
        <f t="shared" ref="R23:R28" si="12">B23</f>
        <v>하수50 : 비료25 : 토양 25</v>
      </c>
      <c r="S23" s="16">
        <f>($V$2*C19)/(($V$2*C19)+($T$2*C20)+($T$2*C21))*100</f>
        <v>79.931167993116802</v>
      </c>
      <c r="T23" s="16">
        <f>($T$2*C20)/(($V$2*C19)+($T$2*C20)+($T$2*C21))*100</f>
        <v>14.110561411056141</v>
      </c>
      <c r="U23" s="16">
        <f>100-(S23+T23)</f>
        <v>5.9582705958270594</v>
      </c>
      <c r="X23" s="7" t="str">
        <f t="shared" si="8"/>
        <v>하수50 : 비료25 : 토양 25</v>
      </c>
      <c r="Y23" s="16">
        <f>(($V$2*C19*E19)+($T$2*C20*E20)+($T$2*C21*E21))/(($V$2*C19)+($T$2*C20)+($T$2*C21))</f>
        <v>6.116218541621854</v>
      </c>
      <c r="Z23" s="16">
        <f>(($V$2*C19*F19)+($T$2*C20*F20)+($T$2*C21*F21))/(($V$2*C19)+($T$2*C20)+($T$2*C21))</f>
        <v>4.5300172080017207</v>
      </c>
      <c r="AB23" s="7" t="str">
        <f t="shared" si="9"/>
        <v>하수50 : 비료25 : 토양 25</v>
      </c>
      <c r="AC23" s="16">
        <f t="shared" ref="AC23:AC28" si="13">Y23/E23</f>
        <v>0.84478156652235548</v>
      </c>
      <c r="AD23" s="16">
        <f t="shared" ref="AD23:AD28" si="14">Z23/F23</f>
        <v>1.1021939678836303</v>
      </c>
    </row>
    <row r="24" spans="1:30" x14ac:dyDescent="0.3">
      <c r="A24" s="7"/>
      <c r="B24" s="8" t="s">
        <v>197</v>
      </c>
      <c r="C24" s="41"/>
      <c r="D24" s="8"/>
      <c r="E24" s="9">
        <v>-0.41</v>
      </c>
      <c r="F24" s="9">
        <v>7.45</v>
      </c>
      <c r="G24" s="9"/>
      <c r="H24" s="19">
        <v>55.25</v>
      </c>
      <c r="I24" s="19">
        <v>29.73</v>
      </c>
      <c r="J24" s="19">
        <v>15.02</v>
      </c>
      <c r="K24" s="17">
        <f t="shared" si="10"/>
        <v>100</v>
      </c>
      <c r="M24" s="45">
        <v>56</v>
      </c>
      <c r="N24" s="45">
        <v>29</v>
      </c>
      <c r="O24" s="45">
        <v>15</v>
      </c>
      <c r="P24" s="17">
        <f t="shared" si="11"/>
        <v>100</v>
      </c>
      <c r="R24" s="7" t="str">
        <f t="shared" si="12"/>
        <v>하수25 : 비료50 : 토양 25</v>
      </c>
      <c r="S24" s="16">
        <f>($T$2*C19)/(($T$2*C19)+($V$2*C20)+($T$2*C21))*100</f>
        <v>53.901943719176096</v>
      </c>
      <c r="T24" s="16">
        <f>($V$2*C20)/(($T$2*C19)+($V$2*C20)+($T$2*C21))*100</f>
        <v>38.062082970699159</v>
      </c>
      <c r="U24" s="16">
        <f>100-(S24+T24)</f>
        <v>8.0359733101247457</v>
      </c>
      <c r="X24" s="7" t="str">
        <f t="shared" si="8"/>
        <v>하수25 : 비료50 : 토양 25</v>
      </c>
      <c r="Y24" s="16">
        <f>(($T$2*C19*E19)+($V$2*C20*E20)+($T$2*C21*E21))/(($T$2*C19)+($V$2*C20)+($T$2*C21))</f>
        <v>-2.8647461560777496</v>
      </c>
      <c r="Z24" s="16">
        <f>(($T$2*C19*F19)+($V$2*C20*F20)+($T$2*C21*F21))/(($T$2*C19)+($V$2*C20)+($T$2*C21))</f>
        <v>7.9551348999129692</v>
      </c>
      <c r="AB24" s="7" t="str">
        <f t="shared" si="9"/>
        <v>하수25 : 비료50 : 토양 25</v>
      </c>
      <c r="AC24" s="68">
        <f t="shared" si="13"/>
        <v>6.9871857465310967</v>
      </c>
      <c r="AD24" s="16">
        <f t="shared" si="14"/>
        <v>1.0678033422701971</v>
      </c>
    </row>
    <row r="25" spans="1:30" x14ac:dyDescent="0.3">
      <c r="A25" s="7"/>
      <c r="B25" s="8" t="s">
        <v>198</v>
      </c>
      <c r="C25" s="41"/>
      <c r="D25" s="8"/>
      <c r="E25" s="9">
        <v>3.96</v>
      </c>
      <c r="F25" s="9">
        <v>5.66</v>
      </c>
      <c r="G25" s="9"/>
      <c r="H25" s="17">
        <v>69.77</v>
      </c>
      <c r="I25" s="17">
        <v>18.649999999999999</v>
      </c>
      <c r="J25" s="17">
        <v>11.58</v>
      </c>
      <c r="K25" s="17">
        <f t="shared" si="10"/>
        <v>99.999999999999986</v>
      </c>
      <c r="M25" s="45">
        <v>69</v>
      </c>
      <c r="N25" s="45">
        <v>18</v>
      </c>
      <c r="O25" s="45">
        <v>13</v>
      </c>
      <c r="P25" s="17">
        <f t="shared" si="11"/>
        <v>100</v>
      </c>
      <c r="R25" s="7" t="str">
        <f t="shared" si="12"/>
        <v>하수25 : 비료25 : 토양 50</v>
      </c>
      <c r="S25" s="16">
        <f>($T$2*C19)/(($T$2*C19)+($T$2*C20)+($V$2*C21))*100</f>
        <v>60.560625814863101</v>
      </c>
      <c r="T25" s="16">
        <f>($T$2*C20)/(($T$2*C19)+($T$2*C20)+($V$2*C21))*100</f>
        <v>21.382007822685786</v>
      </c>
      <c r="U25" s="16">
        <f>100-(S25+T25)</f>
        <v>18.05736636245112</v>
      </c>
      <c r="X25" s="7" t="str">
        <f t="shared" si="8"/>
        <v>하수25 : 비료25 : 토양 50</v>
      </c>
      <c r="Y25" s="16">
        <f>(($T$2*C19*E19)+($T$2*C20*E20)+($V$2*C21*E21))/(($T$2*C19)+($T$2*C20)+($V$2*C21))</f>
        <v>2.3896479791395042</v>
      </c>
      <c r="Z25" s="16">
        <f>(($T$2*C19*F19)+($T$2*C20*F20)+($V$2*C21*F21))/(($T$2*C19)+($T$2*C20)+($V$2*C21))</f>
        <v>6.6409908735332461</v>
      </c>
      <c r="AB25" s="7" t="str">
        <f t="shared" si="9"/>
        <v>하수25 : 비료25 : 토양 50</v>
      </c>
      <c r="AC25" s="68">
        <f t="shared" si="13"/>
        <v>0.6034464593786627</v>
      </c>
      <c r="AD25" s="16">
        <f t="shared" si="14"/>
        <v>1.1733199423203615</v>
      </c>
    </row>
    <row r="26" spans="1:30" x14ac:dyDescent="0.3">
      <c r="A26" s="7"/>
      <c r="B26" s="8" t="s">
        <v>199</v>
      </c>
      <c r="C26" s="41"/>
      <c r="D26" s="8"/>
      <c r="E26" s="9">
        <v>10.24</v>
      </c>
      <c r="F26" s="9">
        <v>2.2400000000000002</v>
      </c>
      <c r="G26" s="9"/>
      <c r="H26" s="17">
        <v>97.28</v>
      </c>
      <c r="I26" s="17">
        <v>1.46</v>
      </c>
      <c r="J26" s="17">
        <v>1.27</v>
      </c>
      <c r="K26" s="17">
        <f t="shared" si="10"/>
        <v>100.00999999999999</v>
      </c>
      <c r="M26" s="45">
        <v>94</v>
      </c>
      <c r="N26" s="45">
        <v>3</v>
      </c>
      <c r="O26" s="45">
        <v>3</v>
      </c>
      <c r="P26" s="17">
        <f t="shared" si="11"/>
        <v>100</v>
      </c>
      <c r="R26" s="7" t="str">
        <f t="shared" si="12"/>
        <v>하수75 : 비료12.5 : 토양12.5</v>
      </c>
      <c r="S26" s="16">
        <f>($W$2*C19)/(($W$2*C19)+($S$2*C20)+($S$2*C21))*100</f>
        <v>92.277129376707222</v>
      </c>
      <c r="T26" s="16">
        <f>($S$2*C20)/(($W$2*C19)+($S$2*C20)+($S$2*C21))*100</f>
        <v>5.430014071682808</v>
      </c>
      <c r="U26" s="16">
        <f>100-(S26+T26)</f>
        <v>2.2928565516099724</v>
      </c>
      <c r="X26" s="7" t="str">
        <f t="shared" si="8"/>
        <v>하수75 : 비료12.5 : 토양12.5</v>
      </c>
      <c r="Y26" s="16">
        <f>(($W$2*C19*E19)+($S$2*C20*E20)+($S$2*C21*E21))/(($W$2*C19)+($S$2*C20)+($S$2*C21))</f>
        <v>9.6250757387633481</v>
      </c>
      <c r="Z26" s="16">
        <f>(($W$2*C19*F19)+($S$2*C20*F20)+($S$2*C21*F21))/(($W$2*C19)+($S$2*C20)+($S$2*C21))</f>
        <v>3.0166617001903817</v>
      </c>
      <c r="AB26" s="7" t="str">
        <f t="shared" si="9"/>
        <v>하수75 : 비료12.5 : 토양12.5</v>
      </c>
      <c r="AC26" s="16">
        <f t="shared" si="13"/>
        <v>0.93994880261360825</v>
      </c>
      <c r="AD26" s="16">
        <f t="shared" si="14"/>
        <v>1.3467239732992775</v>
      </c>
    </row>
    <row r="27" spans="1:30" x14ac:dyDescent="0.3">
      <c r="A27" s="7"/>
      <c r="B27" s="8" t="s">
        <v>200</v>
      </c>
      <c r="C27" s="41"/>
      <c r="D27" s="8"/>
      <c r="E27" s="9">
        <v>-9.7899999999999991</v>
      </c>
      <c r="F27" s="9">
        <v>10.46</v>
      </c>
      <c r="G27" s="9"/>
      <c r="H27" s="17">
        <v>34.57</v>
      </c>
      <c r="I27" s="17">
        <v>56.6</v>
      </c>
      <c r="J27" s="17">
        <v>8.83</v>
      </c>
      <c r="K27" s="17">
        <f t="shared" si="10"/>
        <v>100</v>
      </c>
      <c r="M27" s="45">
        <v>34</v>
      </c>
      <c r="N27" s="45">
        <v>55</v>
      </c>
      <c r="O27" s="45">
        <v>11</v>
      </c>
      <c r="P27" s="17">
        <f t="shared" si="11"/>
        <v>100</v>
      </c>
      <c r="R27" s="7" t="str">
        <f t="shared" si="12"/>
        <v>하수12.5 : 비료75 : 토양12.5</v>
      </c>
      <c r="S27" s="16">
        <f>($S$2*C19)/(($S$2*C19)+($W$2*C20)+($S$2*C21))*100</f>
        <v>30.604513259759507</v>
      </c>
      <c r="T27" s="16">
        <f>($W$2*C20)/(($S$2*C19)+($W$2*C20)+($S$2*C21))*100</f>
        <v>64.832811727886664</v>
      </c>
      <c r="U27" s="16">
        <f t="shared" ref="U27" si="15">100-(S27+T27)</f>
        <v>4.5626750123538216</v>
      </c>
      <c r="X27" s="7" t="str">
        <f t="shared" si="8"/>
        <v>하수12.5 : 비료75 : 토양12.5</v>
      </c>
      <c r="Y27" s="16">
        <f>(($S$2*C19*E19)+($W$2*C20*E20)+($S$2*C21*E21))/(($S$2*C19)+($W$2*C20)+($S$2*C21))</f>
        <v>-12.397440289902816</v>
      </c>
      <c r="Z27" s="16">
        <f>(($S$2*C19*F19)+($W$2*C20*F20)+($S$2*C21*F21))/(($S$2*C19)+($W$2*C20)+($S$2*C21))</f>
        <v>11.242100148245759</v>
      </c>
      <c r="AB27" s="7" t="str">
        <f t="shared" si="9"/>
        <v>하수12.5 : 비료75 : 토양12.5</v>
      </c>
      <c r="AC27" s="68">
        <f t="shared" si="13"/>
        <v>1.266337108263822</v>
      </c>
      <c r="AD27" s="16">
        <f t="shared" si="14"/>
        <v>1.0747705686659426</v>
      </c>
    </row>
    <row r="28" spans="1:30" x14ac:dyDescent="0.3">
      <c r="A28" s="7"/>
      <c r="B28" s="8" t="s">
        <v>201</v>
      </c>
      <c r="C28" s="41"/>
      <c r="D28" s="8"/>
      <c r="E28" s="9">
        <v>3.89</v>
      </c>
      <c r="F28" s="9">
        <v>6.94</v>
      </c>
      <c r="G28" s="9"/>
      <c r="H28" s="17">
        <v>53.65</v>
      </c>
      <c r="I28" s="17">
        <v>13.84</v>
      </c>
      <c r="J28" s="17">
        <v>32.5</v>
      </c>
      <c r="K28" s="17">
        <f t="shared" si="10"/>
        <v>99.99</v>
      </c>
      <c r="M28" s="45">
        <v>57</v>
      </c>
      <c r="N28" s="45">
        <v>17</v>
      </c>
      <c r="O28" s="45">
        <v>26</v>
      </c>
      <c r="P28" s="17">
        <f t="shared" si="11"/>
        <v>100</v>
      </c>
      <c r="R28" s="7" t="str">
        <f t="shared" si="12"/>
        <v>하수12.5 : 비료12.5 : 토양75</v>
      </c>
      <c r="S28" s="16">
        <f>($S$2*C19)/(($S$2*C19)+($S$2*C20)+($W$2*C21))*100</f>
        <v>44.492337164750957</v>
      </c>
      <c r="T28" s="16">
        <f>($S$2*C20)/(($S$2*C19)+($S$2*C20)+($W$2*C21))*100</f>
        <v>15.708812260536398</v>
      </c>
      <c r="U28" s="16">
        <f>100-(S28+T28)</f>
        <v>39.798850574712645</v>
      </c>
      <c r="X28" s="7" t="str">
        <f t="shared" si="8"/>
        <v>하수12.5 : 비료12.5 : 토양75</v>
      </c>
      <c r="Y28" s="16">
        <f>(($S$2*C19*E19)+($S$2*C20*E20)+($W$2*C21*E21))/(($S$2*C19)+($S$2*C20)+($W$2*C21))</f>
        <v>2.5781226053639847</v>
      </c>
      <c r="Z28" s="16">
        <f>(($S$2*C19*F19)+($S$2*C20*F20)+($W$2*C21*F21))/(($S$2*C19)+($S$2*C20)+($W$2*C21))</f>
        <v>7.9063314176245214</v>
      </c>
      <c r="AB28" s="7" t="str">
        <f t="shared" si="9"/>
        <v>하수12.5 : 비료12.5 : 토양75</v>
      </c>
      <c r="AC28" s="68">
        <f t="shared" si="13"/>
        <v>0.66275645382107573</v>
      </c>
      <c r="AD28" s="16">
        <f t="shared" si="14"/>
        <v>1.1392408382744266</v>
      </c>
    </row>
    <row r="32" spans="1:30" x14ac:dyDescent="0.3">
      <c r="A32" s="5" t="s">
        <v>203</v>
      </c>
    </row>
    <row r="33" spans="1:30" ht="27" x14ac:dyDescent="0.3">
      <c r="A33" s="1" t="s">
        <v>0</v>
      </c>
      <c r="B33" s="2" t="s">
        <v>1</v>
      </c>
      <c r="C33" s="3" t="s">
        <v>12</v>
      </c>
      <c r="D33" s="3"/>
      <c r="E33" s="3" t="s">
        <v>2</v>
      </c>
      <c r="F33" s="4" t="s">
        <v>3</v>
      </c>
      <c r="G33" s="4" t="s">
        <v>3</v>
      </c>
    </row>
    <row r="34" spans="1:30" x14ac:dyDescent="0.3">
      <c r="A34" s="7" t="s">
        <v>193</v>
      </c>
      <c r="B34" s="8" t="s">
        <v>162</v>
      </c>
      <c r="C34" s="41">
        <v>1.8580000000000001</v>
      </c>
      <c r="D34" s="8"/>
      <c r="E34" s="67">
        <v>11.82</v>
      </c>
      <c r="F34" s="67">
        <v>2.0699999999999998</v>
      </c>
      <c r="G34" s="9"/>
    </row>
    <row r="35" spans="1:30" x14ac:dyDescent="0.3">
      <c r="A35" s="7" t="s">
        <v>181</v>
      </c>
      <c r="B35" s="8" t="s">
        <v>163</v>
      </c>
      <c r="C35" s="41">
        <v>14.167999999999999</v>
      </c>
      <c r="D35" s="8"/>
      <c r="E35" s="67">
        <v>23.28</v>
      </c>
      <c r="F35" s="67">
        <v>4.47</v>
      </c>
      <c r="G35" s="9"/>
      <c r="H35" s="19" t="s">
        <v>61</v>
      </c>
      <c r="M35" s="17" t="s">
        <v>23</v>
      </c>
    </row>
    <row r="36" spans="1:30" x14ac:dyDescent="0.3">
      <c r="A36" s="7" t="s">
        <v>194</v>
      </c>
      <c r="B36" s="8" t="s">
        <v>164</v>
      </c>
      <c r="C36" s="41">
        <v>0.27700000000000002</v>
      </c>
      <c r="D36" s="8"/>
      <c r="E36" s="67">
        <v>3.1</v>
      </c>
      <c r="F36" s="67">
        <v>11.41</v>
      </c>
      <c r="G36" s="9"/>
      <c r="H36" s="20" t="s">
        <v>13</v>
      </c>
      <c r="I36" s="20" t="s">
        <v>50</v>
      </c>
      <c r="J36" s="20" t="s">
        <v>183</v>
      </c>
      <c r="K36" s="17" t="s">
        <v>15</v>
      </c>
      <c r="M36" s="20" t="s">
        <v>13</v>
      </c>
      <c r="N36" s="20" t="s">
        <v>50</v>
      </c>
      <c r="O36" s="20" t="s">
        <v>183</v>
      </c>
      <c r="P36" s="17" t="s">
        <v>26</v>
      </c>
      <c r="R36" s="1" t="s">
        <v>179</v>
      </c>
      <c r="S36" s="2" t="s">
        <v>180</v>
      </c>
      <c r="T36" s="4" t="s">
        <v>181</v>
      </c>
      <c r="U36" s="4" t="s">
        <v>194</v>
      </c>
      <c r="X36" s="1" t="s">
        <v>63</v>
      </c>
      <c r="Y36" s="2" t="s">
        <v>54</v>
      </c>
      <c r="Z36" s="4" t="s">
        <v>55</v>
      </c>
      <c r="AB36" s="1" t="s">
        <v>202</v>
      </c>
      <c r="AC36" s="2" t="s">
        <v>54</v>
      </c>
      <c r="AD36" s="4" t="s">
        <v>55</v>
      </c>
    </row>
    <row r="37" spans="1:30" x14ac:dyDescent="0.3">
      <c r="A37" s="7"/>
      <c r="B37" s="8" t="s">
        <v>204</v>
      </c>
      <c r="C37" s="41"/>
      <c r="D37" s="8"/>
      <c r="E37" s="9">
        <v>21.4</v>
      </c>
      <c r="F37" s="9">
        <v>3.6</v>
      </c>
      <c r="G37" s="9"/>
      <c r="H37" s="19">
        <v>27.99</v>
      </c>
      <c r="I37" s="19">
        <v>71.790000000000006</v>
      </c>
      <c r="J37" s="19">
        <v>0.22</v>
      </c>
      <c r="K37" s="17">
        <f>SUM(H37:J37)</f>
        <v>100</v>
      </c>
      <c r="M37" s="45">
        <v>15</v>
      </c>
      <c r="N37" s="45">
        <v>82</v>
      </c>
      <c r="O37" s="45">
        <v>3</v>
      </c>
      <c r="P37" s="17">
        <f>SUM(M37:O37)</f>
        <v>100</v>
      </c>
      <c r="R37" s="7" t="str">
        <f>B37</f>
        <v>하수33.3 : 퇴비33.3 : 토양 33.3</v>
      </c>
      <c r="S37" s="16">
        <f>($U$2*C34)/(($U$2*C34)+($U$2*C35)+($U$2*C36))*100</f>
        <v>11.396675458504573</v>
      </c>
      <c r="T37" s="16">
        <f>($U$2*C35)/(($U$2*C34)+($U$2*C35)+($U$2*C36))*100</f>
        <v>86.904250751395466</v>
      </c>
      <c r="U37" s="16">
        <f>100-(S37+T37)</f>
        <v>1.6990737900999591</v>
      </c>
      <c r="X37" s="7" t="str">
        <f t="shared" ref="X37:X43" si="16">B37</f>
        <v>하수33.3 : 퇴비33.3 : 토양 33.3</v>
      </c>
      <c r="Y37" s="16">
        <f>(($U$2*C34*E34)+($U$2*C35*E35)+($U$2*C36*E36))/(($U$2*C34)+($U$2*C35)+($U$2*C36))</f>
        <v>21.631067901613207</v>
      </c>
      <c r="Z37" s="16">
        <f>(($U$2*C34*F34)+($U$2*C35*F35)+($U$2*C36*F36))/(($U$2*C34)+($U$2*C35)+($U$2*C36))</f>
        <v>4.31439551002883</v>
      </c>
      <c r="AB37" s="7" t="str">
        <f t="shared" ref="AB37:AB43" si="17">B37</f>
        <v>하수33.3 : 퇴비33.3 : 토양 33.3</v>
      </c>
      <c r="AC37" s="16">
        <f>Y37/E37</f>
        <v>1.0107975654959442</v>
      </c>
      <c r="AD37" s="16">
        <f>Z37/F37</f>
        <v>1.1984431972302305</v>
      </c>
    </row>
    <row r="38" spans="1:30" x14ac:dyDescent="0.3">
      <c r="A38" s="7"/>
      <c r="B38" s="8" t="s">
        <v>205</v>
      </c>
      <c r="C38" s="41"/>
      <c r="D38" s="8"/>
      <c r="E38" s="9">
        <v>20.36</v>
      </c>
      <c r="F38" s="9">
        <v>4.2</v>
      </c>
      <c r="G38" s="9"/>
      <c r="H38" s="19">
        <v>20.87</v>
      </c>
      <c r="I38" s="19">
        <v>75.849999999999994</v>
      </c>
      <c r="J38" s="19">
        <v>3.27</v>
      </c>
      <c r="K38" s="17">
        <f t="shared" ref="K38:K43" si="18">SUM(H38:J38)</f>
        <v>99.99</v>
      </c>
      <c r="M38" s="45">
        <v>17</v>
      </c>
      <c r="N38" s="45">
        <v>79</v>
      </c>
      <c r="O38" s="45">
        <v>4</v>
      </c>
      <c r="P38" s="17">
        <f t="shared" ref="P38:P43" si="19">SUM(M38:O38)</f>
        <v>100</v>
      </c>
      <c r="R38" s="7" t="str">
        <f t="shared" ref="R38:R43" si="20">B38</f>
        <v>하수50 : 퇴비25 : 토양 25</v>
      </c>
      <c r="S38" s="16">
        <f>($V$2*C34)/(($V$2*C34)+($T$2*C35)+($T$2*C36))*100</f>
        <v>20.461428335444083</v>
      </c>
      <c r="T38" s="16">
        <f>($T$2*C35)/(($V$2*C34)+($T$2*C35)+($T$2*C36))*100</f>
        <v>78.013325257419737</v>
      </c>
      <c r="U38" s="16">
        <f>100-(S38+T38)</f>
        <v>1.52524640713618</v>
      </c>
      <c r="X38" s="7" t="str">
        <f t="shared" si="16"/>
        <v>하수50 : 퇴비25 : 토양 25</v>
      </c>
      <c r="Y38" s="16">
        <f>(($V$2*C34*E34)+($T$2*C35*E35)+($T$2*C36*E36))/(($V$2*C34)+($T$2*C35)+($T$2*C36))</f>
        <v>20.627325587798026</v>
      </c>
      <c r="Z38" s="16">
        <f>(($V$2*C34*F34)+($T$2*C35*F35)+($T$2*C36*F36))/(($V$2*C34)+($T$2*C35)+($T$2*C36))</f>
        <v>4.0847778206045922</v>
      </c>
      <c r="AB38" s="7" t="str">
        <f t="shared" si="17"/>
        <v>하수50 : 퇴비25 : 토양 25</v>
      </c>
      <c r="AC38" s="16">
        <f t="shared" ref="AC38:AC43" si="21">Y38/E38</f>
        <v>1.0131299404615928</v>
      </c>
      <c r="AD38" s="16">
        <f t="shared" ref="AD38:AD43" si="22">Z38/F38</f>
        <v>0.9725661477629981</v>
      </c>
    </row>
    <row r="39" spans="1:30" x14ac:dyDescent="0.3">
      <c r="A39" s="7"/>
      <c r="B39" s="8" t="s">
        <v>206</v>
      </c>
      <c r="C39" s="41"/>
      <c r="D39" s="8"/>
      <c r="E39" s="9">
        <v>22.5</v>
      </c>
      <c r="F39" s="9">
        <v>4.2</v>
      </c>
      <c r="G39" s="9"/>
      <c r="H39" s="19">
        <v>10.43</v>
      </c>
      <c r="I39" s="19">
        <v>88.42</v>
      </c>
      <c r="J39" s="19">
        <v>1.1499999999999999</v>
      </c>
      <c r="K39" s="17">
        <f t="shared" si="18"/>
        <v>100</v>
      </c>
      <c r="M39" s="45">
        <v>7</v>
      </c>
      <c r="N39" s="45">
        <v>91</v>
      </c>
      <c r="O39" s="45">
        <v>2</v>
      </c>
      <c r="P39" s="17">
        <f t="shared" si="19"/>
        <v>100</v>
      </c>
      <c r="R39" s="7" t="str">
        <f t="shared" si="20"/>
        <v>하수25 : 퇴비50 : 토양 25</v>
      </c>
      <c r="S39" s="16">
        <f>($T$2*C34)/(($T$2*C34)+($V$2*C35)+($T$2*C36))*100</f>
        <v>6.0976009976699155</v>
      </c>
      <c r="T39" s="16">
        <f>($V$2*C35)/(($T$2*C34)+($V$2*C35)+($T$2*C36))*100</f>
        <v>92.993337927865838</v>
      </c>
      <c r="U39" s="16">
        <f>100-(S39+T39)</f>
        <v>0.90906107446424755</v>
      </c>
      <c r="X39" s="7" t="str">
        <f t="shared" si="16"/>
        <v>하수25 : 퇴비50 : 토양 25</v>
      </c>
      <c r="Y39" s="16">
        <f>(($T$2*C34*E34)+($V$2*C35*E35)+($T$2*C36*E36))/(($T$2*C34)+($V$2*C35)+($T$2*C36))</f>
        <v>22.39776640084014</v>
      </c>
      <c r="Z39" s="16">
        <f>(($T$2*C34*F34)+($V$2*C35*F35)+($T$2*C36*F36))/(($T$2*C34)+($V$2*C35)+($T$2*C36))</f>
        <v>4.3867464146237403</v>
      </c>
      <c r="AB39" s="7" t="str">
        <f t="shared" si="17"/>
        <v>하수25 : 퇴비50 : 토양 25</v>
      </c>
      <c r="AC39" s="16">
        <f t="shared" si="21"/>
        <v>0.99545628448178403</v>
      </c>
      <c r="AD39" s="16">
        <f t="shared" si="22"/>
        <v>1.0444634320532715</v>
      </c>
    </row>
    <row r="40" spans="1:30" x14ac:dyDescent="0.3">
      <c r="A40" s="7"/>
      <c r="B40" s="8" t="s">
        <v>207</v>
      </c>
      <c r="C40" s="41"/>
      <c r="D40" s="8"/>
      <c r="E40" s="9">
        <v>21.3</v>
      </c>
      <c r="F40" s="9">
        <v>4.53</v>
      </c>
      <c r="G40" s="9"/>
      <c r="H40" s="17">
        <v>10.42</v>
      </c>
      <c r="I40" s="17">
        <v>85.07</v>
      </c>
      <c r="J40" s="17">
        <v>4.51</v>
      </c>
      <c r="K40" s="17">
        <f t="shared" si="18"/>
        <v>100</v>
      </c>
      <c r="M40" s="45">
        <v>10</v>
      </c>
      <c r="N40" s="45">
        <v>86</v>
      </c>
      <c r="O40" s="45">
        <v>4</v>
      </c>
      <c r="P40" s="17">
        <f t="shared" si="19"/>
        <v>100</v>
      </c>
      <c r="R40" s="7" t="str">
        <f t="shared" si="20"/>
        <v>하수25 : 퇴비25 : 토양 50</v>
      </c>
      <c r="S40" s="16">
        <f>($T$2*C34)/(($T$2*C34)+($T$2*C35)+($V$2*C36))*100</f>
        <v>11.206272617611582</v>
      </c>
      <c r="T40" s="16">
        <f>($T$2*C35)/(($T$2*C34)+($T$2*C35)+($V$2*C36))*100</f>
        <v>85.452352231604351</v>
      </c>
      <c r="U40" s="16">
        <f>100-(S40+T40)</f>
        <v>3.3413751507840743</v>
      </c>
      <c r="X40" s="7" t="str">
        <f t="shared" si="16"/>
        <v>하수25 : 퇴비25 : 토양 50</v>
      </c>
      <c r="Y40" s="16">
        <f>(($T$2*C34*E34)+($T$2*C35*E35)+($V$2*C36*E36))/(($T$2*C34)+($T$2*C35)+($V$2*C36))</f>
        <v>21.321471652593488</v>
      </c>
      <c r="Z40" s="16">
        <f>(($T$2*C34*F34)+($T$2*C35*F35)+($V$2*C36*F36))/(($T$2*C34)+($T$2*C35)+($V$2*C36))</f>
        <v>4.4329408926417369</v>
      </c>
      <c r="AB40" s="7" t="str">
        <f t="shared" si="17"/>
        <v>하수25 : 퇴비25 : 토양 50</v>
      </c>
      <c r="AC40" s="16">
        <f t="shared" si="21"/>
        <v>1.0010080588072059</v>
      </c>
      <c r="AD40" s="16">
        <f t="shared" si="22"/>
        <v>0.97857414848603452</v>
      </c>
    </row>
    <row r="41" spans="1:30" x14ac:dyDescent="0.3">
      <c r="A41" s="7"/>
      <c r="B41" s="8" t="s">
        <v>208</v>
      </c>
      <c r="C41" s="41"/>
      <c r="D41" s="8"/>
      <c r="E41" s="9">
        <v>17.670000000000002</v>
      </c>
      <c r="F41" s="9">
        <v>3.96</v>
      </c>
      <c r="G41" s="9"/>
      <c r="H41" s="17">
        <v>38.92</v>
      </c>
      <c r="I41" s="17">
        <v>54.99</v>
      </c>
      <c r="J41" s="17">
        <v>6.08</v>
      </c>
      <c r="K41" s="17">
        <f t="shared" si="18"/>
        <v>99.99</v>
      </c>
      <c r="M41" s="45">
        <v>34</v>
      </c>
      <c r="N41" s="45">
        <v>60</v>
      </c>
      <c r="O41" s="45">
        <v>6</v>
      </c>
      <c r="P41" s="17">
        <f t="shared" si="19"/>
        <v>100</v>
      </c>
      <c r="R41" s="7" t="str">
        <f t="shared" si="20"/>
        <v>하수75 : 퇴비12.5 : 토양12.5</v>
      </c>
      <c r="S41" s="16">
        <f>($W$2*C34)/(($W$2*C34)+($S$2*C35)+($S$2*C36))*100</f>
        <v>43.558785605438985</v>
      </c>
      <c r="T41" s="16">
        <f>($S$2*C35)/(($W$2*C34)+($S$2*C35)+($S$2*C36))*100</f>
        <v>55.358887195717578</v>
      </c>
      <c r="U41" s="16">
        <f>100-(S41+T41)</f>
        <v>1.0823271988434442</v>
      </c>
      <c r="X41" s="7" t="str">
        <f t="shared" si="16"/>
        <v>하수75 : 퇴비12.5 : 토양12.5</v>
      </c>
      <c r="Y41" s="16">
        <f>(($W$2*C34*E34)+($S$2*C35*E35)+($S$2*C36*E36))/(($W$2*C34)+($S$2*C35)+($S$2*C36))</f>
        <v>18.069749540890086</v>
      </c>
      <c r="Z41" s="16">
        <f>(($W$2*C34*F34)+($S$2*C35*F35)+($S$2*C36*F36))/(($W$2*C34)+($S$2*C35)+($S$2*C36))</f>
        <v>3.4997026530691984</v>
      </c>
      <c r="AB41" s="7" t="str">
        <f t="shared" si="17"/>
        <v>하수75 : 퇴비12.5 : 토양12.5</v>
      </c>
      <c r="AC41" s="16">
        <f t="shared" si="21"/>
        <v>1.0226230640005707</v>
      </c>
      <c r="AD41" s="16">
        <f t="shared" si="22"/>
        <v>0.8837632962295956</v>
      </c>
    </row>
    <row r="42" spans="1:30" x14ac:dyDescent="0.3">
      <c r="A42" s="7"/>
      <c r="B42" s="8" t="s">
        <v>209</v>
      </c>
      <c r="C42" s="41"/>
      <c r="D42" s="8"/>
      <c r="E42" s="9">
        <v>23.13</v>
      </c>
      <c r="F42" s="9">
        <v>4.09</v>
      </c>
      <c r="G42" s="9"/>
      <c r="H42" s="17">
        <v>9.85</v>
      </c>
      <c r="I42" s="17">
        <v>89.97</v>
      </c>
      <c r="J42" s="17">
        <v>0.19</v>
      </c>
      <c r="K42" s="17">
        <f t="shared" si="18"/>
        <v>100.00999999999999</v>
      </c>
      <c r="M42" s="45">
        <v>6</v>
      </c>
      <c r="N42" s="45">
        <v>93</v>
      </c>
      <c r="O42" s="45">
        <v>1</v>
      </c>
      <c r="P42" s="17">
        <f t="shared" si="19"/>
        <v>100</v>
      </c>
      <c r="R42" s="7" t="str">
        <f t="shared" si="20"/>
        <v>하수12.5 : 퇴비75 : 토양12.5</v>
      </c>
      <c r="S42" s="16">
        <f>($S$2*C34)/(($S$2*C34)+($W$2*C35)+($S$2*C36))*100</f>
        <v>2.1321276522497503</v>
      </c>
      <c r="T42" s="16">
        <f>($W$2*C35)/(($S$2*C34)+($W$2*C35)+($S$2*C36))*100</f>
        <v>97.55000401638685</v>
      </c>
      <c r="U42" s="16">
        <f t="shared" ref="U42" si="23">100-(S42+T42)</f>
        <v>0.31786833136339965</v>
      </c>
      <c r="X42" s="7" t="str">
        <f t="shared" si="16"/>
        <v>하수12.5 : 퇴비75 : 토양12.5</v>
      </c>
      <c r="Y42" s="16">
        <f>(($S$2*C34*E34)+($W$2*C35*E35)+($S$2*C36*E36))/(($S$2*C34)+($W$2*C35)+($S$2*C36))</f>
        <v>22.971512341783043</v>
      </c>
      <c r="Z42" s="16">
        <f>(($S$2*C34*F34)+($W$2*C35*F35)+($S$2*C36*F36))/(($S$2*C34)+($W$2*C35)+($S$2*C36))</f>
        <v>4.4408889985426256</v>
      </c>
      <c r="AB42" s="7" t="str">
        <f t="shared" si="17"/>
        <v>하수12.5 : 퇴비75 : 토양12.5</v>
      </c>
      <c r="AC42" s="16">
        <f t="shared" si="21"/>
        <v>0.99314796116658211</v>
      </c>
      <c r="AD42" s="16">
        <f t="shared" si="22"/>
        <v>1.0857919311840161</v>
      </c>
    </row>
    <row r="43" spans="1:30" x14ac:dyDescent="0.3">
      <c r="A43" s="7"/>
      <c r="B43" s="8" t="s">
        <v>210</v>
      </c>
      <c r="C43" s="41"/>
      <c r="D43" s="8"/>
      <c r="E43" s="9">
        <v>20.100000000000001</v>
      </c>
      <c r="F43" s="9">
        <v>5.25</v>
      </c>
      <c r="G43" s="9"/>
      <c r="H43" s="17">
        <v>6.32</v>
      </c>
      <c r="I43" s="17">
        <v>80.489999999999995</v>
      </c>
      <c r="J43" s="17">
        <v>13.18</v>
      </c>
      <c r="K43" s="17">
        <f t="shared" si="18"/>
        <v>99.990000000000009</v>
      </c>
      <c r="M43" s="45">
        <v>12</v>
      </c>
      <c r="N43" s="45">
        <v>79</v>
      </c>
      <c r="O43" s="45">
        <v>9</v>
      </c>
      <c r="P43" s="17">
        <f t="shared" si="19"/>
        <v>100</v>
      </c>
      <c r="R43" s="7" t="str">
        <f t="shared" si="20"/>
        <v>하수12.5 : 퇴비12.5 : 토양75</v>
      </c>
      <c r="S43" s="16">
        <f>($S$2*C34)/(($S$2*C34)+($S$2*C35)+($W$2*C36))*100</f>
        <v>10.50429669832655</v>
      </c>
      <c r="T43" s="16">
        <f>($S$2*C35)/(($S$2*C34)+($S$2*C35)+($W$2*C36))*100</f>
        <v>80.099502487562191</v>
      </c>
      <c r="U43" s="16">
        <f>100-(S43+T43)</f>
        <v>9.3962008141112534</v>
      </c>
      <c r="X43" s="7" t="str">
        <f t="shared" si="16"/>
        <v>하수12.5 : 퇴비12.5 : 토양75</v>
      </c>
      <c r="Y43" s="16">
        <f>(($S$2*C34*E34)+($S$2*C35*E35)+($W$2*C36*E36))/(($S$2*C34)+($S$2*C35)+($W$2*C36))</f>
        <v>20.180054274084124</v>
      </c>
      <c r="Z43" s="16">
        <f>(($S$2*C34*F34)+($S$2*C35*F35)+($W$2*C36*F36))/(($S$2*C34)+($S$2*C35)+($W$2*C36))</f>
        <v>4.8699932157394841</v>
      </c>
      <c r="AB43" s="7" t="str">
        <f t="shared" si="17"/>
        <v>하수12.5 : 퇴비12.5 : 토양75</v>
      </c>
      <c r="AC43" s="16">
        <f t="shared" si="21"/>
        <v>1.0039827997056778</v>
      </c>
      <c r="AD43" s="16">
        <f t="shared" si="22"/>
        <v>0.9276177553789493</v>
      </c>
    </row>
    <row r="44" spans="1:30" x14ac:dyDescent="0.3">
      <c r="R44" s="13"/>
      <c r="S44" s="15"/>
      <c r="T44" s="15"/>
      <c r="U44" s="15"/>
      <c r="X44" s="13"/>
      <c r="Y44" s="15"/>
      <c r="Z44" s="15"/>
      <c r="AB44" s="13"/>
      <c r="AC44" s="15"/>
      <c r="AD44" s="15"/>
    </row>
    <row r="47" spans="1:30" x14ac:dyDescent="0.3">
      <c r="A47" s="5" t="s">
        <v>211</v>
      </c>
    </row>
    <row r="48" spans="1:30" ht="27" x14ac:dyDescent="0.3">
      <c r="A48" s="1" t="s">
        <v>0</v>
      </c>
      <c r="B48" s="2" t="s">
        <v>1</v>
      </c>
      <c r="C48" s="3" t="s">
        <v>12</v>
      </c>
      <c r="D48" s="3"/>
      <c r="E48" s="3" t="s">
        <v>2</v>
      </c>
      <c r="F48" s="4" t="s">
        <v>3</v>
      </c>
      <c r="G48" s="4" t="s">
        <v>3</v>
      </c>
    </row>
    <row r="49" spans="1:30" x14ac:dyDescent="0.3">
      <c r="A49" s="7" t="s">
        <v>193</v>
      </c>
      <c r="B49" s="8" t="s">
        <v>25</v>
      </c>
      <c r="C49" s="41">
        <v>0.65600000000000003</v>
      </c>
      <c r="D49" s="8"/>
      <c r="E49" s="67">
        <v>-24.92</v>
      </c>
      <c r="F49" s="67">
        <v>15.56</v>
      </c>
      <c r="G49" s="9"/>
    </row>
    <row r="50" spans="1:30" x14ac:dyDescent="0.3">
      <c r="A50" s="7" t="s">
        <v>181</v>
      </c>
      <c r="B50" s="8" t="s">
        <v>163</v>
      </c>
      <c r="C50" s="41">
        <v>14.167999999999999</v>
      </c>
      <c r="D50" s="8"/>
      <c r="E50" s="67">
        <v>23.28</v>
      </c>
      <c r="F50" s="67">
        <v>4.47</v>
      </c>
      <c r="G50" s="9"/>
      <c r="H50" s="19" t="s">
        <v>61</v>
      </c>
      <c r="M50" s="17" t="s">
        <v>23</v>
      </c>
    </row>
    <row r="51" spans="1:30" x14ac:dyDescent="0.3">
      <c r="A51" s="7" t="s">
        <v>194</v>
      </c>
      <c r="B51" s="8" t="s">
        <v>164</v>
      </c>
      <c r="C51" s="41">
        <v>0.27700000000000002</v>
      </c>
      <c r="D51" s="8"/>
      <c r="E51" s="67">
        <v>3.1</v>
      </c>
      <c r="F51" s="67">
        <v>11.41</v>
      </c>
      <c r="G51" s="9"/>
      <c r="H51" s="20" t="s">
        <v>184</v>
      </c>
      <c r="I51" s="20" t="s">
        <v>50</v>
      </c>
      <c r="J51" s="20" t="s">
        <v>183</v>
      </c>
      <c r="K51" s="17" t="s">
        <v>15</v>
      </c>
      <c r="M51" s="20" t="s">
        <v>184</v>
      </c>
      <c r="N51" s="20" t="s">
        <v>50</v>
      </c>
      <c r="O51" s="20" t="s">
        <v>183</v>
      </c>
      <c r="P51" s="17" t="s">
        <v>26</v>
      </c>
      <c r="R51" s="1" t="s">
        <v>179</v>
      </c>
      <c r="S51" s="2" t="s">
        <v>180</v>
      </c>
      <c r="T51" s="4" t="s">
        <v>181</v>
      </c>
      <c r="U51" s="4" t="s">
        <v>194</v>
      </c>
      <c r="X51" s="1" t="s">
        <v>63</v>
      </c>
      <c r="Y51" s="2" t="s">
        <v>54</v>
      </c>
      <c r="Z51" s="4" t="s">
        <v>55</v>
      </c>
      <c r="AB51" s="1" t="s">
        <v>202</v>
      </c>
      <c r="AC51" s="2" t="s">
        <v>54</v>
      </c>
      <c r="AD51" s="4" t="s">
        <v>55</v>
      </c>
    </row>
    <row r="52" spans="1:30" x14ac:dyDescent="0.3">
      <c r="A52" s="7"/>
      <c r="B52" s="8" t="s">
        <v>212</v>
      </c>
      <c r="C52" s="41"/>
      <c r="D52" s="8"/>
      <c r="E52" s="9">
        <v>21.13</v>
      </c>
      <c r="F52" s="9">
        <v>5.25</v>
      </c>
      <c r="G52" s="9"/>
      <c r="H52" s="19">
        <v>2.36</v>
      </c>
      <c r="I52" s="19">
        <v>90.51</v>
      </c>
      <c r="J52" s="19">
        <v>7.13</v>
      </c>
      <c r="K52" s="17">
        <f>SUM(H52:J52)</f>
        <v>100</v>
      </c>
      <c r="M52" s="45">
        <v>2</v>
      </c>
      <c r="N52" s="45">
        <v>90</v>
      </c>
      <c r="O52" s="45">
        <v>8</v>
      </c>
      <c r="P52" s="17">
        <f>SUM(M52:O52)</f>
        <v>100</v>
      </c>
      <c r="R52" s="7" t="str">
        <f>B52</f>
        <v>비료33.3 : 퇴비33.3 : 토양 33.3</v>
      </c>
      <c r="S52" s="16">
        <f>($U$2*C49)/(($U$2*C49)+($U$2*C50)+($U$2*C51))*100</f>
        <v>4.3440831732997811</v>
      </c>
      <c r="T52" s="16">
        <f>($U$2*C50)/(($U$2*C49)+($U$2*C50)+($U$2*C51))*100</f>
        <v>93.821601218462334</v>
      </c>
      <c r="U52" s="16">
        <f>100-(S52+T52)</f>
        <v>1.8343156082378869</v>
      </c>
      <c r="X52" s="7" t="str">
        <f t="shared" ref="X52:X58" si="24">B52</f>
        <v>비료33.3 : 퇴비33.3 : 토양 33.3</v>
      </c>
      <c r="Y52" s="16">
        <f>(($U$2*C49*E49)+($U$2*C50*E50)+($U$2*C51*E51))/(($U$2*C49)+($U$2*C50)+($U$2*C51))</f>
        <v>20.815987020727103</v>
      </c>
      <c r="Z52" s="16">
        <f>(($U$2*C49*F49)+($U$2*C50*F50)+($U$2*C51*F51))/(($U$2*C49)+($U$2*C50)+($U$2*C51))</f>
        <v>5.0790603271306534</v>
      </c>
      <c r="AB52" s="7" t="str">
        <f t="shared" ref="AB52:AB58" si="25">B52</f>
        <v>비료33.3 : 퇴비33.3 : 토양 33.3</v>
      </c>
      <c r="AC52" s="16">
        <f>Y52/E52</f>
        <v>0.9851389976681072</v>
      </c>
      <c r="AD52" s="16">
        <f>Z52/F52</f>
        <v>0.96744006231060065</v>
      </c>
    </row>
    <row r="53" spans="1:30" x14ac:dyDescent="0.3">
      <c r="A53" s="7"/>
      <c r="B53" s="8" t="s">
        <v>213</v>
      </c>
      <c r="C53" s="41"/>
      <c r="D53" s="8"/>
      <c r="E53" s="9">
        <v>18.899999999999999</v>
      </c>
      <c r="F53" s="9">
        <v>5.82</v>
      </c>
      <c r="G53" s="9"/>
      <c r="H53" s="19">
        <v>4.34</v>
      </c>
      <c r="I53" s="19">
        <v>83.6</v>
      </c>
      <c r="J53" s="19">
        <v>12.06</v>
      </c>
      <c r="K53" s="17">
        <f t="shared" ref="K53:K58" si="26">SUM(H53:J53)</f>
        <v>100</v>
      </c>
      <c r="M53" s="45">
        <v>3</v>
      </c>
      <c r="N53" s="45">
        <v>83</v>
      </c>
      <c r="O53" s="45">
        <v>14</v>
      </c>
      <c r="P53" s="17">
        <f t="shared" ref="P53:P58" si="27">SUM(M53:O53)</f>
        <v>100</v>
      </c>
      <c r="R53" s="7" t="str">
        <f t="shared" ref="R53:R58" si="28">B53</f>
        <v>비료50 : 퇴비25 : 토양 25</v>
      </c>
      <c r="S53" s="16">
        <f>($V$2*C49)/(($V$2*C49)+($T$2*C50)+($T$2*C51))*100</f>
        <v>8.3264580821222332</v>
      </c>
      <c r="T53" s="16">
        <f>($T$2*C50)/(($V$2*C49)+($T$2*C50)+($T$2*C51))*100</f>
        <v>89.915593069746791</v>
      </c>
      <c r="U53" s="16">
        <f>100-(S53+T53)</f>
        <v>1.7579488481309795</v>
      </c>
      <c r="X53" s="7" t="str">
        <f t="shared" si="24"/>
        <v>비료50 : 퇴비25 : 토양 25</v>
      </c>
      <c r="Y53" s="16">
        <f>(($V$2*C49*E49)+($T$2*C50*E50)+($T$2*C51*E51))/(($V$2*C49)+($T$2*C50)+($T$2*C51))</f>
        <v>18.91189312686425</v>
      </c>
      <c r="Z53" s="16">
        <f>(($V$2*C49*F49)+($T$2*C50*F50)+($T$2*C51*F51))/(($V$2*C49)+($T$2*C50)+($T$2*C51))</f>
        <v>5.5154058513676469</v>
      </c>
      <c r="AB53" s="7" t="str">
        <f t="shared" si="25"/>
        <v>비료50 : 퇴비25 : 토양 25</v>
      </c>
      <c r="AC53" s="16">
        <f t="shared" ref="AC53:AC58" si="29">Y53/E53</f>
        <v>1.0006292659716536</v>
      </c>
      <c r="AD53" s="16">
        <f t="shared" ref="AD53:AD58" si="30">Z53/F53</f>
        <v>0.94766423563017987</v>
      </c>
    </row>
    <row r="54" spans="1:30" x14ac:dyDescent="0.3">
      <c r="A54" s="7"/>
      <c r="B54" s="8" t="s">
        <v>214</v>
      </c>
      <c r="C54" s="41"/>
      <c r="D54" s="8"/>
      <c r="E54" s="9">
        <v>22.19</v>
      </c>
      <c r="F54" s="9">
        <v>4.6500000000000004</v>
      </c>
      <c r="G54" s="9"/>
      <c r="H54" s="19">
        <v>1.26</v>
      </c>
      <c r="I54" s="19">
        <v>96.49</v>
      </c>
      <c r="J54" s="19">
        <v>2.2400000000000002</v>
      </c>
      <c r="K54" s="17">
        <f t="shared" si="26"/>
        <v>99.99</v>
      </c>
      <c r="M54" s="45">
        <v>1</v>
      </c>
      <c r="N54" s="45">
        <v>96</v>
      </c>
      <c r="O54" s="45">
        <v>3</v>
      </c>
      <c r="P54" s="17">
        <f t="shared" si="27"/>
        <v>100</v>
      </c>
      <c r="R54" s="7" t="str">
        <f t="shared" si="28"/>
        <v>비료25 : 퇴비50 : 토양 25</v>
      </c>
      <c r="S54" s="16">
        <f>($T$2*C49)/(($T$2*C49)+($V$2*C50)+($T$2*C51))*100</f>
        <v>2.2412791690867473</v>
      </c>
      <c r="T54" s="16">
        <f>($V$2*C50)/(($T$2*C49)+($V$2*C50)+($T$2*C51))*100</f>
        <v>96.812327035429973</v>
      </c>
      <c r="U54" s="16">
        <f>100-(S54+T54)</f>
        <v>0.9463937954832744</v>
      </c>
      <c r="X54" s="7" t="str">
        <f t="shared" si="24"/>
        <v>비료25 : 퇴비50 : 토양 25</v>
      </c>
      <c r="Y54" s="16">
        <f>(($T$2*C49*E49)+($V$2*C50*E50)+($T$2*C51*E51))/(($T$2*C49)+($V$2*C50)+($T$2*C51))</f>
        <v>22.008721172571661</v>
      </c>
      <c r="Z54" s="16">
        <f>(($T$2*C49*F49)+($V$2*C50*F50)+($T$2*C51*F51))/(($T$2*C49)+($V$2*C50)+($T$2*C51))</f>
        <v>4.7842375892582591</v>
      </c>
      <c r="AB54" s="7" t="str">
        <f t="shared" si="25"/>
        <v>비료25 : 퇴비50 : 토양 25</v>
      </c>
      <c r="AC54" s="16">
        <f t="shared" si="29"/>
        <v>0.99183060714608651</v>
      </c>
      <c r="AD54" s="16">
        <f t="shared" si="30"/>
        <v>1.0288682987652169</v>
      </c>
    </row>
    <row r="55" spans="1:30" x14ac:dyDescent="0.3">
      <c r="A55" s="7"/>
      <c r="B55" s="8" t="s">
        <v>215</v>
      </c>
      <c r="C55" s="41"/>
      <c r="D55" s="8"/>
      <c r="E55" s="9">
        <v>20.63</v>
      </c>
      <c r="F55" s="9">
        <v>5.94</v>
      </c>
      <c r="G55" s="9"/>
      <c r="H55" s="17">
        <v>0.83</v>
      </c>
      <c r="I55" s="17">
        <v>83.23</v>
      </c>
      <c r="J55" s="17">
        <v>15.94</v>
      </c>
      <c r="K55" s="17">
        <f t="shared" si="26"/>
        <v>100</v>
      </c>
      <c r="M55" s="45">
        <v>2</v>
      </c>
      <c r="N55" s="45">
        <v>86</v>
      </c>
      <c r="O55" s="45">
        <v>12</v>
      </c>
      <c r="P55" s="17">
        <f t="shared" si="27"/>
        <v>100</v>
      </c>
      <c r="R55" s="7" t="str">
        <f t="shared" si="28"/>
        <v>비료25 : 퇴비25 : 토양 50</v>
      </c>
      <c r="S55" s="16">
        <f>($T$2*C49)/(($T$2*C49)+($T$2*C50)+($V$2*C51))*100</f>
        <v>4.2658343087527637</v>
      </c>
      <c r="T55" s="16">
        <f>($T$2*C50)/(($T$2*C49)+($T$2*C50)+($V$2*C51))*100</f>
        <v>92.131616595135895</v>
      </c>
      <c r="U55" s="16">
        <f>100-(S55+T55)</f>
        <v>3.6025490961113462</v>
      </c>
      <c r="X55" s="7" t="str">
        <f t="shared" si="24"/>
        <v>비료25 : 퇴비25 : 토양 50</v>
      </c>
      <c r="Y55" s="16">
        <f>(($T$2*C49*E49)+($T$2*C50*E50)+($V$2*C51*E51))/(($T$2*C49)+($T$2*C50)+($V$2*C51))</f>
        <v>20.496873455585902</v>
      </c>
      <c r="Z55" s="16">
        <f>(($T$2*C49*F49)+($T$2*C50*F50)+($V$2*C51*F51))/(($T$2*C49)+($T$2*C50)+($V$2*C51))</f>
        <v>5.1930979321108079</v>
      </c>
      <c r="AB55" s="7" t="str">
        <f t="shared" si="25"/>
        <v>비료25 : 퇴비25 : 토양 50</v>
      </c>
      <c r="AC55" s="16">
        <f t="shared" si="29"/>
        <v>0.99354694404197297</v>
      </c>
      <c r="AD55" s="16">
        <f t="shared" si="30"/>
        <v>0.87425891112976561</v>
      </c>
    </row>
    <row r="56" spans="1:30" x14ac:dyDescent="0.3">
      <c r="A56" s="7"/>
      <c r="B56" s="8" t="s">
        <v>216</v>
      </c>
      <c r="C56" s="41"/>
      <c r="D56" s="8"/>
      <c r="E56" s="9">
        <v>12.51</v>
      </c>
      <c r="F56" s="9">
        <v>8.36</v>
      </c>
      <c r="G56" s="9"/>
      <c r="H56" s="17">
        <v>2.74</v>
      </c>
      <c r="I56" s="17">
        <v>49.46</v>
      </c>
      <c r="J56" s="17">
        <v>47.8</v>
      </c>
      <c r="K56" s="17">
        <f t="shared" si="26"/>
        <v>100</v>
      </c>
      <c r="M56" s="45">
        <v>6</v>
      </c>
      <c r="N56" s="45">
        <v>53</v>
      </c>
      <c r="O56" s="45">
        <v>41</v>
      </c>
      <c r="P56" s="17">
        <f t="shared" si="27"/>
        <v>100</v>
      </c>
      <c r="R56" s="7" t="str">
        <f t="shared" si="28"/>
        <v>비료75 :퇴비12.5 : 토양12.5</v>
      </c>
      <c r="S56" s="16">
        <f>($W$2*C49)/(($W$2*C49)+($S$2*C50)+($S$2*C51))*100</f>
        <v>21.413416027419618</v>
      </c>
      <c r="T56" s="16">
        <f>($S$2*C50)/(($W$2*C49)+($S$2*C50)+($S$2*C51))*100</f>
        <v>77.07959305804907</v>
      </c>
      <c r="U56" s="16">
        <f>100-(S56+T56)</f>
        <v>1.5069909145313147</v>
      </c>
      <c r="X56" s="7" t="str">
        <f t="shared" si="24"/>
        <v>비료75 :퇴비12.5 : 토양12.5</v>
      </c>
      <c r="Y56" s="16">
        <f>(($W$2*C49*E49)+($S$2*C50*E50)+($S$2*C51*E51))/(($W$2*C49)+($S$2*C50)+($S$2*C51))</f>
        <v>12.654622708231324</v>
      </c>
      <c r="Z56" s="16">
        <f>(($W$2*C49*F49)+($S$2*C50*F50)+($S$2*C51*F51))/(($W$2*C49)+($S$2*C50)+($S$2*C51))</f>
        <v>6.9493330069093089</v>
      </c>
      <c r="AB56" s="7" t="str">
        <f t="shared" si="25"/>
        <v>비료75 :퇴비12.5 : 토양12.5</v>
      </c>
      <c r="AC56" s="16">
        <f t="shared" si="29"/>
        <v>1.0115605682039428</v>
      </c>
      <c r="AD56" s="16">
        <f t="shared" si="30"/>
        <v>0.83125992905613744</v>
      </c>
    </row>
    <row r="57" spans="1:30" x14ac:dyDescent="0.3">
      <c r="A57" s="7"/>
      <c r="B57" s="8" t="s">
        <v>217</v>
      </c>
      <c r="C57" s="41"/>
      <c r="D57" s="8"/>
      <c r="E57" s="9">
        <v>23.03</v>
      </c>
      <c r="F57" s="9">
        <v>4.5199999999999996</v>
      </c>
      <c r="G57" s="9"/>
      <c r="H57" s="17">
        <v>0.78</v>
      </c>
      <c r="I57" s="17">
        <v>97.82</v>
      </c>
      <c r="J57" s="17">
        <v>1.4</v>
      </c>
      <c r="K57" s="17">
        <f t="shared" si="26"/>
        <v>100</v>
      </c>
      <c r="M57" s="45">
        <v>0</v>
      </c>
      <c r="N57" s="45">
        <v>98</v>
      </c>
      <c r="O57" s="45">
        <v>2</v>
      </c>
      <c r="P57" s="17">
        <f t="shared" si="27"/>
        <v>100</v>
      </c>
      <c r="R57" s="7" t="str">
        <f t="shared" si="28"/>
        <v>비료12.5 : 퇴비75 : 토양12.5</v>
      </c>
      <c r="S57" s="16">
        <f>($S$2*C49)/(($S$2*C49)+($W$2*C50)+($S$2*C51))*100</f>
        <v>0.76331436683305998</v>
      </c>
      <c r="T57" s="16">
        <f>($W$2*C50)/(($S$2*C49)+($W$2*C50)+($S$2*C51))*100</f>
        <v>98.914371487415778</v>
      </c>
      <c r="U57" s="16">
        <f t="shared" ref="U57" si="31">100-(S57+T57)</f>
        <v>0.32231414575116446</v>
      </c>
      <c r="X57" s="7" t="str">
        <f t="shared" si="24"/>
        <v>비료12.5 : 퇴비75 : 토양12.5</v>
      </c>
      <c r="Y57" s="16">
        <f>(($S$2*C49*E49)+($W$2*C50*E50)+($S$2*C51*E51))/(($S$2*C49)+($W$2*C50)+($S$2*C51))</f>
        <v>22.84703948057388</v>
      </c>
      <c r="Z57" s="16">
        <f>(($S$2*C49*F49)+($W$2*C50*F50)+($S$2*C51*F51))/(($S$2*C49)+($W$2*C50)+($S$2*C51))</f>
        <v>4.5770201649969158</v>
      </c>
      <c r="AB57" s="7" t="str">
        <f t="shared" si="25"/>
        <v>비료12.5 : 퇴비75 : 토양12.5</v>
      </c>
      <c r="AC57" s="16">
        <f t="shared" si="29"/>
        <v>0.99205555712435423</v>
      </c>
      <c r="AD57" s="16">
        <f t="shared" si="30"/>
        <v>1.0126150807515302</v>
      </c>
    </row>
    <row r="58" spans="1:30" x14ac:dyDescent="0.3">
      <c r="A58" s="7"/>
      <c r="B58" s="8" t="s">
        <v>218</v>
      </c>
      <c r="C58" s="41"/>
      <c r="D58" s="8"/>
      <c r="E58" s="9">
        <v>19.53</v>
      </c>
      <c r="F58" s="9">
        <v>6.28</v>
      </c>
      <c r="G58" s="9"/>
      <c r="H58" s="17">
        <v>1.0900000000000001</v>
      </c>
      <c r="I58" s="17">
        <v>78.59</v>
      </c>
      <c r="J58" s="17">
        <v>20.32</v>
      </c>
      <c r="K58" s="17">
        <f t="shared" si="26"/>
        <v>100</v>
      </c>
      <c r="M58" s="45">
        <v>3</v>
      </c>
      <c r="N58" s="45">
        <v>81</v>
      </c>
      <c r="O58" s="45">
        <v>16</v>
      </c>
      <c r="P58" s="17">
        <f t="shared" si="27"/>
        <v>100</v>
      </c>
      <c r="R58" s="7" t="str">
        <f t="shared" si="28"/>
        <v>비료12.5 : 퇴비12.5 : 토양75</v>
      </c>
      <c r="S58" s="16">
        <f>($S$2*C49)/(($S$2*C49)+($S$2*C50)+($W$2*C51))*100</f>
        <v>3.9791338105058838</v>
      </c>
      <c r="T58" s="16">
        <f>($S$2*C50)/(($S$2*C49)+($S$2*C50)+($W$2*C51))*100</f>
        <v>85.939585102511217</v>
      </c>
      <c r="U58" s="16">
        <f>100-(S58+T58)</f>
        <v>10.081281086982898</v>
      </c>
      <c r="X58" s="7" t="str">
        <f t="shared" si="24"/>
        <v>비료12.5 : 퇴비12.5 : 토양75</v>
      </c>
      <c r="Y58" s="16">
        <f>(($S$2*C49*E49)+($S$2*C50*E50)+($W$2*C51*E51))/(($S$2*C49)+($S$2*C50)+($W$2*C51))</f>
        <v>19.327654979983016</v>
      </c>
      <c r="Z58" s="16">
        <f>(($S$2*C49*F49)+($S$2*C50*F50)+($W$2*C51*F51))/(($S$2*C49)+($S$2*C50)+($W$2*C51))</f>
        <v>5.6109268470217151</v>
      </c>
      <c r="AB58" s="7" t="str">
        <f t="shared" si="25"/>
        <v>비료12.5 : 퇴비12.5 : 토양75</v>
      </c>
      <c r="AC58" s="16">
        <f t="shared" si="29"/>
        <v>0.98963927188853129</v>
      </c>
      <c r="AD58" s="16">
        <f t="shared" si="30"/>
        <v>0.89345968901619666</v>
      </c>
    </row>
  </sheetData>
  <phoneticPr fontId="11" type="noConversion"/>
  <pageMargins left="0.7" right="0.7" top="0.75" bottom="0.75" header="0.3" footer="0.3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59D7-B5EE-4F55-8D03-A304D21F06CF}">
  <sheetPr>
    <pageSetUpPr fitToPage="1"/>
  </sheetPr>
  <dimension ref="A1:AF18"/>
  <sheetViews>
    <sheetView tabSelected="1" zoomScale="85" zoomScaleNormal="85" workbookViewId="0">
      <selection activeCell="I23" sqref="I23"/>
    </sheetView>
  </sheetViews>
  <sheetFormatPr defaultColWidth="9" defaultRowHeight="16.5" x14ac:dyDescent="0.3"/>
  <cols>
    <col min="1" max="1" width="10.625" style="5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9" width="9" style="17"/>
    <col min="20" max="20" width="25.625" style="17" bestFit="1" customWidth="1"/>
    <col min="21" max="23" width="9" style="17"/>
    <col min="24" max="24" width="7.625" style="17" customWidth="1"/>
    <col min="25" max="25" width="9" style="5"/>
    <col min="26" max="26" width="25.625" style="5" bestFit="1" customWidth="1"/>
    <col min="27" max="27" width="12" style="5" bestFit="1" customWidth="1"/>
    <col min="28" max="28" width="12.5" style="5" customWidth="1"/>
    <col min="29" max="29" width="9.5" style="5" customWidth="1"/>
    <col min="30" max="30" width="25.625" style="5" bestFit="1" customWidth="1"/>
    <col min="31" max="31" width="9" style="5"/>
    <col min="32" max="32" width="11.5" style="5" customWidth="1"/>
    <col min="33" max="33" width="9" style="5"/>
    <col min="34" max="34" width="14.25" style="5" bestFit="1" customWidth="1"/>
    <col min="35" max="35" width="9" style="5"/>
    <col min="36" max="36" width="11.375" style="5" customWidth="1"/>
    <col min="37" max="16384" width="9" style="5"/>
  </cols>
  <sheetData>
    <row r="1" spans="1:32" x14ac:dyDescent="0.3">
      <c r="A1" s="65"/>
      <c r="B1" s="65"/>
    </row>
    <row r="2" spans="1:32" x14ac:dyDescent="0.3">
      <c r="A2" s="60" t="s">
        <v>123</v>
      </c>
      <c r="T2" s="42" t="s">
        <v>60</v>
      </c>
      <c r="U2">
        <v>0.1</v>
      </c>
      <c r="V2">
        <v>0.2</v>
      </c>
      <c r="W2">
        <v>0.25</v>
      </c>
      <c r="X2">
        <v>0.4</v>
      </c>
      <c r="Y2">
        <v>0.7</v>
      </c>
    </row>
    <row r="3" spans="1:32" ht="27" x14ac:dyDescent="0.3">
      <c r="A3" s="1" t="s">
        <v>0</v>
      </c>
      <c r="B3" s="2" t="s">
        <v>1</v>
      </c>
      <c r="C3" s="3" t="s">
        <v>12</v>
      </c>
      <c r="D3" s="3"/>
      <c r="E3" s="3" t="s">
        <v>2</v>
      </c>
      <c r="F3" s="4" t="s">
        <v>3</v>
      </c>
      <c r="G3" s="4" t="s">
        <v>3</v>
      </c>
    </row>
    <row r="4" spans="1:32" x14ac:dyDescent="0.3">
      <c r="A4" s="7" t="s">
        <v>193</v>
      </c>
      <c r="B4" s="8" t="s">
        <v>162</v>
      </c>
      <c r="C4" s="41">
        <v>1.8580000000000001</v>
      </c>
      <c r="D4" s="8"/>
      <c r="E4" s="67">
        <v>11.82</v>
      </c>
      <c r="F4" s="67">
        <v>2.0699999999999998</v>
      </c>
      <c r="G4" s="9"/>
    </row>
    <row r="5" spans="1:32" x14ac:dyDescent="0.3">
      <c r="A5" s="7" t="s">
        <v>181</v>
      </c>
      <c r="B5" s="8" t="s">
        <v>25</v>
      </c>
      <c r="C5" s="41">
        <v>0.65600000000000003</v>
      </c>
      <c r="D5" s="8"/>
      <c r="E5" s="67">
        <v>-24.92</v>
      </c>
      <c r="F5" s="67">
        <v>15.56</v>
      </c>
      <c r="G5" s="9"/>
    </row>
    <row r="6" spans="1:32" x14ac:dyDescent="0.3">
      <c r="A6" s="7" t="s">
        <v>194</v>
      </c>
      <c r="B6" s="8" t="s">
        <v>163</v>
      </c>
      <c r="C6" s="41">
        <v>14.167999999999999</v>
      </c>
      <c r="D6" s="8"/>
      <c r="E6" s="67">
        <v>23.28</v>
      </c>
      <c r="F6" s="67">
        <v>4.47</v>
      </c>
      <c r="G6" s="9"/>
      <c r="H6" s="19" t="s">
        <v>61</v>
      </c>
      <c r="I6" s="19"/>
      <c r="J6" s="19"/>
      <c r="N6" s="17" t="s">
        <v>23</v>
      </c>
      <c r="T6" s="72"/>
      <c r="U6" s="72"/>
      <c r="V6" s="73"/>
      <c r="W6" s="73"/>
      <c r="Z6" s="72"/>
      <c r="AA6" s="72"/>
      <c r="AB6" s="73"/>
      <c r="AD6" s="72"/>
      <c r="AE6" s="72"/>
      <c r="AF6" s="73"/>
    </row>
    <row r="7" spans="1:32" x14ac:dyDescent="0.3">
      <c r="A7" s="7" t="s">
        <v>219</v>
      </c>
      <c r="B7" s="8" t="s">
        <v>164</v>
      </c>
      <c r="C7" s="41">
        <v>0.27700000000000002</v>
      </c>
      <c r="D7" s="8"/>
      <c r="E7" s="67">
        <v>3.1</v>
      </c>
      <c r="F7" s="67">
        <v>11.41</v>
      </c>
      <c r="G7" s="9"/>
      <c r="H7" s="20" t="s">
        <v>13</v>
      </c>
      <c r="I7" s="20" t="s">
        <v>184</v>
      </c>
      <c r="J7" s="20" t="s">
        <v>50</v>
      </c>
      <c r="K7" s="20" t="s">
        <v>183</v>
      </c>
      <c r="L7" s="17" t="s">
        <v>15</v>
      </c>
      <c r="N7" s="20" t="s">
        <v>13</v>
      </c>
      <c r="O7" s="20" t="s">
        <v>184</v>
      </c>
      <c r="P7" s="20" t="s">
        <v>50</v>
      </c>
      <c r="Q7" s="20" t="s">
        <v>183</v>
      </c>
      <c r="R7" s="17" t="s">
        <v>26</v>
      </c>
      <c r="T7" s="69" t="s">
        <v>179</v>
      </c>
      <c r="U7" s="70" t="s">
        <v>180</v>
      </c>
      <c r="V7" s="71" t="s">
        <v>181</v>
      </c>
      <c r="W7" s="71" t="s">
        <v>194</v>
      </c>
      <c r="X7" s="71" t="s">
        <v>219</v>
      </c>
      <c r="Z7" s="69" t="s">
        <v>63</v>
      </c>
      <c r="AA7" s="70" t="s">
        <v>54</v>
      </c>
      <c r="AB7" s="71" t="s">
        <v>55</v>
      </c>
      <c r="AD7" s="69" t="s">
        <v>202</v>
      </c>
      <c r="AE7" s="70" t="s">
        <v>54</v>
      </c>
      <c r="AF7" s="71" t="s">
        <v>55</v>
      </c>
    </row>
    <row r="8" spans="1:32" x14ac:dyDescent="0.3">
      <c r="A8" s="7"/>
      <c r="B8" s="8" t="s">
        <v>145</v>
      </c>
      <c r="C8" s="41"/>
      <c r="D8" s="8"/>
      <c r="E8" s="9">
        <v>19.72</v>
      </c>
      <c r="F8" s="9">
        <v>4.26</v>
      </c>
      <c r="G8" s="9"/>
      <c r="H8" s="19">
        <v>23.35</v>
      </c>
      <c r="I8" s="19">
        <v>1.1399999999999999</v>
      </c>
      <c r="J8" s="19">
        <v>72.739999999999995</v>
      </c>
      <c r="K8" s="19">
        <v>2.76</v>
      </c>
      <c r="L8" s="17">
        <f>SUM(H8:K8)</f>
        <v>99.99</v>
      </c>
      <c r="N8" s="45">
        <v>20</v>
      </c>
      <c r="O8" s="45">
        <v>2</v>
      </c>
      <c r="P8" s="45">
        <v>73</v>
      </c>
      <c r="Q8" s="45">
        <v>5</v>
      </c>
      <c r="R8" s="17">
        <f>SUM(N8:Q8)</f>
        <v>100</v>
      </c>
      <c r="T8" s="7" t="str">
        <f>B8</f>
        <v>하수25 : 비료25 : 퇴비25 : 토양25</v>
      </c>
      <c r="U8" s="16">
        <f>($W$2*$C$4)/(($W$2*$C$4)+($W$2*$C$5)+($W$2*$C$6)+($W$2*$C$7))*100</f>
        <v>10.955834660062505</v>
      </c>
      <c r="V8" s="16">
        <f>($W$2*$C$5)/(($W$2*$C$4)+($W$2*$C$5)+($W$2*$C$6)+($W$2*$C$7))*100</f>
        <v>3.8681526033374611</v>
      </c>
      <c r="W8" s="16">
        <f>($W$2*$C$6)/(($W$2*$C$4)+($W$2*$C$5)+($W$2*$C$6)+($W$2*$C$7))*100</f>
        <v>83.542661713544433</v>
      </c>
      <c r="X8" s="16">
        <f>100-(U8+V8+W8)</f>
        <v>1.6333510230555959</v>
      </c>
      <c r="Z8" s="7" t="str">
        <f>B8</f>
        <v>하수25 : 비료25 : 퇴비25 : 토양25</v>
      </c>
      <c r="AA8" s="16">
        <f>(($W$2*$C$4*$E$4)+($W$2*$C$5*$E$5)+($W$2*$C$6*$E$6)+($W$2*$C$7*$E$7))/(($W$2*$C$4)+($W$2*$C$5)+($W$2*$C$6)+($W$2*$C$7))</f>
        <v>19.830401556695559</v>
      </c>
      <c r="AB8" s="16">
        <f>(($W$2*$C$4*$F$4)+($W$2*$C$5*$F$5)+($W$2*$C$6*$F$6)+($W$2*$C$7*$F$7))/(($W$2*$C$4)+($W$2*$C$5)+($W$2*$C$6)+($W$2*$C$7))</f>
        <v>4.7493926528686838</v>
      </c>
      <c r="AD8" s="7" t="str">
        <f t="shared" ref="AD8:AD16" si="0">B8</f>
        <v>하수25 : 비료25 : 퇴비25 : 토양25</v>
      </c>
      <c r="AE8" s="16">
        <f>AA8/E8</f>
        <v>1.0055984562218845</v>
      </c>
      <c r="AF8" s="16">
        <f>AB8/F8</f>
        <v>1.1148809044292685</v>
      </c>
    </row>
    <row r="9" spans="1:32" x14ac:dyDescent="0.3">
      <c r="A9" s="7"/>
      <c r="B9" s="8" t="s">
        <v>146</v>
      </c>
      <c r="C9" s="41"/>
      <c r="D9" s="8"/>
      <c r="E9" s="9">
        <v>18.829999999999998</v>
      </c>
      <c r="F9" s="9">
        <v>3.89</v>
      </c>
      <c r="G9" s="9"/>
      <c r="H9" s="19">
        <v>33.17</v>
      </c>
      <c r="I9" s="19">
        <v>0.71</v>
      </c>
      <c r="J9" s="19">
        <v>64</v>
      </c>
      <c r="K9" s="19">
        <v>2.11</v>
      </c>
      <c r="L9" s="17">
        <f t="shared" ref="L9:L16" si="1">SUM(H9:K9)</f>
        <v>99.99</v>
      </c>
      <c r="N9" s="45">
        <v>27</v>
      </c>
      <c r="O9" s="45">
        <v>2</v>
      </c>
      <c r="P9" s="45">
        <v>67</v>
      </c>
      <c r="Q9" s="45">
        <v>4</v>
      </c>
      <c r="R9" s="17">
        <f t="shared" ref="R9:R16" si="2">SUM(N9:Q9)</f>
        <v>100</v>
      </c>
      <c r="T9" s="7" t="str">
        <f t="shared" ref="T9:T16" si="3">B9</f>
        <v>하수40 : 비료20 : 퇴비20 : 토양20</v>
      </c>
      <c r="U9" s="16">
        <f>($X$2*$C$4)/(($X$2*$C$4)+($V$2*$C$5)+($V$2*$C$6)+($V$2*$C$7))*100</f>
        <v>19.7481001222299</v>
      </c>
      <c r="V9" s="16">
        <f>($V$2*$C$5)/(($X$2*$C$4)+($V$2*$C$5)+($V$2*$C$6)+($V$2*$C$7))*100</f>
        <v>3.4862092788435985</v>
      </c>
      <c r="W9" s="16">
        <f>($V$2*$C$6)/(($X$2*$C$4)+($V$2*$C$5)+($V$2*$C$6)+($V$2*$C$7))*100</f>
        <v>75.293617473561142</v>
      </c>
      <c r="X9" s="16">
        <f t="shared" ref="X9:X16" si="4">100-(U9+V9+W9)</f>
        <v>1.4720731253653554</v>
      </c>
      <c r="Z9" s="7" t="str">
        <f t="shared" ref="Z9:Z16" si="5">B9</f>
        <v>하수40 : 비료20 : 퇴비20 : 토양20</v>
      </c>
      <c r="AA9" s="16">
        <f>(($X$2*$C$4*E4)+($V$2*$C$5*E5)+($V$2*$C$6*E6)+($V$2*$C$7*E7))/(($X$2*$C$4)+($V$2*$C$5)+($V$2*$C$6)+($V$2*$C$7))</f>
        <v>19.03945049689111</v>
      </c>
      <c r="AB9" s="16">
        <f>(($X$2*$C$4*F4)+($V$2*$C$5*F5)+($V$2*$C$6*F6)+($V$2*$C$7*F7))/(($X$2*$C$4)+($V$2*$C$5)+($V$2*$C$6)+($V$2*$C$7))</f>
        <v>4.484828080990594</v>
      </c>
      <c r="AD9" s="7" t="str">
        <f t="shared" si="0"/>
        <v>하수40 : 비료20 : 퇴비20 : 토양20</v>
      </c>
      <c r="AE9" s="16">
        <f t="shared" ref="AE9:AE16" si="6">AA9/E9</f>
        <v>1.0111232340356406</v>
      </c>
      <c r="AF9" s="16">
        <f t="shared" ref="AF9:AF16" si="7">AB9/F9</f>
        <v>1.152912103082415</v>
      </c>
    </row>
    <row r="10" spans="1:32" x14ac:dyDescent="0.3">
      <c r="A10" s="7"/>
      <c r="B10" s="8" t="s">
        <v>147</v>
      </c>
      <c r="C10" s="41"/>
      <c r="D10" s="8"/>
      <c r="E10" s="9">
        <v>18.12</v>
      </c>
      <c r="F10" s="9">
        <v>4.83</v>
      </c>
      <c r="G10" s="9"/>
      <c r="H10" s="19">
        <v>20.420000000000002</v>
      </c>
      <c r="I10" s="19">
        <v>3.12</v>
      </c>
      <c r="J10" s="19">
        <v>69.400000000000006</v>
      </c>
      <c r="K10" s="19">
        <v>7.06</v>
      </c>
      <c r="L10" s="17">
        <f t="shared" si="1"/>
        <v>100.00000000000001</v>
      </c>
      <c r="N10" s="45">
        <v>19</v>
      </c>
      <c r="O10" s="45">
        <v>3</v>
      </c>
      <c r="P10" s="45">
        <v>71</v>
      </c>
      <c r="Q10" s="45">
        <v>7</v>
      </c>
      <c r="R10" s="17">
        <f t="shared" si="2"/>
        <v>100</v>
      </c>
      <c r="T10" s="7" t="str">
        <f t="shared" si="3"/>
        <v>하수20 : 비료40 : 퇴비20 : 토양20</v>
      </c>
      <c r="U10" s="16">
        <f>($V$2*$C$4)/(($V$2*$C$4)+($X$2*$C$5)+($V$2*$C$6)+($V$2*$C$7))*100</f>
        <v>10.54782855520863</v>
      </c>
      <c r="V10" s="16">
        <f>($X$2*$C$5)/(($V$2*$C$4)+($X$2*$C$5)+($V$2*$C$6)+($V$2*$C$7))*100</f>
        <v>7.4481975588986655</v>
      </c>
      <c r="W10" s="16">
        <f>($V$2*$C$6)/(($V$2*$C$4)+($X$2*$C$5)+($V$2*$C$6)+($V$2*$C$7))*100</f>
        <v>80.431450468350846</v>
      </c>
      <c r="X10" s="16">
        <f t="shared" si="4"/>
        <v>1.5725234175418592</v>
      </c>
      <c r="Z10" s="7" t="str">
        <f t="shared" si="5"/>
        <v>하수20 : 비료40 : 퇴비20 : 토양20</v>
      </c>
      <c r="AA10" s="16">
        <f>(($V$2*$C$4*E4)+($X$2*$C$5*E5)+($V$2*$C$6*E6)+($V$2*$C$7*E7))/(($V$2*$C$4)+($X$2*$C$5)+($V$2*$C$6)+($V$2*$C$7))</f>
        <v>18.163852398523986</v>
      </c>
      <c r="AB10" s="16">
        <f>(($V$2*$C$4*F4)+($X$2*$C$5*F5)+($V$2*$C$6*F6)+($V$2*$C$7*F7))/(($V$2*$C$4)+($X$2*$C$5)+($V$2*$C$6)+($V$2*$C$7))</f>
        <v>5.1519903491342616</v>
      </c>
      <c r="AD10" s="7" t="str">
        <f t="shared" si="0"/>
        <v>하수20 : 비료40 : 퇴비20 : 토양20</v>
      </c>
      <c r="AE10" s="16">
        <f t="shared" si="6"/>
        <v>1.0024201102938182</v>
      </c>
      <c r="AF10" s="16">
        <f t="shared" si="7"/>
        <v>1.0666646685578181</v>
      </c>
    </row>
    <row r="11" spans="1:32" x14ac:dyDescent="0.3">
      <c r="A11" s="7"/>
      <c r="B11" s="8" t="s">
        <v>148</v>
      </c>
      <c r="C11" s="41"/>
      <c r="D11" s="8"/>
      <c r="E11" s="9">
        <v>21.6</v>
      </c>
      <c r="F11" s="9">
        <v>4.16</v>
      </c>
      <c r="G11" s="9"/>
      <c r="H11" s="17">
        <v>14.19</v>
      </c>
      <c r="I11" s="17">
        <v>0.63</v>
      </c>
      <c r="J11" s="17">
        <v>84.05</v>
      </c>
      <c r="K11" s="17">
        <v>1.1299999999999999</v>
      </c>
      <c r="L11" s="17">
        <f t="shared" si="1"/>
        <v>100</v>
      </c>
      <c r="N11" s="45">
        <v>13</v>
      </c>
      <c r="O11" s="45">
        <v>1</v>
      </c>
      <c r="P11" s="45">
        <v>84</v>
      </c>
      <c r="Q11" s="45">
        <v>2</v>
      </c>
      <c r="R11" s="17">
        <f t="shared" si="2"/>
        <v>100</v>
      </c>
      <c r="T11" s="7" t="str">
        <f t="shared" si="3"/>
        <v>하수20 : 비료20 : 퇴비40 : 토양20</v>
      </c>
      <c r="U11" s="16">
        <f>($V$2*$C$4)/(($V$2*$C$4)+($V$2*$C$5)+($X$2*$C$6)+($V$2*$C$7))*100</f>
        <v>5.9690943553827873</v>
      </c>
      <c r="V11" s="16">
        <f>($V$2*$C$5)/(($V$2*$C$4)+($V$2*$C$5)+($X$2*$C$6)+($V$2*$C$7))*100</f>
        <v>2.1074951007164202</v>
      </c>
      <c r="W11" s="16">
        <f>($X$2*$C$6)/(($V$2*$C$4)+($V$2*$C$5)+($X$2*$C$6)+($V$2*$C$7))*100</f>
        <v>91.033507887043413</v>
      </c>
      <c r="X11" s="16">
        <f t="shared" si="4"/>
        <v>0.88990265685737313</v>
      </c>
      <c r="Z11" s="7" t="str">
        <f t="shared" si="5"/>
        <v>하수20 : 비료20 : 퇴비40 : 토양20</v>
      </c>
      <c r="AA11" s="16">
        <f>(($V$2*$C$4*E4)+($V$2*$C$5*E5)+($X$2*$C$6*E6)+($V$2*$C$7*E7))/(($V$2*$C$4)+($V$2*$C$5)+($X$2*$C$6)+($V$2*$C$7))</f>
        <v>21.400546792174001</v>
      </c>
      <c r="AB11" s="16">
        <f>(($V$2*$C$4*F4)+($V$2*$C$5*F5)+($X$2*$C$6*F6)+($V$2*$C$7*F7))/(($V$2*$C$4)+($V$2*$C$5)+($X$2*$C$6)+($V$2*$C$7))</f>
        <v>4.6222221865261677</v>
      </c>
      <c r="AD11" s="7" t="str">
        <f t="shared" si="0"/>
        <v>하수20 : 비료20 : 퇴비40 : 토양20</v>
      </c>
      <c r="AE11" s="16">
        <f t="shared" si="6"/>
        <v>0.99076605519324079</v>
      </c>
      <c r="AF11" s="16">
        <f t="shared" si="7"/>
        <v>1.1111111025303286</v>
      </c>
    </row>
    <row r="12" spans="1:32" x14ac:dyDescent="0.3">
      <c r="A12" s="7"/>
      <c r="B12" s="8" t="s">
        <v>149</v>
      </c>
      <c r="C12" s="41"/>
      <c r="D12" s="8"/>
      <c r="E12" s="9">
        <v>19.579999999999998</v>
      </c>
      <c r="F12" s="9">
        <v>4.42</v>
      </c>
      <c r="G12" s="9"/>
      <c r="H12" s="17">
        <v>21.66</v>
      </c>
      <c r="I12" s="17">
        <v>2.11</v>
      </c>
      <c r="J12" s="17">
        <v>73.069999999999993</v>
      </c>
      <c r="K12" s="17">
        <v>3.15</v>
      </c>
      <c r="L12" s="17">
        <f t="shared" si="1"/>
        <v>99.99</v>
      </c>
      <c r="N12" s="45">
        <v>17</v>
      </c>
      <c r="O12" s="45">
        <v>2</v>
      </c>
      <c r="P12" s="45">
        <v>77</v>
      </c>
      <c r="Q12" s="45">
        <v>4</v>
      </c>
      <c r="R12" s="17">
        <f t="shared" si="2"/>
        <v>100</v>
      </c>
      <c r="T12" s="7" t="str">
        <f t="shared" si="3"/>
        <v>하수20 : 비료20 : 퇴비20 : 토양40</v>
      </c>
      <c r="U12" s="16">
        <f>($V$2*$C$4)/(($V$2*$C$4)+($V$2*$C$5)+($V$2*$C$6)+($X$2*$C$7))*100</f>
        <v>10.779763286145277</v>
      </c>
      <c r="V12" s="16">
        <f>($V$2*$C$5)/(($V$2*$C$4)+($V$2*$C$5)+($V$2*$C$6)+($X$2*$C$7))*100</f>
        <v>3.8059874680900441</v>
      </c>
      <c r="W12" s="16">
        <f>($V$2*$C$6)/(($V$2*$C$4)+($V$2*$C$5)+($V$2*$C$6)+($X$2*$C$7))*100</f>
        <v>82.200046414481307</v>
      </c>
      <c r="X12" s="16">
        <f t="shared" si="4"/>
        <v>3.214202831283373</v>
      </c>
      <c r="Z12" s="7" t="str">
        <f t="shared" si="5"/>
        <v>하수20 : 비료20 : 퇴비20 : 토양40</v>
      </c>
      <c r="AA12" s="16">
        <f>(($V$2*$C$4*E4)+($V$2*$C$5*E5)+($V$2*$C$6*E6)+($X$2*$C$7*E7))/(($V$2*$C$4)+($V$2*$C$5)+($V$2*$C$6)+($X$2*$C$7))</f>
        <v>19.561527036435368</v>
      </c>
      <c r="AB12" s="16">
        <f>(($V$2*$C$4*F4)+($V$2*$C$5*F5)+($V$2*$C$6*F6)+($X$2*$C$7*F7))/(($V$2*$C$4)+($V$2*$C$5)+($V$2*$C$6)+($X$2*$C$7))</f>
        <v>4.8564353678347638</v>
      </c>
      <c r="AD12" s="7" t="str">
        <f t="shared" si="0"/>
        <v>하수20 : 비료20 : 퇴비20 : 토양40</v>
      </c>
      <c r="AE12" s="16">
        <f t="shared" si="6"/>
        <v>0.999056539143788</v>
      </c>
      <c r="AF12" s="16">
        <f t="shared" si="7"/>
        <v>1.0987410334467791</v>
      </c>
    </row>
    <row r="13" spans="1:32" x14ac:dyDescent="0.3">
      <c r="A13" s="7"/>
      <c r="B13" s="8" t="s">
        <v>150</v>
      </c>
      <c r="C13" s="41"/>
      <c r="D13" s="8"/>
      <c r="E13" s="9">
        <v>16.07</v>
      </c>
      <c r="F13" s="9">
        <v>3.3</v>
      </c>
      <c r="G13" s="9"/>
      <c r="H13" s="17">
        <v>57.22</v>
      </c>
      <c r="I13" s="17">
        <v>1.07</v>
      </c>
      <c r="J13" s="17">
        <v>40.24</v>
      </c>
      <c r="K13" s="17">
        <v>1.47</v>
      </c>
      <c r="L13" s="17">
        <f t="shared" si="1"/>
        <v>100</v>
      </c>
      <c r="N13" s="45">
        <v>49</v>
      </c>
      <c r="O13" s="45">
        <v>2</v>
      </c>
      <c r="P13" s="45">
        <v>45</v>
      </c>
      <c r="Q13" s="45">
        <v>4</v>
      </c>
      <c r="R13" s="17">
        <f t="shared" si="2"/>
        <v>100</v>
      </c>
      <c r="T13" s="7" t="str">
        <f t="shared" si="3"/>
        <v>하수70 : 비료10 : 퇴비10 : 토양10</v>
      </c>
      <c r="U13" s="16">
        <f>($Y$2*$C$4)/(($Y$2*$C$4)+($U$2*$C$5)+($U$2*$C$6)+($U$2*$C$7))*100</f>
        <v>46.273170384601698</v>
      </c>
      <c r="V13" s="16">
        <f>($U$2*$C$5)/(($Y$2*$C$4)+($U$2*$C$5)+($U$2*$C$6)+($U$2*$C$7))*100</f>
        <v>2.3339381648699615</v>
      </c>
      <c r="W13" s="16">
        <f>($U$2*$C$6)/(($Y$2*$C$4)+($U$2*$C$5)+($U$2*$C$6)+($U$2*$C$7))*100</f>
        <v>50.407371829081725</v>
      </c>
      <c r="X13" s="16">
        <f t="shared" si="4"/>
        <v>0.98551962144661331</v>
      </c>
      <c r="Z13" s="7" t="str">
        <f t="shared" si="5"/>
        <v>하수70 : 비료10 : 퇴비10 : 토양10</v>
      </c>
      <c r="AA13" s="16">
        <f>(($Y$2*$C$4*E4)+($U$2*$C$5*E5)+($U$2*$C$6*E6)+($U$2*$C$7*E7))/(($Y$2*$C$4)+($U$2*$C$5)+($U$2*$C$6)+($U$2*$C$7))</f>
        <v>16.653258618849399</v>
      </c>
      <c r="AB13" s="16">
        <f>(($Y$2*$C$4*F4)+($U$2*$C$5*F5)+($U$2*$C$6*F6)+($U$2*$C$7*F7))/(($Y$2*$C$4)+($U$2*$C$5)+($U$2*$C$6)+($U$2*$C$7))</f>
        <v>3.6866727149820333</v>
      </c>
      <c r="AD13" s="7" t="str">
        <f t="shared" si="0"/>
        <v>하수70 : 비료10 : 퇴비10 : 토양10</v>
      </c>
      <c r="AE13" s="16">
        <f t="shared" si="6"/>
        <v>1.0362948736060609</v>
      </c>
      <c r="AF13" s="16">
        <f t="shared" si="7"/>
        <v>1.1171735499945556</v>
      </c>
    </row>
    <row r="14" spans="1:32" x14ac:dyDescent="0.3">
      <c r="A14" s="7"/>
      <c r="B14" s="8" t="s">
        <v>151</v>
      </c>
      <c r="C14" s="41"/>
      <c r="D14" s="8"/>
      <c r="E14" s="9">
        <v>11.22</v>
      </c>
      <c r="F14" s="9">
        <v>7.34</v>
      </c>
      <c r="G14" s="9"/>
      <c r="H14" s="17">
        <v>14.33</v>
      </c>
      <c r="I14" s="17">
        <v>7.78</v>
      </c>
      <c r="J14" s="17">
        <v>44.63</v>
      </c>
      <c r="K14" s="17">
        <v>33.26</v>
      </c>
      <c r="L14" s="17">
        <f t="shared" si="1"/>
        <v>100</v>
      </c>
      <c r="N14" s="45">
        <v>19</v>
      </c>
      <c r="O14" s="45">
        <v>10</v>
      </c>
      <c r="P14" s="45">
        <v>44</v>
      </c>
      <c r="Q14" s="45">
        <v>27</v>
      </c>
      <c r="R14" s="17">
        <f t="shared" si="2"/>
        <v>100</v>
      </c>
      <c r="T14" s="7" t="str">
        <f t="shared" si="3"/>
        <v>하수10 : 비료70 : 퇴비10 : 토양10</v>
      </c>
      <c r="U14" s="16">
        <f>($U$2*$C$4)/(($U$2*$C$4)+($Y$2*$C$5)+($U$2*$C$6)+($U$2*$C$7))*100</f>
        <v>8.892079444843267</v>
      </c>
      <c r="V14" s="16">
        <f>($Y$2*$C$5)/(($U$2*$C$4)+($Y$2*$C$5)+($U$2*$C$6)+($U$2*$C$7))*100</f>
        <v>21.976549413735349</v>
      </c>
      <c r="W14" s="16">
        <f>($U$2*$C$6)/(($U$2*$C$4)+($Y$2*$C$5)+($U$2*$C$6)+($U$2*$C$7))*100</f>
        <v>67.805695142378568</v>
      </c>
      <c r="X14" s="16">
        <f t="shared" si="4"/>
        <v>1.3256759990428151</v>
      </c>
      <c r="Z14" s="7" t="str">
        <f t="shared" si="5"/>
        <v>하수10 : 비료70 : 퇴비10 : 토양10</v>
      </c>
      <c r="AA14" s="16">
        <f>(($U$2*$C$4*E4)+($Y$2*$C$5*E5)+($U$2*$C$6*E6)+($U$2*$C$7*E7))/(($U$2*$C$4)+($Y$2*$C$5)+($U$2*$C$6)+($U$2*$C$7))</f>
        <v>11.400749461593685</v>
      </c>
      <c r="AB14" s="16">
        <f>(($U$2*$C$4*F4)+($Y$2*$C$5*F5)+($U$2*$C$6*F6)+($U$2*$C$7*F7))/(($U$2*$C$4)+($Y$2*$C$5)+($U$2*$C$6)+($U$2*$C$7))</f>
        <v>6.7857913376405854</v>
      </c>
      <c r="AD14" s="7" t="str">
        <f t="shared" si="0"/>
        <v>하수10 : 비료70 : 퇴비10 : 토양10</v>
      </c>
      <c r="AE14" s="16">
        <f t="shared" si="6"/>
        <v>1.0161095776821465</v>
      </c>
      <c r="AF14" s="16">
        <f t="shared" si="7"/>
        <v>0.92449473264858117</v>
      </c>
    </row>
    <row r="15" spans="1:32" x14ac:dyDescent="0.3">
      <c r="A15" s="7"/>
      <c r="B15" s="8" t="s">
        <v>152</v>
      </c>
      <c r="C15" s="41"/>
      <c r="D15" s="8"/>
      <c r="E15" s="9">
        <v>22.96</v>
      </c>
      <c r="F15" s="9">
        <v>3.88</v>
      </c>
      <c r="G15" s="9"/>
      <c r="H15" s="17">
        <v>16.96</v>
      </c>
      <c r="I15" s="17">
        <v>0.42</v>
      </c>
      <c r="J15" s="17">
        <v>81.62</v>
      </c>
      <c r="K15" s="17">
        <v>1</v>
      </c>
      <c r="L15" s="17">
        <f t="shared" si="1"/>
        <v>100</v>
      </c>
      <c r="N15" s="45">
        <v>12</v>
      </c>
      <c r="O15" s="45">
        <v>1</v>
      </c>
      <c r="P15" s="45">
        <v>85</v>
      </c>
      <c r="Q15" s="45">
        <v>2</v>
      </c>
      <c r="R15" s="17">
        <f t="shared" si="2"/>
        <v>100</v>
      </c>
      <c r="T15" s="7" t="str">
        <f t="shared" si="3"/>
        <v>하수10 : 비료10 : 퇴비70 : 토양10</v>
      </c>
      <c r="U15" s="16">
        <f>($U$2*$C$4)/(($U$2*$C$4)+($U$2*$C$5)+($Y$2*$C$6)+($U$2*$C$7))*100</f>
        <v>1.8221581492051355</v>
      </c>
      <c r="V15" s="16">
        <f>($U$2*$C$5)/(($U$2*$C$4)+($U$2*$C$5)+($Y$2*$C$6)+($U$2*$C$7))*100</f>
        <v>0.64334539605950958</v>
      </c>
      <c r="W15" s="16">
        <f>($Y$2*$C$6)/(($U$2*$C$4)+($U$2*$C$5)+($Y$2*$C$6)+($U$2*$C$7))*100</f>
        <v>97.262839938411446</v>
      </c>
      <c r="X15" s="16">
        <f t="shared" si="4"/>
        <v>0.2716565163239153</v>
      </c>
      <c r="Z15" s="7" t="str">
        <f t="shared" si="5"/>
        <v>하수10 : 비료10 : 퇴비70 : 토양10</v>
      </c>
      <c r="AA15" s="16">
        <f>(($U$2*$C$4*E4)+($U$2*$C$5*E5)+($Y$2*$C$6*E6)+($U$2*$C$7*E7))/(($U$2*$C$4)+($U$2*$C$5)+($Y$2*$C$6)+($U$2*$C$7))</f>
        <v>22.706267910206247</v>
      </c>
      <c r="AB15" s="16">
        <f>(($U$2*$C$4*F4)+($U$2*$C$5*F5)+($Y$2*$C$6*F6)+($U$2*$C$7*F7))/(($U$2*$C$4)+($U$2*$C$5)+($Y$2*$C$6)+($U$2*$C$7))</f>
        <v>4.5164681710749557</v>
      </c>
      <c r="AD15" s="7" t="str">
        <f t="shared" si="0"/>
        <v>하수10 : 비료10 : 퇴비70 : 토양10</v>
      </c>
      <c r="AE15" s="16">
        <f t="shared" si="6"/>
        <v>0.98894895079295497</v>
      </c>
      <c r="AF15" s="16">
        <f t="shared" si="7"/>
        <v>1.1640381884213804</v>
      </c>
    </row>
    <row r="16" spans="1:32" x14ac:dyDescent="0.3">
      <c r="A16" s="7"/>
      <c r="B16" s="8" t="s">
        <v>153</v>
      </c>
      <c r="C16" s="41"/>
      <c r="D16" s="8"/>
      <c r="E16" s="9">
        <v>18.239999999999998</v>
      </c>
      <c r="F16" s="9">
        <v>5.32</v>
      </c>
      <c r="G16" s="9"/>
      <c r="H16" s="17">
        <v>11.65</v>
      </c>
      <c r="I16" s="17">
        <v>3.51</v>
      </c>
      <c r="J16" s="17">
        <v>74.489999999999995</v>
      </c>
      <c r="K16" s="17">
        <v>10.34</v>
      </c>
      <c r="L16" s="17">
        <f t="shared" si="1"/>
        <v>99.99</v>
      </c>
      <c r="N16" s="45">
        <v>14</v>
      </c>
      <c r="O16" s="45">
        <v>4</v>
      </c>
      <c r="P16" s="45">
        <v>73</v>
      </c>
      <c r="Q16" s="45">
        <v>9</v>
      </c>
      <c r="R16" s="17">
        <f t="shared" si="2"/>
        <v>100</v>
      </c>
      <c r="T16" s="7" t="str">
        <f t="shared" si="3"/>
        <v>하수10 : 비료10 : 퇴비10 : 토양70</v>
      </c>
      <c r="U16" s="16">
        <f>($U$2*$C$4)/(($U$2*$C$4)+($U$2*$C$5)+($U$2*$C$6)+($Y$2*$C$7))*100</f>
        <v>9.9779818484506748</v>
      </c>
      <c r="V16" s="16">
        <f>($U$2*$C$5)/(($U$2*$C$4)+($U$2*$C$5)+($U$2*$C$6)+($Y$2*$C$7))*100</f>
        <v>3.5229042478921646</v>
      </c>
      <c r="W16" s="16">
        <f>($U$2*$C$6)/(($U$2*$C$4)+($U$2*$C$5)+($U$2*$C$6)+($Y$2*$C$7))*100</f>
        <v>76.086139305085652</v>
      </c>
      <c r="X16" s="16">
        <f t="shared" si="4"/>
        <v>10.412974598571509</v>
      </c>
      <c r="Z16" s="7" t="str">
        <f t="shared" si="5"/>
        <v>하수10 : 비료10 : 퇴비10 : 토양70</v>
      </c>
      <c r="AA16" s="16">
        <f>(($U$2*$C$4*E4)+($U$2*$C$5*E5)+($U$2*$C$6*E6)+($Y$2*$C$7*E7))/(($U$2*$C$4)+($U$2*$C$5)+($U$2*$C$6)+($Y$2*$C$7))</f>
        <v>18.337145158691801</v>
      </c>
      <c r="AB16" s="16">
        <f>(($U$2*$C$4*F4)+($U$2*$C$5*F5)+($U$2*$C$6*F6)+($Y$2*$C$7*F7))/(($U$2*$C$4)+($U$2*$C$5)+($U$2*$C$6)+($Y$2*$C$7))</f>
        <v>5.3438789538692868</v>
      </c>
      <c r="AD16" s="7" t="str">
        <f t="shared" si="0"/>
        <v>하수10 : 비료10 : 퇴비10 : 토양70</v>
      </c>
      <c r="AE16" s="16">
        <f t="shared" si="6"/>
        <v>1.0053259407177524</v>
      </c>
      <c r="AF16" s="16">
        <f t="shared" si="7"/>
        <v>1.0044885251633997</v>
      </c>
    </row>
    <row r="17" spans="1:6" x14ac:dyDescent="0.3">
      <c r="A17" s="13"/>
      <c r="B17" s="13"/>
      <c r="C17" s="74"/>
      <c r="D17" s="13"/>
      <c r="E17" s="14"/>
      <c r="F17" s="14"/>
    </row>
    <row r="18" spans="1:6" x14ac:dyDescent="0.3">
      <c r="A18" s="13"/>
      <c r="B18" s="13"/>
      <c r="C18" s="74"/>
      <c r="D18" s="13"/>
      <c r="E18" s="14"/>
      <c r="F18" s="14"/>
    </row>
  </sheetData>
  <phoneticPr fontId="11" type="noConversion"/>
  <pageMargins left="0.7" right="0.7" top="0.75" bottom="0.75" header="0.3" footer="0.3"/>
  <pageSetup paperSize="9"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AB30-5929-4056-BDA6-311F9F4C3746}">
  <sheetPr>
    <pageSetUpPr fitToPage="1"/>
  </sheetPr>
  <dimension ref="A1:Z43"/>
  <sheetViews>
    <sheetView topLeftCell="L1" workbookViewId="0">
      <selection activeCell="U2" sqref="U2:Z2"/>
    </sheetView>
  </sheetViews>
  <sheetFormatPr defaultRowHeight="16.5" x14ac:dyDescent="0.3"/>
  <cols>
    <col min="1" max="1" width="10.375" bestFit="1" customWidth="1"/>
    <col min="2" max="2" width="15.125" bestFit="1" customWidth="1"/>
    <col min="4" max="4" width="7.5" bestFit="1" customWidth="1"/>
    <col min="6" max="9" width="10.625" customWidth="1"/>
    <col min="13" max="13" width="21.75" bestFit="1" customWidth="1"/>
    <col min="14" max="14" width="28.625" bestFit="1" customWidth="1"/>
    <col min="21" max="21" width="21.75" bestFit="1" customWidth="1"/>
    <col min="22" max="22" width="31.5" bestFit="1" customWidth="1"/>
  </cols>
  <sheetData>
    <row r="1" spans="1:26" ht="30" x14ac:dyDescent="0.3">
      <c r="A1" s="54" t="s">
        <v>81</v>
      </c>
      <c r="B1" s="54" t="s">
        <v>82</v>
      </c>
      <c r="C1" s="54" t="s">
        <v>83</v>
      </c>
      <c r="D1" s="55" t="s">
        <v>84</v>
      </c>
    </row>
    <row r="2" spans="1:26" x14ac:dyDescent="0.3">
      <c r="A2" s="51">
        <v>1</v>
      </c>
      <c r="B2" s="51" t="s">
        <v>87</v>
      </c>
      <c r="C2" s="52" t="s">
        <v>88</v>
      </c>
      <c r="D2" s="53">
        <v>1.8580000000000001</v>
      </c>
      <c r="F2" s="42" t="s">
        <v>60</v>
      </c>
      <c r="G2" s="43">
        <v>0.25</v>
      </c>
      <c r="H2" s="43">
        <v>0.5</v>
      </c>
      <c r="I2" s="44">
        <v>0.75</v>
      </c>
      <c r="M2" s="42" t="s">
        <v>60</v>
      </c>
      <c r="N2">
        <v>0.125</v>
      </c>
      <c r="O2">
        <v>0.25</v>
      </c>
      <c r="P2">
        <v>0.33300000000000002</v>
      </c>
      <c r="Q2">
        <v>0.5</v>
      </c>
      <c r="R2">
        <v>0.75</v>
      </c>
      <c r="U2" s="42" t="s">
        <v>60</v>
      </c>
      <c r="V2">
        <v>0.1</v>
      </c>
      <c r="W2">
        <v>0.2</v>
      </c>
      <c r="X2">
        <v>0.25</v>
      </c>
      <c r="Y2">
        <v>0.4</v>
      </c>
      <c r="Z2">
        <v>0.7</v>
      </c>
    </row>
    <row r="3" spans="1:26" x14ac:dyDescent="0.3">
      <c r="A3" s="51">
        <v>2</v>
      </c>
      <c r="B3" s="51" t="s">
        <v>89</v>
      </c>
      <c r="C3" s="52" t="s">
        <v>90</v>
      </c>
      <c r="D3" s="53">
        <v>0.65600000000000003</v>
      </c>
      <c r="F3" s="56"/>
      <c r="G3" s="56"/>
      <c r="H3" s="57"/>
      <c r="I3" s="58"/>
    </row>
    <row r="4" spans="1:26" x14ac:dyDescent="0.3">
      <c r="A4" s="51">
        <v>3</v>
      </c>
      <c r="B4" s="51" t="s">
        <v>45</v>
      </c>
      <c r="C4" s="52" t="s">
        <v>93</v>
      </c>
      <c r="D4" s="53">
        <v>14.167999999999999</v>
      </c>
      <c r="F4" s="56"/>
      <c r="G4" s="56"/>
      <c r="H4" s="57"/>
      <c r="I4" s="58"/>
    </row>
    <row r="5" spans="1:26" x14ac:dyDescent="0.3">
      <c r="A5" s="51">
        <v>4</v>
      </c>
      <c r="B5" s="51" t="s">
        <v>85</v>
      </c>
      <c r="C5" s="52" t="s">
        <v>86</v>
      </c>
      <c r="D5" s="53">
        <v>0.27700000000000002</v>
      </c>
      <c r="F5" s="56"/>
      <c r="G5" s="56"/>
      <c r="H5" s="57"/>
      <c r="I5" s="58"/>
    </row>
    <row r="8" spans="1:26" x14ac:dyDescent="0.3">
      <c r="A8" t="s">
        <v>92</v>
      </c>
      <c r="M8" t="s">
        <v>118</v>
      </c>
      <c r="U8" t="s">
        <v>122</v>
      </c>
    </row>
    <row r="9" spans="1:26" x14ac:dyDescent="0.3">
      <c r="A9" s="59" t="s">
        <v>99</v>
      </c>
      <c r="B9" s="59" t="s">
        <v>98</v>
      </c>
      <c r="C9" s="59" t="s">
        <v>100</v>
      </c>
      <c r="D9" s="59" t="s">
        <v>101</v>
      </c>
      <c r="M9" s="59" t="s">
        <v>99</v>
      </c>
      <c r="N9" s="59" t="s">
        <v>102</v>
      </c>
      <c r="O9" s="59" t="s">
        <v>100</v>
      </c>
      <c r="P9" s="59" t="s">
        <v>101</v>
      </c>
      <c r="U9" s="59" t="s">
        <v>99</v>
      </c>
      <c r="V9" s="59" t="s">
        <v>102</v>
      </c>
      <c r="W9" s="59" t="s">
        <v>100</v>
      </c>
      <c r="X9" s="59" t="s">
        <v>101</v>
      </c>
    </row>
    <row r="10" spans="1:26" x14ac:dyDescent="0.3">
      <c r="A10" s="60" t="s">
        <v>94</v>
      </c>
      <c r="B10" s="60" t="s">
        <v>95</v>
      </c>
      <c r="C10" s="61">
        <f>(G2*$D$2)+(I2*$D$4)</f>
        <v>11.090499999999999</v>
      </c>
      <c r="D10" s="60"/>
      <c r="M10" s="60" t="s">
        <v>119</v>
      </c>
      <c r="N10" s="60" t="s">
        <v>124</v>
      </c>
      <c r="O10" s="61">
        <f>($D$2*$P$2)+($D$3*$P$2)+($D$4*$P$2)</f>
        <v>5.5551060000000003</v>
      </c>
      <c r="P10" s="60">
        <v>0.3</v>
      </c>
      <c r="U10" s="60" t="s">
        <v>123</v>
      </c>
      <c r="V10" s="60" t="s">
        <v>145</v>
      </c>
      <c r="W10" s="61">
        <f>($D$2*$X$2)+($D$3*$X$2)+($D$4*$X$2)+($D$5*$X$2)</f>
        <v>4.2397499999999999</v>
      </c>
      <c r="X10" s="60">
        <v>0.3</v>
      </c>
    </row>
    <row r="11" spans="1:26" x14ac:dyDescent="0.3">
      <c r="A11" s="60"/>
      <c r="B11" s="60" t="s">
        <v>96</v>
      </c>
      <c r="C11" s="61">
        <f>($H$2*$D$2)+($H$2*$D$4)</f>
        <v>8.0129999999999999</v>
      </c>
      <c r="D11" s="60"/>
      <c r="M11" s="60"/>
      <c r="N11" s="60" t="s">
        <v>125</v>
      </c>
      <c r="O11" s="61">
        <f>($D$2*$Q$2)+($D$3*$O$2)+($D$4*$O$2)</f>
        <v>4.6349999999999998</v>
      </c>
      <c r="P11" s="60">
        <v>0.3</v>
      </c>
      <c r="U11" s="60"/>
      <c r="V11" s="60" t="s">
        <v>146</v>
      </c>
      <c r="W11" s="61">
        <f>($D$2*$Y$2)+($D$3*$W$2)+($D$4*$W$2)+($D$5*$W$2)</f>
        <v>3.7634000000000003</v>
      </c>
      <c r="X11" s="60">
        <v>0.5</v>
      </c>
    </row>
    <row r="12" spans="1:26" x14ac:dyDescent="0.3">
      <c r="A12" s="60"/>
      <c r="B12" s="60" t="s">
        <v>97</v>
      </c>
      <c r="C12" s="61">
        <f>($I$2*$D$2)+($G$2*$D$4)</f>
        <v>4.9354999999999993</v>
      </c>
      <c r="D12" s="60"/>
      <c r="M12" s="60"/>
      <c r="N12" s="60" t="s">
        <v>126</v>
      </c>
      <c r="O12" s="61">
        <f>($D$2*$O$2)+($D$3*$Q$2)+($D$4*$O$2)</f>
        <v>4.3345000000000002</v>
      </c>
      <c r="P12" s="60">
        <v>0.3</v>
      </c>
      <c r="U12" s="60"/>
      <c r="V12" s="60" t="s">
        <v>147</v>
      </c>
      <c r="W12" s="61">
        <f>($D$2*$W$2)+($D$3*$Y$2)+($D$4*$W$2)+($D$5*$W$2)</f>
        <v>3.5230000000000001</v>
      </c>
      <c r="X12" s="60">
        <v>0.5</v>
      </c>
    </row>
    <row r="13" spans="1:26" x14ac:dyDescent="0.3">
      <c r="M13" s="60"/>
      <c r="N13" s="60" t="s">
        <v>127</v>
      </c>
      <c r="O13" s="61">
        <f>($D$2*$O$2)+($D$3*$O$2)+($D$4*$Q$2)</f>
        <v>7.7124999999999995</v>
      </c>
      <c r="P13" s="60">
        <v>0.2</v>
      </c>
      <c r="U13" s="60"/>
      <c r="V13" s="60" t="s">
        <v>148</v>
      </c>
      <c r="W13" s="61">
        <f>($D$2*$W$2)+($D$3*$W$2)+($D$4*$Y$2)+($D$5*$W$2)</f>
        <v>6.2253999999999996</v>
      </c>
      <c r="X13" s="60">
        <v>0.2</v>
      </c>
    </row>
    <row r="14" spans="1:26" x14ac:dyDescent="0.3">
      <c r="A14" s="59" t="s">
        <v>99</v>
      </c>
      <c r="B14" s="59" t="s">
        <v>98</v>
      </c>
      <c r="C14" s="59" t="s">
        <v>100</v>
      </c>
      <c r="D14" s="59" t="s">
        <v>101</v>
      </c>
      <c r="M14" s="60"/>
      <c r="N14" s="60" t="s">
        <v>128</v>
      </c>
      <c r="O14" s="61">
        <f>($D$2*$R$2)+($D$3*$N$2)+($D$4*$N$2)</f>
        <v>3.2465000000000002</v>
      </c>
      <c r="P14" s="60">
        <v>0.5</v>
      </c>
      <c r="U14" s="60"/>
      <c r="V14" s="60" t="s">
        <v>149</v>
      </c>
      <c r="W14" s="61">
        <f>($D$2*$W$2)+($D$3*$W$2)+($D$4*$W$2)+($D$5*$Y$2)</f>
        <v>3.4472000000000005</v>
      </c>
      <c r="X14" s="60">
        <v>0.5</v>
      </c>
    </row>
    <row r="15" spans="1:26" x14ac:dyDescent="0.3">
      <c r="A15" s="60" t="s">
        <v>91</v>
      </c>
      <c r="B15" s="60" t="s">
        <v>103</v>
      </c>
      <c r="C15" s="61">
        <f>($G$2*$D$2)+($I$2*$D$5)</f>
        <v>0.67225000000000001</v>
      </c>
      <c r="D15" s="60"/>
      <c r="M15" s="60"/>
      <c r="N15" s="60" t="s">
        <v>129</v>
      </c>
      <c r="O15" s="61">
        <f>($D$2*$N$2)+($D$3*$R$2)+($D$4*$N$2)</f>
        <v>2.49525</v>
      </c>
      <c r="P15" s="60">
        <v>0.5</v>
      </c>
      <c r="U15" s="60"/>
      <c r="V15" s="60" t="s">
        <v>150</v>
      </c>
      <c r="W15" s="61">
        <f>($D$2*$Z$2)+($D$3*$V$2)+($D$4*$V$2)+($D$5*$V$2)</f>
        <v>2.8107000000000002</v>
      </c>
      <c r="X15" s="60">
        <v>0.5</v>
      </c>
    </row>
    <row r="16" spans="1:26" x14ac:dyDescent="0.3">
      <c r="A16" s="60"/>
      <c r="B16" s="60" t="s">
        <v>104</v>
      </c>
      <c r="C16" s="61">
        <f>($H$2*$D$2)+($H$2*$D$5)</f>
        <v>1.0675000000000001</v>
      </c>
      <c r="D16" s="60"/>
      <c r="M16" s="60"/>
      <c r="N16" s="60" t="s">
        <v>130</v>
      </c>
      <c r="O16" s="61">
        <f>($D$2*$N$2)+($D$3*$N$2)+($D$4*$R$2)</f>
        <v>10.940249999999999</v>
      </c>
      <c r="P16" s="60">
        <v>0.1</v>
      </c>
      <c r="U16" s="60"/>
      <c r="V16" s="60" t="s">
        <v>151</v>
      </c>
      <c r="W16" s="61">
        <f>($D$2*$V$2)+($D$3*$Z$2)+($D$4*$V$2)+($D$5*$V$2)</f>
        <v>2.0894999999999997</v>
      </c>
      <c r="X16" s="60">
        <v>0.5</v>
      </c>
    </row>
    <row r="17" spans="1:24" x14ac:dyDescent="0.3">
      <c r="A17" s="60"/>
      <c r="B17" s="60" t="s">
        <v>105</v>
      </c>
      <c r="C17" s="61">
        <f>($I$2*$D$2)+($G$2*$D$5)</f>
        <v>1.46275</v>
      </c>
      <c r="D17" s="60"/>
      <c r="U17" s="60"/>
      <c r="V17" s="60" t="s">
        <v>152</v>
      </c>
      <c r="W17" s="61">
        <f>($D$2*$V$2)+($D$3*$V$2)+($D$4*$Z$2)+($D$5*$V$2)</f>
        <v>10.196699999999998</v>
      </c>
      <c r="X17" s="60">
        <v>0.1</v>
      </c>
    </row>
    <row r="18" spans="1:24" x14ac:dyDescent="0.3">
      <c r="M18" s="59" t="s">
        <v>99</v>
      </c>
      <c r="N18" s="59" t="s">
        <v>102</v>
      </c>
      <c r="O18" s="59" t="s">
        <v>100</v>
      </c>
      <c r="P18" s="59" t="s">
        <v>101</v>
      </c>
      <c r="U18" s="60"/>
      <c r="V18" s="60" t="s">
        <v>153</v>
      </c>
      <c r="W18" s="61">
        <f>($D$2*$V$2)+($D$3*$V$2)+($D$4*$V$2)+($D$5*$Z$2)</f>
        <v>1.8621000000000001</v>
      </c>
      <c r="X18" s="60">
        <v>1</v>
      </c>
    </row>
    <row r="19" spans="1:24" x14ac:dyDescent="0.3">
      <c r="A19" s="59" t="s">
        <v>99</v>
      </c>
      <c r="B19" s="59" t="s">
        <v>98</v>
      </c>
      <c r="C19" s="59" t="s">
        <v>100</v>
      </c>
      <c r="D19" s="59" t="s">
        <v>101</v>
      </c>
      <c r="M19" s="60" t="s">
        <v>120</v>
      </c>
      <c r="N19" s="60" t="s">
        <v>131</v>
      </c>
      <c r="O19" s="61">
        <f>($D$2*$P$2)+($D$3*$P$2)+($D$5*$P$2)</f>
        <v>0.9294030000000002</v>
      </c>
      <c r="P19" s="60">
        <v>1.1000000000000001</v>
      </c>
    </row>
    <row r="20" spans="1:24" x14ac:dyDescent="0.3">
      <c r="A20" s="60" t="s">
        <v>106</v>
      </c>
      <c r="B20" s="60" t="s">
        <v>107</v>
      </c>
      <c r="C20" s="61">
        <f>($G$2*$D$3)+($I$2*$D$4)</f>
        <v>10.79</v>
      </c>
      <c r="D20" s="60"/>
      <c r="M20" s="60"/>
      <c r="N20" s="60" t="s">
        <v>132</v>
      </c>
      <c r="O20" s="61">
        <f>($D$2*$Q$2)+($D$3*$O$2)+($D$5*$O$2)</f>
        <v>1.16225</v>
      </c>
      <c r="P20" s="60">
        <v>1</v>
      </c>
    </row>
    <row r="21" spans="1:24" x14ac:dyDescent="0.3">
      <c r="A21" s="60"/>
      <c r="B21" s="60" t="s">
        <v>108</v>
      </c>
      <c r="C21" s="61">
        <f>($H$2*$D$3)+($H$2*$D$4)</f>
        <v>7.4119999999999999</v>
      </c>
      <c r="D21" s="60"/>
      <c r="M21" s="60"/>
      <c r="N21" s="60" t="s">
        <v>133</v>
      </c>
      <c r="O21" s="61">
        <f>($D$2*$O$2)+($D$3*$Q$2)+($D$5*$O$2)</f>
        <v>0.86175000000000002</v>
      </c>
      <c r="P21" s="60">
        <v>1.1000000000000001</v>
      </c>
    </row>
    <row r="22" spans="1:24" x14ac:dyDescent="0.3">
      <c r="A22" s="60"/>
      <c r="B22" s="60" t="s">
        <v>109</v>
      </c>
      <c r="C22" s="61">
        <f>($I$2*$D$3)+($G$2*$D$4)</f>
        <v>4.0339999999999998</v>
      </c>
      <c r="D22" s="60"/>
      <c r="M22" s="60"/>
      <c r="N22" s="60" t="s">
        <v>134</v>
      </c>
      <c r="O22" s="61">
        <f>($D$2*$O$2)+($D$3*$O$2)+($D$5*$Q$2)</f>
        <v>0.76700000000000013</v>
      </c>
      <c r="P22" s="60">
        <v>2</v>
      </c>
    </row>
    <row r="23" spans="1:24" x14ac:dyDescent="0.3">
      <c r="M23" s="60"/>
      <c r="N23" s="60" t="s">
        <v>135</v>
      </c>
      <c r="O23" s="61">
        <f>($D$2*$R$2)+($D$3*$N$2)+($D$5*$N$2)</f>
        <v>1.5101249999999999</v>
      </c>
      <c r="P23" s="60">
        <v>1</v>
      </c>
    </row>
    <row r="24" spans="1:24" x14ac:dyDescent="0.3">
      <c r="A24" s="59" t="s">
        <v>99</v>
      </c>
      <c r="B24" s="59" t="s">
        <v>98</v>
      </c>
      <c r="C24" s="59" t="s">
        <v>100</v>
      </c>
      <c r="D24" s="59" t="s">
        <v>101</v>
      </c>
      <c r="M24" s="60"/>
      <c r="N24" s="60" t="s">
        <v>136</v>
      </c>
      <c r="O24" s="61">
        <f>($D$2*$N$2)+($D$3*$R$2)+($D$5*$N$2)</f>
        <v>0.75887500000000008</v>
      </c>
      <c r="P24" s="60">
        <v>2</v>
      </c>
    </row>
    <row r="25" spans="1:24" x14ac:dyDescent="0.3">
      <c r="A25" s="60" t="s">
        <v>110</v>
      </c>
      <c r="B25" s="60" t="s">
        <v>111</v>
      </c>
      <c r="C25" s="61">
        <f>($G$2*$D$3)+($I$2*$D$5)</f>
        <v>0.37175000000000002</v>
      </c>
      <c r="D25" s="60"/>
      <c r="M25" s="60"/>
      <c r="N25" s="60" t="s">
        <v>137</v>
      </c>
      <c r="O25" s="61">
        <f>($D$2*$N$2)+($D$3*$N$2)+($D$5*$R$2)</f>
        <v>0.52200000000000002</v>
      </c>
      <c r="P25" s="60">
        <v>2</v>
      </c>
    </row>
    <row r="26" spans="1:24" x14ac:dyDescent="0.3">
      <c r="A26" s="60"/>
      <c r="B26" s="60" t="s">
        <v>112</v>
      </c>
      <c r="C26" s="61">
        <f>($H$2*$D$3)+($H$2*$D$5)</f>
        <v>0.46650000000000003</v>
      </c>
      <c r="D26" s="60"/>
    </row>
    <row r="27" spans="1:24" x14ac:dyDescent="0.3">
      <c r="A27" s="60"/>
      <c r="B27" s="60" t="s">
        <v>113</v>
      </c>
      <c r="C27" s="61">
        <f>($I$2*$D$3)+($G$2*$D$5)</f>
        <v>0.56125000000000003</v>
      </c>
      <c r="D27" s="60"/>
      <c r="M27" s="59" t="s">
        <v>99</v>
      </c>
      <c r="N27" s="59" t="s">
        <v>102</v>
      </c>
      <c r="O27" s="59" t="s">
        <v>100</v>
      </c>
      <c r="P27" s="59" t="s">
        <v>101</v>
      </c>
    </row>
    <row r="28" spans="1:24" x14ac:dyDescent="0.3">
      <c r="M28" s="60" t="s">
        <v>154</v>
      </c>
      <c r="N28" s="60" t="s">
        <v>155</v>
      </c>
      <c r="O28" s="61">
        <f>($D$2*$P$2)+($D$4*$P$2)+($D$5*$P$2)</f>
        <v>5.4288989999999995</v>
      </c>
      <c r="P28" s="60">
        <v>0.3</v>
      </c>
    </row>
    <row r="29" spans="1:24" x14ac:dyDescent="0.3">
      <c r="A29" s="59" t="s">
        <v>99</v>
      </c>
      <c r="B29" s="59" t="s">
        <v>98</v>
      </c>
      <c r="C29" s="59" t="s">
        <v>100</v>
      </c>
      <c r="D29" s="59" t="s">
        <v>101</v>
      </c>
      <c r="M29" s="60"/>
      <c r="N29" s="60" t="s">
        <v>156</v>
      </c>
      <c r="O29" s="61">
        <f>($D$2*$Q$2)+($D$4*$O$2)+($D$5*$O$2)</f>
        <v>4.5402500000000003</v>
      </c>
      <c r="P29" s="60">
        <v>0.3</v>
      </c>
    </row>
    <row r="30" spans="1:24" x14ac:dyDescent="0.3">
      <c r="A30" s="60" t="s">
        <v>114</v>
      </c>
      <c r="B30" s="60" t="s">
        <v>115</v>
      </c>
      <c r="C30" s="61">
        <f>($G$2*$D$4)+($I$2*$D$5)</f>
        <v>3.7497499999999997</v>
      </c>
      <c r="D30" s="60"/>
      <c r="M30" s="60"/>
      <c r="N30" s="60" t="s">
        <v>157</v>
      </c>
      <c r="O30" s="61">
        <f>($D$2*$O$2)+($D$4*$Q$2)+($D$5*$O$2)</f>
        <v>7.61775</v>
      </c>
      <c r="P30" s="60">
        <v>0.2</v>
      </c>
    </row>
    <row r="31" spans="1:24" x14ac:dyDescent="0.3">
      <c r="A31" s="60"/>
      <c r="B31" s="60" t="s">
        <v>116</v>
      </c>
      <c r="C31" s="61">
        <f>($H$2*$D$4)+($H$2*$D$5)</f>
        <v>7.2224999999999993</v>
      </c>
      <c r="D31" s="60"/>
      <c r="M31" s="60"/>
      <c r="N31" s="60" t="s">
        <v>158</v>
      </c>
      <c r="O31" s="61">
        <f>($D$2*$O$2)+($D$4*$O$2)+($D$5*$Q$2)</f>
        <v>4.1449999999999996</v>
      </c>
      <c r="P31" s="60">
        <v>0.3</v>
      </c>
    </row>
    <row r="32" spans="1:24" x14ac:dyDescent="0.3">
      <c r="A32" s="60"/>
      <c r="B32" s="60" t="s">
        <v>117</v>
      </c>
      <c r="C32" s="61">
        <f>($I$2*$D$4)+($G$2*$D$5)</f>
        <v>10.69525</v>
      </c>
      <c r="D32" s="60"/>
      <c r="M32" s="60"/>
      <c r="N32" s="60" t="s">
        <v>159</v>
      </c>
      <c r="O32" s="61">
        <f>($D$2*$R$2)+($D$4*$N$2)+($D$5*$N$2)</f>
        <v>3.199125</v>
      </c>
      <c r="P32" s="60">
        <v>0.3</v>
      </c>
    </row>
    <row r="33" spans="13:16" x14ac:dyDescent="0.3">
      <c r="M33" s="60"/>
      <c r="N33" s="60" t="s">
        <v>160</v>
      </c>
      <c r="O33" s="61">
        <f>($D$2*$N$2)+($D$4*$R$2)+($D$5*$N$2)</f>
        <v>10.892875</v>
      </c>
      <c r="P33" s="60">
        <v>0.1</v>
      </c>
    </row>
    <row r="34" spans="13:16" x14ac:dyDescent="0.3">
      <c r="M34" s="60"/>
      <c r="N34" s="60" t="s">
        <v>161</v>
      </c>
      <c r="O34" s="61">
        <f>($D$2*$N$2)+($D$4*$N$2)+($D$5*$R$2)</f>
        <v>2.2109999999999999</v>
      </c>
      <c r="P34" s="60">
        <v>0.5</v>
      </c>
    </row>
    <row r="36" spans="13:16" x14ac:dyDescent="0.3">
      <c r="M36" s="59" t="s">
        <v>99</v>
      </c>
      <c r="N36" s="59"/>
      <c r="O36" s="59"/>
      <c r="P36" s="59"/>
    </row>
    <row r="37" spans="13:16" x14ac:dyDescent="0.3">
      <c r="M37" s="60" t="s">
        <v>121</v>
      </c>
      <c r="N37" s="60" t="s">
        <v>138</v>
      </c>
      <c r="O37" s="61">
        <f>($D$3*$P$2)+($D$4*$P$2)+($D$5*$P$2)</f>
        <v>5.028633000000001</v>
      </c>
      <c r="P37" s="60">
        <v>0.3</v>
      </c>
    </row>
    <row r="38" spans="13:16" x14ac:dyDescent="0.3">
      <c r="M38" s="60"/>
      <c r="N38" s="60" t="s">
        <v>139</v>
      </c>
      <c r="O38" s="61">
        <f>($D$3*$Q$2)+($D$4*$O$2)+($D$5*$O$2)</f>
        <v>3.9392499999999995</v>
      </c>
      <c r="P38" s="60">
        <v>0.5</v>
      </c>
    </row>
    <row r="39" spans="13:16" x14ac:dyDescent="0.3">
      <c r="M39" s="60"/>
      <c r="N39" s="60" t="s">
        <v>140</v>
      </c>
      <c r="O39" s="61">
        <f>($D$3*$O$2)+($D$4*$Q$2)+($D$5*$O$2)</f>
        <v>7.3172499999999996</v>
      </c>
      <c r="P39" s="60">
        <v>0.2</v>
      </c>
    </row>
    <row r="40" spans="13:16" x14ac:dyDescent="0.3">
      <c r="M40" s="60"/>
      <c r="N40" s="60" t="s">
        <v>141</v>
      </c>
      <c r="O40" s="61">
        <f>($D$3*$O$2)+($D$4*$O$2)+($D$5*$Q$2)</f>
        <v>3.8445</v>
      </c>
      <c r="P40" s="60">
        <v>0.2</v>
      </c>
    </row>
    <row r="41" spans="13:16" x14ac:dyDescent="0.3">
      <c r="M41" s="60"/>
      <c r="N41" s="60" t="s">
        <v>142</v>
      </c>
      <c r="O41" s="61">
        <f>($D$3*$R$2)+($D$4*$N$2)+($D$5*$N$2)</f>
        <v>2.297625</v>
      </c>
      <c r="P41" s="60">
        <v>0.2</v>
      </c>
    </row>
    <row r="42" spans="13:16" x14ac:dyDescent="0.3">
      <c r="M42" s="60"/>
      <c r="N42" s="60" t="s">
        <v>143</v>
      </c>
      <c r="O42" s="61">
        <f>($D$3*$N$2)+($D$4*$R$2)+($D$5*$N$2)</f>
        <v>10.742625</v>
      </c>
      <c r="P42" s="60">
        <v>0.1</v>
      </c>
    </row>
    <row r="43" spans="13:16" x14ac:dyDescent="0.3">
      <c r="M43" s="60"/>
      <c r="N43" s="60" t="s">
        <v>144</v>
      </c>
      <c r="O43" s="61">
        <f>($D$3*$N$2)+($D$4*$N$2)+($D$5*$R$2)</f>
        <v>2.0607500000000001</v>
      </c>
      <c r="P43" s="60">
        <v>0.5</v>
      </c>
    </row>
  </sheetData>
  <phoneticPr fontId="11" type="noConversion"/>
  <pageMargins left="0.7" right="0.7" top="0.75" bottom="0.75" header="0.3" footer="0.3"/>
  <pageSetup paperSize="9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2.25" style="23" customWidth="1"/>
    <col min="5" max="5" width="12" style="23" customWidth="1"/>
    <col min="6" max="16384" width="9" style="23"/>
  </cols>
  <sheetData>
    <row r="1" spans="1:16" ht="30.75" customHeight="1" x14ac:dyDescent="0.3">
      <c r="A1" s="28" t="s">
        <v>0</v>
      </c>
      <c r="B1" s="27" t="s">
        <v>1</v>
      </c>
      <c r="C1" s="26" t="s">
        <v>12</v>
      </c>
      <c r="D1" s="26" t="s">
        <v>2</v>
      </c>
      <c r="E1" s="25" t="s">
        <v>3</v>
      </c>
      <c r="F1" s="25" t="s">
        <v>3</v>
      </c>
      <c r="G1" s="29"/>
      <c r="P1" s="29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5"/>
      <c r="E27" s="15"/>
    </row>
    <row r="28" spans="1:6" x14ac:dyDescent="0.3">
      <c r="A28" s="13"/>
      <c r="B28" s="13"/>
      <c r="C28" s="13"/>
      <c r="D28" s="15"/>
      <c r="E28" s="15"/>
    </row>
    <row r="29" spans="1:6" x14ac:dyDescent="0.3">
      <c r="A29" s="13"/>
      <c r="B29" s="13"/>
      <c r="C29" s="13"/>
      <c r="D29" s="15"/>
      <c r="E29" s="15"/>
    </row>
    <row r="30" spans="1:6" x14ac:dyDescent="0.3">
      <c r="A30" s="13"/>
      <c r="B30" s="13"/>
      <c r="C30" s="13"/>
      <c r="D30" s="15"/>
      <c r="E30" s="15"/>
    </row>
    <row r="31" spans="1:6" x14ac:dyDescent="0.3">
      <c r="A31" s="13"/>
      <c r="B31" s="13"/>
      <c r="C31" s="13"/>
      <c r="D31" s="15"/>
      <c r="E31" s="15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26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5">
        <v>51.54</v>
      </c>
      <c r="J4" s="35">
        <v>48.46</v>
      </c>
      <c r="K4" s="23">
        <f>SUM(I4:J4)</f>
        <v>100</v>
      </c>
      <c r="M4" s="33">
        <v>51.2</v>
      </c>
      <c r="N4" s="33">
        <v>48.8</v>
      </c>
      <c r="O4" s="23">
        <f>SUM(M4:N4)</f>
        <v>100</v>
      </c>
    </row>
    <row r="5" spans="1:17" ht="20.100000000000001" customHeight="1" x14ac:dyDescent="0.3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4">
        <v>72.02</v>
      </c>
      <c r="J5" s="34">
        <v>27.98</v>
      </c>
      <c r="K5" s="23">
        <f>SUM(I5:J5)</f>
        <v>100</v>
      </c>
      <c r="M5" s="33">
        <v>72.599999999999994</v>
      </c>
      <c r="N5" s="33">
        <v>27.4</v>
      </c>
      <c r="O5" s="23">
        <f>SUM(M5:N5)</f>
        <v>100</v>
      </c>
    </row>
    <row r="6" spans="1:17" ht="20.100000000000001" customHeight="1" x14ac:dyDescent="0.3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4">
        <v>92.93</v>
      </c>
      <c r="J6" s="34">
        <v>7.07</v>
      </c>
      <c r="K6" s="23">
        <f>SUM(I6:J6)</f>
        <v>100</v>
      </c>
      <c r="M6" s="33">
        <v>91</v>
      </c>
      <c r="N6" s="33">
        <v>9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2" t="s">
        <v>43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31"/>
      <c r="B13" s="31"/>
      <c r="C13"/>
      <c r="D13" s="13"/>
      <c r="E13" s="14"/>
      <c r="F13" s="14"/>
      <c r="G13" s="14"/>
    </row>
    <row r="14" spans="1:17" ht="20.100000000000001" customHeight="1" x14ac:dyDescent="0.3">
      <c r="A14" s="30"/>
      <c r="B14" s="30"/>
      <c r="C14"/>
      <c r="D14" s="13"/>
      <c r="E14" s="14"/>
      <c r="F14" s="14"/>
      <c r="G14" s="14"/>
    </row>
    <row r="15" spans="1:17" ht="20.100000000000001" customHeight="1" x14ac:dyDescent="0.3">
      <c r="A15" s="30"/>
      <c r="B15" s="30"/>
      <c r="C15"/>
      <c r="D15" s="13"/>
      <c r="E15" s="14"/>
      <c r="F15" s="14"/>
      <c r="G15" s="14"/>
    </row>
    <row r="16" spans="1:17" ht="20.100000000000001" customHeight="1" x14ac:dyDescent="0.3">
      <c r="A16" s="30"/>
      <c r="B16" s="30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5"/>
  <sheetViews>
    <sheetView zoomScaleNormal="100" workbookViewId="0">
      <selection activeCell="J13" sqref="J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15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3">
        <f>SUM(I4:J4)</f>
        <v>100</v>
      </c>
      <c r="M4" s="33">
        <v>45.5</v>
      </c>
      <c r="N4" s="33">
        <v>54.5</v>
      </c>
      <c r="O4" s="23">
        <f>SUM(M4:N4)</f>
        <v>100</v>
      </c>
    </row>
    <row r="5" spans="1:17" ht="20.100000000000001" customHeight="1" x14ac:dyDescent="0.3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3">
        <f>SUM(I5:J5)</f>
        <v>100</v>
      </c>
      <c r="M5" s="33">
        <v>67.099999999999994</v>
      </c>
      <c r="N5" s="33">
        <v>32.9</v>
      </c>
      <c r="O5" s="23">
        <f>SUM(M5:N5)</f>
        <v>100</v>
      </c>
    </row>
    <row r="6" spans="1:17" ht="20.100000000000001" customHeight="1" x14ac:dyDescent="0.3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3">
        <f>SUM(I6:J6)</f>
        <v>100</v>
      </c>
      <c r="M6" s="33">
        <v>85.5</v>
      </c>
      <c r="N6" s="33">
        <v>14.5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6" t="s">
        <v>44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32"/>
      <c r="B9" s="32"/>
      <c r="C9" s="32"/>
      <c r="D9" s="32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31"/>
      <c r="B14" s="31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test 및 2종</vt:lpstr>
      <vt:lpstr>3종</vt:lpstr>
      <vt:lpstr>4종</vt:lpstr>
      <vt:lpstr>실험 계획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2026-08-24T00:37:46Z</cp:lastPrinted>
  <dcterms:created xsi:type="dcterms:W3CDTF">2026-04-15T23:58:40Z</dcterms:created>
  <dcterms:modified xsi:type="dcterms:W3CDTF">2026-09-19T12:13:42Z</dcterms:modified>
</cp:coreProperties>
</file>