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강종원\2026\1. 조사\EMMTE, SIAR 관련\오염원 정답지\"/>
    </mc:Choice>
  </mc:AlternateContent>
  <xr:revisionPtr revIDLastSave="0" documentId="13_ncr:1_{70C5D768-079F-4CB8-A95D-4EA7EB55738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실험 결과 정리중(계속)" sheetId="1" r:id="rId1"/>
    <sheet name="260416 실험" sheetId="2" r:id="rId2"/>
    <sheet name="260423 실험(Volume)" sheetId="3" r:id="rId3"/>
    <sheet name="260423 실험(Weight)" sheetId="4" r:id="rId4"/>
  </sheets>
  <externalReferences>
    <externalReference r:id="rId5"/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Y62" i="1" l="1"/>
  <c r="U62" i="1"/>
  <c r="Y61" i="1"/>
  <c r="U61" i="1"/>
  <c r="Y60" i="1"/>
  <c r="U60" i="1"/>
  <c r="N59" i="1"/>
  <c r="J59" i="1"/>
  <c r="N58" i="1"/>
  <c r="J58" i="1"/>
  <c r="N57" i="1"/>
  <c r="J57" i="1"/>
  <c r="R62" i="1"/>
  <c r="R61" i="1"/>
  <c r="Q62" i="1"/>
  <c r="Q61" i="1"/>
  <c r="R60" i="1"/>
  <c r="Q60" i="1"/>
  <c r="R13" i="1"/>
  <c r="S15" i="1" l="1"/>
  <c r="S14" i="1"/>
  <c r="S13" i="1"/>
  <c r="R15" i="1"/>
  <c r="R14" i="1"/>
  <c r="N50" i="1" l="1"/>
  <c r="J50" i="1"/>
  <c r="N49" i="1"/>
  <c r="J49" i="1"/>
  <c r="N48" i="1"/>
  <c r="J48" i="1"/>
  <c r="N42" i="1" l="1"/>
  <c r="J42" i="1"/>
  <c r="N41" i="1"/>
  <c r="J41" i="1"/>
  <c r="N40" i="1"/>
  <c r="J40" i="1"/>
  <c r="K4" i="4" l="1"/>
  <c r="O4" i="4"/>
  <c r="K5" i="4"/>
  <c r="O5" i="4"/>
  <c r="K6" i="4"/>
  <c r="O6" i="4"/>
  <c r="K4" i="3"/>
  <c r="O4" i="3"/>
  <c r="K5" i="3"/>
  <c r="O5" i="3"/>
  <c r="K6" i="3"/>
  <c r="O6" i="3"/>
  <c r="N33" i="1" l="1"/>
  <c r="J33" i="1"/>
  <c r="N32" i="1"/>
  <c r="J32" i="1"/>
  <c r="N31" i="1"/>
  <c r="J31" i="1"/>
  <c r="N24" i="1"/>
  <c r="J24" i="1"/>
  <c r="N23" i="1"/>
  <c r="J23" i="1"/>
  <c r="N22" i="1"/>
  <c r="J22" i="1"/>
  <c r="N15" i="1"/>
  <c r="J15" i="1"/>
  <c r="N14" i="1"/>
  <c r="J14" i="1"/>
  <c r="N13" i="1"/>
  <c r="J13" i="1"/>
  <c r="N7" i="1"/>
  <c r="N6" i="1"/>
  <c r="N5" i="1"/>
  <c r="J7" i="1"/>
  <c r="J6" i="1"/>
  <c r="J5" i="1"/>
</calcChain>
</file>

<file path=xl/sharedStrings.xml><?xml version="1.0" encoding="utf-8"?>
<sst xmlns="http://schemas.openxmlformats.org/spreadsheetml/2006/main" count="271" uniqueCount="62">
  <si>
    <t>No</t>
    <phoneticPr fontId="5" type="noConversion"/>
  </si>
  <si>
    <t>Name</t>
    <phoneticPr fontId="5" type="noConversion"/>
  </si>
  <si>
    <r>
      <rPr>
        <b/>
        <vertAlign val="superscript"/>
        <sz val="10"/>
        <rFont val="맑은 고딕"/>
        <family val="3"/>
        <charset val="129"/>
        <scheme val="minor"/>
      </rPr>
      <t>15</t>
    </r>
    <r>
      <rPr>
        <b/>
        <sz val="10"/>
        <rFont val="맑은 고딕"/>
        <family val="3"/>
        <charset val="129"/>
        <scheme val="minor"/>
      </rPr>
      <t>N</t>
    </r>
  </si>
  <si>
    <r>
      <rPr>
        <b/>
        <vertAlign val="superscript"/>
        <sz val="10"/>
        <rFont val="맑은 고딕"/>
        <family val="3"/>
        <charset val="129"/>
        <scheme val="minor"/>
      </rPr>
      <t>18</t>
    </r>
    <r>
      <rPr>
        <b/>
        <sz val="10"/>
        <rFont val="맑은 고딕"/>
        <family val="3"/>
        <charset val="129"/>
        <scheme val="minor"/>
      </rPr>
      <t>O</t>
    </r>
  </si>
  <si>
    <t>SW75FT25-01</t>
  </si>
  <si>
    <t>SW50FT50-01</t>
  </si>
  <si>
    <t>SW25FT75-01</t>
  </si>
  <si>
    <t>EM-05</t>
  </si>
  <si>
    <t>광주 1하수처리장</t>
  </si>
  <si>
    <t>F-04</t>
  </si>
  <si>
    <t>슈퍼원예S</t>
  </si>
  <si>
    <t>n.a.</t>
  </si>
  <si>
    <t>NO3-N
(ppm)</t>
    <phoneticPr fontId="11" type="noConversion"/>
  </si>
  <si>
    <t>sewage</t>
    <phoneticPr fontId="11" type="noConversion"/>
  </si>
  <si>
    <t>fertilizer</t>
    <phoneticPr fontId="11" type="noConversion"/>
  </si>
  <si>
    <t>total</t>
    <phoneticPr fontId="11" type="noConversion"/>
  </si>
  <si>
    <t>MixSIAR(%)</t>
    <phoneticPr fontId="11" type="noConversion"/>
  </si>
  <si>
    <t>하수 75 : 비료 25</t>
    <phoneticPr fontId="4" type="noConversion"/>
  </si>
  <si>
    <t>하수 50 : 비료 50</t>
    <phoneticPr fontId="4" type="noConversion"/>
  </si>
  <si>
    <t>하수 25 : 비료 75</t>
    <phoneticPr fontId="4" type="noConversion"/>
  </si>
  <si>
    <t>EMMTE(%)</t>
    <phoneticPr fontId="11" type="noConversion"/>
  </si>
  <si>
    <t>질소(%)</t>
  </si>
  <si>
    <t>EMMTE(%) 결과(Volume)</t>
    <phoneticPr fontId="11" type="noConversion"/>
  </si>
  <si>
    <t>MixSIAR(%)</t>
    <phoneticPr fontId="4" type="noConversion"/>
  </si>
  <si>
    <t>F-01</t>
  </si>
  <si>
    <t>슈퍼알알이(그레뉼요소)</t>
  </si>
  <si>
    <t>total</t>
    <phoneticPr fontId="4" type="noConversion"/>
  </si>
  <si>
    <t>(V/V)SW25-01</t>
  </si>
  <si>
    <t>하수25 : 비료 75</t>
    <phoneticPr fontId="11" type="noConversion"/>
  </si>
  <si>
    <t>(V/V)SW50-01</t>
  </si>
  <si>
    <t>하수50 : 비료 50</t>
    <phoneticPr fontId="11" type="noConversion"/>
  </si>
  <si>
    <t>(V/V)SW75-01</t>
  </si>
  <si>
    <t>하수75 : 비료 25</t>
    <phoneticPr fontId="11" type="noConversion"/>
  </si>
  <si>
    <t>질소(%)</t>
    <phoneticPr fontId="4" type="noConversion"/>
  </si>
  <si>
    <t>희석 없이 실험 진행</t>
    <phoneticPr fontId="4" type="noConversion"/>
  </si>
  <si>
    <t>EMMTE(%) 결과(Weight)</t>
    <phoneticPr fontId="11" type="noConversion"/>
  </si>
  <si>
    <t>(W/W)SW25-01</t>
  </si>
  <si>
    <t>(W/W)SW50-01</t>
  </si>
  <si>
    <t>하수50 : 비료 50</t>
  </si>
  <si>
    <t>(W/W)SW75-01</t>
  </si>
  <si>
    <t>하수75 : 비료 25</t>
  </si>
  <si>
    <t>하수처리장 시료 1.0 -&gt; 0.7 ppm으로 희석</t>
    <phoneticPr fontId="4" type="noConversion"/>
  </si>
  <si>
    <t>인위적으로 가상 시료 설정</t>
    <phoneticPr fontId="4" type="noConversion"/>
  </si>
  <si>
    <t>이전 실험과 똑같이 희석 없이 실험 진행</t>
    <phoneticPr fontId="4" type="noConversion"/>
  </si>
  <si>
    <t>하수처리장 시료 1.0 -&gt; 0.7 ppm으로 희석 후 실험 진행</t>
    <phoneticPr fontId="11" type="noConversion"/>
  </si>
  <si>
    <t>남평퇴비</t>
    <phoneticPr fontId="4" type="noConversion"/>
  </si>
  <si>
    <t>하수25 : 퇴비 75</t>
  </si>
  <si>
    <t>하수50 : 퇴비 50</t>
  </si>
  <si>
    <t>하수75 : 퇴비 25</t>
  </si>
  <si>
    <t>(2024)EM-44</t>
    <phoneticPr fontId="4" type="noConversion"/>
  </si>
  <si>
    <t>manure</t>
    <phoneticPr fontId="11" type="noConversion"/>
  </si>
  <si>
    <t>2026-05-08(SW25 가상값)</t>
    <phoneticPr fontId="4" type="noConversion"/>
  </si>
  <si>
    <t>혼합비율</t>
    <phoneticPr fontId="4" type="noConversion"/>
  </si>
  <si>
    <t>이론 계산값</t>
    <phoneticPr fontId="4" type="noConversion"/>
  </si>
  <si>
    <r>
      <rPr>
        <b/>
        <vertAlign val="superscript"/>
        <sz val="10"/>
        <rFont val="맑은 고딕"/>
        <family val="3"/>
        <charset val="129"/>
        <scheme val="minor"/>
      </rPr>
      <t>15</t>
    </r>
    <r>
      <rPr>
        <b/>
        <sz val="10"/>
        <rFont val="맑은 고딕"/>
        <family val="3"/>
        <charset val="129"/>
        <scheme val="minor"/>
      </rPr>
      <t>N</t>
    </r>
    <phoneticPr fontId="5" type="noConversion"/>
  </si>
  <si>
    <r>
      <rPr>
        <b/>
        <vertAlign val="superscript"/>
        <sz val="10"/>
        <rFont val="맑은 고딕"/>
        <family val="3"/>
        <charset val="129"/>
        <scheme val="minor"/>
      </rPr>
      <t>18</t>
    </r>
    <r>
      <rPr>
        <b/>
        <sz val="10"/>
        <rFont val="맑은 고딕"/>
        <family val="3"/>
        <charset val="129"/>
        <scheme val="minor"/>
      </rPr>
      <t>O</t>
    </r>
    <phoneticPr fontId="11" type="noConversion"/>
  </si>
  <si>
    <t>하수25 : 비료 75</t>
  </si>
  <si>
    <t>SW25-01</t>
  </si>
  <si>
    <t>SW50-01</t>
  </si>
  <si>
    <t>SW75-01</t>
  </si>
  <si>
    <t>혼합비율</t>
    <phoneticPr fontId="5" type="noConversion"/>
  </si>
  <si>
    <t>EMMTE(%) 결과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</si>
</sst>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"/>
    <numFmt numFmtId="177" formatCode="0_);[Red]\(0\)"/>
    <numFmt numFmtId="178" formatCode="0.00_ "/>
    <numFmt numFmtId="179" formatCode="0.000"/>
  </numFmts>
  <fonts count="17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24"/>
      <color rgb="FF0000FF"/>
      <name val="맑은 고딕"/>
      <family val="2"/>
      <scheme val="minor"/>
    </font>
    <font>
      <b/>
      <sz val="10"/>
      <name val="맑은 고딕"/>
      <family val="3"/>
      <charset val="129"/>
      <scheme val="minor"/>
    </font>
    <font>
      <b/>
      <vertAlign val="superscript"/>
      <sz val="1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0"/>
      <color rgb="FF0000FF"/>
      <name val="맑은 고딕"/>
      <family val="3"/>
      <charset val="129"/>
      <scheme val="minor"/>
    </font>
    <font>
      <sz val="11"/>
      <color theme="1"/>
      <name val="Times New Roman"/>
      <family val="1"/>
    </font>
    <font>
      <b/>
      <sz val="10"/>
      <color theme="1"/>
      <name val="맑은 고딕"/>
      <family val="3"/>
      <charset val="129"/>
      <scheme val="minor"/>
    </font>
    <font>
      <b/>
      <sz val="11"/>
      <color rgb="FF0000CC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2" fillId="0" borderId="0">
      <alignment vertical="center"/>
    </xf>
    <xf numFmtId="0" fontId="1" fillId="0" borderId="0">
      <alignment vertical="center"/>
    </xf>
  </cellStyleXfs>
  <cellXfs count="46">
    <xf numFmtId="0" fontId="0" fillId="0" borderId="0" xfId="0"/>
    <xf numFmtId="0" fontId="3" fillId="2" borderId="1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49" fontId="6" fillId="2" borderId="2" xfId="1" applyNumberFormat="1" applyFont="1" applyFill="1" applyBorder="1" applyAlignment="1">
      <alignment horizontal="center" vertical="center" wrapText="1"/>
    </xf>
    <xf numFmtId="49" fontId="6" fillId="2" borderId="3" xfId="1" applyNumberFormat="1" applyFont="1" applyFill="1" applyBorder="1" applyAlignment="1">
      <alignment horizontal="center" vertical="center" wrapText="1"/>
    </xf>
    <xf numFmtId="0" fontId="8" fillId="0" borderId="0" xfId="1" applyFont="1">
      <alignment vertical="center"/>
    </xf>
    <xf numFmtId="0" fontId="9" fillId="0" borderId="0" xfId="1" applyFont="1">
      <alignment vertical="center"/>
    </xf>
    <xf numFmtId="0" fontId="10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176" fontId="12" fillId="0" borderId="4" xfId="0" applyNumberFormat="1" applyFont="1" applyBorder="1" applyAlignment="1">
      <alignment horizontal="right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176" fontId="12" fillId="0" borderId="6" xfId="0" applyNumberFormat="1" applyFont="1" applyBorder="1" applyAlignment="1">
      <alignment horizontal="right" vertical="center"/>
    </xf>
    <xf numFmtId="0" fontId="10" fillId="0" borderId="0" xfId="0" applyFont="1" applyAlignment="1">
      <alignment horizontal="center" vertical="center"/>
    </xf>
    <xf numFmtId="176" fontId="12" fillId="0" borderId="0" xfId="0" applyNumberFormat="1" applyFont="1" applyAlignment="1">
      <alignment horizontal="right" vertical="center"/>
    </xf>
    <xf numFmtId="176" fontId="10" fillId="0" borderId="0" xfId="0" applyNumberFormat="1" applyFont="1" applyAlignment="1">
      <alignment horizontal="center" vertical="center"/>
    </xf>
    <xf numFmtId="176" fontId="10" fillId="0" borderId="5" xfId="0" applyNumberFormat="1" applyFont="1" applyBorder="1" applyAlignment="1">
      <alignment horizontal="center" vertical="center"/>
    </xf>
    <xf numFmtId="177" fontId="8" fillId="0" borderId="0" xfId="1" applyNumberFormat="1" applyFont="1">
      <alignment vertical="center"/>
    </xf>
    <xf numFmtId="177" fontId="9" fillId="0" borderId="0" xfId="1" applyNumberFormat="1" applyFont="1">
      <alignment vertical="center"/>
    </xf>
    <xf numFmtId="177" fontId="0" fillId="0" borderId="0" xfId="0" applyNumberFormat="1"/>
    <xf numFmtId="177" fontId="6" fillId="3" borderId="0" xfId="1" applyNumberFormat="1" applyFont="1" applyFill="1" applyAlignment="1">
      <alignment horizontal="center" vertical="center" wrapText="1"/>
    </xf>
    <xf numFmtId="177" fontId="13" fillId="0" borderId="8" xfId="0" applyNumberFormat="1" applyFont="1" applyBorder="1" applyAlignment="1">
      <alignment horizontal="center" vertical="center"/>
    </xf>
    <xf numFmtId="177" fontId="13" fillId="0" borderId="9" xfId="0" applyNumberFormat="1" applyFont="1" applyBorder="1" applyAlignment="1">
      <alignment horizontal="center" vertical="center"/>
    </xf>
    <xf numFmtId="0" fontId="8" fillId="0" borderId="0" xfId="2" applyFont="1">
      <alignment vertical="center"/>
    </xf>
    <xf numFmtId="49" fontId="6" fillId="3" borderId="0" xfId="2" applyNumberFormat="1" applyFont="1" applyFill="1" applyAlignment="1">
      <alignment horizontal="center" vertical="center" wrapText="1"/>
    </xf>
    <xf numFmtId="49" fontId="6" fillId="2" borderId="3" xfId="2" applyNumberFormat="1" applyFont="1" applyFill="1" applyBorder="1" applyAlignment="1">
      <alignment horizontal="center" vertical="center" wrapText="1"/>
    </xf>
    <xf numFmtId="49" fontId="6" fillId="2" borderId="2" xfId="2" applyNumberFormat="1" applyFont="1" applyFill="1" applyBorder="1" applyAlignment="1">
      <alignment horizontal="center" vertical="center" wrapText="1"/>
    </xf>
    <xf numFmtId="0" fontId="3" fillId="2" borderId="2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center" vertical="center"/>
    </xf>
    <xf numFmtId="0" fontId="9" fillId="0" borderId="0" xfId="2" applyFont="1">
      <alignment vertical="center"/>
    </xf>
    <xf numFmtId="0" fontId="13" fillId="0" borderId="0" xfId="0" applyFont="1" applyAlignment="1">
      <alignment horizontal="center" vertical="center"/>
    </xf>
    <xf numFmtId="49" fontId="6" fillId="0" borderId="0" xfId="2" applyNumberFormat="1" applyFont="1" applyAlignment="1">
      <alignment horizontal="center" vertical="center" wrapText="1"/>
    </xf>
    <xf numFmtId="0" fontId="10" fillId="0" borderId="0" xfId="0" applyFont="1" applyAlignment="1">
      <alignment horizontal="centerContinuous" vertical="center"/>
    </xf>
    <xf numFmtId="178" fontId="8" fillId="0" borderId="0" xfId="2" applyNumberFormat="1" applyFont="1">
      <alignment vertical="center"/>
    </xf>
    <xf numFmtId="0" fontId="13" fillId="0" borderId="9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4" fillId="0" borderId="0" xfId="0" applyFont="1" applyAlignment="1">
      <alignment horizontal="centerContinuous" vertical="center"/>
    </xf>
    <xf numFmtId="14" fontId="8" fillId="0" borderId="0" xfId="1" applyNumberFormat="1" applyFont="1">
      <alignment vertical="center"/>
    </xf>
    <xf numFmtId="177" fontId="0" fillId="0" borderId="0" xfId="0" applyNumberFormat="1" applyFill="1"/>
    <xf numFmtId="177" fontId="15" fillId="0" borderId="0" xfId="0" applyNumberFormat="1" applyFont="1"/>
    <xf numFmtId="176" fontId="16" fillId="0" borderId="4" xfId="0" applyNumberFormat="1" applyFont="1" applyBorder="1" applyAlignment="1">
      <alignment horizontal="right" vertical="center"/>
    </xf>
    <xf numFmtId="2" fontId="10" fillId="0" borderId="5" xfId="0" applyNumberFormat="1" applyFont="1" applyBorder="1" applyAlignment="1">
      <alignment horizontal="center" vertical="center"/>
    </xf>
    <xf numFmtId="179" fontId="10" fillId="0" borderId="5" xfId="0" applyNumberFormat="1" applyFont="1" applyBorder="1" applyAlignment="1">
      <alignment horizontal="center" vertical="center"/>
    </xf>
    <xf numFmtId="0" fontId="3" fillId="2" borderId="10" xfId="1" applyFont="1" applyFill="1" applyBorder="1" applyAlignment="1">
      <alignment horizontal="center" vertical="center"/>
    </xf>
    <xf numFmtId="2" fontId="10" fillId="0" borderId="4" xfId="0" applyNumberFormat="1" applyFont="1" applyBorder="1" applyAlignment="1">
      <alignment horizontal="center" vertical="center"/>
    </xf>
    <xf numFmtId="2" fontId="10" fillId="0" borderId="6" xfId="0" applyNumberFormat="1" applyFont="1" applyBorder="1" applyAlignment="1">
      <alignment horizontal="center" vertical="center"/>
    </xf>
  </cellXfs>
  <cellStyles count="3">
    <cellStyle name="표준" xfId="0" builtinId="0"/>
    <cellStyle name="표준 2" xfId="1" xr:uid="{00000000-0005-0000-0000-000001000000}"/>
    <cellStyle name="표준 2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4428590767675809E-2"/>
          <c:y val="0.1392499857443697"/>
          <c:w val="0.84655228539149407"/>
          <c:h val="0.80443170465366398"/>
        </c:manualLayout>
      </c:layout>
      <c:scatterChart>
        <c:scatterStyle val="lineMarker"/>
        <c:varyColors val="0"/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rgbClr val="7030A0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3DB2455D-57A5-454D-B91C-926799708AE5}" type="CELLRANGE">
                      <a:rPr lang="en-US" altLang="zh-CN"/>
                      <a:pPr/>
                      <a:t>[CELLRANGE]</a:t>
                    </a:fld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D7A5-4B66-8D7C-1328976621F7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D7A5-4B66-8D7C-1328976621F7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D7A5-4B66-8D7C-1328976621F7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D7A5-4B66-8D7C-1328976621F7}"/>
                </c:ext>
              </c:extLst>
            </c:dLbl>
            <c:dLbl>
              <c:idx val="4"/>
              <c:layout>
                <c:manualLayout>
                  <c:x val="0.1093632996428829"/>
                  <c:y val="-6.9723014345510837E-3"/>
                </c:manualLayout>
              </c:layout>
              <c:tx>
                <c:rich>
                  <a:bodyPr/>
                  <a:lstStyle/>
                  <a:p>
                    <a:fld id="{7F79971B-6701-4682-8261-B0B9C7E75B8C}" type="CELLRANGE">
                      <a:rPr lang="en-US" altLang="zh-CN"/>
                      <a:pPr/>
                      <a:t>[CELLRANGE]</a:t>
                    </a:fld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D7A5-4B66-8D7C-1328976621F7}"/>
                </c:ext>
              </c:extLst>
            </c:dLbl>
            <c:dLbl>
              <c:idx val="5"/>
              <c:layout>
                <c:manualLayout>
                  <c:x val="2.2784020758933855E-2"/>
                  <c:y val="9.5869144725076405E-2"/>
                </c:manualLayout>
              </c:layout>
              <c:tx>
                <c:rich>
                  <a:bodyPr/>
                  <a:lstStyle/>
                  <a:p>
                    <a:fld id="{89F03B85-046B-439B-A1E4-69EF5B5FFFF0}" type="CELLRANGE">
                      <a:rPr lang="en-US" altLang="zh-CN"/>
                      <a:pPr/>
                      <a:t>[CELLRANGE]</a:t>
                    </a:fld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D7A5-4B66-8D7C-1328976621F7}"/>
                </c:ext>
              </c:extLst>
            </c:dLbl>
            <c:dLbl>
              <c:idx val="6"/>
              <c:layout>
                <c:manualLayout>
                  <c:x val="5.696005189733476E-2"/>
                  <c:y val="5.2292260759132521E-2"/>
                </c:manualLayout>
              </c:layout>
              <c:tx>
                <c:rich>
                  <a:bodyPr/>
                  <a:lstStyle/>
                  <a:p>
                    <a:fld id="{324D6005-7757-4E4F-B2B5-15FAF3DB11F9}" type="CELLRANGE">
                      <a:rPr lang="en-US" altLang="zh-CN"/>
                      <a:pPr/>
                      <a:t>[CELLRANGE]</a:t>
                    </a:fld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D7A5-4B66-8D7C-1328976621F7}"/>
                </c:ext>
              </c:extLst>
            </c:dLbl>
            <c:dLbl>
              <c:idx val="7"/>
              <c:layout>
                <c:manualLayout>
                  <c:x val="-5.8099252935281585E-2"/>
                  <c:y val="6.1007637552321428E-2"/>
                </c:manualLayout>
              </c:layout>
              <c:tx>
                <c:rich>
                  <a:bodyPr/>
                  <a:lstStyle/>
                  <a:p>
                    <a:fld id="{2E0AB668-7D76-40EC-B1D7-B08186A61686}" type="CELLRANGE">
                      <a:rPr lang="en-US" altLang="zh-CN"/>
                      <a:pPr/>
                      <a:t>[CELLRANGE]</a:t>
                    </a:fld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D7A5-4B66-8D7C-1328976621F7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D7A5-4B66-8D7C-1328976621F7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D7A5-4B66-8D7C-1328976621F7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A-D7A5-4B66-8D7C-1328976621F7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B-D7A5-4B66-8D7C-1328976621F7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C-D7A5-4B66-8D7C-1328976621F7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D-D7A5-4B66-8D7C-1328976621F7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E-D7A5-4B66-8D7C-1328976621F7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F-D7A5-4B66-8D7C-1328976621F7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0-D7A5-4B66-8D7C-1328976621F7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1-D7A5-4B66-8D7C-1328976621F7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2-D7A5-4B66-8D7C-1328976621F7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3-D7A5-4B66-8D7C-1328976621F7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4-D7A5-4B66-8D7C-1328976621F7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5-D7A5-4B66-8D7C-1328976621F7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6-D7A5-4B66-8D7C-1328976621F7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7-D7A5-4B66-8D7C-1328976621F7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8-D7A5-4B66-8D7C-1328976621F7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9-D7A5-4B66-8D7C-1328976621F7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A-D7A5-4B66-8D7C-1328976621F7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B-D7A5-4B66-8D7C-1328976621F7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C-D7A5-4B66-8D7C-1328976621F7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D-D7A5-4B66-8D7C-1328976621F7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E-D7A5-4B66-8D7C-1328976621F7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F-D7A5-4B66-8D7C-1328976621F7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0-D7A5-4B66-8D7C-1328976621F7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1-D7A5-4B66-8D7C-1328976621F7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2-D7A5-4B66-8D7C-1328976621F7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3-D7A5-4B66-8D7C-1328976621F7}"/>
                </c:ext>
              </c:extLst>
            </c:dLbl>
            <c:dLbl>
              <c:idx val="36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4-D7A5-4B66-8D7C-1328976621F7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5-D7A5-4B66-8D7C-1328976621F7}"/>
                </c:ext>
              </c:extLst>
            </c:dLbl>
            <c:dLbl>
              <c:idx val="38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6-D7A5-4B66-8D7C-1328976621F7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7-D7A5-4B66-8D7C-1328976621F7}"/>
                </c:ext>
              </c:extLst>
            </c:dLbl>
            <c:dLbl>
              <c:idx val="40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8-D7A5-4B66-8D7C-1328976621F7}"/>
                </c:ext>
              </c:extLst>
            </c:dLbl>
            <c:dLbl>
              <c:idx val="41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9-D7A5-4B66-8D7C-1328976621F7}"/>
                </c:ext>
              </c:extLst>
            </c:dLbl>
            <c:dLbl>
              <c:idx val="42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A-D7A5-4B66-8D7C-1328976621F7}"/>
                </c:ext>
              </c:extLst>
            </c:dLbl>
            <c:dLbl>
              <c:idx val="43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B-D7A5-4B66-8D7C-1328976621F7}"/>
                </c:ext>
              </c:extLst>
            </c:dLbl>
            <c:dLbl>
              <c:idx val="44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C-D7A5-4B66-8D7C-1328976621F7}"/>
                </c:ext>
              </c:extLst>
            </c:dLbl>
            <c:dLbl>
              <c:idx val="45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D-D7A5-4B66-8D7C-1328976621F7}"/>
                </c:ext>
              </c:extLst>
            </c:dLbl>
            <c:dLbl>
              <c:idx val="46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E-D7A5-4B66-8D7C-1328976621F7}"/>
                </c:ext>
              </c:extLst>
            </c:dLbl>
            <c:dLbl>
              <c:idx val="47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F-D7A5-4B66-8D7C-1328976621F7}"/>
                </c:ext>
              </c:extLst>
            </c:dLbl>
            <c:dLbl>
              <c:idx val="48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0-D7A5-4B66-8D7C-1328976621F7}"/>
                </c:ext>
              </c:extLst>
            </c:dLbl>
            <c:dLbl>
              <c:idx val="49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1-D7A5-4B66-8D7C-1328976621F7}"/>
                </c:ext>
              </c:extLst>
            </c:dLbl>
            <c:dLbl>
              <c:idx val="50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2-D7A5-4B66-8D7C-1328976621F7}"/>
                </c:ext>
              </c:extLst>
            </c:dLbl>
            <c:dLbl>
              <c:idx val="51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3-D7A5-4B66-8D7C-1328976621F7}"/>
                </c:ext>
              </c:extLst>
            </c:dLbl>
            <c:dLbl>
              <c:idx val="52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4-D7A5-4B66-8D7C-1328976621F7}"/>
                </c:ext>
              </c:extLst>
            </c:dLbl>
            <c:dLbl>
              <c:idx val="53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5-D7A5-4B66-8D7C-1328976621F7}"/>
                </c:ext>
              </c:extLst>
            </c:dLbl>
            <c:dLbl>
              <c:idx val="54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6-D7A5-4B66-8D7C-1328976621F7}"/>
                </c:ext>
              </c:extLst>
            </c:dLbl>
            <c:dLbl>
              <c:idx val="55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7-D7A5-4B66-8D7C-1328976621F7}"/>
                </c:ext>
              </c:extLst>
            </c:dLbl>
            <c:dLbl>
              <c:idx val="56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8-D7A5-4B66-8D7C-1328976621F7}"/>
                </c:ext>
              </c:extLst>
            </c:dLbl>
            <c:dLbl>
              <c:idx val="57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9-D7A5-4B66-8D7C-1328976621F7}"/>
                </c:ext>
              </c:extLst>
            </c:dLbl>
            <c:dLbl>
              <c:idx val="58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A-D7A5-4B66-8D7C-1328976621F7}"/>
                </c:ext>
              </c:extLst>
            </c:dLbl>
            <c:dLbl>
              <c:idx val="59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B-D7A5-4B66-8D7C-1328976621F7}"/>
                </c:ext>
              </c:extLst>
            </c:dLbl>
            <c:dLbl>
              <c:idx val="60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C-D7A5-4B66-8D7C-1328976621F7}"/>
                </c:ext>
              </c:extLst>
            </c:dLbl>
            <c:dLbl>
              <c:idx val="61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D-D7A5-4B66-8D7C-1328976621F7}"/>
                </c:ext>
              </c:extLst>
            </c:dLbl>
            <c:dLbl>
              <c:idx val="62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E-D7A5-4B66-8D7C-1328976621F7}"/>
                </c:ext>
              </c:extLst>
            </c:dLbl>
            <c:dLbl>
              <c:idx val="63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F-D7A5-4B66-8D7C-1328976621F7}"/>
                </c:ext>
              </c:extLst>
            </c:dLbl>
            <c:dLbl>
              <c:idx val="64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0-D7A5-4B66-8D7C-1328976621F7}"/>
                </c:ext>
              </c:extLst>
            </c:dLbl>
            <c:dLbl>
              <c:idx val="65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1-D7A5-4B66-8D7C-1328976621F7}"/>
                </c:ext>
              </c:extLst>
            </c:dLbl>
            <c:dLbl>
              <c:idx val="66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2-D7A5-4B66-8D7C-1328976621F7}"/>
                </c:ext>
              </c:extLst>
            </c:dLbl>
            <c:dLbl>
              <c:idx val="67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3-D7A5-4B66-8D7C-1328976621F7}"/>
                </c:ext>
              </c:extLst>
            </c:dLbl>
            <c:dLbl>
              <c:idx val="68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4-D7A5-4B66-8D7C-1328976621F7}"/>
                </c:ext>
              </c:extLst>
            </c:dLbl>
            <c:dLbl>
              <c:idx val="69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5-D7A5-4B66-8D7C-1328976621F7}"/>
                </c:ext>
              </c:extLst>
            </c:dLbl>
            <c:dLbl>
              <c:idx val="70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6-D7A5-4B66-8D7C-1328976621F7}"/>
                </c:ext>
              </c:extLst>
            </c:dLbl>
            <c:dLbl>
              <c:idx val="71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7-D7A5-4B66-8D7C-1328976621F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 Light" panose="020B0502040204020203" pitchFamily="34" charset="-122"/>
                    <a:ea typeface="微软雅黑 Light" panose="020B0502040204020203" pitchFamily="34" charset="-122"/>
                    <a:cs typeface="Arial" panose="020B0604020202020204" pitchFamily="34" charset="0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'[1]Data Enter'!$C$3:$C$74</c:f>
              <c:numCache>
                <c:formatCode>General</c:formatCode>
                <c:ptCount val="72"/>
                <c:pt idx="0">
                  <c:v>21.35</c:v>
                </c:pt>
                <c:pt idx="1">
                  <c:v>19.29</c:v>
                </c:pt>
                <c:pt idx="2">
                  <c:v>17.36</c:v>
                </c:pt>
              </c:numCache>
            </c:numRef>
          </c:xVal>
          <c:yVal>
            <c:numRef>
              <c:f>'[1]Data Enter'!$D$3:$D$74</c:f>
              <c:numCache>
                <c:formatCode>General</c:formatCode>
                <c:ptCount val="72"/>
                <c:pt idx="0">
                  <c:v>3.51</c:v>
                </c:pt>
                <c:pt idx="1">
                  <c:v>4.38</c:v>
                </c:pt>
                <c:pt idx="2">
                  <c:v>4.3600000000000003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'[1]Data Enter'!$B$3:$B$74</c15:f>
                <c15:dlblRangeCache>
                  <c:ptCount val="72"/>
                  <c:pt idx="0">
                    <c:v>SW25-01</c:v>
                  </c:pt>
                  <c:pt idx="1">
                    <c:v>SW50-01</c:v>
                  </c:pt>
                  <c:pt idx="2">
                    <c:v>SW75-01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48-D7A5-4B66-8D7C-1328976621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887586432"/>
        <c:axId val="-887579904"/>
      </c:scatterChar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0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4.4428840479921176E-2"/>
                  <c:y val="-5.4035336117770408E-2"/>
                </c:manualLayout>
              </c:layout>
              <c:tx>
                <c:rich>
                  <a:bodyPr/>
                  <a:lstStyle/>
                  <a:p>
                    <a:fld id="{5780E074-FBAA-41BD-8A85-06D0F6D2C2F3}" type="CELLRANGE">
                      <a:rPr lang="en-US" altLang="zh-CN"/>
                      <a:pPr/>
                      <a:t>[CELLRANGE]</a:t>
                    </a:fld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9-D7A5-4B66-8D7C-1328976621F7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A-D7A5-4B66-8D7C-1328976621F7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B-D7A5-4B66-8D7C-1328976621F7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C-D7A5-4B66-8D7C-1328976621F7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D-D7A5-4B66-8D7C-1328976621F7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E-D7A5-4B66-8D7C-1328976621F7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F-D7A5-4B66-8D7C-1328976621F7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0-D7A5-4B66-8D7C-1328976621F7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1-D7A5-4B66-8D7C-1328976621F7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2-D7A5-4B66-8D7C-1328976621F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 Light" panose="020B0502040204020203" pitchFamily="34" charset="-122"/>
                    <a:ea typeface="微软雅黑 Light" panose="020B0502040204020203" pitchFamily="34" charset="-122"/>
                    <a:cs typeface="Arial" panose="020B0604020202020204" pitchFamily="34" charset="0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'[1]Parameter Setting'!$K$4:$K$13</c:f>
              <c:numCache>
                <c:formatCode>General</c:formatCode>
                <c:ptCount val="10"/>
                <c:pt idx="0">
                  <c:v>15.27</c:v>
                </c:pt>
                <c:pt idx="1">
                  <c:v>23.38</c:v>
                </c:pt>
              </c:numCache>
            </c:numRef>
          </c:xVal>
          <c:yVal>
            <c:numRef>
              <c:f>'[1]Parameter Setting'!$L$4:$L$13</c:f>
              <c:numCache>
                <c:formatCode>General</c:formatCode>
                <c:ptCount val="10"/>
                <c:pt idx="0">
                  <c:v>3.83</c:v>
                </c:pt>
                <c:pt idx="1">
                  <c:v>5.85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'[1]Parameter Setting'!$H$4:$H$13</c15:f>
                <c15:dlblRangeCache>
                  <c:ptCount val="10"/>
                  <c:pt idx="0">
                    <c:v>EM-05</c:v>
                  </c:pt>
                  <c:pt idx="1">
                    <c:v>F-04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53-D7A5-4B66-8D7C-1328976621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887578272"/>
        <c:axId val="-887585888"/>
      </c:scatterChart>
      <c:valAx>
        <c:axId val="-887586432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微软雅黑 Light" panose="020B0502040204020203" pitchFamily="34" charset="-122"/>
                    <a:ea typeface="微软雅黑 Light" panose="020B0502040204020203" pitchFamily="34" charset="-122"/>
                    <a:cs typeface="Arial" panose="020B0604020202020204" pitchFamily="34" charset="0"/>
                  </a:defRPr>
                </a:pPr>
                <a:r>
                  <a:rPr lang="en-US" altLang="zh-CN" sz="16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Tracer 1 (‰)</a:t>
                </a:r>
                <a:endParaRPr lang="zh-CN" altLang="en-US" sz="1600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ysClr val="windowText" lastClr="000000"/>
                  </a:solidFill>
                  <a:latin typeface="微软雅黑 Light" panose="020B0502040204020203" pitchFamily="34" charset="-122"/>
                  <a:ea typeface="微软雅黑 Light" panose="020B0502040204020203" pitchFamily="34" charset="-122"/>
                  <a:cs typeface="Arial" panose="020B0604020202020204" pitchFamily="34" charset="0"/>
                </a:defRPr>
              </a:pPr>
              <a:endParaRPr lang="ko-KR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alpha val="96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微软雅黑 Light" panose="020B0502040204020203" pitchFamily="34" charset="-122"/>
                <a:ea typeface="微软雅黑 Light" panose="020B0502040204020203" pitchFamily="34" charset="-122"/>
                <a:cs typeface="Arial" panose="020B0604020202020204" pitchFamily="34" charset="0"/>
              </a:defRPr>
            </a:pPr>
            <a:endParaRPr lang="ko-KR"/>
          </a:p>
        </c:txPr>
        <c:crossAx val="-887579904"/>
        <c:crosses val="max"/>
        <c:crossBetween val="midCat"/>
      </c:valAx>
      <c:valAx>
        <c:axId val="-887579904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algn="ctr" rtl="0">
                  <a:defRPr lang="en-US" altLang="zh-CN" sz="16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微软雅黑 Light" panose="020B0502040204020203" pitchFamily="34" charset="-122"/>
                    <a:cs typeface="Times New Roman" panose="02020603050405020304" pitchFamily="18" charset="0"/>
                  </a:defRPr>
                </a:pPr>
                <a:r>
                  <a:rPr lang="en-US" altLang="zh-CN" sz="16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微软雅黑 Light" panose="020B0502040204020203" pitchFamily="34" charset="-122"/>
                    <a:cs typeface="Times New Roman" panose="02020603050405020304" pitchFamily="18" charset="0"/>
                  </a:rPr>
                  <a:t>Tracer </a:t>
                </a:r>
                <a:r>
                  <a:rPr lang="en-US" altLang="zh-CN" sz="1600" b="0" i="0" u="none" strike="noStrike" baseline="0">
                    <a:effectLst/>
                  </a:rPr>
                  <a:t>2 (‰)</a:t>
                </a:r>
                <a:endParaRPr lang="en-US" altLang="zh-CN" sz="16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微软雅黑 Light" panose="020B0502040204020203" pitchFamily="34" charset="-122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 rtl="0">
                <a:defRPr lang="en-US" altLang="zh-CN" sz="16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微软雅黑 Light" panose="020B0502040204020203" pitchFamily="34" charset="-122"/>
                  <a:cs typeface="Times New Roman" panose="02020603050405020304" pitchFamily="18" charset="0"/>
                </a:defRPr>
              </a:pPr>
              <a:endParaRPr lang="ko-KR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微软雅黑 Light" panose="020B0502040204020203" pitchFamily="34" charset="-122"/>
                <a:ea typeface="微软雅黑 Light" panose="020B0502040204020203" pitchFamily="34" charset="-122"/>
                <a:cs typeface="Arial" panose="020B0604020202020204" pitchFamily="34" charset="0"/>
              </a:defRPr>
            </a:pPr>
            <a:endParaRPr lang="ko-KR"/>
          </a:p>
        </c:txPr>
        <c:crossAx val="-887586432"/>
        <c:crosses val="max"/>
        <c:crossBetween val="midCat"/>
      </c:valAx>
      <c:valAx>
        <c:axId val="-887585888"/>
        <c:scaling>
          <c:orientation val="minMax"/>
          <c:max val="30"/>
          <c:min val="-25"/>
        </c:scaling>
        <c:delete val="1"/>
        <c:axPos val="r"/>
        <c:numFmt formatCode="General" sourceLinked="1"/>
        <c:majorTickMark val="out"/>
        <c:minorTickMark val="none"/>
        <c:tickLblPos val="nextTo"/>
        <c:crossAx val="-887578272"/>
        <c:crosses val="max"/>
        <c:crossBetween val="midCat"/>
      </c:valAx>
      <c:valAx>
        <c:axId val="-887578272"/>
        <c:scaling>
          <c:orientation val="minMax"/>
          <c:min val="-20"/>
        </c:scaling>
        <c:delete val="1"/>
        <c:axPos val="b"/>
        <c:numFmt formatCode="General" sourceLinked="1"/>
        <c:majorTickMark val="out"/>
        <c:minorTickMark val="none"/>
        <c:tickLblPos val="nextTo"/>
        <c:crossAx val="-887585888"/>
        <c:crossesAt val="30"/>
        <c:crossBetween val="midCat"/>
      </c:valAx>
      <c:spPr>
        <a:solidFill>
          <a:schemeClr val="bg1">
            <a:lumMod val="95000"/>
          </a:schemeClr>
        </a:solidFill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微软雅黑 Light" panose="020B0502040204020203" pitchFamily="34" charset="-122"/>
          <a:ea typeface="微软雅黑 Light" panose="020B0502040204020203" pitchFamily="34" charset="-122"/>
          <a:cs typeface="Arial" panose="020B0604020202020204" pitchFamily="34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4428590767675809E-2"/>
          <c:y val="0.1392499857443697"/>
          <c:w val="0.84655228539149407"/>
          <c:h val="0.80443170465366398"/>
        </c:manualLayout>
      </c:layout>
      <c:scatterChart>
        <c:scatterStyle val="lineMarker"/>
        <c:varyColors val="0"/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rgbClr val="7030A0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3DB2455D-57A5-454D-B91C-926799708AE5}" type="CELLRANGE">
                      <a:rPr lang="en-US" altLang="zh-CN"/>
                      <a:pPr/>
                      <a:t>[CELLRANGE]</a:t>
                    </a:fld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3A07-41BB-9C5E-8544415D5943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3A07-41BB-9C5E-8544415D5943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3A07-41BB-9C5E-8544415D5943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3A07-41BB-9C5E-8544415D5943}"/>
                </c:ext>
              </c:extLst>
            </c:dLbl>
            <c:dLbl>
              <c:idx val="4"/>
              <c:layout>
                <c:manualLayout>
                  <c:x val="0.1093632996428829"/>
                  <c:y val="-6.9723014345510837E-3"/>
                </c:manualLayout>
              </c:layout>
              <c:tx>
                <c:rich>
                  <a:bodyPr/>
                  <a:lstStyle/>
                  <a:p>
                    <a:fld id="{7F79971B-6701-4682-8261-B0B9C7E75B8C}" type="CELLRANGE">
                      <a:rPr lang="en-US" altLang="zh-CN"/>
                      <a:pPr/>
                      <a:t>[CELLRANGE]</a:t>
                    </a:fld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3A07-41BB-9C5E-8544415D5943}"/>
                </c:ext>
              </c:extLst>
            </c:dLbl>
            <c:dLbl>
              <c:idx val="5"/>
              <c:layout>
                <c:manualLayout>
                  <c:x val="2.2784020758933855E-2"/>
                  <c:y val="9.5869144725076405E-2"/>
                </c:manualLayout>
              </c:layout>
              <c:tx>
                <c:rich>
                  <a:bodyPr/>
                  <a:lstStyle/>
                  <a:p>
                    <a:fld id="{89F03B85-046B-439B-A1E4-69EF5B5FFFF0}" type="CELLRANGE">
                      <a:rPr lang="en-US" altLang="zh-CN"/>
                      <a:pPr/>
                      <a:t>[CELLRANGE]</a:t>
                    </a:fld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3A07-41BB-9C5E-8544415D5943}"/>
                </c:ext>
              </c:extLst>
            </c:dLbl>
            <c:dLbl>
              <c:idx val="6"/>
              <c:layout>
                <c:manualLayout>
                  <c:x val="5.696005189733476E-2"/>
                  <c:y val="5.2292260759132521E-2"/>
                </c:manualLayout>
              </c:layout>
              <c:tx>
                <c:rich>
                  <a:bodyPr/>
                  <a:lstStyle/>
                  <a:p>
                    <a:fld id="{324D6005-7757-4E4F-B2B5-15FAF3DB11F9}" type="CELLRANGE">
                      <a:rPr lang="en-US" altLang="zh-CN"/>
                      <a:pPr/>
                      <a:t>[CELLRANGE]</a:t>
                    </a:fld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3A07-41BB-9C5E-8544415D5943}"/>
                </c:ext>
              </c:extLst>
            </c:dLbl>
            <c:dLbl>
              <c:idx val="7"/>
              <c:layout>
                <c:manualLayout>
                  <c:x val="-5.8099252935281585E-2"/>
                  <c:y val="6.1007637552321428E-2"/>
                </c:manualLayout>
              </c:layout>
              <c:tx>
                <c:rich>
                  <a:bodyPr/>
                  <a:lstStyle/>
                  <a:p>
                    <a:fld id="{2E0AB668-7D76-40EC-B1D7-B08186A61686}" type="CELLRANGE">
                      <a:rPr lang="en-US" altLang="zh-CN"/>
                      <a:pPr/>
                      <a:t>[CELLRANGE]</a:t>
                    </a:fld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3A07-41BB-9C5E-8544415D5943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3A07-41BB-9C5E-8544415D5943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3A07-41BB-9C5E-8544415D5943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A-3A07-41BB-9C5E-8544415D5943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B-3A07-41BB-9C5E-8544415D5943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C-3A07-41BB-9C5E-8544415D5943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D-3A07-41BB-9C5E-8544415D5943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E-3A07-41BB-9C5E-8544415D5943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F-3A07-41BB-9C5E-8544415D5943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0-3A07-41BB-9C5E-8544415D5943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1-3A07-41BB-9C5E-8544415D5943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2-3A07-41BB-9C5E-8544415D5943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3-3A07-41BB-9C5E-8544415D5943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4-3A07-41BB-9C5E-8544415D5943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5-3A07-41BB-9C5E-8544415D5943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6-3A07-41BB-9C5E-8544415D5943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7-3A07-41BB-9C5E-8544415D5943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8-3A07-41BB-9C5E-8544415D5943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9-3A07-41BB-9C5E-8544415D5943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A-3A07-41BB-9C5E-8544415D5943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B-3A07-41BB-9C5E-8544415D5943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C-3A07-41BB-9C5E-8544415D5943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D-3A07-41BB-9C5E-8544415D5943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E-3A07-41BB-9C5E-8544415D5943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F-3A07-41BB-9C5E-8544415D5943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0-3A07-41BB-9C5E-8544415D5943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1-3A07-41BB-9C5E-8544415D5943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2-3A07-41BB-9C5E-8544415D5943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3-3A07-41BB-9C5E-8544415D5943}"/>
                </c:ext>
              </c:extLst>
            </c:dLbl>
            <c:dLbl>
              <c:idx val="36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4-3A07-41BB-9C5E-8544415D5943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5-3A07-41BB-9C5E-8544415D5943}"/>
                </c:ext>
              </c:extLst>
            </c:dLbl>
            <c:dLbl>
              <c:idx val="38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6-3A07-41BB-9C5E-8544415D5943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7-3A07-41BB-9C5E-8544415D5943}"/>
                </c:ext>
              </c:extLst>
            </c:dLbl>
            <c:dLbl>
              <c:idx val="40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8-3A07-41BB-9C5E-8544415D5943}"/>
                </c:ext>
              </c:extLst>
            </c:dLbl>
            <c:dLbl>
              <c:idx val="41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9-3A07-41BB-9C5E-8544415D5943}"/>
                </c:ext>
              </c:extLst>
            </c:dLbl>
            <c:dLbl>
              <c:idx val="42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A-3A07-41BB-9C5E-8544415D5943}"/>
                </c:ext>
              </c:extLst>
            </c:dLbl>
            <c:dLbl>
              <c:idx val="43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B-3A07-41BB-9C5E-8544415D5943}"/>
                </c:ext>
              </c:extLst>
            </c:dLbl>
            <c:dLbl>
              <c:idx val="44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C-3A07-41BB-9C5E-8544415D5943}"/>
                </c:ext>
              </c:extLst>
            </c:dLbl>
            <c:dLbl>
              <c:idx val="45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D-3A07-41BB-9C5E-8544415D5943}"/>
                </c:ext>
              </c:extLst>
            </c:dLbl>
            <c:dLbl>
              <c:idx val="46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E-3A07-41BB-9C5E-8544415D5943}"/>
                </c:ext>
              </c:extLst>
            </c:dLbl>
            <c:dLbl>
              <c:idx val="47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F-3A07-41BB-9C5E-8544415D5943}"/>
                </c:ext>
              </c:extLst>
            </c:dLbl>
            <c:dLbl>
              <c:idx val="48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0-3A07-41BB-9C5E-8544415D5943}"/>
                </c:ext>
              </c:extLst>
            </c:dLbl>
            <c:dLbl>
              <c:idx val="49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1-3A07-41BB-9C5E-8544415D5943}"/>
                </c:ext>
              </c:extLst>
            </c:dLbl>
            <c:dLbl>
              <c:idx val="50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2-3A07-41BB-9C5E-8544415D5943}"/>
                </c:ext>
              </c:extLst>
            </c:dLbl>
            <c:dLbl>
              <c:idx val="51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3-3A07-41BB-9C5E-8544415D5943}"/>
                </c:ext>
              </c:extLst>
            </c:dLbl>
            <c:dLbl>
              <c:idx val="52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4-3A07-41BB-9C5E-8544415D5943}"/>
                </c:ext>
              </c:extLst>
            </c:dLbl>
            <c:dLbl>
              <c:idx val="53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5-3A07-41BB-9C5E-8544415D5943}"/>
                </c:ext>
              </c:extLst>
            </c:dLbl>
            <c:dLbl>
              <c:idx val="54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6-3A07-41BB-9C5E-8544415D5943}"/>
                </c:ext>
              </c:extLst>
            </c:dLbl>
            <c:dLbl>
              <c:idx val="55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7-3A07-41BB-9C5E-8544415D5943}"/>
                </c:ext>
              </c:extLst>
            </c:dLbl>
            <c:dLbl>
              <c:idx val="56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8-3A07-41BB-9C5E-8544415D5943}"/>
                </c:ext>
              </c:extLst>
            </c:dLbl>
            <c:dLbl>
              <c:idx val="57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9-3A07-41BB-9C5E-8544415D5943}"/>
                </c:ext>
              </c:extLst>
            </c:dLbl>
            <c:dLbl>
              <c:idx val="58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A-3A07-41BB-9C5E-8544415D5943}"/>
                </c:ext>
              </c:extLst>
            </c:dLbl>
            <c:dLbl>
              <c:idx val="59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B-3A07-41BB-9C5E-8544415D5943}"/>
                </c:ext>
              </c:extLst>
            </c:dLbl>
            <c:dLbl>
              <c:idx val="60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C-3A07-41BB-9C5E-8544415D5943}"/>
                </c:ext>
              </c:extLst>
            </c:dLbl>
            <c:dLbl>
              <c:idx val="61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D-3A07-41BB-9C5E-8544415D5943}"/>
                </c:ext>
              </c:extLst>
            </c:dLbl>
            <c:dLbl>
              <c:idx val="62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E-3A07-41BB-9C5E-8544415D5943}"/>
                </c:ext>
              </c:extLst>
            </c:dLbl>
            <c:dLbl>
              <c:idx val="63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F-3A07-41BB-9C5E-8544415D5943}"/>
                </c:ext>
              </c:extLst>
            </c:dLbl>
            <c:dLbl>
              <c:idx val="64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0-3A07-41BB-9C5E-8544415D5943}"/>
                </c:ext>
              </c:extLst>
            </c:dLbl>
            <c:dLbl>
              <c:idx val="65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1-3A07-41BB-9C5E-8544415D5943}"/>
                </c:ext>
              </c:extLst>
            </c:dLbl>
            <c:dLbl>
              <c:idx val="66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2-3A07-41BB-9C5E-8544415D5943}"/>
                </c:ext>
              </c:extLst>
            </c:dLbl>
            <c:dLbl>
              <c:idx val="67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3-3A07-41BB-9C5E-8544415D5943}"/>
                </c:ext>
              </c:extLst>
            </c:dLbl>
            <c:dLbl>
              <c:idx val="68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4-3A07-41BB-9C5E-8544415D5943}"/>
                </c:ext>
              </c:extLst>
            </c:dLbl>
            <c:dLbl>
              <c:idx val="69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5-3A07-41BB-9C5E-8544415D5943}"/>
                </c:ext>
              </c:extLst>
            </c:dLbl>
            <c:dLbl>
              <c:idx val="70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6-3A07-41BB-9C5E-8544415D5943}"/>
                </c:ext>
              </c:extLst>
            </c:dLbl>
            <c:dLbl>
              <c:idx val="71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7-3A07-41BB-9C5E-8544415D594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 Light" panose="020B0502040204020203" pitchFamily="34" charset="-122"/>
                    <a:ea typeface="微软雅黑 Light" panose="020B0502040204020203" pitchFamily="34" charset="-122"/>
                    <a:cs typeface="Arial" panose="020B0604020202020204" pitchFamily="34" charset="0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'[2]Data Enter'!$C$3:$C$74</c:f>
              <c:numCache>
                <c:formatCode>General</c:formatCode>
                <c:ptCount val="72"/>
                <c:pt idx="0">
                  <c:v>21.35</c:v>
                </c:pt>
                <c:pt idx="1">
                  <c:v>19.29</c:v>
                </c:pt>
                <c:pt idx="2">
                  <c:v>17.36</c:v>
                </c:pt>
              </c:numCache>
            </c:numRef>
          </c:xVal>
          <c:yVal>
            <c:numRef>
              <c:f>'[2]Data Enter'!$D$3:$D$74</c:f>
              <c:numCache>
                <c:formatCode>General</c:formatCode>
                <c:ptCount val="72"/>
                <c:pt idx="0">
                  <c:v>5.3</c:v>
                </c:pt>
                <c:pt idx="1">
                  <c:v>4.38</c:v>
                </c:pt>
                <c:pt idx="2">
                  <c:v>4.3600000000000003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'[2]Data Enter'!$B$3:$B$74</c15:f>
                <c15:dlblRangeCache>
                  <c:ptCount val="72"/>
                  <c:pt idx="0">
                    <c:v>SW25-01</c:v>
                  </c:pt>
                  <c:pt idx="1">
                    <c:v>SW50-01</c:v>
                  </c:pt>
                  <c:pt idx="2">
                    <c:v>SW75-01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48-3A07-41BB-9C5E-8544415D59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887586432"/>
        <c:axId val="-887579904"/>
      </c:scatterChar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0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4.4428840479921176E-2"/>
                  <c:y val="-5.4035336117770408E-2"/>
                </c:manualLayout>
              </c:layout>
              <c:tx>
                <c:rich>
                  <a:bodyPr/>
                  <a:lstStyle/>
                  <a:p>
                    <a:fld id="{5780E074-FBAA-41BD-8A85-06D0F6D2C2F3}" type="CELLRANGE">
                      <a:rPr lang="en-US" altLang="zh-CN"/>
                      <a:pPr/>
                      <a:t>[CELLRANGE]</a:t>
                    </a:fld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9-3A07-41BB-9C5E-8544415D5943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A-3A07-41BB-9C5E-8544415D5943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B-3A07-41BB-9C5E-8544415D5943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C-3A07-41BB-9C5E-8544415D5943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D-3A07-41BB-9C5E-8544415D5943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E-3A07-41BB-9C5E-8544415D5943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F-3A07-41BB-9C5E-8544415D5943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0-3A07-41BB-9C5E-8544415D5943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1-3A07-41BB-9C5E-8544415D5943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2-3A07-41BB-9C5E-8544415D594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 Light" panose="020B0502040204020203" pitchFamily="34" charset="-122"/>
                    <a:ea typeface="微软雅黑 Light" panose="020B0502040204020203" pitchFamily="34" charset="-122"/>
                    <a:cs typeface="Arial" panose="020B0604020202020204" pitchFamily="34" charset="0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'[2]Parameter Setting'!$K$4:$K$13</c:f>
              <c:numCache>
                <c:formatCode>General</c:formatCode>
                <c:ptCount val="10"/>
                <c:pt idx="0">
                  <c:v>15.27</c:v>
                </c:pt>
                <c:pt idx="1">
                  <c:v>23.38</c:v>
                </c:pt>
              </c:numCache>
            </c:numRef>
          </c:xVal>
          <c:yVal>
            <c:numRef>
              <c:f>'[2]Parameter Setting'!$L$4:$L$13</c:f>
              <c:numCache>
                <c:formatCode>General</c:formatCode>
                <c:ptCount val="10"/>
                <c:pt idx="0">
                  <c:v>3.83</c:v>
                </c:pt>
                <c:pt idx="1">
                  <c:v>5.85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'[2]Parameter Setting'!$H$4:$H$13</c15:f>
                <c15:dlblRangeCache>
                  <c:ptCount val="10"/>
                  <c:pt idx="0">
                    <c:v>EM-05</c:v>
                  </c:pt>
                  <c:pt idx="1">
                    <c:v>F-04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53-3A07-41BB-9C5E-8544415D59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887578272"/>
        <c:axId val="-887585888"/>
      </c:scatterChart>
      <c:valAx>
        <c:axId val="-887586432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微软雅黑 Light" panose="020B0502040204020203" pitchFamily="34" charset="-122"/>
                    <a:ea typeface="微软雅黑 Light" panose="020B0502040204020203" pitchFamily="34" charset="-122"/>
                    <a:cs typeface="Arial" panose="020B0604020202020204" pitchFamily="34" charset="0"/>
                  </a:defRPr>
                </a:pPr>
                <a:r>
                  <a:rPr lang="en-US" altLang="zh-CN" sz="16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Tracer 1 (‰)</a:t>
                </a:r>
                <a:endParaRPr lang="zh-CN" altLang="en-US" sz="1600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ysClr val="windowText" lastClr="000000"/>
                  </a:solidFill>
                  <a:latin typeface="微软雅黑 Light" panose="020B0502040204020203" pitchFamily="34" charset="-122"/>
                  <a:ea typeface="微软雅黑 Light" panose="020B0502040204020203" pitchFamily="34" charset="-122"/>
                  <a:cs typeface="Arial" panose="020B0604020202020204" pitchFamily="34" charset="0"/>
                </a:defRPr>
              </a:pPr>
              <a:endParaRPr lang="ko-KR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alpha val="96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微软雅黑 Light" panose="020B0502040204020203" pitchFamily="34" charset="-122"/>
                <a:ea typeface="微软雅黑 Light" panose="020B0502040204020203" pitchFamily="34" charset="-122"/>
                <a:cs typeface="Arial" panose="020B0604020202020204" pitchFamily="34" charset="0"/>
              </a:defRPr>
            </a:pPr>
            <a:endParaRPr lang="ko-KR"/>
          </a:p>
        </c:txPr>
        <c:crossAx val="-887579904"/>
        <c:crosses val="max"/>
        <c:crossBetween val="midCat"/>
      </c:valAx>
      <c:valAx>
        <c:axId val="-887579904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algn="ctr" rtl="0">
                  <a:defRPr lang="en-US" altLang="zh-CN" sz="16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微软雅黑 Light" panose="020B0502040204020203" pitchFamily="34" charset="-122"/>
                    <a:cs typeface="Times New Roman" panose="02020603050405020304" pitchFamily="18" charset="0"/>
                  </a:defRPr>
                </a:pPr>
                <a:r>
                  <a:rPr lang="en-US" altLang="zh-CN" sz="16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微软雅黑 Light" panose="020B0502040204020203" pitchFamily="34" charset="-122"/>
                    <a:cs typeface="Times New Roman" panose="02020603050405020304" pitchFamily="18" charset="0"/>
                  </a:rPr>
                  <a:t>Tracer </a:t>
                </a:r>
                <a:r>
                  <a:rPr lang="en-US" altLang="zh-CN" sz="1600" b="0" i="0" u="none" strike="noStrike" baseline="0">
                    <a:effectLst/>
                  </a:rPr>
                  <a:t>2 (‰)</a:t>
                </a:r>
                <a:endParaRPr lang="en-US" altLang="zh-CN" sz="16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微软雅黑 Light" panose="020B0502040204020203" pitchFamily="34" charset="-122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 rtl="0">
                <a:defRPr lang="en-US" altLang="zh-CN" sz="16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微软雅黑 Light" panose="020B0502040204020203" pitchFamily="34" charset="-122"/>
                  <a:cs typeface="Times New Roman" panose="02020603050405020304" pitchFamily="18" charset="0"/>
                </a:defRPr>
              </a:pPr>
              <a:endParaRPr lang="ko-KR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微软雅黑 Light" panose="020B0502040204020203" pitchFamily="34" charset="-122"/>
                <a:ea typeface="微软雅黑 Light" panose="020B0502040204020203" pitchFamily="34" charset="-122"/>
                <a:cs typeface="Arial" panose="020B0604020202020204" pitchFamily="34" charset="0"/>
              </a:defRPr>
            </a:pPr>
            <a:endParaRPr lang="ko-KR"/>
          </a:p>
        </c:txPr>
        <c:crossAx val="-887586432"/>
        <c:crosses val="max"/>
        <c:crossBetween val="midCat"/>
      </c:valAx>
      <c:valAx>
        <c:axId val="-887585888"/>
        <c:scaling>
          <c:orientation val="minMax"/>
          <c:max val="30"/>
          <c:min val="-25"/>
        </c:scaling>
        <c:delete val="1"/>
        <c:axPos val="r"/>
        <c:numFmt formatCode="General" sourceLinked="1"/>
        <c:majorTickMark val="out"/>
        <c:minorTickMark val="none"/>
        <c:tickLblPos val="nextTo"/>
        <c:crossAx val="-887578272"/>
        <c:crosses val="max"/>
        <c:crossBetween val="midCat"/>
      </c:valAx>
      <c:valAx>
        <c:axId val="-887578272"/>
        <c:scaling>
          <c:orientation val="minMax"/>
          <c:min val="-20"/>
        </c:scaling>
        <c:delete val="1"/>
        <c:axPos val="b"/>
        <c:numFmt formatCode="General" sourceLinked="1"/>
        <c:majorTickMark val="out"/>
        <c:minorTickMark val="none"/>
        <c:tickLblPos val="nextTo"/>
        <c:crossAx val="-887585888"/>
        <c:crossesAt val="30"/>
        <c:crossBetween val="midCat"/>
      </c:valAx>
      <c:spPr>
        <a:solidFill>
          <a:schemeClr val="bg1">
            <a:lumMod val="95000"/>
          </a:schemeClr>
        </a:solidFill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微软雅黑 Light" panose="020B0502040204020203" pitchFamily="34" charset="-122"/>
          <a:ea typeface="微软雅黑 Light" panose="020B0502040204020203" pitchFamily="34" charset="-122"/>
          <a:cs typeface="Arial" panose="020B0604020202020204" pitchFamily="34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'260416 실험'!$D$2:$D$49</c:f>
              <c:numCache>
                <c:formatCode>0.0</c:formatCode>
                <c:ptCount val="48"/>
                <c:pt idx="0">
                  <c:v>15.17</c:v>
                </c:pt>
                <c:pt idx="1">
                  <c:v>-6.85</c:v>
                </c:pt>
                <c:pt idx="2">
                  <c:v>15.13</c:v>
                </c:pt>
                <c:pt idx="3">
                  <c:v>13.14</c:v>
                </c:pt>
                <c:pt idx="4">
                  <c:v>11.01</c:v>
                </c:pt>
              </c:numCache>
            </c:numRef>
          </c:xVal>
          <c:yVal>
            <c:numRef>
              <c:f>'260416 실험'!$E$2:$E$49</c:f>
              <c:numCache>
                <c:formatCode>0.0</c:formatCode>
                <c:ptCount val="48"/>
                <c:pt idx="2">
                  <c:v>-3.24</c:v>
                </c:pt>
                <c:pt idx="3">
                  <c:v>-1.33</c:v>
                </c:pt>
                <c:pt idx="4">
                  <c:v>1.89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B16-4F77-8BF7-F805465E0CB0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'260416 실험'!$D$2:$D$49</c:f>
              <c:numCache>
                <c:formatCode>0.0</c:formatCode>
                <c:ptCount val="48"/>
                <c:pt idx="0">
                  <c:v>15.17</c:v>
                </c:pt>
                <c:pt idx="1">
                  <c:v>-6.85</c:v>
                </c:pt>
                <c:pt idx="2">
                  <c:v>15.13</c:v>
                </c:pt>
                <c:pt idx="3">
                  <c:v>13.14</c:v>
                </c:pt>
                <c:pt idx="4">
                  <c:v>11.01</c:v>
                </c:pt>
              </c:numCache>
            </c:numRef>
          </c:xVal>
          <c:yVal>
            <c:numRef>
              <c:f>'260416 실험'!$F$2:$F$49</c:f>
              <c:numCache>
                <c:formatCode>0.0</c:formatCode>
                <c:ptCount val="48"/>
                <c:pt idx="0">
                  <c:v>-3.82</c:v>
                </c:pt>
                <c:pt idx="1">
                  <c:v>11.02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B16-4F77-8BF7-F805465E0CB0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'260416 실험'!$D$2:$D$49</c:f>
              <c:numCache>
                <c:formatCode>0.0</c:formatCode>
                <c:ptCount val="48"/>
                <c:pt idx="0">
                  <c:v>15.17</c:v>
                </c:pt>
                <c:pt idx="1">
                  <c:v>-6.85</c:v>
                </c:pt>
                <c:pt idx="2">
                  <c:v>15.13</c:v>
                </c:pt>
                <c:pt idx="3">
                  <c:v>13.14</c:v>
                </c:pt>
                <c:pt idx="4">
                  <c:v>11.01</c:v>
                </c:pt>
              </c:numCache>
            </c:numRef>
          </c:xVal>
          <c:yVal>
            <c:numRef>
              <c:f>'260416 실험'!$G$2:$G$49</c:f>
              <c:numCache>
                <c:formatCode>General</c:formatCode>
                <c:ptCount val="48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B16-4F77-8BF7-F805465E0C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'260423 실험(Volume)'!$E$2:$E$55</c:f>
              <c:numCache>
                <c:formatCode>0.0</c:formatCode>
                <c:ptCount val="54"/>
                <c:pt idx="0">
                  <c:v>15.17</c:v>
                </c:pt>
                <c:pt idx="1">
                  <c:v>-24.85</c:v>
                </c:pt>
                <c:pt idx="2">
                  <c:v>-3.54</c:v>
                </c:pt>
                <c:pt idx="3">
                  <c:v>4.75</c:v>
                </c:pt>
                <c:pt idx="4">
                  <c:v>11.43</c:v>
                </c:pt>
              </c:numCache>
            </c:numRef>
          </c:xVal>
          <c:yVal>
            <c:numRef>
              <c:f>'260423 실험(Volume)'!$F$2:$F$55</c:f>
              <c:numCache>
                <c:formatCode>0.0</c:formatCode>
                <c:ptCount val="54"/>
                <c:pt idx="2">
                  <c:v>6.94</c:v>
                </c:pt>
                <c:pt idx="3">
                  <c:v>1.87</c:v>
                </c:pt>
                <c:pt idx="4">
                  <c:v>-2.67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F5E-4466-8831-7F53DAD71BCB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'260423 실험(Volume)'!$E$2:$E$55</c:f>
              <c:numCache>
                <c:formatCode>0.0</c:formatCode>
                <c:ptCount val="54"/>
                <c:pt idx="0">
                  <c:v>15.17</c:v>
                </c:pt>
                <c:pt idx="1">
                  <c:v>-24.85</c:v>
                </c:pt>
                <c:pt idx="2">
                  <c:v>-3.54</c:v>
                </c:pt>
                <c:pt idx="3">
                  <c:v>4.75</c:v>
                </c:pt>
                <c:pt idx="4">
                  <c:v>11.43</c:v>
                </c:pt>
              </c:numCache>
            </c:numRef>
          </c:xVal>
          <c:yVal>
            <c:numRef>
              <c:f>'260423 실험(Volume)'!$G$2:$G$55</c:f>
              <c:numCache>
                <c:formatCode>0.0</c:formatCode>
                <c:ptCount val="54"/>
                <c:pt idx="0">
                  <c:v>-3.82</c:v>
                </c:pt>
                <c:pt idx="1">
                  <c:v>15.43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F5E-4466-8831-7F53DAD71BCB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'260423 실험(Volume)'!$E$2:$E$55</c:f>
              <c:numCache>
                <c:formatCode>0.0</c:formatCode>
                <c:ptCount val="54"/>
                <c:pt idx="0">
                  <c:v>15.17</c:v>
                </c:pt>
                <c:pt idx="1">
                  <c:v>-24.85</c:v>
                </c:pt>
                <c:pt idx="2">
                  <c:v>-3.54</c:v>
                </c:pt>
                <c:pt idx="3">
                  <c:v>4.75</c:v>
                </c:pt>
                <c:pt idx="4">
                  <c:v>11.43</c:v>
                </c:pt>
              </c:numCache>
            </c:numRef>
          </c:xVal>
          <c:yVal>
            <c:numRef>
              <c:f>'260423 실험(Volume)'!$H$2:$H$55</c:f>
              <c:numCache>
                <c:formatCode>General</c:formatCode>
                <c:ptCount val="5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F5E-4466-8831-7F53DAD71B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3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3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'260423 실험(Weight)'!$E$2:$E$55</c:f>
              <c:numCache>
                <c:formatCode>0.0</c:formatCode>
                <c:ptCount val="54"/>
                <c:pt idx="0">
                  <c:v>15.17</c:v>
                </c:pt>
                <c:pt idx="1">
                  <c:v>-24.85</c:v>
                </c:pt>
                <c:pt idx="2">
                  <c:v>-5.35</c:v>
                </c:pt>
                <c:pt idx="3">
                  <c:v>3.63</c:v>
                </c:pt>
                <c:pt idx="4">
                  <c:v>11</c:v>
                </c:pt>
              </c:numCache>
            </c:numRef>
          </c:xVal>
          <c:yVal>
            <c:numRef>
              <c:f>'260423 실험(Weight)'!$F$2:$F$55</c:f>
              <c:numCache>
                <c:formatCode>0.0</c:formatCode>
                <c:ptCount val="54"/>
                <c:pt idx="2">
                  <c:v>10.119999999999999</c:v>
                </c:pt>
                <c:pt idx="3">
                  <c:v>4.0599999999999996</c:v>
                </c:pt>
                <c:pt idx="4">
                  <c:v>-0.19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369-4769-ADFB-EB83FA2B3D8D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'260423 실험(Weight)'!$E$2:$E$55</c:f>
              <c:numCache>
                <c:formatCode>0.0</c:formatCode>
                <c:ptCount val="54"/>
                <c:pt idx="0">
                  <c:v>15.17</c:v>
                </c:pt>
                <c:pt idx="1">
                  <c:v>-24.85</c:v>
                </c:pt>
                <c:pt idx="2">
                  <c:v>-5.35</c:v>
                </c:pt>
                <c:pt idx="3">
                  <c:v>3.63</c:v>
                </c:pt>
                <c:pt idx="4">
                  <c:v>11</c:v>
                </c:pt>
              </c:numCache>
            </c:numRef>
          </c:xVal>
          <c:yVal>
            <c:numRef>
              <c:f>'260423 실험(Weight)'!$G$2:$G$55</c:f>
              <c:numCache>
                <c:formatCode>0.0</c:formatCode>
                <c:ptCount val="54"/>
                <c:pt idx="0">
                  <c:v>-3.82</c:v>
                </c:pt>
                <c:pt idx="1">
                  <c:v>15.43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369-4769-ADFB-EB83FA2B3D8D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'260423 실험(Weight)'!$E$2:$E$55</c:f>
              <c:numCache>
                <c:formatCode>0.0</c:formatCode>
                <c:ptCount val="54"/>
                <c:pt idx="0">
                  <c:v>15.17</c:v>
                </c:pt>
                <c:pt idx="1">
                  <c:v>-24.85</c:v>
                </c:pt>
                <c:pt idx="2">
                  <c:v>-5.35</c:v>
                </c:pt>
                <c:pt idx="3">
                  <c:v>3.63</c:v>
                </c:pt>
                <c:pt idx="4">
                  <c:v>11</c:v>
                </c:pt>
              </c:numCache>
            </c:numRef>
          </c:xVal>
          <c:yVal>
            <c:numRef>
              <c:f>'260423 실험(Weight)'!$H$2:$H$55</c:f>
              <c:numCache>
                <c:formatCode>General</c:formatCode>
                <c:ptCount val="5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369-4769-ADFB-EB83FA2B3D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3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12224657" y="5268120"/>
    <xdr:ext cx="4280807" cy="3101069"/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  <xdr:absoluteAnchor>
    <xdr:pos x="12236823" y="8269937"/>
    <xdr:ext cx="4448736" cy="3204881"/>
    <xdr:graphicFrame macro="">
      <xdr:nvGraphicFramePr>
        <xdr:cNvPr id="3" name="图表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552450</xdr:colOff>
      <xdr:row>1</xdr:row>
      <xdr:rowOff>0</xdr:rowOff>
    </xdr:from>
    <xdr:to>
      <xdr:col>14</xdr:col>
      <xdr:colOff>630585</xdr:colOff>
      <xdr:row>21</xdr:row>
      <xdr:rowOff>89651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6810375" y="390525"/>
          <a:ext cx="5564535" cy="4890251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1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1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1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1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1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1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1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1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1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1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100-00000D000000}"/>
              </a:ext>
            </a:extLst>
          </xdr:cNvPr>
          <xdr:cNvSpPr txBox="1"/>
        </xdr:nvSpPr>
        <xdr:spPr>
          <a:xfrm>
            <a:off x="10208076" y="5069807"/>
            <a:ext cx="666750" cy="12968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1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1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1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1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295275</xdr:colOff>
      <xdr:row>9</xdr:row>
      <xdr:rowOff>142875</xdr:rowOff>
    </xdr:from>
    <xdr:to>
      <xdr:col>5</xdr:col>
      <xdr:colOff>421035</xdr:colOff>
      <xdr:row>31</xdr:row>
      <xdr:rowOff>118226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295275" y="2514600"/>
          <a:ext cx="5564535" cy="4890251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2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2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2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2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2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2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2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2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200-00000D000000}"/>
              </a:ext>
            </a:extLst>
          </xdr:cNvPr>
          <xdr:cNvSpPr txBox="1"/>
        </xdr:nvSpPr>
        <xdr:spPr>
          <a:xfrm>
            <a:off x="10208076" y="5069807"/>
            <a:ext cx="666750" cy="12968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2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2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2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2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9</xdr:row>
      <xdr:rowOff>9525</xdr:rowOff>
    </xdr:from>
    <xdr:to>
      <xdr:col>5</xdr:col>
      <xdr:colOff>325785</xdr:colOff>
      <xdr:row>30</xdr:row>
      <xdr:rowOff>194426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pSpPr/>
      </xdr:nvGrpSpPr>
      <xdr:grpSpPr>
        <a:xfrm>
          <a:off x="200025" y="2381250"/>
          <a:ext cx="5564535" cy="4890251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3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3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3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3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3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3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3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3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3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3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300-00000D000000}"/>
              </a:ext>
            </a:extLst>
          </xdr:cNvPr>
          <xdr:cNvSpPr txBox="1"/>
        </xdr:nvSpPr>
        <xdr:spPr>
          <a:xfrm>
            <a:off x="10208076" y="5069807"/>
            <a:ext cx="666750" cy="12968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3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3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3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3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053;&#51333;&#50896;/2026/1.%20&#51312;&#49324;/EMMTE,%20SIAR%20&#44288;&#47144;/EMMTE/(260514)EMMTE_0508%20&#50724;&#50684;&#50896;%20&#51221;&#45813;&#51648;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053;&#51333;&#50896;/2026/1.%20&#51312;&#49324;/EMMTE,%20SIAR%20&#44288;&#47144;/EMMTE/(260514)EMMTE_0508%20&#50724;&#50684;&#50896;%20&#51221;&#45813;&#51648;(&#44032;&#49345;&#44050;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er Setting"/>
      <sheetName val="Data Enter"/>
      <sheetName val="Results"/>
      <sheetName val="Map"/>
      <sheetName val="Mixture and Sources "/>
    </sheetNames>
    <sheetDataSet>
      <sheetData sheetId="0">
        <row r="4">
          <cell r="H4" t="str">
            <v>EM-05</v>
          </cell>
          <cell r="K4">
            <v>15.27</v>
          </cell>
          <cell r="L4">
            <v>3.83</v>
          </cell>
        </row>
        <row r="5">
          <cell r="H5" t="str">
            <v>F-04</v>
          </cell>
          <cell r="K5">
            <v>23.38</v>
          </cell>
          <cell r="L5">
            <v>5.85</v>
          </cell>
        </row>
        <row r="6">
          <cell r="H6"/>
          <cell r="K6"/>
          <cell r="L6"/>
        </row>
        <row r="7">
          <cell r="H7"/>
          <cell r="K7"/>
          <cell r="L7"/>
        </row>
        <row r="8">
          <cell r="H8"/>
          <cell r="K8"/>
          <cell r="L8"/>
        </row>
        <row r="9">
          <cell r="H9"/>
          <cell r="K9"/>
          <cell r="L9"/>
        </row>
        <row r="10">
          <cell r="H10"/>
          <cell r="K10"/>
          <cell r="L10"/>
        </row>
        <row r="11">
          <cell r="H11"/>
          <cell r="K11"/>
          <cell r="L11"/>
        </row>
        <row r="12">
          <cell r="H12"/>
          <cell r="K12"/>
          <cell r="L12"/>
        </row>
        <row r="13">
          <cell r="H13"/>
          <cell r="K13"/>
          <cell r="L13"/>
        </row>
      </sheetData>
      <sheetData sheetId="1">
        <row r="3">
          <cell r="B3" t="str">
            <v>SW25-01</v>
          </cell>
          <cell r="C3">
            <v>21.35</v>
          </cell>
          <cell r="D3">
            <v>3.51</v>
          </cell>
        </row>
        <row r="4">
          <cell r="B4" t="str">
            <v>SW50-01</v>
          </cell>
          <cell r="C4">
            <v>19.29</v>
          </cell>
          <cell r="D4">
            <v>4.38</v>
          </cell>
        </row>
        <row r="5">
          <cell r="B5" t="str">
            <v>SW75-01</v>
          </cell>
          <cell r="C5">
            <v>17.36</v>
          </cell>
          <cell r="D5">
            <v>4.3600000000000003</v>
          </cell>
        </row>
        <row r="6">
          <cell r="B6"/>
          <cell r="C6"/>
          <cell r="D6"/>
        </row>
        <row r="7">
          <cell r="B7"/>
          <cell r="C7"/>
          <cell r="D7"/>
        </row>
        <row r="8">
          <cell r="B8"/>
          <cell r="C8"/>
          <cell r="D8"/>
        </row>
        <row r="9">
          <cell r="B9"/>
          <cell r="C9"/>
          <cell r="D9"/>
        </row>
        <row r="10">
          <cell r="B10"/>
          <cell r="C10"/>
          <cell r="D10"/>
        </row>
        <row r="11">
          <cell r="B11"/>
          <cell r="C11"/>
          <cell r="D11"/>
        </row>
        <row r="12">
          <cell r="B12"/>
          <cell r="C12"/>
          <cell r="D12"/>
        </row>
        <row r="13">
          <cell r="B13"/>
          <cell r="C13"/>
          <cell r="D13"/>
        </row>
        <row r="14">
          <cell r="B14"/>
          <cell r="C14"/>
          <cell r="D14"/>
        </row>
        <row r="15">
          <cell r="B15"/>
          <cell r="C15"/>
          <cell r="D15"/>
        </row>
        <row r="16">
          <cell r="B16"/>
          <cell r="C16"/>
          <cell r="D16"/>
        </row>
        <row r="17">
          <cell r="B17"/>
          <cell r="C17"/>
          <cell r="D17"/>
        </row>
        <row r="18">
          <cell r="B18"/>
          <cell r="C18"/>
          <cell r="D18"/>
        </row>
        <row r="19">
          <cell r="B19"/>
          <cell r="C19"/>
          <cell r="D19"/>
        </row>
        <row r="20">
          <cell r="B20"/>
          <cell r="C20"/>
          <cell r="D20"/>
        </row>
        <row r="21">
          <cell r="B21"/>
          <cell r="C21"/>
          <cell r="D21"/>
        </row>
        <row r="22">
          <cell r="B22"/>
          <cell r="C22"/>
          <cell r="D22"/>
        </row>
        <row r="23">
          <cell r="B23"/>
          <cell r="C23"/>
          <cell r="D23"/>
        </row>
        <row r="24">
          <cell r="B24"/>
          <cell r="C24"/>
          <cell r="D24"/>
        </row>
        <row r="25">
          <cell r="B25"/>
          <cell r="C25"/>
          <cell r="D25"/>
        </row>
        <row r="26">
          <cell r="B26"/>
          <cell r="C26"/>
          <cell r="D26"/>
        </row>
        <row r="27">
          <cell r="B27"/>
          <cell r="C27"/>
          <cell r="D27"/>
        </row>
        <row r="28">
          <cell r="B28"/>
          <cell r="C28"/>
          <cell r="D28"/>
        </row>
        <row r="29">
          <cell r="B29"/>
          <cell r="C29"/>
          <cell r="D29"/>
        </row>
        <row r="30">
          <cell r="B30"/>
          <cell r="C30"/>
          <cell r="D30"/>
        </row>
        <row r="31">
          <cell r="B31"/>
          <cell r="C31"/>
          <cell r="D31"/>
        </row>
        <row r="32">
          <cell r="B32"/>
          <cell r="C32"/>
          <cell r="D32"/>
        </row>
        <row r="33">
          <cell r="B33"/>
          <cell r="C33"/>
          <cell r="D33"/>
        </row>
        <row r="34">
          <cell r="B34"/>
          <cell r="C34"/>
          <cell r="D34"/>
        </row>
        <row r="35">
          <cell r="B35"/>
          <cell r="C35"/>
          <cell r="D35"/>
        </row>
        <row r="36">
          <cell r="B36"/>
          <cell r="C36"/>
          <cell r="D36"/>
        </row>
        <row r="37">
          <cell r="B37"/>
          <cell r="C37"/>
          <cell r="D37"/>
        </row>
        <row r="38">
          <cell r="B38"/>
          <cell r="C38"/>
          <cell r="D38"/>
        </row>
        <row r="39">
          <cell r="B39"/>
          <cell r="C39"/>
          <cell r="D39"/>
        </row>
        <row r="40">
          <cell r="B40"/>
          <cell r="C40"/>
          <cell r="D40"/>
        </row>
        <row r="41">
          <cell r="B41"/>
          <cell r="C41"/>
          <cell r="D41"/>
        </row>
        <row r="42">
          <cell r="B42"/>
          <cell r="C42"/>
          <cell r="D42"/>
        </row>
        <row r="43">
          <cell r="B43"/>
          <cell r="C43"/>
          <cell r="D43"/>
        </row>
        <row r="44">
          <cell r="B44"/>
          <cell r="C44"/>
          <cell r="D44"/>
        </row>
        <row r="45">
          <cell r="B45"/>
          <cell r="C45"/>
          <cell r="D45"/>
        </row>
        <row r="46">
          <cell r="B46"/>
          <cell r="C46"/>
          <cell r="D46"/>
        </row>
        <row r="47">
          <cell r="B47"/>
          <cell r="C47"/>
          <cell r="D47"/>
        </row>
        <row r="48">
          <cell r="B48"/>
          <cell r="C48"/>
          <cell r="D48"/>
        </row>
        <row r="49">
          <cell r="B49"/>
          <cell r="C49"/>
          <cell r="D49"/>
        </row>
        <row r="50">
          <cell r="B50"/>
          <cell r="C50"/>
          <cell r="D50"/>
        </row>
        <row r="51">
          <cell r="B51"/>
          <cell r="C51"/>
          <cell r="D51"/>
        </row>
        <row r="52">
          <cell r="B52"/>
          <cell r="C52"/>
          <cell r="D52"/>
        </row>
        <row r="53">
          <cell r="B53"/>
          <cell r="C53"/>
          <cell r="D53"/>
        </row>
        <row r="54">
          <cell r="B54"/>
          <cell r="C54"/>
          <cell r="D54"/>
        </row>
        <row r="55">
          <cell r="B55"/>
          <cell r="C55"/>
          <cell r="D55"/>
        </row>
        <row r="56">
          <cell r="B56"/>
          <cell r="C56"/>
          <cell r="D56"/>
        </row>
        <row r="57">
          <cell r="B57"/>
          <cell r="C57"/>
          <cell r="D57"/>
        </row>
        <row r="58">
          <cell r="B58"/>
          <cell r="C58"/>
          <cell r="D58"/>
        </row>
        <row r="59">
          <cell r="B59"/>
          <cell r="C59"/>
          <cell r="D59"/>
        </row>
        <row r="60">
          <cell r="B60"/>
          <cell r="C60"/>
          <cell r="D60"/>
        </row>
        <row r="61">
          <cell r="B61"/>
          <cell r="C61"/>
          <cell r="D61"/>
        </row>
        <row r="62">
          <cell r="B62"/>
          <cell r="C62"/>
          <cell r="D62"/>
        </row>
        <row r="63">
          <cell r="B63"/>
          <cell r="C63"/>
          <cell r="D63"/>
        </row>
        <row r="64">
          <cell r="B64"/>
          <cell r="C64"/>
          <cell r="D64"/>
        </row>
        <row r="65">
          <cell r="B65"/>
          <cell r="C65"/>
          <cell r="D65"/>
        </row>
        <row r="66">
          <cell r="B66"/>
          <cell r="C66"/>
          <cell r="D66"/>
        </row>
        <row r="67">
          <cell r="B67"/>
          <cell r="C67"/>
          <cell r="D67"/>
        </row>
        <row r="68">
          <cell r="B68"/>
          <cell r="C68"/>
          <cell r="D68"/>
        </row>
        <row r="69">
          <cell r="B69"/>
          <cell r="C69"/>
          <cell r="D69"/>
        </row>
        <row r="70">
          <cell r="B70"/>
          <cell r="C70"/>
          <cell r="D70"/>
        </row>
        <row r="71">
          <cell r="B71"/>
          <cell r="C71"/>
          <cell r="D71"/>
        </row>
        <row r="72">
          <cell r="B72"/>
          <cell r="C72"/>
          <cell r="D72"/>
        </row>
        <row r="73">
          <cell r="B73"/>
          <cell r="C73"/>
          <cell r="D73"/>
        </row>
        <row r="74">
          <cell r="B74"/>
          <cell r="C74"/>
          <cell r="D74"/>
        </row>
      </sheetData>
      <sheetData sheetId="2"/>
      <sheetData sheetId="3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er Setting"/>
      <sheetName val="Data Enter"/>
      <sheetName val="Results"/>
      <sheetName val="Map"/>
      <sheetName val="Mixture and Sources "/>
    </sheetNames>
    <sheetDataSet>
      <sheetData sheetId="0">
        <row r="4">
          <cell r="H4" t="str">
            <v>EM-05</v>
          </cell>
          <cell r="K4">
            <v>15.27</v>
          </cell>
          <cell r="L4">
            <v>3.83</v>
          </cell>
        </row>
        <row r="5">
          <cell r="H5" t="str">
            <v>F-04</v>
          </cell>
          <cell r="K5">
            <v>23.38</v>
          </cell>
          <cell r="L5">
            <v>5.85</v>
          </cell>
        </row>
        <row r="6">
          <cell r="H6"/>
          <cell r="K6"/>
          <cell r="L6"/>
        </row>
        <row r="7">
          <cell r="H7"/>
          <cell r="K7"/>
          <cell r="L7"/>
        </row>
        <row r="8">
          <cell r="H8"/>
          <cell r="K8"/>
          <cell r="L8"/>
        </row>
        <row r="9">
          <cell r="H9"/>
          <cell r="K9"/>
          <cell r="L9"/>
        </row>
        <row r="10">
          <cell r="H10"/>
          <cell r="K10"/>
          <cell r="L10"/>
        </row>
        <row r="11">
          <cell r="H11"/>
          <cell r="K11"/>
          <cell r="L11"/>
        </row>
        <row r="12">
          <cell r="H12"/>
          <cell r="K12"/>
          <cell r="L12"/>
        </row>
        <row r="13">
          <cell r="H13"/>
          <cell r="K13"/>
          <cell r="L13"/>
        </row>
      </sheetData>
      <sheetData sheetId="1">
        <row r="3">
          <cell r="B3" t="str">
            <v>SW25-01</v>
          </cell>
          <cell r="C3">
            <v>21.35</v>
          </cell>
          <cell r="D3">
            <v>5.3</v>
          </cell>
        </row>
        <row r="4">
          <cell r="B4" t="str">
            <v>SW50-01</v>
          </cell>
          <cell r="C4">
            <v>19.29</v>
          </cell>
          <cell r="D4">
            <v>4.38</v>
          </cell>
        </row>
        <row r="5">
          <cell r="B5" t="str">
            <v>SW75-01</v>
          </cell>
          <cell r="C5">
            <v>17.36</v>
          </cell>
          <cell r="D5">
            <v>4.3600000000000003</v>
          </cell>
        </row>
        <row r="6">
          <cell r="B6"/>
          <cell r="C6"/>
          <cell r="D6"/>
        </row>
        <row r="7">
          <cell r="B7"/>
          <cell r="C7"/>
          <cell r="D7"/>
        </row>
        <row r="8">
          <cell r="B8"/>
          <cell r="C8"/>
          <cell r="D8"/>
        </row>
        <row r="9">
          <cell r="B9"/>
          <cell r="C9"/>
          <cell r="D9"/>
        </row>
        <row r="10">
          <cell r="B10"/>
          <cell r="C10"/>
          <cell r="D10"/>
        </row>
        <row r="11">
          <cell r="B11"/>
          <cell r="C11"/>
          <cell r="D11"/>
        </row>
        <row r="12">
          <cell r="B12"/>
          <cell r="C12"/>
          <cell r="D12"/>
        </row>
        <row r="13">
          <cell r="B13"/>
          <cell r="C13"/>
          <cell r="D13"/>
        </row>
        <row r="14">
          <cell r="B14"/>
          <cell r="C14"/>
          <cell r="D14"/>
        </row>
        <row r="15">
          <cell r="B15"/>
          <cell r="C15"/>
          <cell r="D15"/>
        </row>
        <row r="16">
          <cell r="B16"/>
          <cell r="C16"/>
          <cell r="D16"/>
        </row>
        <row r="17">
          <cell r="B17"/>
          <cell r="C17"/>
          <cell r="D17"/>
        </row>
        <row r="18">
          <cell r="B18"/>
          <cell r="C18"/>
          <cell r="D18"/>
        </row>
        <row r="19">
          <cell r="B19"/>
          <cell r="C19"/>
          <cell r="D19"/>
        </row>
        <row r="20">
          <cell r="B20"/>
          <cell r="C20"/>
          <cell r="D20"/>
        </row>
        <row r="21">
          <cell r="B21"/>
          <cell r="C21"/>
          <cell r="D21"/>
        </row>
        <row r="22">
          <cell r="B22"/>
          <cell r="C22"/>
          <cell r="D22"/>
        </row>
        <row r="23">
          <cell r="B23"/>
          <cell r="C23"/>
          <cell r="D23"/>
        </row>
        <row r="24">
          <cell r="B24"/>
          <cell r="C24"/>
          <cell r="D24"/>
        </row>
        <row r="25">
          <cell r="B25"/>
          <cell r="C25"/>
          <cell r="D25"/>
        </row>
        <row r="26">
          <cell r="B26"/>
          <cell r="C26"/>
          <cell r="D26"/>
        </row>
        <row r="27">
          <cell r="B27"/>
          <cell r="C27"/>
          <cell r="D27"/>
        </row>
        <row r="28">
          <cell r="B28"/>
          <cell r="C28"/>
          <cell r="D28"/>
        </row>
        <row r="29">
          <cell r="B29"/>
          <cell r="C29"/>
          <cell r="D29"/>
        </row>
        <row r="30">
          <cell r="B30"/>
          <cell r="C30"/>
          <cell r="D30"/>
        </row>
        <row r="31">
          <cell r="B31"/>
          <cell r="C31"/>
          <cell r="D31"/>
        </row>
        <row r="32">
          <cell r="B32"/>
          <cell r="C32"/>
          <cell r="D32"/>
        </row>
        <row r="33">
          <cell r="B33"/>
          <cell r="C33"/>
          <cell r="D33"/>
        </row>
        <row r="34">
          <cell r="B34"/>
          <cell r="C34"/>
          <cell r="D34"/>
        </row>
        <row r="35">
          <cell r="B35"/>
          <cell r="C35"/>
          <cell r="D35"/>
        </row>
        <row r="36">
          <cell r="B36"/>
          <cell r="C36"/>
          <cell r="D36"/>
        </row>
        <row r="37">
          <cell r="B37"/>
          <cell r="C37"/>
          <cell r="D37"/>
        </row>
        <row r="38">
          <cell r="B38"/>
          <cell r="C38"/>
          <cell r="D38"/>
        </row>
        <row r="39">
          <cell r="B39"/>
          <cell r="C39"/>
          <cell r="D39"/>
        </row>
        <row r="40">
          <cell r="B40"/>
          <cell r="C40"/>
          <cell r="D40"/>
        </row>
        <row r="41">
          <cell r="B41"/>
          <cell r="C41"/>
          <cell r="D41"/>
        </row>
        <row r="42">
          <cell r="B42"/>
          <cell r="C42"/>
          <cell r="D42"/>
        </row>
        <row r="43">
          <cell r="B43"/>
          <cell r="C43"/>
          <cell r="D43"/>
        </row>
        <row r="44">
          <cell r="B44"/>
          <cell r="C44"/>
          <cell r="D44"/>
        </row>
        <row r="45">
          <cell r="B45"/>
          <cell r="C45"/>
          <cell r="D45"/>
        </row>
        <row r="46">
          <cell r="B46"/>
          <cell r="C46"/>
          <cell r="D46"/>
        </row>
        <row r="47">
          <cell r="B47"/>
          <cell r="C47"/>
          <cell r="D47"/>
        </row>
        <row r="48">
          <cell r="B48"/>
          <cell r="C48"/>
          <cell r="D48"/>
        </row>
        <row r="49">
          <cell r="B49"/>
          <cell r="C49"/>
          <cell r="D49"/>
        </row>
        <row r="50">
          <cell r="B50"/>
          <cell r="C50"/>
          <cell r="D50"/>
        </row>
        <row r="51">
          <cell r="B51"/>
          <cell r="C51"/>
          <cell r="D51"/>
        </row>
        <row r="52">
          <cell r="B52"/>
          <cell r="C52"/>
          <cell r="D52"/>
        </row>
        <row r="53">
          <cell r="B53"/>
          <cell r="C53"/>
          <cell r="D53"/>
        </row>
        <row r="54">
          <cell r="B54"/>
          <cell r="C54"/>
          <cell r="D54"/>
        </row>
        <row r="55">
          <cell r="B55"/>
          <cell r="C55"/>
          <cell r="D55"/>
        </row>
        <row r="56">
          <cell r="B56"/>
          <cell r="C56"/>
          <cell r="D56"/>
        </row>
        <row r="57">
          <cell r="B57"/>
          <cell r="C57"/>
          <cell r="D57"/>
        </row>
        <row r="58">
          <cell r="B58"/>
          <cell r="C58"/>
          <cell r="D58"/>
        </row>
        <row r="59">
          <cell r="B59"/>
          <cell r="C59"/>
          <cell r="D59"/>
        </row>
        <row r="60">
          <cell r="B60"/>
          <cell r="C60"/>
          <cell r="D60"/>
        </row>
        <row r="61">
          <cell r="B61"/>
          <cell r="C61"/>
          <cell r="D61"/>
        </row>
        <row r="62">
          <cell r="B62"/>
          <cell r="C62"/>
          <cell r="D62"/>
        </row>
        <row r="63">
          <cell r="B63"/>
          <cell r="C63"/>
          <cell r="D63"/>
        </row>
        <row r="64">
          <cell r="B64"/>
          <cell r="C64"/>
          <cell r="D64"/>
        </row>
        <row r="65">
          <cell r="B65"/>
          <cell r="C65"/>
          <cell r="D65"/>
        </row>
        <row r="66">
          <cell r="B66"/>
          <cell r="C66"/>
          <cell r="D66"/>
        </row>
        <row r="67">
          <cell r="B67"/>
          <cell r="C67"/>
          <cell r="D67"/>
        </row>
        <row r="68">
          <cell r="B68"/>
          <cell r="C68"/>
          <cell r="D68"/>
        </row>
        <row r="69">
          <cell r="B69"/>
          <cell r="C69"/>
          <cell r="D69"/>
        </row>
        <row r="70">
          <cell r="B70"/>
          <cell r="C70"/>
          <cell r="D70"/>
        </row>
        <row r="71">
          <cell r="B71"/>
          <cell r="C71"/>
          <cell r="D71"/>
        </row>
        <row r="72">
          <cell r="B72"/>
          <cell r="C72"/>
          <cell r="D72"/>
        </row>
        <row r="73">
          <cell r="B73"/>
          <cell r="C73"/>
          <cell r="D73"/>
        </row>
        <row r="74">
          <cell r="B74"/>
          <cell r="C74"/>
          <cell r="D74"/>
        </row>
      </sheetData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63"/>
  <sheetViews>
    <sheetView tabSelected="1" topLeftCell="A44" zoomScale="85" zoomScaleNormal="85" workbookViewId="0">
      <selection activeCell="M72" sqref="M72"/>
    </sheetView>
  </sheetViews>
  <sheetFormatPr defaultColWidth="9" defaultRowHeight="16.5" x14ac:dyDescent="0.3"/>
  <cols>
    <col min="1" max="1" width="11.5" style="5" bestFit="1" customWidth="1"/>
    <col min="2" max="2" width="27.125" style="5" bestFit="1" customWidth="1"/>
    <col min="3" max="3" width="10.25" style="5" bestFit="1" customWidth="1"/>
    <col min="4" max="4" width="10.25" style="5" customWidth="1"/>
    <col min="5" max="5" width="12.25" style="5" customWidth="1"/>
    <col min="6" max="6" width="12" style="5" customWidth="1"/>
    <col min="7" max="7" width="9" style="5"/>
    <col min="8" max="14" width="9" style="17"/>
    <col min="15" max="15" width="9" style="5"/>
    <col min="16" max="17" width="12" style="5" bestFit="1" customWidth="1"/>
    <col min="18" max="16384" width="9" style="5"/>
  </cols>
  <sheetData>
    <row r="1" spans="1:19" x14ac:dyDescent="0.3">
      <c r="A1" s="37">
        <v>46128</v>
      </c>
    </row>
    <row r="2" spans="1:19" ht="30.75" customHeight="1" x14ac:dyDescent="0.3">
      <c r="A2" s="1" t="s">
        <v>0</v>
      </c>
      <c r="B2" s="2" t="s">
        <v>1</v>
      </c>
      <c r="C2" s="3" t="s">
        <v>12</v>
      </c>
      <c r="D2" s="3" t="s">
        <v>33</v>
      </c>
      <c r="E2" s="3" t="s">
        <v>2</v>
      </c>
      <c r="F2" s="4" t="s">
        <v>3</v>
      </c>
      <c r="G2" s="4" t="s">
        <v>3</v>
      </c>
      <c r="H2" s="18"/>
      <c r="Q2" s="6"/>
    </row>
    <row r="3" spans="1:19" ht="20.100000000000001" customHeight="1" x14ac:dyDescent="0.3">
      <c r="A3" s="7" t="s">
        <v>7</v>
      </c>
      <c r="B3" s="8" t="s">
        <v>8</v>
      </c>
      <c r="C3" s="8">
        <v>1.042</v>
      </c>
      <c r="D3" s="8"/>
      <c r="E3" s="9">
        <v>15.17</v>
      </c>
      <c r="F3" s="9"/>
      <c r="G3" s="9">
        <v>-3.82</v>
      </c>
      <c r="H3" s="19" t="s">
        <v>20</v>
      </c>
      <c r="I3" s="19"/>
      <c r="J3" s="19"/>
      <c r="L3" s="19" t="s">
        <v>16</v>
      </c>
      <c r="M3" s="19"/>
      <c r="N3" s="19"/>
    </row>
    <row r="4" spans="1:19" ht="20.100000000000001" customHeight="1" x14ac:dyDescent="0.3">
      <c r="A4" s="7" t="s">
        <v>9</v>
      </c>
      <c r="B4" s="8" t="s">
        <v>10</v>
      </c>
      <c r="C4" s="8" t="s">
        <v>11</v>
      </c>
      <c r="D4" s="8"/>
      <c r="E4" s="9">
        <v>-6.85</v>
      </c>
      <c r="F4" s="9"/>
      <c r="G4" s="9">
        <v>11.02</v>
      </c>
      <c r="H4" s="20" t="s">
        <v>13</v>
      </c>
      <c r="I4" s="20" t="s">
        <v>14</v>
      </c>
      <c r="J4" s="20" t="s">
        <v>15</v>
      </c>
      <c r="L4" s="20" t="s">
        <v>13</v>
      </c>
      <c r="M4" s="20" t="s">
        <v>14</v>
      </c>
      <c r="N4" s="19" t="s">
        <v>15</v>
      </c>
    </row>
    <row r="5" spans="1:19" ht="20.100000000000001" customHeight="1" x14ac:dyDescent="0.3">
      <c r="A5" s="7" t="s">
        <v>4</v>
      </c>
      <c r="B5" s="8" t="s">
        <v>17</v>
      </c>
      <c r="C5" s="8"/>
      <c r="D5" s="8"/>
      <c r="E5" s="9">
        <v>15.13</v>
      </c>
      <c r="F5" s="9">
        <v>-3.24</v>
      </c>
      <c r="G5" s="9"/>
      <c r="H5" s="19">
        <v>96.78</v>
      </c>
      <c r="I5" s="19">
        <v>3.22</v>
      </c>
      <c r="J5" s="19">
        <f>SUM(H5:I5)</f>
        <v>100</v>
      </c>
      <c r="L5" s="19">
        <v>92.7</v>
      </c>
      <c r="M5" s="19">
        <v>7.3</v>
      </c>
      <c r="N5" s="19">
        <f>SUM(L5:M5)</f>
        <v>100</v>
      </c>
    </row>
    <row r="6" spans="1:19" ht="20.100000000000001" customHeight="1" x14ac:dyDescent="0.3">
      <c r="A6" s="7" t="s">
        <v>5</v>
      </c>
      <c r="B6" s="8" t="s">
        <v>18</v>
      </c>
      <c r="C6" s="8"/>
      <c r="D6" s="8"/>
      <c r="E6" s="9">
        <v>13.14</v>
      </c>
      <c r="F6" s="9">
        <v>-1.33</v>
      </c>
      <c r="G6" s="9"/>
      <c r="H6" s="19">
        <v>83.95</v>
      </c>
      <c r="I6" s="19">
        <v>16.05</v>
      </c>
      <c r="J6" s="19">
        <f t="shared" ref="J6:J7" si="0">SUM(H6:I6)</f>
        <v>100</v>
      </c>
      <c r="L6" s="19">
        <v>89.3</v>
      </c>
      <c r="M6" s="19">
        <v>10.7</v>
      </c>
      <c r="N6" s="19">
        <f t="shared" ref="N6:N7" si="1">SUM(L6:M6)</f>
        <v>100</v>
      </c>
    </row>
    <row r="7" spans="1:19" ht="20.100000000000001" customHeight="1" x14ac:dyDescent="0.3">
      <c r="A7" s="7" t="s">
        <v>6</v>
      </c>
      <c r="B7" s="8" t="s">
        <v>19</v>
      </c>
      <c r="C7" s="8"/>
      <c r="D7" s="8"/>
      <c r="E7" s="9">
        <v>11.01</v>
      </c>
      <c r="F7" s="9">
        <v>1.89</v>
      </c>
      <c r="G7" s="9"/>
      <c r="H7" s="39">
        <v>65.36</v>
      </c>
      <c r="I7" s="39">
        <v>34.64</v>
      </c>
      <c r="J7" s="39">
        <f t="shared" si="0"/>
        <v>100</v>
      </c>
      <c r="L7" s="39">
        <v>23.5</v>
      </c>
      <c r="M7" s="39">
        <v>76</v>
      </c>
      <c r="N7" s="39">
        <f t="shared" si="1"/>
        <v>99.5</v>
      </c>
      <c r="R7" s="5" t="s">
        <v>52</v>
      </c>
    </row>
    <row r="8" spans="1:19" x14ac:dyDescent="0.3">
      <c r="A8" s="13"/>
      <c r="B8" s="13"/>
      <c r="C8" s="13"/>
      <c r="D8" s="13"/>
      <c r="E8" s="14"/>
      <c r="F8" s="14"/>
      <c r="R8" s="5">
        <v>0.25</v>
      </c>
    </row>
    <row r="9" spans="1:19" x14ac:dyDescent="0.3">
      <c r="A9" s="37">
        <v>46135</v>
      </c>
      <c r="B9" s="13"/>
      <c r="C9" s="13"/>
      <c r="D9" s="13"/>
      <c r="E9" s="15"/>
      <c r="F9" s="15"/>
      <c r="R9" s="5">
        <v>0.5</v>
      </c>
    </row>
    <row r="10" spans="1:19" ht="27" x14ac:dyDescent="0.3">
      <c r="A10" s="1" t="s">
        <v>0</v>
      </c>
      <c r="B10" s="2" t="s">
        <v>1</v>
      </c>
      <c r="C10" s="3" t="s">
        <v>12</v>
      </c>
      <c r="D10" s="3" t="s">
        <v>21</v>
      </c>
      <c r="E10" s="3" t="s">
        <v>2</v>
      </c>
      <c r="F10" s="4" t="s">
        <v>3</v>
      </c>
      <c r="G10" s="4" t="s">
        <v>3</v>
      </c>
      <c r="H10" s="18"/>
      <c r="R10" s="5">
        <v>0.75</v>
      </c>
    </row>
    <row r="11" spans="1:19" x14ac:dyDescent="0.3">
      <c r="A11" s="7" t="s">
        <v>7</v>
      </c>
      <c r="B11" s="8" t="s">
        <v>8</v>
      </c>
      <c r="C11" s="42">
        <v>1.042</v>
      </c>
      <c r="D11" s="8"/>
      <c r="E11" s="9">
        <v>15.17</v>
      </c>
      <c r="F11" s="9"/>
      <c r="G11" s="9">
        <v>-3.82</v>
      </c>
      <c r="H11" s="19" t="s">
        <v>22</v>
      </c>
      <c r="L11" s="17" t="s">
        <v>23</v>
      </c>
      <c r="Q11" s="5" t="s">
        <v>53</v>
      </c>
    </row>
    <row r="12" spans="1:19" x14ac:dyDescent="0.3">
      <c r="A12" s="7" t="s">
        <v>24</v>
      </c>
      <c r="B12" s="8" t="s">
        <v>25</v>
      </c>
      <c r="C12" s="42">
        <v>0.65600000000000003</v>
      </c>
      <c r="D12" s="8">
        <v>46</v>
      </c>
      <c r="E12" s="9">
        <v>-24.85</v>
      </c>
      <c r="F12" s="9"/>
      <c r="G12" s="9">
        <v>15.43</v>
      </c>
      <c r="H12" s="20" t="s">
        <v>13</v>
      </c>
      <c r="I12" s="20" t="s">
        <v>14</v>
      </c>
      <c r="J12" s="17" t="s">
        <v>26</v>
      </c>
      <c r="L12" s="20" t="s">
        <v>13</v>
      </c>
      <c r="M12" s="20" t="s">
        <v>14</v>
      </c>
      <c r="N12" s="17" t="s">
        <v>26</v>
      </c>
      <c r="Q12" s="1"/>
      <c r="R12" s="2" t="s">
        <v>54</v>
      </c>
      <c r="S12" s="3" t="s">
        <v>55</v>
      </c>
    </row>
    <row r="13" spans="1:19" x14ac:dyDescent="0.3">
      <c r="A13" s="7" t="s">
        <v>27</v>
      </c>
      <c r="B13" s="8" t="s">
        <v>28</v>
      </c>
      <c r="C13" s="8"/>
      <c r="D13" s="8"/>
      <c r="E13" s="9">
        <v>-3.54</v>
      </c>
      <c r="F13" s="9">
        <v>6.94</v>
      </c>
      <c r="G13" s="9"/>
      <c r="H13" s="21">
        <v>51.54</v>
      </c>
      <c r="I13" s="21">
        <v>48.46</v>
      </c>
      <c r="J13" s="17">
        <f>SUM(H13:I13)</f>
        <v>100</v>
      </c>
      <c r="L13" s="17">
        <v>51.2</v>
      </c>
      <c r="M13" s="17">
        <v>48.8</v>
      </c>
      <c r="N13" s="17">
        <f>SUM(L13:M13)</f>
        <v>100</v>
      </c>
      <c r="Q13" s="7" t="s">
        <v>27</v>
      </c>
      <c r="R13" s="41">
        <f>((R8*$C$11*$E$11)+(R10*$C$12*$E$12))/((R8*$C$11)+(R10*$C$12))</f>
        <v>-10.995900332225917</v>
      </c>
      <c r="S13" s="41">
        <f>((R8*$C$11*$G$11)+(R10*$C$12*$G$12))/((R8*$C$11)+(R10*$C$12))</f>
        <v>8.7660465116279056</v>
      </c>
    </row>
    <row r="14" spans="1:19" x14ac:dyDescent="0.3">
      <c r="A14" s="7" t="s">
        <v>29</v>
      </c>
      <c r="B14" s="8" t="s">
        <v>30</v>
      </c>
      <c r="C14" s="8"/>
      <c r="D14" s="8"/>
      <c r="E14" s="9">
        <v>4.75</v>
      </c>
      <c r="F14" s="9">
        <v>1.87</v>
      </c>
      <c r="G14" s="9"/>
      <c r="H14" s="22">
        <v>72.02</v>
      </c>
      <c r="I14" s="22">
        <v>27.98</v>
      </c>
      <c r="J14" s="17">
        <f t="shared" ref="J14:J15" si="2">SUM(H14:I14)</f>
        <v>100</v>
      </c>
      <c r="L14" s="17">
        <v>72.599999999999994</v>
      </c>
      <c r="M14" s="17">
        <v>27.4</v>
      </c>
      <c r="N14" s="17">
        <f t="shared" ref="N14:N15" si="3">SUM(L14:M14)</f>
        <v>100</v>
      </c>
      <c r="Q14" s="7" t="s">
        <v>29</v>
      </c>
      <c r="R14" s="41">
        <f>((R9*$C$11*$E$11)+(R9*$C$12*$E$12))/((R9*$C$11)+(R9*$C$12))</f>
        <v>-0.29120141342756189</v>
      </c>
      <c r="S14" s="41">
        <f>((R9*$C$11*$G$11)+(R9*$C$12*$G$12))/((R9*$C$11)+(R9*$C$12))</f>
        <v>3.6169846878680807</v>
      </c>
    </row>
    <row r="15" spans="1:19" x14ac:dyDescent="0.3">
      <c r="A15" s="10" t="s">
        <v>31</v>
      </c>
      <c r="B15" s="11" t="s">
        <v>32</v>
      </c>
      <c r="C15" s="11"/>
      <c r="D15" s="11"/>
      <c r="E15" s="12">
        <v>11.43</v>
      </c>
      <c r="F15" s="12">
        <v>-2.67</v>
      </c>
      <c r="G15" s="12"/>
      <c r="H15" s="22">
        <v>92.93</v>
      </c>
      <c r="I15" s="22">
        <v>7.07</v>
      </c>
      <c r="J15" s="17">
        <f t="shared" si="2"/>
        <v>100</v>
      </c>
      <c r="L15" s="17">
        <v>91</v>
      </c>
      <c r="M15" s="17">
        <v>9</v>
      </c>
      <c r="N15" s="17">
        <f t="shared" si="3"/>
        <v>100</v>
      </c>
      <c r="Q15" s="7" t="s">
        <v>31</v>
      </c>
      <c r="R15" s="41">
        <f>((R10*$C$11*$E$11)+(R8*$C$12*$E$12))/((R10*$C$11)+(R8*$C$12))</f>
        <v>8.2284029613960872</v>
      </c>
      <c r="S15" s="41">
        <f>((R10*$C$11*$G$11)+(R8*$C$12*$G$12))/((R10*$C$11)+(R8*$C$12))</f>
        <v>-0.48102591221575897</v>
      </c>
    </row>
    <row r="16" spans="1:19" x14ac:dyDescent="0.3">
      <c r="A16" s="13"/>
      <c r="B16" s="13" t="s">
        <v>34</v>
      </c>
      <c r="C16" s="13"/>
      <c r="D16" s="13"/>
      <c r="E16" s="15"/>
      <c r="F16" s="15"/>
    </row>
    <row r="17" spans="1:14" x14ac:dyDescent="0.3">
      <c r="A17" s="13"/>
      <c r="B17" s="13"/>
      <c r="C17" s="13"/>
      <c r="D17" s="13"/>
      <c r="E17" s="15"/>
      <c r="F17" s="15"/>
    </row>
    <row r="18" spans="1:14" x14ac:dyDescent="0.3">
      <c r="A18" s="37">
        <v>46135</v>
      </c>
    </row>
    <row r="19" spans="1:14" ht="27" x14ac:dyDescent="0.3">
      <c r="A19" s="1" t="s">
        <v>0</v>
      </c>
      <c r="B19" s="2" t="s">
        <v>1</v>
      </c>
      <c r="C19" s="3" t="s">
        <v>12</v>
      </c>
      <c r="D19" s="3" t="s">
        <v>21</v>
      </c>
      <c r="E19" s="3" t="s">
        <v>2</v>
      </c>
      <c r="F19" s="4" t="s">
        <v>3</v>
      </c>
      <c r="G19" s="4" t="s">
        <v>3</v>
      </c>
      <c r="H19" s="18"/>
    </row>
    <row r="20" spans="1:14" x14ac:dyDescent="0.3">
      <c r="A20" s="7" t="s">
        <v>7</v>
      </c>
      <c r="B20" s="8" t="s">
        <v>8</v>
      </c>
      <c r="C20" s="16">
        <v>1.042</v>
      </c>
      <c r="D20" s="8"/>
      <c r="E20" s="9">
        <v>15.17</v>
      </c>
      <c r="F20" s="9"/>
      <c r="G20" s="9">
        <v>-3.82</v>
      </c>
      <c r="H20" s="19" t="s">
        <v>35</v>
      </c>
      <c r="L20" s="17" t="s">
        <v>23</v>
      </c>
    </row>
    <row r="21" spans="1:14" x14ac:dyDescent="0.3">
      <c r="A21" s="7" t="s">
        <v>24</v>
      </c>
      <c r="B21" s="8" t="s">
        <v>25</v>
      </c>
      <c r="C21" s="16">
        <v>0.65600000000000003</v>
      </c>
      <c r="D21" s="8">
        <v>46</v>
      </c>
      <c r="E21" s="9">
        <v>-24.85</v>
      </c>
      <c r="F21" s="9"/>
      <c r="G21" s="9">
        <v>15.43</v>
      </c>
      <c r="H21" s="20" t="s">
        <v>13</v>
      </c>
      <c r="I21" s="20" t="s">
        <v>14</v>
      </c>
      <c r="J21" s="17" t="s">
        <v>15</v>
      </c>
      <c r="L21" s="20" t="s">
        <v>13</v>
      </c>
      <c r="M21" s="20" t="s">
        <v>14</v>
      </c>
      <c r="N21" s="17" t="s">
        <v>26</v>
      </c>
    </row>
    <row r="22" spans="1:14" x14ac:dyDescent="0.3">
      <c r="A22" s="7" t="s">
        <v>36</v>
      </c>
      <c r="B22" s="8" t="s">
        <v>28</v>
      </c>
      <c r="C22" s="8"/>
      <c r="D22" s="8"/>
      <c r="E22" s="9">
        <v>-5.35</v>
      </c>
      <c r="F22" s="9">
        <v>10.119999999999999</v>
      </c>
      <c r="G22" s="9"/>
      <c r="H22" s="19">
        <v>44.63</v>
      </c>
      <c r="I22" s="19">
        <v>55.37</v>
      </c>
      <c r="J22" s="17">
        <f>SUM(H22:I22)</f>
        <v>100</v>
      </c>
      <c r="L22" s="17">
        <v>45</v>
      </c>
      <c r="M22" s="17">
        <v>54.5</v>
      </c>
      <c r="N22" s="17">
        <f>SUM(L22:M22)</f>
        <v>99.5</v>
      </c>
    </row>
    <row r="23" spans="1:14" x14ac:dyDescent="0.3">
      <c r="A23" s="7" t="s">
        <v>37</v>
      </c>
      <c r="B23" s="8" t="s">
        <v>38</v>
      </c>
      <c r="C23" s="8"/>
      <c r="D23" s="8"/>
      <c r="E23" s="9">
        <v>3.63</v>
      </c>
      <c r="F23" s="9">
        <v>4.0599999999999996</v>
      </c>
      <c r="G23" s="9"/>
      <c r="H23" s="19">
        <v>67.569999999999993</v>
      </c>
      <c r="I23" s="19">
        <v>32.43</v>
      </c>
      <c r="J23" s="17">
        <f t="shared" ref="J23:J24" si="4">SUM(H23:I23)</f>
        <v>100</v>
      </c>
      <c r="L23" s="17">
        <v>67.099999999999994</v>
      </c>
      <c r="M23" s="17">
        <v>32.9</v>
      </c>
      <c r="N23" s="17">
        <f t="shared" ref="N23:N24" si="5">SUM(L23:M23)</f>
        <v>100</v>
      </c>
    </row>
    <row r="24" spans="1:14" x14ac:dyDescent="0.3">
      <c r="A24" s="10" t="s">
        <v>39</v>
      </c>
      <c r="B24" s="11" t="s">
        <v>40</v>
      </c>
      <c r="C24" s="11"/>
      <c r="D24" s="11"/>
      <c r="E24" s="12">
        <v>11</v>
      </c>
      <c r="F24" s="12">
        <v>-0.19</v>
      </c>
      <c r="G24" s="12"/>
      <c r="H24" s="19">
        <v>81.38</v>
      </c>
      <c r="I24" s="19">
        <v>18.62</v>
      </c>
      <c r="J24" s="17">
        <f t="shared" si="4"/>
        <v>100</v>
      </c>
      <c r="L24" s="17">
        <v>85</v>
      </c>
      <c r="M24" s="17">
        <v>14.5</v>
      </c>
      <c r="N24" s="17">
        <f t="shared" si="5"/>
        <v>99.5</v>
      </c>
    </row>
    <row r="25" spans="1:14" x14ac:dyDescent="0.3">
      <c r="B25" s="5" t="s">
        <v>41</v>
      </c>
    </row>
    <row r="27" spans="1:14" x14ac:dyDescent="0.3">
      <c r="A27" s="37">
        <v>46138</v>
      </c>
    </row>
    <row r="28" spans="1:14" ht="27" x14ac:dyDescent="0.3">
      <c r="A28" s="1" t="s">
        <v>0</v>
      </c>
      <c r="B28" s="2" t="s">
        <v>1</v>
      </c>
      <c r="C28" s="3" t="s">
        <v>12</v>
      </c>
      <c r="D28" s="3" t="s">
        <v>21</v>
      </c>
      <c r="E28" s="3" t="s">
        <v>2</v>
      </c>
      <c r="F28" s="4" t="s">
        <v>3</v>
      </c>
      <c r="G28" s="4" t="s">
        <v>3</v>
      </c>
      <c r="H28" s="18"/>
    </row>
    <row r="29" spans="1:14" x14ac:dyDescent="0.3">
      <c r="A29" s="7" t="s">
        <v>7</v>
      </c>
      <c r="B29" s="8" t="s">
        <v>8</v>
      </c>
      <c r="C29" s="16">
        <v>1.042</v>
      </c>
      <c r="D29" s="8"/>
      <c r="E29" s="9">
        <v>15.17</v>
      </c>
      <c r="F29" s="9"/>
      <c r="G29" s="9">
        <v>-3.82</v>
      </c>
      <c r="H29" s="19" t="s">
        <v>35</v>
      </c>
      <c r="L29" s="17" t="s">
        <v>23</v>
      </c>
    </row>
    <row r="30" spans="1:14" x14ac:dyDescent="0.3">
      <c r="A30" s="7" t="s">
        <v>24</v>
      </c>
      <c r="B30" s="8" t="s">
        <v>25</v>
      </c>
      <c r="C30" s="16">
        <v>0.65600000000000003</v>
      </c>
      <c r="D30" s="8">
        <v>46</v>
      </c>
      <c r="E30" s="9">
        <v>-24.85</v>
      </c>
      <c r="F30" s="9"/>
      <c r="G30" s="9">
        <v>15.43</v>
      </c>
      <c r="H30" s="20" t="s">
        <v>13</v>
      </c>
      <c r="I30" s="20" t="s">
        <v>14</v>
      </c>
      <c r="J30" s="17" t="s">
        <v>15</v>
      </c>
      <c r="L30" s="20" t="s">
        <v>13</v>
      </c>
      <c r="M30" s="20" t="s">
        <v>14</v>
      </c>
      <c r="N30" s="17" t="s">
        <v>26</v>
      </c>
    </row>
    <row r="31" spans="1:14" x14ac:dyDescent="0.3">
      <c r="A31" s="7" t="s">
        <v>36</v>
      </c>
      <c r="B31" s="8" t="s">
        <v>28</v>
      </c>
      <c r="C31" s="8"/>
      <c r="D31" s="8"/>
      <c r="E31" s="9">
        <v>-14.9</v>
      </c>
      <c r="F31" s="9">
        <v>10.6</v>
      </c>
      <c r="G31" s="9"/>
      <c r="H31" s="38">
        <v>24.91</v>
      </c>
      <c r="I31" s="38">
        <v>75.09</v>
      </c>
      <c r="J31" s="17">
        <f>SUM(H31:I31)</f>
        <v>100</v>
      </c>
      <c r="L31" s="17">
        <v>25.6</v>
      </c>
      <c r="M31" s="17">
        <v>74.400000000000006</v>
      </c>
      <c r="N31" s="17">
        <f>SUM(L31:M31)</f>
        <v>100</v>
      </c>
    </row>
    <row r="32" spans="1:14" x14ac:dyDescent="0.3">
      <c r="A32" s="7" t="s">
        <v>37</v>
      </c>
      <c r="B32" s="8" t="s">
        <v>38</v>
      </c>
      <c r="C32" s="8"/>
      <c r="D32" s="8"/>
      <c r="E32" s="9">
        <v>-4.9000000000000004</v>
      </c>
      <c r="F32" s="9">
        <v>5.8</v>
      </c>
      <c r="G32" s="9"/>
      <c r="H32" s="38">
        <v>49.85</v>
      </c>
      <c r="I32" s="38">
        <v>50.15</v>
      </c>
      <c r="J32" s="17">
        <f t="shared" ref="J32:J33" si="6">SUM(H32:I32)</f>
        <v>100</v>
      </c>
      <c r="L32" s="17">
        <v>49.8</v>
      </c>
      <c r="M32" s="17">
        <v>50.2</v>
      </c>
      <c r="N32" s="17">
        <f t="shared" ref="N32:N33" si="7">SUM(L32:M32)</f>
        <v>100</v>
      </c>
    </row>
    <row r="33" spans="1:14" x14ac:dyDescent="0.3">
      <c r="A33" s="10" t="s">
        <v>39</v>
      </c>
      <c r="B33" s="11" t="s">
        <v>40</v>
      </c>
      <c r="C33" s="11"/>
      <c r="D33" s="11"/>
      <c r="E33" s="12">
        <v>5.2</v>
      </c>
      <c r="F33" s="12">
        <v>1</v>
      </c>
      <c r="G33" s="12"/>
      <c r="H33" s="38">
        <v>74.959999999999994</v>
      </c>
      <c r="I33" s="38">
        <v>25.04</v>
      </c>
      <c r="J33" s="17">
        <f t="shared" si="6"/>
        <v>100</v>
      </c>
      <c r="L33" s="17">
        <v>74.900000000000006</v>
      </c>
      <c r="M33" s="17">
        <v>25.1</v>
      </c>
      <c r="N33" s="17">
        <f t="shared" si="7"/>
        <v>100</v>
      </c>
    </row>
    <row r="34" spans="1:14" x14ac:dyDescent="0.3">
      <c r="B34" s="5" t="s">
        <v>42</v>
      </c>
    </row>
    <row r="35" spans="1:14" x14ac:dyDescent="0.3">
      <c r="A35" s="13"/>
      <c r="B35" s="13"/>
      <c r="C35" s="13"/>
      <c r="D35" s="13"/>
      <c r="E35" s="15"/>
      <c r="F35" s="15"/>
    </row>
    <row r="36" spans="1:14" x14ac:dyDescent="0.3">
      <c r="A36" s="37">
        <v>46150</v>
      </c>
    </row>
    <row r="37" spans="1:14" ht="27" x14ac:dyDescent="0.3">
      <c r="A37" s="1" t="s">
        <v>0</v>
      </c>
      <c r="B37" s="2" t="s">
        <v>1</v>
      </c>
      <c r="C37" s="3" t="s">
        <v>12</v>
      </c>
      <c r="D37" s="3" t="s">
        <v>21</v>
      </c>
      <c r="E37" s="3" t="s">
        <v>2</v>
      </c>
      <c r="F37" s="4" t="s">
        <v>3</v>
      </c>
      <c r="G37" s="4" t="s">
        <v>3</v>
      </c>
      <c r="H37" s="18"/>
    </row>
    <row r="38" spans="1:14" x14ac:dyDescent="0.3">
      <c r="A38" s="7" t="s">
        <v>7</v>
      </c>
      <c r="B38" s="8" t="s">
        <v>8</v>
      </c>
      <c r="C38" s="16">
        <v>1.042</v>
      </c>
      <c r="D38" s="8"/>
      <c r="E38" s="9">
        <v>15.27</v>
      </c>
      <c r="F38" s="9"/>
      <c r="G38" s="9">
        <v>3.83</v>
      </c>
      <c r="H38" s="19" t="s">
        <v>35</v>
      </c>
      <c r="L38" s="17" t="s">
        <v>23</v>
      </c>
    </row>
    <row r="39" spans="1:14" x14ac:dyDescent="0.3">
      <c r="A39" s="7" t="s">
        <v>49</v>
      </c>
      <c r="B39" s="8" t="s">
        <v>45</v>
      </c>
      <c r="C39" s="16"/>
      <c r="D39" s="8"/>
      <c r="E39" s="9">
        <v>23.38</v>
      </c>
      <c r="F39" s="9"/>
      <c r="G39" s="9">
        <v>5.85</v>
      </c>
      <c r="H39" s="20" t="s">
        <v>13</v>
      </c>
      <c r="I39" s="20" t="s">
        <v>50</v>
      </c>
      <c r="J39" s="17" t="s">
        <v>15</v>
      </c>
      <c r="L39" s="20" t="s">
        <v>13</v>
      </c>
      <c r="M39" s="20" t="s">
        <v>50</v>
      </c>
      <c r="N39" s="17" t="s">
        <v>26</v>
      </c>
    </row>
    <row r="40" spans="1:14" x14ac:dyDescent="0.3">
      <c r="A40" s="7" t="s">
        <v>36</v>
      </c>
      <c r="B40" s="8" t="s">
        <v>46</v>
      </c>
      <c r="C40" s="8"/>
      <c r="D40" s="8"/>
      <c r="E40" s="9">
        <v>21.35</v>
      </c>
      <c r="F40" s="9">
        <v>3.51</v>
      </c>
      <c r="G40" s="9"/>
      <c r="H40" s="38">
        <v>79.819999999999993</v>
      </c>
      <c r="I40" s="38">
        <v>20.170000000000002</v>
      </c>
      <c r="J40" s="17">
        <f>SUM(H40:I40)</f>
        <v>99.99</v>
      </c>
      <c r="N40" s="17">
        <f>SUM(L40:M40)</f>
        <v>0</v>
      </c>
    </row>
    <row r="41" spans="1:14" x14ac:dyDescent="0.3">
      <c r="A41" s="7" t="s">
        <v>37</v>
      </c>
      <c r="B41" s="8" t="s">
        <v>47</v>
      </c>
      <c r="C41" s="8"/>
      <c r="D41" s="8"/>
      <c r="E41" s="9">
        <v>19.29</v>
      </c>
      <c r="F41" s="9">
        <v>4.38</v>
      </c>
      <c r="G41" s="9"/>
      <c r="H41" s="38">
        <v>62.13</v>
      </c>
      <c r="I41" s="38">
        <v>37.869999999999997</v>
      </c>
      <c r="J41" s="17">
        <f t="shared" ref="J41:J42" si="8">SUM(H41:I41)</f>
        <v>100</v>
      </c>
      <c r="N41" s="17">
        <f t="shared" ref="N41:N42" si="9">SUM(L41:M41)</f>
        <v>0</v>
      </c>
    </row>
    <row r="42" spans="1:14" x14ac:dyDescent="0.3">
      <c r="A42" s="10" t="s">
        <v>39</v>
      </c>
      <c r="B42" s="11" t="s">
        <v>48</v>
      </c>
      <c r="C42" s="11"/>
      <c r="D42" s="11"/>
      <c r="E42" s="12">
        <v>17.36</v>
      </c>
      <c r="F42" s="12">
        <v>4.3600000000000003</v>
      </c>
      <c r="G42" s="12"/>
      <c r="H42" s="38">
        <v>73.03</v>
      </c>
      <c r="I42" s="38">
        <v>26.96</v>
      </c>
      <c r="J42" s="17">
        <f t="shared" si="8"/>
        <v>99.990000000000009</v>
      </c>
      <c r="N42" s="17">
        <f t="shared" si="9"/>
        <v>0</v>
      </c>
    </row>
    <row r="44" spans="1:14" x14ac:dyDescent="0.3">
      <c r="A44" s="37" t="s">
        <v>51</v>
      </c>
    </row>
    <row r="45" spans="1:14" ht="27" x14ac:dyDescent="0.3">
      <c r="A45" s="1" t="s">
        <v>0</v>
      </c>
      <c r="B45" s="2" t="s">
        <v>1</v>
      </c>
      <c r="C45" s="3" t="s">
        <v>12</v>
      </c>
      <c r="D45" s="3" t="s">
        <v>21</v>
      </c>
      <c r="E45" s="3" t="s">
        <v>2</v>
      </c>
      <c r="F45" s="4" t="s">
        <v>3</v>
      </c>
      <c r="G45" s="4" t="s">
        <v>3</v>
      </c>
      <c r="H45" s="18"/>
    </row>
    <row r="46" spans="1:14" x14ac:dyDescent="0.3">
      <c r="A46" s="7" t="s">
        <v>7</v>
      </c>
      <c r="B46" s="8" t="s">
        <v>8</v>
      </c>
      <c r="C46" s="16">
        <v>1.042</v>
      </c>
      <c r="D46" s="8"/>
      <c r="E46" s="9">
        <v>15.27</v>
      </c>
      <c r="F46" s="9"/>
      <c r="G46" s="9">
        <v>3.83</v>
      </c>
      <c r="H46" s="19" t="s">
        <v>35</v>
      </c>
      <c r="L46" s="17" t="s">
        <v>23</v>
      </c>
    </row>
    <row r="47" spans="1:14" x14ac:dyDescent="0.3">
      <c r="A47" s="7" t="s">
        <v>49</v>
      </c>
      <c r="B47" s="8" t="s">
        <v>45</v>
      </c>
      <c r="C47" s="16"/>
      <c r="D47" s="8"/>
      <c r="E47" s="9">
        <v>23.38</v>
      </c>
      <c r="F47" s="9"/>
      <c r="G47" s="9">
        <v>5.85</v>
      </c>
      <c r="H47" s="20" t="s">
        <v>13</v>
      </c>
      <c r="I47" s="20" t="s">
        <v>50</v>
      </c>
      <c r="J47" s="17" t="s">
        <v>15</v>
      </c>
      <c r="L47" s="20" t="s">
        <v>13</v>
      </c>
      <c r="M47" s="20" t="s">
        <v>50</v>
      </c>
      <c r="N47" s="17" t="s">
        <v>26</v>
      </c>
    </row>
    <row r="48" spans="1:14" x14ac:dyDescent="0.3">
      <c r="A48" s="7" t="s">
        <v>36</v>
      </c>
      <c r="B48" s="8" t="s">
        <v>46</v>
      </c>
      <c r="C48" s="8"/>
      <c r="D48" s="8"/>
      <c r="E48" s="9">
        <v>21.35</v>
      </c>
      <c r="F48" s="40">
        <v>5.3</v>
      </c>
      <c r="G48" s="9"/>
      <c r="H48" s="38">
        <v>27.42</v>
      </c>
      <c r="I48" s="38">
        <v>72.58</v>
      </c>
      <c r="J48" s="17">
        <f>SUM(H48:I48)</f>
        <v>100</v>
      </c>
      <c r="N48" s="17">
        <f>SUM(L48:M48)</f>
        <v>0</v>
      </c>
    </row>
    <row r="49" spans="1:25" x14ac:dyDescent="0.3">
      <c r="A49" s="7" t="s">
        <v>37</v>
      </c>
      <c r="B49" s="8" t="s">
        <v>47</v>
      </c>
      <c r="C49" s="8"/>
      <c r="D49" s="8"/>
      <c r="E49" s="9">
        <v>19.29</v>
      </c>
      <c r="F49" s="9">
        <v>4.38</v>
      </c>
      <c r="G49" s="9"/>
      <c r="H49" s="38">
        <v>62.12</v>
      </c>
      <c r="I49" s="38">
        <v>37.869999999999997</v>
      </c>
      <c r="J49" s="17">
        <f t="shared" ref="J49:J50" si="10">SUM(H49:I49)</f>
        <v>99.99</v>
      </c>
      <c r="N49" s="17">
        <f t="shared" ref="N49:N50" si="11">SUM(L49:M49)</f>
        <v>0</v>
      </c>
    </row>
    <row r="50" spans="1:25" x14ac:dyDescent="0.3">
      <c r="A50" s="10" t="s">
        <v>39</v>
      </c>
      <c r="B50" s="11" t="s">
        <v>48</v>
      </c>
      <c r="C50" s="11"/>
      <c r="D50" s="11"/>
      <c r="E50" s="12">
        <v>17.36</v>
      </c>
      <c r="F50" s="12">
        <v>4.3600000000000003</v>
      </c>
      <c r="G50" s="12"/>
      <c r="H50" s="38">
        <v>73.010000000000005</v>
      </c>
      <c r="I50" s="38">
        <v>26.99</v>
      </c>
      <c r="J50" s="17">
        <f t="shared" si="10"/>
        <v>100</v>
      </c>
      <c r="N50" s="17">
        <f t="shared" si="11"/>
        <v>0</v>
      </c>
    </row>
    <row r="53" spans="1:25" x14ac:dyDescent="0.3">
      <c r="A53" s="37">
        <v>46234</v>
      </c>
      <c r="B53" s="13"/>
      <c r="C53" s="13"/>
      <c r="D53" s="13"/>
      <c r="E53" s="15"/>
      <c r="F53" s="15"/>
    </row>
    <row r="54" spans="1:25" ht="27" x14ac:dyDescent="0.3">
      <c r="A54" s="1" t="s">
        <v>0</v>
      </c>
      <c r="B54" s="2" t="s">
        <v>1</v>
      </c>
      <c r="C54" s="3" t="s">
        <v>12</v>
      </c>
      <c r="D54" s="3" t="s">
        <v>21</v>
      </c>
      <c r="E54" s="3" t="s">
        <v>2</v>
      </c>
      <c r="F54" s="4" t="s">
        <v>3</v>
      </c>
      <c r="G54" s="4" t="s">
        <v>3</v>
      </c>
      <c r="Q54" s="43" t="s">
        <v>60</v>
      </c>
    </row>
    <row r="55" spans="1:25" x14ac:dyDescent="0.3">
      <c r="A55" s="7" t="s">
        <v>7</v>
      </c>
      <c r="B55" s="8" t="s">
        <v>8</v>
      </c>
      <c r="C55" s="42">
        <v>1.8580000000000001</v>
      </c>
      <c r="D55" s="8"/>
      <c r="E55" s="9">
        <v>13.83</v>
      </c>
      <c r="F55" s="9"/>
      <c r="G55" s="9">
        <v>0.21</v>
      </c>
      <c r="H55" s="19" t="s">
        <v>61</v>
      </c>
      <c r="L55" s="17" t="s">
        <v>23</v>
      </c>
      <c r="Q55" s="44">
        <v>0.25</v>
      </c>
    </row>
    <row r="56" spans="1:25" x14ac:dyDescent="0.3">
      <c r="A56" s="7" t="s">
        <v>24</v>
      </c>
      <c r="B56" s="8" t="s">
        <v>25</v>
      </c>
      <c r="C56" s="42">
        <v>0.65600000000000003</v>
      </c>
      <c r="D56" s="8">
        <v>46</v>
      </c>
      <c r="E56" s="9">
        <v>-25.65</v>
      </c>
      <c r="F56" s="9"/>
      <c r="G56" s="9">
        <v>14.8</v>
      </c>
      <c r="H56" s="20" t="s">
        <v>13</v>
      </c>
      <c r="I56" s="20" t="s">
        <v>50</v>
      </c>
      <c r="J56" s="17" t="s">
        <v>15</v>
      </c>
      <c r="L56" s="20" t="s">
        <v>13</v>
      </c>
      <c r="M56" s="20" t="s">
        <v>50</v>
      </c>
      <c r="N56" s="17" t="s">
        <v>26</v>
      </c>
      <c r="Q56" s="44">
        <v>0.5</v>
      </c>
    </row>
    <row r="57" spans="1:25" x14ac:dyDescent="0.3">
      <c r="A57" s="7" t="s">
        <v>57</v>
      </c>
      <c r="B57" s="8" t="s">
        <v>56</v>
      </c>
      <c r="C57" s="42"/>
      <c r="D57" s="8"/>
      <c r="E57" s="9">
        <v>-4.95</v>
      </c>
      <c r="F57" s="9">
        <v>8.1999999999999993</v>
      </c>
      <c r="G57" s="9"/>
      <c r="H57" s="38">
        <v>51.23</v>
      </c>
      <c r="I57" s="38">
        <v>48.77</v>
      </c>
      <c r="J57" s="17">
        <f>SUM(H57:I57)</f>
        <v>100</v>
      </c>
      <c r="N57" s="17">
        <f>SUM(L57:M57)</f>
        <v>0</v>
      </c>
      <c r="Q57" s="45">
        <v>0.75</v>
      </c>
    </row>
    <row r="58" spans="1:25" x14ac:dyDescent="0.3">
      <c r="A58" s="7" t="s">
        <v>58</v>
      </c>
      <c r="B58" s="8" t="s">
        <v>38</v>
      </c>
      <c r="C58" s="42"/>
      <c r="D58" s="8"/>
      <c r="E58" s="9">
        <v>4.3</v>
      </c>
      <c r="F58" s="9">
        <v>4.3</v>
      </c>
      <c r="G58" s="9"/>
      <c r="H58" s="38">
        <v>74.84</v>
      </c>
      <c r="I58" s="38">
        <v>25.16</v>
      </c>
      <c r="J58" s="17">
        <f t="shared" ref="J58:J59" si="12">SUM(H58:I58)</f>
        <v>100</v>
      </c>
      <c r="N58" s="17">
        <f t="shared" ref="N58:N59" si="13">SUM(L58:M58)</f>
        <v>0</v>
      </c>
      <c r="P58" s="5" t="s">
        <v>53</v>
      </c>
      <c r="S58" s="19" t="s">
        <v>61</v>
      </c>
      <c r="T58" s="17"/>
      <c r="U58" s="17"/>
      <c r="V58" s="17"/>
      <c r="W58" s="17" t="s">
        <v>23</v>
      </c>
      <c r="X58" s="17"/>
      <c r="Y58" s="17"/>
    </row>
    <row r="59" spans="1:25" x14ac:dyDescent="0.3">
      <c r="A59" s="7" t="s">
        <v>59</v>
      </c>
      <c r="B59" s="8" t="s">
        <v>40</v>
      </c>
      <c r="C59" s="8"/>
      <c r="D59" s="8"/>
      <c r="E59" s="9">
        <v>9.89</v>
      </c>
      <c r="F59" s="9">
        <v>1.96</v>
      </c>
      <c r="G59" s="9"/>
      <c r="H59" s="38">
        <v>88.67</v>
      </c>
      <c r="I59" s="38">
        <v>11.33</v>
      </c>
      <c r="J59" s="17">
        <f t="shared" si="12"/>
        <v>100</v>
      </c>
      <c r="N59" s="17">
        <f t="shared" si="13"/>
        <v>0</v>
      </c>
      <c r="P59" s="1"/>
      <c r="Q59" s="2" t="s">
        <v>54</v>
      </c>
      <c r="R59" s="3" t="s">
        <v>55</v>
      </c>
      <c r="S59" s="20" t="s">
        <v>13</v>
      </c>
      <c r="T59" s="20" t="s">
        <v>50</v>
      </c>
      <c r="U59" s="17" t="s">
        <v>15</v>
      </c>
      <c r="V59" s="17"/>
      <c r="W59" s="20" t="s">
        <v>13</v>
      </c>
      <c r="X59" s="20" t="s">
        <v>50</v>
      </c>
      <c r="Y59" s="17" t="s">
        <v>26</v>
      </c>
    </row>
    <row r="60" spans="1:25" x14ac:dyDescent="0.3">
      <c r="A60" s="7"/>
      <c r="B60" s="8"/>
      <c r="C60" s="8"/>
      <c r="D60" s="8"/>
      <c r="E60" s="9"/>
      <c r="F60" s="9"/>
      <c r="G60" s="9"/>
      <c r="P60" s="7" t="s">
        <v>57</v>
      </c>
      <c r="Q60" s="41">
        <f>((Q55*$C$55*$E$55)+(Q57*$C$56*$E$56))/((Q55*$C$55)+(Q57*$C$56))</f>
        <v>-6.4775378985886043</v>
      </c>
      <c r="R60" s="41">
        <f>((Q55*$C$55*$G$55)+(Q57*$C$56*$G$56))/((Q55*$C$55)+(Q57*$C$56))</f>
        <v>7.7147360167276533</v>
      </c>
      <c r="S60" s="38">
        <v>48.57</v>
      </c>
      <c r="T60" s="38">
        <v>51.43</v>
      </c>
      <c r="U60" s="17">
        <f>SUM(S60:T60)</f>
        <v>100</v>
      </c>
      <c r="V60" s="17"/>
      <c r="W60" s="17"/>
      <c r="X60" s="17"/>
      <c r="Y60" s="17">
        <f>SUM(W60:X60)</f>
        <v>0</v>
      </c>
    </row>
    <row r="61" spans="1:25" x14ac:dyDescent="0.3">
      <c r="A61" s="10"/>
      <c r="B61" s="11"/>
      <c r="C61" s="11"/>
      <c r="D61" s="11"/>
      <c r="E61" s="12"/>
      <c r="F61" s="12"/>
      <c r="G61" s="12"/>
      <c r="P61" s="7" t="s">
        <v>58</v>
      </c>
      <c r="Q61" s="41">
        <f>((Q56*$C$55*$E$55)+(Q56*$C$56*$E$56))/((Q56*$C$55)+(Q56*$C$56))</f>
        <v>3.5281384248210022</v>
      </c>
      <c r="R61" s="41">
        <f>((Q56*$C$55*$G$55)+(Q56*$C$56*$G$56))/((Q56*$C$55)+(Q56*$C$56))</f>
        <v>4.0170962609387431</v>
      </c>
      <c r="S61" s="38">
        <v>73.900000000000006</v>
      </c>
      <c r="T61" s="38">
        <v>26.1</v>
      </c>
      <c r="U61" s="17">
        <f t="shared" ref="U61:U62" si="14">SUM(S61:T61)</f>
        <v>100</v>
      </c>
      <c r="V61" s="17"/>
      <c r="W61" s="17"/>
      <c r="X61" s="17"/>
      <c r="Y61" s="17">
        <f t="shared" ref="Y61:Y62" si="15">SUM(W61:X61)</f>
        <v>0</v>
      </c>
    </row>
    <row r="62" spans="1:25" x14ac:dyDescent="0.3">
      <c r="P62" s="7" t="s">
        <v>59</v>
      </c>
      <c r="Q62" s="41">
        <f>((Q57*$C$55*$E$55)+(Q55*$C$56*$E$56))/((Q57*$C$55)+(Q55*$C$56))</f>
        <v>9.6728764044943834</v>
      </c>
      <c r="R62" s="41">
        <f>((Q57*$C$55*$G$55)+(Q55*$C$56*$G$56))/((Q57*$C$55)+(Q55*$C$56))</f>
        <v>1.7462825040128411</v>
      </c>
      <c r="S62" s="38">
        <v>89.47</v>
      </c>
      <c r="T62" s="38">
        <v>10.53</v>
      </c>
      <c r="U62" s="17">
        <f t="shared" si="14"/>
        <v>100</v>
      </c>
      <c r="V62" s="17"/>
      <c r="W62" s="17"/>
      <c r="X62" s="17"/>
      <c r="Y62" s="17">
        <f t="shared" si="15"/>
        <v>0</v>
      </c>
    </row>
    <row r="63" spans="1:25" x14ac:dyDescent="0.3">
      <c r="S63" s="38"/>
      <c r="T63" s="38"/>
      <c r="U63" s="17"/>
      <c r="V63" s="17"/>
      <c r="W63" s="17"/>
      <c r="X63" s="17"/>
      <c r="Y63" s="17"/>
    </row>
  </sheetData>
  <phoneticPr fontId="11" type="noConversion"/>
  <pageMargins left="0.7" right="0.7" top="0.75" bottom="0.75" header="0.3" footer="0.3"/>
  <pageSetup paperSize="9" scale="46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P49"/>
  <sheetViews>
    <sheetView zoomScaleNormal="100" workbookViewId="0">
      <selection activeCell="S12" sqref="S12"/>
    </sheetView>
  </sheetViews>
  <sheetFormatPr defaultColWidth="9" defaultRowHeight="16.5" x14ac:dyDescent="0.3"/>
  <cols>
    <col min="1" max="1" width="11.5" style="23" bestFit="1" customWidth="1"/>
    <col min="2" max="2" width="27.125" style="23" bestFit="1" customWidth="1"/>
    <col min="3" max="3" width="10.25" style="23" bestFit="1" customWidth="1"/>
    <col min="4" max="4" width="12.25" style="23" customWidth="1"/>
    <col min="5" max="5" width="12" style="23" customWidth="1"/>
    <col min="6" max="16384" width="9" style="23"/>
  </cols>
  <sheetData>
    <row r="1" spans="1:16" ht="30.75" customHeight="1" x14ac:dyDescent="0.3">
      <c r="A1" s="28" t="s">
        <v>0</v>
      </c>
      <c r="B1" s="27" t="s">
        <v>1</v>
      </c>
      <c r="C1" s="26" t="s">
        <v>12</v>
      </c>
      <c r="D1" s="26" t="s">
        <v>2</v>
      </c>
      <c r="E1" s="25" t="s">
        <v>3</v>
      </c>
      <c r="F1" s="25" t="s">
        <v>3</v>
      </c>
      <c r="G1" s="29"/>
      <c r="P1" s="29"/>
    </row>
    <row r="2" spans="1:16" ht="20.100000000000001" customHeight="1" x14ac:dyDescent="0.3">
      <c r="A2" s="7" t="s">
        <v>7</v>
      </c>
      <c r="B2" s="8" t="s">
        <v>8</v>
      </c>
      <c r="C2" s="8">
        <v>1.042</v>
      </c>
      <c r="D2" s="9">
        <v>15.17</v>
      </c>
      <c r="E2" s="9"/>
      <c r="F2" s="9">
        <v>-3.82</v>
      </c>
    </row>
    <row r="3" spans="1:16" ht="20.100000000000001" customHeight="1" x14ac:dyDescent="0.3">
      <c r="A3" s="7" t="s">
        <v>9</v>
      </c>
      <c r="B3" s="8" t="s">
        <v>10</v>
      </c>
      <c r="C3" s="8" t="s">
        <v>11</v>
      </c>
      <c r="D3" s="9">
        <v>-6.85</v>
      </c>
      <c r="E3" s="9"/>
      <c r="F3" s="9">
        <v>11.02</v>
      </c>
    </row>
    <row r="4" spans="1:16" ht="20.100000000000001" customHeight="1" x14ac:dyDescent="0.3">
      <c r="A4" s="7" t="s">
        <v>4</v>
      </c>
      <c r="B4" s="8" t="s">
        <v>17</v>
      </c>
      <c r="C4" s="8"/>
      <c r="D4" s="9">
        <v>15.13</v>
      </c>
      <c r="E4" s="9">
        <v>-3.24</v>
      </c>
      <c r="F4" s="9"/>
    </row>
    <row r="5" spans="1:16" ht="20.100000000000001" customHeight="1" x14ac:dyDescent="0.3">
      <c r="A5" s="7" t="s">
        <v>5</v>
      </c>
      <c r="B5" s="8" t="s">
        <v>18</v>
      </c>
      <c r="C5" s="8"/>
      <c r="D5" s="9">
        <v>13.14</v>
      </c>
      <c r="E5" s="9">
        <v>-1.33</v>
      </c>
      <c r="F5" s="9"/>
    </row>
    <row r="6" spans="1:16" ht="20.100000000000001" customHeight="1" x14ac:dyDescent="0.3">
      <c r="A6" s="7" t="s">
        <v>6</v>
      </c>
      <c r="B6" s="8" t="s">
        <v>19</v>
      </c>
      <c r="C6" s="8"/>
      <c r="D6" s="9">
        <v>11.01</v>
      </c>
      <c r="E6" s="9">
        <v>1.89</v>
      </c>
      <c r="F6" s="9"/>
    </row>
    <row r="7" spans="1:16" ht="20.100000000000001" customHeight="1" x14ac:dyDescent="0.3">
      <c r="A7" s="7"/>
      <c r="B7" s="8"/>
      <c r="C7" s="8"/>
      <c r="D7" s="9"/>
      <c r="E7" s="9"/>
      <c r="F7" s="9"/>
    </row>
    <row r="8" spans="1:16" ht="20.100000000000001" customHeight="1" x14ac:dyDescent="0.3">
      <c r="A8" s="7"/>
      <c r="B8" s="8"/>
      <c r="C8" s="8"/>
      <c r="D8" s="9"/>
      <c r="E8" s="9"/>
      <c r="F8" s="9"/>
    </row>
    <row r="9" spans="1:16" ht="20.100000000000001" customHeight="1" x14ac:dyDescent="0.3">
      <c r="A9" s="7"/>
      <c r="B9" s="8"/>
      <c r="C9" s="8"/>
      <c r="D9" s="9"/>
      <c r="E9" s="9"/>
      <c r="F9" s="9"/>
    </row>
    <row r="10" spans="1:16" ht="20.100000000000001" customHeight="1" x14ac:dyDescent="0.3">
      <c r="A10" s="7"/>
      <c r="B10" s="8"/>
      <c r="C10" s="8"/>
      <c r="D10" s="9"/>
      <c r="E10" s="9"/>
      <c r="F10" s="9"/>
    </row>
    <row r="11" spans="1:16" ht="20.100000000000001" customHeight="1" x14ac:dyDescent="0.3">
      <c r="A11" s="7"/>
      <c r="B11" s="8"/>
      <c r="C11" s="8"/>
      <c r="D11" s="9"/>
      <c r="E11" s="9"/>
      <c r="F11" s="9"/>
    </row>
    <row r="12" spans="1:16" ht="20.100000000000001" customHeight="1" x14ac:dyDescent="0.3">
      <c r="A12" s="7"/>
      <c r="B12" s="8"/>
      <c r="C12" s="8"/>
      <c r="D12" s="9"/>
      <c r="E12" s="9"/>
      <c r="F12" s="9"/>
    </row>
    <row r="13" spans="1:16" ht="20.100000000000001" customHeight="1" x14ac:dyDescent="0.3">
      <c r="A13" s="7"/>
      <c r="B13" s="8"/>
      <c r="C13" s="8"/>
      <c r="D13" s="9"/>
      <c r="E13" s="9"/>
      <c r="F13" s="9"/>
    </row>
    <row r="14" spans="1:16" ht="20.100000000000001" customHeight="1" x14ac:dyDescent="0.3">
      <c r="A14" s="7"/>
      <c r="B14" s="8"/>
      <c r="C14" s="8"/>
      <c r="D14" s="9"/>
      <c r="E14" s="9"/>
      <c r="F14" s="9"/>
    </row>
    <row r="15" spans="1:16" ht="20.100000000000001" customHeight="1" x14ac:dyDescent="0.3">
      <c r="A15" s="7"/>
      <c r="B15" s="8"/>
      <c r="C15" s="8"/>
      <c r="D15" s="9"/>
      <c r="E15" s="9"/>
      <c r="F15" s="9"/>
    </row>
    <row r="16" spans="1:16" ht="20.100000000000001" customHeight="1" x14ac:dyDescent="0.3">
      <c r="A16" s="7"/>
      <c r="B16" s="8"/>
      <c r="C16" s="8"/>
      <c r="D16" s="9"/>
      <c r="E16" s="9"/>
      <c r="F16" s="9"/>
    </row>
    <row r="17" spans="1:6" ht="20.100000000000001" customHeight="1" x14ac:dyDescent="0.3">
      <c r="A17" s="7"/>
      <c r="B17" s="8"/>
      <c r="C17" s="8"/>
      <c r="D17" s="9"/>
      <c r="E17" s="9"/>
      <c r="F17" s="9"/>
    </row>
    <row r="18" spans="1:6" x14ac:dyDescent="0.3">
      <c r="A18" s="7"/>
      <c r="B18" s="8"/>
      <c r="C18" s="8"/>
      <c r="D18" s="9"/>
      <c r="E18" s="9"/>
      <c r="F18" s="9"/>
    </row>
    <row r="19" spans="1:6" x14ac:dyDescent="0.3">
      <c r="A19" s="7"/>
      <c r="B19" s="8"/>
      <c r="C19" s="8"/>
      <c r="D19" s="9"/>
      <c r="E19" s="9"/>
      <c r="F19" s="9"/>
    </row>
    <row r="20" spans="1:6" x14ac:dyDescent="0.3">
      <c r="A20" s="7"/>
      <c r="B20" s="8"/>
      <c r="C20" s="8"/>
      <c r="D20" s="9"/>
      <c r="E20" s="9"/>
      <c r="F20" s="9"/>
    </row>
    <row r="21" spans="1:6" x14ac:dyDescent="0.3">
      <c r="A21" s="7"/>
      <c r="B21" s="8"/>
      <c r="C21" s="8"/>
      <c r="D21" s="9"/>
      <c r="E21" s="9"/>
      <c r="F21" s="9"/>
    </row>
    <row r="22" spans="1:6" x14ac:dyDescent="0.3">
      <c r="A22" s="7"/>
      <c r="B22" s="8"/>
      <c r="C22" s="8"/>
      <c r="D22" s="9"/>
      <c r="E22" s="9"/>
      <c r="F22" s="9"/>
    </row>
    <row r="23" spans="1:6" x14ac:dyDescent="0.3">
      <c r="A23" s="7"/>
      <c r="B23" s="8"/>
      <c r="C23" s="8"/>
      <c r="D23" s="9"/>
      <c r="E23" s="9"/>
      <c r="F23" s="9"/>
    </row>
    <row r="24" spans="1:6" x14ac:dyDescent="0.3">
      <c r="A24" s="7"/>
      <c r="B24" s="8"/>
      <c r="C24" s="8"/>
      <c r="D24" s="9"/>
      <c r="E24" s="9"/>
      <c r="F24" s="9"/>
    </row>
    <row r="25" spans="1:6" x14ac:dyDescent="0.3">
      <c r="A25" s="10"/>
      <c r="B25" s="11"/>
      <c r="C25" s="11"/>
      <c r="D25" s="12"/>
      <c r="E25" s="12"/>
      <c r="F25" s="12"/>
    </row>
    <row r="26" spans="1:6" x14ac:dyDescent="0.3">
      <c r="A26" s="13"/>
      <c r="B26" s="13"/>
      <c r="C26" s="13"/>
      <c r="D26" s="14"/>
      <c r="E26" s="14"/>
    </row>
    <row r="27" spans="1:6" x14ac:dyDescent="0.3">
      <c r="A27" s="13"/>
      <c r="B27" s="13"/>
      <c r="C27" s="13"/>
      <c r="D27" s="15"/>
      <c r="E27" s="15"/>
    </row>
    <row r="28" spans="1:6" x14ac:dyDescent="0.3">
      <c r="A28" s="13"/>
      <c r="B28" s="13"/>
      <c r="C28" s="13"/>
      <c r="D28" s="15"/>
      <c r="E28" s="15"/>
    </row>
    <row r="29" spans="1:6" x14ac:dyDescent="0.3">
      <c r="A29" s="13"/>
      <c r="B29" s="13"/>
      <c r="C29" s="13"/>
      <c r="D29" s="15"/>
      <c r="E29" s="15"/>
    </row>
    <row r="30" spans="1:6" x14ac:dyDescent="0.3">
      <c r="A30" s="13"/>
      <c r="B30" s="13"/>
      <c r="C30" s="13"/>
      <c r="D30" s="15"/>
      <c r="E30" s="15"/>
    </row>
    <row r="31" spans="1:6" x14ac:dyDescent="0.3">
      <c r="A31" s="13"/>
      <c r="B31" s="13"/>
      <c r="C31" s="13"/>
      <c r="D31" s="15"/>
      <c r="E31" s="15"/>
    </row>
    <row r="32" spans="1:6" x14ac:dyDescent="0.3">
      <c r="A32" s="13"/>
      <c r="B32" s="13"/>
      <c r="C32" s="13"/>
      <c r="D32" s="15"/>
      <c r="E32" s="15"/>
    </row>
    <row r="33" spans="1:5" x14ac:dyDescent="0.3">
      <c r="A33" s="13"/>
      <c r="B33" s="13"/>
      <c r="C33" s="13"/>
      <c r="D33" s="15"/>
      <c r="E33" s="15"/>
    </row>
    <row r="34" spans="1:5" x14ac:dyDescent="0.3">
      <c r="A34" s="13"/>
      <c r="B34" s="13"/>
      <c r="C34" s="13"/>
      <c r="D34" s="15"/>
      <c r="E34" s="15"/>
    </row>
    <row r="35" spans="1:5" x14ac:dyDescent="0.3">
      <c r="A35" s="13"/>
      <c r="B35" s="13"/>
      <c r="C35" s="13"/>
      <c r="D35" s="15"/>
      <c r="E35" s="15"/>
    </row>
    <row r="36" spans="1:5" x14ac:dyDescent="0.3">
      <c r="A36" s="13"/>
      <c r="B36" s="13"/>
      <c r="C36" s="13"/>
      <c r="D36" s="15"/>
      <c r="E36" s="15"/>
    </row>
    <row r="37" spans="1:5" x14ac:dyDescent="0.3">
      <c r="A37" s="13"/>
      <c r="B37" s="13"/>
      <c r="C37" s="13"/>
      <c r="D37" s="15"/>
      <c r="E37" s="15"/>
    </row>
    <row r="38" spans="1:5" x14ac:dyDescent="0.3">
      <c r="A38" s="13"/>
      <c r="B38" s="13"/>
      <c r="C38" s="13"/>
      <c r="D38" s="15"/>
      <c r="E38" s="15"/>
    </row>
    <row r="39" spans="1:5" x14ac:dyDescent="0.3">
      <c r="A39" s="13"/>
      <c r="B39" s="13"/>
      <c r="C39" s="13"/>
      <c r="D39" s="15"/>
      <c r="E39" s="15"/>
    </row>
    <row r="40" spans="1:5" x14ac:dyDescent="0.3">
      <c r="A40" s="13"/>
      <c r="B40" s="13"/>
      <c r="C40" s="13"/>
      <c r="D40" s="15"/>
      <c r="E40" s="15"/>
    </row>
    <row r="41" spans="1:5" x14ac:dyDescent="0.3">
      <c r="A41" s="13"/>
      <c r="B41" s="13"/>
      <c r="C41" s="13"/>
      <c r="D41" s="15"/>
      <c r="E41" s="15"/>
    </row>
    <row r="42" spans="1:5" x14ac:dyDescent="0.3">
      <c r="A42" s="13"/>
      <c r="B42" s="13"/>
      <c r="C42" s="13"/>
      <c r="D42" s="15"/>
      <c r="E42" s="15"/>
    </row>
    <row r="43" spans="1:5" x14ac:dyDescent="0.3">
      <c r="A43" s="13"/>
      <c r="B43" s="13"/>
      <c r="C43" s="13"/>
      <c r="D43" s="15"/>
      <c r="E43" s="15"/>
    </row>
    <row r="44" spans="1:5" x14ac:dyDescent="0.3">
      <c r="A44" s="13"/>
      <c r="B44" s="13"/>
      <c r="C44" s="13"/>
      <c r="D44" s="15"/>
      <c r="E44" s="15"/>
    </row>
    <row r="45" spans="1:5" x14ac:dyDescent="0.3">
      <c r="A45" s="13"/>
      <c r="B45" s="13"/>
      <c r="C45" s="13"/>
      <c r="D45" s="15"/>
      <c r="E45" s="15"/>
    </row>
    <row r="46" spans="1:5" x14ac:dyDescent="0.3">
      <c r="A46" s="13"/>
      <c r="B46" s="13"/>
      <c r="C46" s="13"/>
      <c r="D46" s="15"/>
      <c r="E46" s="15"/>
    </row>
    <row r="47" spans="1:5" x14ac:dyDescent="0.3">
      <c r="A47" s="13"/>
      <c r="B47" s="13"/>
      <c r="C47" s="13"/>
      <c r="D47" s="15"/>
      <c r="E47" s="15"/>
    </row>
    <row r="48" spans="1:5" x14ac:dyDescent="0.3">
      <c r="A48" s="13"/>
      <c r="B48" s="13"/>
      <c r="C48" s="13"/>
      <c r="D48" s="15"/>
      <c r="E48" s="15"/>
    </row>
    <row r="49" spans="1:5" x14ac:dyDescent="0.3">
      <c r="A49" s="13"/>
      <c r="B49" s="13"/>
      <c r="C49" s="13"/>
      <c r="D49" s="15"/>
      <c r="E49" s="15"/>
    </row>
  </sheetData>
  <phoneticPr fontId="11" type="noConversion"/>
  <pageMargins left="0.7" right="0.7" top="0.75" bottom="0.75" header="0.3" footer="0.3"/>
  <pageSetup paperSize="9" scale="46" orientation="landscape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Q55"/>
  <sheetViews>
    <sheetView zoomScaleNormal="100" workbookViewId="0">
      <selection activeCell="G13" sqref="G13"/>
    </sheetView>
  </sheetViews>
  <sheetFormatPr defaultColWidth="9" defaultRowHeight="16.5" x14ac:dyDescent="0.3"/>
  <cols>
    <col min="1" max="1" width="11.5" style="23" bestFit="1" customWidth="1"/>
    <col min="2" max="2" width="27.125" style="23" bestFit="1" customWidth="1"/>
    <col min="3" max="3" width="10.25" style="23" bestFit="1" customWidth="1"/>
    <col min="4" max="4" width="10.25" style="23" customWidth="1"/>
    <col min="5" max="5" width="12.25" style="23" customWidth="1"/>
    <col min="6" max="6" width="12" style="23" customWidth="1"/>
    <col min="7" max="16384" width="9" style="23"/>
  </cols>
  <sheetData>
    <row r="1" spans="1:17" ht="30.75" customHeight="1" x14ac:dyDescent="0.3">
      <c r="A1" s="28" t="s">
        <v>0</v>
      </c>
      <c r="B1" s="27" t="s">
        <v>1</v>
      </c>
      <c r="C1" s="26" t="s">
        <v>12</v>
      </c>
      <c r="D1" s="26" t="s">
        <v>21</v>
      </c>
      <c r="E1" s="26" t="s">
        <v>2</v>
      </c>
      <c r="F1" s="25" t="s">
        <v>3</v>
      </c>
      <c r="G1" s="25" t="s">
        <v>3</v>
      </c>
      <c r="H1" s="29"/>
      <c r="Q1" s="29"/>
    </row>
    <row r="2" spans="1:17" ht="20.100000000000001" customHeight="1" x14ac:dyDescent="0.3">
      <c r="A2" s="7" t="s">
        <v>7</v>
      </c>
      <c r="B2" s="8" t="s">
        <v>8</v>
      </c>
      <c r="C2" s="16">
        <v>1.042</v>
      </c>
      <c r="D2" s="8"/>
      <c r="E2" s="9">
        <v>15.17</v>
      </c>
      <c r="F2" s="9"/>
      <c r="G2" s="9">
        <v>-3.82</v>
      </c>
      <c r="I2" t="s">
        <v>22</v>
      </c>
      <c r="M2" s="23" t="s">
        <v>23</v>
      </c>
    </row>
    <row r="3" spans="1:17" ht="20.100000000000001" customHeight="1" x14ac:dyDescent="0.3">
      <c r="A3" s="7" t="s">
        <v>24</v>
      </c>
      <c r="B3" s="8" t="s">
        <v>25</v>
      </c>
      <c r="C3" s="16">
        <v>0.65600000000000003</v>
      </c>
      <c r="D3" s="8">
        <v>46</v>
      </c>
      <c r="E3" s="9">
        <v>-24.85</v>
      </c>
      <c r="F3" s="9"/>
      <c r="G3" s="9">
        <v>15.43</v>
      </c>
      <c r="I3" s="24" t="s">
        <v>13</v>
      </c>
      <c r="J3" s="24" t="s">
        <v>14</v>
      </c>
      <c r="K3" s="23" t="s">
        <v>26</v>
      </c>
      <c r="M3" s="24" t="s">
        <v>13</v>
      </c>
      <c r="N3" s="24" t="s">
        <v>14</v>
      </c>
      <c r="O3" s="23" t="s">
        <v>26</v>
      </c>
    </row>
    <row r="4" spans="1:17" ht="20.100000000000001" customHeight="1" x14ac:dyDescent="0.3">
      <c r="A4" s="7" t="s">
        <v>27</v>
      </c>
      <c r="B4" s="8" t="s">
        <v>28</v>
      </c>
      <c r="C4" s="8"/>
      <c r="D4" s="8"/>
      <c r="E4" s="9">
        <v>-3.54</v>
      </c>
      <c r="F4" s="9">
        <v>6.94</v>
      </c>
      <c r="G4" s="9"/>
      <c r="I4" s="35">
        <v>51.54</v>
      </c>
      <c r="J4" s="35">
        <v>48.46</v>
      </c>
      <c r="K4" s="23">
        <f>SUM(I4:J4)</f>
        <v>100</v>
      </c>
      <c r="M4" s="33">
        <v>51.2</v>
      </c>
      <c r="N4" s="33">
        <v>48.8</v>
      </c>
      <c r="O4" s="23">
        <f>SUM(M4:N4)</f>
        <v>100</v>
      </c>
    </row>
    <row r="5" spans="1:17" ht="20.100000000000001" customHeight="1" x14ac:dyDescent="0.3">
      <c r="A5" s="7" t="s">
        <v>29</v>
      </c>
      <c r="B5" s="8" t="s">
        <v>30</v>
      </c>
      <c r="C5" s="8"/>
      <c r="D5" s="8"/>
      <c r="E5" s="9">
        <v>4.75</v>
      </c>
      <c r="F5" s="9">
        <v>1.87</v>
      </c>
      <c r="G5" s="9"/>
      <c r="I5" s="34">
        <v>72.02</v>
      </c>
      <c r="J5" s="34">
        <v>27.98</v>
      </c>
      <c r="K5" s="23">
        <f>SUM(I5:J5)</f>
        <v>100</v>
      </c>
      <c r="M5" s="33">
        <v>72.599999999999994</v>
      </c>
      <c r="N5" s="33">
        <v>27.4</v>
      </c>
      <c r="O5" s="23">
        <f>SUM(M5:N5)</f>
        <v>100</v>
      </c>
    </row>
    <row r="6" spans="1:17" ht="20.100000000000001" customHeight="1" x14ac:dyDescent="0.3">
      <c r="A6" s="10" t="s">
        <v>31</v>
      </c>
      <c r="B6" s="11" t="s">
        <v>32</v>
      </c>
      <c r="C6" s="11"/>
      <c r="D6" s="11"/>
      <c r="E6" s="12">
        <v>11.43</v>
      </c>
      <c r="F6" s="12">
        <v>-2.67</v>
      </c>
      <c r="G6" s="12"/>
      <c r="I6" s="34">
        <v>92.93</v>
      </c>
      <c r="J6" s="34">
        <v>7.07</v>
      </c>
      <c r="K6" s="23">
        <f>SUM(I6:J6)</f>
        <v>100</v>
      </c>
      <c r="M6" s="33">
        <v>91</v>
      </c>
      <c r="N6" s="33">
        <v>9</v>
      </c>
      <c r="O6" s="23">
        <f>SUM(M6:N6)</f>
        <v>100</v>
      </c>
    </row>
    <row r="7" spans="1:17" ht="20.100000000000001" customHeight="1" x14ac:dyDescent="0.3">
      <c r="A7" s="13"/>
      <c r="B7" s="13"/>
      <c r="C7" s="13"/>
      <c r="D7" s="13"/>
      <c r="E7" s="14"/>
      <c r="F7" s="14"/>
      <c r="G7" s="14"/>
    </row>
    <row r="8" spans="1:17" ht="20.100000000000001" customHeight="1" x14ac:dyDescent="0.3">
      <c r="A8" s="32" t="s">
        <v>43</v>
      </c>
      <c r="B8" s="32"/>
      <c r="C8" s="32"/>
      <c r="D8" s="32"/>
      <c r="E8" s="14"/>
      <c r="F8" s="14"/>
      <c r="G8" s="14"/>
    </row>
    <row r="9" spans="1:17" ht="20.100000000000001" customHeight="1" x14ac:dyDescent="0.3">
      <c r="A9" s="13"/>
      <c r="B9" s="13"/>
      <c r="C9" s="13"/>
      <c r="D9" s="13"/>
      <c r="E9" s="14"/>
      <c r="F9" s="14"/>
      <c r="G9" s="14"/>
    </row>
    <row r="10" spans="1:17" ht="20.100000000000001" customHeight="1" x14ac:dyDescent="0.3">
      <c r="A10" s="13"/>
      <c r="B10" s="13"/>
      <c r="C10" s="13"/>
      <c r="D10" s="13"/>
      <c r="E10" s="14"/>
      <c r="F10" s="14"/>
      <c r="G10" s="14"/>
    </row>
    <row r="11" spans="1:17" ht="20.100000000000001" customHeight="1" x14ac:dyDescent="0.3">
      <c r="A11"/>
      <c r="B11"/>
      <c r="C11"/>
      <c r="D11" s="13"/>
      <c r="E11" s="14"/>
      <c r="F11" s="14"/>
      <c r="G11" s="14"/>
    </row>
    <row r="12" spans="1:17" ht="20.100000000000001" customHeight="1" x14ac:dyDescent="0.3">
      <c r="A12"/>
      <c r="B12"/>
      <c r="C12"/>
      <c r="D12" s="13"/>
      <c r="E12" s="14"/>
      <c r="F12" s="14"/>
      <c r="G12" s="14"/>
    </row>
    <row r="13" spans="1:17" ht="20.100000000000001" customHeight="1" x14ac:dyDescent="0.3">
      <c r="A13" s="31"/>
      <c r="B13" s="31"/>
      <c r="C13"/>
      <c r="D13" s="13"/>
      <c r="E13" s="14"/>
      <c r="F13" s="14"/>
      <c r="G13" s="14"/>
    </row>
    <row r="14" spans="1:17" ht="20.100000000000001" customHeight="1" x14ac:dyDescent="0.3">
      <c r="A14" s="30"/>
      <c r="B14" s="30"/>
      <c r="C14"/>
      <c r="D14" s="13"/>
      <c r="E14" s="14"/>
      <c r="F14" s="14"/>
      <c r="G14" s="14"/>
    </row>
    <row r="15" spans="1:17" ht="20.100000000000001" customHeight="1" x14ac:dyDescent="0.3">
      <c r="A15" s="30"/>
      <c r="B15" s="30"/>
      <c r="C15"/>
      <c r="D15" s="13"/>
      <c r="E15" s="14"/>
      <c r="F15" s="14"/>
      <c r="G15" s="14"/>
    </row>
    <row r="16" spans="1:17" ht="20.100000000000001" customHeight="1" x14ac:dyDescent="0.3">
      <c r="A16" s="30"/>
      <c r="B16" s="30"/>
      <c r="C16"/>
      <c r="D16" s="13"/>
      <c r="E16" s="14"/>
      <c r="F16" s="14"/>
      <c r="G16" s="14"/>
    </row>
    <row r="17" spans="1:7" ht="20.100000000000001" customHeight="1" x14ac:dyDescent="0.3">
      <c r="A17" s="13"/>
      <c r="B17" s="13"/>
      <c r="C17" s="13"/>
      <c r="D17" s="13"/>
      <c r="E17" s="14"/>
      <c r="F17" s="14"/>
      <c r="G17" s="14"/>
    </row>
    <row r="18" spans="1:7" x14ac:dyDescent="0.3">
      <c r="A18" s="13"/>
      <c r="B18" s="13"/>
      <c r="C18" s="13"/>
      <c r="D18" s="13"/>
      <c r="E18" s="14"/>
      <c r="F18" s="14"/>
      <c r="G18" s="14"/>
    </row>
    <row r="19" spans="1:7" x14ac:dyDescent="0.3">
      <c r="A19" s="13"/>
      <c r="B19" s="13"/>
      <c r="C19" s="13"/>
      <c r="D19" s="13"/>
      <c r="E19" s="14"/>
      <c r="F19" s="14"/>
      <c r="G19" s="14"/>
    </row>
    <row r="20" spans="1:7" x14ac:dyDescent="0.3">
      <c r="A20" s="13"/>
      <c r="B20" s="13"/>
      <c r="C20" s="13"/>
      <c r="D20" s="13"/>
      <c r="E20" s="14"/>
      <c r="F20" s="14"/>
      <c r="G20" s="14"/>
    </row>
    <row r="21" spans="1:7" x14ac:dyDescent="0.3">
      <c r="A21" s="13"/>
      <c r="B21" s="13"/>
      <c r="C21" s="13"/>
      <c r="D21" s="13"/>
      <c r="E21" s="14"/>
      <c r="F21" s="14"/>
      <c r="G21" s="14"/>
    </row>
    <row r="22" spans="1:7" x14ac:dyDescent="0.3">
      <c r="A22" s="13"/>
      <c r="B22" s="13"/>
      <c r="C22" s="13"/>
      <c r="D22" s="13"/>
      <c r="E22" s="14"/>
      <c r="F22" s="14"/>
      <c r="G22" s="14"/>
    </row>
    <row r="23" spans="1:7" x14ac:dyDescent="0.3">
      <c r="A23" s="13"/>
      <c r="B23" s="13"/>
      <c r="C23" s="13"/>
      <c r="D23" s="13"/>
      <c r="E23" s="14"/>
      <c r="F23" s="14"/>
      <c r="G23" s="14"/>
    </row>
    <row r="24" spans="1:7" x14ac:dyDescent="0.3">
      <c r="A24" s="13"/>
      <c r="B24" s="13"/>
      <c r="C24" s="13"/>
      <c r="D24" s="13"/>
      <c r="E24" s="14"/>
      <c r="F24" s="14"/>
      <c r="G24" s="14"/>
    </row>
    <row r="25" spans="1:7" x14ac:dyDescent="0.3">
      <c r="A25" s="13"/>
      <c r="B25" s="13"/>
      <c r="C25" s="13"/>
      <c r="D25" s="13"/>
      <c r="E25" s="14"/>
      <c r="F25" s="14"/>
      <c r="G25" s="14"/>
    </row>
    <row r="26" spans="1:7" x14ac:dyDescent="0.3">
      <c r="A26" s="13"/>
      <c r="B26" s="13"/>
      <c r="C26" s="13"/>
      <c r="D26" s="13"/>
      <c r="E26" s="14"/>
      <c r="F26" s="14"/>
    </row>
    <row r="27" spans="1:7" x14ac:dyDescent="0.3">
      <c r="A27" s="13"/>
      <c r="B27" s="13"/>
      <c r="C27" s="13"/>
      <c r="D27" s="13"/>
      <c r="E27" s="14"/>
      <c r="F27" s="14"/>
    </row>
    <row r="28" spans="1:7" x14ac:dyDescent="0.3">
      <c r="A28" s="13"/>
      <c r="B28" s="13"/>
      <c r="C28" s="13"/>
      <c r="D28" s="13"/>
      <c r="E28" s="14"/>
      <c r="F28" s="14"/>
    </row>
    <row r="29" spans="1:7" x14ac:dyDescent="0.3">
      <c r="A29" s="13"/>
      <c r="B29" s="13"/>
      <c r="C29" s="13"/>
      <c r="D29" s="13"/>
      <c r="E29" s="14"/>
      <c r="F29" s="14"/>
    </row>
    <row r="30" spans="1:7" x14ac:dyDescent="0.3">
      <c r="A30" s="13"/>
      <c r="B30" s="13"/>
      <c r="C30" s="13"/>
      <c r="D30" s="13"/>
      <c r="E30" s="14"/>
      <c r="F30" s="14"/>
    </row>
    <row r="31" spans="1:7" x14ac:dyDescent="0.3">
      <c r="A31" s="13"/>
      <c r="B31" s="13"/>
      <c r="C31" s="13"/>
      <c r="D31" s="13"/>
      <c r="E31" s="14"/>
      <c r="F31" s="14"/>
    </row>
    <row r="32" spans="1:7" x14ac:dyDescent="0.3">
      <c r="A32" s="13"/>
      <c r="B32" s="13"/>
      <c r="C32" s="13"/>
      <c r="D32" s="13"/>
      <c r="E32" s="15"/>
      <c r="F32" s="15"/>
    </row>
    <row r="33" spans="1:6" x14ac:dyDescent="0.3">
      <c r="A33" s="13"/>
      <c r="B33" s="13"/>
      <c r="C33" s="13"/>
      <c r="D33" s="13"/>
      <c r="E33" s="15"/>
      <c r="F33" s="15"/>
    </row>
    <row r="34" spans="1:6" x14ac:dyDescent="0.3">
      <c r="A34" s="13"/>
      <c r="B34" s="13"/>
      <c r="C34" s="13"/>
      <c r="D34" s="13"/>
      <c r="E34" s="15"/>
      <c r="F34" s="15"/>
    </row>
    <row r="35" spans="1:6" x14ac:dyDescent="0.3">
      <c r="A35" s="13"/>
      <c r="B35" s="13"/>
      <c r="C35" s="13"/>
      <c r="D35" s="13"/>
      <c r="E35" s="15"/>
      <c r="F35" s="15"/>
    </row>
    <row r="36" spans="1:6" x14ac:dyDescent="0.3">
      <c r="A36" s="13"/>
      <c r="B36" s="13"/>
      <c r="C36" s="13"/>
      <c r="D36" s="13"/>
      <c r="E36" s="15"/>
      <c r="F36" s="15"/>
    </row>
    <row r="37" spans="1:6" x14ac:dyDescent="0.3">
      <c r="A37" s="13"/>
      <c r="B37" s="13"/>
      <c r="C37" s="13"/>
      <c r="D37" s="13"/>
      <c r="E37" s="15"/>
      <c r="F37" s="15"/>
    </row>
    <row r="38" spans="1:6" x14ac:dyDescent="0.3">
      <c r="A38" s="13"/>
      <c r="B38" s="13"/>
      <c r="C38" s="13"/>
      <c r="D38" s="13"/>
      <c r="E38" s="15"/>
      <c r="F38" s="15"/>
    </row>
    <row r="39" spans="1:6" x14ac:dyDescent="0.3">
      <c r="A39" s="13"/>
      <c r="B39" s="13"/>
      <c r="C39" s="13"/>
      <c r="D39" s="13"/>
      <c r="E39" s="15"/>
      <c r="F39" s="15"/>
    </row>
    <row r="40" spans="1:6" x14ac:dyDescent="0.3">
      <c r="A40" s="13"/>
      <c r="B40" s="13"/>
      <c r="C40" s="13"/>
      <c r="D40" s="13"/>
      <c r="E40" s="15"/>
      <c r="F40" s="15"/>
    </row>
    <row r="41" spans="1:6" x14ac:dyDescent="0.3">
      <c r="A41" s="13"/>
      <c r="B41" s="13"/>
      <c r="C41" s="13"/>
      <c r="D41" s="13"/>
      <c r="E41" s="15"/>
      <c r="F41" s="15"/>
    </row>
    <row r="42" spans="1:6" x14ac:dyDescent="0.3">
      <c r="A42" s="13"/>
      <c r="B42" s="13"/>
      <c r="C42" s="13"/>
      <c r="D42" s="13"/>
      <c r="E42" s="15"/>
      <c r="F42" s="15"/>
    </row>
    <row r="43" spans="1:6" x14ac:dyDescent="0.3">
      <c r="A43" s="13"/>
      <c r="B43" s="13"/>
      <c r="C43" s="13"/>
      <c r="D43" s="13"/>
      <c r="E43" s="15"/>
      <c r="F43" s="15"/>
    </row>
    <row r="44" spans="1:6" x14ac:dyDescent="0.3">
      <c r="A44" s="13"/>
      <c r="B44" s="13"/>
      <c r="C44" s="13"/>
      <c r="D44" s="13"/>
      <c r="E44" s="15"/>
      <c r="F44" s="15"/>
    </row>
    <row r="45" spans="1:6" x14ac:dyDescent="0.3">
      <c r="A45" s="13"/>
      <c r="B45" s="13"/>
      <c r="C45" s="13"/>
      <c r="D45" s="13"/>
      <c r="E45" s="15"/>
      <c r="F45" s="15"/>
    </row>
    <row r="46" spans="1:6" x14ac:dyDescent="0.3">
      <c r="A46" s="13"/>
      <c r="B46" s="13"/>
      <c r="C46" s="13"/>
      <c r="D46" s="13"/>
      <c r="E46" s="15"/>
      <c r="F46" s="15"/>
    </row>
    <row r="47" spans="1:6" x14ac:dyDescent="0.3">
      <c r="A47" s="13"/>
      <c r="B47" s="13"/>
      <c r="C47" s="13"/>
      <c r="D47" s="13"/>
      <c r="E47" s="15"/>
      <c r="F47" s="15"/>
    </row>
    <row r="48" spans="1:6" x14ac:dyDescent="0.3">
      <c r="A48" s="13"/>
      <c r="B48" s="13"/>
      <c r="C48" s="13"/>
      <c r="D48" s="13"/>
      <c r="E48" s="15"/>
      <c r="F48" s="15"/>
    </row>
    <row r="49" spans="1:6" x14ac:dyDescent="0.3">
      <c r="A49" s="13"/>
      <c r="B49" s="13"/>
      <c r="C49" s="13"/>
      <c r="D49" s="13"/>
      <c r="E49" s="15"/>
      <c r="F49" s="15"/>
    </row>
    <row r="50" spans="1:6" x14ac:dyDescent="0.3">
      <c r="A50" s="13"/>
      <c r="B50" s="13"/>
      <c r="C50" s="13"/>
      <c r="D50" s="13"/>
      <c r="E50" s="15"/>
      <c r="F50" s="15"/>
    </row>
    <row r="51" spans="1:6" x14ac:dyDescent="0.3">
      <c r="A51" s="13"/>
      <c r="B51" s="13"/>
      <c r="C51" s="13"/>
      <c r="D51" s="13"/>
      <c r="E51" s="15"/>
      <c r="F51" s="15"/>
    </row>
    <row r="52" spans="1:6" x14ac:dyDescent="0.3">
      <c r="A52" s="13"/>
      <c r="B52" s="13"/>
      <c r="C52" s="13"/>
      <c r="D52" s="13"/>
      <c r="E52" s="15"/>
      <c r="F52" s="15"/>
    </row>
    <row r="53" spans="1:6" x14ac:dyDescent="0.3">
      <c r="A53" s="13"/>
      <c r="B53" s="13"/>
      <c r="C53" s="13"/>
      <c r="D53" s="13"/>
      <c r="E53" s="15"/>
      <c r="F53" s="15"/>
    </row>
    <row r="54" spans="1:6" x14ac:dyDescent="0.3">
      <c r="A54" s="13"/>
      <c r="B54" s="13"/>
      <c r="C54" s="13"/>
      <c r="D54" s="13"/>
      <c r="E54" s="15"/>
      <c r="F54" s="15"/>
    </row>
    <row r="55" spans="1:6" x14ac:dyDescent="0.3">
      <c r="A55" s="13"/>
      <c r="B55" s="13"/>
      <c r="C55" s="13"/>
      <c r="D55" s="13"/>
      <c r="E55" s="15"/>
      <c r="F55" s="15"/>
    </row>
  </sheetData>
  <phoneticPr fontId="11" type="noConversion"/>
  <pageMargins left="0.7" right="0.7" top="0.75" bottom="0.75" header="0.3" footer="0.3"/>
  <pageSetup paperSize="9" scale="74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55"/>
  <sheetViews>
    <sheetView zoomScaleNormal="100" workbookViewId="0">
      <selection activeCell="J13" sqref="J13"/>
    </sheetView>
  </sheetViews>
  <sheetFormatPr defaultColWidth="9" defaultRowHeight="16.5" x14ac:dyDescent="0.3"/>
  <cols>
    <col min="1" max="1" width="11.5" style="23" bestFit="1" customWidth="1"/>
    <col min="2" max="2" width="27.125" style="23" bestFit="1" customWidth="1"/>
    <col min="3" max="3" width="10.25" style="23" bestFit="1" customWidth="1"/>
    <col min="4" max="4" width="10.25" style="23" customWidth="1"/>
    <col min="5" max="5" width="12.25" style="23" customWidth="1"/>
    <col min="6" max="6" width="12" style="23" customWidth="1"/>
    <col min="7" max="16384" width="9" style="23"/>
  </cols>
  <sheetData>
    <row r="1" spans="1:17" ht="30.75" customHeight="1" x14ac:dyDescent="0.3">
      <c r="A1" s="28" t="s">
        <v>0</v>
      </c>
      <c r="B1" s="27" t="s">
        <v>1</v>
      </c>
      <c r="C1" s="26" t="s">
        <v>12</v>
      </c>
      <c r="D1" s="26" t="s">
        <v>21</v>
      </c>
      <c r="E1" s="26" t="s">
        <v>2</v>
      </c>
      <c r="F1" s="25" t="s">
        <v>3</v>
      </c>
      <c r="G1" s="25" t="s">
        <v>3</v>
      </c>
      <c r="H1" s="29"/>
      <c r="Q1" s="29"/>
    </row>
    <row r="2" spans="1:17" ht="20.100000000000001" customHeight="1" x14ac:dyDescent="0.3">
      <c r="A2" s="7" t="s">
        <v>7</v>
      </c>
      <c r="B2" s="8" t="s">
        <v>8</v>
      </c>
      <c r="C2" s="16">
        <v>1.042</v>
      </c>
      <c r="D2" s="8"/>
      <c r="E2" s="9">
        <v>15.17</v>
      </c>
      <c r="F2" s="9"/>
      <c r="G2" s="9">
        <v>-3.82</v>
      </c>
      <c r="I2" t="s">
        <v>35</v>
      </c>
      <c r="M2" s="23" t="s">
        <v>23</v>
      </c>
    </row>
    <row r="3" spans="1:17" ht="20.100000000000001" customHeight="1" x14ac:dyDescent="0.3">
      <c r="A3" s="7" t="s">
        <v>24</v>
      </c>
      <c r="B3" s="8" t="s">
        <v>25</v>
      </c>
      <c r="C3" s="16">
        <v>0.65600000000000003</v>
      </c>
      <c r="D3" s="8">
        <v>46</v>
      </c>
      <c r="E3" s="9">
        <v>-24.85</v>
      </c>
      <c r="F3" s="9"/>
      <c r="G3" s="9">
        <v>15.43</v>
      </c>
      <c r="I3" s="24" t="s">
        <v>13</v>
      </c>
      <c r="J3" s="24" t="s">
        <v>14</v>
      </c>
      <c r="K3" s="23" t="s">
        <v>15</v>
      </c>
      <c r="M3" s="24" t="s">
        <v>13</v>
      </c>
      <c r="N3" s="24" t="s">
        <v>14</v>
      </c>
      <c r="O3" s="23" t="s">
        <v>26</v>
      </c>
    </row>
    <row r="4" spans="1:17" ht="20.100000000000001" customHeight="1" x14ac:dyDescent="0.3">
      <c r="A4" s="7" t="s">
        <v>36</v>
      </c>
      <c r="B4" s="8" t="s">
        <v>28</v>
      </c>
      <c r="C4" s="8"/>
      <c r="D4" s="8"/>
      <c r="E4" s="9">
        <v>-5.35</v>
      </c>
      <c r="F4" s="9">
        <v>10.119999999999999</v>
      </c>
      <c r="G4" s="9"/>
      <c r="I4">
        <v>44.63</v>
      </c>
      <c r="J4">
        <v>55.37</v>
      </c>
      <c r="K4" s="23">
        <f>SUM(I4:J4)</f>
        <v>100</v>
      </c>
      <c r="M4" s="33">
        <v>45.5</v>
      </c>
      <c r="N4" s="33">
        <v>54.5</v>
      </c>
      <c r="O4" s="23">
        <f>SUM(M4:N4)</f>
        <v>100</v>
      </c>
    </row>
    <row r="5" spans="1:17" ht="20.100000000000001" customHeight="1" x14ac:dyDescent="0.3">
      <c r="A5" s="7" t="s">
        <v>37</v>
      </c>
      <c r="B5" s="8" t="s">
        <v>38</v>
      </c>
      <c r="C5" s="8"/>
      <c r="D5" s="8"/>
      <c r="E5" s="9">
        <v>3.63</v>
      </c>
      <c r="F5" s="9">
        <v>4.0599999999999996</v>
      </c>
      <c r="G5" s="9"/>
      <c r="I5">
        <v>67.569999999999993</v>
      </c>
      <c r="J5">
        <v>32.43</v>
      </c>
      <c r="K5" s="23">
        <f>SUM(I5:J5)</f>
        <v>100</v>
      </c>
      <c r="M5" s="33">
        <v>67.099999999999994</v>
      </c>
      <c r="N5" s="33">
        <v>32.9</v>
      </c>
      <c r="O5" s="23">
        <f>SUM(M5:N5)</f>
        <v>100</v>
      </c>
    </row>
    <row r="6" spans="1:17" ht="20.100000000000001" customHeight="1" x14ac:dyDescent="0.3">
      <c r="A6" s="10" t="s">
        <v>39</v>
      </c>
      <c r="B6" s="11" t="s">
        <v>40</v>
      </c>
      <c r="C6" s="11"/>
      <c r="D6" s="11"/>
      <c r="E6" s="12">
        <v>11</v>
      </c>
      <c r="F6" s="12">
        <v>-0.19</v>
      </c>
      <c r="G6" s="12"/>
      <c r="I6">
        <v>81.38</v>
      </c>
      <c r="J6">
        <v>18.62</v>
      </c>
      <c r="K6" s="23">
        <f>SUM(I6:J6)</f>
        <v>100</v>
      </c>
      <c r="M6" s="33">
        <v>85.5</v>
      </c>
      <c r="N6" s="33">
        <v>14.5</v>
      </c>
      <c r="O6" s="23">
        <f>SUM(M6:N6)</f>
        <v>100</v>
      </c>
    </row>
    <row r="7" spans="1:17" ht="20.100000000000001" customHeight="1" x14ac:dyDescent="0.3">
      <c r="A7" s="13"/>
      <c r="B7" s="13"/>
      <c r="C7" s="13"/>
      <c r="D7" s="13"/>
      <c r="E7" s="14"/>
      <c r="F7" s="14"/>
      <c r="G7" s="14"/>
    </row>
    <row r="8" spans="1:17" ht="20.100000000000001" customHeight="1" x14ac:dyDescent="0.3">
      <c r="A8" s="36" t="s">
        <v>44</v>
      </c>
      <c r="B8" s="32"/>
      <c r="C8" s="32"/>
      <c r="D8" s="32"/>
      <c r="E8" s="14"/>
      <c r="F8" s="14"/>
      <c r="G8" s="14"/>
    </row>
    <row r="9" spans="1:17" ht="20.100000000000001" customHeight="1" x14ac:dyDescent="0.3">
      <c r="A9" s="32"/>
      <c r="B9" s="32"/>
      <c r="C9" s="32"/>
      <c r="D9" s="32"/>
      <c r="E9" s="14"/>
      <c r="F9" s="14"/>
      <c r="G9" s="14"/>
    </row>
    <row r="10" spans="1:17" ht="20.100000000000001" customHeight="1" x14ac:dyDescent="0.3">
      <c r="A10" s="13"/>
      <c r="B10" s="13"/>
      <c r="C10" s="13"/>
      <c r="D10" s="13"/>
      <c r="E10" s="14"/>
      <c r="F10" s="14"/>
      <c r="G10" s="14"/>
    </row>
    <row r="11" spans="1:17" ht="20.100000000000001" customHeight="1" x14ac:dyDescent="0.3">
      <c r="A11" s="13"/>
      <c r="B11" s="13"/>
      <c r="C11" s="13"/>
      <c r="D11" s="13"/>
      <c r="E11" s="14"/>
      <c r="F11" s="14"/>
      <c r="G11" s="14"/>
    </row>
    <row r="12" spans="1:17" ht="20.100000000000001" customHeight="1" x14ac:dyDescent="0.3">
      <c r="A12"/>
      <c r="B12"/>
      <c r="C12"/>
      <c r="D12" s="13"/>
      <c r="E12" s="14"/>
      <c r="F12" s="14"/>
      <c r="G12" s="14"/>
    </row>
    <row r="13" spans="1:17" ht="20.100000000000001" customHeight="1" x14ac:dyDescent="0.3">
      <c r="A13"/>
      <c r="B13"/>
      <c r="C13"/>
      <c r="D13" s="13"/>
      <c r="E13" s="14"/>
      <c r="F13" s="14"/>
      <c r="G13" s="14"/>
    </row>
    <row r="14" spans="1:17" ht="20.100000000000001" customHeight="1" x14ac:dyDescent="0.3">
      <c r="A14" s="31"/>
      <c r="B14" s="31"/>
      <c r="C14"/>
      <c r="D14" s="13"/>
      <c r="E14" s="14"/>
      <c r="F14" s="14"/>
      <c r="G14" s="14"/>
    </row>
    <row r="15" spans="1:17" ht="20.100000000000001" customHeight="1" x14ac:dyDescent="0.3">
      <c r="A15"/>
      <c r="B15"/>
      <c r="C15"/>
      <c r="D15" s="13"/>
      <c r="E15" s="14"/>
      <c r="F15" s="14"/>
      <c r="G15" s="14"/>
    </row>
    <row r="16" spans="1:17" ht="20.100000000000001" customHeight="1" x14ac:dyDescent="0.3">
      <c r="A16"/>
      <c r="B16"/>
      <c r="C16"/>
      <c r="D16" s="13"/>
      <c r="E16" s="14"/>
      <c r="F16" s="14"/>
      <c r="G16" s="14"/>
    </row>
    <row r="17" spans="1:7" ht="20.100000000000001" customHeight="1" x14ac:dyDescent="0.3">
      <c r="A17"/>
      <c r="B17"/>
      <c r="C17"/>
      <c r="D17" s="13"/>
      <c r="E17" s="14"/>
      <c r="F17" s="14"/>
      <c r="G17" s="14"/>
    </row>
    <row r="18" spans="1:7" x14ac:dyDescent="0.3">
      <c r="A18" s="13"/>
      <c r="B18" s="13"/>
      <c r="C18" s="13"/>
      <c r="D18" s="13"/>
      <c r="E18" s="14"/>
      <c r="F18" s="14"/>
      <c r="G18" s="14"/>
    </row>
    <row r="19" spans="1:7" x14ac:dyDescent="0.3">
      <c r="A19" s="13"/>
      <c r="B19" s="13"/>
      <c r="C19" s="13"/>
      <c r="D19" s="13"/>
      <c r="E19" s="14"/>
      <c r="F19" s="14"/>
      <c r="G19" s="14"/>
    </row>
    <row r="20" spans="1:7" x14ac:dyDescent="0.3">
      <c r="A20" s="13"/>
      <c r="B20" s="13"/>
      <c r="C20" s="13"/>
      <c r="D20" s="13"/>
      <c r="E20" s="14"/>
      <c r="F20" s="14"/>
      <c r="G20" s="14"/>
    </row>
    <row r="21" spans="1:7" x14ac:dyDescent="0.3">
      <c r="A21" s="13"/>
      <c r="B21" s="13"/>
      <c r="C21" s="13"/>
      <c r="D21" s="13"/>
      <c r="E21" s="14"/>
      <c r="F21" s="14"/>
      <c r="G21" s="14"/>
    </row>
    <row r="22" spans="1:7" x14ac:dyDescent="0.3">
      <c r="A22" s="13"/>
      <c r="B22" s="13"/>
      <c r="C22" s="13"/>
      <c r="D22" s="13"/>
      <c r="E22" s="14"/>
      <c r="F22" s="14"/>
      <c r="G22" s="14"/>
    </row>
    <row r="23" spans="1:7" x14ac:dyDescent="0.3">
      <c r="A23" s="13"/>
      <c r="B23" s="13"/>
      <c r="C23" s="13"/>
      <c r="D23" s="13"/>
      <c r="E23" s="14"/>
      <c r="F23" s="14"/>
      <c r="G23" s="14"/>
    </row>
    <row r="24" spans="1:7" x14ac:dyDescent="0.3">
      <c r="A24" s="13"/>
      <c r="B24" s="13"/>
      <c r="C24" s="13"/>
      <c r="D24" s="13"/>
      <c r="E24" s="14"/>
      <c r="F24" s="14"/>
      <c r="G24" s="14"/>
    </row>
    <row r="25" spans="1:7" x14ac:dyDescent="0.3">
      <c r="A25" s="13"/>
      <c r="B25" s="13"/>
      <c r="C25" s="13"/>
      <c r="D25" s="13"/>
      <c r="E25" s="14"/>
      <c r="F25" s="14"/>
      <c r="G25" s="14"/>
    </row>
    <row r="26" spans="1:7" x14ac:dyDescent="0.3">
      <c r="A26" s="13"/>
      <c r="B26" s="13"/>
      <c r="C26" s="13"/>
      <c r="D26" s="13"/>
      <c r="E26" s="14"/>
      <c r="F26" s="14"/>
    </row>
    <row r="27" spans="1:7" x14ac:dyDescent="0.3">
      <c r="A27" s="13"/>
      <c r="B27" s="13"/>
      <c r="C27" s="13"/>
      <c r="D27" s="13"/>
      <c r="E27" s="14"/>
      <c r="F27" s="14"/>
    </row>
    <row r="28" spans="1:7" x14ac:dyDescent="0.3">
      <c r="A28" s="13"/>
      <c r="B28" s="13"/>
      <c r="C28" s="13"/>
      <c r="D28" s="13"/>
      <c r="E28" s="14"/>
      <c r="F28" s="14"/>
    </row>
    <row r="29" spans="1:7" x14ac:dyDescent="0.3">
      <c r="A29" s="13"/>
      <c r="B29" s="13"/>
      <c r="C29" s="13"/>
      <c r="D29" s="13"/>
      <c r="E29" s="14"/>
      <c r="F29" s="14"/>
    </row>
    <row r="30" spans="1:7" x14ac:dyDescent="0.3">
      <c r="A30" s="13"/>
      <c r="B30" s="13"/>
      <c r="C30" s="13"/>
      <c r="D30" s="13"/>
      <c r="E30" s="14"/>
      <c r="F30" s="14"/>
    </row>
    <row r="31" spans="1:7" x14ac:dyDescent="0.3">
      <c r="A31" s="13"/>
      <c r="B31" s="13"/>
      <c r="C31" s="13"/>
      <c r="D31" s="13"/>
      <c r="E31" s="14"/>
      <c r="F31" s="14"/>
    </row>
    <row r="32" spans="1:7" x14ac:dyDescent="0.3">
      <c r="A32" s="13"/>
      <c r="B32" s="13"/>
      <c r="C32" s="13"/>
      <c r="D32" s="13"/>
      <c r="E32" s="15"/>
      <c r="F32" s="15"/>
    </row>
    <row r="33" spans="1:6" x14ac:dyDescent="0.3">
      <c r="A33" s="13"/>
      <c r="B33" s="13"/>
      <c r="C33" s="13"/>
      <c r="D33" s="13"/>
      <c r="E33" s="15"/>
      <c r="F33" s="15"/>
    </row>
    <row r="34" spans="1:6" x14ac:dyDescent="0.3">
      <c r="A34" s="13"/>
      <c r="B34" s="13"/>
      <c r="C34" s="13"/>
      <c r="D34" s="13"/>
      <c r="E34" s="15"/>
      <c r="F34" s="15"/>
    </row>
    <row r="35" spans="1:6" x14ac:dyDescent="0.3">
      <c r="A35" s="13"/>
      <c r="B35" s="13"/>
      <c r="C35" s="13"/>
      <c r="D35" s="13"/>
      <c r="E35" s="15"/>
      <c r="F35" s="15"/>
    </row>
    <row r="36" spans="1:6" x14ac:dyDescent="0.3">
      <c r="A36" s="13"/>
      <c r="B36" s="13"/>
      <c r="C36" s="13"/>
      <c r="D36" s="13"/>
      <c r="E36" s="15"/>
      <c r="F36" s="15"/>
    </row>
    <row r="37" spans="1:6" x14ac:dyDescent="0.3">
      <c r="A37" s="13"/>
      <c r="B37" s="13"/>
      <c r="C37" s="13"/>
      <c r="D37" s="13"/>
      <c r="E37" s="15"/>
      <c r="F37" s="15"/>
    </row>
    <row r="38" spans="1:6" x14ac:dyDescent="0.3">
      <c r="A38" s="13"/>
      <c r="B38" s="13"/>
      <c r="C38" s="13"/>
      <c r="D38" s="13"/>
      <c r="E38" s="15"/>
      <c r="F38" s="15"/>
    </row>
    <row r="39" spans="1:6" x14ac:dyDescent="0.3">
      <c r="A39" s="13"/>
      <c r="B39" s="13"/>
      <c r="C39" s="13"/>
      <c r="D39" s="13"/>
      <c r="E39" s="15"/>
      <c r="F39" s="15"/>
    </row>
    <row r="40" spans="1:6" x14ac:dyDescent="0.3">
      <c r="A40" s="13"/>
      <c r="B40" s="13"/>
      <c r="C40" s="13"/>
      <c r="D40" s="13"/>
      <c r="E40" s="15"/>
      <c r="F40" s="15"/>
    </row>
    <row r="41" spans="1:6" x14ac:dyDescent="0.3">
      <c r="A41" s="13"/>
      <c r="B41" s="13"/>
      <c r="C41" s="13"/>
      <c r="D41" s="13"/>
      <c r="E41" s="15"/>
      <c r="F41" s="15"/>
    </row>
    <row r="42" spans="1:6" x14ac:dyDescent="0.3">
      <c r="A42" s="13"/>
      <c r="B42" s="13"/>
      <c r="C42" s="13"/>
      <c r="D42" s="13"/>
      <c r="E42" s="15"/>
      <c r="F42" s="15"/>
    </row>
    <row r="43" spans="1:6" x14ac:dyDescent="0.3">
      <c r="A43" s="13"/>
      <c r="B43" s="13"/>
      <c r="C43" s="13"/>
      <c r="D43" s="13"/>
      <c r="E43" s="15"/>
      <c r="F43" s="15"/>
    </row>
    <row r="44" spans="1:6" x14ac:dyDescent="0.3">
      <c r="A44" s="13"/>
      <c r="B44" s="13"/>
      <c r="C44" s="13"/>
      <c r="D44" s="13"/>
      <c r="E44" s="15"/>
      <c r="F44" s="15"/>
    </row>
    <row r="45" spans="1:6" x14ac:dyDescent="0.3">
      <c r="A45" s="13"/>
      <c r="B45" s="13"/>
      <c r="C45" s="13"/>
      <c r="D45" s="13"/>
      <c r="E45" s="15"/>
      <c r="F45" s="15"/>
    </row>
    <row r="46" spans="1:6" x14ac:dyDescent="0.3">
      <c r="A46" s="13"/>
      <c r="B46" s="13"/>
      <c r="C46" s="13"/>
      <c r="D46" s="13"/>
      <c r="E46" s="15"/>
      <c r="F46" s="15"/>
    </row>
    <row r="47" spans="1:6" x14ac:dyDescent="0.3">
      <c r="A47" s="13"/>
      <c r="B47" s="13"/>
      <c r="C47" s="13"/>
      <c r="D47" s="13"/>
      <c r="E47" s="15"/>
      <c r="F47" s="15"/>
    </row>
    <row r="48" spans="1:6" x14ac:dyDescent="0.3">
      <c r="A48" s="13"/>
      <c r="B48" s="13"/>
      <c r="C48" s="13"/>
      <c r="D48" s="13"/>
      <c r="E48" s="15"/>
      <c r="F48" s="15"/>
    </row>
    <row r="49" spans="1:6" x14ac:dyDescent="0.3">
      <c r="A49" s="13"/>
      <c r="B49" s="13"/>
      <c r="C49" s="13"/>
      <c r="D49" s="13"/>
      <c r="E49" s="15"/>
      <c r="F49" s="15"/>
    </row>
    <row r="50" spans="1:6" x14ac:dyDescent="0.3">
      <c r="A50" s="13"/>
      <c r="B50" s="13"/>
      <c r="C50" s="13"/>
      <c r="D50" s="13"/>
      <c r="E50" s="15"/>
      <c r="F50" s="15"/>
    </row>
    <row r="51" spans="1:6" x14ac:dyDescent="0.3">
      <c r="A51" s="13"/>
      <c r="B51" s="13"/>
      <c r="C51" s="13"/>
      <c r="D51" s="13"/>
      <c r="E51" s="15"/>
      <c r="F51" s="15"/>
    </row>
    <row r="52" spans="1:6" x14ac:dyDescent="0.3">
      <c r="A52" s="13"/>
      <c r="B52" s="13"/>
      <c r="C52" s="13"/>
      <c r="D52" s="13"/>
      <c r="E52" s="15"/>
      <c r="F52" s="15"/>
    </row>
    <row r="53" spans="1:6" x14ac:dyDescent="0.3">
      <c r="A53" s="13"/>
      <c r="B53" s="13"/>
      <c r="C53" s="13"/>
      <c r="D53" s="13"/>
      <c r="E53" s="15"/>
      <c r="F53" s="15"/>
    </row>
    <row r="54" spans="1:6" x14ac:dyDescent="0.3">
      <c r="A54" s="13"/>
      <c r="B54" s="13"/>
      <c r="C54" s="13"/>
      <c r="D54" s="13"/>
      <c r="E54" s="15"/>
      <c r="F54" s="15"/>
    </row>
    <row r="55" spans="1:6" x14ac:dyDescent="0.3">
      <c r="A55" s="13"/>
      <c r="B55" s="13"/>
      <c r="C55" s="13"/>
      <c r="D55" s="13"/>
      <c r="E55" s="15"/>
      <c r="F55" s="15"/>
    </row>
  </sheetData>
  <phoneticPr fontId="11" type="noConversion"/>
  <pageMargins left="0.7" right="0.7" top="0.75" bottom="0.75" header="0.3" footer="0.3"/>
  <pageSetup paperSize="9" scale="74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실험 결과 정리중(계속)</vt:lpstr>
      <vt:lpstr>260416 실험</vt:lpstr>
      <vt:lpstr>260423 실험(Volume)</vt:lpstr>
      <vt:lpstr>260423 실험(Weight)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2026-04-15T23:58:40Z</dcterms:created>
  <dcterms:modified xsi:type="dcterms:W3CDTF">2026-08-03T00:07:20Z</dcterms:modified>
</cp:coreProperties>
</file>