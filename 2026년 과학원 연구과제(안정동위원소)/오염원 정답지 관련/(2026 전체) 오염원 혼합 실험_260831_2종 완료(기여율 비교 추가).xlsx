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오염원 추적 연구단 관련\오염원 정답지 작성 관련\"/>
    </mc:Choice>
  </mc:AlternateContent>
  <bookViews>
    <workbookView xWindow="-120" yWindow="-120" windowWidth="29040" windowHeight="15720"/>
  </bookViews>
  <sheets>
    <sheet name="test 및 2종" sheetId="1" r:id="rId1"/>
    <sheet name="실험 계획" sheetId="5" r:id="rId2"/>
    <sheet name="260416 실험" sheetId="2" r:id="rId3"/>
    <sheet name="260423 실험(Volume)" sheetId="3" r:id="rId4"/>
    <sheet name="260423 실험(Weight)" sheetId="4" r:id="rId5"/>
  </sheets>
  <externalReferences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25" i="1" l="1"/>
  <c r="AG125" i="1"/>
  <c r="AF125" i="1"/>
  <c r="AH124" i="1"/>
  <c r="AG124" i="1"/>
  <c r="AF124" i="1"/>
  <c r="AH123" i="1"/>
  <c r="AG123" i="1"/>
  <c r="AF123" i="1"/>
  <c r="AD125" i="1"/>
  <c r="AC125" i="1"/>
  <c r="AB125" i="1"/>
  <c r="AD124" i="1"/>
  <c r="AC124" i="1"/>
  <c r="AB124" i="1"/>
  <c r="AD123" i="1"/>
  <c r="AC123" i="1"/>
  <c r="AB123" i="1"/>
  <c r="AH117" i="1"/>
  <c r="AG117" i="1"/>
  <c r="AF117" i="1"/>
  <c r="AH116" i="1"/>
  <c r="AG116" i="1"/>
  <c r="AF116" i="1"/>
  <c r="AH115" i="1"/>
  <c r="AG115" i="1"/>
  <c r="AF115" i="1"/>
  <c r="AD117" i="1"/>
  <c r="AC117" i="1"/>
  <c r="AB117" i="1"/>
  <c r="AD116" i="1"/>
  <c r="AC116" i="1"/>
  <c r="AB116" i="1"/>
  <c r="AD115" i="1"/>
  <c r="AC115" i="1"/>
  <c r="AB115" i="1"/>
  <c r="AH109" i="1"/>
  <c r="AG109" i="1"/>
  <c r="AF109" i="1"/>
  <c r="AH108" i="1"/>
  <c r="AG108" i="1"/>
  <c r="AF108" i="1"/>
  <c r="AH107" i="1"/>
  <c r="AG107" i="1"/>
  <c r="AF107" i="1"/>
  <c r="AD109" i="1"/>
  <c r="AC109" i="1"/>
  <c r="AB109" i="1"/>
  <c r="AD108" i="1"/>
  <c r="AC108" i="1"/>
  <c r="AB108" i="1"/>
  <c r="AD107" i="1"/>
  <c r="AC107" i="1"/>
  <c r="AB107" i="1"/>
  <c r="AH101" i="1"/>
  <c r="AG101" i="1"/>
  <c r="AF101" i="1"/>
  <c r="AH100" i="1"/>
  <c r="AG100" i="1"/>
  <c r="AF100" i="1"/>
  <c r="AH99" i="1"/>
  <c r="AG99" i="1"/>
  <c r="AF99" i="1"/>
  <c r="AD101" i="1"/>
  <c r="AC101" i="1"/>
  <c r="AB101" i="1"/>
  <c r="AD100" i="1"/>
  <c r="AC100" i="1"/>
  <c r="AB100" i="1"/>
  <c r="AD99" i="1"/>
  <c r="AC99" i="1"/>
  <c r="AB99" i="1"/>
  <c r="AH92" i="1"/>
  <c r="AH93" i="1"/>
  <c r="AG92" i="1"/>
  <c r="AG93" i="1"/>
  <c r="AH91" i="1"/>
  <c r="AG91" i="1"/>
  <c r="AD92" i="1"/>
  <c r="AD93" i="1"/>
  <c r="AD91" i="1"/>
  <c r="AC92" i="1"/>
  <c r="AC93" i="1"/>
  <c r="AC91" i="1"/>
  <c r="AF92" i="1"/>
  <c r="AF93" i="1"/>
  <c r="AF91" i="1"/>
  <c r="AB92" i="1"/>
  <c r="AB93" i="1"/>
  <c r="AB91" i="1"/>
  <c r="N126" i="1" l="1"/>
  <c r="J126" i="1"/>
  <c r="N125" i="1"/>
  <c r="J125" i="1"/>
  <c r="N124" i="1"/>
  <c r="J124" i="1"/>
  <c r="N118" i="1"/>
  <c r="J118" i="1"/>
  <c r="N117" i="1"/>
  <c r="J117" i="1"/>
  <c r="N116" i="1"/>
  <c r="J116" i="1"/>
  <c r="N110" i="1"/>
  <c r="J110" i="1"/>
  <c r="N109" i="1"/>
  <c r="J109" i="1"/>
  <c r="N108" i="1"/>
  <c r="J108" i="1"/>
  <c r="N102" i="1"/>
  <c r="J102" i="1"/>
  <c r="N101" i="1"/>
  <c r="J101" i="1"/>
  <c r="N100" i="1"/>
  <c r="J100" i="1"/>
  <c r="J94" i="1"/>
  <c r="J93" i="1"/>
  <c r="J92" i="1"/>
  <c r="N94" i="1"/>
  <c r="N93" i="1"/>
  <c r="N92" i="1"/>
  <c r="Y125" i="1"/>
  <c r="Z125" i="1" s="1"/>
  <c r="X125" i="1"/>
  <c r="Z124" i="1"/>
  <c r="Y124" i="1"/>
  <c r="X124" i="1"/>
  <c r="Z123" i="1"/>
  <c r="Y123" i="1"/>
  <c r="X123" i="1"/>
  <c r="Y117" i="1"/>
  <c r="Z117" i="1" s="1"/>
  <c r="X117" i="1"/>
  <c r="Y116" i="1"/>
  <c r="Z116" i="1" s="1"/>
  <c r="X116" i="1"/>
  <c r="Y115" i="1"/>
  <c r="Z115" i="1" s="1"/>
  <c r="X115" i="1"/>
  <c r="Y109" i="1"/>
  <c r="Z109" i="1" s="1"/>
  <c r="X109" i="1"/>
  <c r="Y108" i="1"/>
  <c r="Z108" i="1" s="1"/>
  <c r="X108" i="1"/>
  <c r="Z107" i="1"/>
  <c r="Y107" i="1"/>
  <c r="X107" i="1"/>
  <c r="Y101" i="1"/>
  <c r="Z101" i="1" s="1"/>
  <c r="X101" i="1"/>
  <c r="Y100" i="1"/>
  <c r="Z100" i="1" s="1"/>
  <c r="X100" i="1"/>
  <c r="Z99" i="1"/>
  <c r="Y99" i="1"/>
  <c r="X99" i="1"/>
  <c r="X93" i="1"/>
  <c r="X92" i="1"/>
  <c r="X91" i="1"/>
  <c r="Y93" i="1"/>
  <c r="Z93" i="1" s="1"/>
  <c r="Y92" i="1"/>
  <c r="Z92" i="1" s="1"/>
  <c r="Y91" i="1"/>
  <c r="Z91" i="1" s="1"/>
  <c r="Q93" i="1"/>
  <c r="Q92" i="1"/>
  <c r="Q91" i="1"/>
  <c r="R125" i="1" l="1"/>
  <c r="R124" i="1"/>
  <c r="R123" i="1"/>
  <c r="V125" i="1"/>
  <c r="Q125" i="1"/>
  <c r="Q124" i="1"/>
  <c r="Q123" i="1"/>
  <c r="R117" i="1"/>
  <c r="R116" i="1"/>
  <c r="R115" i="1"/>
  <c r="Q117" i="1"/>
  <c r="Q116" i="1"/>
  <c r="Q115" i="1"/>
  <c r="V117" i="1"/>
  <c r="U117" i="1"/>
  <c r="V115" i="1"/>
  <c r="U115" i="1"/>
  <c r="U116" i="1"/>
  <c r="R109" i="1"/>
  <c r="R108" i="1"/>
  <c r="R107" i="1"/>
  <c r="Q109" i="1"/>
  <c r="Q108" i="1"/>
  <c r="Q107" i="1"/>
  <c r="V109" i="1"/>
  <c r="U109" i="1"/>
  <c r="U108" i="1"/>
  <c r="U107" i="1"/>
  <c r="Q101" i="1"/>
  <c r="Q100" i="1"/>
  <c r="Q99" i="1"/>
  <c r="R101" i="1"/>
  <c r="R100" i="1"/>
  <c r="V101" i="1"/>
  <c r="V100" i="1"/>
  <c r="U100" i="1"/>
  <c r="R99" i="1"/>
  <c r="R92" i="1"/>
  <c r="V92" i="1" s="1"/>
  <c r="U101" i="1"/>
  <c r="V99" i="1"/>
  <c r="R93" i="1"/>
  <c r="R91" i="1"/>
  <c r="U125" i="1"/>
  <c r="U124" i="1"/>
  <c r="V123" i="1"/>
  <c r="V116" i="1"/>
  <c r="V107" i="1"/>
  <c r="V108" i="1"/>
  <c r="U99" i="1"/>
  <c r="V124" i="1"/>
  <c r="U123" i="1"/>
  <c r="U92" i="1"/>
  <c r="U93" i="1"/>
  <c r="V93" i="1"/>
  <c r="V91" i="1"/>
  <c r="U91" i="1"/>
  <c r="O34" i="5" l="1"/>
  <c r="O33" i="5"/>
  <c r="O32" i="5"/>
  <c r="O31" i="5"/>
  <c r="O30" i="5"/>
  <c r="O29" i="5"/>
  <c r="O28" i="5"/>
  <c r="W18" i="5"/>
  <c r="W17" i="5"/>
  <c r="W16" i="5"/>
  <c r="W15" i="5"/>
  <c r="W14" i="5"/>
  <c r="W13" i="5"/>
  <c r="W12" i="5"/>
  <c r="W11" i="5"/>
  <c r="W10" i="5"/>
  <c r="O43" i="5"/>
  <c r="O42" i="5"/>
  <c r="O41" i="5"/>
  <c r="O40" i="5"/>
  <c r="O39" i="5"/>
  <c r="O38" i="5"/>
  <c r="O37" i="5"/>
  <c r="O25" i="5"/>
  <c r="O24" i="5"/>
  <c r="O23" i="5"/>
  <c r="O22" i="5"/>
  <c r="O21" i="5"/>
  <c r="O20" i="5"/>
  <c r="O19" i="5"/>
  <c r="O16" i="5"/>
  <c r="O15" i="5"/>
  <c r="O14" i="5"/>
  <c r="O13" i="5"/>
  <c r="O12" i="5"/>
  <c r="O11" i="5"/>
  <c r="O10" i="5"/>
  <c r="C32" i="5"/>
  <c r="C31" i="5"/>
  <c r="C30" i="5"/>
  <c r="C27" i="5"/>
  <c r="C26" i="5"/>
  <c r="C25" i="5"/>
  <c r="C22" i="5"/>
  <c r="C21" i="5"/>
  <c r="C20" i="5"/>
  <c r="C15" i="5"/>
  <c r="C17" i="5"/>
  <c r="C16" i="5"/>
  <c r="C12" i="5"/>
  <c r="C11" i="5"/>
  <c r="C10" i="5"/>
  <c r="Y62" i="1" l="1"/>
  <c r="U62" i="1"/>
  <c r="Y61" i="1"/>
  <c r="U61" i="1"/>
  <c r="Y60" i="1"/>
  <c r="U60" i="1"/>
  <c r="N59" i="1"/>
  <c r="J59" i="1"/>
  <c r="N58" i="1"/>
  <c r="J58" i="1"/>
  <c r="N57" i="1"/>
  <c r="J57" i="1"/>
  <c r="R62" i="1"/>
  <c r="R67" i="1" s="1"/>
  <c r="R61" i="1"/>
  <c r="R66" i="1" s="1"/>
  <c r="Q62" i="1"/>
  <c r="Q67" i="1" s="1"/>
  <c r="Q61" i="1"/>
  <c r="Q66" i="1" s="1"/>
  <c r="R60" i="1"/>
  <c r="R65" i="1" s="1"/>
  <c r="Q60" i="1"/>
  <c r="Q65" i="1" s="1"/>
  <c r="R13" i="1"/>
  <c r="S15" i="1" l="1"/>
  <c r="S14" i="1"/>
  <c r="S13" i="1"/>
  <c r="R15" i="1"/>
  <c r="R14" i="1"/>
  <c r="N50" i="1" l="1"/>
  <c r="J50" i="1"/>
  <c r="N49" i="1"/>
  <c r="J49" i="1"/>
  <c r="N48" i="1"/>
  <c r="J48" i="1"/>
  <c r="N42" i="1" l="1"/>
  <c r="J42" i="1"/>
  <c r="N41" i="1"/>
  <c r="J41" i="1"/>
  <c r="N40" i="1"/>
  <c r="J40" i="1"/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<sst xmlns="http://schemas.openxmlformats.org/spreadsheetml/2006/main" count="643" uniqueCount="188">
  <si>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</si>
  <si>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</si>
  <si>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</si>
  <si>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</si>
  <si>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</si>
  <si>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</si>
  <si>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</si>
  <si>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</si>
  <si>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</si>
  <si>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</si>
  <si>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</si>
  <si>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</si>
  <si>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</si>
  <si>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</si>
  <si>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</si>
  <si>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</si>
  <si>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</si>
  <si>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</si>
  <si>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</si>
  <si>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</si>
  <si>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</si>
  <si>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</si>
  <si>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</si>
  <si>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</si>
  <si>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</si>
  <si>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</si>
  <si>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</si>
  <si>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</si>
  <si>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</si>
  <si>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</si>
  <si>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</si>
  <si>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</si>
  <si>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</si>
  <si>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</si>
  <si>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</si>
  <si>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</si>
  <si>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</si>
  <si>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</si>
  <si>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</si>
  <si>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</si>
  <si>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</si>
  <si>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</si>
  <si>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</si>
  <si>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</si>
  <si>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</si>
  <si>
    <t>남평퇴비</t>
    <phoneticPr fontId="4" type="noConversion"/>
  </si>
  <si>
    <t>하수25 : 퇴비 75</t>
  </si>
  <si>
    <t>하수50 : 퇴비 50</t>
  </si>
  <si>
    <t>하수75 : 퇴비 25</t>
  </si>
  <si>
    <t>(2024)EM-44</t>
    <phoneticPr fontId="4" type="noConversion"/>
  </si>
  <si>
    <t>manure</t>
    <phoneticPr fontId="11" type="noConversion"/>
  </si>
  <si>
    <t>2026-05-08(SW25 가상값)</t>
    <phoneticPr fontId="4" type="noConversion"/>
  </si>
  <si>
    <t>혼합비율</t>
    <phoneticPr fontId="4" type="noConversion"/>
  </si>
  <si>
    <t>이론 계산값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</si>
  <si>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</si>
  <si>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1" type="noConversion"/>
  </si>
  <si>
    <t>하수25 : 비료 75</t>
  </si>
  <si>
    <t>SW25-01</t>
  </si>
  <si>
    <t>SW50-01</t>
  </si>
  <si>
    <t>SW75-01</t>
  </si>
  <si>
    <t>혼합비율</t>
    <phoneticPr fontId="5" type="noConversion"/>
  </si>
  <si>
    <t>EMMTE(%) 결과</t>
    <phoneticPr fontId="11" type="noConversion"/>
  </si>
  <si>
    <t>계산값/이론값</t>
    <phoneticPr fontId="11" type="noConversion"/>
  </si>
  <si>
    <t>이론 계산값</t>
    <phoneticPr fontId="5" type="noConversion"/>
  </si>
  <si>
    <t>!!광주1하수처리장의 농도 및 동위원소 분석값 차이 발생</t>
    <phoneticPr fontId="11" type="noConversion"/>
  </si>
  <si>
    <t xml:space="preserve">!! 추후 계획 </t>
    <phoneticPr fontId="11" type="noConversion"/>
  </si>
  <si>
    <t>1. 분뇨 및 토양 시료 확인 및 필요시 NO3 분석</t>
    <phoneticPr fontId="11" type="noConversion"/>
  </si>
  <si>
    <t>2종</t>
    <phoneticPr fontId="11" type="noConversion"/>
  </si>
  <si>
    <t>하수 분뇨</t>
    <phoneticPr fontId="11" type="noConversion"/>
  </si>
  <si>
    <t>하수 토양</t>
    <phoneticPr fontId="11" type="noConversion"/>
  </si>
  <si>
    <t>비료 분뇨</t>
    <phoneticPr fontId="11" type="noConversion"/>
  </si>
  <si>
    <t>하수 비료</t>
    <phoneticPr fontId="11" type="noConversion"/>
  </si>
  <si>
    <t>비료 토양</t>
    <phoneticPr fontId="11" type="noConversion"/>
  </si>
  <si>
    <t>분뇨 토양</t>
    <phoneticPr fontId="11" type="noConversion"/>
  </si>
  <si>
    <t>3종</t>
    <phoneticPr fontId="11" type="noConversion"/>
  </si>
  <si>
    <t>하수 비료 분뇨</t>
    <phoneticPr fontId="11" type="noConversion"/>
  </si>
  <si>
    <t>하수 비료 토양</t>
    <phoneticPr fontId="11" type="noConversion"/>
  </si>
  <si>
    <t>비료 뷴뇨 토양</t>
    <phoneticPr fontId="11" type="noConversion"/>
  </si>
  <si>
    <t>4종</t>
    <phoneticPr fontId="11" type="noConversion"/>
  </si>
  <si>
    <t>하수 비료 분뇨 토양</t>
    <phoneticPr fontId="11" type="noConversion"/>
  </si>
  <si>
    <t xml:space="preserve">2. 하수, 비료, 분뇨, 토양 4종의 오염원을 대상으로 2종, 3종, 4종 혼합실험 진행 </t>
    <phoneticPr fontId="11" type="noConversion"/>
  </si>
  <si>
    <t>No</t>
    <phoneticPr fontId="4" type="noConversion"/>
  </si>
  <si>
    <t>Name</t>
    <phoneticPr fontId="4" type="noConversion"/>
  </si>
  <si>
    <t>종류</t>
    <phoneticPr fontId="4" type="noConversion"/>
  </si>
  <si>
    <t>NO3-N</t>
  </si>
  <si>
    <t>만봉천 논토양</t>
    <phoneticPr fontId="4" type="noConversion"/>
  </si>
  <si>
    <t>토양</t>
    <phoneticPr fontId="4" type="noConversion"/>
  </si>
  <si>
    <t>광주하수처리장</t>
    <phoneticPr fontId="4" type="noConversion"/>
  </si>
  <si>
    <t>하수</t>
    <phoneticPr fontId="4" type="noConversion"/>
  </si>
  <si>
    <t>요소비료</t>
    <phoneticPr fontId="4" type="noConversion"/>
  </si>
  <si>
    <t>비료</t>
    <phoneticPr fontId="4" type="noConversion"/>
  </si>
  <si>
    <t>하수+토양</t>
    <phoneticPr fontId="11" type="noConversion"/>
  </si>
  <si>
    <t>2종 실험</t>
    <phoneticPr fontId="11" type="noConversion"/>
  </si>
  <si>
    <t>퇴비</t>
    <phoneticPr fontId="4" type="noConversion"/>
  </si>
  <si>
    <t>하수+퇴비</t>
    <phoneticPr fontId="11" type="noConversion"/>
  </si>
  <si>
    <t>하수25 : 퇴비 75</t>
    <phoneticPr fontId="11" type="noConversion"/>
  </si>
  <si>
    <t>하수50 : 퇴비 50</t>
    <phoneticPr fontId="11" type="noConversion"/>
  </si>
  <si>
    <t>하수75 : 퇴비 25</t>
    <phoneticPr fontId="11" type="noConversion"/>
  </si>
  <si>
    <t>혼합 비율</t>
    <phoneticPr fontId="11" type="noConversion"/>
  </si>
  <si>
    <t>분류</t>
    <phoneticPr fontId="11" type="noConversion"/>
  </si>
  <si>
    <t>예상농도</t>
    <phoneticPr fontId="11" type="noConversion"/>
  </si>
  <si>
    <t>주입량</t>
    <phoneticPr fontId="11" type="noConversion"/>
  </si>
  <si>
    <t>혼합비율</t>
    <phoneticPr fontId="11" type="noConversion"/>
  </si>
  <si>
    <t>하수25 : 토양 75</t>
    <phoneticPr fontId="11" type="noConversion"/>
  </si>
  <si>
    <t>하수50 : 토양 50</t>
    <phoneticPr fontId="11" type="noConversion"/>
  </si>
  <si>
    <t>하수75 : 토양 25</t>
    <phoneticPr fontId="11" type="noConversion"/>
  </si>
  <si>
    <t>비료+퇴비</t>
    <phoneticPr fontId="11" type="noConversion"/>
  </si>
  <si>
    <t>비료25 : 퇴비 75</t>
    <phoneticPr fontId="11" type="noConversion"/>
  </si>
  <si>
    <t>비료50 : 퇴비 50</t>
    <phoneticPr fontId="11" type="noConversion"/>
  </si>
  <si>
    <t>비료75 : 퇴비 25</t>
    <phoneticPr fontId="11" type="noConversion"/>
  </si>
  <si>
    <t>비료+토양</t>
    <phoneticPr fontId="11" type="noConversion"/>
  </si>
  <si>
    <t>비료25 : 토양 75</t>
    <phoneticPr fontId="11" type="noConversion"/>
  </si>
  <si>
    <t>비료50 : 토양 50</t>
    <phoneticPr fontId="11" type="noConversion"/>
  </si>
  <si>
    <t>비료75 : 토양 25</t>
    <phoneticPr fontId="11" type="noConversion"/>
  </si>
  <si>
    <t>퇴비+토양</t>
    <phoneticPr fontId="11" type="noConversion"/>
  </si>
  <si>
    <t>퇴비25 : 토양 75</t>
    <phoneticPr fontId="11" type="noConversion"/>
  </si>
  <si>
    <t>퇴비50 : 토양 50</t>
    <phoneticPr fontId="11" type="noConversion"/>
  </si>
  <si>
    <t>퇴비75 : 토양 25</t>
    <phoneticPr fontId="11" type="noConversion"/>
  </si>
  <si>
    <t>3종 실험</t>
    <phoneticPr fontId="11" type="noConversion"/>
  </si>
  <si>
    <t>하수+비료+퇴비</t>
    <phoneticPr fontId="11" type="noConversion"/>
  </si>
  <si>
    <t>하수+비료+토양</t>
    <phoneticPr fontId="11" type="noConversion"/>
  </si>
  <si>
    <t>비료+퇴비+토양</t>
    <phoneticPr fontId="11" type="noConversion"/>
  </si>
  <si>
    <t>4종 실험</t>
    <phoneticPr fontId="11" type="noConversion"/>
  </si>
  <si>
    <t>하수+비료+퇴비+토양</t>
    <phoneticPr fontId="11" type="noConversion"/>
  </si>
  <si>
    <t>하수33.3 : 비료33.3 : 퇴비 33.3</t>
    <phoneticPr fontId="11" type="noConversion"/>
  </si>
  <si>
    <t>하수50 : 비료25 : 퇴비 25</t>
    <phoneticPr fontId="11" type="noConversion"/>
  </si>
  <si>
    <t>하수25 : 비료50 : 퇴비 25</t>
    <phoneticPr fontId="11" type="noConversion"/>
  </si>
  <si>
    <t>하수25 : 비료25 : 퇴비 50</t>
    <phoneticPr fontId="11" type="noConversion"/>
  </si>
  <si>
    <t>하수75 : 비료12.5 : 퇴비12.5</t>
    <phoneticPr fontId="11" type="noConversion"/>
  </si>
  <si>
    <t>하수12.5 : 비료75 : 퇴비12.5</t>
    <phoneticPr fontId="11" type="noConversion"/>
  </si>
  <si>
    <t>하수12.5 : 비료12.5 : 퇴비75</t>
    <phoneticPr fontId="11" type="noConversion"/>
  </si>
  <si>
    <t>하수33.3 : 비료33.3 : 토양 33.3</t>
    <phoneticPr fontId="11" type="noConversion"/>
  </si>
  <si>
    <t>하수50 : 비료25 : 토양 25</t>
    <phoneticPr fontId="11" type="noConversion"/>
  </si>
  <si>
    <t>하수25 : 비료50 : 토양 25</t>
    <phoneticPr fontId="11" type="noConversion"/>
  </si>
  <si>
    <t>하수25 : 비료25 : 토양 50</t>
    <phoneticPr fontId="11" type="noConversion"/>
  </si>
  <si>
    <t>하수75 : 비료12.5 : 토양12.5</t>
    <phoneticPr fontId="11" type="noConversion"/>
  </si>
  <si>
    <t>하수12.5 : 비료75 : 토양12.5</t>
    <phoneticPr fontId="11" type="noConversion"/>
  </si>
  <si>
    <t>하수12.5 : 비료12.5 : 토양75</t>
    <phoneticPr fontId="11" type="noConversion"/>
  </si>
  <si>
    <t>비료33.3 : 퇴비33.3 : 토양 33.3</t>
    <phoneticPr fontId="11" type="noConversion"/>
  </si>
  <si>
    <t>비료50 : 퇴비25 : 토양 25</t>
    <phoneticPr fontId="11" type="noConversion"/>
  </si>
  <si>
    <t>비료25 : 퇴비50 : 토양 25</t>
    <phoneticPr fontId="11" type="noConversion"/>
  </si>
  <si>
    <t>비료25 : 퇴비25 : 토양 50</t>
    <phoneticPr fontId="11" type="noConversion"/>
  </si>
  <si>
    <t>비료75 :퇴비12.5 : 토양12.5</t>
    <phoneticPr fontId="11" type="noConversion"/>
  </si>
  <si>
    <t>비료12.5 : 퇴비75 : 토양12.5</t>
    <phoneticPr fontId="11" type="noConversion"/>
  </si>
  <si>
    <t>비료12.5 : 퇴비12.5 : 토양75</t>
    <phoneticPr fontId="11" type="noConversion"/>
  </si>
  <si>
    <t>하수25 : 비료25 : 퇴비25 : 토양25</t>
    <phoneticPr fontId="11" type="noConversion"/>
  </si>
  <si>
    <t>하수40 : 비료20 : 퇴비20 : 토양20</t>
    <phoneticPr fontId="11" type="noConversion"/>
  </si>
  <si>
    <t>하수20 : 비료40 : 퇴비20 : 토양20</t>
    <phoneticPr fontId="11" type="noConversion"/>
  </si>
  <si>
    <t>하수20 : 비료20 : 퇴비40 : 토양20</t>
    <phoneticPr fontId="11" type="noConversion"/>
  </si>
  <si>
    <t>하수20 : 비료20 : 퇴비20 : 토양40</t>
    <phoneticPr fontId="11" type="noConversion"/>
  </si>
  <si>
    <t>하수70 : 비료10 : 퇴비10 : 토양10</t>
    <phoneticPr fontId="11" type="noConversion"/>
  </si>
  <si>
    <t>하수10 : 비료70 : 퇴비10 : 토양10</t>
    <phoneticPr fontId="11" type="noConversion"/>
  </si>
  <si>
    <t>하수10 : 비료10 : 퇴비70 : 토양10</t>
    <phoneticPr fontId="11" type="noConversion"/>
  </si>
  <si>
    <t>하수10 : 비료10 : 퇴비10 : 토양70</t>
    <phoneticPr fontId="11" type="noConversion"/>
  </si>
  <si>
    <t>하수+퇴비+토양</t>
    <phoneticPr fontId="11" type="noConversion"/>
  </si>
  <si>
    <t>하수33.3 : 퇴비33.3 : 토양 33.3</t>
    <phoneticPr fontId="11" type="noConversion"/>
  </si>
  <si>
    <t>하수50 : 퇴비25 : 토양 25</t>
    <phoneticPr fontId="11" type="noConversion"/>
  </si>
  <si>
    <t>하수25 : 퇴비50 : 토양 25</t>
    <phoneticPr fontId="11" type="noConversion"/>
  </si>
  <si>
    <t>하수25 : 퇴비25 : 토양 50</t>
    <phoneticPr fontId="11" type="noConversion"/>
  </si>
  <si>
    <t>하수75 : 퇴비12.5 : 토양12.5</t>
    <phoneticPr fontId="11" type="noConversion"/>
  </si>
  <si>
    <t>하수12.5 : 퇴비75 : 토양12.5</t>
    <phoneticPr fontId="11" type="noConversion"/>
  </si>
  <si>
    <t>하수12.5 : 퇴비12.5 : 토양75</t>
    <phoneticPr fontId="11" type="noConversion"/>
  </si>
  <si>
    <t>광주하수처리장</t>
  </si>
  <si>
    <t>남평퇴비</t>
  </si>
  <si>
    <t>만봉천 논토양</t>
  </si>
  <si>
    <t>하수25 : 토양 75</t>
  </si>
  <si>
    <t>하수50 : 토양 50</t>
  </si>
  <si>
    <t>하수75 : 토양 25</t>
  </si>
  <si>
    <t>요소비료</t>
  </si>
  <si>
    <t>비료25 : 퇴비 75</t>
  </si>
  <si>
    <t>비료50 : 퇴비 50</t>
  </si>
  <si>
    <t>비료75 : 퇴비 25</t>
  </si>
  <si>
    <t>비료25 : 토양 75</t>
  </si>
  <si>
    <t>비료50 : 토양 50</t>
  </si>
  <si>
    <t>비료75 : 토양 25</t>
  </si>
  <si>
    <t>퇴비25 : 토양 75</t>
  </si>
  <si>
    <t>퇴비50 : 토양 50</t>
  </si>
  <si>
    <t>퇴비75 : 토양 25</t>
  </si>
  <si>
    <t>계산값/이론값</t>
    <phoneticPr fontId="5" type="noConversion"/>
  </si>
  <si>
    <t>기여율 이론값</t>
    <phoneticPr fontId="5" type="noConversion"/>
  </si>
  <si>
    <t>A</t>
    <phoneticPr fontId="5" type="noConversion"/>
  </si>
  <si>
    <t>B</t>
    <phoneticPr fontId="11" type="noConversion"/>
  </si>
  <si>
    <t>2026-08-20~21</t>
    <phoneticPr fontId="11" type="noConversion"/>
  </si>
  <si>
    <t>soil</t>
    <phoneticPr fontId="11" type="noConversion"/>
  </si>
  <si>
    <t>fertilizer</t>
  </si>
  <si>
    <t>manure</t>
    <phoneticPr fontId="5" type="noConversion"/>
  </si>
  <si>
    <t>EMMTE</t>
    <phoneticPr fontId="5" type="noConversion"/>
  </si>
  <si>
    <t>MixSIAR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</si>
</sst>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_);[Red]\(0\)"/>
    <numFmt numFmtId="178" formatCode="0.00_ "/>
    <numFmt numFmtId="179" formatCode="0.000"/>
    <numFmt numFmtId="180" formatCode="0.000_ "/>
    <numFmt numFmtId="181" formatCode="0.0_);[Red]\(0.0\)"/>
  </numFmts>
  <fonts count="2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b/>
      <sz val="12"/>
      <color theme="1"/>
      <name val="휴먼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  <xf numFmtId="177" fontId="15" fillId="0" borderId="0" xfId="0" applyNumberFormat="1" applyFont="1"/>
    <xf numFmtId="176" fontId="16" fillId="0" borderId="4" xfId="0" applyNumberFormat="1" applyFont="1" applyBorder="1" applyAlignment="1">
      <alignment horizontal="right" vertical="center"/>
    </xf>
    <xf numFmtId="2" fontId="10" fillId="0" borderId="5" xfId="0" applyNumberFormat="1" applyFont="1" applyBorder="1" applyAlignment="1">
      <alignment horizontal="center" vertical="center"/>
    </xf>
    <xf numFmtId="179" fontId="10" fillId="0" borderId="5" xfId="0" applyNumberFormat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77" fontId="8" fillId="4" borderId="0" xfId="1" applyNumberFormat="1" applyFont="1" applyFill="1">
      <alignment vertical="center"/>
    </xf>
    <xf numFmtId="179" fontId="16" fillId="0" borderId="5" xfId="0" applyNumberFormat="1" applyFont="1" applyBorder="1" applyAlignment="1">
      <alignment horizontal="center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8" fillId="0" borderId="11" xfId="1" applyFont="1" applyBorder="1">
      <alignment vertical="center"/>
    </xf>
    <xf numFmtId="0" fontId="18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/>
    </xf>
    <xf numFmtId="49" fontId="19" fillId="5" borderId="14" xfId="0" applyNumberFormat="1" applyFont="1" applyFill="1" applyBorder="1" applyAlignment="1">
      <alignment horizontal="center" vertical="center" wrapText="1"/>
    </xf>
    <xf numFmtId="49" fontId="20" fillId="6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/>
    </xf>
    <xf numFmtId="0" fontId="0" fillId="7" borderId="11" xfId="0" applyFill="1" applyBorder="1"/>
    <xf numFmtId="0" fontId="0" fillId="0" borderId="11" xfId="0" applyBorder="1"/>
    <xf numFmtId="2" fontId="0" fillId="0" borderId="11" xfId="0" applyNumberFormat="1" applyBorder="1"/>
    <xf numFmtId="176" fontId="10" fillId="0" borderId="7" xfId="0" applyNumberFormat="1" applyFont="1" applyBorder="1" applyAlignment="1">
      <alignment horizontal="center" vertical="center"/>
    </xf>
    <xf numFmtId="181" fontId="0" fillId="0" borderId="0" xfId="0" applyNumberFormat="1"/>
    <xf numFmtId="14" fontId="8" fillId="3" borderId="0" xfId="1" applyNumberFormat="1" applyFont="1" applyFill="1">
      <alignment vertical="center"/>
    </xf>
    <xf numFmtId="0" fontId="8" fillId="3" borderId="0" xfId="1" applyFont="1" applyFill="1">
      <alignment vertical="center"/>
    </xf>
    <xf numFmtId="181" fontId="8" fillId="4" borderId="0" xfId="1" applyNumberFormat="1" applyFont="1" applyFill="1">
      <alignment vertical="center"/>
    </xf>
    <xf numFmtId="0" fontId="18" fillId="0" borderId="10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176" fontId="10" fillId="8" borderId="5" xfId="0" applyNumberFormat="1" applyFont="1" applyFill="1" applyBorder="1" applyAlignment="1">
      <alignment horizontal="center" vertical="center"/>
    </xf>
  </cellXfs>
  <cellStyles count="3"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A5-4B66-8D7C-1328976621F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7A5-4B66-8D7C-1328976621F7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A5-4B66-8D7C-1328976621F7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A5-4B66-8D7C-1328976621F7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A5-4B66-8D7C-1328976621F7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A5-4B66-8D7C-1328976621F7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A5-4B66-8D7C-1328976621F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A5-4B66-8D7C-1328976621F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A5-4B66-8D7C-1328976621F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A5-4B66-8D7C-1328976621F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A5-4B66-8D7C-1328976621F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7A5-4B66-8D7C-1328976621F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A5-4B66-8D7C-1328976621F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7A5-4B66-8D7C-1328976621F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7A5-4B66-8D7C-1328976621F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7A5-4B66-8D7C-1328976621F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A5-4B66-8D7C-1328976621F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7A5-4B66-8D7C-1328976621F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7A5-4B66-8D7C-1328976621F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7A5-4B66-8D7C-1328976621F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7A5-4B66-8D7C-1328976621F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7A5-4B66-8D7C-1328976621F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7A5-4B66-8D7C-1328976621F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7A5-4B66-8D7C-1328976621F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7A5-4B66-8D7C-1328976621F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7A5-4B66-8D7C-1328976621F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7A5-4B66-8D7C-1328976621F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7A5-4B66-8D7C-1328976621F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7A5-4B66-8D7C-1328976621F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7A5-4B66-8D7C-1328976621F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7A5-4B66-8D7C-1328976621F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7A5-4B66-8D7C-1328976621F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7A5-4B66-8D7C-1328976621F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7A5-4B66-8D7C-1328976621F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7A5-4B66-8D7C-1328976621F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7A5-4B66-8D7C-1328976621F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7A5-4B66-8D7C-1328976621F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7A5-4B66-8D7C-1328976621F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7A5-4B66-8D7C-1328976621F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7A5-4B66-8D7C-1328976621F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7A5-4B66-8D7C-1328976621F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7A5-4B66-8D7C-1328976621F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7A5-4B66-8D7C-1328976621F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7A5-4B66-8D7C-1328976621F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7A5-4B66-8D7C-1328976621F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7A5-4B66-8D7C-1328976621F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D7A5-4B66-8D7C-1328976621F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D7A5-4B66-8D7C-1328976621F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D7A5-4B66-8D7C-1328976621F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D7A5-4B66-8D7C-1328976621F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7A5-4B66-8D7C-1328976621F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7A5-4B66-8D7C-1328976621F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D7A5-4B66-8D7C-1328976621F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7A5-4B66-8D7C-1328976621F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D7A5-4B66-8D7C-1328976621F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7A5-4B66-8D7C-1328976621F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D7A5-4B66-8D7C-1328976621F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7A5-4B66-8D7C-1328976621F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7A5-4B66-8D7C-1328976621F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D7A5-4B66-8D7C-1328976621F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D7A5-4B66-8D7C-1328976621F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D7A5-4B66-8D7C-1328976621F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D7A5-4B66-8D7C-1328976621F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D7A5-4B66-8D7C-1328976621F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D7A5-4B66-8D7C-1328976621F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D7A5-4B66-8D7C-1328976621F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D7A5-4B66-8D7C-1328976621F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D7A5-4B66-8D7C-1328976621F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'[1]Data Enter'!$D$3:$D$74</c:f>
              <c:numCache>
                <c:formatCode>General</c:formatCode>
                <c:ptCount val="72"/>
                <c:pt idx="0">
                  <c:v>3.51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D7A5-4B66-8D7C-1328976621F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D7A5-4B66-8D7C-1328976621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D7A5-4B66-8D7C-1328976621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D7A5-4B66-8D7C-1328976621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D7A5-4B66-8D7C-1328976621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D7A5-4B66-8D7C-1328976621F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D7A5-4B66-8D7C-1328976621F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D7A5-4B66-8D7C-1328976621F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D7A5-4B66-8D7C-1328976621F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D7A5-4B66-8D7C-1328976621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'[1]Parameter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D7A5-4B66-8D7C-13289766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428590767675809E-2"/>
          <c:y val="0.1392499857443697"/>
          <c:w val="0.84655228539149407"/>
          <c:h val="0.80443170465366398"/>
        </c:manualLayout>
      </c:layou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3DB2455D-57A5-454D-B91C-926799708AE5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A07-41BB-9C5E-8544415D594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A07-41BB-9C5E-8544415D594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07-41BB-9C5E-8544415D5943}"/>
                </c:ext>
              </c:extLst>
            </c:dLbl>
            <c:dLbl>
              <c:idx val="4"/>
              <c:layout>
                <c:manualLayout>
                  <c:x val="0.1093632996428829"/>
                  <c:y val="-6.9723014345510837E-3"/>
                </c:manualLayout>
              </c:layout>
              <c:tx>
                <c:rich>
                  <a:bodyPr/>
                  <a:lstStyle/>
                  <a:p>
                    <a:fld id="{7F79971B-6701-4682-8261-B0B9C7E75B8C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A07-41BB-9C5E-8544415D5943}"/>
                </c:ext>
              </c:extLst>
            </c:dLbl>
            <c:dLbl>
              <c:idx val="5"/>
              <c:layout>
                <c:manualLayout>
                  <c:x val="2.2784020758933855E-2"/>
                  <c:y val="9.5869144725076405E-2"/>
                </c:manualLayout>
              </c:layout>
              <c:tx>
                <c:rich>
                  <a:bodyPr/>
                  <a:lstStyle/>
                  <a:p>
                    <a:fld id="{89F03B85-046B-439B-A1E4-69EF5B5FFFF0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A07-41BB-9C5E-8544415D5943}"/>
                </c:ext>
              </c:extLst>
            </c:dLbl>
            <c:dLbl>
              <c:idx val="6"/>
              <c:layout>
                <c:manualLayout>
                  <c:x val="5.696005189733476E-2"/>
                  <c:y val="5.2292260759132521E-2"/>
                </c:manualLayout>
              </c:layout>
              <c:tx>
                <c:rich>
                  <a:bodyPr/>
                  <a:lstStyle/>
                  <a:p>
                    <a:fld id="{324D6005-7757-4E4F-B2B5-15FAF3DB11F9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A07-41BB-9C5E-8544415D5943}"/>
                </c:ext>
              </c:extLst>
            </c:dLbl>
            <c:dLbl>
              <c:idx val="7"/>
              <c:layout>
                <c:manualLayout>
                  <c:x val="-5.8099252935281585E-2"/>
                  <c:y val="6.1007637552321428E-2"/>
                </c:manualLayout>
              </c:layout>
              <c:tx>
                <c:rich>
                  <a:bodyPr/>
                  <a:lstStyle/>
                  <a:p>
                    <a:fld id="{2E0AB668-7D76-40EC-B1D7-B08186A61686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07-41BB-9C5E-8544415D59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A07-41BB-9C5E-8544415D59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A07-41BB-9C5E-8544415D59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A07-41BB-9C5E-8544415D59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A07-41BB-9C5E-8544415D59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A07-41BB-9C5E-8544415D59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A07-41BB-9C5E-8544415D59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A07-41BB-9C5E-8544415D59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A07-41BB-9C5E-8544415D59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A07-41BB-9C5E-8544415D59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A07-41BB-9C5E-8544415D59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A07-41BB-9C5E-8544415D59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A07-41BB-9C5E-8544415D59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A07-41BB-9C5E-8544415D59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A07-41BB-9C5E-8544415D59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A07-41BB-9C5E-8544415D59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A07-41BB-9C5E-8544415D59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A07-41BB-9C5E-8544415D59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A07-41BB-9C5E-8544415D59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A07-41BB-9C5E-8544415D59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A07-41BB-9C5E-8544415D59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A07-41BB-9C5E-8544415D59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A07-41BB-9C5E-8544415D59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A07-41BB-9C5E-8544415D59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A07-41BB-9C5E-8544415D59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A07-41BB-9C5E-8544415D59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A07-41BB-9C5E-8544415D59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A07-41BB-9C5E-8544415D59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A07-41BB-9C5E-8544415D59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A07-41BB-9C5E-8544415D59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A07-41BB-9C5E-8544415D59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A07-41BB-9C5E-8544415D59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A07-41BB-9C5E-8544415D59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A07-41BB-9C5E-8544415D59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A07-41BB-9C5E-8544415D59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A07-41BB-9C5E-8544415D59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A07-41BB-9C5E-8544415D59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A07-41BB-9C5E-8544415D59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A07-41BB-9C5E-8544415D59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 altLang="zh-C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A07-41BB-9C5E-8544415D59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A07-41BB-9C5E-8544415D59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A07-41BB-9C5E-8544415D59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A07-41BB-9C5E-8544415D59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A07-41BB-9C5E-8544415D59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3A07-41BB-9C5E-8544415D59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A07-41BB-9C5E-8544415D59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3A07-41BB-9C5E-8544415D59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3A07-41BB-9C5E-8544415D59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A07-41BB-9C5E-8544415D59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A07-41BB-9C5E-8544415D59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A07-41BB-9C5E-8544415D59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A07-41BB-9C5E-8544415D59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A07-41BB-9C5E-8544415D59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A07-41BB-9C5E-8544415D59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A07-41BB-9C5E-8544415D59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A07-41BB-9C5E-8544415D59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A07-41BB-9C5E-8544415D59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A07-41BB-9C5E-8544415D59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A07-41BB-9C5E-8544415D59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A07-41BB-9C5E-8544415D59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3A07-41BB-9C5E-8544415D59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3A07-41BB-9C5E-8544415D59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'[2]Data Enter'!$C$3:$C$74</c:f>
              <c:numCache>
                <c:formatCode>General</c:formatCode>
                <c:ptCount val="72"/>
                <c:pt idx="0">
                  <c:v>21.35</c:v>
                </c:pt>
                <c:pt idx="1">
                  <c:v>19.29</c:v>
                </c:pt>
                <c:pt idx="2">
                  <c:v>17.36</c:v>
                </c:pt>
              </c:numCache>
            </c:numRef>
          </c:xVal>
          <c:yVal>
            <c:numRef>
              <c:f>'[2]Data Enter'!$D$3:$D$74</c:f>
              <c:numCache>
                <c:formatCode>General</c:formatCode>
                <c:ptCount val="72"/>
                <c:pt idx="0">
                  <c:v>5.3</c:v>
                </c:pt>
                <c:pt idx="1">
                  <c:v>4.38</c:v>
                </c:pt>
                <c:pt idx="2">
                  <c:v>4.3600000000000003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'[2]Data Enter'!$B$3:$B$74</c15:f>
                <c15:dlblRangeCache>
                  <c:ptCount val="72"/>
                  <c:pt idx="0">
                    <c:v>SW25-01</c:v>
                  </c:pt>
                  <c:pt idx="1">
                    <c:v>SW50-01</c:v>
                  </c:pt>
                  <c:pt idx="2">
                    <c:v>SW75-01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86432"/>
        <c:axId val="-887579904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428840479921176E-2"/>
                  <c:y val="-5.4035336117770408E-2"/>
                </c:manualLayout>
              </c:layout>
              <c:tx>
                <c:rich>
                  <a:bodyPr/>
                  <a:lstStyle/>
                  <a:p>
                    <a:fld id="{5780E074-FBAA-41BD-8A85-06D0F6D2C2F3}" type="CELLRANGE">
                      <a:rPr lang="en-US" altLang="zh-CN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3A07-41BB-9C5E-8544415D594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3A07-41BB-9C5E-8544415D59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3A07-41BB-9C5E-8544415D59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3A07-41BB-9C5E-8544415D59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3A07-41BB-9C5E-8544415D59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 altLang="ko-K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3A07-41BB-9C5E-8544415D59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3A07-41BB-9C5E-8544415D59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3A07-41BB-9C5E-8544415D59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3A07-41BB-9C5E-8544415D59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3A07-41BB-9C5E-8544415D5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'[2]Parameter Setting'!$K$4:$K$13</c:f>
              <c:numCache>
                <c:formatCode>General</c:formatCode>
                <c:ptCount val="10"/>
                <c:pt idx="0">
                  <c:v>15.27</c:v>
                </c:pt>
                <c:pt idx="1">
                  <c:v>23.38</c:v>
                </c:pt>
              </c:numCache>
            </c:numRef>
          </c:xVal>
          <c:yVal>
            <c:numRef>
              <c:f>'[2]Parameter Setting'!$L$4:$L$13</c:f>
              <c:numCache>
                <c:formatCode>General</c:formatCode>
                <c:ptCount val="10"/>
                <c:pt idx="0">
                  <c:v>3.83</c:v>
                </c:pt>
                <c:pt idx="1">
                  <c:v>5.85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'[2]Parameter Setting'!$H$4:$H$13</c15:f>
                <c15:dlblRangeCache>
                  <c:ptCount val="10"/>
                  <c:pt idx="0">
                    <c:v>EM-05</c:v>
                  </c:pt>
                  <c:pt idx="1">
                    <c:v>F-04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3A07-41BB-9C5E-8544415D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578272"/>
        <c:axId val="-887585888"/>
      </c:scatterChart>
      <c:valAx>
        <c:axId val="-887586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微软雅黑 Light" panose="020B0502040204020203" pitchFamily="34" charset="-122"/>
                    <a:ea typeface="微软雅黑 Light" panose="020B0502040204020203" pitchFamily="34" charset="-122"/>
                    <a:cs typeface="Arial" panose="020B0604020202020204" pitchFamily="34" charset="0"/>
                  </a:defRPr>
                </a:pPr>
                <a:r>
                  <a:rPr lang="en-US" altLang="zh-CN" sz="16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Tracer 1 (‰)</a:t>
                </a:r>
                <a:endParaRPr lang="zh-CN" altLang="en-US" sz="16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微软雅黑 Light" panose="020B0502040204020203" pitchFamily="34" charset="-122"/>
                  <a:ea typeface="微软雅黑 Light" panose="020B0502040204020203" pitchFamily="34" charset="-122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79904"/>
        <c:crosses val="max"/>
        <c:crossBetween val="midCat"/>
      </c:valAx>
      <c:valAx>
        <c:axId val="-887579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defRPr>
                </a:pPr>
                <a:r>
                  <a:rPr lang="en-US" altLang="zh-CN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微软雅黑 Light" panose="020B0502040204020203" pitchFamily="34" charset="-122"/>
                    <a:cs typeface="Times New Roman" panose="02020603050405020304" pitchFamily="18" charset="0"/>
                  </a:rPr>
                  <a:t>Tracer </a:t>
                </a:r>
                <a:r>
                  <a:rPr lang="en-US" altLang="zh-CN" sz="1600" b="0" i="0" u="none" strike="noStrike" baseline="0">
                    <a:effectLst/>
                  </a:rPr>
                  <a:t>2 (‰)</a:t>
                </a:r>
                <a:endPara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altLang="zh-CN"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微软雅黑 Light" panose="020B0502040204020203" pitchFamily="34" charset="-122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微软雅黑 Light" panose="020B0502040204020203" pitchFamily="34" charset="-122"/>
                <a:ea typeface="微软雅黑 Light" panose="020B0502040204020203" pitchFamily="34" charset="-122"/>
                <a:cs typeface="Arial" panose="020B0604020202020204" pitchFamily="34" charset="0"/>
              </a:defRPr>
            </a:pPr>
            <a:endParaRPr lang="ko-KR"/>
          </a:p>
        </c:txPr>
        <c:crossAx val="-887586432"/>
        <c:crosses val="max"/>
        <c:crossBetween val="midCat"/>
      </c:valAx>
      <c:valAx>
        <c:axId val="-887585888"/>
        <c:scaling>
          <c:orientation val="minMax"/>
          <c:max val="30"/>
          <c:min val="-25"/>
        </c:scaling>
        <c:delete val="1"/>
        <c:axPos val="r"/>
        <c:numFmt formatCode="General" sourceLinked="1"/>
        <c:majorTickMark val="out"/>
        <c:minorTickMark val="none"/>
        <c:tickLblPos val="nextTo"/>
        <c:crossAx val="-887578272"/>
        <c:crosses val="max"/>
        <c:crossBetween val="midCat"/>
      </c:valAx>
      <c:valAx>
        <c:axId val="-887578272"/>
        <c:scaling>
          <c:orientation val="minMax"/>
          <c:min val="-20"/>
        </c:scaling>
        <c:delete val="1"/>
        <c:axPos val="b"/>
        <c:numFmt formatCode="General" sourceLinked="1"/>
        <c:majorTickMark val="out"/>
        <c:minorTickMark val="none"/>
        <c:tickLblPos val="nextTo"/>
        <c:crossAx val="-887585888"/>
        <c:crossesAt val="30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微软雅黑 Light" panose="020B0502040204020203" pitchFamily="34" charset="-122"/>
          <a:ea typeface="微软雅黑 Light" panose="020B0502040204020203" pitchFamily="34" charset="-122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24657" y="5268120"/>
    <xdr:ext cx="4280807" cy="310106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236823" y="8269937"/>
    <xdr:ext cx="4448736" cy="3204881"/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53;&#51333;&#50896;/2026/1.%20&#51312;&#49324;/EMMTE,%20SIAR%20&#44288;&#47144;/EMMTE/(260514)EMMTE_0508%20&#50724;&#50684;&#50896;%20&#51221;&#45813;&#51648;(&#44032;&#49345;&#4405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3.51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 Setting"/>
      <sheetName val="Data Enter"/>
      <sheetName val="Results"/>
      <sheetName val="Map"/>
      <sheetName val="Mixture and Sources "/>
    </sheetNames>
    <sheetDataSet>
      <sheetData sheetId="0">
        <row r="4">
          <cell r="H4" t="str">
            <v>EM-05</v>
          </cell>
          <cell r="K4">
            <v>15.27</v>
          </cell>
          <cell r="L4">
            <v>3.83</v>
          </cell>
        </row>
        <row r="5">
          <cell r="H5" t="str">
            <v>F-04</v>
          </cell>
          <cell r="K5">
            <v>23.38</v>
          </cell>
          <cell r="L5">
            <v>5.85</v>
          </cell>
        </row>
        <row r="6">
          <cell r="H6"/>
          <cell r="K6"/>
          <cell r="L6"/>
        </row>
        <row r="7">
          <cell r="H7"/>
          <cell r="K7"/>
          <cell r="L7"/>
        </row>
        <row r="8">
          <cell r="H8"/>
          <cell r="K8"/>
          <cell r="L8"/>
        </row>
        <row r="9">
          <cell r="H9"/>
          <cell r="K9"/>
          <cell r="L9"/>
        </row>
        <row r="10">
          <cell r="H10"/>
          <cell r="K10"/>
          <cell r="L10"/>
        </row>
        <row r="11">
          <cell r="H11"/>
          <cell r="K11"/>
          <cell r="L11"/>
        </row>
        <row r="12">
          <cell r="H12"/>
          <cell r="K12"/>
          <cell r="L12"/>
        </row>
        <row r="13">
          <cell r="H13"/>
          <cell r="K13"/>
          <cell r="L13"/>
        </row>
      </sheetData>
      <sheetData sheetId="1">
        <row r="3">
          <cell r="B3" t="str">
            <v>SW25-01</v>
          </cell>
          <cell r="C3">
            <v>21.35</v>
          </cell>
          <cell r="D3">
            <v>5.3</v>
          </cell>
        </row>
        <row r="4">
          <cell r="B4" t="str">
            <v>SW50-01</v>
          </cell>
          <cell r="C4">
            <v>19.29</v>
          </cell>
          <cell r="D4">
            <v>4.38</v>
          </cell>
        </row>
        <row r="5">
          <cell r="B5" t="str">
            <v>SW75-01</v>
          </cell>
          <cell r="C5">
            <v>17.36</v>
          </cell>
          <cell r="D5">
            <v>4.3600000000000003</v>
          </cell>
        </row>
        <row r="6">
          <cell r="B6"/>
          <cell r="C6"/>
          <cell r="D6"/>
        </row>
        <row r="7">
          <cell r="B7"/>
          <cell r="C7"/>
          <cell r="D7"/>
        </row>
        <row r="8">
          <cell r="B8"/>
          <cell r="C8"/>
          <cell r="D8"/>
        </row>
        <row r="9">
          <cell r="B9"/>
          <cell r="C9"/>
          <cell r="D9"/>
        </row>
        <row r="10">
          <cell r="B10"/>
          <cell r="C10"/>
          <cell r="D10"/>
        </row>
        <row r="11">
          <cell r="B11"/>
          <cell r="C11"/>
          <cell r="D11"/>
        </row>
        <row r="12">
          <cell r="B12"/>
          <cell r="C12"/>
          <cell r="D12"/>
        </row>
        <row r="13">
          <cell r="B13"/>
          <cell r="C13"/>
          <cell r="D13"/>
        </row>
        <row r="14">
          <cell r="B14"/>
          <cell r="C14"/>
          <cell r="D14"/>
        </row>
        <row r="15">
          <cell r="B15"/>
          <cell r="C15"/>
          <cell r="D15"/>
        </row>
        <row r="16">
          <cell r="B16"/>
          <cell r="C16"/>
          <cell r="D16"/>
        </row>
        <row r="17">
          <cell r="B17"/>
          <cell r="C17"/>
          <cell r="D17"/>
        </row>
        <row r="18">
          <cell r="B18"/>
          <cell r="C18"/>
          <cell r="D18"/>
        </row>
        <row r="19">
          <cell r="B19"/>
          <cell r="C19"/>
          <cell r="D19"/>
        </row>
        <row r="20">
          <cell r="B20"/>
          <cell r="C20"/>
          <cell r="D20"/>
        </row>
        <row r="21">
          <cell r="B21"/>
          <cell r="C21"/>
          <cell r="D21"/>
        </row>
        <row r="22">
          <cell r="B22"/>
          <cell r="C22"/>
          <cell r="D22"/>
        </row>
        <row r="23">
          <cell r="B23"/>
          <cell r="C23"/>
          <cell r="D23"/>
        </row>
        <row r="24">
          <cell r="B24"/>
          <cell r="C24"/>
          <cell r="D24"/>
        </row>
        <row r="25">
          <cell r="B25"/>
          <cell r="C25"/>
          <cell r="D25"/>
        </row>
        <row r="26">
          <cell r="B26"/>
          <cell r="C26"/>
          <cell r="D26"/>
        </row>
        <row r="27">
          <cell r="B27"/>
          <cell r="C27"/>
          <cell r="D27"/>
        </row>
        <row r="28">
          <cell r="B28"/>
          <cell r="C28"/>
          <cell r="D28"/>
        </row>
        <row r="29">
          <cell r="B29"/>
          <cell r="C29"/>
          <cell r="D29"/>
        </row>
        <row r="30">
          <cell r="B30"/>
          <cell r="C30"/>
          <cell r="D30"/>
        </row>
        <row r="31">
          <cell r="B31"/>
          <cell r="C31"/>
          <cell r="D31"/>
        </row>
        <row r="32">
          <cell r="B32"/>
          <cell r="C32"/>
          <cell r="D32"/>
        </row>
        <row r="33">
          <cell r="B33"/>
          <cell r="C33"/>
          <cell r="D33"/>
        </row>
        <row r="34">
          <cell r="B34"/>
          <cell r="C34"/>
          <cell r="D34"/>
        </row>
        <row r="35">
          <cell r="B35"/>
          <cell r="C35"/>
          <cell r="D35"/>
        </row>
        <row r="36">
          <cell r="B36"/>
          <cell r="C36"/>
          <cell r="D36"/>
        </row>
        <row r="37">
          <cell r="B37"/>
          <cell r="C37"/>
          <cell r="D37"/>
        </row>
        <row r="38">
          <cell r="B38"/>
          <cell r="C38"/>
          <cell r="D38"/>
        </row>
        <row r="39">
          <cell r="B39"/>
          <cell r="C39"/>
          <cell r="D39"/>
        </row>
        <row r="40">
          <cell r="B40"/>
          <cell r="C40"/>
          <cell r="D40"/>
        </row>
        <row r="41">
          <cell r="B41"/>
          <cell r="C41"/>
          <cell r="D41"/>
        </row>
        <row r="42">
          <cell r="B42"/>
          <cell r="C42"/>
          <cell r="D42"/>
        </row>
        <row r="43">
          <cell r="B43"/>
          <cell r="C43"/>
          <cell r="D43"/>
        </row>
        <row r="44">
          <cell r="B44"/>
          <cell r="C44"/>
          <cell r="D44"/>
        </row>
        <row r="45">
          <cell r="B45"/>
          <cell r="C45"/>
          <cell r="D45"/>
        </row>
        <row r="46">
          <cell r="B46"/>
          <cell r="C46"/>
          <cell r="D46"/>
        </row>
        <row r="47">
          <cell r="B47"/>
          <cell r="C47"/>
          <cell r="D47"/>
        </row>
        <row r="48">
          <cell r="B48"/>
          <cell r="C48"/>
          <cell r="D48"/>
        </row>
        <row r="49">
          <cell r="B49"/>
          <cell r="C49"/>
          <cell r="D49"/>
        </row>
        <row r="50">
          <cell r="B50"/>
          <cell r="C50"/>
          <cell r="D50"/>
        </row>
        <row r="51">
          <cell r="B51"/>
          <cell r="C51"/>
          <cell r="D51"/>
        </row>
        <row r="52">
          <cell r="B52"/>
          <cell r="C52"/>
          <cell r="D52"/>
        </row>
        <row r="53">
          <cell r="B53"/>
          <cell r="C53"/>
          <cell r="D53"/>
        </row>
        <row r="54">
          <cell r="B54"/>
          <cell r="C54"/>
          <cell r="D54"/>
        </row>
        <row r="55">
          <cell r="B55"/>
          <cell r="C55"/>
          <cell r="D55"/>
        </row>
        <row r="56">
          <cell r="B56"/>
          <cell r="C56"/>
          <cell r="D56"/>
        </row>
        <row r="57">
          <cell r="B57"/>
          <cell r="C57"/>
          <cell r="D57"/>
        </row>
        <row r="58">
          <cell r="B58"/>
          <cell r="C58"/>
          <cell r="D58"/>
        </row>
        <row r="59">
          <cell r="B59"/>
          <cell r="C59"/>
          <cell r="D59"/>
        </row>
        <row r="60">
          <cell r="B60"/>
          <cell r="C60"/>
          <cell r="D60"/>
        </row>
        <row r="61">
          <cell r="B61"/>
          <cell r="C61"/>
          <cell r="D61"/>
        </row>
        <row r="62">
          <cell r="B62"/>
          <cell r="C62"/>
          <cell r="D62"/>
        </row>
        <row r="63">
          <cell r="B63"/>
          <cell r="C63"/>
          <cell r="D63"/>
        </row>
        <row r="64">
          <cell r="B64"/>
          <cell r="C64"/>
          <cell r="D64"/>
        </row>
        <row r="65">
          <cell r="B65"/>
          <cell r="C65"/>
          <cell r="D65"/>
        </row>
        <row r="66">
          <cell r="B66"/>
          <cell r="C66"/>
          <cell r="D66"/>
        </row>
        <row r="67">
          <cell r="B67"/>
          <cell r="C67"/>
          <cell r="D67"/>
        </row>
        <row r="68">
          <cell r="B68"/>
          <cell r="C68"/>
          <cell r="D68"/>
        </row>
        <row r="69">
          <cell r="B69"/>
          <cell r="C69"/>
          <cell r="D69"/>
        </row>
        <row r="70">
          <cell r="B70"/>
          <cell r="C70"/>
          <cell r="D70"/>
        </row>
        <row r="71">
          <cell r="B71"/>
          <cell r="C71"/>
          <cell r="D71"/>
        </row>
        <row r="72">
          <cell r="B72"/>
          <cell r="C72"/>
          <cell r="D72"/>
        </row>
        <row r="73">
          <cell r="B73"/>
          <cell r="C73"/>
          <cell r="D73"/>
        </row>
        <row r="74">
          <cell r="B74"/>
          <cell r="C74"/>
          <cell r="D74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6"/>
  <sheetViews>
    <sheetView tabSelected="1" topLeftCell="G72" zoomScale="85" zoomScaleNormal="85" workbookViewId="0">
      <selection activeCell="X85" sqref="X85"/>
    </sheetView>
  </sheetViews>
  <sheetFormatPr defaultColWidth="9" defaultRowHeight="16.5" x14ac:dyDescent="0.3"/>
  <cols>
    <col min="1" max="1" width="10.625" style="5" customWidth="1"/>
    <col min="2" max="2" width="27.125" style="5" bestFit="1" customWidth="1"/>
    <col min="3" max="3" width="14.6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5" width="9" style="5"/>
    <col min="16" max="16" width="15.875" style="5" bestFit="1" customWidth="1"/>
    <col min="17" max="17" width="12" style="5" bestFit="1" customWidth="1"/>
    <col min="18" max="18" width="9" style="5"/>
    <col min="19" max="19" width="9.5" style="5" customWidth="1"/>
    <col min="20" max="20" width="14.25" style="5" bestFit="1" customWidth="1"/>
    <col min="21" max="23" width="9" style="5"/>
    <col min="24" max="24" width="14.25" style="5" bestFit="1" customWidth="1"/>
    <col min="25" max="25" width="9" style="5"/>
    <col min="26" max="26" width="11.375" style="5" customWidth="1"/>
    <col min="27" max="27" width="9" style="5"/>
    <col min="28" max="28" width="14.25" style="5" bestFit="1" customWidth="1"/>
    <col min="29" max="31" width="9" style="5"/>
    <col min="32" max="32" width="14.25" style="5" bestFit="1" customWidth="1"/>
    <col min="33" max="16384" width="9" style="5"/>
  </cols>
  <sheetData>
    <row r="1" spans="1:19" x14ac:dyDescent="0.3">
      <c r="A1" s="37">
        <v>46128</v>
      </c>
    </row>
    <row r="2" spans="1:19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9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9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9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9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9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38">
        <v>65.36</v>
      </c>
      <c r="I7" s="38">
        <v>34.64</v>
      </c>
      <c r="J7" s="38">
        <f t="shared" si="0"/>
        <v>100</v>
      </c>
      <c r="L7" s="38">
        <v>23.5</v>
      </c>
      <c r="M7" s="38">
        <v>76</v>
      </c>
      <c r="N7" s="38">
        <f t="shared" si="1"/>
        <v>99.5</v>
      </c>
      <c r="R7" s="5" t="s">
        <v>52</v>
      </c>
    </row>
    <row r="8" spans="1:19" x14ac:dyDescent="0.3">
      <c r="A8" s="13"/>
      <c r="B8" s="13"/>
      <c r="C8" s="13"/>
      <c r="D8" s="13"/>
      <c r="E8" s="14"/>
      <c r="F8" s="14"/>
      <c r="R8" s="5">
        <v>0.25</v>
      </c>
    </row>
    <row r="9" spans="1:19" x14ac:dyDescent="0.3">
      <c r="A9" s="37">
        <v>46135</v>
      </c>
      <c r="B9" s="13"/>
      <c r="C9" s="13"/>
      <c r="D9" s="13"/>
      <c r="E9" s="15"/>
      <c r="F9" s="15"/>
      <c r="R9" s="5">
        <v>0.5</v>
      </c>
    </row>
    <row r="10" spans="1:19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  <c r="R10" s="5">
        <v>0.75</v>
      </c>
    </row>
    <row r="11" spans="1:19" x14ac:dyDescent="0.3">
      <c r="A11" s="7" t="s">
        <v>7</v>
      </c>
      <c r="B11" s="8" t="s">
        <v>8</v>
      </c>
      <c r="C11" s="41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  <c r="Q11" s="5" t="s">
        <v>53</v>
      </c>
    </row>
    <row r="12" spans="1:19" x14ac:dyDescent="0.3">
      <c r="A12" s="7" t="s">
        <v>24</v>
      </c>
      <c r="B12" s="8" t="s">
        <v>25</v>
      </c>
      <c r="C12" s="41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  <c r="Q12" s="1"/>
      <c r="R12" s="2" t="s">
        <v>54</v>
      </c>
      <c r="S12" s="3" t="s">
        <v>55</v>
      </c>
    </row>
    <row r="13" spans="1:19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  <c r="Q13" s="7" t="s">
        <v>27</v>
      </c>
      <c r="R13" s="40">
        <f>((R8*$C$11*$E$11)+(R10*$C$12*$E$12))/((R8*$C$11)+(R10*$C$12))</f>
        <v>-10.995900332225917</v>
      </c>
      <c r="S13" s="40">
        <f>((R8*$C$11*$G$11)+(R10*$C$12*$G$12))/((R8*$C$11)+(R10*$C$12))</f>
        <v>8.7660465116279056</v>
      </c>
    </row>
    <row r="14" spans="1:19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  <c r="Q14" s="7" t="s">
        <v>29</v>
      </c>
      <c r="R14" s="40">
        <f>((R9*$C$11*$E$11)+(R9*$C$12*$E$12))/((R9*$C$11)+(R9*$C$12))</f>
        <v>-0.29120141342756189</v>
      </c>
      <c r="S14" s="40">
        <f>((R9*$C$11*$G$11)+(R9*$C$12*$G$12))/((R9*$C$11)+(R9*$C$12))</f>
        <v>3.6169846878680807</v>
      </c>
    </row>
    <row r="15" spans="1:19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  <c r="Q15" s="7" t="s">
        <v>31</v>
      </c>
      <c r="R15" s="40">
        <f>((R10*$C$11*$E$11)+(R8*$C$12*$E$12))/((R10*$C$11)+(R8*$C$12))</f>
        <v>8.2284029613960872</v>
      </c>
      <c r="S15" s="40">
        <f>((R10*$C$11*$G$11)+(R8*$C$12*$G$12))/((R10*$C$11)+(R8*$C$12))</f>
        <v>-0.48102591221575897</v>
      </c>
    </row>
    <row r="16" spans="1:19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7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7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19">
        <v>24.91</v>
      </c>
      <c r="I31" s="19">
        <v>75.09</v>
      </c>
      <c r="J31" s="17">
        <f>SUM(H31:I31)</f>
        <v>100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19">
        <v>49.85</v>
      </c>
      <c r="I32" s="19">
        <v>50.15</v>
      </c>
      <c r="J32" s="17">
        <f t="shared" ref="J32:J33" si="6">SUM(H32:I32)</f>
        <v>100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19">
        <v>74.959999999999994</v>
      </c>
      <c r="I33" s="19">
        <v>25.04</v>
      </c>
      <c r="J33" s="17">
        <f t="shared" si="6"/>
        <v>100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37">
        <v>46150</v>
      </c>
    </row>
    <row r="37" spans="1:14" ht="27" x14ac:dyDescent="0.3">
      <c r="A37" s="1" t="s">
        <v>0</v>
      </c>
      <c r="B37" s="2" t="s">
        <v>1</v>
      </c>
      <c r="C37" s="3" t="s">
        <v>12</v>
      </c>
      <c r="D37" s="3" t="s">
        <v>21</v>
      </c>
      <c r="E37" s="3" t="s">
        <v>2</v>
      </c>
      <c r="F37" s="4" t="s">
        <v>3</v>
      </c>
      <c r="G37" s="4" t="s">
        <v>3</v>
      </c>
      <c r="H37" s="18"/>
    </row>
    <row r="38" spans="1:14" x14ac:dyDescent="0.3">
      <c r="A38" s="7" t="s">
        <v>7</v>
      </c>
      <c r="B38" s="8" t="s">
        <v>8</v>
      </c>
      <c r="C38" s="16">
        <v>1.042</v>
      </c>
      <c r="D38" s="8"/>
      <c r="E38" s="9">
        <v>15.27</v>
      </c>
      <c r="F38" s="9"/>
      <c r="G38" s="9">
        <v>3.83</v>
      </c>
      <c r="H38" s="19" t="s">
        <v>35</v>
      </c>
      <c r="L38" s="17" t="s">
        <v>23</v>
      </c>
    </row>
    <row r="39" spans="1:14" x14ac:dyDescent="0.3">
      <c r="A39" s="7" t="s">
        <v>49</v>
      </c>
      <c r="B39" s="8" t="s">
        <v>45</v>
      </c>
      <c r="C39" s="16"/>
      <c r="D39" s="8"/>
      <c r="E39" s="9">
        <v>23.38</v>
      </c>
      <c r="F39" s="9"/>
      <c r="G39" s="9">
        <v>5.85</v>
      </c>
      <c r="H39" s="20" t="s">
        <v>13</v>
      </c>
      <c r="I39" s="20" t="s">
        <v>50</v>
      </c>
      <c r="J39" s="17" t="s">
        <v>15</v>
      </c>
      <c r="L39" s="20" t="s">
        <v>13</v>
      </c>
      <c r="M39" s="20" t="s">
        <v>50</v>
      </c>
      <c r="N39" s="17" t="s">
        <v>26</v>
      </c>
    </row>
    <row r="40" spans="1:14" x14ac:dyDescent="0.3">
      <c r="A40" s="7" t="s">
        <v>36</v>
      </c>
      <c r="B40" s="8" t="s">
        <v>46</v>
      </c>
      <c r="C40" s="8"/>
      <c r="D40" s="8"/>
      <c r="E40" s="9">
        <v>21.35</v>
      </c>
      <c r="F40" s="9">
        <v>3.51</v>
      </c>
      <c r="G40" s="9"/>
      <c r="H40" s="19">
        <v>79.819999999999993</v>
      </c>
      <c r="I40" s="19">
        <v>20.170000000000002</v>
      </c>
      <c r="J40" s="17">
        <f>SUM(H40:I40)</f>
        <v>99.99</v>
      </c>
      <c r="L40" s="45">
        <v>51.6</v>
      </c>
      <c r="M40" s="45">
        <v>48.4</v>
      </c>
      <c r="N40" s="17">
        <f>SUM(L40:M40)</f>
        <v>100</v>
      </c>
    </row>
    <row r="41" spans="1:14" x14ac:dyDescent="0.3">
      <c r="A41" s="7" t="s">
        <v>37</v>
      </c>
      <c r="B41" s="8" t="s">
        <v>47</v>
      </c>
      <c r="C41" s="8"/>
      <c r="D41" s="8"/>
      <c r="E41" s="9">
        <v>19.29</v>
      </c>
      <c r="F41" s="9">
        <v>4.38</v>
      </c>
      <c r="G41" s="9"/>
      <c r="H41" s="19">
        <v>62.13</v>
      </c>
      <c r="I41" s="19">
        <v>37.869999999999997</v>
      </c>
      <c r="J41" s="17">
        <f t="shared" ref="J41:J42" si="8">SUM(H41:I41)</f>
        <v>100</v>
      </c>
      <c r="L41" s="45">
        <v>59.4</v>
      </c>
      <c r="M41" s="45">
        <v>40.6</v>
      </c>
      <c r="N41" s="17">
        <f t="shared" ref="N41:N42" si="9">SUM(L41:M41)</f>
        <v>100</v>
      </c>
    </row>
    <row r="42" spans="1:14" x14ac:dyDescent="0.3">
      <c r="A42" s="10" t="s">
        <v>39</v>
      </c>
      <c r="B42" s="11" t="s">
        <v>48</v>
      </c>
      <c r="C42" s="11"/>
      <c r="D42" s="11"/>
      <c r="E42" s="12">
        <v>17.36</v>
      </c>
      <c r="F42" s="12">
        <v>4.3600000000000003</v>
      </c>
      <c r="G42" s="12"/>
      <c r="H42" s="19">
        <v>73.03</v>
      </c>
      <c r="I42" s="19">
        <v>26.96</v>
      </c>
      <c r="J42" s="17">
        <f t="shared" si="8"/>
        <v>99.990000000000009</v>
      </c>
      <c r="L42" s="45">
        <v>72.400000000000006</v>
      </c>
      <c r="M42" s="45">
        <v>27.6</v>
      </c>
      <c r="N42" s="17">
        <f t="shared" si="9"/>
        <v>100</v>
      </c>
    </row>
    <row r="44" spans="1:14" x14ac:dyDescent="0.3">
      <c r="A44" s="37" t="s">
        <v>51</v>
      </c>
    </row>
    <row r="45" spans="1:14" ht="27" x14ac:dyDescent="0.3">
      <c r="A45" s="1" t="s">
        <v>0</v>
      </c>
      <c r="B45" s="2" t="s">
        <v>1</v>
      </c>
      <c r="C45" s="3" t="s">
        <v>12</v>
      </c>
      <c r="D45" s="3" t="s">
        <v>21</v>
      </c>
      <c r="E45" s="3" t="s">
        <v>2</v>
      </c>
      <c r="F45" s="4" t="s">
        <v>3</v>
      </c>
      <c r="G45" s="4" t="s">
        <v>3</v>
      </c>
      <c r="H45" s="18"/>
    </row>
    <row r="46" spans="1:14" x14ac:dyDescent="0.3">
      <c r="A46" s="7" t="s">
        <v>7</v>
      </c>
      <c r="B46" s="8" t="s">
        <v>8</v>
      </c>
      <c r="C46" s="16">
        <v>1.042</v>
      </c>
      <c r="D46" s="8"/>
      <c r="E46" s="9">
        <v>15.27</v>
      </c>
      <c r="F46" s="9"/>
      <c r="G46" s="9">
        <v>3.83</v>
      </c>
      <c r="H46" s="19" t="s">
        <v>35</v>
      </c>
      <c r="L46" s="17" t="s">
        <v>23</v>
      </c>
    </row>
    <row r="47" spans="1:14" x14ac:dyDescent="0.3">
      <c r="A47" s="7" t="s">
        <v>49</v>
      </c>
      <c r="B47" s="8" t="s">
        <v>45</v>
      </c>
      <c r="C47" s="16"/>
      <c r="D47" s="8"/>
      <c r="E47" s="9">
        <v>23.38</v>
      </c>
      <c r="F47" s="9"/>
      <c r="G47" s="9">
        <v>5.85</v>
      </c>
      <c r="H47" s="20" t="s">
        <v>13</v>
      </c>
      <c r="I47" s="20" t="s">
        <v>50</v>
      </c>
      <c r="J47" s="17" t="s">
        <v>15</v>
      </c>
      <c r="L47" s="20" t="s">
        <v>13</v>
      </c>
      <c r="M47" s="20" t="s">
        <v>50</v>
      </c>
      <c r="N47" s="17" t="s">
        <v>26</v>
      </c>
    </row>
    <row r="48" spans="1:14" x14ac:dyDescent="0.3">
      <c r="A48" s="7" t="s">
        <v>36</v>
      </c>
      <c r="B48" s="8" t="s">
        <v>46</v>
      </c>
      <c r="C48" s="8"/>
      <c r="D48" s="8"/>
      <c r="E48" s="9">
        <v>21.35</v>
      </c>
      <c r="F48" s="39">
        <v>5.3</v>
      </c>
      <c r="G48" s="9"/>
      <c r="H48" s="19">
        <v>27.42</v>
      </c>
      <c r="I48" s="19">
        <v>72.58</v>
      </c>
      <c r="J48" s="17">
        <f>SUM(H48:I48)</f>
        <v>100</v>
      </c>
      <c r="L48" s="45">
        <v>29.4</v>
      </c>
      <c r="M48" s="45">
        <v>70.599999999999994</v>
      </c>
      <c r="N48" s="17">
        <f>SUM(L48:M48)</f>
        <v>100</v>
      </c>
    </row>
    <row r="49" spans="1:25" x14ac:dyDescent="0.3">
      <c r="A49" s="7" t="s">
        <v>37</v>
      </c>
      <c r="B49" s="8" t="s">
        <v>47</v>
      </c>
      <c r="C49" s="8"/>
      <c r="D49" s="8"/>
      <c r="E49" s="9">
        <v>19.29</v>
      </c>
      <c r="F49" s="9">
        <v>4.38</v>
      </c>
      <c r="G49" s="9"/>
      <c r="H49" s="19">
        <v>62.12</v>
      </c>
      <c r="I49" s="19">
        <v>37.869999999999997</v>
      </c>
      <c r="J49" s="17">
        <f t="shared" ref="J49:J50" si="10">SUM(H49:I49)</f>
        <v>99.99</v>
      </c>
      <c r="L49" s="45">
        <v>59.9</v>
      </c>
      <c r="M49" s="45">
        <v>40.1</v>
      </c>
      <c r="N49" s="17">
        <f t="shared" ref="N49:N50" si="11">SUM(L49:M49)</f>
        <v>100</v>
      </c>
    </row>
    <row r="50" spans="1:25" x14ac:dyDescent="0.3">
      <c r="A50" s="10" t="s">
        <v>39</v>
      </c>
      <c r="B50" s="11" t="s">
        <v>48</v>
      </c>
      <c r="C50" s="11"/>
      <c r="D50" s="11"/>
      <c r="E50" s="12">
        <v>17.36</v>
      </c>
      <c r="F50" s="12">
        <v>4.3600000000000003</v>
      </c>
      <c r="G50" s="12"/>
      <c r="H50" s="19">
        <v>73.010000000000005</v>
      </c>
      <c r="I50" s="19">
        <v>26.99</v>
      </c>
      <c r="J50" s="17">
        <f t="shared" si="10"/>
        <v>100</v>
      </c>
      <c r="L50" s="45">
        <v>72.7</v>
      </c>
      <c r="M50" s="45">
        <v>27.3</v>
      </c>
      <c r="N50" s="17">
        <f t="shared" si="11"/>
        <v>100</v>
      </c>
    </row>
    <row r="53" spans="1:25" x14ac:dyDescent="0.3">
      <c r="A53" s="64">
        <v>46234</v>
      </c>
      <c r="B53" s="13"/>
      <c r="C53" s="13"/>
      <c r="D53" s="13"/>
      <c r="E53" s="15"/>
      <c r="F53" s="15"/>
    </row>
    <row r="54" spans="1:25" ht="27" x14ac:dyDescent="0.3">
      <c r="A54" s="1" t="s">
        <v>0</v>
      </c>
      <c r="B54" s="2" t="s">
        <v>1</v>
      </c>
      <c r="C54" s="3" t="s">
        <v>12</v>
      </c>
      <c r="D54" s="3" t="s">
        <v>21</v>
      </c>
      <c r="E54" s="3" t="s">
        <v>2</v>
      </c>
      <c r="F54" s="4" t="s">
        <v>3</v>
      </c>
      <c r="G54" s="4" t="s">
        <v>3</v>
      </c>
      <c r="Q54" s="42" t="s">
        <v>60</v>
      </c>
    </row>
    <row r="55" spans="1:25" x14ac:dyDescent="0.3">
      <c r="A55" s="7" t="s">
        <v>7</v>
      </c>
      <c r="B55" s="8" t="s">
        <v>8</v>
      </c>
      <c r="C55" s="41">
        <v>1.8580000000000001</v>
      </c>
      <c r="D55" s="8"/>
      <c r="E55" s="9">
        <v>13.83</v>
      </c>
      <c r="F55" s="9"/>
      <c r="G55" s="9">
        <v>0.21</v>
      </c>
      <c r="H55" s="19" t="s">
        <v>61</v>
      </c>
      <c r="L55" s="17" t="s">
        <v>23</v>
      </c>
      <c r="Q55" s="43">
        <v>0.25</v>
      </c>
    </row>
    <row r="56" spans="1:25" x14ac:dyDescent="0.3">
      <c r="A56" s="7" t="s">
        <v>24</v>
      </c>
      <c r="B56" s="8" t="s">
        <v>25</v>
      </c>
      <c r="C56" s="41">
        <v>0.65600000000000003</v>
      </c>
      <c r="D56" s="8">
        <v>46</v>
      </c>
      <c r="E56" s="9">
        <v>-25.65</v>
      </c>
      <c r="F56" s="9"/>
      <c r="G56" s="9">
        <v>14.8</v>
      </c>
      <c r="H56" s="20" t="s">
        <v>13</v>
      </c>
      <c r="I56" s="20" t="s">
        <v>14</v>
      </c>
      <c r="J56" s="17" t="s">
        <v>15</v>
      </c>
      <c r="L56" s="20" t="s">
        <v>13</v>
      </c>
      <c r="M56" s="20" t="s">
        <v>14</v>
      </c>
      <c r="N56" s="17" t="s">
        <v>26</v>
      </c>
      <c r="Q56" s="43">
        <v>0.5</v>
      </c>
    </row>
    <row r="57" spans="1:25" x14ac:dyDescent="0.3">
      <c r="A57" s="7" t="s">
        <v>57</v>
      </c>
      <c r="B57" s="8" t="s">
        <v>56</v>
      </c>
      <c r="C57" s="41"/>
      <c r="D57" s="8"/>
      <c r="E57" s="9">
        <v>-4.95</v>
      </c>
      <c r="F57" s="9">
        <v>8.1999999999999993</v>
      </c>
      <c r="G57" s="9"/>
      <c r="H57" s="19">
        <v>51.23</v>
      </c>
      <c r="I57" s="19">
        <v>48.77</v>
      </c>
      <c r="J57" s="17">
        <f>SUM(H57:I57)</f>
        <v>100</v>
      </c>
      <c r="L57" s="45">
        <v>50.5</v>
      </c>
      <c r="M57" s="45">
        <v>49.5</v>
      </c>
      <c r="N57" s="17">
        <f>SUM(L57:M57)</f>
        <v>100</v>
      </c>
      <c r="Q57" s="44">
        <v>0.75</v>
      </c>
    </row>
    <row r="58" spans="1:25" x14ac:dyDescent="0.3">
      <c r="A58" s="7" t="s">
        <v>58</v>
      </c>
      <c r="B58" s="8" t="s">
        <v>38</v>
      </c>
      <c r="C58" s="41"/>
      <c r="D58" s="8"/>
      <c r="E58" s="9">
        <v>4.3</v>
      </c>
      <c r="F58" s="9">
        <v>4.3</v>
      </c>
      <c r="G58" s="9"/>
      <c r="H58" s="19">
        <v>74.84</v>
      </c>
      <c r="I58" s="19">
        <v>25.16</v>
      </c>
      <c r="J58" s="17">
        <f t="shared" ref="J58:J59" si="12">SUM(H58:I58)</f>
        <v>100</v>
      </c>
      <c r="L58" s="45">
        <v>74.3</v>
      </c>
      <c r="M58" s="45">
        <v>25.7</v>
      </c>
      <c r="N58" s="17">
        <f t="shared" ref="N58:N59" si="13">SUM(L58:M58)</f>
        <v>100</v>
      </c>
      <c r="S58" s="19" t="s">
        <v>61</v>
      </c>
      <c r="T58" s="17"/>
      <c r="U58" s="17"/>
      <c r="V58" s="17"/>
      <c r="W58" s="17" t="s">
        <v>23</v>
      </c>
      <c r="X58" s="17"/>
      <c r="Y58" s="17"/>
    </row>
    <row r="59" spans="1:25" x14ac:dyDescent="0.3">
      <c r="A59" s="7" t="s">
        <v>59</v>
      </c>
      <c r="B59" s="8" t="s">
        <v>40</v>
      </c>
      <c r="C59" s="8"/>
      <c r="D59" s="8"/>
      <c r="E59" s="9">
        <v>9.89</v>
      </c>
      <c r="F59" s="9">
        <v>1.96</v>
      </c>
      <c r="G59" s="9"/>
      <c r="H59" s="19">
        <v>88.67</v>
      </c>
      <c r="I59" s="19">
        <v>11.33</v>
      </c>
      <c r="J59" s="17">
        <f t="shared" si="12"/>
        <v>100</v>
      </c>
      <c r="L59" s="45">
        <v>88.9</v>
      </c>
      <c r="M59" s="45">
        <v>11.1</v>
      </c>
      <c r="N59" s="17">
        <f t="shared" si="13"/>
        <v>100</v>
      </c>
      <c r="P59" s="2" t="s">
        <v>63</v>
      </c>
      <c r="Q59" s="2" t="s">
        <v>54</v>
      </c>
      <c r="R59" s="3" t="s">
        <v>55</v>
      </c>
      <c r="S59" s="20" t="s">
        <v>13</v>
      </c>
      <c r="T59" s="20" t="s">
        <v>14</v>
      </c>
      <c r="U59" s="17" t="s">
        <v>15</v>
      </c>
      <c r="V59" s="17"/>
      <c r="W59" s="20" t="s">
        <v>13</v>
      </c>
      <c r="X59" s="20" t="s">
        <v>14</v>
      </c>
      <c r="Y59" s="17" t="s">
        <v>26</v>
      </c>
    </row>
    <row r="60" spans="1:25" x14ac:dyDescent="0.3">
      <c r="A60" s="7"/>
      <c r="B60" s="8"/>
      <c r="C60" s="8"/>
      <c r="D60" s="8"/>
      <c r="E60" s="9"/>
      <c r="F60" s="9"/>
      <c r="G60" s="9"/>
      <c r="P60" s="7" t="s">
        <v>56</v>
      </c>
      <c r="Q60" s="16">
        <f>((Q55*$C$55*$E$55)+(Q57*$C$56*$E$56))/((Q55*$C$55)+(Q57*$C$56))</f>
        <v>-6.4775378985886043</v>
      </c>
      <c r="R60" s="16">
        <f>((Q55*$C$55*$G$55)+(Q57*$C$56*$G$56))/((Q55*$C$55)+(Q57*$C$56))</f>
        <v>7.7147360167276533</v>
      </c>
      <c r="S60" s="19">
        <v>48.57</v>
      </c>
      <c r="T60" s="19">
        <v>51.43</v>
      </c>
      <c r="U60" s="17">
        <f>SUM(S60:T60)</f>
        <v>100</v>
      </c>
      <c r="V60" s="17"/>
      <c r="W60" s="45">
        <v>49</v>
      </c>
      <c r="X60" s="45">
        <v>51</v>
      </c>
      <c r="Y60" s="17">
        <f>SUM(W60:X60)</f>
        <v>100</v>
      </c>
    </row>
    <row r="61" spans="1:25" x14ac:dyDescent="0.3">
      <c r="A61" s="10"/>
      <c r="B61" s="11"/>
      <c r="C61" s="11"/>
      <c r="D61" s="11"/>
      <c r="E61" s="12"/>
      <c r="F61" s="12"/>
      <c r="G61" s="12"/>
      <c r="P61" s="7" t="s">
        <v>38</v>
      </c>
      <c r="Q61" s="16">
        <f>((Q56*$C$55*$E$55)+(Q56*$C$56*$E$56))/((Q56*$C$55)+(Q56*$C$56))</f>
        <v>3.5281384248210022</v>
      </c>
      <c r="R61" s="16">
        <f>((Q56*$C$55*$G$55)+(Q56*$C$56*$G$56))/((Q56*$C$55)+(Q56*$C$56))</f>
        <v>4.0170962609387431</v>
      </c>
      <c r="S61" s="19">
        <v>73.900000000000006</v>
      </c>
      <c r="T61" s="19">
        <v>26.1</v>
      </c>
      <c r="U61" s="17">
        <f t="shared" ref="U61:U62" si="14">SUM(S61:T61)</f>
        <v>100</v>
      </c>
      <c r="V61" s="17"/>
      <c r="W61" s="45">
        <v>73.8</v>
      </c>
      <c r="X61" s="45">
        <v>26.2</v>
      </c>
      <c r="Y61" s="17">
        <f t="shared" ref="Y61:Y62" si="15">SUM(W61:X61)</f>
        <v>100</v>
      </c>
    </row>
    <row r="62" spans="1:25" x14ac:dyDescent="0.3">
      <c r="P62" s="7" t="s">
        <v>40</v>
      </c>
      <c r="Q62" s="16">
        <f>((Q57*$C$55*$E$55)+(Q55*$C$56*$E$56))/((Q57*$C$55)+(Q55*$C$56))</f>
        <v>9.6728764044943834</v>
      </c>
      <c r="R62" s="16">
        <f>((Q57*$C$55*$G$55)+(Q55*$C$56*$G$56))/((Q57*$C$55)+(Q55*$C$56))</f>
        <v>1.7462825040128411</v>
      </c>
      <c r="S62" s="19">
        <v>89.47</v>
      </c>
      <c r="T62" s="19">
        <v>10.53</v>
      </c>
      <c r="U62" s="17">
        <f t="shared" si="14"/>
        <v>100</v>
      </c>
      <c r="V62" s="17"/>
      <c r="W62" s="45">
        <v>89.3</v>
      </c>
      <c r="X62" s="45">
        <v>10.7</v>
      </c>
      <c r="Y62" s="17">
        <f t="shared" si="15"/>
        <v>100</v>
      </c>
    </row>
    <row r="63" spans="1:25" x14ac:dyDescent="0.3">
      <c r="A63" s="47" t="s">
        <v>64</v>
      </c>
      <c r="S63" s="19"/>
      <c r="T63" s="19"/>
      <c r="U63" s="17"/>
      <c r="V63" s="17"/>
      <c r="W63" s="17"/>
      <c r="X63" s="17"/>
      <c r="Y63" s="17"/>
    </row>
    <row r="64" spans="1:25" x14ac:dyDescent="0.3">
      <c r="P64" s="1" t="s">
        <v>62</v>
      </c>
      <c r="Q64" s="2" t="s">
        <v>54</v>
      </c>
      <c r="R64" s="3" t="s">
        <v>55</v>
      </c>
      <c r="S64" s="1" t="s">
        <v>179</v>
      </c>
      <c r="T64" s="2" t="s">
        <v>180</v>
      </c>
      <c r="U64" s="4" t="s">
        <v>181</v>
      </c>
    </row>
    <row r="65" spans="1:21" x14ac:dyDescent="0.3">
      <c r="A65" s="37">
        <v>46135</v>
      </c>
      <c r="B65" s="13"/>
      <c r="C65" s="13"/>
      <c r="D65" s="13"/>
      <c r="E65" s="15"/>
      <c r="F65" s="15"/>
      <c r="P65" s="7" t="s">
        <v>56</v>
      </c>
      <c r="Q65" s="16">
        <f t="shared" ref="Q65:R67" si="16">E57/Q60</f>
        <v>0.76417924178854435</v>
      </c>
      <c r="R65" s="16">
        <f t="shared" si="16"/>
        <v>1.0629009187378753</v>
      </c>
      <c r="S65" s="7" t="s">
        <v>56</v>
      </c>
      <c r="T65" s="16">
        <v>48.562467328802924</v>
      </c>
      <c r="U65" s="16">
        <v>51.437532671197076</v>
      </c>
    </row>
    <row r="66" spans="1:21" ht="27" x14ac:dyDescent="0.3">
      <c r="A66" s="1" t="s">
        <v>0</v>
      </c>
      <c r="B66" s="2" t="s">
        <v>1</v>
      </c>
      <c r="C66" s="3" t="s">
        <v>12</v>
      </c>
      <c r="D66" s="3" t="s">
        <v>21</v>
      </c>
      <c r="E66" s="3" t="s">
        <v>2</v>
      </c>
      <c r="F66" s="4" t="s">
        <v>3</v>
      </c>
      <c r="G66" s="4" t="s">
        <v>3</v>
      </c>
      <c r="P66" s="7" t="s">
        <v>38</v>
      </c>
      <c r="Q66" s="16">
        <f t="shared" si="16"/>
        <v>1.2187730418253524</v>
      </c>
      <c r="R66" s="16">
        <f t="shared" si="16"/>
        <v>1.0704249340032359</v>
      </c>
      <c r="S66" s="7" t="s">
        <v>38</v>
      </c>
      <c r="T66" s="16">
        <v>73.906125696101839</v>
      </c>
      <c r="U66" s="16">
        <v>26.093874303898161</v>
      </c>
    </row>
    <row r="67" spans="1:21" x14ac:dyDescent="0.3">
      <c r="A67" s="7" t="s">
        <v>7</v>
      </c>
      <c r="B67" s="8" t="s">
        <v>8</v>
      </c>
      <c r="C67" s="46">
        <v>1.042</v>
      </c>
      <c r="D67" s="8"/>
      <c r="E67" s="39">
        <v>15.17</v>
      </c>
      <c r="F67" s="9"/>
      <c r="G67" s="39">
        <v>-3.82</v>
      </c>
      <c r="P67" s="7" t="s">
        <v>40</v>
      </c>
      <c r="Q67" s="16">
        <f t="shared" si="16"/>
        <v>1.0224466421802654</v>
      </c>
      <c r="R67" s="16">
        <f t="shared" si="16"/>
        <v>1.1223842622806162</v>
      </c>
      <c r="S67" s="7" t="s">
        <v>40</v>
      </c>
      <c r="T67" s="62">
        <v>89.470304975922957</v>
      </c>
      <c r="U67" s="62">
        <v>10.529695024077043</v>
      </c>
    </row>
    <row r="68" spans="1:21" x14ac:dyDescent="0.3">
      <c r="A68" s="7" t="s">
        <v>24</v>
      </c>
      <c r="B68" s="8" t="s">
        <v>25</v>
      </c>
      <c r="C68" s="41">
        <v>0.65600000000000003</v>
      </c>
      <c r="D68" s="8">
        <v>46</v>
      </c>
      <c r="E68" s="9">
        <v>-24.85</v>
      </c>
      <c r="F68" s="9"/>
      <c r="G68" s="9">
        <v>15.43</v>
      </c>
    </row>
    <row r="69" spans="1:21" x14ac:dyDescent="0.3">
      <c r="A69" s="7" t="s">
        <v>27</v>
      </c>
      <c r="B69" s="8" t="s">
        <v>28</v>
      </c>
      <c r="C69" s="8"/>
      <c r="D69" s="8"/>
      <c r="E69" s="9">
        <v>-3.54</v>
      </c>
      <c r="F69" s="9">
        <v>6.94</v>
      </c>
      <c r="G69" s="9"/>
    </row>
    <row r="70" spans="1:21" x14ac:dyDescent="0.3">
      <c r="A70" s="7" t="s">
        <v>29</v>
      </c>
      <c r="B70" s="8" t="s">
        <v>30</v>
      </c>
      <c r="C70" s="8"/>
      <c r="D70" s="8"/>
      <c r="E70" s="9">
        <v>4.75</v>
      </c>
      <c r="F70" s="9">
        <v>1.87</v>
      </c>
      <c r="G70" s="9"/>
    </row>
    <row r="71" spans="1:21" x14ac:dyDescent="0.3">
      <c r="A71" s="10" t="s">
        <v>31</v>
      </c>
      <c r="B71" s="11" t="s">
        <v>32</v>
      </c>
      <c r="C71" s="11"/>
      <c r="D71" s="11"/>
      <c r="E71" s="12">
        <v>11.43</v>
      </c>
      <c r="F71" s="12">
        <v>-2.67</v>
      </c>
      <c r="G71" s="12"/>
    </row>
    <row r="73" spans="1:21" x14ac:dyDescent="0.3">
      <c r="A73" s="48" t="s">
        <v>65</v>
      </c>
      <c r="B73" s="48"/>
      <c r="C73" s="48"/>
      <c r="D73" s="48"/>
    </row>
    <row r="74" spans="1:21" x14ac:dyDescent="0.3">
      <c r="A74" s="48" t="s">
        <v>66</v>
      </c>
      <c r="B74" s="48"/>
      <c r="C74" s="48"/>
      <c r="D74" s="48"/>
    </row>
    <row r="75" spans="1:21" x14ac:dyDescent="0.3">
      <c r="A75" s="48"/>
      <c r="B75" s="48"/>
      <c r="C75" s="48"/>
      <c r="D75" s="48"/>
    </row>
    <row r="76" spans="1:21" x14ac:dyDescent="0.3">
      <c r="A76" s="48" t="s">
        <v>80</v>
      </c>
      <c r="B76" s="48"/>
      <c r="C76" s="48"/>
      <c r="D76" s="48"/>
    </row>
    <row r="77" spans="1:21" x14ac:dyDescent="0.3">
      <c r="A77" s="67" t="s">
        <v>67</v>
      </c>
      <c r="B77" s="49" t="s">
        <v>71</v>
      </c>
      <c r="C77" s="49" t="s">
        <v>70</v>
      </c>
      <c r="D77" s="49" t="s">
        <v>73</v>
      </c>
    </row>
    <row r="78" spans="1:21" x14ac:dyDescent="0.3">
      <c r="A78" s="68"/>
      <c r="B78" s="49" t="s">
        <v>68</v>
      </c>
      <c r="C78" s="49" t="s">
        <v>72</v>
      </c>
      <c r="D78" s="49"/>
    </row>
    <row r="79" spans="1:21" x14ac:dyDescent="0.3">
      <c r="A79" s="69"/>
      <c r="B79" s="49" t="s">
        <v>69</v>
      </c>
      <c r="C79" s="49"/>
      <c r="D79" s="49"/>
    </row>
    <row r="80" spans="1:21" x14ac:dyDescent="0.3">
      <c r="A80" s="48"/>
      <c r="B80" s="48"/>
      <c r="C80" s="48"/>
      <c r="D80" s="48"/>
    </row>
    <row r="81" spans="1:34" x14ac:dyDescent="0.3">
      <c r="A81" s="67" t="s">
        <v>74</v>
      </c>
      <c r="B81" s="49" t="s">
        <v>75</v>
      </c>
      <c r="C81" s="49" t="s">
        <v>77</v>
      </c>
      <c r="D81" s="48"/>
    </row>
    <row r="82" spans="1:34" x14ac:dyDescent="0.3">
      <c r="A82" s="69"/>
      <c r="B82" s="49" t="s">
        <v>76</v>
      </c>
      <c r="C82" s="49"/>
      <c r="D82" s="48"/>
    </row>
    <row r="83" spans="1:34" x14ac:dyDescent="0.3">
      <c r="A83" s="48"/>
      <c r="B83" s="48"/>
      <c r="C83" s="48"/>
      <c r="D83" s="48"/>
    </row>
    <row r="84" spans="1:34" x14ac:dyDescent="0.3">
      <c r="A84" s="50" t="s">
        <v>78</v>
      </c>
      <c r="B84" s="49" t="s">
        <v>79</v>
      </c>
      <c r="C84" s="49"/>
      <c r="D84" s="48"/>
    </row>
    <row r="86" spans="1:34" x14ac:dyDescent="0.3">
      <c r="P86" s="42" t="s">
        <v>60</v>
      </c>
      <c r="Q86" s="43">
        <v>0.25</v>
      </c>
      <c r="R86" s="43">
        <v>0.5</v>
      </c>
      <c r="S86" s="44">
        <v>0.75</v>
      </c>
    </row>
    <row r="87" spans="1:34" x14ac:dyDescent="0.3">
      <c r="A87" s="65" t="s">
        <v>182</v>
      </c>
      <c r="B87" s="65"/>
    </row>
    <row r="88" spans="1:34" x14ac:dyDescent="0.3">
      <c r="A88" s="5" t="s">
        <v>94</v>
      </c>
    </row>
    <row r="89" spans="1:34" ht="27" x14ac:dyDescent="0.3">
      <c r="A89" s="1" t="s">
        <v>0</v>
      </c>
      <c r="B89" s="2" t="s">
        <v>1</v>
      </c>
      <c r="C89" s="3" t="s">
        <v>12</v>
      </c>
      <c r="D89" s="3"/>
      <c r="E89" s="3" t="s">
        <v>2</v>
      </c>
      <c r="F89" s="4" t="s">
        <v>3</v>
      </c>
      <c r="G89" s="4" t="s">
        <v>3</v>
      </c>
      <c r="AB89" s="5" t="s">
        <v>186</v>
      </c>
      <c r="AF89" s="5" t="s">
        <v>187</v>
      </c>
    </row>
    <row r="90" spans="1:34" x14ac:dyDescent="0.3">
      <c r="A90" s="7"/>
      <c r="B90" s="8" t="s">
        <v>162</v>
      </c>
      <c r="C90" s="41">
        <v>1.8580000000000001</v>
      </c>
      <c r="D90" s="8"/>
      <c r="E90" s="9">
        <v>11.82</v>
      </c>
      <c r="F90" s="9">
        <v>2.0699999999999998</v>
      </c>
      <c r="G90" s="9"/>
      <c r="H90" s="19" t="s">
        <v>61</v>
      </c>
      <c r="L90" s="17" t="s">
        <v>23</v>
      </c>
      <c r="P90" s="1" t="s">
        <v>63</v>
      </c>
      <c r="Q90" s="2" t="s">
        <v>54</v>
      </c>
      <c r="R90" s="4" t="s">
        <v>55</v>
      </c>
      <c r="T90" s="1" t="s">
        <v>178</v>
      </c>
      <c r="U90" s="2" t="s">
        <v>54</v>
      </c>
      <c r="V90" s="4" t="s">
        <v>55</v>
      </c>
      <c r="X90" s="1" t="s">
        <v>179</v>
      </c>
      <c r="Y90" s="2" t="s">
        <v>180</v>
      </c>
      <c r="Z90" s="4" t="s">
        <v>181</v>
      </c>
      <c r="AB90" s="1" t="s">
        <v>178</v>
      </c>
      <c r="AC90" s="2" t="s">
        <v>180</v>
      </c>
      <c r="AD90" s="4" t="s">
        <v>181</v>
      </c>
      <c r="AF90" s="1" t="s">
        <v>178</v>
      </c>
      <c r="AG90" s="2" t="s">
        <v>180</v>
      </c>
      <c r="AH90" s="4" t="s">
        <v>181</v>
      </c>
    </row>
    <row r="91" spans="1:34" x14ac:dyDescent="0.3">
      <c r="A91" s="7"/>
      <c r="B91" s="8" t="s">
        <v>163</v>
      </c>
      <c r="C91" s="41">
        <v>14.167999999999999</v>
      </c>
      <c r="D91" s="8"/>
      <c r="E91" s="9">
        <v>23.28</v>
      </c>
      <c r="F91" s="9">
        <v>4.47</v>
      </c>
      <c r="G91" s="9"/>
      <c r="H91" s="20" t="s">
        <v>13</v>
      </c>
      <c r="I91" s="20" t="s">
        <v>50</v>
      </c>
      <c r="J91" s="17" t="s">
        <v>15</v>
      </c>
      <c r="L91" s="20" t="s">
        <v>13</v>
      </c>
      <c r="M91" s="20" t="s">
        <v>50</v>
      </c>
      <c r="N91" s="17" t="s">
        <v>26</v>
      </c>
      <c r="P91" s="7" t="s">
        <v>46</v>
      </c>
      <c r="Q91" s="16">
        <f>(($Q$86*C90*E90)+($S$86*C91*E91))/(($Q$86*C90)+($S$86*C91))</f>
        <v>22.800024345160274</v>
      </c>
      <c r="R91" s="16">
        <f>(($Q$86*C90*F90)+($S$86*C91*F91))/(($Q$86*C90)+($S$86*C91))</f>
        <v>4.36948153825346</v>
      </c>
      <c r="T91" s="7" t="s">
        <v>46</v>
      </c>
      <c r="U91" s="16">
        <f>Q91/E92</f>
        <v>1.0057355247093194</v>
      </c>
      <c r="V91" s="16">
        <f>R91/F92</f>
        <v>0.91989085015862315</v>
      </c>
      <c r="X91" s="7" t="str">
        <f>B92</f>
        <v>하수25 : 퇴비 75</v>
      </c>
      <c r="Y91" s="16">
        <f>(($Q$86*C90)/(($Q$86*C90)+($S$86*C91)))*100</f>
        <v>4.1882692394391601</v>
      </c>
      <c r="Z91" s="16">
        <f>100-Y91</f>
        <v>95.811730760560835</v>
      </c>
      <c r="AB91" s="7" t="str">
        <f>B92</f>
        <v>하수25 : 퇴비 75</v>
      </c>
      <c r="AC91" s="70">
        <f>H92/Y91</f>
        <v>2.6263832077502689E-2</v>
      </c>
      <c r="AD91" s="16">
        <f>I92/Z91</f>
        <v>1.0425654479578392</v>
      </c>
      <c r="AF91" s="7" t="str">
        <f>B92</f>
        <v>하수25 : 퇴비 75</v>
      </c>
      <c r="AG91" s="70">
        <f>L92/Y91</f>
        <v>1.9817255113024757</v>
      </c>
      <c r="AH91" s="16">
        <f>M92/Z91</f>
        <v>0.95708530961791838</v>
      </c>
    </row>
    <row r="92" spans="1:34" x14ac:dyDescent="0.3">
      <c r="A92" s="7"/>
      <c r="B92" s="8" t="s">
        <v>46</v>
      </c>
      <c r="C92" s="41"/>
      <c r="D92" s="8"/>
      <c r="E92" s="9">
        <v>22.67</v>
      </c>
      <c r="F92" s="9">
        <v>4.75</v>
      </c>
      <c r="G92" s="9"/>
      <c r="H92" s="63">
        <v>0.11</v>
      </c>
      <c r="I92" s="63">
        <v>99.89</v>
      </c>
      <c r="J92" s="17">
        <f>SUM(H92:I92)</f>
        <v>100</v>
      </c>
      <c r="L92" s="66">
        <v>8.3000000000000007</v>
      </c>
      <c r="M92" s="66">
        <v>91.7</v>
      </c>
      <c r="N92" s="17">
        <f>SUM(L92:M92)</f>
        <v>100</v>
      </c>
      <c r="P92" s="7" t="s">
        <v>47</v>
      </c>
      <c r="Q92" s="16">
        <f>(($R$86*C90*E90)+($R$86*C91*E91))/(($R$86*C90)+($R$86*C91))</f>
        <v>21.951366529389741</v>
      </c>
      <c r="R92" s="16">
        <f>(($R$86*C90*F90)+($R$86*C91*F91))/(($R$86*C90)+($R$86*C91))</f>
        <v>4.1917521527517776</v>
      </c>
      <c r="T92" s="7" t="s">
        <v>47</v>
      </c>
      <c r="U92" s="16">
        <f t="shared" ref="U92:U93" si="17">Q92/E93</f>
        <v>1.0167376808425077</v>
      </c>
      <c r="V92" s="16">
        <f t="shared" ref="V92:V93" si="18">R92/F93</f>
        <v>0.97256430458277909</v>
      </c>
      <c r="X92" s="7" t="str">
        <f>B93</f>
        <v>하수50 : 퇴비 50</v>
      </c>
      <c r="Y92" s="16">
        <f>(($R$86*C90)/(($R$86*C90)+($R$86*C91)))*100</f>
        <v>11.593660302009235</v>
      </c>
      <c r="Z92" s="16">
        <f t="shared" ref="Z92:Z93" si="19">100-Y92</f>
        <v>88.406339697990759</v>
      </c>
      <c r="AB92" s="7" t="str">
        <f t="shared" ref="AB92:AB93" si="20">B93</f>
        <v>하수50 : 퇴비 50</v>
      </c>
      <c r="AC92" s="16">
        <f t="shared" ref="AC92:AC93" si="21">H93/Y92</f>
        <v>0.922918191603875</v>
      </c>
      <c r="AD92" s="16">
        <f t="shared" ref="AD92:AD93" si="22">I93/Z92</f>
        <v>1.0099954404291362</v>
      </c>
      <c r="AF92" s="7" t="str">
        <f t="shared" ref="AF92:AF93" si="23">B93</f>
        <v>하수50 : 퇴비 50</v>
      </c>
      <c r="AG92" s="16">
        <f t="shared" ref="AG92:AG93" si="24">L93/Y92</f>
        <v>0.82803875134553273</v>
      </c>
      <c r="AH92" s="16">
        <f t="shared" ref="AH92:AH93" si="25">M93/Z92</f>
        <v>1.0225511010728403</v>
      </c>
    </row>
    <row r="93" spans="1:34" x14ac:dyDescent="0.3">
      <c r="A93" s="7"/>
      <c r="B93" s="8" t="s">
        <v>47</v>
      </c>
      <c r="C93" s="41"/>
      <c r="D93" s="8"/>
      <c r="E93" s="9">
        <v>21.59</v>
      </c>
      <c r="F93" s="9">
        <v>4.3099999999999996</v>
      </c>
      <c r="G93" s="9"/>
      <c r="H93" s="63">
        <v>10.7</v>
      </c>
      <c r="I93" s="63">
        <v>89.29</v>
      </c>
      <c r="J93" s="17">
        <f t="shared" ref="J93:J94" si="26">SUM(H93:I93)</f>
        <v>99.990000000000009</v>
      </c>
      <c r="L93" s="66">
        <v>9.6</v>
      </c>
      <c r="M93" s="66">
        <v>90.4</v>
      </c>
      <c r="N93" s="17">
        <f t="shared" ref="N93:N94" si="27">SUM(L93:M93)</f>
        <v>100</v>
      </c>
      <c r="P93" s="10" t="s">
        <v>48</v>
      </c>
      <c r="Q93" s="62">
        <f>(($S$86*C90*E90)+($Q$86*C91*E91))/(($S$86*C90)+($Q$86*C91))</f>
        <v>20.044358221051567</v>
      </c>
      <c r="R93" s="62">
        <f>(($S$86*C90*F90)+($Q$86*C91*F91))/(($S$86*C90)+($Q$86*C91))</f>
        <v>3.7923786850369767</v>
      </c>
      <c r="T93" s="10" t="s">
        <v>48</v>
      </c>
      <c r="U93" s="62">
        <f t="shared" si="17"/>
        <v>1.0326820309660776</v>
      </c>
      <c r="V93" s="62">
        <f t="shared" si="18"/>
        <v>0.8427508188971059</v>
      </c>
      <c r="X93" s="7" t="str">
        <f>B94</f>
        <v>하수75 : 퇴비 25</v>
      </c>
      <c r="Y93" s="62">
        <f>(($S$86*C90)/(($S$86*C90)+($Q$86*C91)))*100</f>
        <v>28.234221456792628</v>
      </c>
      <c r="Z93" s="62">
        <f t="shared" si="19"/>
        <v>71.765778543207375</v>
      </c>
      <c r="AB93" s="7" t="str">
        <f t="shared" si="20"/>
        <v>하수75 : 퇴비 25</v>
      </c>
      <c r="AC93" s="16">
        <f t="shared" si="21"/>
        <v>0.60777308934337992</v>
      </c>
      <c r="AD93" s="16">
        <f t="shared" si="22"/>
        <v>1.1543106154714851</v>
      </c>
      <c r="AF93" s="7" t="str">
        <f t="shared" si="23"/>
        <v>하수75 : 퇴비 25</v>
      </c>
      <c r="AG93" s="16">
        <f t="shared" si="24"/>
        <v>0.63044061715105848</v>
      </c>
      <c r="AH93" s="16">
        <f t="shared" si="25"/>
        <v>1.1453927159796726</v>
      </c>
    </row>
    <row r="94" spans="1:34" x14ac:dyDescent="0.3">
      <c r="A94" s="10"/>
      <c r="B94" s="11" t="s">
        <v>48</v>
      </c>
      <c r="C94" s="11"/>
      <c r="D94" s="11"/>
      <c r="E94" s="12">
        <v>19.41</v>
      </c>
      <c r="F94" s="12">
        <v>4.5</v>
      </c>
      <c r="G94" s="12"/>
      <c r="H94" s="63">
        <v>17.16</v>
      </c>
      <c r="I94" s="63">
        <v>82.84</v>
      </c>
      <c r="J94" s="17">
        <f t="shared" si="26"/>
        <v>100</v>
      </c>
      <c r="L94" s="66">
        <v>17.8</v>
      </c>
      <c r="M94" s="66">
        <v>82.2</v>
      </c>
      <c r="N94" s="17">
        <f t="shared" si="27"/>
        <v>100</v>
      </c>
    </row>
    <row r="95" spans="1:34" x14ac:dyDescent="0.3">
      <c r="A95" s="13"/>
      <c r="B95" s="13"/>
      <c r="C95" s="13"/>
      <c r="D95" s="13"/>
      <c r="E95" s="14"/>
      <c r="F95" s="14"/>
      <c r="G95" s="14"/>
    </row>
    <row r="96" spans="1:34" x14ac:dyDescent="0.3">
      <c r="A96" s="13" t="s">
        <v>91</v>
      </c>
      <c r="B96" s="13"/>
      <c r="C96" s="13"/>
      <c r="D96" s="13"/>
      <c r="E96" s="14"/>
      <c r="F96" s="14"/>
      <c r="G96" s="14"/>
    </row>
    <row r="97" spans="1:34" ht="27" x14ac:dyDescent="0.3">
      <c r="A97" s="1" t="s">
        <v>0</v>
      </c>
      <c r="B97" s="2" t="s">
        <v>1</v>
      </c>
      <c r="C97" s="3" t="s">
        <v>12</v>
      </c>
      <c r="D97" s="3"/>
      <c r="E97" s="3" t="s">
        <v>2</v>
      </c>
      <c r="F97" s="4" t="s">
        <v>3</v>
      </c>
      <c r="G97" s="4" t="s">
        <v>3</v>
      </c>
    </row>
    <row r="98" spans="1:34" x14ac:dyDescent="0.3">
      <c r="A98" s="7"/>
      <c r="B98" s="8" t="s">
        <v>162</v>
      </c>
      <c r="C98" s="41">
        <v>1.8580000000000001</v>
      </c>
      <c r="D98" s="8"/>
      <c r="E98" s="9">
        <v>11.82</v>
      </c>
      <c r="F98" s="9">
        <v>2.0699999999999998</v>
      </c>
      <c r="G98" s="9"/>
      <c r="H98" s="19" t="s">
        <v>61</v>
      </c>
      <c r="L98" s="17" t="s">
        <v>23</v>
      </c>
      <c r="P98" s="1" t="s">
        <v>63</v>
      </c>
      <c r="Q98" s="2" t="s">
        <v>54</v>
      </c>
      <c r="R98" s="4" t="s">
        <v>55</v>
      </c>
      <c r="T98" s="1" t="s">
        <v>178</v>
      </c>
      <c r="U98" s="2" t="s">
        <v>54</v>
      </c>
      <c r="V98" s="4" t="s">
        <v>55</v>
      </c>
      <c r="X98" s="1" t="s">
        <v>179</v>
      </c>
      <c r="Y98" s="2" t="s">
        <v>180</v>
      </c>
      <c r="Z98" s="4" t="s">
        <v>181</v>
      </c>
      <c r="AB98" s="1" t="s">
        <v>178</v>
      </c>
      <c r="AC98" s="2" t="s">
        <v>180</v>
      </c>
      <c r="AD98" s="4" t="s">
        <v>181</v>
      </c>
      <c r="AF98" s="1" t="s">
        <v>178</v>
      </c>
      <c r="AG98" s="2" t="s">
        <v>180</v>
      </c>
      <c r="AH98" s="4" t="s">
        <v>181</v>
      </c>
    </row>
    <row r="99" spans="1:34" x14ac:dyDescent="0.3">
      <c r="A99" s="7"/>
      <c r="B99" s="8" t="s">
        <v>164</v>
      </c>
      <c r="C99" s="41">
        <v>0.27700000000000002</v>
      </c>
      <c r="D99" s="8"/>
      <c r="E99" s="9">
        <v>3.1</v>
      </c>
      <c r="F99" s="9">
        <v>11.41</v>
      </c>
      <c r="G99" s="9"/>
      <c r="H99" s="20" t="s">
        <v>13</v>
      </c>
      <c r="I99" s="20" t="s">
        <v>183</v>
      </c>
      <c r="J99" s="17" t="s">
        <v>15</v>
      </c>
      <c r="L99" s="20" t="s">
        <v>13</v>
      </c>
      <c r="M99" s="20" t="s">
        <v>183</v>
      </c>
      <c r="N99" s="17" t="s">
        <v>26</v>
      </c>
      <c r="P99" s="7" t="s">
        <v>165</v>
      </c>
      <c r="Q99" s="16">
        <f>(($Q$86*C98*E98)+($S$86*C99*E99))/(($Q$86*C98)+($S$86*C99))</f>
        <v>9.1251989587207145</v>
      </c>
      <c r="R99" s="16">
        <f>(($Q$86*C98*F98)+($S$86*C99*F99))/(($Q$86*C98)+($S$86*C99))</f>
        <v>4.9564038676087767</v>
      </c>
      <c r="T99" s="7" t="s">
        <v>165</v>
      </c>
      <c r="U99" s="16">
        <f t="shared" ref="U99:V101" si="28">Q99/E100</f>
        <v>0.91987892729039467</v>
      </c>
      <c r="V99" s="16">
        <f t="shared" si="28"/>
        <v>0.85161578481250455</v>
      </c>
      <c r="X99" s="7" t="str">
        <f>B100</f>
        <v>하수25 : 토양 75</v>
      </c>
      <c r="Y99" s="16">
        <f>(($Q$86*C98)/(($Q$86*C98)+($S$86*C99)))*100</f>
        <v>69.09631833395315</v>
      </c>
      <c r="Z99" s="16">
        <f>100-Y99</f>
        <v>30.90368166604685</v>
      </c>
      <c r="AB99" s="7" t="str">
        <f>B100</f>
        <v>하수25 : 토양 75</v>
      </c>
      <c r="AC99" s="16">
        <f>H100/Y99</f>
        <v>0.95808288482238957</v>
      </c>
      <c r="AD99" s="16">
        <f>I100/Z99</f>
        <v>1.0937208182912155</v>
      </c>
      <c r="AF99" s="7" t="str">
        <f>B100</f>
        <v>하수25 : 토양 75</v>
      </c>
      <c r="AG99" s="16">
        <f>L100/Y99</f>
        <v>1.081099569429494</v>
      </c>
      <c r="AH99" s="16">
        <f>M100/Z99</f>
        <v>0.81867268351383893</v>
      </c>
    </row>
    <row r="100" spans="1:34" x14ac:dyDescent="0.3">
      <c r="A100" s="7"/>
      <c r="B100" s="8" t="s">
        <v>165</v>
      </c>
      <c r="C100" s="41"/>
      <c r="D100" s="8"/>
      <c r="E100" s="9">
        <v>9.92</v>
      </c>
      <c r="F100" s="9">
        <v>5.82</v>
      </c>
      <c r="G100" s="9"/>
      <c r="H100" s="63">
        <v>66.2</v>
      </c>
      <c r="I100" s="63">
        <v>33.799999999999997</v>
      </c>
      <c r="J100" s="17">
        <f>SUM(H100:I100)</f>
        <v>100</v>
      </c>
      <c r="L100" s="66">
        <v>74.7</v>
      </c>
      <c r="M100" s="66">
        <v>25.3</v>
      </c>
      <c r="N100" s="17">
        <f>SUM(L100:M100)</f>
        <v>100</v>
      </c>
      <c r="P100" s="7" t="s">
        <v>166</v>
      </c>
      <c r="Q100" s="16">
        <f>(($R$86*C98*E98)+($R$86*C99*E99))/(($R$86*C98)+($R$86*C99))</f>
        <v>10.688646370023418</v>
      </c>
      <c r="R100" s="16">
        <f>(($R$86*C98*F98)+($R$86*C99*F99))/(($R$86*C98)+($R$86*C99))</f>
        <v>3.2817939110070258</v>
      </c>
      <c r="T100" s="7" t="s">
        <v>166</v>
      </c>
      <c r="U100" s="16">
        <f t="shared" si="28"/>
        <v>0.9577640116508439</v>
      </c>
      <c r="V100" s="16">
        <f t="shared" si="28"/>
        <v>0.66298866889030816</v>
      </c>
      <c r="X100" s="7" t="str">
        <f>B101</f>
        <v>하수50 : 토양 50</v>
      </c>
      <c r="Y100" s="16">
        <f>(($R$86*C98)/(($R$86*C98)+($R$86*C99)))*100</f>
        <v>87.025761124121772</v>
      </c>
      <c r="Z100" s="16">
        <f t="shared" ref="Z100:Z101" si="29">100-Y100</f>
        <v>12.974238875878228</v>
      </c>
      <c r="AB100" s="7" t="str">
        <f t="shared" ref="AB100:AB101" si="30">B101</f>
        <v>하수50 : 토양 50</v>
      </c>
      <c r="AC100" s="16">
        <f t="shared" ref="AC100:AC101" si="31">H101/Y100</f>
        <v>0.87250026910656631</v>
      </c>
      <c r="AD100" s="16">
        <f t="shared" ref="AD100:AD101" si="32">I101/Z100</f>
        <v>1.8552148014440422</v>
      </c>
      <c r="AF100" s="7" t="str">
        <f t="shared" ref="AF100:AF101" si="33">B101</f>
        <v>하수50 : 토양 50</v>
      </c>
      <c r="AG100" s="16">
        <f t="shared" ref="AG100:AG101" si="34">L101/Y100</f>
        <v>0.98016953713670618</v>
      </c>
      <c r="AH100" s="16">
        <f t="shared" ref="AH100:AH101" si="35">M101/Z100</f>
        <v>1.1330144404332123</v>
      </c>
    </row>
    <row r="101" spans="1:34" x14ac:dyDescent="0.3">
      <c r="A101" s="7"/>
      <c r="B101" s="8" t="s">
        <v>166</v>
      </c>
      <c r="C101" s="41"/>
      <c r="D101" s="8"/>
      <c r="E101" s="9">
        <v>11.16</v>
      </c>
      <c r="F101" s="9">
        <v>4.95</v>
      </c>
      <c r="G101" s="9"/>
      <c r="H101" s="63">
        <v>75.930000000000007</v>
      </c>
      <c r="I101" s="63">
        <v>24.07</v>
      </c>
      <c r="J101" s="17">
        <f t="shared" ref="J101:J102" si="36">SUM(H101:I101)</f>
        <v>100</v>
      </c>
      <c r="L101" s="66">
        <v>85.3</v>
      </c>
      <c r="M101" s="66">
        <v>14.7</v>
      </c>
      <c r="N101" s="17">
        <f t="shared" ref="N101:N102" si="37">SUM(L101:M101)</f>
        <v>100</v>
      </c>
      <c r="P101" s="10" t="s">
        <v>167</v>
      </c>
      <c r="Q101" s="62">
        <f>(($S$86*C98*E98)+($Q$86*C99*E99))/(($S$86*C98)+($Q$86*C99))</f>
        <v>11.407174841907366</v>
      </c>
      <c r="R101" s="62">
        <f>(($S$86*C98*F98)+($Q$86*C99*F99))/(($S$86*C98)+($Q$86*C99))</f>
        <v>2.512177405571697</v>
      </c>
      <c r="T101" s="10" t="s">
        <v>167</v>
      </c>
      <c r="U101" s="62">
        <f t="shared" si="28"/>
        <v>0.98592695262812158</v>
      </c>
      <c r="V101" s="62">
        <f t="shared" si="28"/>
        <v>0.73887570752108733</v>
      </c>
      <c r="X101" s="7" t="str">
        <f>B102</f>
        <v>하수75 : 토양 25</v>
      </c>
      <c r="Y101" s="62">
        <f>(($S$86*C98)/(($S$86*C98)+($Q$86*C99)))*100</f>
        <v>95.265766535634938</v>
      </c>
      <c r="Z101" s="62">
        <f t="shared" si="29"/>
        <v>4.7342334643650616</v>
      </c>
      <c r="AB101" s="7" t="str">
        <f t="shared" si="30"/>
        <v>하수75 : 토양 25</v>
      </c>
      <c r="AC101" s="16">
        <f t="shared" si="31"/>
        <v>0.92446639756010041</v>
      </c>
      <c r="AD101" s="70">
        <f t="shared" si="32"/>
        <v>2.5199433212996412</v>
      </c>
      <c r="AF101" s="7" t="str">
        <f t="shared" si="33"/>
        <v>하수75 : 토양 25</v>
      </c>
      <c r="AG101" s="16">
        <f t="shared" si="34"/>
        <v>0.97201758162899166</v>
      </c>
      <c r="AH101" s="70">
        <f t="shared" si="35"/>
        <v>1.5630830324909761</v>
      </c>
    </row>
    <row r="102" spans="1:34" x14ac:dyDescent="0.3">
      <c r="A102" s="10"/>
      <c r="B102" s="11" t="s">
        <v>167</v>
      </c>
      <c r="C102" s="11"/>
      <c r="D102" s="11"/>
      <c r="E102" s="12">
        <v>11.57</v>
      </c>
      <c r="F102" s="12">
        <v>3.4</v>
      </c>
      <c r="G102" s="12"/>
      <c r="H102" s="63">
        <v>88.07</v>
      </c>
      <c r="I102" s="63">
        <v>11.93</v>
      </c>
      <c r="J102" s="17">
        <f t="shared" si="36"/>
        <v>100</v>
      </c>
      <c r="L102" s="66">
        <v>92.6</v>
      </c>
      <c r="M102" s="66">
        <v>7.4</v>
      </c>
      <c r="N102" s="17">
        <f t="shared" si="37"/>
        <v>100</v>
      </c>
    </row>
    <row r="104" spans="1:34" x14ac:dyDescent="0.3">
      <c r="A104" s="5" t="s">
        <v>106</v>
      </c>
    </row>
    <row r="105" spans="1:34" ht="27" x14ac:dyDescent="0.3">
      <c r="A105" s="1" t="s">
        <v>0</v>
      </c>
      <c r="B105" s="2" t="s">
        <v>1</v>
      </c>
      <c r="C105" s="3" t="s">
        <v>12</v>
      </c>
      <c r="D105" s="3"/>
      <c r="E105" s="3" t="s">
        <v>2</v>
      </c>
      <c r="F105" s="4" t="s">
        <v>3</v>
      </c>
      <c r="G105" s="4" t="s">
        <v>3</v>
      </c>
    </row>
    <row r="106" spans="1:34" x14ac:dyDescent="0.3">
      <c r="A106" s="7"/>
      <c r="B106" s="8" t="s">
        <v>168</v>
      </c>
      <c r="C106" s="41">
        <v>0.65600000000000003</v>
      </c>
      <c r="D106" s="8"/>
      <c r="E106" s="9">
        <v>-24.92</v>
      </c>
      <c r="F106" s="9">
        <v>15.56</v>
      </c>
      <c r="G106" s="9"/>
      <c r="H106" s="19" t="s">
        <v>61</v>
      </c>
      <c r="L106" s="17" t="s">
        <v>23</v>
      </c>
      <c r="P106" s="1" t="s">
        <v>63</v>
      </c>
      <c r="Q106" s="2" t="s">
        <v>54</v>
      </c>
      <c r="R106" s="4" t="s">
        <v>55</v>
      </c>
      <c r="T106" s="1" t="s">
        <v>178</v>
      </c>
      <c r="U106" s="2" t="s">
        <v>54</v>
      </c>
      <c r="V106" s="4" t="s">
        <v>55</v>
      </c>
      <c r="X106" s="1" t="s">
        <v>179</v>
      </c>
      <c r="Y106" s="2" t="s">
        <v>180</v>
      </c>
      <c r="Z106" s="4" t="s">
        <v>181</v>
      </c>
      <c r="AB106" s="1" t="s">
        <v>178</v>
      </c>
      <c r="AC106" s="2" t="s">
        <v>180</v>
      </c>
      <c r="AD106" s="4" t="s">
        <v>181</v>
      </c>
      <c r="AF106" s="1" t="s">
        <v>178</v>
      </c>
      <c r="AG106" s="2" t="s">
        <v>180</v>
      </c>
      <c r="AH106" s="4" t="s">
        <v>181</v>
      </c>
    </row>
    <row r="107" spans="1:34" x14ac:dyDescent="0.3">
      <c r="A107" s="7"/>
      <c r="B107" s="8" t="s">
        <v>163</v>
      </c>
      <c r="C107" s="41">
        <v>14.167999999999999</v>
      </c>
      <c r="D107" s="8"/>
      <c r="E107" s="9">
        <v>23.28</v>
      </c>
      <c r="F107" s="9">
        <v>4.47</v>
      </c>
      <c r="G107" s="9"/>
      <c r="H107" s="20" t="s">
        <v>184</v>
      </c>
      <c r="I107" s="20" t="s">
        <v>50</v>
      </c>
      <c r="J107" s="17" t="s">
        <v>15</v>
      </c>
      <c r="L107" s="20" t="s">
        <v>184</v>
      </c>
      <c r="M107" s="20" t="s">
        <v>50</v>
      </c>
      <c r="N107" s="17" t="s">
        <v>26</v>
      </c>
      <c r="P107" s="7" t="s">
        <v>169</v>
      </c>
      <c r="Q107" s="16">
        <f>(($Q$86*C106*E106)+($S$86*C107*E107))/(($Q$86*C106)+($S$86*C107))</f>
        <v>22.547395736793327</v>
      </c>
      <c r="R107" s="16">
        <f>(($Q$86*C106*F106)+($S$86*C107*F107))/(($Q$86*C106)+($S$86*C107))</f>
        <v>4.6385597775718255</v>
      </c>
      <c r="T107" s="7" t="s">
        <v>169</v>
      </c>
      <c r="U107" s="16">
        <f t="shared" ref="U107:V109" si="38">Q107/E108</f>
        <v>1.0029980309961444</v>
      </c>
      <c r="V107" s="16">
        <f t="shared" si="38"/>
        <v>1.1955050973123262</v>
      </c>
      <c r="X107" s="7" t="str">
        <f>B108</f>
        <v>비료25 : 퇴비 75</v>
      </c>
      <c r="Y107" s="16">
        <f>(($Q$86*C106)/(($Q$86*C106)+($S$86*C107)))*100</f>
        <v>1.519925857275255</v>
      </c>
      <c r="Z107" s="16">
        <f>100-Y107</f>
        <v>98.480074142724746</v>
      </c>
      <c r="AB107" s="7" t="str">
        <f>B108</f>
        <v>비료25 : 퇴비 75</v>
      </c>
      <c r="AC107" s="70">
        <f>H108/Y107</f>
        <v>8.5530487804878041E-2</v>
      </c>
      <c r="AD107" s="16">
        <f>I108/Z107</f>
        <v>1.014113777526821</v>
      </c>
      <c r="AF107" s="7" t="str">
        <f>B108</f>
        <v>비료25 : 퇴비 75</v>
      </c>
      <c r="AG107" s="70">
        <f>L108/Y107</f>
        <v>2.4343292682926827</v>
      </c>
      <c r="AH107" s="16">
        <f>M108/Z107</f>
        <v>0.97786278938452853</v>
      </c>
    </row>
    <row r="108" spans="1:34" x14ac:dyDescent="0.3">
      <c r="A108" s="7"/>
      <c r="B108" s="8" t="s">
        <v>169</v>
      </c>
      <c r="C108" s="41"/>
      <c r="D108" s="8"/>
      <c r="E108" s="9">
        <v>22.48</v>
      </c>
      <c r="F108" s="9">
        <v>3.88</v>
      </c>
      <c r="G108" s="9"/>
      <c r="H108" s="63">
        <v>0.13</v>
      </c>
      <c r="I108" s="63">
        <v>99.87</v>
      </c>
      <c r="J108" s="17">
        <f>SUM(H108:I108)</f>
        <v>100</v>
      </c>
      <c r="L108" s="66">
        <v>3.7</v>
      </c>
      <c r="M108" s="66">
        <v>96.3</v>
      </c>
      <c r="N108" s="17">
        <f>SUM(L108:M108)</f>
        <v>100</v>
      </c>
      <c r="P108" s="7" t="s">
        <v>170</v>
      </c>
      <c r="Q108" s="16">
        <f>(($R$86*C106*E106)+($R$86*C107*E107))/(($R$86*C106)+($R$86*C107))</f>
        <v>21.147026443604965</v>
      </c>
      <c r="R108" s="16">
        <f>(($R$86*C106*F106)+($R$86*C107*F107))/(($R$86*C106)+($R$86*C107))</f>
        <v>4.9607609282245004</v>
      </c>
      <c r="T108" s="7" t="s">
        <v>170</v>
      </c>
      <c r="U108" s="16">
        <f t="shared" si="38"/>
        <v>1.0046093322377656</v>
      </c>
      <c r="V108" s="16">
        <f t="shared" si="38"/>
        <v>1.1672378654645883</v>
      </c>
      <c r="X108" s="7" t="str">
        <f>B109</f>
        <v>비료50 : 퇴비 50</v>
      </c>
      <c r="Y108" s="16">
        <f>(($R$86*C106)/(($R$86*C106)+($R$86*C107)))*100</f>
        <v>4.4252563410685379</v>
      </c>
      <c r="Z108" s="16">
        <f t="shared" ref="Z108:Z109" si="39">100-Y108</f>
        <v>95.574743658931467</v>
      </c>
      <c r="AB108" s="7" t="str">
        <f t="shared" ref="AB108:AB109" si="40">B109</f>
        <v>비료50 : 퇴비 50</v>
      </c>
      <c r="AC108" s="70">
        <f t="shared" ref="AC108:AC109" si="41">H109/Y108</f>
        <v>0.24405365853658537</v>
      </c>
      <c r="AD108" s="16">
        <f t="shared" ref="AD108:AD109" si="42">I109/Z108</f>
        <v>1.0350014680971202</v>
      </c>
      <c r="AF108" s="7" t="str">
        <f t="shared" ref="AF108:AF109" si="43">B109</f>
        <v>비료50 : 퇴비 50</v>
      </c>
      <c r="AG108" s="70">
        <f t="shared" ref="AG108:AG109" si="44">L109/Y108</f>
        <v>0.67792682926829262</v>
      </c>
      <c r="AH108" s="16">
        <f t="shared" ref="AH108:AH109" si="45">M109/Z108</f>
        <v>1.0149124788255222</v>
      </c>
    </row>
    <row r="109" spans="1:34" x14ac:dyDescent="0.3">
      <c r="A109" s="7"/>
      <c r="B109" s="8" t="s">
        <v>170</v>
      </c>
      <c r="C109" s="41"/>
      <c r="D109" s="8"/>
      <c r="E109" s="9">
        <v>21.05</v>
      </c>
      <c r="F109" s="9">
        <v>4.25</v>
      </c>
      <c r="G109" s="9"/>
      <c r="H109" s="63">
        <v>1.08</v>
      </c>
      <c r="I109" s="63">
        <v>98.92</v>
      </c>
      <c r="J109" s="17">
        <f t="shared" ref="J109:J110" si="46">SUM(H109:I109)</f>
        <v>100</v>
      </c>
      <c r="L109" s="66">
        <v>3</v>
      </c>
      <c r="M109" s="66">
        <v>97</v>
      </c>
      <c r="N109" s="17">
        <f t="shared" ref="N109:N110" si="47">SUM(L109:M109)</f>
        <v>100</v>
      </c>
      <c r="P109" s="10" t="s">
        <v>171</v>
      </c>
      <c r="Q109" s="62">
        <f>(($S$86*C106*E106)+($Q$86*C107*E107))/(($S$86*C106)+($Q$86*C107))</f>
        <v>17.401368368864652</v>
      </c>
      <c r="R109" s="62">
        <f>(($S$86*C106*F106)+($Q$86*C107*F107))/(($S$86*C106)+($Q$86*C107))</f>
        <v>5.8225731284085267</v>
      </c>
      <c r="T109" s="10" t="s">
        <v>171</v>
      </c>
      <c r="U109" s="62">
        <f t="shared" si="38"/>
        <v>0.9983573361368131</v>
      </c>
      <c r="V109" s="62">
        <f t="shared" si="38"/>
        <v>1.021504057615531</v>
      </c>
      <c r="X109" s="7" t="str">
        <f>B110</f>
        <v>비료75 : 퇴비 25</v>
      </c>
      <c r="Y109" s="62">
        <f>(($S$86*C106)/(($S$86*C106)+($Q$86*C107)))*100</f>
        <v>12.196331184928111</v>
      </c>
      <c r="Z109" s="62">
        <f t="shared" si="39"/>
        <v>87.803668815071887</v>
      </c>
      <c r="AB109" s="7" t="str">
        <f t="shared" si="40"/>
        <v>비료75 : 퇴비 25</v>
      </c>
      <c r="AC109" s="16">
        <f t="shared" si="41"/>
        <v>0.98226260162601631</v>
      </c>
      <c r="AD109" s="16">
        <f t="shared" si="42"/>
        <v>1.0024638057594579</v>
      </c>
      <c r="AF109" s="7" t="str">
        <f t="shared" si="43"/>
        <v>비료75 : 퇴비 25</v>
      </c>
      <c r="AG109" s="16">
        <f t="shared" si="44"/>
        <v>0.76252439024390251</v>
      </c>
      <c r="AH109" s="16">
        <f t="shared" si="45"/>
        <v>1.0329864483342746</v>
      </c>
    </row>
    <row r="110" spans="1:34" x14ac:dyDescent="0.3">
      <c r="A110" s="10"/>
      <c r="B110" s="11" t="s">
        <v>171</v>
      </c>
      <c r="C110" s="11"/>
      <c r="D110" s="11"/>
      <c r="E110" s="12">
        <v>17.43</v>
      </c>
      <c r="F110" s="12">
        <v>5.7</v>
      </c>
      <c r="G110" s="12"/>
      <c r="H110" s="63">
        <v>11.98</v>
      </c>
      <c r="I110" s="63">
        <v>88.02</v>
      </c>
      <c r="J110" s="17">
        <f t="shared" si="46"/>
        <v>100</v>
      </c>
      <c r="L110" s="66">
        <v>9.3000000000000007</v>
      </c>
      <c r="M110" s="66">
        <v>90.7</v>
      </c>
      <c r="N110" s="17">
        <f t="shared" si="47"/>
        <v>100</v>
      </c>
    </row>
    <row r="112" spans="1:34" x14ac:dyDescent="0.3">
      <c r="A112" s="5" t="s">
        <v>110</v>
      </c>
    </row>
    <row r="113" spans="1:34" ht="27" x14ac:dyDescent="0.3">
      <c r="A113" s="1" t="s">
        <v>0</v>
      </c>
      <c r="B113" s="2" t="s">
        <v>1</v>
      </c>
      <c r="C113" s="3" t="s">
        <v>12</v>
      </c>
      <c r="D113" s="3"/>
      <c r="E113" s="3" t="s">
        <v>2</v>
      </c>
      <c r="F113" s="4" t="s">
        <v>3</v>
      </c>
      <c r="G113" s="4" t="s">
        <v>3</v>
      </c>
    </row>
    <row r="114" spans="1:34" x14ac:dyDescent="0.3">
      <c r="A114" s="7"/>
      <c r="B114" s="8" t="s">
        <v>168</v>
      </c>
      <c r="C114" s="41">
        <v>0.65600000000000003</v>
      </c>
      <c r="D114" s="8"/>
      <c r="E114" s="9">
        <v>-24.92</v>
      </c>
      <c r="F114" s="9">
        <v>15.56</v>
      </c>
      <c r="G114" s="9"/>
      <c r="H114" s="19" t="s">
        <v>61</v>
      </c>
      <c r="L114" s="17" t="s">
        <v>23</v>
      </c>
      <c r="P114" s="1" t="s">
        <v>63</v>
      </c>
      <c r="Q114" s="2" t="s">
        <v>54</v>
      </c>
      <c r="R114" s="4" t="s">
        <v>55</v>
      </c>
      <c r="T114" s="1" t="s">
        <v>178</v>
      </c>
      <c r="U114" s="2" t="s">
        <v>54</v>
      </c>
      <c r="V114" s="4" t="s">
        <v>55</v>
      </c>
      <c r="X114" s="1" t="s">
        <v>179</v>
      </c>
      <c r="Y114" s="2" t="s">
        <v>180</v>
      </c>
      <c r="Z114" s="4" t="s">
        <v>181</v>
      </c>
      <c r="AB114" s="1" t="s">
        <v>178</v>
      </c>
      <c r="AC114" s="2" t="s">
        <v>180</v>
      </c>
      <c r="AD114" s="4" t="s">
        <v>181</v>
      </c>
      <c r="AF114" s="1" t="s">
        <v>178</v>
      </c>
      <c r="AG114" s="2" t="s">
        <v>180</v>
      </c>
      <c r="AH114" s="4" t="s">
        <v>181</v>
      </c>
    </row>
    <row r="115" spans="1:34" x14ac:dyDescent="0.3">
      <c r="A115" s="7"/>
      <c r="B115" s="8" t="s">
        <v>164</v>
      </c>
      <c r="C115" s="41">
        <v>0.27700000000000002</v>
      </c>
      <c r="D115" s="8"/>
      <c r="E115" s="9">
        <v>3.1</v>
      </c>
      <c r="F115" s="9">
        <v>11.41</v>
      </c>
      <c r="G115" s="9"/>
      <c r="H115" s="20" t="s">
        <v>184</v>
      </c>
      <c r="I115" s="20" t="s">
        <v>183</v>
      </c>
      <c r="J115" s="17" t="s">
        <v>15</v>
      </c>
      <c r="L115" s="20" t="s">
        <v>184</v>
      </c>
      <c r="M115" s="20" t="s">
        <v>183</v>
      </c>
      <c r="N115" s="17" t="s">
        <v>26</v>
      </c>
      <c r="P115" s="7" t="s">
        <v>172</v>
      </c>
      <c r="Q115" s="16">
        <f>(($Q$86*C114*E114)+($S$86*C115*E115))/(($Q$86*C114)+($S$86*C115))</f>
        <v>-9.2612104909213198</v>
      </c>
      <c r="R115" s="16">
        <f>(($Q$86*C114*F114)+($S$86*C115*F115))/(($Q$86*C114)+($S$86*C115))</f>
        <v>13.240800268997983</v>
      </c>
      <c r="T115" s="7" t="s">
        <v>172</v>
      </c>
      <c r="U115" s="16">
        <f>Q115/E116</f>
        <v>0.93264959626599397</v>
      </c>
      <c r="V115" s="16">
        <f>R115/F116</f>
        <v>0.91378883844016445</v>
      </c>
      <c r="X115" s="7" t="str">
        <f>B116</f>
        <v>비료25 : 토양 75</v>
      </c>
      <c r="Y115" s="16">
        <f>(($Q$86*C114)/(($Q$86*C114)+($S$86*C115)))*100</f>
        <v>44.115669132481507</v>
      </c>
      <c r="Z115" s="16">
        <f>100-Y115</f>
        <v>55.884330867518493</v>
      </c>
      <c r="AB115" s="7" t="str">
        <f>B116</f>
        <v>비료25 : 토양 75</v>
      </c>
      <c r="AC115" s="16">
        <f>H116/Y115</f>
        <v>1.0839685975609756</v>
      </c>
      <c r="AD115" s="16">
        <f>I116/Z115</f>
        <v>0.93371432009626953</v>
      </c>
      <c r="AF115" s="7" t="str">
        <f>B116</f>
        <v>비료25 : 토양 75</v>
      </c>
      <c r="AG115" s="70">
        <f>L116/Y115</f>
        <v>1.5006006097560975</v>
      </c>
      <c r="AH115" s="70">
        <f>M116/Z115</f>
        <v>0.60482069795427196</v>
      </c>
    </row>
    <row r="116" spans="1:34" x14ac:dyDescent="0.3">
      <c r="A116" s="7"/>
      <c r="B116" s="8" t="s">
        <v>172</v>
      </c>
      <c r="C116" s="41"/>
      <c r="D116" s="8"/>
      <c r="E116" s="9">
        <v>-9.93</v>
      </c>
      <c r="F116" s="9">
        <v>14.49</v>
      </c>
      <c r="G116" s="9"/>
      <c r="H116" s="63">
        <v>47.82</v>
      </c>
      <c r="I116" s="63">
        <v>52.18</v>
      </c>
      <c r="J116" s="17">
        <f>SUM(H116:I116)</f>
        <v>100</v>
      </c>
      <c r="L116" s="66">
        <v>66.2</v>
      </c>
      <c r="M116" s="66">
        <v>33.799999999999997</v>
      </c>
      <c r="N116" s="17">
        <f>SUM(L116:M116)</f>
        <v>100</v>
      </c>
      <c r="P116" s="7" t="s">
        <v>173</v>
      </c>
      <c r="Q116" s="16">
        <f>(($R$86*C114*E114)+($R$86*C115*E115))/(($R$86*C114)+($R$86*C115))</f>
        <v>-16.601093247588427</v>
      </c>
      <c r="R116" s="16">
        <f>(($R$86*C114*F114)+($R$86*C115*F115))/(($R$86*C114)+($R$86*C115))</f>
        <v>14.327899249732047</v>
      </c>
      <c r="T116" s="7" t="s">
        <v>173</v>
      </c>
      <c r="U116" s="16">
        <f>Q116/E117</f>
        <v>0.96349931790994925</v>
      </c>
      <c r="V116" s="16">
        <f t="shared" ref="V116:V117" si="48">R116/F117</f>
        <v>0.9609590375407141</v>
      </c>
      <c r="X116" s="7" t="str">
        <f>B117</f>
        <v>비료50 : 토양 50</v>
      </c>
      <c r="Y116" s="16">
        <f>(($R$86*C114)/(($R$86*C114)+($R$86*C115)))*100</f>
        <v>70.310825294748128</v>
      </c>
      <c r="Z116" s="16">
        <f t="shared" ref="Z116:Z117" si="49">100-Y116</f>
        <v>29.689174705251872</v>
      </c>
      <c r="AB116" s="7" t="str">
        <f t="shared" ref="AB116:AB117" si="50">B117</f>
        <v>비료50 : 토양 50</v>
      </c>
      <c r="AC116" s="16">
        <f t="shared" ref="AC116:AC117" si="51">H117/Y116</f>
        <v>1.0312778963414635</v>
      </c>
      <c r="AD116" s="16">
        <f t="shared" ref="AD116:AD117" si="52">I117/Z116</f>
        <v>0.92592671480144406</v>
      </c>
      <c r="AF116" s="7" t="str">
        <f t="shared" ref="AF116:AF117" si="53">B117</f>
        <v>비료50 : 토양 50</v>
      </c>
      <c r="AG116" s="16">
        <f t="shared" ref="AG116:AG117" si="54">L117/Y116</f>
        <v>1.1335381097560975</v>
      </c>
      <c r="AH116" s="70">
        <f t="shared" ref="AH116:AH117" si="55">M117/Z116</f>
        <v>0.68375090252707593</v>
      </c>
    </row>
    <row r="117" spans="1:34" x14ac:dyDescent="0.3">
      <c r="A117" s="7"/>
      <c r="B117" s="8" t="s">
        <v>173</v>
      </c>
      <c r="C117" s="41"/>
      <c r="D117" s="8"/>
      <c r="E117" s="9">
        <v>-17.23</v>
      </c>
      <c r="F117" s="9">
        <v>14.91</v>
      </c>
      <c r="G117" s="9"/>
      <c r="H117" s="63">
        <v>72.510000000000005</v>
      </c>
      <c r="I117" s="63">
        <v>27.49</v>
      </c>
      <c r="J117" s="17">
        <f t="shared" ref="J117:J118" si="56">SUM(H117:I117)</f>
        <v>100</v>
      </c>
      <c r="L117" s="66">
        <v>79.7</v>
      </c>
      <c r="M117" s="66">
        <v>20.3</v>
      </c>
      <c r="N117" s="17">
        <f t="shared" ref="N117:N118" si="57">SUM(L117:M117)</f>
        <v>100</v>
      </c>
      <c r="P117" s="10" t="s">
        <v>174</v>
      </c>
      <c r="Q117" s="62">
        <f>(($S$86*C114*E114)+($Q$86*C115*E115))/(($S$86*C114)+($Q$86*C115))</f>
        <v>-21.462743875278395</v>
      </c>
      <c r="R117" s="62">
        <f>(($S$86*C114*F114)+($Q$86*C115*F115))/(($S$86*C114)+($Q$86*C115))</f>
        <v>15.047951002227173</v>
      </c>
      <c r="T117" s="10" t="s">
        <v>174</v>
      </c>
      <c r="U117" s="62">
        <f t="shared" ref="U117" si="58">Q117/E118</f>
        <v>1.0090617712871837</v>
      </c>
      <c r="V117" s="62">
        <f t="shared" si="48"/>
        <v>0.95907909510689437</v>
      </c>
      <c r="X117" s="7" t="str">
        <f>B118</f>
        <v>비료75 : 토양 25</v>
      </c>
      <c r="Y117" s="62">
        <f>(($S$86*C114)/(($S$86*C114)+($Q$86*C115)))*100</f>
        <v>87.661469933184861</v>
      </c>
      <c r="Z117" s="62">
        <f t="shared" si="49"/>
        <v>12.338530066815139</v>
      </c>
      <c r="AB117" s="7" t="str">
        <f t="shared" si="50"/>
        <v>비료75 : 토양 25</v>
      </c>
      <c r="AC117" s="16">
        <f t="shared" si="51"/>
        <v>0.99701727642276428</v>
      </c>
      <c r="AD117" s="16">
        <f t="shared" si="52"/>
        <v>1.0211913357400726</v>
      </c>
      <c r="AF117" s="7" t="str">
        <f t="shared" si="53"/>
        <v>비료75 : 토양 25</v>
      </c>
      <c r="AG117" s="16">
        <f t="shared" si="54"/>
        <v>1.0289583333333332</v>
      </c>
      <c r="AH117" s="16">
        <f t="shared" si="55"/>
        <v>0.79425992779783439</v>
      </c>
    </row>
    <row r="118" spans="1:34" x14ac:dyDescent="0.3">
      <c r="A118" s="10"/>
      <c r="B118" s="11" t="s">
        <v>174</v>
      </c>
      <c r="C118" s="11"/>
      <c r="D118" s="11"/>
      <c r="E118" s="12">
        <v>-21.27</v>
      </c>
      <c r="F118" s="12">
        <v>15.69</v>
      </c>
      <c r="G118" s="12"/>
      <c r="H118" s="63">
        <v>87.4</v>
      </c>
      <c r="I118" s="63">
        <v>12.6</v>
      </c>
      <c r="J118" s="17">
        <f t="shared" si="56"/>
        <v>100</v>
      </c>
      <c r="L118" s="66">
        <v>90.2</v>
      </c>
      <c r="M118" s="66">
        <v>9.8000000000000007</v>
      </c>
      <c r="N118" s="17">
        <f t="shared" si="57"/>
        <v>100</v>
      </c>
    </row>
    <row r="120" spans="1:34" x14ac:dyDescent="0.3">
      <c r="A120" s="5" t="s">
        <v>114</v>
      </c>
    </row>
    <row r="121" spans="1:34" ht="27" x14ac:dyDescent="0.3">
      <c r="A121" s="1" t="s">
        <v>0</v>
      </c>
      <c r="B121" s="2" t="s">
        <v>1</v>
      </c>
      <c r="C121" s="3" t="s">
        <v>12</v>
      </c>
      <c r="D121" s="3"/>
      <c r="E121" s="3" t="s">
        <v>2</v>
      </c>
      <c r="F121" s="4" t="s">
        <v>3</v>
      </c>
      <c r="G121" s="4" t="s">
        <v>3</v>
      </c>
    </row>
    <row r="122" spans="1:34" x14ac:dyDescent="0.3">
      <c r="A122" s="7"/>
      <c r="B122" s="8" t="s">
        <v>163</v>
      </c>
      <c r="C122" s="41">
        <v>14.167999999999999</v>
      </c>
      <c r="D122" s="8"/>
      <c r="E122" s="9">
        <v>23.28</v>
      </c>
      <c r="F122" s="9">
        <v>4.47</v>
      </c>
      <c r="G122" s="9"/>
      <c r="H122" s="19" t="s">
        <v>61</v>
      </c>
      <c r="L122" s="17" t="s">
        <v>23</v>
      </c>
      <c r="P122" s="1" t="s">
        <v>63</v>
      </c>
      <c r="Q122" s="2" t="s">
        <v>54</v>
      </c>
      <c r="R122" s="4" t="s">
        <v>55</v>
      </c>
      <c r="T122" s="1" t="s">
        <v>178</v>
      </c>
      <c r="U122" s="2" t="s">
        <v>54</v>
      </c>
      <c r="V122" s="4" t="s">
        <v>55</v>
      </c>
      <c r="X122" s="1" t="s">
        <v>179</v>
      </c>
      <c r="Y122" s="2" t="s">
        <v>180</v>
      </c>
      <c r="Z122" s="4" t="s">
        <v>181</v>
      </c>
      <c r="AB122" s="1" t="s">
        <v>178</v>
      </c>
      <c r="AC122" s="2" t="s">
        <v>180</v>
      </c>
      <c r="AD122" s="4" t="s">
        <v>181</v>
      </c>
      <c r="AF122" s="1" t="s">
        <v>178</v>
      </c>
      <c r="AG122" s="2" t="s">
        <v>180</v>
      </c>
      <c r="AH122" s="4" t="s">
        <v>181</v>
      </c>
    </row>
    <row r="123" spans="1:34" x14ac:dyDescent="0.3">
      <c r="A123" s="7"/>
      <c r="B123" s="8" t="s">
        <v>164</v>
      </c>
      <c r="C123" s="41">
        <v>0.27700000000000002</v>
      </c>
      <c r="D123" s="8"/>
      <c r="E123" s="9">
        <v>3.1</v>
      </c>
      <c r="F123" s="9">
        <v>11.41</v>
      </c>
      <c r="G123" s="9"/>
      <c r="H123" s="20" t="s">
        <v>185</v>
      </c>
      <c r="I123" s="20" t="s">
        <v>183</v>
      </c>
      <c r="J123" s="17" t="s">
        <v>15</v>
      </c>
      <c r="L123" s="20" t="s">
        <v>185</v>
      </c>
      <c r="M123" s="20" t="s">
        <v>183</v>
      </c>
      <c r="N123" s="17" t="s">
        <v>26</v>
      </c>
      <c r="P123" s="7" t="s">
        <v>175</v>
      </c>
      <c r="Q123" s="16">
        <f>(($Q$86*C122*E122)+($S$86*C123*E123))/(($Q$86*C122)+($S$86*C123))</f>
        <v>22.161953463564238</v>
      </c>
      <c r="R123" s="16">
        <f>(($Q$86*C122*F122)+($S$86*C123*F123))/(($Q$86*C122)+($S$86*C123))</f>
        <v>4.8545016334422293</v>
      </c>
      <c r="T123" s="7" t="s">
        <v>175</v>
      </c>
      <c r="U123" s="16">
        <f>Q123/E124</f>
        <v>0.99514833693597837</v>
      </c>
      <c r="V123" s="16">
        <f>R123/F124</f>
        <v>1.3263665665142703</v>
      </c>
      <c r="X123" s="7" t="str">
        <f>B124</f>
        <v>퇴비25 : 토양 75</v>
      </c>
      <c r="Y123" s="16">
        <f>(($Q$86*C122)/(($Q$86*C122)+($S$86*C123)))*100</f>
        <v>94.459630642042796</v>
      </c>
      <c r="Z123" s="16">
        <f>100-Y123</f>
        <v>5.5403693579572035</v>
      </c>
      <c r="AB123" s="7" t="str">
        <f>B124</f>
        <v>퇴비25 : 토양 75</v>
      </c>
      <c r="AC123" s="16">
        <f>H124/Y123</f>
        <v>1.0560066699604744</v>
      </c>
      <c r="AD123" s="70">
        <f>I124/Z123</f>
        <v>4.5123345367027626E-2</v>
      </c>
      <c r="AF123" s="7" t="str">
        <f>B124</f>
        <v>퇴비25 : 토양 75</v>
      </c>
      <c r="AG123" s="16">
        <f>L124/Y123</f>
        <v>1.0194831309994354</v>
      </c>
      <c r="AH123" s="70">
        <f>M124/Z123</f>
        <v>0.66782551143200886</v>
      </c>
    </row>
    <row r="124" spans="1:34" x14ac:dyDescent="0.3">
      <c r="A124" s="7"/>
      <c r="B124" s="8" t="s">
        <v>175</v>
      </c>
      <c r="C124" s="41"/>
      <c r="D124" s="8"/>
      <c r="E124" s="9">
        <v>22.27</v>
      </c>
      <c r="F124" s="9">
        <v>3.66</v>
      </c>
      <c r="G124" s="9"/>
      <c r="H124" s="63">
        <v>99.75</v>
      </c>
      <c r="I124" s="63">
        <v>0.25</v>
      </c>
      <c r="J124" s="17">
        <f>SUM(H124:I124)</f>
        <v>100</v>
      </c>
      <c r="L124" s="66">
        <v>96.3</v>
      </c>
      <c r="M124" s="66">
        <v>3.7</v>
      </c>
      <c r="N124" s="17">
        <f>SUM(L124:M124)</f>
        <v>100</v>
      </c>
      <c r="P124" s="7" t="s">
        <v>176</v>
      </c>
      <c r="Q124" s="16">
        <f>(($R$86*C122*E122)+($R$86*C123*E123))/(($R$86*C122)+($R$86*C123))</f>
        <v>22.893024575977847</v>
      </c>
      <c r="R124" s="16">
        <f>(($R$86*C122*F122)+($R$86*C123*F123))/(($R$86*C122)+($R$86*C123))</f>
        <v>4.6030827275874007</v>
      </c>
      <c r="T124" s="7" t="s">
        <v>176</v>
      </c>
      <c r="U124" s="16">
        <f t="shared" ref="U124:U125" si="59">Q124/E125</f>
        <v>1.0010067588971512</v>
      </c>
      <c r="V124" s="16">
        <f t="shared" ref="V124:V125" si="60">R124/F125</f>
        <v>1.2893789152905886</v>
      </c>
      <c r="X124" s="7" t="str">
        <f>B125</f>
        <v>퇴비50 : 토양 50</v>
      </c>
      <c r="Y124" s="16">
        <f>(($R$86*C122)/(($R$86*C122)+($R$86*C123)))*100</f>
        <v>98.08238144686743</v>
      </c>
      <c r="Z124" s="16">
        <f t="shared" ref="Z124:Z125" si="61">100-Y124</f>
        <v>1.91761855313257</v>
      </c>
      <c r="AB124" s="7" t="str">
        <f t="shared" ref="AB124:AB125" si="62">B125</f>
        <v>퇴비50 : 토양 50</v>
      </c>
      <c r="AC124" s="16">
        <f t="shared" ref="AC124:AC125" si="63">H125/Y124</f>
        <v>1.0176139539808018</v>
      </c>
      <c r="AD124" s="70">
        <f t="shared" ref="AD124:AD125" si="64">I125/Z124</f>
        <v>9.9081227436823197E-2</v>
      </c>
      <c r="AF124" s="7" t="str">
        <f t="shared" ref="AF124:AF125" si="65">B125</f>
        <v>퇴비50 : 토양 50</v>
      </c>
      <c r="AG124" s="16">
        <f t="shared" ref="AG124:AG125" si="66">L125/Y124</f>
        <v>0.99814052795031061</v>
      </c>
      <c r="AH124" s="16">
        <f t="shared" ref="AH124:AH125" si="67">M125/Z124</f>
        <v>1.0951083032490985</v>
      </c>
    </row>
    <row r="125" spans="1:34" x14ac:dyDescent="0.3">
      <c r="A125" s="7"/>
      <c r="B125" s="8" t="s">
        <v>176</v>
      </c>
      <c r="C125" s="41"/>
      <c r="D125" s="8"/>
      <c r="E125" s="9">
        <v>22.87</v>
      </c>
      <c r="F125" s="9">
        <v>3.57</v>
      </c>
      <c r="G125" s="9"/>
      <c r="H125" s="63">
        <v>99.81</v>
      </c>
      <c r="I125" s="63">
        <v>0.19</v>
      </c>
      <c r="J125" s="17">
        <f t="shared" ref="J125:J126" si="68">SUM(H125:I125)</f>
        <v>100</v>
      </c>
      <c r="L125" s="66">
        <v>97.9</v>
      </c>
      <c r="M125" s="66">
        <v>2.1</v>
      </c>
      <c r="N125" s="17">
        <f t="shared" ref="N125:N126" si="69">SUM(L125:M125)</f>
        <v>100</v>
      </c>
      <c r="P125" s="10" t="s">
        <v>177</v>
      </c>
      <c r="Q125" s="62">
        <f>(($S$86*C122*E122)+($Q$86*C123*E123))/(($S$86*C122)+($Q$86*C123))</f>
        <v>23.149337790140482</v>
      </c>
      <c r="R125" s="62">
        <f>(($S$86*C122*F122)+($Q$86*C123*F123))/(($S$86*C122)+($Q$86*C123))</f>
        <v>4.5149353685047098</v>
      </c>
      <c r="T125" s="10" t="s">
        <v>177</v>
      </c>
      <c r="U125" s="62">
        <f t="shared" si="59"/>
        <v>0.9999713948224831</v>
      </c>
      <c r="V125" s="62">
        <f t="shared" si="60"/>
        <v>1.3681622328802152</v>
      </c>
      <c r="X125" s="7" t="str">
        <f>B126</f>
        <v>퇴비75 : 토양 25</v>
      </c>
      <c r="Y125" s="62">
        <f>(($S$86*C122)/(($S$86*C122)+($Q$86*C123)))*100</f>
        <v>99.352516303966709</v>
      </c>
      <c r="Z125" s="62">
        <f t="shared" si="61"/>
        <v>0.64748369603329081</v>
      </c>
      <c r="AB125" s="7" t="str">
        <f t="shared" si="62"/>
        <v>퇴비75 : 토양 25</v>
      </c>
      <c r="AC125" s="16">
        <f t="shared" si="63"/>
        <v>1.0053092132505177</v>
      </c>
      <c r="AD125" s="70">
        <f t="shared" si="64"/>
        <v>0.18533285198555813</v>
      </c>
      <c r="AF125" s="7" t="str">
        <f t="shared" si="65"/>
        <v>퇴비75 : 토양 25</v>
      </c>
      <c r="AG125" s="16">
        <f t="shared" si="66"/>
        <v>0.98839972708450974</v>
      </c>
      <c r="AH125" s="70">
        <f t="shared" si="67"/>
        <v>2.7799927797833721</v>
      </c>
    </row>
    <row r="126" spans="1:34" x14ac:dyDescent="0.3">
      <c r="A126" s="10"/>
      <c r="B126" s="11" t="s">
        <v>177</v>
      </c>
      <c r="C126" s="11"/>
      <c r="D126" s="11"/>
      <c r="E126" s="12">
        <v>23.15</v>
      </c>
      <c r="F126" s="12">
        <v>3.3</v>
      </c>
      <c r="G126" s="12"/>
      <c r="H126" s="63">
        <v>99.88</v>
      </c>
      <c r="I126" s="63">
        <v>0.12</v>
      </c>
      <c r="J126" s="17">
        <f t="shared" si="68"/>
        <v>100</v>
      </c>
      <c r="L126" s="66">
        <v>98.2</v>
      </c>
      <c r="M126" s="66">
        <v>1.8</v>
      </c>
      <c r="N126" s="17">
        <f t="shared" si="69"/>
        <v>100</v>
      </c>
    </row>
  </sheetData>
  <mergeCells count="2">
    <mergeCell ref="A77:A79"/>
    <mergeCell ref="A81:A82"/>
  </mergeCells>
  <phoneticPr fontId="5" type="noConversion"/>
  <pageMargins left="0.7" right="0.7" top="0.75" bottom="0.75" header="0.3" footer="0.3"/>
  <pageSetup paperSize="9"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3"/>
  <sheetViews>
    <sheetView workbookViewId="0">
      <selection activeCell="D4" activeCellId="3" sqref="B3 D3 B4 D4"/>
    </sheetView>
  </sheetViews>
  <sheetFormatPr defaultRowHeight="16.5" x14ac:dyDescent="0.3"/>
  <cols>
    <col min="1" max="1" width="10.375" bestFit="1" customWidth="1"/>
    <col min="2" max="2" width="15.125" bestFit="1" customWidth="1"/>
    <col min="4" max="4" width="7.5" bestFit="1" customWidth="1"/>
    <col min="6" max="9" width="10.625" customWidth="1"/>
    <col min="13" max="13" width="21.75" bestFit="1" customWidth="1"/>
    <col min="14" max="14" width="28.625" bestFit="1" customWidth="1"/>
    <col min="21" max="21" width="21.75" bestFit="1" customWidth="1"/>
    <col min="22" max="22" width="31.5" bestFit="1" customWidth="1"/>
  </cols>
  <sheetData>
    <row r="1" spans="1:26" ht="30" x14ac:dyDescent="0.3">
      <c r="A1" s="54" t="s">
        <v>81</v>
      </c>
      <c r="B1" s="54" t="s">
        <v>82</v>
      </c>
      <c r="C1" s="54" t="s">
        <v>83</v>
      </c>
      <c r="D1" s="55" t="s">
        <v>84</v>
      </c>
    </row>
    <row r="2" spans="1:26" x14ac:dyDescent="0.3">
      <c r="A2" s="51">
        <v>1</v>
      </c>
      <c r="B2" s="51" t="s">
        <v>87</v>
      </c>
      <c r="C2" s="52" t="s">
        <v>88</v>
      </c>
      <c r="D2" s="53">
        <v>1.8580000000000001</v>
      </c>
      <c r="F2" s="42" t="s">
        <v>60</v>
      </c>
      <c r="G2" s="43">
        <v>0.25</v>
      </c>
      <c r="H2" s="43">
        <v>0.5</v>
      </c>
      <c r="I2" s="44">
        <v>0.75</v>
      </c>
      <c r="M2" s="42" t="s">
        <v>60</v>
      </c>
      <c r="N2">
        <v>0.125</v>
      </c>
      <c r="O2">
        <v>0.25</v>
      </c>
      <c r="P2">
        <v>0.33300000000000002</v>
      </c>
      <c r="Q2">
        <v>0.5</v>
      </c>
      <c r="R2">
        <v>0.75</v>
      </c>
      <c r="U2" s="42" t="s">
        <v>60</v>
      </c>
      <c r="V2">
        <v>0.1</v>
      </c>
      <c r="W2">
        <v>0.2</v>
      </c>
      <c r="X2">
        <v>0.25</v>
      </c>
      <c r="Y2">
        <v>0.4</v>
      </c>
      <c r="Z2">
        <v>0.7</v>
      </c>
    </row>
    <row r="3" spans="1:26" x14ac:dyDescent="0.3">
      <c r="A3" s="51">
        <v>2</v>
      </c>
      <c r="B3" s="51" t="s">
        <v>89</v>
      </c>
      <c r="C3" s="52" t="s">
        <v>90</v>
      </c>
      <c r="D3" s="53">
        <v>0.65600000000000003</v>
      </c>
      <c r="F3" s="56"/>
      <c r="G3" s="56"/>
      <c r="H3" s="57"/>
      <c r="I3" s="58"/>
    </row>
    <row r="4" spans="1:26" x14ac:dyDescent="0.3">
      <c r="A4" s="51">
        <v>3</v>
      </c>
      <c r="B4" s="51" t="s">
        <v>45</v>
      </c>
      <c r="C4" s="52" t="s">
        <v>93</v>
      </c>
      <c r="D4" s="53">
        <v>14.167999999999999</v>
      </c>
      <c r="F4" s="56"/>
      <c r="G4" s="56"/>
      <c r="H4" s="57"/>
      <c r="I4" s="58"/>
    </row>
    <row r="5" spans="1:26" x14ac:dyDescent="0.3">
      <c r="A5" s="51">
        <v>4</v>
      </c>
      <c r="B5" s="51" t="s">
        <v>85</v>
      </c>
      <c r="C5" s="52" t="s">
        <v>86</v>
      </c>
      <c r="D5" s="53">
        <v>0.27700000000000002</v>
      </c>
      <c r="F5" s="56"/>
      <c r="G5" s="56"/>
      <c r="H5" s="57"/>
      <c r="I5" s="58"/>
    </row>
    <row r="8" spans="1:26" x14ac:dyDescent="0.3">
      <c r="A8" t="s">
        <v>92</v>
      </c>
      <c r="M8" t="s">
        <v>118</v>
      </c>
      <c r="U8" t="s">
        <v>122</v>
      </c>
    </row>
    <row r="9" spans="1:26" x14ac:dyDescent="0.3">
      <c r="A9" s="59" t="s">
        <v>99</v>
      </c>
      <c r="B9" s="59" t="s">
        <v>98</v>
      </c>
      <c r="C9" s="59" t="s">
        <v>100</v>
      </c>
      <c r="D9" s="59" t="s">
        <v>101</v>
      </c>
      <c r="M9" s="59" t="s">
        <v>99</v>
      </c>
      <c r="N9" s="59" t="s">
        <v>102</v>
      </c>
      <c r="O9" s="59" t="s">
        <v>100</v>
      </c>
      <c r="P9" s="59" t="s">
        <v>101</v>
      </c>
      <c r="U9" s="59" t="s">
        <v>99</v>
      </c>
      <c r="V9" s="59" t="s">
        <v>102</v>
      </c>
      <c r="W9" s="59" t="s">
        <v>100</v>
      </c>
      <c r="X9" s="59" t="s">
        <v>101</v>
      </c>
    </row>
    <row r="10" spans="1:26" x14ac:dyDescent="0.3">
      <c r="A10" s="60" t="s">
        <v>94</v>
      </c>
      <c r="B10" s="60" t="s">
        <v>95</v>
      </c>
      <c r="C10" s="61">
        <f>(G2*$D$2)+(I2*$D$4)</f>
        <v>11.090499999999999</v>
      </c>
      <c r="D10" s="60"/>
      <c r="M10" s="60" t="s">
        <v>119</v>
      </c>
      <c r="N10" s="60" t="s">
        <v>124</v>
      </c>
      <c r="O10" s="61">
        <f>($D$2*$P$2)+($D$3*$P$2)+($D$4*$P$2)</f>
        <v>5.5551060000000003</v>
      </c>
      <c r="P10" s="60">
        <v>0.3</v>
      </c>
      <c r="U10" s="60" t="s">
        <v>123</v>
      </c>
      <c r="V10" s="60" t="s">
        <v>145</v>
      </c>
      <c r="W10" s="61">
        <f>($D$2*$X$2)+($D$3*$X$2)+($D$4*$X$2)+($D$5*$X$2)</f>
        <v>4.2397499999999999</v>
      </c>
      <c r="X10" s="60">
        <v>0.3</v>
      </c>
    </row>
    <row r="11" spans="1:26" x14ac:dyDescent="0.3">
      <c r="A11" s="60"/>
      <c r="B11" s="60" t="s">
        <v>96</v>
      </c>
      <c r="C11" s="61">
        <f>($H$2*$D$2)+($H$2*$D$4)</f>
        <v>8.0129999999999999</v>
      </c>
      <c r="D11" s="60"/>
      <c r="M11" s="60"/>
      <c r="N11" s="60" t="s">
        <v>125</v>
      </c>
      <c r="O11" s="61">
        <f>($D$2*$Q$2)+($D$3*$O$2)+($D$4*$O$2)</f>
        <v>4.6349999999999998</v>
      </c>
      <c r="P11" s="60">
        <v>0.3</v>
      </c>
      <c r="U11" s="60"/>
      <c r="V11" s="60" t="s">
        <v>146</v>
      </c>
      <c r="W11" s="61">
        <f>($D$2*$Y$2)+($D$3*$W$2)+($D$4*$W$2)+($D$5*$W$2)</f>
        <v>3.7634000000000003</v>
      </c>
      <c r="X11" s="60">
        <v>0.5</v>
      </c>
    </row>
    <row r="12" spans="1:26" x14ac:dyDescent="0.3">
      <c r="A12" s="60"/>
      <c r="B12" s="60" t="s">
        <v>97</v>
      </c>
      <c r="C12" s="61">
        <f>($I$2*$D$2)+($G$2*$D$4)</f>
        <v>4.9354999999999993</v>
      </c>
      <c r="D12" s="60"/>
      <c r="M12" s="60"/>
      <c r="N12" s="60" t="s">
        <v>126</v>
      </c>
      <c r="O12" s="61">
        <f>($D$2*$O$2)+($D$3*$Q$2)+($D$4*$O$2)</f>
        <v>4.3345000000000002</v>
      </c>
      <c r="P12" s="60">
        <v>0.3</v>
      </c>
      <c r="U12" s="60"/>
      <c r="V12" s="60" t="s">
        <v>147</v>
      </c>
      <c r="W12" s="61">
        <f>($D$2*$W$2)+($D$3*$Y$2)+($D$4*$W$2)+($D$5*$W$2)</f>
        <v>3.5230000000000001</v>
      </c>
      <c r="X12" s="60">
        <v>0.5</v>
      </c>
    </row>
    <row r="13" spans="1:26" x14ac:dyDescent="0.3">
      <c r="M13" s="60"/>
      <c r="N13" s="60" t="s">
        <v>127</v>
      </c>
      <c r="O13" s="61">
        <f>($D$2*$O$2)+($D$3*$O$2)+($D$4*$Q$2)</f>
        <v>7.7124999999999995</v>
      </c>
      <c r="P13" s="60">
        <v>0.2</v>
      </c>
      <c r="U13" s="60"/>
      <c r="V13" s="60" t="s">
        <v>148</v>
      </c>
      <c r="W13" s="61">
        <f>($D$2*$W$2)+($D$3*$W$2)+($D$4*$Y$2)+($D$5*$W$2)</f>
        <v>6.2253999999999996</v>
      </c>
      <c r="X13" s="60">
        <v>0.2</v>
      </c>
    </row>
    <row r="14" spans="1:26" x14ac:dyDescent="0.3">
      <c r="A14" s="59" t="s">
        <v>99</v>
      </c>
      <c r="B14" s="59" t="s">
        <v>98</v>
      </c>
      <c r="C14" s="59" t="s">
        <v>100</v>
      </c>
      <c r="D14" s="59" t="s">
        <v>101</v>
      </c>
      <c r="M14" s="60"/>
      <c r="N14" s="60" t="s">
        <v>128</v>
      </c>
      <c r="O14" s="61">
        <f>($D$2*$R$2)+($D$3*$N$2)+($D$4*$N$2)</f>
        <v>3.2465000000000002</v>
      </c>
      <c r="P14" s="60">
        <v>0.5</v>
      </c>
      <c r="U14" s="60"/>
      <c r="V14" s="60" t="s">
        <v>149</v>
      </c>
      <c r="W14" s="61">
        <f>($D$2*$W$2)+($D$3*$W$2)+($D$4*$W$2)+($D$5*$Y$2)</f>
        <v>3.4472000000000005</v>
      </c>
      <c r="X14" s="60">
        <v>0.5</v>
      </c>
    </row>
    <row r="15" spans="1:26" x14ac:dyDescent="0.3">
      <c r="A15" s="60" t="s">
        <v>91</v>
      </c>
      <c r="B15" s="60" t="s">
        <v>103</v>
      </c>
      <c r="C15" s="61">
        <f>($G$2*$D$2)+($I$2*$D$5)</f>
        <v>0.67225000000000001</v>
      </c>
      <c r="D15" s="60"/>
      <c r="M15" s="60"/>
      <c r="N15" s="60" t="s">
        <v>129</v>
      </c>
      <c r="O15" s="61">
        <f>($D$2*$N$2)+($D$3*$R$2)+($D$4*$N$2)</f>
        <v>2.49525</v>
      </c>
      <c r="P15" s="60">
        <v>0.5</v>
      </c>
      <c r="U15" s="60"/>
      <c r="V15" s="60" t="s">
        <v>150</v>
      </c>
      <c r="W15" s="61">
        <f>($D$2*$Z$2)+($D$3*$V$2)+($D$4*$V$2)+($D$5*$V$2)</f>
        <v>2.8107000000000002</v>
      </c>
      <c r="X15" s="60">
        <v>0.5</v>
      </c>
    </row>
    <row r="16" spans="1:26" x14ac:dyDescent="0.3">
      <c r="A16" s="60"/>
      <c r="B16" s="60" t="s">
        <v>104</v>
      </c>
      <c r="C16" s="61">
        <f>($H$2*$D$2)+($H$2*$D$5)</f>
        <v>1.0675000000000001</v>
      </c>
      <c r="D16" s="60"/>
      <c r="M16" s="60"/>
      <c r="N16" s="60" t="s">
        <v>130</v>
      </c>
      <c r="O16" s="61">
        <f>($D$2*$N$2)+($D$3*$N$2)+($D$4*$R$2)</f>
        <v>10.940249999999999</v>
      </c>
      <c r="P16" s="60">
        <v>0.1</v>
      </c>
      <c r="U16" s="60"/>
      <c r="V16" s="60" t="s">
        <v>151</v>
      </c>
      <c r="W16" s="61">
        <f>($D$2*$V$2)+($D$3*$Z$2)+($D$4*$V$2)+($D$5*$V$2)</f>
        <v>2.0894999999999997</v>
      </c>
      <c r="X16" s="60">
        <v>0.5</v>
      </c>
    </row>
    <row r="17" spans="1:24" x14ac:dyDescent="0.3">
      <c r="A17" s="60"/>
      <c r="B17" s="60" t="s">
        <v>105</v>
      </c>
      <c r="C17" s="61">
        <f>($I$2*$D$2)+($G$2*$D$5)</f>
        <v>1.46275</v>
      </c>
      <c r="D17" s="60"/>
      <c r="U17" s="60"/>
      <c r="V17" s="60" t="s">
        <v>152</v>
      </c>
      <c r="W17" s="61">
        <f>($D$2*$V$2)+($D$3*$V$2)+($D$4*$Z$2)+($D$5*$V$2)</f>
        <v>10.196699999999998</v>
      </c>
      <c r="X17" s="60">
        <v>0.1</v>
      </c>
    </row>
    <row r="18" spans="1:24" x14ac:dyDescent="0.3">
      <c r="M18" s="59" t="s">
        <v>99</v>
      </c>
      <c r="N18" s="59" t="s">
        <v>102</v>
      </c>
      <c r="O18" s="59" t="s">
        <v>100</v>
      </c>
      <c r="P18" s="59" t="s">
        <v>101</v>
      </c>
      <c r="U18" s="60"/>
      <c r="V18" s="60" t="s">
        <v>153</v>
      </c>
      <c r="W18" s="61">
        <f>($D$2*$V$2)+($D$3*$V$2)+($D$4*$V$2)+($D$5*$Z$2)</f>
        <v>1.8621000000000001</v>
      </c>
      <c r="X18" s="60">
        <v>1</v>
      </c>
    </row>
    <row r="19" spans="1:24" x14ac:dyDescent="0.3">
      <c r="A19" s="59" t="s">
        <v>99</v>
      </c>
      <c r="B19" s="59" t="s">
        <v>98</v>
      </c>
      <c r="C19" s="59" t="s">
        <v>100</v>
      </c>
      <c r="D19" s="59" t="s">
        <v>101</v>
      </c>
      <c r="M19" s="60" t="s">
        <v>120</v>
      </c>
      <c r="N19" s="60" t="s">
        <v>131</v>
      </c>
      <c r="O19" s="61">
        <f>($D$2*$P$2)+($D$3*$P$2)+($D$5*$P$2)</f>
        <v>0.9294030000000002</v>
      </c>
      <c r="P19" s="60">
        <v>1.1000000000000001</v>
      </c>
    </row>
    <row r="20" spans="1:24" x14ac:dyDescent="0.3">
      <c r="A20" s="60" t="s">
        <v>106</v>
      </c>
      <c r="B20" s="60" t="s">
        <v>107</v>
      </c>
      <c r="C20" s="61">
        <f>($G$2*$D$3)+($I$2*$D$4)</f>
        <v>10.79</v>
      </c>
      <c r="D20" s="60"/>
      <c r="M20" s="60"/>
      <c r="N20" s="60" t="s">
        <v>132</v>
      </c>
      <c r="O20" s="61">
        <f>($D$2*$Q$2)+($D$3*$O$2)+($D$5*$O$2)</f>
        <v>1.16225</v>
      </c>
      <c r="P20" s="60">
        <v>1</v>
      </c>
    </row>
    <row r="21" spans="1:24" x14ac:dyDescent="0.3">
      <c r="A21" s="60"/>
      <c r="B21" s="60" t="s">
        <v>108</v>
      </c>
      <c r="C21" s="61">
        <f>($H$2*$D$3)+($H$2*$D$4)</f>
        <v>7.4119999999999999</v>
      </c>
      <c r="D21" s="60"/>
      <c r="M21" s="60"/>
      <c r="N21" s="60" t="s">
        <v>133</v>
      </c>
      <c r="O21" s="61">
        <f>($D$2*$O$2)+($D$3*$Q$2)+($D$5*$O$2)</f>
        <v>0.86175000000000002</v>
      </c>
      <c r="P21" s="60">
        <v>1.1000000000000001</v>
      </c>
    </row>
    <row r="22" spans="1:24" x14ac:dyDescent="0.3">
      <c r="A22" s="60"/>
      <c r="B22" s="60" t="s">
        <v>109</v>
      </c>
      <c r="C22" s="61">
        <f>($I$2*$D$3)+($G$2*$D$4)</f>
        <v>4.0339999999999998</v>
      </c>
      <c r="D22" s="60"/>
      <c r="M22" s="60"/>
      <c r="N22" s="60" t="s">
        <v>134</v>
      </c>
      <c r="O22" s="61">
        <f>($D$2*$O$2)+($D$3*$O$2)+($D$5*$Q$2)</f>
        <v>0.76700000000000013</v>
      </c>
      <c r="P22" s="60">
        <v>2</v>
      </c>
    </row>
    <row r="23" spans="1:24" x14ac:dyDescent="0.3">
      <c r="M23" s="60"/>
      <c r="N23" s="60" t="s">
        <v>135</v>
      </c>
      <c r="O23" s="61">
        <f>($D$2*$R$2)+($D$3*$N$2)+($D$5*$N$2)</f>
        <v>1.5101249999999999</v>
      </c>
      <c r="P23" s="60">
        <v>1</v>
      </c>
    </row>
    <row r="24" spans="1:24" x14ac:dyDescent="0.3">
      <c r="A24" s="59" t="s">
        <v>99</v>
      </c>
      <c r="B24" s="59" t="s">
        <v>98</v>
      </c>
      <c r="C24" s="59" t="s">
        <v>100</v>
      </c>
      <c r="D24" s="59" t="s">
        <v>101</v>
      </c>
      <c r="M24" s="60"/>
      <c r="N24" s="60" t="s">
        <v>136</v>
      </c>
      <c r="O24" s="61">
        <f>($D$2*$N$2)+($D$3*$R$2)+($D$5*$N$2)</f>
        <v>0.75887500000000008</v>
      </c>
      <c r="P24" s="60">
        <v>2</v>
      </c>
    </row>
    <row r="25" spans="1:24" x14ac:dyDescent="0.3">
      <c r="A25" s="60" t="s">
        <v>110</v>
      </c>
      <c r="B25" s="60" t="s">
        <v>111</v>
      </c>
      <c r="C25" s="61">
        <f>($G$2*$D$3)+($I$2*$D$5)</f>
        <v>0.37175000000000002</v>
      </c>
      <c r="D25" s="60"/>
      <c r="M25" s="60"/>
      <c r="N25" s="60" t="s">
        <v>137</v>
      </c>
      <c r="O25" s="61">
        <f>($D$2*$N$2)+($D$3*$N$2)+($D$5*$R$2)</f>
        <v>0.52200000000000002</v>
      </c>
      <c r="P25" s="60">
        <v>2</v>
      </c>
    </row>
    <row r="26" spans="1:24" x14ac:dyDescent="0.3">
      <c r="A26" s="60"/>
      <c r="B26" s="60" t="s">
        <v>112</v>
      </c>
      <c r="C26" s="61">
        <f>($H$2*$D$3)+($H$2*$D$5)</f>
        <v>0.46650000000000003</v>
      </c>
      <c r="D26" s="60"/>
    </row>
    <row r="27" spans="1:24" x14ac:dyDescent="0.3">
      <c r="A27" s="60"/>
      <c r="B27" s="60" t="s">
        <v>113</v>
      </c>
      <c r="C27" s="61">
        <f>($I$2*$D$3)+($G$2*$D$5)</f>
        <v>0.56125000000000003</v>
      </c>
      <c r="D27" s="60"/>
      <c r="M27" s="59" t="s">
        <v>99</v>
      </c>
      <c r="N27" s="59" t="s">
        <v>102</v>
      </c>
      <c r="O27" s="59" t="s">
        <v>100</v>
      </c>
      <c r="P27" s="59" t="s">
        <v>101</v>
      </c>
    </row>
    <row r="28" spans="1:24" x14ac:dyDescent="0.3">
      <c r="M28" s="60" t="s">
        <v>154</v>
      </c>
      <c r="N28" s="60" t="s">
        <v>155</v>
      </c>
      <c r="O28" s="61">
        <f>($D$2*$P$2)+($D$4*$P$2)+($D$5*$P$2)</f>
        <v>5.4288989999999995</v>
      </c>
      <c r="P28" s="60">
        <v>0.3</v>
      </c>
    </row>
    <row r="29" spans="1:24" x14ac:dyDescent="0.3">
      <c r="A29" s="59" t="s">
        <v>99</v>
      </c>
      <c r="B29" s="59" t="s">
        <v>98</v>
      </c>
      <c r="C29" s="59" t="s">
        <v>100</v>
      </c>
      <c r="D29" s="59" t="s">
        <v>101</v>
      </c>
      <c r="M29" s="60"/>
      <c r="N29" s="60" t="s">
        <v>156</v>
      </c>
      <c r="O29" s="61">
        <f>($D$2*$Q$2)+($D$4*$O$2)+($D$5*$O$2)</f>
        <v>4.5402500000000003</v>
      </c>
      <c r="P29" s="60">
        <v>0.3</v>
      </c>
    </row>
    <row r="30" spans="1:24" x14ac:dyDescent="0.3">
      <c r="A30" s="60" t="s">
        <v>114</v>
      </c>
      <c r="B30" s="60" t="s">
        <v>115</v>
      </c>
      <c r="C30" s="61">
        <f>($G$2*$D$4)+($I$2*$D$5)</f>
        <v>3.7497499999999997</v>
      </c>
      <c r="D30" s="60"/>
      <c r="M30" s="60"/>
      <c r="N30" s="60" t="s">
        <v>157</v>
      </c>
      <c r="O30" s="61">
        <f>($D$2*$O$2)+($D$4*$Q$2)+($D$5*$O$2)</f>
        <v>7.61775</v>
      </c>
      <c r="P30" s="60">
        <v>0.2</v>
      </c>
    </row>
    <row r="31" spans="1:24" x14ac:dyDescent="0.3">
      <c r="A31" s="60"/>
      <c r="B31" s="60" t="s">
        <v>116</v>
      </c>
      <c r="C31" s="61">
        <f>($H$2*$D$4)+($H$2*$D$5)</f>
        <v>7.2224999999999993</v>
      </c>
      <c r="D31" s="60"/>
      <c r="M31" s="60"/>
      <c r="N31" s="60" t="s">
        <v>158</v>
      </c>
      <c r="O31" s="61">
        <f>($D$2*$O$2)+($D$4*$O$2)+($D$5*$Q$2)</f>
        <v>4.1449999999999996</v>
      </c>
      <c r="P31" s="60">
        <v>0.3</v>
      </c>
    </row>
    <row r="32" spans="1:24" x14ac:dyDescent="0.3">
      <c r="A32" s="60"/>
      <c r="B32" s="60" t="s">
        <v>117</v>
      </c>
      <c r="C32" s="61">
        <f>($I$2*$D$4)+($G$2*$D$5)</f>
        <v>10.69525</v>
      </c>
      <c r="D32" s="60"/>
      <c r="M32" s="60"/>
      <c r="N32" s="60" t="s">
        <v>159</v>
      </c>
      <c r="O32" s="61">
        <f>($D$2*$R$2)+($D$4*$N$2)+($D$5*$N$2)</f>
        <v>3.199125</v>
      </c>
      <c r="P32" s="60">
        <v>0.3</v>
      </c>
    </row>
    <row r="33" spans="13:16" x14ac:dyDescent="0.3">
      <c r="M33" s="60"/>
      <c r="N33" s="60" t="s">
        <v>160</v>
      </c>
      <c r="O33" s="61">
        <f>($D$2*$N$2)+($D$4*$R$2)+($D$5*$N$2)</f>
        <v>10.892875</v>
      </c>
      <c r="P33" s="60">
        <v>0.1</v>
      </c>
    </row>
    <row r="34" spans="13:16" x14ac:dyDescent="0.3">
      <c r="M34" s="60"/>
      <c r="N34" s="60" t="s">
        <v>161</v>
      </c>
      <c r="O34" s="61">
        <f>($D$2*$N$2)+($D$4*$N$2)+($D$5*$R$2)</f>
        <v>2.2109999999999999</v>
      </c>
      <c r="P34" s="60">
        <v>0.5</v>
      </c>
    </row>
    <row r="36" spans="13:16" x14ac:dyDescent="0.3">
      <c r="M36" s="59" t="s">
        <v>99</v>
      </c>
      <c r="N36" s="59"/>
      <c r="O36" s="59"/>
      <c r="P36" s="59"/>
    </row>
    <row r="37" spans="13:16" x14ac:dyDescent="0.3">
      <c r="M37" s="60" t="s">
        <v>121</v>
      </c>
      <c r="N37" s="60" t="s">
        <v>138</v>
      </c>
      <c r="O37" s="61">
        <f>($D$3*$P$2)+($D$4*$P$2)+($D$5*$P$2)</f>
        <v>5.028633000000001</v>
      </c>
      <c r="P37" s="60">
        <v>0.3</v>
      </c>
    </row>
    <row r="38" spans="13:16" x14ac:dyDescent="0.3">
      <c r="M38" s="60"/>
      <c r="N38" s="60" t="s">
        <v>139</v>
      </c>
      <c r="O38" s="61">
        <f>($D$3*$Q$2)+($D$4*$O$2)+($D$5*$O$2)</f>
        <v>3.9392499999999995</v>
      </c>
      <c r="P38" s="60">
        <v>0.5</v>
      </c>
    </row>
    <row r="39" spans="13:16" x14ac:dyDescent="0.3">
      <c r="M39" s="60"/>
      <c r="N39" s="60" t="s">
        <v>140</v>
      </c>
      <c r="O39" s="61">
        <f>($D$3*$O$2)+($D$4*$Q$2)+($D$5*$O$2)</f>
        <v>7.3172499999999996</v>
      </c>
      <c r="P39" s="60">
        <v>0.2</v>
      </c>
    </row>
    <row r="40" spans="13:16" x14ac:dyDescent="0.3">
      <c r="M40" s="60"/>
      <c r="N40" s="60" t="s">
        <v>141</v>
      </c>
      <c r="O40" s="61">
        <f>($D$3*$O$2)+($D$4*$O$2)+($D$5*$Q$2)</f>
        <v>3.8445</v>
      </c>
      <c r="P40" s="60">
        <v>0.2</v>
      </c>
    </row>
    <row r="41" spans="13:16" x14ac:dyDescent="0.3">
      <c r="M41" s="60"/>
      <c r="N41" s="60" t="s">
        <v>142</v>
      </c>
      <c r="O41" s="61">
        <f>($D$3*$R$2)+($D$4*$N$2)+($D$5*$N$2)</f>
        <v>2.297625</v>
      </c>
      <c r="P41" s="60">
        <v>0.2</v>
      </c>
    </row>
    <row r="42" spans="13:16" x14ac:dyDescent="0.3">
      <c r="M42" s="60"/>
      <c r="N42" s="60" t="s">
        <v>143</v>
      </c>
      <c r="O42" s="61">
        <f>($D$3*$N$2)+($D$4*$R$2)+($D$5*$N$2)</f>
        <v>10.742625</v>
      </c>
      <c r="P42" s="60">
        <v>0.1</v>
      </c>
    </row>
    <row r="43" spans="13:16" x14ac:dyDescent="0.3">
      <c r="M43" s="60"/>
      <c r="N43" s="60" t="s">
        <v>144</v>
      </c>
      <c r="O43" s="61">
        <f>($D$3*$N$2)+($D$4*$N$2)+($D$5*$R$2)</f>
        <v>2.0607500000000001</v>
      </c>
      <c r="P43" s="60">
        <v>0.5</v>
      </c>
    </row>
  </sheetData>
  <phoneticPr fontId="11" type="noConversion"/>
  <pageMargins left="0.7" right="0.7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2.25" style="23" customWidth="1"/>
    <col min="5" max="5" width="12" style="23" customWidth="1"/>
    <col min="6" max="16384" width="9" style="23"/>
  </cols>
  <sheetData>
    <row r="1" spans="1:16" ht="30.75" customHeight="1" x14ac:dyDescent="0.3">
      <c r="A1" s="28" t="s">
        <v>0</v>
      </c>
      <c r="B1" s="27" t="s">
        <v>1</v>
      </c>
      <c r="C1" s="26" t="s">
        <v>12</v>
      </c>
      <c r="D1" s="26" t="s">
        <v>2</v>
      </c>
      <c r="E1" s="25" t="s">
        <v>3</v>
      </c>
      <c r="F1" s="25" t="s">
        <v>3</v>
      </c>
      <c r="G1" s="29"/>
      <c r="P1" s="29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26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5">
        <v>51.54</v>
      </c>
      <c r="J4" s="35">
        <v>48.46</v>
      </c>
      <c r="K4" s="23">
        <f>SUM(I4:J4)</f>
        <v>100</v>
      </c>
      <c r="M4" s="33">
        <v>51.2</v>
      </c>
      <c r="N4" s="33">
        <v>48.8</v>
      </c>
      <c r="O4" s="23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4">
        <v>72.02</v>
      </c>
      <c r="J5" s="34">
        <v>27.98</v>
      </c>
      <c r="K5" s="23">
        <f>SUM(I5:J5)</f>
        <v>100</v>
      </c>
      <c r="M5" s="33">
        <v>72.599999999999994</v>
      </c>
      <c r="N5" s="33">
        <v>27.4</v>
      </c>
      <c r="O5" s="23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4">
        <v>92.93</v>
      </c>
      <c r="J6" s="34">
        <v>7.07</v>
      </c>
      <c r="K6" s="23">
        <f>SUM(I6:J6)</f>
        <v>100</v>
      </c>
      <c r="M6" s="33">
        <v>91</v>
      </c>
      <c r="N6" s="33">
        <v>9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2" t="s">
        <v>43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1"/>
      <c r="B13" s="31"/>
      <c r="C13"/>
      <c r="D13" s="13"/>
      <c r="E13" s="14"/>
      <c r="F13" s="14"/>
      <c r="G13" s="14"/>
    </row>
    <row r="14" spans="1:17" ht="20.100000000000001" customHeight="1" x14ac:dyDescent="0.3">
      <c r="A14" s="30"/>
      <c r="B14" s="30"/>
      <c r="C14"/>
      <c r="D14" s="13"/>
      <c r="E14" s="14"/>
      <c r="F14" s="14"/>
      <c r="G14" s="14"/>
    </row>
    <row r="15" spans="1:17" ht="20.100000000000001" customHeight="1" x14ac:dyDescent="0.3">
      <c r="A15" s="30"/>
      <c r="B15" s="30"/>
      <c r="C15"/>
      <c r="D15" s="13"/>
      <c r="E15" s="14"/>
      <c r="F15" s="14"/>
      <c r="G15" s="14"/>
    </row>
    <row r="16" spans="1:17" ht="20.100000000000001" customHeight="1" x14ac:dyDescent="0.3">
      <c r="A16" s="30"/>
      <c r="B16" s="30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5"/>
  <sheetViews>
    <sheetView zoomScaleNormal="100" workbookViewId="0">
      <selection activeCell="J13" sqref="J13"/>
    </sheetView>
  </sheetViews>
  <sheetFormatPr defaultColWidth="9" defaultRowHeight="16.5" x14ac:dyDescent="0.3"/>
  <cols>
    <col min="1" max="1" width="11.5" style="23" bestFit="1" customWidth="1"/>
    <col min="2" max="2" width="27.125" style="23" bestFit="1" customWidth="1"/>
    <col min="3" max="3" width="10.25" style="23" bestFit="1" customWidth="1"/>
    <col min="4" max="4" width="10.25" style="23" customWidth="1"/>
    <col min="5" max="5" width="12.25" style="23" customWidth="1"/>
    <col min="6" max="6" width="12" style="23" customWidth="1"/>
    <col min="7" max="16384" width="9" style="23"/>
  </cols>
  <sheetData>
    <row r="1" spans="1:17" ht="30.75" customHeight="1" x14ac:dyDescent="0.3">
      <c r="A1" s="28" t="s">
        <v>0</v>
      </c>
      <c r="B1" s="27" t="s">
        <v>1</v>
      </c>
      <c r="C1" s="26" t="s">
        <v>12</v>
      </c>
      <c r="D1" s="26" t="s">
        <v>21</v>
      </c>
      <c r="E1" s="26" t="s">
        <v>2</v>
      </c>
      <c r="F1" s="25" t="s">
        <v>3</v>
      </c>
      <c r="G1" s="25" t="s">
        <v>3</v>
      </c>
      <c r="H1" s="29"/>
      <c r="Q1" s="29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3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4" t="s">
        <v>13</v>
      </c>
      <c r="J3" s="24" t="s">
        <v>14</v>
      </c>
      <c r="K3" s="23" t="s">
        <v>15</v>
      </c>
      <c r="M3" s="24" t="s">
        <v>13</v>
      </c>
      <c r="N3" s="24" t="s">
        <v>14</v>
      </c>
      <c r="O3" s="23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3">
        <f>SUM(I4:J4)</f>
        <v>100</v>
      </c>
      <c r="M4" s="33">
        <v>45.5</v>
      </c>
      <c r="N4" s="33">
        <v>54.5</v>
      </c>
      <c r="O4" s="23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3">
        <f>SUM(I5:J5)</f>
        <v>100</v>
      </c>
      <c r="M5" s="33">
        <v>67.099999999999994</v>
      </c>
      <c r="N5" s="33">
        <v>32.9</v>
      </c>
      <c r="O5" s="23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3">
        <f>SUM(I6:J6)</f>
        <v>100</v>
      </c>
      <c r="M6" s="33">
        <v>85.5</v>
      </c>
      <c r="N6" s="33">
        <v>14.5</v>
      </c>
      <c r="O6" s="23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6" t="s">
        <v>44</v>
      </c>
      <c r="B8" s="32"/>
      <c r="C8" s="32"/>
      <c r="D8" s="32"/>
      <c r="E8" s="14"/>
      <c r="F8" s="14"/>
      <c r="G8" s="14"/>
    </row>
    <row r="9" spans="1:17" ht="20.100000000000001" customHeight="1" x14ac:dyDescent="0.3">
      <c r="A9" s="32"/>
      <c r="B9" s="32"/>
      <c r="C9" s="32"/>
      <c r="D9" s="32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1"/>
      <c r="B14" s="31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test 및 2종</vt:lpstr>
      <vt:lpstr>실험 계획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2026-08-24T00:37:46Z</cp:lastPrinted>
  <dcterms:created xsi:type="dcterms:W3CDTF">2026-04-15T23:58:40Z</dcterms:created>
  <dcterms:modified xsi:type="dcterms:W3CDTF">2026-08-31T07:26:09Z</dcterms:modified>
</cp:coreProperties>
</file>