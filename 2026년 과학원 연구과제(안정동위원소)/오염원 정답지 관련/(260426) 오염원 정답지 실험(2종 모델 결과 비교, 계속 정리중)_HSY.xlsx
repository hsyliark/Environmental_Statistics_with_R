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정답지 관련\"/>
    </mc:Choice>
  </mc:AlternateContent>
  <xr:revisionPtr revIDLastSave="0" documentId="13_ncr:1_{69607567-CC25-460B-9F09-CC4E54055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실험 결과 정리중(계속)" sheetId="1" r:id="rId1"/>
    <sheet name="260416 실험" sheetId="2" r:id="rId2"/>
    <sheet name="260423 실험(Volume)" sheetId="3" r:id="rId3"/>
    <sheet name="260423 실험(Weight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O4" i="4"/>
  <c r="K5" i="4"/>
  <c r="O5" i="4"/>
  <c r="K6" i="4"/>
  <c r="O6" i="4"/>
  <c r="K4" i="3"/>
  <c r="O4" i="3"/>
  <c r="K5" i="3"/>
  <c r="O5" i="3"/>
  <c r="K6" i="3"/>
  <c r="O6" i="3"/>
  <c r="N33" i="1" l="1"/>
  <c r="J33" i="1"/>
  <c r="N32" i="1"/>
  <c r="J32" i="1"/>
  <c r="N31" i="1"/>
  <c r="J31" i="1"/>
  <c r="N24" i="1"/>
  <c r="J24" i="1"/>
  <c r="N23" i="1"/>
  <c r="J23" i="1"/>
  <c r="N22" i="1"/>
  <c r="J22" i="1"/>
  <c r="N15" i="1"/>
  <c r="J15" i="1"/>
  <c r="N14" i="1"/>
  <c r="J14" i="1"/>
  <c r="N13" i="1"/>
  <c r="J13" i="1"/>
  <c r="N7" i="1"/>
  <c r="N6" i="1"/>
  <c r="N5" i="1"/>
  <c r="J7" i="1"/>
  <c r="J6" i="1"/>
  <c r="J5" i="1"/>
</calcChain>
</file>

<file path=xl/sharedStrings.xml><?xml version="1.0" encoding="utf-8"?>
<sst xmlns="http://schemas.openxmlformats.org/spreadsheetml/2006/main" count="173" uniqueCount="45">
  <si>
    <t>No</t>
    <phoneticPr fontId="5" type="noConversion"/>
  </si>
  <si>
    <t>Name</t>
    <phoneticPr fontId="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</si>
  <si>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</si>
  <si>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</si>
  <si>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</si>
  <si>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</si>
  <si>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</si>
  <si>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</si>
  <si>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</si>
  <si>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</si>
  <si>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</si>
  <si>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</si>
  <si>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1" type="noConversion"/>
  </si>
  <si>
    <t>sewage</t>
    <phoneticPr fontId="11" type="noConversion"/>
  </si>
  <si>
    <t>fertilizer</t>
    <phoneticPr fontId="11" type="noConversion"/>
  </si>
  <si>
    <t>total</t>
    <phoneticPr fontId="11" type="noConversion"/>
  </si>
  <si>
    <t>MixSIAR(%)</t>
    <phoneticPr fontId="11" type="noConversion"/>
  </si>
  <si>
    <t>하수 75 : 비료 25</t>
    <phoneticPr fontId="4" type="noConversion"/>
  </si>
  <si>
    <t>하수 50 : 비료 50</t>
    <phoneticPr fontId="4" type="noConversion"/>
  </si>
  <si>
    <t>하수 25 : 비료 75</t>
    <phoneticPr fontId="4" type="noConversion"/>
  </si>
  <si>
    <t>EMMTE(%)</t>
    <phoneticPr fontId="11" type="noConversion"/>
  </si>
  <si>
    <t>질소(%)</t>
  </si>
  <si>
    <t>EMMTE(%) 결과(Volume)</t>
    <phoneticPr fontId="11" type="noConversion"/>
  </si>
  <si>
    <t>MixSIAR(%)</t>
    <phoneticPr fontId="4" type="noConversion"/>
  </si>
  <si>
    <t>F-01</t>
  </si>
  <si>
    <t>슈퍼알알이(그레뉼요소)</t>
  </si>
  <si>
    <t>total</t>
    <phoneticPr fontId="4" type="noConversion"/>
  </si>
  <si>
    <t>(V/V)SW25-01</t>
  </si>
  <si>
    <t>하수25 : 비료 75</t>
    <phoneticPr fontId="11" type="noConversion"/>
  </si>
  <si>
    <t>(V/V)SW50-01</t>
  </si>
  <si>
    <t>하수50 : 비료 50</t>
    <phoneticPr fontId="11" type="noConversion"/>
  </si>
  <si>
    <t>(V/V)SW75-01</t>
  </si>
  <si>
    <t>하수75 : 비료 25</t>
    <phoneticPr fontId="11" type="noConversion"/>
  </si>
  <si>
    <t>질소(%)</t>
    <phoneticPr fontId="4" type="noConversion"/>
  </si>
  <si>
    <t>희석 없이 실험 진행</t>
    <phoneticPr fontId="4" type="noConversion"/>
  </si>
  <si>
    <t>EMMTE(%) 결과(Weight)</t>
    <phoneticPr fontId="11" type="noConversion"/>
  </si>
  <si>
    <t>(W/W)SW25-01</t>
  </si>
  <si>
    <t>(W/W)SW50-01</t>
  </si>
  <si>
    <t>하수50 : 비료 50</t>
  </si>
  <si>
    <t>(W/W)SW75-01</t>
  </si>
  <si>
    <t>하수75 : 비료 25</t>
  </si>
  <si>
    <t>하수처리장 시료 1.0 -&gt; 0.7 ppm으로 희석</t>
    <phoneticPr fontId="4" type="noConversion"/>
  </si>
  <si>
    <t>인위적으로 가상 시료 설정</t>
    <phoneticPr fontId="4" type="noConversion"/>
  </si>
  <si>
    <t>이전 실험과 똑같이 희석 없이 실험 진행</t>
    <phoneticPr fontId="4" type="noConversion"/>
  </si>
  <si>
    <t>하수처리장 시료 1.0 -&gt; 0.7 ppm으로 희석 후 실험 진행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</si>
</sst>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_);[Red]\(0\)"/>
    <numFmt numFmtId="178" formatCode="0.00_ 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1"/>
      <name val="Times New Roman"/>
      <family val="1"/>
    </font>
    <font>
      <sz val="11"/>
      <color rgb="FFFF0000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7" fontId="8" fillId="0" borderId="0" xfId="1" applyNumberFormat="1" applyFont="1">
      <alignment vertical="center"/>
    </xf>
    <xf numFmtId="177" fontId="9" fillId="0" borderId="0" xfId="1" applyNumberFormat="1" applyFont="1">
      <alignment vertical="center"/>
    </xf>
    <xf numFmtId="177" fontId="0" fillId="0" borderId="0" xfId="0" applyNumberFormat="1"/>
    <xf numFmtId="177" fontId="6" fillId="3" borderId="0" xfId="1" applyNumberFormat="1" applyFont="1" applyFill="1" applyAlignment="1">
      <alignment horizontal="center" vertical="center" wrapText="1"/>
    </xf>
    <xf numFmtId="177" fontId="13" fillId="0" borderId="8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4" fillId="0" borderId="0" xfId="0" applyNumberFormat="1" applyFont="1"/>
    <xf numFmtId="177" fontId="0" fillId="4" borderId="0" xfId="0" applyNumberFormat="1" applyFill="1"/>
    <xf numFmtId="0" fontId="8" fillId="0" borderId="0" xfId="2" applyFont="1">
      <alignment vertical="center"/>
    </xf>
    <xf numFmtId="49" fontId="6" fillId="3" borderId="0" xfId="2" applyNumberFormat="1" applyFont="1" applyFill="1" applyAlignment="1">
      <alignment horizontal="center" vertical="center" wrapText="1"/>
    </xf>
    <xf numFmtId="49" fontId="6" fillId="2" borderId="3" xfId="2" applyNumberFormat="1" applyFont="1" applyFill="1" applyBorder="1" applyAlignment="1">
      <alignment horizontal="center" vertical="center" wrapText="1"/>
    </xf>
    <xf numFmtId="49" fontId="6" fillId="2" borderId="2" xfId="2" applyNumberFormat="1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0" xfId="2" applyFont="1">
      <alignment vertical="center"/>
    </xf>
    <xf numFmtId="0" fontId="13" fillId="0" borderId="0" xfId="0" applyFont="1" applyAlignment="1">
      <alignment horizontal="center" vertical="center"/>
    </xf>
    <xf numFmtId="49" fontId="6" fillId="0" borderId="0" xfId="2" applyNumberFormat="1" applyFont="1" applyAlignment="1">
      <alignment horizontal="center" vertical="center" wrapText="1"/>
    </xf>
    <xf numFmtId="0" fontId="10" fillId="0" borderId="0" xfId="0" applyFont="1" applyAlignment="1">
      <alignment horizontal="centerContinuous" vertical="center"/>
    </xf>
    <xf numFmtId="178" fontId="8" fillId="0" borderId="0" xfId="2" applyNumberFormat="1" applyFont="1">
      <alignment vertical="center"/>
    </xf>
    <xf numFmtId="0" fontId="13" fillId="0" borderId="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Continuous" vertical="center"/>
    </xf>
    <xf numFmtId="14" fontId="8" fillId="0" borderId="0" xfId="1" applyNumberFormat="1" applyFont="1">
      <alignment vertical="center"/>
    </xf>
  </cellXfs>
  <cellStyles count="3">
    <cellStyle name="표준" xfId="0" builtinId="0"/>
    <cellStyle name="표준 2" xfId="1" xr:uid="{00000000-0005-0000-0000-000001000000}"/>
    <cellStyle name="표준 2 2" xfId="2" xr:uid="{AB1E3DC3-3538-43E9-9DCD-576CF93C9E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실험'!$E$2:$E$49</c:f>
              <c:numCache>
                <c:formatCode>0.0</c:formatCode>
                <c:ptCount val="48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6-4F77-8BF7-F805465E0C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실험'!$F$2:$F$49</c:f>
              <c:numCache>
                <c:formatCode>0.0</c:formatCode>
                <c:ptCount val="48"/>
                <c:pt idx="0">
                  <c:v>-3.82</c:v>
                </c:pt>
                <c:pt idx="1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6-4F77-8BF7-F805465E0CB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'260416 실험'!$D$2:$D$49</c:f>
              <c:numCache>
                <c:formatCode>0.0</c:formatCode>
                <c:ptCount val="48"/>
                <c:pt idx="0">
                  <c:v>15.17</c:v>
                </c:pt>
                <c:pt idx="1">
                  <c:v>-6.85</c:v>
                </c:pt>
                <c:pt idx="2">
                  <c:v>15.13</c:v>
                </c:pt>
                <c:pt idx="3">
                  <c:v>13.14</c:v>
                </c:pt>
                <c:pt idx="4">
                  <c:v>11.01</c:v>
                </c:pt>
              </c:numCache>
            </c:numRef>
          </c:xVal>
          <c:yVal>
            <c:numRef>
              <c:f>'260416 실험'!$G$2:$G$49</c:f>
              <c:numCache>
                <c:formatCode>General</c:formatCode>
                <c:ptCount val="4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16-4F77-8BF7-F805465E0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E-4466-8831-7F53DAD71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E-4466-8831-7F53DAD71B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'260423 실험(Volume)'!$H$2:$H$55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5E-4466-8831-7F53DAD71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9-4769-ADFB-EB83FA2B3D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9-4769-ADFB-EB83FA2B3D8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'260423 실험(Weight)'!$E$2:$E$55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'260423 실험(Weight)'!$H$2:$H$55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9-4769-ADFB-EB83FA2B3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0997282-FC7C-4F31-AFBF-AB43CEF486BF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296FCF5-A7C9-5B3E-8FE4-ECE93EB4E0F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64C094C7-1393-75AA-83FA-E0753EBF55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F4A94D5-023A-BF69-A24E-C5A054C3214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DB01E75-4E27-F7F6-471D-B9416ACCC65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4C2F739-1F3D-789D-EF9A-73BB6C9C0CF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1FA64F9-D20C-8B5B-D9BD-D9D5C250040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852784E-4C6A-F33C-DCC9-2AC99654417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2C09262-ACF1-8B67-FFA5-8BD36DBCB88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D0829482-B055-5069-8673-0125DD778E0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C9ADC06-4626-3B6D-EFA8-D9EDE85EA82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A682512-078B-395A-0E42-A7EFE0A0457C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F515F81-B0B4-4CDE-E826-ECF958D0317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39180C4-D079-6E4D-768F-B720E32394B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D824B6-4B4D-34D0-98C6-E29A049071D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2D092D9-7487-5169-DBCD-9FA229B90B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0658ADD-71A4-4455-B673-89635291730F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460F9F9-07F5-8315-F735-3CC8F0ECD57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C5CB806-C86F-E74F-C31F-74B5DCA9E1F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B5BEC3FF-4842-1722-6B22-74CA3FD4C2E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F2C1D7DB-3942-4431-A047-EB886FB6663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48C8177-84F8-6D72-76B8-D5DBABF58A0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BDF5E53-CB8B-8E52-9CBD-4A64E7E7758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43A67FA9-37B6-E371-D63C-7FACF90DB91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233E9BB-CBCF-9696-8AF5-F895C80A19E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504782A-FF3C-E4E4-AAE7-25F0FB67BA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AAB4F00-10AA-FEBD-1990-E0190B257B4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9DA115D-C8A7-273F-DFF5-8D620F4033D4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675423F-D486-8CF1-5C1C-087E804DFE0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277BDFC-008E-04E6-5D52-B69831C7B61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FF57FC9-635A-4AAA-4ED7-8301096060B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F1CB6C2-45DD-8083-3177-82BE0BDFFD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5FEA15F-1BE9-4638-B026-C24791D091FC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5FBA7F6-9726-E639-9021-ECB7EDD74DC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8BA29C79-B61A-328F-30D9-C8BDDBDFC9B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E4725EC-9270-1248-DE89-CA64CFCD4CF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FE4A6E1-195E-0DCB-5983-61F8B3AEB70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13AC2E-BF7D-9E23-EB24-F95506A137F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8DE5574-2D9F-2DFD-835C-770F3336D76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3A7D9165-CC3E-7ED3-325A-238BDBE36E2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B778D14-83E3-A703-2786-41008D78278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59A295A1-0A7E-A7BA-4701-B6439036672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FED5154-D9EC-10A5-B492-03778B49603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11EDA14-5924-8DD2-78B8-7425FB7A619E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C8FB7F3-71C5-12ED-5210-98957B40B9F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EB9FBD-D0EC-CC1D-777F-CA3ADE37843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59D597F-A340-B9D9-20B0-D7D7C82A96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8FC87A2-4330-7F02-D9F8-07D64E98F53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7" zoomScaleNormal="100" workbookViewId="0">
      <selection activeCell="F35" sqref="F35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0.25" style="5" customWidth="1"/>
    <col min="5" max="5" width="12.25" style="5" customWidth="1"/>
    <col min="6" max="6" width="12" style="5" customWidth="1"/>
    <col min="7" max="7" width="9" style="5"/>
    <col min="8" max="14" width="9" style="17"/>
    <col min="15" max="16384" width="9" style="5"/>
  </cols>
  <sheetData>
    <row r="1" spans="1:17" x14ac:dyDescent="0.3">
      <c r="A1" s="39">
        <v>46128</v>
      </c>
    </row>
    <row r="2" spans="1:17" ht="30.75" customHeight="1" x14ac:dyDescent="0.3">
      <c r="A2" s="1" t="s">
        <v>0</v>
      </c>
      <c r="B2" s="2" t="s">
        <v>1</v>
      </c>
      <c r="C2" s="3" t="s">
        <v>12</v>
      </c>
      <c r="D2" s="3" t="s">
        <v>33</v>
      </c>
      <c r="E2" s="3" t="s">
        <v>2</v>
      </c>
      <c r="F2" s="4" t="s">
        <v>3</v>
      </c>
      <c r="G2" s="4" t="s">
        <v>3</v>
      </c>
      <c r="H2" s="18"/>
      <c r="Q2" s="6"/>
    </row>
    <row r="3" spans="1:17" ht="20.100000000000001" customHeight="1" x14ac:dyDescent="0.3">
      <c r="A3" s="7" t="s">
        <v>7</v>
      </c>
      <c r="B3" s="8" t="s">
        <v>8</v>
      </c>
      <c r="C3" s="8">
        <v>1.042</v>
      </c>
      <c r="D3" s="8"/>
      <c r="E3" s="9">
        <v>15.17</v>
      </c>
      <c r="F3" s="9"/>
      <c r="G3" s="9">
        <v>-3.82</v>
      </c>
      <c r="H3" s="19" t="s">
        <v>20</v>
      </c>
      <c r="I3" s="19"/>
      <c r="J3" s="19"/>
      <c r="L3" s="19" t="s">
        <v>16</v>
      </c>
      <c r="M3" s="19"/>
      <c r="N3" s="19"/>
    </row>
    <row r="4" spans="1:17" ht="20.100000000000001" customHeight="1" x14ac:dyDescent="0.3">
      <c r="A4" s="7" t="s">
        <v>9</v>
      </c>
      <c r="B4" s="8" t="s">
        <v>10</v>
      </c>
      <c r="C4" s="8" t="s">
        <v>11</v>
      </c>
      <c r="D4" s="8"/>
      <c r="E4" s="9">
        <v>-6.85</v>
      </c>
      <c r="F4" s="9"/>
      <c r="G4" s="9">
        <v>11.02</v>
      </c>
      <c r="H4" s="20" t="s">
        <v>13</v>
      </c>
      <c r="I4" s="20" t="s">
        <v>14</v>
      </c>
      <c r="J4" s="20" t="s">
        <v>15</v>
      </c>
      <c r="L4" s="20" t="s">
        <v>13</v>
      </c>
      <c r="M4" s="20" t="s">
        <v>14</v>
      </c>
      <c r="N4" s="19" t="s">
        <v>15</v>
      </c>
    </row>
    <row r="5" spans="1:17" ht="20.100000000000001" customHeight="1" x14ac:dyDescent="0.3">
      <c r="A5" s="7" t="s">
        <v>4</v>
      </c>
      <c r="B5" s="8" t="s">
        <v>17</v>
      </c>
      <c r="C5" s="8"/>
      <c r="D5" s="8"/>
      <c r="E5" s="9">
        <v>15.13</v>
      </c>
      <c r="F5" s="9">
        <v>-3.24</v>
      </c>
      <c r="G5" s="9"/>
      <c r="H5" s="19">
        <v>96.78</v>
      </c>
      <c r="I5" s="19">
        <v>3.22</v>
      </c>
      <c r="J5" s="19">
        <f>SUM(H5:I5)</f>
        <v>100</v>
      </c>
      <c r="L5" s="19">
        <v>92.7</v>
      </c>
      <c r="M5" s="19">
        <v>7.3</v>
      </c>
      <c r="N5" s="19">
        <f>SUM(L5:M5)</f>
        <v>100</v>
      </c>
    </row>
    <row r="6" spans="1:17" ht="20.100000000000001" customHeight="1" x14ac:dyDescent="0.3">
      <c r="A6" s="7" t="s">
        <v>5</v>
      </c>
      <c r="B6" s="8" t="s">
        <v>18</v>
      </c>
      <c r="C6" s="8"/>
      <c r="D6" s="8"/>
      <c r="E6" s="9">
        <v>13.14</v>
      </c>
      <c r="F6" s="9">
        <v>-1.33</v>
      </c>
      <c r="G6" s="9"/>
      <c r="H6" s="19">
        <v>83.95</v>
      </c>
      <c r="I6" s="19">
        <v>16.05</v>
      </c>
      <c r="J6" s="19">
        <f t="shared" ref="J6:J7" si="0">SUM(H6:I6)</f>
        <v>100</v>
      </c>
      <c r="L6" s="19">
        <v>89.3</v>
      </c>
      <c r="M6" s="19">
        <v>10.7</v>
      </c>
      <c r="N6" s="19">
        <f t="shared" ref="N6:N7" si="1">SUM(L6:M6)</f>
        <v>100</v>
      </c>
    </row>
    <row r="7" spans="1:17" ht="20.100000000000001" customHeight="1" x14ac:dyDescent="0.3">
      <c r="A7" s="7" t="s">
        <v>6</v>
      </c>
      <c r="B7" s="8" t="s">
        <v>19</v>
      </c>
      <c r="C7" s="8"/>
      <c r="D7" s="8"/>
      <c r="E7" s="9">
        <v>11.01</v>
      </c>
      <c r="F7" s="9">
        <v>1.89</v>
      </c>
      <c r="G7" s="9"/>
      <c r="H7" s="19">
        <v>65.36</v>
      </c>
      <c r="I7" s="19">
        <v>34.64</v>
      </c>
      <c r="J7" s="19">
        <f t="shared" si="0"/>
        <v>100</v>
      </c>
      <c r="L7" s="23">
        <v>23.5</v>
      </c>
      <c r="M7" s="23">
        <v>76</v>
      </c>
      <c r="N7" s="23">
        <f t="shared" si="1"/>
        <v>99.5</v>
      </c>
    </row>
    <row r="8" spans="1:17" x14ac:dyDescent="0.3">
      <c r="A8" s="13"/>
      <c r="B8" s="13"/>
      <c r="C8" s="13"/>
      <c r="D8" s="13"/>
      <c r="E8" s="14"/>
      <c r="F8" s="14"/>
    </row>
    <row r="9" spans="1:17" x14ac:dyDescent="0.3">
      <c r="A9" s="39">
        <v>46135</v>
      </c>
      <c r="B9" s="13"/>
      <c r="C9" s="13"/>
      <c r="D9" s="13"/>
      <c r="E9" s="15"/>
      <c r="F9" s="15"/>
    </row>
    <row r="10" spans="1:17" ht="27" x14ac:dyDescent="0.3">
      <c r="A10" s="1" t="s">
        <v>0</v>
      </c>
      <c r="B10" s="2" t="s">
        <v>1</v>
      </c>
      <c r="C10" s="3" t="s">
        <v>12</v>
      </c>
      <c r="D10" s="3" t="s">
        <v>21</v>
      </c>
      <c r="E10" s="3" t="s">
        <v>2</v>
      </c>
      <c r="F10" s="4" t="s">
        <v>3</v>
      </c>
      <c r="G10" s="4" t="s">
        <v>3</v>
      </c>
      <c r="H10" s="18"/>
    </row>
    <row r="11" spans="1:17" x14ac:dyDescent="0.3">
      <c r="A11" s="7" t="s">
        <v>7</v>
      </c>
      <c r="B11" s="8" t="s">
        <v>8</v>
      </c>
      <c r="C11" s="16">
        <v>1.042</v>
      </c>
      <c r="D11" s="8"/>
      <c r="E11" s="9">
        <v>15.17</v>
      </c>
      <c r="F11" s="9"/>
      <c r="G11" s="9">
        <v>-3.82</v>
      </c>
      <c r="H11" s="19" t="s">
        <v>22</v>
      </c>
      <c r="L11" s="17" t="s">
        <v>23</v>
      </c>
    </row>
    <row r="12" spans="1:17" x14ac:dyDescent="0.3">
      <c r="A12" s="7" t="s">
        <v>24</v>
      </c>
      <c r="B12" s="8" t="s">
        <v>25</v>
      </c>
      <c r="C12" s="16">
        <v>0.65600000000000003</v>
      </c>
      <c r="D12" s="8">
        <v>46</v>
      </c>
      <c r="E12" s="9">
        <v>-24.85</v>
      </c>
      <c r="F12" s="9"/>
      <c r="G12" s="9">
        <v>15.43</v>
      </c>
      <c r="H12" s="20" t="s">
        <v>13</v>
      </c>
      <c r="I12" s="20" t="s">
        <v>14</v>
      </c>
      <c r="J12" s="17" t="s">
        <v>26</v>
      </c>
      <c r="L12" s="20" t="s">
        <v>13</v>
      </c>
      <c r="M12" s="20" t="s">
        <v>14</v>
      </c>
      <c r="N12" s="17" t="s">
        <v>26</v>
      </c>
    </row>
    <row r="13" spans="1:17" x14ac:dyDescent="0.3">
      <c r="A13" s="7" t="s">
        <v>27</v>
      </c>
      <c r="B13" s="8" t="s">
        <v>28</v>
      </c>
      <c r="C13" s="8"/>
      <c r="D13" s="8"/>
      <c r="E13" s="9">
        <v>-3.54</v>
      </c>
      <c r="F13" s="9">
        <v>6.94</v>
      </c>
      <c r="G13" s="9"/>
      <c r="H13" s="21">
        <v>51.54</v>
      </c>
      <c r="I13" s="21">
        <v>48.46</v>
      </c>
      <c r="J13" s="17">
        <f>SUM(H13:I13)</f>
        <v>100</v>
      </c>
      <c r="L13" s="17">
        <v>51.2</v>
      </c>
      <c r="M13" s="17">
        <v>48.8</v>
      </c>
      <c r="N13" s="17">
        <f>SUM(L13:M13)</f>
        <v>100</v>
      </c>
    </row>
    <row r="14" spans="1:17" x14ac:dyDescent="0.3">
      <c r="A14" s="7" t="s">
        <v>29</v>
      </c>
      <c r="B14" s="8" t="s">
        <v>30</v>
      </c>
      <c r="C14" s="8"/>
      <c r="D14" s="8"/>
      <c r="E14" s="9">
        <v>4.75</v>
      </c>
      <c r="F14" s="9">
        <v>1.87</v>
      </c>
      <c r="G14" s="9"/>
      <c r="H14" s="22">
        <v>72.02</v>
      </c>
      <c r="I14" s="22">
        <v>27.98</v>
      </c>
      <c r="J14" s="17">
        <f t="shared" ref="J14:J15" si="2">SUM(H14:I14)</f>
        <v>100</v>
      </c>
      <c r="L14" s="17">
        <v>72.599999999999994</v>
      </c>
      <c r="M14" s="17">
        <v>27.4</v>
      </c>
      <c r="N14" s="17">
        <f t="shared" ref="N14:N15" si="3">SUM(L14:M14)</f>
        <v>100</v>
      </c>
    </row>
    <row r="15" spans="1:17" x14ac:dyDescent="0.3">
      <c r="A15" s="10" t="s">
        <v>31</v>
      </c>
      <c r="B15" s="11" t="s">
        <v>32</v>
      </c>
      <c r="C15" s="11"/>
      <c r="D15" s="11"/>
      <c r="E15" s="12">
        <v>11.43</v>
      </c>
      <c r="F15" s="12">
        <v>-2.67</v>
      </c>
      <c r="G15" s="12"/>
      <c r="H15" s="22">
        <v>92.93</v>
      </c>
      <c r="I15" s="22">
        <v>7.07</v>
      </c>
      <c r="J15" s="17">
        <f t="shared" si="2"/>
        <v>100</v>
      </c>
      <c r="L15" s="17">
        <v>91</v>
      </c>
      <c r="M15" s="17">
        <v>9</v>
      </c>
      <c r="N15" s="17">
        <f t="shared" si="3"/>
        <v>100</v>
      </c>
    </row>
    <row r="16" spans="1:17" x14ac:dyDescent="0.3">
      <c r="A16" s="13"/>
      <c r="B16" s="13" t="s">
        <v>34</v>
      </c>
      <c r="C16" s="13"/>
      <c r="D16" s="13"/>
      <c r="E16" s="15"/>
      <c r="F16" s="15"/>
    </row>
    <row r="17" spans="1:14" x14ac:dyDescent="0.3">
      <c r="A17" s="13"/>
      <c r="B17" s="13"/>
      <c r="C17" s="13"/>
      <c r="D17" s="13"/>
      <c r="E17" s="15"/>
      <c r="F17" s="15"/>
    </row>
    <row r="18" spans="1:14" x14ac:dyDescent="0.3">
      <c r="A18" s="39">
        <v>46135</v>
      </c>
    </row>
    <row r="19" spans="1:14" ht="27" x14ac:dyDescent="0.3">
      <c r="A19" s="1" t="s">
        <v>0</v>
      </c>
      <c r="B19" s="2" t="s">
        <v>1</v>
      </c>
      <c r="C19" s="3" t="s">
        <v>12</v>
      </c>
      <c r="D19" s="3" t="s">
        <v>21</v>
      </c>
      <c r="E19" s="3" t="s">
        <v>2</v>
      </c>
      <c r="F19" s="4" t="s">
        <v>3</v>
      </c>
      <c r="G19" s="4" t="s">
        <v>3</v>
      </c>
      <c r="H19" s="18"/>
    </row>
    <row r="20" spans="1:14" x14ac:dyDescent="0.3">
      <c r="A20" s="7" t="s">
        <v>7</v>
      </c>
      <c r="B20" s="8" t="s">
        <v>8</v>
      </c>
      <c r="C20" s="16">
        <v>1.042</v>
      </c>
      <c r="D20" s="8"/>
      <c r="E20" s="9">
        <v>15.17</v>
      </c>
      <c r="F20" s="9"/>
      <c r="G20" s="9">
        <v>-3.82</v>
      </c>
      <c r="H20" s="19" t="s">
        <v>35</v>
      </c>
      <c r="L20" s="17" t="s">
        <v>23</v>
      </c>
    </row>
    <row r="21" spans="1:14" x14ac:dyDescent="0.3">
      <c r="A21" s="7" t="s">
        <v>24</v>
      </c>
      <c r="B21" s="8" t="s">
        <v>25</v>
      </c>
      <c r="C21" s="16">
        <v>0.65600000000000003</v>
      </c>
      <c r="D21" s="8">
        <v>46</v>
      </c>
      <c r="E21" s="9">
        <v>-24.85</v>
      </c>
      <c r="F21" s="9"/>
      <c r="G21" s="9">
        <v>15.43</v>
      </c>
      <c r="H21" s="20" t="s">
        <v>13</v>
      </c>
      <c r="I21" s="20" t="s">
        <v>14</v>
      </c>
      <c r="J21" s="17" t="s">
        <v>15</v>
      </c>
      <c r="L21" s="20" t="s">
        <v>13</v>
      </c>
      <c r="M21" s="20" t="s">
        <v>14</v>
      </c>
      <c r="N21" s="17" t="s">
        <v>26</v>
      </c>
    </row>
    <row r="22" spans="1:14" x14ac:dyDescent="0.3">
      <c r="A22" s="7" t="s">
        <v>36</v>
      </c>
      <c r="B22" s="8" t="s">
        <v>28</v>
      </c>
      <c r="C22" s="8"/>
      <c r="D22" s="8"/>
      <c r="E22" s="9">
        <v>-5.35</v>
      </c>
      <c r="F22" s="9">
        <v>10.119999999999999</v>
      </c>
      <c r="G22" s="9"/>
      <c r="H22" s="19">
        <v>44.63</v>
      </c>
      <c r="I22" s="19">
        <v>55.37</v>
      </c>
      <c r="J22" s="17">
        <f>SUM(H22:I22)</f>
        <v>100</v>
      </c>
      <c r="L22" s="17">
        <v>45</v>
      </c>
      <c r="M22" s="17">
        <v>54.5</v>
      </c>
      <c r="N22" s="17">
        <f>SUM(L22:M22)</f>
        <v>99.5</v>
      </c>
    </row>
    <row r="23" spans="1:14" x14ac:dyDescent="0.3">
      <c r="A23" s="7" t="s">
        <v>37</v>
      </c>
      <c r="B23" s="8" t="s">
        <v>38</v>
      </c>
      <c r="C23" s="8"/>
      <c r="D23" s="8"/>
      <c r="E23" s="9">
        <v>3.63</v>
      </c>
      <c r="F23" s="9">
        <v>4.0599999999999996</v>
      </c>
      <c r="G23" s="9"/>
      <c r="H23" s="19">
        <v>67.569999999999993</v>
      </c>
      <c r="I23" s="19">
        <v>32.43</v>
      </c>
      <c r="J23" s="17">
        <f t="shared" ref="J23:J24" si="4">SUM(H23:I23)</f>
        <v>100</v>
      </c>
      <c r="L23" s="17">
        <v>67.099999999999994</v>
      </c>
      <c r="M23" s="17">
        <v>32.9</v>
      </c>
      <c r="N23" s="17">
        <f t="shared" ref="N23:N24" si="5">SUM(L23:M23)</f>
        <v>100</v>
      </c>
    </row>
    <row r="24" spans="1:14" x14ac:dyDescent="0.3">
      <c r="A24" s="10" t="s">
        <v>39</v>
      </c>
      <c r="B24" s="11" t="s">
        <v>40</v>
      </c>
      <c r="C24" s="11"/>
      <c r="D24" s="11"/>
      <c r="E24" s="12">
        <v>11</v>
      </c>
      <c r="F24" s="12">
        <v>-0.19</v>
      </c>
      <c r="G24" s="12"/>
      <c r="H24" s="19">
        <v>81.38</v>
      </c>
      <c r="I24" s="19">
        <v>18.62</v>
      </c>
      <c r="J24" s="17">
        <f t="shared" si="4"/>
        <v>100</v>
      </c>
      <c r="L24" s="17">
        <v>85</v>
      </c>
      <c r="M24" s="17">
        <v>14.5</v>
      </c>
      <c r="N24" s="17">
        <f t="shared" si="5"/>
        <v>99.5</v>
      </c>
    </row>
    <row r="25" spans="1:14" x14ac:dyDescent="0.3">
      <c r="B25" s="5" t="s">
        <v>41</v>
      </c>
    </row>
    <row r="27" spans="1:14" x14ac:dyDescent="0.3">
      <c r="A27" s="39">
        <v>46138</v>
      </c>
    </row>
    <row r="28" spans="1:14" ht="27" x14ac:dyDescent="0.3">
      <c r="A28" s="1" t="s">
        <v>0</v>
      </c>
      <c r="B28" s="2" t="s">
        <v>1</v>
      </c>
      <c r="C28" s="3" t="s">
        <v>12</v>
      </c>
      <c r="D28" s="3" t="s">
        <v>21</v>
      </c>
      <c r="E28" s="3" t="s">
        <v>2</v>
      </c>
      <c r="F28" s="4" t="s">
        <v>3</v>
      </c>
      <c r="G28" s="4" t="s">
        <v>3</v>
      </c>
      <c r="H28" s="18"/>
    </row>
    <row r="29" spans="1:14" x14ac:dyDescent="0.3">
      <c r="A29" s="7" t="s">
        <v>7</v>
      </c>
      <c r="B29" s="8" t="s">
        <v>8</v>
      </c>
      <c r="C29" s="16">
        <v>1.042</v>
      </c>
      <c r="D29" s="8"/>
      <c r="E29" s="9">
        <v>15.17</v>
      </c>
      <c r="F29" s="9"/>
      <c r="G29" s="9">
        <v>-3.82</v>
      </c>
      <c r="H29" s="19" t="s">
        <v>35</v>
      </c>
      <c r="L29" s="17" t="s">
        <v>23</v>
      </c>
    </row>
    <row r="30" spans="1:14" x14ac:dyDescent="0.3">
      <c r="A30" s="7" t="s">
        <v>24</v>
      </c>
      <c r="B30" s="8" t="s">
        <v>25</v>
      </c>
      <c r="C30" s="16">
        <v>0.65600000000000003</v>
      </c>
      <c r="D30" s="8">
        <v>46</v>
      </c>
      <c r="E30" s="9">
        <v>-24.85</v>
      </c>
      <c r="F30" s="9"/>
      <c r="G30" s="9">
        <v>15.43</v>
      </c>
      <c r="H30" s="20" t="s">
        <v>13</v>
      </c>
      <c r="I30" s="20" t="s">
        <v>14</v>
      </c>
      <c r="J30" s="17" t="s">
        <v>15</v>
      </c>
      <c r="L30" s="20" t="s">
        <v>13</v>
      </c>
      <c r="M30" s="20" t="s">
        <v>14</v>
      </c>
      <c r="N30" s="17" t="s">
        <v>26</v>
      </c>
    </row>
    <row r="31" spans="1:14" x14ac:dyDescent="0.3">
      <c r="A31" s="7" t="s">
        <v>36</v>
      </c>
      <c r="B31" s="8" t="s">
        <v>28</v>
      </c>
      <c r="C31" s="8"/>
      <c r="D31" s="8"/>
      <c r="E31" s="9">
        <v>-14.9</v>
      </c>
      <c r="F31" s="9">
        <v>10.6</v>
      </c>
      <c r="G31" s="9"/>
      <c r="H31" s="24"/>
      <c r="I31" s="24"/>
      <c r="J31" s="17">
        <f>SUM(H31:I31)</f>
        <v>0</v>
      </c>
      <c r="L31" s="17">
        <v>25.6</v>
      </c>
      <c r="M31" s="17">
        <v>74.400000000000006</v>
      </c>
      <c r="N31" s="17">
        <f>SUM(L31:M31)</f>
        <v>100</v>
      </c>
    </row>
    <row r="32" spans="1:14" x14ac:dyDescent="0.3">
      <c r="A32" s="7" t="s">
        <v>37</v>
      </c>
      <c r="B32" s="8" t="s">
        <v>38</v>
      </c>
      <c r="C32" s="8"/>
      <c r="D32" s="8"/>
      <c r="E32" s="9">
        <v>-4.9000000000000004</v>
      </c>
      <c r="F32" s="9">
        <v>5.8</v>
      </c>
      <c r="G32" s="9"/>
      <c r="H32" s="24"/>
      <c r="I32" s="24"/>
      <c r="J32" s="17">
        <f t="shared" ref="J32:J33" si="6">SUM(H32:I32)</f>
        <v>0</v>
      </c>
      <c r="L32" s="17">
        <v>49.8</v>
      </c>
      <c r="M32" s="17">
        <v>50.2</v>
      </c>
      <c r="N32" s="17">
        <f t="shared" ref="N32:N33" si="7">SUM(L32:M32)</f>
        <v>100</v>
      </c>
    </row>
    <row r="33" spans="1:14" x14ac:dyDescent="0.3">
      <c r="A33" s="10" t="s">
        <v>39</v>
      </c>
      <c r="B33" s="11" t="s">
        <v>40</v>
      </c>
      <c r="C33" s="11"/>
      <c r="D33" s="11"/>
      <c r="E33" s="12">
        <v>5.2</v>
      </c>
      <c r="F33" s="12">
        <v>1</v>
      </c>
      <c r="G33" s="12"/>
      <c r="H33" s="24"/>
      <c r="I33" s="24"/>
      <c r="J33" s="17">
        <f t="shared" si="6"/>
        <v>0</v>
      </c>
      <c r="L33" s="17">
        <v>74.900000000000006</v>
      </c>
      <c r="M33" s="17">
        <v>25.1</v>
      </c>
      <c r="N33" s="17">
        <f t="shared" si="7"/>
        <v>100</v>
      </c>
    </row>
    <row r="34" spans="1:14" x14ac:dyDescent="0.3">
      <c r="B34" s="5" t="s">
        <v>42</v>
      </c>
    </row>
    <row r="35" spans="1:14" x14ac:dyDescent="0.3">
      <c r="A35" s="13"/>
      <c r="B35" s="13"/>
      <c r="C35" s="13"/>
      <c r="D35" s="13"/>
      <c r="E35" s="15"/>
      <c r="F35" s="15"/>
    </row>
    <row r="36" spans="1:14" x14ac:dyDescent="0.3">
      <c r="A36" s="13"/>
      <c r="B36" s="13"/>
      <c r="C36" s="13"/>
      <c r="D36" s="13"/>
      <c r="E36" s="15"/>
      <c r="F36" s="15"/>
    </row>
    <row r="37" spans="1:14" x14ac:dyDescent="0.3">
      <c r="A37" s="13"/>
      <c r="B37" s="13"/>
      <c r="C37" s="13"/>
      <c r="D37" s="13"/>
      <c r="E37" s="15"/>
      <c r="F37" s="15"/>
    </row>
  </sheetData>
  <phoneticPr fontId="4" type="noConversion"/>
  <pageMargins left="0.7" right="0.7" top="0.75" bottom="0.75" header="0.3" footer="0.3"/>
  <pageSetup paperSize="9" scale="4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3F45-7DC9-4E3A-B4FA-CB65C6726F6B}">
  <sheetPr>
    <pageSetUpPr fitToPage="1"/>
  </sheetPr>
  <dimension ref="A1:P49"/>
  <sheetViews>
    <sheetView zoomScaleNormal="100" workbookViewId="0">
      <selection activeCell="S12" sqref="S12"/>
    </sheetView>
  </sheetViews>
  <sheetFormatPr defaultColWidth="9" defaultRowHeight="16.5" x14ac:dyDescent="0.3"/>
  <cols>
    <col min="1" max="1" width="11.5" style="25" bestFit="1" customWidth="1"/>
    <col min="2" max="2" width="27.125" style="25" bestFit="1" customWidth="1"/>
    <col min="3" max="3" width="10.25" style="25" bestFit="1" customWidth="1"/>
    <col min="4" max="4" width="12.25" style="25" customWidth="1"/>
    <col min="5" max="5" width="12" style="25" customWidth="1"/>
    <col min="6" max="16384" width="9" style="25"/>
  </cols>
  <sheetData>
    <row r="1" spans="1:16" ht="30.75" customHeight="1" x14ac:dyDescent="0.3">
      <c r="A1" s="30" t="s">
        <v>0</v>
      </c>
      <c r="B1" s="29" t="s">
        <v>1</v>
      </c>
      <c r="C1" s="28" t="s">
        <v>12</v>
      </c>
      <c r="D1" s="28" t="s">
        <v>2</v>
      </c>
      <c r="E1" s="27" t="s">
        <v>3</v>
      </c>
      <c r="F1" s="27" t="s">
        <v>3</v>
      </c>
      <c r="G1" s="31"/>
      <c r="P1" s="31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17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18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19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6" ht="20.100000000000001" customHeight="1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10"/>
      <c r="B25" s="11"/>
      <c r="C25" s="11"/>
      <c r="D25" s="12"/>
      <c r="E25" s="12"/>
      <c r="F25" s="12"/>
    </row>
    <row r="26" spans="1:6" x14ac:dyDescent="0.3">
      <c r="A26" s="13"/>
      <c r="B26" s="13"/>
      <c r="C26" s="13"/>
      <c r="D26" s="14"/>
      <c r="E26" s="14"/>
    </row>
    <row r="27" spans="1:6" x14ac:dyDescent="0.3">
      <c r="A27" s="13"/>
      <c r="B27" s="13"/>
      <c r="C27" s="13"/>
      <c r="D27" s="15"/>
      <c r="E27" s="15"/>
    </row>
    <row r="28" spans="1:6" x14ac:dyDescent="0.3">
      <c r="A28" s="13"/>
      <c r="B28" s="13"/>
      <c r="C28" s="13"/>
      <c r="D28" s="15"/>
      <c r="E28" s="15"/>
    </row>
    <row r="29" spans="1:6" x14ac:dyDescent="0.3">
      <c r="A29" s="13"/>
      <c r="B29" s="13"/>
      <c r="C29" s="13"/>
      <c r="D29" s="15"/>
      <c r="E29" s="15"/>
    </row>
    <row r="30" spans="1:6" x14ac:dyDescent="0.3">
      <c r="A30" s="13"/>
      <c r="B30" s="13"/>
      <c r="C30" s="13"/>
      <c r="D30" s="15"/>
      <c r="E30" s="15"/>
    </row>
    <row r="31" spans="1:6" x14ac:dyDescent="0.3">
      <c r="A31" s="13"/>
      <c r="B31" s="13"/>
      <c r="C31" s="13"/>
      <c r="D31" s="15"/>
      <c r="E31" s="15"/>
    </row>
    <row r="32" spans="1:6" x14ac:dyDescent="0.3">
      <c r="A32" s="13"/>
      <c r="B32" s="13"/>
      <c r="C32" s="13"/>
      <c r="D32" s="15"/>
      <c r="E32" s="15"/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</sheetData>
  <phoneticPr fontId="11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661D-BBF5-4C17-A37C-D0649AAE1970}">
  <sheetPr>
    <pageSetUpPr fitToPage="1"/>
  </sheetPr>
  <dimension ref="A1:Q55"/>
  <sheetViews>
    <sheetView zoomScaleNormal="100" workbookViewId="0">
      <selection activeCell="G13" sqref="G13"/>
    </sheetView>
  </sheetViews>
  <sheetFormatPr defaultColWidth="9" defaultRowHeight="16.5" x14ac:dyDescent="0.3"/>
  <cols>
    <col min="1" max="1" width="11.5" style="25" bestFit="1" customWidth="1"/>
    <col min="2" max="2" width="27.125" style="25" bestFit="1" customWidth="1"/>
    <col min="3" max="3" width="10.25" style="25" bestFit="1" customWidth="1"/>
    <col min="4" max="4" width="10.25" style="25" customWidth="1"/>
    <col min="5" max="5" width="12.25" style="25" customWidth="1"/>
    <col min="6" max="6" width="12" style="25" customWidth="1"/>
    <col min="7" max="16384" width="9" style="25"/>
  </cols>
  <sheetData>
    <row r="1" spans="1:17" ht="30.75" customHeight="1" x14ac:dyDescent="0.3">
      <c r="A1" s="30" t="s">
        <v>0</v>
      </c>
      <c r="B1" s="29" t="s">
        <v>1</v>
      </c>
      <c r="C1" s="28" t="s">
        <v>12</v>
      </c>
      <c r="D1" s="28" t="s">
        <v>21</v>
      </c>
      <c r="E1" s="28" t="s">
        <v>2</v>
      </c>
      <c r="F1" s="27" t="s">
        <v>3</v>
      </c>
      <c r="G1" s="27" t="s">
        <v>3</v>
      </c>
      <c r="H1" s="31"/>
      <c r="Q1" s="31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22</v>
      </c>
      <c r="M2" s="25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6" t="s">
        <v>13</v>
      </c>
      <c r="J3" s="26" t="s">
        <v>14</v>
      </c>
      <c r="K3" s="25" t="s">
        <v>26</v>
      </c>
      <c r="M3" s="26" t="s">
        <v>13</v>
      </c>
      <c r="N3" s="26" t="s">
        <v>14</v>
      </c>
      <c r="O3" s="25" t="s">
        <v>26</v>
      </c>
    </row>
    <row r="4" spans="1:17" ht="20.100000000000001" customHeight="1" x14ac:dyDescent="0.3">
      <c r="A4" s="7" t="s">
        <v>27</v>
      </c>
      <c r="B4" s="8" t="s">
        <v>28</v>
      </c>
      <c r="C4" s="8"/>
      <c r="D4" s="8"/>
      <c r="E4" s="9">
        <v>-3.54</v>
      </c>
      <c r="F4" s="9">
        <v>6.94</v>
      </c>
      <c r="G4" s="9"/>
      <c r="I4" s="37">
        <v>51.54</v>
      </c>
      <c r="J4" s="37">
        <v>48.46</v>
      </c>
      <c r="K4" s="25">
        <f>SUM(I4:J4)</f>
        <v>100</v>
      </c>
      <c r="M4" s="35">
        <v>51.2</v>
      </c>
      <c r="N4" s="35">
        <v>48.8</v>
      </c>
      <c r="O4" s="25">
        <f>SUM(M4:N4)</f>
        <v>100</v>
      </c>
    </row>
    <row r="5" spans="1:17" ht="20.100000000000001" customHeight="1" x14ac:dyDescent="0.3">
      <c r="A5" s="7" t="s">
        <v>29</v>
      </c>
      <c r="B5" s="8" t="s">
        <v>30</v>
      </c>
      <c r="C5" s="8"/>
      <c r="D5" s="8"/>
      <c r="E5" s="9">
        <v>4.75</v>
      </c>
      <c r="F5" s="9">
        <v>1.87</v>
      </c>
      <c r="G5" s="9"/>
      <c r="I5" s="36">
        <v>72.02</v>
      </c>
      <c r="J5" s="36">
        <v>27.98</v>
      </c>
      <c r="K5" s="25">
        <f>SUM(I5:J5)</f>
        <v>100</v>
      </c>
      <c r="M5" s="35">
        <v>72.599999999999994</v>
      </c>
      <c r="N5" s="35">
        <v>27.4</v>
      </c>
      <c r="O5" s="25">
        <f>SUM(M5:N5)</f>
        <v>100</v>
      </c>
    </row>
    <row r="6" spans="1:17" ht="20.100000000000001" customHeight="1" x14ac:dyDescent="0.3">
      <c r="A6" s="10" t="s">
        <v>31</v>
      </c>
      <c r="B6" s="11" t="s">
        <v>32</v>
      </c>
      <c r="C6" s="11"/>
      <c r="D6" s="11"/>
      <c r="E6" s="12">
        <v>11.43</v>
      </c>
      <c r="F6" s="12">
        <v>-2.67</v>
      </c>
      <c r="G6" s="12"/>
      <c r="I6" s="36">
        <v>92.93</v>
      </c>
      <c r="J6" s="36">
        <v>7.07</v>
      </c>
      <c r="K6" s="25">
        <f>SUM(I6:J6)</f>
        <v>100</v>
      </c>
      <c r="M6" s="35">
        <v>91</v>
      </c>
      <c r="N6" s="35">
        <v>9</v>
      </c>
      <c r="O6" s="25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4" t="s">
        <v>43</v>
      </c>
      <c r="B8" s="34"/>
      <c r="C8" s="34"/>
      <c r="D8" s="34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33"/>
      <c r="B13" s="33"/>
      <c r="C13"/>
      <c r="D13" s="13"/>
      <c r="E13" s="14"/>
      <c r="F13" s="14"/>
      <c r="G13" s="14"/>
    </row>
    <row r="14" spans="1:17" ht="20.100000000000001" customHeight="1" x14ac:dyDescent="0.3">
      <c r="A14" s="32"/>
      <c r="B14" s="32"/>
      <c r="C14"/>
      <c r="D14" s="13"/>
      <c r="E14" s="14"/>
      <c r="F14" s="14"/>
      <c r="G14" s="14"/>
    </row>
    <row r="15" spans="1:17" ht="20.100000000000001" customHeight="1" x14ac:dyDescent="0.3">
      <c r="A15" s="32"/>
      <c r="B15" s="32"/>
      <c r="C15"/>
      <c r="D15" s="13"/>
      <c r="E15" s="14"/>
      <c r="F15" s="14"/>
      <c r="G15" s="14"/>
    </row>
    <row r="16" spans="1:17" ht="20.100000000000001" customHeight="1" x14ac:dyDescent="0.3">
      <c r="A16" s="32"/>
      <c r="B16" s="32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FF09-94A1-4810-B309-2C512913E8CE}">
  <sheetPr>
    <pageSetUpPr fitToPage="1"/>
  </sheetPr>
  <dimension ref="A1:Q55"/>
  <sheetViews>
    <sheetView zoomScaleNormal="100" workbookViewId="0">
      <selection activeCell="N16" sqref="N16"/>
    </sheetView>
  </sheetViews>
  <sheetFormatPr defaultColWidth="9" defaultRowHeight="16.5" x14ac:dyDescent="0.3"/>
  <cols>
    <col min="1" max="1" width="11.5" style="25" bestFit="1" customWidth="1"/>
    <col min="2" max="2" width="27.125" style="25" bestFit="1" customWidth="1"/>
    <col min="3" max="3" width="10.25" style="25" bestFit="1" customWidth="1"/>
    <col min="4" max="4" width="10.25" style="25" customWidth="1"/>
    <col min="5" max="5" width="12.25" style="25" customWidth="1"/>
    <col min="6" max="6" width="12" style="25" customWidth="1"/>
    <col min="7" max="16384" width="9" style="25"/>
  </cols>
  <sheetData>
    <row r="1" spans="1:17" ht="30.75" customHeight="1" x14ac:dyDescent="0.3">
      <c r="A1" s="30" t="s">
        <v>0</v>
      </c>
      <c r="B1" s="29" t="s">
        <v>1</v>
      </c>
      <c r="C1" s="28" t="s">
        <v>12</v>
      </c>
      <c r="D1" s="28" t="s">
        <v>21</v>
      </c>
      <c r="E1" s="28" t="s">
        <v>2</v>
      </c>
      <c r="F1" s="27" t="s">
        <v>3</v>
      </c>
      <c r="G1" s="27" t="s">
        <v>3</v>
      </c>
      <c r="H1" s="31"/>
      <c r="Q1" s="31"/>
    </row>
    <row r="2" spans="1:17" ht="20.100000000000001" customHeight="1" x14ac:dyDescent="0.3">
      <c r="A2" s="7" t="s">
        <v>7</v>
      </c>
      <c r="B2" s="8" t="s">
        <v>8</v>
      </c>
      <c r="C2" s="16">
        <v>1.042</v>
      </c>
      <c r="D2" s="8"/>
      <c r="E2" s="9">
        <v>15.17</v>
      </c>
      <c r="F2" s="9"/>
      <c r="G2" s="9">
        <v>-3.82</v>
      </c>
      <c r="I2" t="s">
        <v>35</v>
      </c>
      <c r="M2" s="25" t="s">
        <v>23</v>
      </c>
    </row>
    <row r="3" spans="1:17" ht="20.100000000000001" customHeight="1" x14ac:dyDescent="0.3">
      <c r="A3" s="7" t="s">
        <v>24</v>
      </c>
      <c r="B3" s="8" t="s">
        <v>25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26" t="s">
        <v>13</v>
      </c>
      <c r="J3" s="26" t="s">
        <v>14</v>
      </c>
      <c r="K3" s="25" t="s">
        <v>15</v>
      </c>
      <c r="M3" s="26" t="s">
        <v>13</v>
      </c>
      <c r="N3" s="26" t="s">
        <v>14</v>
      </c>
      <c r="O3" s="25" t="s">
        <v>26</v>
      </c>
    </row>
    <row r="4" spans="1:17" ht="20.100000000000001" customHeight="1" x14ac:dyDescent="0.3">
      <c r="A4" s="7" t="s">
        <v>36</v>
      </c>
      <c r="B4" s="8" t="s">
        <v>28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25">
        <f>SUM(I4:J4)</f>
        <v>100</v>
      </c>
      <c r="M4" s="35">
        <v>45.5</v>
      </c>
      <c r="N4" s="35">
        <v>54.5</v>
      </c>
      <c r="O4" s="25">
        <f>SUM(M4:N4)</f>
        <v>100</v>
      </c>
    </row>
    <row r="5" spans="1:17" ht="20.100000000000001" customHeight="1" x14ac:dyDescent="0.3">
      <c r="A5" s="7" t="s">
        <v>37</v>
      </c>
      <c r="B5" s="8" t="s">
        <v>38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25">
        <f>SUM(I5:J5)</f>
        <v>100</v>
      </c>
      <c r="M5" s="35">
        <v>67.099999999999994</v>
      </c>
      <c r="N5" s="35">
        <v>32.9</v>
      </c>
      <c r="O5" s="25">
        <f>SUM(M5:N5)</f>
        <v>100</v>
      </c>
    </row>
    <row r="6" spans="1:17" ht="20.100000000000001" customHeight="1" x14ac:dyDescent="0.3">
      <c r="A6" s="10" t="s">
        <v>39</v>
      </c>
      <c r="B6" s="11" t="s">
        <v>40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25">
        <f>SUM(I6:J6)</f>
        <v>100</v>
      </c>
      <c r="M6" s="35">
        <v>85.5</v>
      </c>
      <c r="N6" s="35">
        <v>14.5</v>
      </c>
      <c r="O6" s="25">
        <f>SUM(M6:N6)</f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38" t="s">
        <v>44</v>
      </c>
      <c r="B8" s="34"/>
      <c r="C8" s="34"/>
      <c r="D8" s="34"/>
      <c r="E8" s="14"/>
      <c r="F8" s="14"/>
      <c r="G8" s="14"/>
    </row>
    <row r="9" spans="1:17" ht="20.100000000000001" customHeight="1" x14ac:dyDescent="0.3">
      <c r="A9" s="34"/>
      <c r="B9" s="34"/>
      <c r="C9" s="34"/>
      <c r="D9" s="34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33"/>
      <c r="B14" s="33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1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실험 결과 정리중(계속)</vt:lpstr>
      <vt:lpstr>260416 실험</vt:lpstr>
      <vt:lpstr>260423 실험(Volume)</vt:lpstr>
      <vt:lpstr>260423 실험(Weight)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2026-04-15T23:58:40Z</dcterms:created>
  <dcterms:modified xsi:type="dcterms:W3CDTF">2026-04-26T10:53:42Z</dcterms:modified>
</cp:coreProperties>
</file>