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A66CACFB-5CAD-4658-8965-04A2383341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실험 결과 정리중(계속)" sheetId="1" r:id="rId1"/>
    <sheet name="260416 실험" sheetId="2" r:id="rId2"/>
    <sheet name="260423 실험(Volume)" sheetId="3" r:id="rId3"/>
    <sheet name="260423 실험(Weight)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1" i="1"/>
  <c r="Q62" i="1"/>
  <c r="Q61" i="1"/>
  <c r="R60" i="1"/>
  <c r="Q60" i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<sst xmlns="http://schemas.openxmlformats.org/spreadsheetml/2006/main" count="271" uniqueCount="62">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</sst>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_);[Red]\(0\)"/>
    <numFmt numFmtId="178" formatCode="0.00_ "/>
    <numFmt numFmtId="179" formatCode="0.000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3"/>
  <sheetViews>
    <sheetView tabSelected="1" topLeftCell="A31" zoomScale="85" zoomScaleNormal="85" workbookViewId="0">
      <selection activeCell="S53" sqref="S53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7" width="12" style="5" bestFit="1" customWidth="1"/>
    <col min="18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 x14ac:dyDescent="0.3">
      <c r="A53" s="37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 x14ac:dyDescent="0.3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 x14ac:dyDescent="0.3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 x14ac:dyDescent="0.3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 x14ac:dyDescent="0.3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P58" s="5" t="s">
        <v>53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1"/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57</v>
      </c>
      <c r="Q60" s="40">
        <f>((Q55*$C$55*$E$55)+(Q57*$C$56*$E$56))/((Q55*$C$55)+(Q57*$C$56))</f>
        <v>-6.4775378985886043</v>
      </c>
      <c r="R60" s="40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58</v>
      </c>
      <c r="Q61" s="40">
        <f>((Q56*$C$55*$E$55)+(Q56*$C$56*$E$56))/((Q56*$C$55)+(Q56*$C$56))</f>
        <v>3.5281384248210022</v>
      </c>
      <c r="R61" s="40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 x14ac:dyDescent="0.3">
      <c r="P62" s="7" t="s">
        <v>59</v>
      </c>
      <c r="Q62" s="40">
        <f>((Q57*$C$55*$E$55)+(Q55*$C$56*$E$56))/((Q57*$C$55)+(Q55*$C$56))</f>
        <v>9.6728764044943834</v>
      </c>
      <c r="R62" s="40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 x14ac:dyDescent="0.3">
      <c r="S63" s="19"/>
      <c r="T63" s="19"/>
      <c r="U63" s="17"/>
      <c r="V63" s="17"/>
      <c r="W63" s="17"/>
      <c r="X63" s="17"/>
      <c r="Y63" s="17"/>
    </row>
  </sheetData>
  <phoneticPr fontId="11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실험 결과 정리중(계속)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2026-08-05T11:49:38Z</dcterms:modified>
</cp:coreProperties>
</file>