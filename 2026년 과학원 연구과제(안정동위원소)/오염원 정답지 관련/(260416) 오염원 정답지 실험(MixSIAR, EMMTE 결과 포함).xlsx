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2026년 오염원 추적 연구단 관련\오염원 정답지 관련\"/>
    </mc:Choice>
  </mc:AlternateContent>
  <xr:revisionPtr revIDLastSave="0" documentId="13_ncr:1_{DE7D1039-AD4C-4338-9DAB-8F16BDF95A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60416 실험" sheetId="1" r:id="rId1"/>
    <sheet name="MixSIAR 결과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1" l="1"/>
  <c r="I32" i="1"/>
  <c r="M31" i="1"/>
  <c r="I31" i="1"/>
  <c r="M30" i="1"/>
  <c r="I30" i="1"/>
  <c r="M6" i="2"/>
  <c r="M7" i="2"/>
  <c r="M5" i="2"/>
  <c r="I6" i="2" l="1"/>
  <c r="I7" i="2"/>
  <c r="I5" i="2"/>
</calcChain>
</file>

<file path=xl/sharedStrings.xml><?xml version="1.0" encoding="utf-8"?>
<sst xmlns="http://schemas.openxmlformats.org/spreadsheetml/2006/main" count="67" uniqueCount="25">
  <si>
    <t>No</t>
    <phoneticPr fontId="4" type="noConversion"/>
  </si>
  <si>
    <t>Name</t>
    <phoneticPr fontId="4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</si>
  <si>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</si>
  <si>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</si>
  <si>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t>SW75FT25-01</t>
  </si>
  <si>
    <t>SW50FT50-01</t>
  </si>
  <si>
    <t>SW25FT75-01</t>
  </si>
  <si>
    <t>EM-05</t>
  </si>
  <si>
    <t>광주 1하수처리장</t>
  </si>
  <si>
    <t>F-04</t>
  </si>
  <si>
    <t>슈퍼원예S</t>
  </si>
  <si>
    <t>n.a.</t>
  </si>
  <si>
    <t>NO3-N
(ppm)</t>
    <phoneticPr fontId="10" type="noConversion"/>
  </si>
  <si>
    <t>sewage</t>
    <phoneticPr fontId="10" type="noConversion"/>
  </si>
  <si>
    <t>fertilizer</t>
    <phoneticPr fontId="10" type="noConversion"/>
  </si>
  <si>
    <t>total</t>
    <phoneticPr fontId="10" type="noConversion"/>
  </si>
  <si>
    <t>MixSIAR(%)</t>
    <phoneticPr fontId="10" type="noConversion"/>
  </si>
  <si>
    <t>하수 75 : 비료 25</t>
    <phoneticPr fontId="10" type="noConversion"/>
  </si>
  <si>
    <t>하수 50 : 비료 50</t>
    <phoneticPr fontId="10" type="noConversion"/>
  </si>
  <si>
    <t>하수 25 : 비료 75</t>
    <phoneticPr fontId="10" type="noConversion"/>
  </si>
  <si>
    <t>하수 75 : 비료 25</t>
    <phoneticPr fontId="3" type="noConversion"/>
  </si>
  <si>
    <t>하수 50 : 비료 50</t>
    <phoneticPr fontId="3" type="noConversion"/>
  </si>
  <si>
    <t>하수 25 : 비료 75</t>
    <phoneticPr fontId="3" type="noConversion"/>
  </si>
  <si>
    <t>EMMTE(%)</t>
    <phoneticPr fontId="10" type="noConversion"/>
  </si>
  <si>
    <t>total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</si>
</sst>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4"/>
      <color rgb="FF0000FF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76" fontId="11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center" vertical="center"/>
    </xf>
    <xf numFmtId="49" fontId="5" fillId="3" borderId="0" xfId="1" applyNumberFormat="1" applyFont="1" applyFill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'260416 실험'!$D$2:$D$55</c:f>
              <c:strCache>
                <c:ptCount val="31"/>
                <c:pt idx="0">
                  <c:v>15.2</c:v>
                </c:pt>
                <c:pt idx="1">
                  <c:v>-6.9</c:v>
                </c:pt>
                <c:pt idx="2">
                  <c:v>15.1</c:v>
                </c:pt>
                <c:pt idx="3">
                  <c:v>13.1</c:v>
                </c:pt>
                <c:pt idx="4">
                  <c:v>11.0</c:v>
                </c:pt>
                <c:pt idx="25">
                  <c:v>15N</c:v>
                </c:pt>
                <c:pt idx="26">
                  <c:v>15.2</c:v>
                </c:pt>
                <c:pt idx="27">
                  <c:v>-6.9</c:v>
                </c:pt>
                <c:pt idx="28">
                  <c:v>15.1</c:v>
                </c:pt>
                <c:pt idx="29">
                  <c:v>13.1</c:v>
                </c:pt>
                <c:pt idx="30">
                  <c:v>11.0</c:v>
                </c:pt>
              </c:strCache>
            </c:strRef>
          </c:xVal>
          <c:yVal>
            <c:numRef>
              <c:f>'260416 실험'!$E$2:$E$55</c:f>
              <c:numCache>
                <c:formatCode>0.0</c:formatCode>
                <c:ptCount val="54"/>
                <c:pt idx="2">
                  <c:v>-3.24</c:v>
                </c:pt>
                <c:pt idx="3">
                  <c:v>-1.33</c:v>
                </c:pt>
                <c:pt idx="4">
                  <c:v>1.89</c:v>
                </c:pt>
                <c:pt idx="25" formatCode="@">
                  <c:v>0</c:v>
                </c:pt>
                <c:pt idx="28">
                  <c:v>-3.24</c:v>
                </c:pt>
                <c:pt idx="29">
                  <c:v>-1.33</c:v>
                </c:pt>
                <c:pt idx="30">
                  <c:v>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3-4AD6-BE8D-C729C33C9E2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'260416 실험'!$D$2:$D$55</c:f>
              <c:strCache>
                <c:ptCount val="31"/>
                <c:pt idx="0">
                  <c:v>15.2</c:v>
                </c:pt>
                <c:pt idx="1">
                  <c:v>-6.9</c:v>
                </c:pt>
                <c:pt idx="2">
                  <c:v>15.1</c:v>
                </c:pt>
                <c:pt idx="3">
                  <c:v>13.1</c:v>
                </c:pt>
                <c:pt idx="4">
                  <c:v>11.0</c:v>
                </c:pt>
                <c:pt idx="25">
                  <c:v>15N</c:v>
                </c:pt>
                <c:pt idx="26">
                  <c:v>15.2</c:v>
                </c:pt>
                <c:pt idx="27">
                  <c:v>-6.9</c:v>
                </c:pt>
                <c:pt idx="28">
                  <c:v>15.1</c:v>
                </c:pt>
                <c:pt idx="29">
                  <c:v>13.1</c:v>
                </c:pt>
                <c:pt idx="30">
                  <c:v>11.0</c:v>
                </c:pt>
              </c:strCache>
            </c:strRef>
          </c:xVal>
          <c:yVal>
            <c:numRef>
              <c:f>'260416 실험'!$F$2:$F$55</c:f>
              <c:numCache>
                <c:formatCode>0.0</c:formatCode>
                <c:ptCount val="54"/>
                <c:pt idx="0">
                  <c:v>-3.82</c:v>
                </c:pt>
                <c:pt idx="1">
                  <c:v>11.02</c:v>
                </c:pt>
                <c:pt idx="25" formatCode="@">
                  <c:v>0</c:v>
                </c:pt>
                <c:pt idx="26">
                  <c:v>-3.82</c:v>
                </c:pt>
                <c:pt idx="27">
                  <c:v>11.02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73-4AD6-BE8D-C729C33C9E2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'260416 실험'!$D$2:$D$55</c:f>
              <c:strCache>
                <c:ptCount val="31"/>
                <c:pt idx="0">
                  <c:v>15.2</c:v>
                </c:pt>
                <c:pt idx="1">
                  <c:v>-6.9</c:v>
                </c:pt>
                <c:pt idx="2">
                  <c:v>15.1</c:v>
                </c:pt>
                <c:pt idx="3">
                  <c:v>13.1</c:v>
                </c:pt>
                <c:pt idx="4">
                  <c:v>11.0</c:v>
                </c:pt>
                <c:pt idx="25">
                  <c:v>15N</c:v>
                </c:pt>
                <c:pt idx="26">
                  <c:v>15.2</c:v>
                </c:pt>
                <c:pt idx="27">
                  <c:v>-6.9</c:v>
                </c:pt>
                <c:pt idx="28">
                  <c:v>15.1</c:v>
                </c:pt>
                <c:pt idx="29">
                  <c:v>13.1</c:v>
                </c:pt>
                <c:pt idx="30">
                  <c:v>11.0</c:v>
                </c:pt>
              </c:strCache>
            </c:strRef>
          </c:xVal>
          <c:yVal>
            <c:numRef>
              <c:f>'260416 실험'!$G$2:$G$55</c:f>
              <c:numCache>
                <c:formatCode>General</c:formatCode>
                <c:ptCount val="54"/>
                <c:pt idx="26">
                  <c:v>0</c:v>
                </c:pt>
                <c:pt idx="27" formatCode="@">
                  <c:v>0</c:v>
                </c:pt>
                <c:pt idx="28">
                  <c:v>92.7</c:v>
                </c:pt>
                <c:pt idx="29">
                  <c:v>89.3</c:v>
                </c:pt>
                <c:pt idx="30">
                  <c:v>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73-4AD6-BE8D-C729C33C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1</xdr:row>
      <xdr:rowOff>0</xdr:rowOff>
    </xdr:from>
    <xdr:to>
      <xdr:col>14</xdr:col>
      <xdr:colOff>630585</xdr:colOff>
      <xdr:row>21</xdr:row>
      <xdr:rowOff>89651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D8D1EAD-13A0-45D2-AEA5-D40BF09DFE67}"/>
            </a:ext>
          </a:extLst>
        </xdr:cNvPr>
        <xdr:cNvGrpSpPr/>
      </xdr:nvGrpSpPr>
      <xdr:grpSpPr>
        <a:xfrm>
          <a:off x="6810375" y="390525"/>
          <a:ext cx="5564535" cy="489025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D4187A2C-3C30-4C35-9844-234C85AE12E6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19B5AEF1-042E-4C55-B02B-C6717324366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2635F69-F6C2-4232-8AC3-E0B5413FB70A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42B8F5D-CF72-4507-B1A8-38F85CD39018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CD883BE-637A-434E-8D9D-A49BA050220E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DDE68DD-BE57-4119-B418-F6A7F9201F1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A065B49F-A667-4F18-81C2-A56FCEB3A5FA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5F17DF1-F5DD-4BAE-9277-8B5A9209E8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45CFD81C-ECF1-4BBC-A323-9D17421CF68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3846E42F-3BDA-4D6A-985F-ED66978ED94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77FB1FE-ED5A-4EAC-BF68-94098C5F1CE2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E3CB7330-6344-46F0-8434-E4995F320FC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717F4CB9-9E46-40C1-97F7-E8C6D33F5153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4C47AE8-6E6B-448B-AF77-B6144A29BC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8F57E54-9B9E-445C-BA84-10EDC28F81B2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tabSelected="1" zoomScaleNormal="100" workbookViewId="0">
      <selection activeCell="C21" sqref="C21"/>
    </sheetView>
  </sheetViews>
  <sheetFormatPr defaultColWidth="9" defaultRowHeight="16.5" x14ac:dyDescent="0.3"/>
  <cols>
    <col min="1" max="1" width="11.5" style="5" bestFit="1" customWidth="1"/>
    <col min="2" max="2" width="27.125" style="5" bestFit="1" customWidth="1"/>
    <col min="3" max="3" width="10.25" style="5" bestFit="1" customWidth="1"/>
    <col min="4" max="4" width="12.25" style="5" customWidth="1"/>
    <col min="5" max="5" width="12" style="5" customWidth="1"/>
    <col min="6" max="16384" width="9" style="5"/>
  </cols>
  <sheetData>
    <row r="1" spans="1:16" ht="30.75" customHeight="1" x14ac:dyDescent="0.3">
      <c r="A1" s="1" t="s">
        <v>0</v>
      </c>
      <c r="B1" s="2" t="s">
        <v>1</v>
      </c>
      <c r="C1" s="3" t="s">
        <v>12</v>
      </c>
      <c r="D1" s="3" t="s">
        <v>2</v>
      </c>
      <c r="E1" s="4" t="s">
        <v>3</v>
      </c>
      <c r="F1" s="4" t="s">
        <v>3</v>
      </c>
      <c r="G1" s="6"/>
      <c r="P1" s="6"/>
    </row>
    <row r="2" spans="1:16" ht="20.100000000000001" customHeight="1" x14ac:dyDescent="0.3">
      <c r="A2" s="7" t="s">
        <v>7</v>
      </c>
      <c r="B2" s="8" t="s">
        <v>8</v>
      </c>
      <c r="C2" s="8">
        <v>1.042</v>
      </c>
      <c r="D2" s="9">
        <v>15.17</v>
      </c>
      <c r="E2" s="9"/>
      <c r="F2" s="9">
        <v>-3.82</v>
      </c>
    </row>
    <row r="3" spans="1:16" ht="20.100000000000001" customHeight="1" x14ac:dyDescent="0.3">
      <c r="A3" s="7" t="s">
        <v>9</v>
      </c>
      <c r="B3" s="8" t="s">
        <v>10</v>
      </c>
      <c r="C3" s="8" t="s">
        <v>11</v>
      </c>
      <c r="D3" s="9">
        <v>-6.85</v>
      </c>
      <c r="E3" s="9"/>
      <c r="F3" s="9">
        <v>11.02</v>
      </c>
    </row>
    <row r="4" spans="1:16" ht="20.100000000000001" customHeight="1" x14ac:dyDescent="0.3">
      <c r="A4" s="7" t="s">
        <v>4</v>
      </c>
      <c r="B4" s="8" t="s">
        <v>20</v>
      </c>
      <c r="C4" s="8"/>
      <c r="D4" s="9">
        <v>15.13</v>
      </c>
      <c r="E4" s="9">
        <v>-3.24</v>
      </c>
      <c r="F4" s="9"/>
    </row>
    <row r="5" spans="1:16" ht="20.100000000000001" customHeight="1" x14ac:dyDescent="0.3">
      <c r="A5" s="7" t="s">
        <v>5</v>
      </c>
      <c r="B5" s="8" t="s">
        <v>21</v>
      </c>
      <c r="C5" s="8"/>
      <c r="D5" s="9">
        <v>13.14</v>
      </c>
      <c r="E5" s="9">
        <v>-1.33</v>
      </c>
      <c r="F5" s="9"/>
    </row>
    <row r="6" spans="1:16" ht="20.100000000000001" customHeight="1" x14ac:dyDescent="0.3">
      <c r="A6" s="7" t="s">
        <v>6</v>
      </c>
      <c r="B6" s="8" t="s">
        <v>22</v>
      </c>
      <c r="C6" s="8"/>
      <c r="D6" s="9">
        <v>11.01</v>
      </c>
      <c r="E6" s="9">
        <v>1.89</v>
      </c>
      <c r="F6" s="9"/>
    </row>
    <row r="7" spans="1:16" ht="20.100000000000001" customHeight="1" x14ac:dyDescent="0.3">
      <c r="A7" s="7"/>
      <c r="B7" s="8"/>
      <c r="C7" s="8"/>
      <c r="D7" s="9"/>
      <c r="E7" s="9"/>
      <c r="F7" s="9"/>
    </row>
    <row r="8" spans="1:16" ht="20.100000000000001" customHeight="1" x14ac:dyDescent="0.3">
      <c r="A8" s="7"/>
      <c r="B8" s="8"/>
      <c r="C8" s="8"/>
      <c r="D8" s="9"/>
      <c r="E8" s="9"/>
      <c r="F8" s="9"/>
    </row>
    <row r="9" spans="1:16" ht="20.100000000000001" customHeight="1" x14ac:dyDescent="0.3">
      <c r="A9" s="7"/>
      <c r="B9" s="8"/>
      <c r="C9" s="8"/>
      <c r="D9" s="9"/>
      <c r="E9" s="9"/>
      <c r="F9" s="9"/>
    </row>
    <row r="10" spans="1:16" ht="20.100000000000001" customHeight="1" x14ac:dyDescent="0.3">
      <c r="A10" s="7"/>
      <c r="B10" s="8"/>
      <c r="C10" s="8"/>
      <c r="D10" s="9"/>
      <c r="E10" s="9"/>
      <c r="F10" s="9"/>
    </row>
    <row r="11" spans="1:16" ht="20.100000000000001" customHeight="1" x14ac:dyDescent="0.3">
      <c r="A11" s="7"/>
      <c r="B11" s="8"/>
      <c r="C11" s="8"/>
      <c r="D11" s="9"/>
      <c r="E11" s="9"/>
      <c r="F11" s="9"/>
    </row>
    <row r="12" spans="1:16" ht="20.100000000000001" customHeight="1" x14ac:dyDescent="0.3">
      <c r="A12" s="7"/>
      <c r="B12" s="8"/>
      <c r="C12" s="8"/>
      <c r="D12" s="9"/>
      <c r="E12" s="9"/>
      <c r="F12" s="9"/>
    </row>
    <row r="13" spans="1:16" ht="20.100000000000001" customHeight="1" x14ac:dyDescent="0.3">
      <c r="A13" s="7"/>
      <c r="B13" s="8"/>
      <c r="C13" s="8"/>
      <c r="D13" s="9"/>
      <c r="E13" s="9"/>
      <c r="F13" s="9"/>
    </row>
    <row r="14" spans="1:16" ht="20.100000000000001" customHeight="1" x14ac:dyDescent="0.3">
      <c r="A14" s="7"/>
      <c r="B14" s="8"/>
      <c r="C14" s="8"/>
      <c r="D14" s="9"/>
      <c r="E14" s="9"/>
      <c r="F14" s="9"/>
    </row>
    <row r="15" spans="1:16" ht="20.100000000000001" customHeight="1" x14ac:dyDescent="0.3">
      <c r="A15" s="7"/>
      <c r="B15" s="8"/>
      <c r="C15" s="8"/>
      <c r="D15" s="9"/>
      <c r="E15" s="9"/>
      <c r="F15" s="9"/>
    </row>
    <row r="16" spans="1:16" ht="20.100000000000001" customHeight="1" x14ac:dyDescent="0.3">
      <c r="A16" s="7"/>
      <c r="B16" s="8"/>
      <c r="C16" s="8"/>
      <c r="D16" s="9"/>
      <c r="E16" s="9"/>
      <c r="F16" s="9"/>
    </row>
    <row r="17" spans="1:13" ht="20.100000000000001" customHeight="1" x14ac:dyDescent="0.3">
      <c r="A17" s="7"/>
      <c r="B17" s="8"/>
      <c r="C17" s="8"/>
      <c r="D17" s="9"/>
      <c r="E17" s="9"/>
      <c r="F17" s="9"/>
    </row>
    <row r="18" spans="1:13" x14ac:dyDescent="0.3">
      <c r="A18" s="7"/>
      <c r="B18" s="8"/>
      <c r="C18" s="8"/>
      <c r="D18" s="9"/>
      <c r="E18" s="9"/>
      <c r="F18" s="9"/>
    </row>
    <row r="19" spans="1:13" x14ac:dyDescent="0.3">
      <c r="A19" s="7"/>
      <c r="B19" s="8"/>
      <c r="C19" s="8"/>
      <c r="D19" s="9"/>
      <c r="E19" s="9"/>
      <c r="F19" s="9"/>
    </row>
    <row r="20" spans="1:13" x14ac:dyDescent="0.3">
      <c r="A20" s="7"/>
      <c r="B20" s="8"/>
      <c r="C20" s="8"/>
      <c r="D20" s="9"/>
      <c r="E20" s="9"/>
      <c r="F20" s="9"/>
    </row>
    <row r="21" spans="1:13" x14ac:dyDescent="0.3">
      <c r="A21" s="7"/>
      <c r="B21" s="8"/>
      <c r="C21" s="8"/>
      <c r="D21" s="9"/>
      <c r="E21" s="9"/>
      <c r="F21" s="9"/>
    </row>
    <row r="22" spans="1:13" x14ac:dyDescent="0.3">
      <c r="A22" s="7"/>
      <c r="B22" s="8"/>
      <c r="C22" s="8"/>
      <c r="D22" s="9"/>
      <c r="E22" s="9"/>
      <c r="F22" s="9"/>
    </row>
    <row r="23" spans="1:13" x14ac:dyDescent="0.3">
      <c r="A23" s="7"/>
      <c r="B23" s="8"/>
      <c r="C23" s="8"/>
      <c r="D23" s="9"/>
      <c r="E23" s="9"/>
      <c r="F23" s="9"/>
    </row>
    <row r="24" spans="1:13" x14ac:dyDescent="0.3">
      <c r="A24" s="7"/>
      <c r="B24" s="8"/>
      <c r="C24" s="8"/>
      <c r="D24" s="9"/>
      <c r="E24" s="9"/>
      <c r="F24" s="9"/>
    </row>
    <row r="25" spans="1:13" x14ac:dyDescent="0.3">
      <c r="A25" s="10"/>
      <c r="B25" s="11"/>
      <c r="C25" s="11"/>
      <c r="D25" s="12"/>
      <c r="E25" s="12"/>
      <c r="F25" s="12"/>
    </row>
    <row r="26" spans="1:13" x14ac:dyDescent="0.3">
      <c r="A26" s="13"/>
      <c r="B26" s="13"/>
      <c r="C26" s="13"/>
      <c r="D26" s="14"/>
      <c r="E26" s="14"/>
    </row>
    <row r="27" spans="1:13" ht="27" x14ac:dyDescent="0.3">
      <c r="A27" s="1" t="s">
        <v>0</v>
      </c>
      <c r="B27" s="2" t="s">
        <v>1</v>
      </c>
      <c r="C27" s="3" t="s">
        <v>12</v>
      </c>
      <c r="D27" s="3" t="s">
        <v>2</v>
      </c>
      <c r="E27" s="4" t="s">
        <v>3</v>
      </c>
      <c r="F27" s="4" t="s">
        <v>3</v>
      </c>
      <c r="G27"/>
      <c r="H27"/>
      <c r="I27"/>
      <c r="J27"/>
      <c r="K27"/>
      <c r="L27"/>
      <c r="M27"/>
    </row>
    <row r="28" spans="1:13" x14ac:dyDescent="0.3">
      <c r="A28" s="7" t="s">
        <v>7</v>
      </c>
      <c r="B28" s="8" t="s">
        <v>8</v>
      </c>
      <c r="C28" s="8">
        <v>1.042</v>
      </c>
      <c r="D28" s="9">
        <v>15.17</v>
      </c>
      <c r="E28" s="9"/>
      <c r="F28" s="9">
        <v>-3.82</v>
      </c>
      <c r="G28" t="s">
        <v>16</v>
      </c>
      <c r="H28"/>
      <c r="I28"/>
      <c r="J28"/>
      <c r="K28" t="s">
        <v>23</v>
      </c>
      <c r="L28"/>
      <c r="M28"/>
    </row>
    <row r="29" spans="1:13" x14ac:dyDescent="0.3">
      <c r="A29" s="7" t="s">
        <v>9</v>
      </c>
      <c r="B29" s="8" t="s">
        <v>10</v>
      </c>
      <c r="C29" s="8" t="s">
        <v>11</v>
      </c>
      <c r="D29" s="9">
        <v>-6.85</v>
      </c>
      <c r="E29" s="9"/>
      <c r="F29" s="9">
        <v>11.02</v>
      </c>
      <c r="G29" s="16" t="s">
        <v>13</v>
      </c>
      <c r="H29" s="16" t="s">
        <v>14</v>
      </c>
      <c r="I29" t="s">
        <v>15</v>
      </c>
      <c r="J29"/>
      <c r="K29" s="16" t="s">
        <v>13</v>
      </c>
      <c r="L29" s="16" t="s">
        <v>14</v>
      </c>
      <c r="M29" s="16" t="s">
        <v>15</v>
      </c>
    </row>
    <row r="30" spans="1:13" x14ac:dyDescent="0.3">
      <c r="A30" s="7" t="s">
        <v>4</v>
      </c>
      <c r="B30" s="8" t="s">
        <v>17</v>
      </c>
      <c r="C30" s="8"/>
      <c r="D30" s="9">
        <v>15.13</v>
      </c>
      <c r="E30" s="9">
        <v>-3.24</v>
      </c>
      <c r="F30" s="9"/>
      <c r="G30">
        <v>92.7</v>
      </c>
      <c r="H30">
        <v>7.3</v>
      </c>
      <c r="I30">
        <f>SUM(G30:H30)</f>
        <v>100</v>
      </c>
      <c r="J30"/>
      <c r="K30">
        <v>96.78</v>
      </c>
      <c r="L30">
        <v>3.22</v>
      </c>
      <c r="M30">
        <f>SUM(K30:L30)</f>
        <v>100</v>
      </c>
    </row>
    <row r="31" spans="1:13" x14ac:dyDescent="0.3">
      <c r="A31" s="7" t="s">
        <v>5</v>
      </c>
      <c r="B31" s="8" t="s">
        <v>18</v>
      </c>
      <c r="C31" s="8"/>
      <c r="D31" s="9">
        <v>13.14</v>
      </c>
      <c r="E31" s="9">
        <v>-1.33</v>
      </c>
      <c r="F31" s="9"/>
      <c r="G31">
        <v>89.3</v>
      </c>
      <c r="H31">
        <v>10.7</v>
      </c>
      <c r="I31">
        <f t="shared" ref="I31:I32" si="0">SUM(G31:H31)</f>
        <v>100</v>
      </c>
      <c r="J31"/>
      <c r="K31">
        <v>83.95</v>
      </c>
      <c r="L31">
        <v>16.05</v>
      </c>
      <c r="M31">
        <f t="shared" ref="M31:M32" si="1">SUM(K31:L31)</f>
        <v>100</v>
      </c>
    </row>
    <row r="32" spans="1:13" x14ac:dyDescent="0.3">
      <c r="A32" s="7" t="s">
        <v>6</v>
      </c>
      <c r="B32" s="8" t="s">
        <v>19</v>
      </c>
      <c r="C32" s="8"/>
      <c r="D32" s="9">
        <v>11.01</v>
      </c>
      <c r="E32" s="9">
        <v>1.89</v>
      </c>
      <c r="F32" s="9"/>
      <c r="G32">
        <v>23.5</v>
      </c>
      <c r="H32">
        <v>76.5</v>
      </c>
      <c r="I32">
        <f t="shared" si="0"/>
        <v>100</v>
      </c>
      <c r="J32"/>
      <c r="K32">
        <v>65.36</v>
      </c>
      <c r="L32">
        <v>34.64</v>
      </c>
      <c r="M32">
        <f t="shared" si="1"/>
        <v>100</v>
      </c>
    </row>
    <row r="33" spans="1:5" x14ac:dyDescent="0.3">
      <c r="A33" s="13"/>
      <c r="B33" s="13"/>
      <c r="C33" s="13"/>
      <c r="D33" s="15"/>
      <c r="E33" s="15"/>
    </row>
    <row r="34" spans="1:5" x14ac:dyDescent="0.3">
      <c r="A34" s="13"/>
      <c r="B34" s="13"/>
      <c r="C34" s="13"/>
      <c r="D34" s="15"/>
      <c r="E34" s="15"/>
    </row>
    <row r="35" spans="1:5" x14ac:dyDescent="0.3">
      <c r="A35" s="13"/>
      <c r="B35" s="13"/>
      <c r="C35" s="13"/>
      <c r="D35" s="15"/>
      <c r="E35" s="15"/>
    </row>
    <row r="36" spans="1:5" x14ac:dyDescent="0.3">
      <c r="A36" s="13"/>
      <c r="B36" s="13"/>
      <c r="C36" s="13"/>
      <c r="D36" s="15"/>
      <c r="E36" s="15"/>
    </row>
    <row r="37" spans="1:5" x14ac:dyDescent="0.3">
      <c r="A37" s="13"/>
      <c r="B37" s="13"/>
      <c r="C37" s="13"/>
      <c r="D37" s="15"/>
      <c r="E37" s="15"/>
    </row>
    <row r="38" spans="1:5" x14ac:dyDescent="0.3">
      <c r="A38" s="13"/>
      <c r="B38" s="13"/>
      <c r="C38" s="13"/>
      <c r="D38" s="15"/>
      <c r="E38" s="15"/>
    </row>
    <row r="39" spans="1:5" x14ac:dyDescent="0.3">
      <c r="A39" s="13"/>
      <c r="B39" s="13"/>
      <c r="C39" s="13"/>
      <c r="D39" s="15"/>
      <c r="E39" s="15"/>
    </row>
    <row r="40" spans="1:5" x14ac:dyDescent="0.3">
      <c r="A40" s="13"/>
      <c r="B40" s="13"/>
      <c r="C40" s="13"/>
      <c r="D40" s="15"/>
      <c r="E40" s="15"/>
    </row>
    <row r="41" spans="1:5" x14ac:dyDescent="0.3">
      <c r="A41" s="13"/>
      <c r="B41" s="13"/>
      <c r="C41" s="13"/>
      <c r="D41" s="15"/>
      <c r="E41" s="15"/>
    </row>
    <row r="42" spans="1:5" x14ac:dyDescent="0.3">
      <c r="A42" s="13"/>
      <c r="B42" s="13"/>
      <c r="C42" s="13"/>
      <c r="D42" s="15"/>
      <c r="E42" s="15"/>
    </row>
    <row r="43" spans="1:5" x14ac:dyDescent="0.3">
      <c r="A43" s="13"/>
      <c r="B43" s="13"/>
      <c r="C43" s="13"/>
      <c r="D43" s="15"/>
      <c r="E43" s="15"/>
    </row>
    <row r="44" spans="1:5" x14ac:dyDescent="0.3">
      <c r="A44" s="13"/>
      <c r="B44" s="13"/>
      <c r="C44" s="13"/>
      <c r="D44" s="15"/>
      <c r="E44" s="15"/>
    </row>
    <row r="45" spans="1:5" x14ac:dyDescent="0.3">
      <c r="A45" s="13"/>
      <c r="B45" s="13"/>
      <c r="C45" s="13"/>
      <c r="D45" s="15"/>
      <c r="E45" s="15"/>
    </row>
    <row r="46" spans="1:5" x14ac:dyDescent="0.3">
      <c r="A46" s="13"/>
      <c r="B46" s="13"/>
      <c r="C46" s="13"/>
      <c r="D46" s="15"/>
      <c r="E46" s="15"/>
    </row>
    <row r="47" spans="1:5" x14ac:dyDescent="0.3">
      <c r="A47" s="13"/>
      <c r="B47" s="13"/>
      <c r="C47" s="13"/>
      <c r="D47" s="15"/>
      <c r="E47" s="15"/>
    </row>
    <row r="48" spans="1:5" x14ac:dyDescent="0.3">
      <c r="A48" s="13"/>
      <c r="B48" s="13"/>
      <c r="C48" s="13"/>
      <c r="D48" s="15"/>
      <c r="E48" s="15"/>
    </row>
    <row r="49" spans="1:5" x14ac:dyDescent="0.3">
      <c r="A49" s="13"/>
      <c r="B49" s="13"/>
      <c r="C49" s="13"/>
      <c r="D49" s="15"/>
      <c r="E49" s="15"/>
    </row>
    <row r="50" spans="1:5" x14ac:dyDescent="0.3">
      <c r="A50" s="13"/>
      <c r="B50" s="13"/>
      <c r="C50" s="13"/>
      <c r="D50" s="15"/>
      <c r="E50" s="15"/>
    </row>
    <row r="51" spans="1:5" x14ac:dyDescent="0.3">
      <c r="A51" s="13"/>
      <c r="B51" s="13"/>
      <c r="C51" s="13"/>
      <c r="D51" s="15"/>
      <c r="E51" s="15"/>
    </row>
    <row r="52" spans="1:5" x14ac:dyDescent="0.3">
      <c r="A52" s="13"/>
      <c r="B52" s="13"/>
      <c r="C52" s="13"/>
      <c r="D52" s="15"/>
      <c r="E52" s="15"/>
    </row>
    <row r="53" spans="1:5" x14ac:dyDescent="0.3">
      <c r="A53" s="13"/>
      <c r="B53" s="13"/>
      <c r="C53" s="13"/>
      <c r="D53" s="15"/>
      <c r="E53" s="15"/>
    </row>
    <row r="54" spans="1:5" x14ac:dyDescent="0.3">
      <c r="A54" s="13"/>
      <c r="B54" s="13"/>
      <c r="C54" s="13"/>
      <c r="D54" s="15"/>
      <c r="E54" s="15"/>
    </row>
    <row r="55" spans="1:5" x14ac:dyDescent="0.3">
      <c r="A55" s="13"/>
      <c r="B55" s="13"/>
      <c r="C55" s="13"/>
      <c r="D55" s="15"/>
      <c r="E55" s="15"/>
    </row>
  </sheetData>
  <phoneticPr fontId="3" type="noConversion"/>
  <pageMargins left="0.7" right="0.7" top="0.75" bottom="0.75" header="0.3" footer="0.3"/>
  <pageSetup paperSize="9" scale="46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6"/>
  <sheetViews>
    <sheetView topLeftCell="A25" workbookViewId="0">
      <selection activeCell="A2" sqref="A2:M7"/>
    </sheetView>
  </sheetViews>
  <sheetFormatPr defaultRowHeight="16.5" x14ac:dyDescent="0.3"/>
  <cols>
    <col min="1" max="1" width="11.5" bestFit="1" customWidth="1"/>
    <col min="2" max="2" width="14.875" bestFit="1" customWidth="1"/>
    <col min="3" max="3" width="6.875" bestFit="1" customWidth="1"/>
    <col min="4" max="4" width="4.5" bestFit="1" customWidth="1"/>
    <col min="5" max="5" width="4.25" bestFit="1" customWidth="1"/>
    <col min="6" max="6" width="4.5" bestFit="1" customWidth="1"/>
    <col min="7" max="7" width="11.5" bestFit="1" customWidth="1"/>
    <col min="8" max="8" width="8" bestFit="1" customWidth="1"/>
    <col min="9" max="9" width="5.375" bestFit="1" customWidth="1"/>
  </cols>
  <sheetData>
    <row r="2" spans="1:13" ht="27" x14ac:dyDescent="0.3">
      <c r="A2" s="1" t="s">
        <v>0</v>
      </c>
      <c r="B2" s="2" t="s">
        <v>1</v>
      </c>
      <c r="C2" s="3" t="s">
        <v>12</v>
      </c>
      <c r="D2" s="3" t="s">
        <v>2</v>
      </c>
      <c r="E2" s="4" t="s">
        <v>3</v>
      </c>
      <c r="F2" s="4" t="s">
        <v>3</v>
      </c>
    </row>
    <row r="3" spans="1:13" x14ac:dyDescent="0.3">
      <c r="A3" s="7" t="s">
        <v>7</v>
      </c>
      <c r="B3" s="8" t="s">
        <v>8</v>
      </c>
      <c r="C3" s="8">
        <v>1.042</v>
      </c>
      <c r="D3" s="9">
        <v>15.17</v>
      </c>
      <c r="E3" s="9"/>
      <c r="F3" s="9">
        <v>-3.82</v>
      </c>
      <c r="G3" t="s">
        <v>16</v>
      </c>
      <c r="K3" t="s">
        <v>23</v>
      </c>
    </row>
    <row r="4" spans="1:13" x14ac:dyDescent="0.3">
      <c r="A4" s="7" t="s">
        <v>9</v>
      </c>
      <c r="B4" s="8" t="s">
        <v>10</v>
      </c>
      <c r="C4" s="8" t="s">
        <v>11</v>
      </c>
      <c r="D4" s="9">
        <v>-6.85</v>
      </c>
      <c r="E4" s="9"/>
      <c r="F4" s="9">
        <v>11.02</v>
      </c>
      <c r="G4" s="16" t="s">
        <v>13</v>
      </c>
      <c r="H4" s="16" t="s">
        <v>14</v>
      </c>
      <c r="I4" t="s">
        <v>15</v>
      </c>
      <c r="K4" s="16" t="s">
        <v>13</v>
      </c>
      <c r="L4" s="16" t="s">
        <v>14</v>
      </c>
      <c r="M4" s="16" t="s">
        <v>24</v>
      </c>
    </row>
    <row r="5" spans="1:13" x14ac:dyDescent="0.3">
      <c r="A5" s="7" t="s">
        <v>4</v>
      </c>
      <c r="B5" s="8" t="s">
        <v>17</v>
      </c>
      <c r="C5" s="8"/>
      <c r="D5" s="9">
        <v>15.13</v>
      </c>
      <c r="E5" s="9">
        <v>-3.24</v>
      </c>
      <c r="F5" s="9"/>
      <c r="G5">
        <v>92.7</v>
      </c>
      <c r="H5">
        <v>7.3</v>
      </c>
      <c r="I5">
        <f>SUM(G5:H5)</f>
        <v>100</v>
      </c>
      <c r="K5">
        <v>96.78</v>
      </c>
      <c r="L5">
        <v>3.22</v>
      </c>
      <c r="M5">
        <f>SUM(K5:L5)</f>
        <v>100</v>
      </c>
    </row>
    <row r="6" spans="1:13" x14ac:dyDescent="0.3">
      <c r="A6" s="7" t="s">
        <v>5</v>
      </c>
      <c r="B6" s="8" t="s">
        <v>18</v>
      </c>
      <c r="C6" s="8"/>
      <c r="D6" s="9">
        <v>13.14</v>
      </c>
      <c r="E6" s="9">
        <v>-1.33</v>
      </c>
      <c r="F6" s="9"/>
      <c r="G6">
        <v>89.3</v>
      </c>
      <c r="H6">
        <v>10.7</v>
      </c>
      <c r="I6">
        <f t="shared" ref="I6:I7" si="0">SUM(G6:H6)</f>
        <v>100</v>
      </c>
      <c r="K6">
        <v>83.95</v>
      </c>
      <c r="L6">
        <v>16.05</v>
      </c>
      <c r="M6">
        <f t="shared" ref="M6:M7" si="1">SUM(K6:L6)</f>
        <v>100</v>
      </c>
    </row>
    <row r="7" spans="1:13" x14ac:dyDescent="0.3">
      <c r="A7" s="7" t="s">
        <v>6</v>
      </c>
      <c r="B7" s="8" t="s">
        <v>19</v>
      </c>
      <c r="C7" s="8"/>
      <c r="D7" s="9">
        <v>11.01</v>
      </c>
      <c r="E7" s="9">
        <v>1.89</v>
      </c>
      <c r="F7" s="9"/>
      <c r="G7">
        <v>23.5</v>
      </c>
      <c r="H7">
        <v>76.5</v>
      </c>
      <c r="I7">
        <f t="shared" si="0"/>
        <v>100</v>
      </c>
      <c r="K7">
        <v>65.36</v>
      </c>
      <c r="L7">
        <v>34.64</v>
      </c>
      <c r="M7">
        <f t="shared" si="1"/>
        <v>100</v>
      </c>
    </row>
    <row r="8" spans="1:13" x14ac:dyDescent="0.3">
      <c r="A8" s="7"/>
      <c r="B8" s="8"/>
      <c r="C8" s="8"/>
      <c r="D8" s="9"/>
      <c r="E8" s="9"/>
      <c r="F8" s="9"/>
    </row>
    <row r="9" spans="1:13" x14ac:dyDescent="0.3">
      <c r="A9" s="7"/>
      <c r="B9" s="8"/>
      <c r="C9" s="8"/>
      <c r="D9" s="9"/>
      <c r="E9" s="9"/>
      <c r="F9" s="9"/>
    </row>
    <row r="10" spans="1:13" x14ac:dyDescent="0.3">
      <c r="A10" s="7"/>
      <c r="B10" s="8"/>
      <c r="C10" s="8"/>
      <c r="D10" s="9"/>
      <c r="E10" s="9"/>
      <c r="F10" s="9"/>
    </row>
    <row r="11" spans="1:13" x14ac:dyDescent="0.3">
      <c r="A11" s="7"/>
      <c r="B11" s="8"/>
      <c r="C11" s="8"/>
      <c r="D11" s="9"/>
      <c r="E11" s="9"/>
      <c r="F11" s="9"/>
    </row>
    <row r="12" spans="1:13" x14ac:dyDescent="0.3">
      <c r="A12" s="7"/>
      <c r="B12" s="8"/>
      <c r="C12" s="8"/>
      <c r="D12" s="9"/>
      <c r="E12" s="9"/>
      <c r="F12" s="9"/>
    </row>
    <row r="13" spans="1:13" x14ac:dyDescent="0.3">
      <c r="A13" s="7"/>
      <c r="B13" s="8"/>
      <c r="C13" s="8"/>
      <c r="D13" s="9"/>
      <c r="E13" s="9"/>
      <c r="F13" s="9"/>
    </row>
    <row r="14" spans="1:13" x14ac:dyDescent="0.3">
      <c r="A14" s="7"/>
      <c r="B14" s="8"/>
      <c r="C14" s="8"/>
      <c r="D14" s="9"/>
      <c r="E14" s="9"/>
      <c r="F14" s="9"/>
    </row>
    <row r="15" spans="1:13" x14ac:dyDescent="0.3">
      <c r="A15" s="7"/>
      <c r="B15" s="8"/>
      <c r="C15" s="8"/>
      <c r="D15" s="9"/>
      <c r="E15" s="9"/>
      <c r="F15" s="9"/>
    </row>
    <row r="16" spans="1:13" x14ac:dyDescent="0.3">
      <c r="A16" s="7"/>
      <c r="B16" s="8"/>
      <c r="C16" s="8"/>
      <c r="D16" s="9"/>
      <c r="E16" s="9"/>
      <c r="F16" s="9"/>
    </row>
    <row r="17" spans="1:6" x14ac:dyDescent="0.3">
      <c r="A17" s="7"/>
      <c r="B17" s="8"/>
      <c r="C17" s="8"/>
      <c r="D17" s="9"/>
      <c r="E17" s="9"/>
      <c r="F17" s="9"/>
    </row>
    <row r="18" spans="1:6" x14ac:dyDescent="0.3">
      <c r="A18" s="7"/>
      <c r="B18" s="8"/>
      <c r="C18" s="8"/>
      <c r="D18" s="9"/>
      <c r="E18" s="9"/>
      <c r="F18" s="9"/>
    </row>
    <row r="19" spans="1:6" x14ac:dyDescent="0.3">
      <c r="A19" s="7"/>
      <c r="B19" s="8"/>
      <c r="C19" s="8"/>
      <c r="D19" s="9"/>
      <c r="E19" s="9"/>
      <c r="F19" s="9"/>
    </row>
    <row r="20" spans="1:6" x14ac:dyDescent="0.3">
      <c r="A20" s="7"/>
      <c r="B20" s="8"/>
      <c r="C20" s="8"/>
      <c r="D20" s="9"/>
      <c r="E20" s="9"/>
      <c r="F20" s="9"/>
    </row>
    <row r="21" spans="1:6" x14ac:dyDescent="0.3">
      <c r="A21" s="7"/>
      <c r="B21" s="8"/>
      <c r="C21" s="8"/>
      <c r="D21" s="9"/>
      <c r="E21" s="9"/>
      <c r="F21" s="9"/>
    </row>
    <row r="22" spans="1:6" x14ac:dyDescent="0.3">
      <c r="A22" s="7"/>
      <c r="B22" s="8"/>
      <c r="C22" s="8"/>
      <c r="D22" s="9"/>
      <c r="E22" s="9"/>
      <c r="F22" s="9"/>
    </row>
    <row r="23" spans="1:6" x14ac:dyDescent="0.3">
      <c r="A23" s="7"/>
      <c r="B23" s="8"/>
      <c r="C23" s="8"/>
      <c r="D23" s="9"/>
      <c r="E23" s="9"/>
      <c r="F23" s="9"/>
    </row>
    <row r="24" spans="1:6" x14ac:dyDescent="0.3">
      <c r="A24" s="7"/>
      <c r="B24" s="8"/>
      <c r="C24" s="8"/>
      <c r="D24" s="9"/>
      <c r="E24" s="9"/>
      <c r="F24" s="9"/>
    </row>
    <row r="25" spans="1:6" x14ac:dyDescent="0.3">
      <c r="A25" s="7"/>
      <c r="B25" s="8"/>
      <c r="C25" s="8"/>
      <c r="D25" s="9"/>
      <c r="E25" s="9"/>
      <c r="F25" s="9"/>
    </row>
    <row r="26" spans="1:6" x14ac:dyDescent="0.3">
      <c r="A26" s="10"/>
      <c r="B26" s="11"/>
      <c r="C26" s="11"/>
      <c r="D26" s="12"/>
      <c r="E26" s="12"/>
      <c r="F26" s="12"/>
    </row>
  </sheetData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260416 실험</vt:lpstr>
      <vt:lpstr>MixSIAR 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2026-04-15T23:58:40Z</dcterms:created>
  <dcterms:modified xsi:type="dcterms:W3CDTF">2026-04-26T08:57:53Z</dcterms:modified>
</cp:coreProperties>
</file>