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강종원\2026\1. 조사\EMMTE, SIAR 관련\"/>
    </mc:Choice>
  </mc:AlternateContent>
  <bookViews>
    <workbookView xWindow="0" yWindow="0" windowWidth="28800" windowHeight="11730" tabRatio="737" activeTab="6"/>
  </bookViews>
  <sheets>
    <sheet name="오염원(하수)" sheetId="55" r:id="rId1"/>
    <sheet name="오염원(퇴비)" sheetId="56" r:id="rId2"/>
    <sheet name="오염원(비료)" sheetId="57" r:id="rId3"/>
    <sheet name="오염원(강우)" sheetId="58" r:id="rId4"/>
    <sheet name="오염원(토양_산림 CASE1)" sheetId="61" r:id="rId5"/>
    <sheet name="오염원(토양_산림 CASE2)" sheetId="62" r:id="rId6"/>
    <sheet name="오염원(토양_산림 CASE3)" sheetId="59" r:id="rId7"/>
    <sheet name="오염원(비료)_자료인용, 무기질" sheetId="63" r:id="rId8"/>
    <sheet name="오염원(비료)_자료인용, 유기질" sheetId="65" r:id="rId9"/>
    <sheet name="오염원(비료)_자료인용, 식물성원료" sheetId="66" r:id="rId10"/>
  </sheets>
  <definedNames>
    <definedName name="_xlnm._FilterDatabase" localSheetId="3" hidden="1">'오염원(강우)'!$A$1:$E$22</definedName>
    <definedName name="_xlnm._FilterDatabase" localSheetId="2" hidden="1">'오염원(비료)'!$A$1:$E$22</definedName>
    <definedName name="_xlnm._FilterDatabase" localSheetId="7" hidden="1">'오염원(비료)_자료인용, 무기질'!$A$1:$E$22</definedName>
    <definedName name="_xlnm._FilterDatabase" localSheetId="9" hidden="1">'오염원(비료)_자료인용, 식물성원료'!$A$1:$E$22</definedName>
    <definedName name="_xlnm._FilterDatabase" localSheetId="8" hidden="1">'오염원(비료)_자료인용, 유기질'!$A$1:$E$22</definedName>
    <definedName name="_xlnm._FilterDatabase" localSheetId="4" hidden="1">'오염원(토양_산림 CASE1)'!$A$1:$E$19</definedName>
    <definedName name="_xlnm._FilterDatabase" localSheetId="5" hidden="1">'오염원(토양_산림 CASE2)'!$A$1:$E$19</definedName>
    <definedName name="_xlnm._FilterDatabase" localSheetId="6" hidden="1">'오염원(토양_산림 CASE3)'!$A$1:$E$19</definedName>
    <definedName name="_xlnm._FilterDatabase" localSheetId="1" hidden="1">'오염원(퇴비)'!$A$1:$E$22</definedName>
    <definedName name="_xlnm._FilterDatabase" localSheetId="0" hidden="1">'오염원(하수)'!$A$1:$E$22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66" l="1"/>
  <c r="D28" i="66"/>
  <c r="E27" i="66"/>
  <c r="D27" i="66"/>
  <c r="E34" i="65"/>
  <c r="D34" i="65"/>
  <c r="E33" i="65"/>
  <c r="D33" i="65"/>
  <c r="E22" i="63" l="1"/>
  <c r="D22" i="63"/>
  <c r="E21" i="63"/>
  <c r="D21" i="63"/>
  <c r="E7" i="58" l="1"/>
  <c r="D7" i="58"/>
  <c r="E9" i="57"/>
  <c r="D9" i="57"/>
  <c r="E8" i="57"/>
  <c r="D8" i="57"/>
  <c r="E15" i="62"/>
  <c r="D15" i="62"/>
  <c r="E14" i="62"/>
  <c r="D14" i="62"/>
  <c r="E15" i="61"/>
  <c r="D15" i="61"/>
  <c r="E14" i="61"/>
  <c r="D14" i="61"/>
  <c r="E15" i="59"/>
  <c r="D15" i="59"/>
  <c r="E14" i="59"/>
  <c r="D14" i="59"/>
  <c r="E15" i="56"/>
  <c r="D15" i="56"/>
  <c r="E16" i="56"/>
  <c r="D16" i="56"/>
  <c r="E18" i="55"/>
  <c r="D18" i="55"/>
  <c r="E17" i="55"/>
  <c r="D17" i="55"/>
  <c r="E6" i="58" l="1"/>
  <c r="D6" i="58"/>
</calcChain>
</file>

<file path=xl/sharedStrings.xml><?xml version="1.0" encoding="utf-8"?>
<sst xmlns="http://schemas.openxmlformats.org/spreadsheetml/2006/main" count="282" uniqueCount="159">
  <si>
    <t>빛가람 방류수</t>
  </si>
  <si>
    <t>EM-07</t>
  </si>
  <si>
    <t>광주천</t>
  </si>
  <si>
    <t>지석천</t>
  </si>
  <si>
    <t>EM-03</t>
  </si>
  <si>
    <t>장성천</t>
  </si>
  <si>
    <t>감정천 퇴비유출수</t>
  </si>
  <si>
    <t>EM-04</t>
  </si>
  <si>
    <t>장성천 산림유출수</t>
  </si>
  <si>
    <t>EM-05</t>
  </si>
  <si>
    <t>EM-06</t>
  </si>
  <si>
    <t>증심사천 방류수</t>
  </si>
  <si>
    <t>EM-15</t>
  </si>
  <si>
    <t>광주천 산림유출수</t>
  </si>
  <si>
    <t>신안천방류수</t>
  </si>
  <si>
    <t>광주천 부숙퇴비</t>
  </si>
  <si>
    <t>EM16</t>
  </si>
  <si>
    <t>EM13</t>
  </si>
  <si>
    <t>대촌천 논토양1</t>
  </si>
  <si>
    <t>EM19</t>
  </si>
  <si>
    <t>광주천 산림토(대나무)</t>
  </si>
  <si>
    <t>EM23</t>
  </si>
  <si>
    <t>EM24</t>
  </si>
  <si>
    <t>EM27</t>
  </si>
  <si>
    <t>EM33</t>
  </si>
  <si>
    <t>EM43</t>
  </si>
  <si>
    <t>EM45</t>
  </si>
  <si>
    <t>EM47</t>
  </si>
  <si>
    <t>만봉천 논토양</t>
  </si>
  <si>
    <t>만봉천 부숙퇴비(소)</t>
  </si>
  <si>
    <t>영산천 부숙퇴비(소)</t>
  </si>
  <si>
    <t>승가교 퇴비(소)</t>
  </si>
  <si>
    <t>남평퇴비</t>
  </si>
  <si>
    <t>영산천</t>
  </si>
  <si>
    <t>EM02</t>
  </si>
  <si>
    <t>EM-02</t>
  </si>
  <si>
    <t>빛가람 수질복원센터 방류수</t>
  </si>
  <si>
    <t>ID</t>
    <phoneticPr fontId="28" type="noConversion"/>
  </si>
  <si>
    <t>하천명</t>
    <phoneticPr fontId="28" type="noConversion"/>
  </si>
  <si>
    <t>채수지점</t>
    <phoneticPr fontId="29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</si>
  <si>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</si>
  <si>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</si>
  <si>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</si>
  <si>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t>비고</t>
    <phoneticPr fontId="1" type="noConversion"/>
  </si>
  <si>
    <t>EM-18</t>
  </si>
  <si>
    <t>강우(빗물)</t>
  </si>
  <si>
    <t>EM-20</t>
  </si>
  <si>
    <t>산림</t>
  </si>
  <si>
    <t>동화호 상류01</t>
  </si>
  <si>
    <t>EM-21</t>
  </si>
  <si>
    <t>동화호 상류02</t>
  </si>
  <si>
    <t>EM-23</t>
  </si>
  <si>
    <t>동화천 상류</t>
  </si>
  <si>
    <t>EM-24</t>
  </si>
  <si>
    <t>오수천 상류</t>
  </si>
  <si>
    <t>EM-25</t>
  </si>
  <si>
    <t>EM44</t>
  </si>
  <si>
    <t>비료</t>
  </si>
  <si>
    <t>복합비료(밭에 주로 사용)</t>
  </si>
  <si>
    <t>복합비료(논에 주로 사용)</t>
  </si>
  <si>
    <t>EM-08</t>
  </si>
  <si>
    <t>산포하수처리장 방류수</t>
  </si>
  <si>
    <t>화순천 하수처리장 방류수</t>
  </si>
  <si>
    <t>JS-10-20B</t>
  </si>
  <si>
    <t>JS-EM-M5</t>
  </si>
  <si>
    <t>추동천 퇴비</t>
  </si>
  <si>
    <t>EM-40</t>
  </si>
  <si>
    <t>강우시료</t>
  </si>
  <si>
    <t>장성천 논토양</t>
  </si>
  <si>
    <t>EM-01</t>
  </si>
  <si>
    <t>담양 하수처리장</t>
  </si>
  <si>
    <t>무안 하수처리장</t>
  </si>
  <si>
    <t>광주 1하수처리장</t>
  </si>
  <si>
    <t>광주 2하수처리장</t>
  </si>
  <si>
    <t>mean</t>
    <phoneticPr fontId="1" type="noConversion"/>
  </si>
  <si>
    <t>sd</t>
    <phoneticPr fontId="1" type="noConversion"/>
  </si>
  <si>
    <t>mean</t>
    <phoneticPr fontId="1" type="noConversion"/>
  </si>
  <si>
    <t>sd</t>
    <phoneticPr fontId="1" type="noConversion"/>
  </si>
  <si>
    <t>mean</t>
    <phoneticPr fontId="1" type="noConversion"/>
  </si>
  <si>
    <t>IOF-1</t>
    <phoneticPr fontId="1" type="noConversion"/>
  </si>
  <si>
    <t>IOF-2</t>
  </si>
  <si>
    <t>IOF-3</t>
  </si>
  <si>
    <t>IOF-4</t>
  </si>
  <si>
    <t>IOF-5</t>
  </si>
  <si>
    <t>IOF-6</t>
  </si>
  <si>
    <t>IOF-7</t>
  </si>
  <si>
    <t>IOF-8</t>
  </si>
  <si>
    <t>IOF-9</t>
  </si>
  <si>
    <t>IOF-10</t>
  </si>
  <si>
    <t>IOF-11</t>
  </si>
  <si>
    <t>IOF-12</t>
  </si>
  <si>
    <t>IOF-13</t>
  </si>
  <si>
    <t>IOF-14</t>
  </si>
  <si>
    <t>IOF-15</t>
  </si>
  <si>
    <t>IOF-16</t>
  </si>
  <si>
    <t>IOF-17</t>
  </si>
  <si>
    <t>IOF-18</t>
  </si>
  <si>
    <t>IOF-19</t>
  </si>
  <si>
    <t>MEAN</t>
    <phoneticPr fontId="1" type="noConversion"/>
  </si>
  <si>
    <t>SD</t>
    <phoneticPr fontId="1" type="noConversion"/>
  </si>
  <si>
    <t>* Shin et al., 2019, Dual isotopes of nitrate in Korean fertilizers and their application
for identifying nitrate sources</t>
    <phoneticPr fontId="1" type="noConversion"/>
  </si>
  <si>
    <t>풍농</t>
    <phoneticPr fontId="1" type="noConversion"/>
  </si>
  <si>
    <t>남해화학</t>
    <phoneticPr fontId="1" type="noConversion"/>
  </si>
  <si>
    <t>동부한농</t>
    <phoneticPr fontId="1" type="noConversion"/>
  </si>
  <si>
    <t>제품명 언급X 제조 회사만 언급</t>
    <phoneticPr fontId="1" type="noConversion"/>
  </si>
  <si>
    <t>OF-1</t>
    <phoneticPr fontId="1" type="noConversion"/>
  </si>
  <si>
    <t>OF-2</t>
  </si>
  <si>
    <t>OF-3</t>
  </si>
  <si>
    <t>OF-4</t>
  </si>
  <si>
    <t>OF-5</t>
  </si>
  <si>
    <t>OF-6</t>
  </si>
  <si>
    <t>OF-7</t>
  </si>
  <si>
    <t>OF-8</t>
  </si>
  <si>
    <t>OF-9</t>
  </si>
  <si>
    <t>OF-10</t>
  </si>
  <si>
    <t>OF-11</t>
  </si>
  <si>
    <t>OF-12</t>
  </si>
  <si>
    <t>OF-13</t>
  </si>
  <si>
    <t>OF-14</t>
  </si>
  <si>
    <t>OF-15</t>
  </si>
  <si>
    <t>OF-16</t>
  </si>
  <si>
    <t>OF-17</t>
  </si>
  <si>
    <t>OF-18</t>
  </si>
  <si>
    <t>OF-19</t>
  </si>
  <si>
    <t>OF-20</t>
  </si>
  <si>
    <t>OF-21</t>
  </si>
  <si>
    <t>OF-22</t>
  </si>
  <si>
    <t>OF-23</t>
  </si>
  <si>
    <t>OF-24</t>
  </si>
  <si>
    <t>OF-25</t>
  </si>
  <si>
    <t>OF-26</t>
  </si>
  <si>
    <t>OF-27</t>
  </si>
  <si>
    <t>OF-28</t>
  </si>
  <si>
    <t>OF-29</t>
  </si>
  <si>
    <t>OF-30</t>
  </si>
  <si>
    <t>PCF-1</t>
  </si>
  <si>
    <t>PCF-2</t>
  </si>
  <si>
    <t>PCF-3</t>
  </si>
  <si>
    <t>PCF-4</t>
  </si>
  <si>
    <t>PCF-5</t>
  </si>
  <si>
    <t>PCF-6</t>
  </si>
  <si>
    <t>PCF-7</t>
  </si>
  <si>
    <t>PCF-8</t>
  </si>
  <si>
    <t>PCF-9</t>
  </si>
  <si>
    <t>PCF-10</t>
  </si>
  <si>
    <t>PCF-11</t>
  </si>
  <si>
    <t>PCF-12</t>
  </si>
  <si>
    <t>PCF-13</t>
  </si>
  <si>
    <t>PCF-14</t>
  </si>
  <si>
    <t>PCF-15</t>
  </si>
  <si>
    <t>PCF-16</t>
  </si>
  <si>
    <t>PCF-17</t>
  </si>
  <si>
    <t>PCF-18</t>
  </si>
  <si>
    <t>PCF-19</t>
  </si>
  <si>
    <t>PCF-20</t>
  </si>
  <si>
    <t>PCF-21</t>
  </si>
  <si>
    <t>PCF-22</t>
  </si>
  <si>
    <t>PCF-23</t>
  </si>
  <si>
    <t>PCF-24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</si>
</sst>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sz val="14"/>
      <color rgb="FFFF0000"/>
      <name val="맑은 고딕"/>
      <family val="2"/>
      <scheme val="minor"/>
    </font>
    <font>
      <b/>
      <sz val="14"/>
      <color rgb="FFFF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3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1" borderId="2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3" fillId="22" borderId="3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2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21" borderId="1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/>
    <xf numFmtId="0" fontId="24" fillId="0" borderId="0"/>
    <xf numFmtId="0" fontId="25" fillId="0" borderId="13" applyNumberFormat="0" applyFill="0" applyAlignment="0" applyProtection="0"/>
    <xf numFmtId="0" fontId="26" fillId="0" borderId="0">
      <alignment vertical="center"/>
    </xf>
  </cellStyleXfs>
  <cellXfs count="14">
    <xf numFmtId="0" fontId="0" fillId="0" borderId="0" xfId="0">
      <alignment vertical="center"/>
    </xf>
    <xf numFmtId="0" fontId="27" fillId="25" borderId="14" xfId="55" applyFont="1" applyFill="1" applyBorder="1" applyAlignment="1">
      <alignment horizontal="center" vertical="center"/>
    </xf>
    <xf numFmtId="49" fontId="30" fillId="25" borderId="14" xfId="55" applyNumberFormat="1" applyFont="1" applyFill="1" applyBorder="1" applyAlignment="1">
      <alignment horizontal="center" vertical="center" wrapText="1"/>
    </xf>
    <xf numFmtId="0" fontId="2" fillId="0" borderId="0" xfId="55" applyFont="1">
      <alignment vertical="center"/>
    </xf>
    <xf numFmtId="0" fontId="32" fillId="0" borderId="0" xfId="55" applyFont="1">
      <alignment vertical="center"/>
    </xf>
    <xf numFmtId="49" fontId="22" fillId="0" borderId="14" xfId="55" applyNumberFormat="1" applyFont="1" applyBorder="1" applyAlignment="1">
      <alignment horizontal="center" vertical="center"/>
    </xf>
    <xf numFmtId="0" fontId="33" fillId="0" borderId="14" xfId="53" applyFont="1" applyBorder="1" applyAlignment="1">
      <alignment horizontal="center"/>
    </xf>
    <xf numFmtId="2" fontId="33" fillId="0" borderId="14" xfId="53" applyNumberFormat="1" applyFont="1" applyBorder="1" applyAlignment="1">
      <alignment horizontal="center"/>
    </xf>
    <xf numFmtId="2" fontId="33" fillId="0" borderId="14" xfId="55" applyNumberFormat="1" applyFont="1" applyBorder="1" applyAlignment="1">
      <alignment horizontal="center" vertical="center"/>
    </xf>
    <xf numFmtId="49" fontId="22" fillId="0" borderId="14" xfId="55" applyNumberFormat="1" applyFont="1" applyFill="1" applyBorder="1" applyAlignment="1">
      <alignment horizontal="center" vertical="center"/>
    </xf>
    <xf numFmtId="2" fontId="34" fillId="0" borderId="14" xfId="53" applyNumberFormat="1" applyFont="1" applyBorder="1" applyAlignment="1">
      <alignment horizontal="center"/>
    </xf>
    <xf numFmtId="0" fontId="2" fillId="0" borderId="0" xfId="55" applyFont="1" applyAlignment="1">
      <alignment horizontal="centerContinuous" vertical="center" wrapText="1"/>
    </xf>
    <xf numFmtId="0" fontId="2" fillId="0" borderId="0" xfId="55" applyFont="1" applyAlignment="1">
      <alignment horizontal="centerContinuous" vertical="center"/>
    </xf>
    <xf numFmtId="2" fontId="35" fillId="0" borderId="14" xfId="53" applyNumberFormat="1" applyFont="1" applyBorder="1" applyAlignment="1">
      <alignment horizontal="center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41B-4ED5-B360-D6F7E336AD72}"/>
              </c:ext>
            </c:extLst>
          </c:dPt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'오염원(하수)'!$E$2:$E$15</c:f>
              <c:numCache>
                <c:formatCode>0.00</c:formatCode>
                <c:ptCount val="14"/>
                <c:pt idx="0">
                  <c:v>5.16</c:v>
                </c:pt>
                <c:pt idx="1">
                  <c:v>-0.37</c:v>
                </c:pt>
                <c:pt idx="2">
                  <c:v>-3.82</c:v>
                </c:pt>
                <c:pt idx="3">
                  <c:v>0.65</c:v>
                </c:pt>
                <c:pt idx="4">
                  <c:v>3.84</c:v>
                </c:pt>
                <c:pt idx="5">
                  <c:v>4.66</c:v>
                </c:pt>
                <c:pt idx="6">
                  <c:v>3.65</c:v>
                </c:pt>
                <c:pt idx="7">
                  <c:v>4.01</c:v>
                </c:pt>
                <c:pt idx="8">
                  <c:v>-0.53</c:v>
                </c:pt>
                <c:pt idx="9">
                  <c:v>1.42</c:v>
                </c:pt>
                <c:pt idx="10">
                  <c:v>1.05</c:v>
                </c:pt>
                <c:pt idx="11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AC-4DC2-830B-630DA3BBDA0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'오염원(하수)'!$F$2:$F$15</c:f>
              <c:numCache>
                <c:formatCode>0.00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AC-4DC2-830B-630DA3BBD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A-4F0D-A8F1-563979FDF339}"/>
              </c:ext>
            </c:extLst>
          </c:dPt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'오염원(퇴비)'!$E$2:$E$9</c:f>
              <c:numCache>
                <c:formatCode>0.00</c:formatCode>
                <c:ptCount val="8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5.27</c:v>
                </c:pt>
                <c:pt idx="5">
                  <c:v>-0.67</c:v>
                </c:pt>
                <c:pt idx="6">
                  <c:v>1.3149999999999999</c:v>
                </c:pt>
                <c:pt idx="7">
                  <c:v>4.7449999999999992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A-4F0D-A8F1-563979FDF3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'오염원(퇴비)'!$F$2:$F$9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DA-4F0D-A8F1-563979FDF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67-4626-AB2C-3BB788F028FB}"/>
              </c:ext>
            </c:extLst>
          </c:dPt>
          <c:xVal>
            <c:numRef>
              <c:f>'오염원(비료)'!$D$2:$D$3</c:f>
              <c:numCache>
                <c:formatCode>0.00</c:formatCode>
                <c:ptCount val="2"/>
                <c:pt idx="0">
                  <c:v>0.63</c:v>
                </c:pt>
                <c:pt idx="1">
                  <c:v>1.1000000000000001</c:v>
                </c:pt>
              </c:numCache>
            </c:numRef>
          </c:xVal>
          <c:yVal>
            <c:numRef>
              <c:f>'오염원(비료)'!$E$2:$E$3</c:f>
              <c:numCache>
                <c:formatCode>0.00</c:formatCode>
                <c:ptCount val="2"/>
                <c:pt idx="0">
                  <c:v>10.72</c:v>
                </c:pt>
                <c:pt idx="1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7-4626-AB2C-3BB788F0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3C-46A5-B283-1B06A3CF56CF}"/>
              </c:ext>
            </c:extLst>
          </c:dPt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'오염원(강우)'!$E$2:$E$4</c:f>
              <c:numCache>
                <c:formatCode>0.00</c:formatCode>
                <c:ptCount val="3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3C-46A5-B283-1B06A3CF56C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'오염원(강우)'!$F$2:$F$4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C-46A5-B283-1B06A3CF5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5A-4051-A4E7-116FF7A97C86}"/>
              </c:ext>
            </c:extLst>
          </c:dPt>
          <c:xVal>
            <c:numRef>
              <c:f>'오염원(토양_산림 CASE1)'!$D$2:$D$11</c:f>
              <c:numCache>
                <c:formatCode>0.00</c:formatCode>
                <c:ptCount val="10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</c:numCache>
            </c:numRef>
          </c:xVal>
          <c:yVal>
            <c:numRef>
              <c:f>'오염원(토양_산림 CASE1)'!$E$2:$E$11</c:f>
              <c:numCache>
                <c:formatCode>0.00</c:formatCode>
                <c:ptCount val="10"/>
                <c:pt idx="0">
                  <c:v>8.9700000000000006</c:v>
                </c:pt>
                <c:pt idx="1">
                  <c:v>8.43</c:v>
                </c:pt>
                <c:pt idx="2">
                  <c:v>7.65</c:v>
                </c:pt>
                <c:pt idx="3">
                  <c:v>7.29</c:v>
                </c:pt>
                <c:pt idx="4">
                  <c:v>4.1099999999999994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5A-4051-A4E7-116FF7A97C8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 CASE1)'!$D$2:$D$11</c:f>
              <c:numCache>
                <c:formatCode>0.00</c:formatCode>
                <c:ptCount val="10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</c:numCache>
            </c:numRef>
          </c:xVal>
          <c:yVal>
            <c:numRef>
              <c:f>'오염원(토양_산림 CASE1)'!$F$2:$F$11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5A-4051-A4E7-116FF7A97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FC-47CF-A3D4-91EE14908C30}"/>
              </c:ext>
            </c:extLst>
          </c:dPt>
          <c:xVal>
            <c:numRef>
              <c:f>'오염원(토양_산림 CASE2)'!$D$2:$D$11</c:f>
              <c:numCache>
                <c:formatCode>0.00</c:formatCode>
                <c:ptCount val="10"/>
                <c:pt idx="0">
                  <c:v>4.34</c:v>
                </c:pt>
                <c:pt idx="1">
                  <c:v>2.98</c:v>
                </c:pt>
                <c:pt idx="2">
                  <c:v>0.92</c:v>
                </c:pt>
                <c:pt idx="3">
                  <c:v>2.36</c:v>
                </c:pt>
                <c:pt idx="4">
                  <c:v>1.86</c:v>
                </c:pt>
              </c:numCache>
            </c:numRef>
          </c:xVal>
          <c:yVal>
            <c:numRef>
              <c:f>'오염원(토양_산림 CASE2)'!$E$2:$E$11</c:f>
              <c:numCache>
                <c:formatCode>0.00</c:formatCode>
                <c:ptCount val="10"/>
                <c:pt idx="0">
                  <c:v>0.88</c:v>
                </c:pt>
                <c:pt idx="1">
                  <c:v>0.23</c:v>
                </c:pt>
                <c:pt idx="2">
                  <c:v>0.08</c:v>
                </c:pt>
                <c:pt idx="3">
                  <c:v>-0.6</c:v>
                </c:pt>
                <c:pt idx="4">
                  <c:v>-1.83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FC-47CF-A3D4-91EE14908C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 CASE2)'!$D$2:$D$11</c:f>
              <c:numCache>
                <c:formatCode>0.00</c:formatCode>
                <c:ptCount val="10"/>
                <c:pt idx="0">
                  <c:v>4.34</c:v>
                </c:pt>
                <c:pt idx="1">
                  <c:v>2.98</c:v>
                </c:pt>
                <c:pt idx="2">
                  <c:v>0.92</c:v>
                </c:pt>
                <c:pt idx="3">
                  <c:v>2.36</c:v>
                </c:pt>
                <c:pt idx="4">
                  <c:v>1.86</c:v>
                </c:pt>
              </c:numCache>
            </c:numRef>
          </c:xVal>
          <c:yVal>
            <c:numRef>
              <c:f>'오염원(토양_산림 CASE2)'!$F$2:$F$11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FC-47CF-A3D4-91EE14908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91-4E58-A3F2-8CB1BF834A41}"/>
              </c:ext>
            </c:extLst>
          </c:dPt>
          <c:xVal>
            <c:numRef>
              <c:f>'오염원(토양_산림 CASE3)'!$D$2:$D$11</c:f>
              <c:numCache>
                <c:formatCode>0.00</c:formatCode>
                <c:ptCount val="10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  <c:pt idx="5">
                  <c:v>4.34</c:v>
                </c:pt>
                <c:pt idx="6">
                  <c:v>2.98</c:v>
                </c:pt>
                <c:pt idx="7">
                  <c:v>0.92</c:v>
                </c:pt>
                <c:pt idx="8">
                  <c:v>2.36</c:v>
                </c:pt>
                <c:pt idx="9">
                  <c:v>1.86</c:v>
                </c:pt>
              </c:numCache>
            </c:numRef>
          </c:xVal>
          <c:yVal>
            <c:numRef>
              <c:f>'오염원(토양_산림 CASE3)'!$E$2:$E$11</c:f>
              <c:numCache>
                <c:formatCode>0.00</c:formatCode>
                <c:ptCount val="10"/>
                <c:pt idx="0">
                  <c:v>8.9700000000000006</c:v>
                </c:pt>
                <c:pt idx="1">
                  <c:v>8.43</c:v>
                </c:pt>
                <c:pt idx="2">
                  <c:v>7.65</c:v>
                </c:pt>
                <c:pt idx="3">
                  <c:v>7.29</c:v>
                </c:pt>
                <c:pt idx="4">
                  <c:v>4.1099999999999994</c:v>
                </c:pt>
                <c:pt idx="5">
                  <c:v>0.88</c:v>
                </c:pt>
                <c:pt idx="6">
                  <c:v>0.23</c:v>
                </c:pt>
                <c:pt idx="7">
                  <c:v>0.08</c:v>
                </c:pt>
                <c:pt idx="8">
                  <c:v>-0.6</c:v>
                </c:pt>
                <c:pt idx="9">
                  <c:v>-1.83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CA-4A3E-8A51-9758093CA69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 CASE3)'!$D$2:$D$11</c:f>
              <c:numCache>
                <c:formatCode>0.00</c:formatCode>
                <c:ptCount val="10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  <c:pt idx="5">
                  <c:v>4.34</c:v>
                </c:pt>
                <c:pt idx="6">
                  <c:v>2.98</c:v>
                </c:pt>
                <c:pt idx="7">
                  <c:v>0.92</c:v>
                </c:pt>
                <c:pt idx="8">
                  <c:v>2.36</c:v>
                </c:pt>
                <c:pt idx="9">
                  <c:v>1.86</c:v>
                </c:pt>
              </c:numCache>
            </c:numRef>
          </c:xVal>
          <c:yVal>
            <c:numRef>
              <c:f>'오염원(토양_산림 CASE3)'!$F$2:$F$11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CA-4A3E-8A51-9758093CA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15-4F98-9C33-1E760D821FF6}"/>
              </c:ext>
            </c:extLst>
          </c:dPt>
          <c:xVal>
            <c:numRef>
              <c:f>'오염원(비료)_자료인용, 무기질'!$D$2:$D$20</c:f>
              <c:numCache>
                <c:formatCode>0.00</c:formatCode>
                <c:ptCount val="19"/>
                <c:pt idx="0">
                  <c:v>3.8</c:v>
                </c:pt>
                <c:pt idx="1">
                  <c:v>5.3</c:v>
                </c:pt>
                <c:pt idx="2">
                  <c:v>6.2</c:v>
                </c:pt>
                <c:pt idx="3">
                  <c:v>3.9</c:v>
                </c:pt>
                <c:pt idx="4">
                  <c:v>5.6</c:v>
                </c:pt>
                <c:pt idx="5">
                  <c:v>4.7</c:v>
                </c:pt>
                <c:pt idx="6">
                  <c:v>0.5</c:v>
                </c:pt>
                <c:pt idx="7">
                  <c:v>0.9</c:v>
                </c:pt>
                <c:pt idx="8">
                  <c:v>1.7</c:v>
                </c:pt>
                <c:pt idx="9">
                  <c:v>0.4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-0.9</c:v>
                </c:pt>
                <c:pt idx="14">
                  <c:v>1</c:v>
                </c:pt>
                <c:pt idx="15">
                  <c:v>3.8</c:v>
                </c:pt>
                <c:pt idx="16">
                  <c:v>-0.4</c:v>
                </c:pt>
                <c:pt idx="17">
                  <c:v>-1.1000000000000001</c:v>
                </c:pt>
                <c:pt idx="18">
                  <c:v>7.6</c:v>
                </c:pt>
              </c:numCache>
            </c:numRef>
          </c:xVal>
          <c:yVal>
            <c:numRef>
              <c:f>'오염원(비료)_자료인용, 무기질'!$E$2:$E$20</c:f>
              <c:numCache>
                <c:formatCode>0.00</c:formatCode>
                <c:ptCount val="19"/>
                <c:pt idx="0">
                  <c:v>18.899999999999999</c:v>
                </c:pt>
                <c:pt idx="1">
                  <c:v>16.5</c:v>
                </c:pt>
                <c:pt idx="2">
                  <c:v>17.600000000000001</c:v>
                </c:pt>
                <c:pt idx="3">
                  <c:v>17.3</c:v>
                </c:pt>
                <c:pt idx="4">
                  <c:v>21.7</c:v>
                </c:pt>
                <c:pt idx="5">
                  <c:v>19</c:v>
                </c:pt>
                <c:pt idx="6">
                  <c:v>22.7</c:v>
                </c:pt>
                <c:pt idx="7">
                  <c:v>21.8</c:v>
                </c:pt>
                <c:pt idx="8">
                  <c:v>22.6</c:v>
                </c:pt>
                <c:pt idx="9">
                  <c:v>21.9</c:v>
                </c:pt>
                <c:pt idx="10">
                  <c:v>19</c:v>
                </c:pt>
                <c:pt idx="11">
                  <c:v>20.9</c:v>
                </c:pt>
                <c:pt idx="12">
                  <c:v>20.399999999999999</c:v>
                </c:pt>
                <c:pt idx="13">
                  <c:v>15.1</c:v>
                </c:pt>
                <c:pt idx="14">
                  <c:v>22.5</c:v>
                </c:pt>
                <c:pt idx="15">
                  <c:v>16.5</c:v>
                </c:pt>
                <c:pt idx="16">
                  <c:v>18.899999999999999</c:v>
                </c:pt>
                <c:pt idx="17">
                  <c:v>14.1</c:v>
                </c:pt>
                <c:pt idx="18">
                  <c:v>19.7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15-4F98-9C33-1E760D821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6B-4C02-8E05-9DCD9A74FF91}"/>
              </c:ext>
            </c:extLst>
          </c:dPt>
          <c:xVal>
            <c:numRef>
              <c:f>'오염원(비료)_자료인용, 유기질'!$D$2:$D$20</c:f>
              <c:numCache>
                <c:formatCode>0.00</c:formatCode>
                <c:ptCount val="19"/>
                <c:pt idx="0">
                  <c:v>20.399999999999999</c:v>
                </c:pt>
                <c:pt idx="1">
                  <c:v>-0.6</c:v>
                </c:pt>
                <c:pt idx="2">
                  <c:v>21.7</c:v>
                </c:pt>
                <c:pt idx="3">
                  <c:v>18.8</c:v>
                </c:pt>
                <c:pt idx="4">
                  <c:v>15</c:v>
                </c:pt>
                <c:pt idx="5">
                  <c:v>15.7</c:v>
                </c:pt>
                <c:pt idx="6">
                  <c:v>10.9</c:v>
                </c:pt>
                <c:pt idx="7">
                  <c:v>17.2</c:v>
                </c:pt>
                <c:pt idx="8">
                  <c:v>23.2</c:v>
                </c:pt>
                <c:pt idx="9">
                  <c:v>21.7</c:v>
                </c:pt>
                <c:pt idx="10">
                  <c:v>2.1</c:v>
                </c:pt>
                <c:pt idx="11">
                  <c:v>7.5</c:v>
                </c:pt>
                <c:pt idx="12">
                  <c:v>24.4</c:v>
                </c:pt>
                <c:pt idx="13">
                  <c:v>11.5</c:v>
                </c:pt>
                <c:pt idx="14">
                  <c:v>24</c:v>
                </c:pt>
                <c:pt idx="15">
                  <c:v>-1.2</c:v>
                </c:pt>
                <c:pt idx="16">
                  <c:v>12.2</c:v>
                </c:pt>
                <c:pt idx="17">
                  <c:v>22.6</c:v>
                </c:pt>
                <c:pt idx="18">
                  <c:v>17.7</c:v>
                </c:pt>
              </c:numCache>
            </c:numRef>
          </c:xVal>
          <c:yVal>
            <c:numRef>
              <c:f>'오염원(비료)_자료인용, 유기질'!$E$2:$E$20</c:f>
              <c:numCache>
                <c:formatCode>0.00</c:formatCode>
                <c:ptCount val="19"/>
                <c:pt idx="0">
                  <c:v>7.4</c:v>
                </c:pt>
                <c:pt idx="1">
                  <c:v>8</c:v>
                </c:pt>
                <c:pt idx="2">
                  <c:v>7.4</c:v>
                </c:pt>
                <c:pt idx="3">
                  <c:v>8.8000000000000007</c:v>
                </c:pt>
                <c:pt idx="4">
                  <c:v>11</c:v>
                </c:pt>
                <c:pt idx="5">
                  <c:v>7.1</c:v>
                </c:pt>
                <c:pt idx="6">
                  <c:v>1.6</c:v>
                </c:pt>
                <c:pt idx="7">
                  <c:v>1</c:v>
                </c:pt>
                <c:pt idx="8">
                  <c:v>14.4</c:v>
                </c:pt>
                <c:pt idx="9">
                  <c:v>3.5</c:v>
                </c:pt>
                <c:pt idx="10">
                  <c:v>4.4000000000000004</c:v>
                </c:pt>
                <c:pt idx="11">
                  <c:v>-4</c:v>
                </c:pt>
                <c:pt idx="12">
                  <c:v>10.5</c:v>
                </c:pt>
                <c:pt idx="13">
                  <c:v>14.1</c:v>
                </c:pt>
                <c:pt idx="14">
                  <c:v>7.6</c:v>
                </c:pt>
                <c:pt idx="15">
                  <c:v>4.4000000000000004</c:v>
                </c:pt>
                <c:pt idx="16">
                  <c:v>5.4</c:v>
                </c:pt>
                <c:pt idx="17">
                  <c:v>12.5</c:v>
                </c:pt>
                <c:pt idx="18">
                  <c:v>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6B-4C02-8E05-9DCD9A74F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B4-42D5-9AAD-05EA4E9878F2}"/>
              </c:ext>
            </c:extLst>
          </c:dPt>
          <c:xVal>
            <c:numRef>
              <c:f>'오염원(비료)_자료인용, 식물성원료'!$D$2:$D$20</c:f>
              <c:numCache>
                <c:formatCode>0.00</c:formatCode>
                <c:ptCount val="19"/>
                <c:pt idx="0">
                  <c:v>8</c:v>
                </c:pt>
                <c:pt idx="1">
                  <c:v>10.199999999999999</c:v>
                </c:pt>
                <c:pt idx="2">
                  <c:v>2</c:v>
                </c:pt>
                <c:pt idx="3">
                  <c:v>14.6</c:v>
                </c:pt>
                <c:pt idx="4">
                  <c:v>17.8</c:v>
                </c:pt>
                <c:pt idx="5">
                  <c:v>15.4</c:v>
                </c:pt>
                <c:pt idx="6">
                  <c:v>13.2</c:v>
                </c:pt>
                <c:pt idx="7">
                  <c:v>7.6</c:v>
                </c:pt>
                <c:pt idx="8">
                  <c:v>0.7</c:v>
                </c:pt>
                <c:pt idx="9">
                  <c:v>15.3</c:v>
                </c:pt>
                <c:pt idx="10">
                  <c:v>8.6999999999999993</c:v>
                </c:pt>
                <c:pt idx="11">
                  <c:v>12.5</c:v>
                </c:pt>
                <c:pt idx="12">
                  <c:v>21.6</c:v>
                </c:pt>
                <c:pt idx="13">
                  <c:v>12</c:v>
                </c:pt>
                <c:pt idx="14">
                  <c:v>15.4</c:v>
                </c:pt>
                <c:pt idx="15">
                  <c:v>6.8</c:v>
                </c:pt>
                <c:pt idx="16">
                  <c:v>1.8</c:v>
                </c:pt>
                <c:pt idx="17">
                  <c:v>15.5</c:v>
                </c:pt>
                <c:pt idx="18">
                  <c:v>15.8</c:v>
                </c:pt>
              </c:numCache>
            </c:numRef>
          </c:xVal>
          <c:yVal>
            <c:numRef>
              <c:f>'오염원(비료)_자료인용, 식물성원료'!$E$2:$E$20</c:f>
              <c:numCache>
                <c:formatCode>0.00</c:formatCode>
                <c:ptCount val="19"/>
                <c:pt idx="0">
                  <c:v>19.399999999999999</c:v>
                </c:pt>
                <c:pt idx="1">
                  <c:v>11.7</c:v>
                </c:pt>
                <c:pt idx="2">
                  <c:v>19.399999999999999</c:v>
                </c:pt>
                <c:pt idx="3">
                  <c:v>9.4</c:v>
                </c:pt>
                <c:pt idx="4">
                  <c:v>17.7</c:v>
                </c:pt>
                <c:pt idx="5">
                  <c:v>11</c:v>
                </c:pt>
                <c:pt idx="6">
                  <c:v>18.3</c:v>
                </c:pt>
                <c:pt idx="7">
                  <c:v>19.600000000000001</c:v>
                </c:pt>
                <c:pt idx="8">
                  <c:v>10.6</c:v>
                </c:pt>
                <c:pt idx="9">
                  <c:v>12.3</c:v>
                </c:pt>
                <c:pt idx="10">
                  <c:v>12.7</c:v>
                </c:pt>
                <c:pt idx="11">
                  <c:v>13.8</c:v>
                </c:pt>
                <c:pt idx="12">
                  <c:v>12.4</c:v>
                </c:pt>
                <c:pt idx="13">
                  <c:v>31</c:v>
                </c:pt>
                <c:pt idx="14">
                  <c:v>1.8</c:v>
                </c:pt>
                <c:pt idx="15">
                  <c:v>24.8</c:v>
                </c:pt>
                <c:pt idx="16">
                  <c:v>21.1</c:v>
                </c:pt>
                <c:pt idx="17">
                  <c:v>17.3</c:v>
                </c:pt>
                <c:pt idx="18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B4-42D5-9AAD-05EA4E987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C28" sqref="C28"/>
    </sheetView>
  </sheetViews>
  <sheetFormatPr defaultColWidth="9" defaultRowHeight="16.5" x14ac:dyDescent="0.3"/>
  <cols>
    <col min="1" max="1" width="27.125" style="3" bestFit="1" customWidth="1"/>
    <col min="2" max="2" width="11.25" style="3" bestFit="1" customWidth="1"/>
    <col min="3" max="3" width="42.625" style="3" bestFit="1" customWidth="1"/>
    <col min="4" max="4" width="12.25" style="3" customWidth="1"/>
    <col min="5" max="6" width="12" style="3" customWidth="1"/>
    <col min="7" max="16384" width="9" style="3"/>
  </cols>
  <sheetData>
    <row r="1" spans="1:16" ht="30.75" customHeight="1" x14ac:dyDescent="0.3">
      <c r="A1" s="1" t="s">
        <v>37</v>
      </c>
      <c r="B1" s="1" t="s">
        <v>38</v>
      </c>
      <c r="C1" s="1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P1" s="4"/>
    </row>
    <row r="2" spans="1:16" ht="20.100000000000001" customHeight="1" x14ac:dyDescent="0.35">
      <c r="A2" s="9" t="s">
        <v>34</v>
      </c>
      <c r="B2" s="6" t="s">
        <v>33</v>
      </c>
      <c r="C2" s="6" t="s">
        <v>0</v>
      </c>
      <c r="D2" s="7">
        <v>16.52</v>
      </c>
      <c r="E2" s="7">
        <v>5.16</v>
      </c>
      <c r="G2" s="8"/>
    </row>
    <row r="3" spans="1:16" ht="20.100000000000001" customHeight="1" x14ac:dyDescent="0.35">
      <c r="A3" s="9" t="s">
        <v>1</v>
      </c>
      <c r="B3" s="6" t="s">
        <v>2</v>
      </c>
      <c r="C3" s="6" t="s">
        <v>14</v>
      </c>
      <c r="D3" s="7">
        <v>15.92</v>
      </c>
      <c r="E3" s="7">
        <v>-0.37</v>
      </c>
      <c r="F3" s="8"/>
      <c r="G3" s="8"/>
    </row>
    <row r="4" spans="1:16" ht="20.100000000000001" customHeight="1" x14ac:dyDescent="0.35">
      <c r="A4" s="9" t="s">
        <v>9</v>
      </c>
      <c r="B4" s="6"/>
      <c r="C4" s="6" t="s">
        <v>72</v>
      </c>
      <c r="D4" s="7">
        <v>15.17</v>
      </c>
      <c r="E4" s="7">
        <v>-3.82</v>
      </c>
      <c r="F4" s="8"/>
      <c r="G4" s="8"/>
    </row>
    <row r="5" spans="1:16" ht="20.100000000000001" customHeight="1" x14ac:dyDescent="0.35">
      <c r="A5" s="9" t="s">
        <v>4</v>
      </c>
      <c r="B5" s="6"/>
      <c r="C5" s="6" t="s">
        <v>71</v>
      </c>
      <c r="D5" s="7">
        <v>14.62</v>
      </c>
      <c r="E5" s="7">
        <v>0.65</v>
      </c>
      <c r="F5" s="8"/>
      <c r="G5" s="8"/>
    </row>
    <row r="6" spans="1:16" ht="20.100000000000001" customHeight="1" x14ac:dyDescent="0.35">
      <c r="A6" s="9" t="s">
        <v>35</v>
      </c>
      <c r="B6" s="6" t="s">
        <v>33</v>
      </c>
      <c r="C6" s="6" t="s">
        <v>36</v>
      </c>
      <c r="D6" s="7">
        <v>14.07</v>
      </c>
      <c r="E6" s="7">
        <v>3.84</v>
      </c>
      <c r="G6" s="8"/>
    </row>
    <row r="7" spans="1:16" ht="20.100000000000001" customHeight="1" x14ac:dyDescent="0.35">
      <c r="A7" s="5" t="s">
        <v>60</v>
      </c>
      <c r="B7" s="6" t="s">
        <v>3</v>
      </c>
      <c r="C7" s="6" t="s">
        <v>61</v>
      </c>
      <c r="D7" s="7">
        <v>13.38</v>
      </c>
      <c r="E7" s="7">
        <v>4.66</v>
      </c>
      <c r="G7" s="8"/>
    </row>
    <row r="8" spans="1:16" ht="20.100000000000001" customHeight="1" x14ac:dyDescent="0.35">
      <c r="A8" s="5" t="s">
        <v>35</v>
      </c>
      <c r="B8" s="6" t="s">
        <v>33</v>
      </c>
      <c r="C8" s="6" t="s">
        <v>36</v>
      </c>
      <c r="D8" s="7">
        <v>12.44</v>
      </c>
      <c r="E8" s="7">
        <v>3.65</v>
      </c>
      <c r="F8" s="8"/>
      <c r="G8" s="8"/>
    </row>
    <row r="9" spans="1:16" ht="20.100000000000001" customHeight="1" x14ac:dyDescent="0.35">
      <c r="A9" s="9" t="s">
        <v>35</v>
      </c>
      <c r="B9" s="6" t="s">
        <v>33</v>
      </c>
      <c r="C9" s="6" t="s">
        <v>36</v>
      </c>
      <c r="D9" s="7">
        <v>12.27</v>
      </c>
      <c r="E9" s="7">
        <v>4.01</v>
      </c>
      <c r="F9" s="8"/>
      <c r="G9" s="8"/>
    </row>
    <row r="10" spans="1:16" ht="20.100000000000001" customHeight="1" x14ac:dyDescent="0.35">
      <c r="A10" s="9" t="s">
        <v>63</v>
      </c>
      <c r="B10" s="6" t="s">
        <v>3</v>
      </c>
      <c r="C10" s="6" t="s">
        <v>62</v>
      </c>
      <c r="D10" s="7">
        <v>12.15</v>
      </c>
      <c r="E10" s="7">
        <v>-0.53</v>
      </c>
      <c r="F10" s="8"/>
      <c r="G10" s="8"/>
    </row>
    <row r="11" spans="1:16" ht="20.100000000000001" customHeight="1" x14ac:dyDescent="0.35">
      <c r="A11" s="9" t="s">
        <v>10</v>
      </c>
      <c r="B11" s="6"/>
      <c r="C11" s="6" t="s">
        <v>73</v>
      </c>
      <c r="D11" s="7">
        <v>12.14</v>
      </c>
      <c r="E11" s="7">
        <v>1.42</v>
      </c>
      <c r="F11" s="8"/>
      <c r="G11" s="8"/>
    </row>
    <row r="12" spans="1:16" ht="20.100000000000001" customHeight="1" x14ac:dyDescent="0.35">
      <c r="A12" s="9" t="s">
        <v>10</v>
      </c>
      <c r="B12" s="6" t="s">
        <v>2</v>
      </c>
      <c r="C12" s="6" t="s">
        <v>11</v>
      </c>
      <c r="D12" s="7">
        <v>10.89</v>
      </c>
      <c r="E12" s="7">
        <v>1.05</v>
      </c>
      <c r="F12" s="8"/>
      <c r="G12" s="8"/>
    </row>
    <row r="13" spans="1:16" ht="20.100000000000001" customHeight="1" x14ac:dyDescent="0.35">
      <c r="A13" s="9" t="s">
        <v>69</v>
      </c>
      <c r="B13" s="6"/>
      <c r="C13" s="6" t="s">
        <v>70</v>
      </c>
      <c r="D13" s="7">
        <v>10.72</v>
      </c>
      <c r="E13" s="7">
        <v>3.81</v>
      </c>
      <c r="F13" s="8"/>
      <c r="G13" s="8"/>
    </row>
    <row r="14" spans="1:16" ht="20.100000000000001" customHeight="1" x14ac:dyDescent="0.35">
      <c r="A14" s="5"/>
      <c r="B14" s="6"/>
      <c r="C14" s="6"/>
      <c r="D14" s="7"/>
      <c r="E14" s="7"/>
      <c r="F14" s="8"/>
      <c r="G14" s="8"/>
    </row>
    <row r="15" spans="1:16" ht="20.100000000000001" customHeight="1" x14ac:dyDescent="0.35">
      <c r="A15" s="9"/>
      <c r="B15" s="6"/>
      <c r="C15" s="6"/>
      <c r="D15" s="7"/>
      <c r="E15" s="7"/>
      <c r="F15" s="8"/>
      <c r="G15" s="8"/>
    </row>
    <row r="16" spans="1:16" ht="20.100000000000001" customHeight="1" x14ac:dyDescent="0.35">
      <c r="A16" s="5"/>
      <c r="B16" s="6"/>
      <c r="C16" s="6"/>
      <c r="D16" s="7"/>
      <c r="E16" s="7"/>
      <c r="F16" s="8"/>
      <c r="G16" s="8"/>
    </row>
    <row r="17" spans="1:7" ht="20.100000000000001" customHeight="1" x14ac:dyDescent="0.35">
      <c r="A17" s="9"/>
      <c r="B17" s="6"/>
      <c r="C17" s="6" t="s">
        <v>74</v>
      </c>
      <c r="D17" s="7">
        <f>AVERAGE(D2:D13)</f>
        <v>13.3575</v>
      </c>
      <c r="E17" s="7">
        <f>AVERAGE(E2:E13)</f>
        <v>1.9608333333333334</v>
      </c>
      <c r="F17" s="8"/>
      <c r="G17" s="8"/>
    </row>
    <row r="18" spans="1:7" ht="20.100000000000001" customHeight="1" x14ac:dyDescent="0.35">
      <c r="A18" s="9"/>
      <c r="B18" s="6"/>
      <c r="C18" s="6" t="s">
        <v>75</v>
      </c>
      <c r="D18" s="7">
        <f>_xlfn.STDEV.S(D2:D13)</f>
        <v>1.9060865429174276</v>
      </c>
      <c r="E18" s="7">
        <f>_xlfn.STDEV.S(E2:E13)</f>
        <v>2.6869836360882551</v>
      </c>
      <c r="F18" s="8"/>
      <c r="G18" s="8"/>
    </row>
    <row r="19" spans="1:7" ht="20.100000000000001" customHeight="1" x14ac:dyDescent="0.35">
      <c r="A19" s="5"/>
      <c r="B19" s="6"/>
      <c r="C19" s="6"/>
      <c r="D19" s="7"/>
      <c r="E19" s="7"/>
      <c r="F19" s="8"/>
      <c r="G19" s="8"/>
    </row>
    <row r="20" spans="1:7" ht="20.100000000000001" customHeight="1" x14ac:dyDescent="0.35">
      <c r="A20" s="5"/>
      <c r="B20" s="6"/>
      <c r="C20" s="6"/>
      <c r="D20" s="7"/>
      <c r="E20" s="7"/>
      <c r="F20" s="8"/>
      <c r="G20" s="8"/>
    </row>
    <row r="21" spans="1:7" ht="20.100000000000001" customHeight="1" x14ac:dyDescent="0.35">
      <c r="A21" s="5"/>
      <c r="B21" s="6"/>
      <c r="C21" s="6"/>
      <c r="D21" s="7"/>
      <c r="E21" s="7"/>
      <c r="F21" s="8"/>
      <c r="G21" s="8"/>
    </row>
    <row r="22" spans="1:7" ht="20.100000000000001" customHeight="1" x14ac:dyDescent="0.35">
      <c r="A22" s="5"/>
      <c r="B22" s="6"/>
      <c r="C22" s="6"/>
      <c r="D22" s="7"/>
      <c r="E22" s="7"/>
      <c r="F22" s="8"/>
      <c r="G22" s="8"/>
    </row>
  </sheetData>
  <autoFilter ref="A1:E22">
    <sortState ref="A2:E22">
      <sortCondition descending="1" ref="D1:D22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E17" sqref="E17"/>
    </sheetView>
  </sheetViews>
  <sheetFormatPr defaultColWidth="9" defaultRowHeight="16.5" x14ac:dyDescent="0.3"/>
  <cols>
    <col min="1" max="1" width="27.125" style="3" bestFit="1" customWidth="1"/>
    <col min="2" max="2" width="11.25" style="3" bestFit="1" customWidth="1"/>
    <col min="3" max="3" width="42.625" style="3" bestFit="1" customWidth="1"/>
    <col min="4" max="4" width="12.25" style="3" customWidth="1"/>
    <col min="5" max="6" width="12" style="3" customWidth="1"/>
    <col min="7" max="16384" width="9" style="3"/>
  </cols>
  <sheetData>
    <row r="1" spans="1:16" ht="30.75" customHeight="1" x14ac:dyDescent="0.3">
      <c r="A1" s="1" t="s">
        <v>37</v>
      </c>
      <c r="B1" s="1" t="s">
        <v>38</v>
      </c>
      <c r="C1" s="1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P1" s="4"/>
    </row>
    <row r="2" spans="1:16" ht="20.100000000000001" customHeight="1" x14ac:dyDescent="0.35">
      <c r="A2" s="9" t="s">
        <v>4</v>
      </c>
      <c r="B2" s="6" t="s">
        <v>5</v>
      </c>
      <c r="C2" s="6" t="s">
        <v>6</v>
      </c>
      <c r="D2" s="7">
        <v>17.66</v>
      </c>
      <c r="E2" s="7">
        <v>10.89</v>
      </c>
      <c r="G2" s="8"/>
    </row>
    <row r="3" spans="1:16" ht="20.100000000000001" customHeight="1" x14ac:dyDescent="0.35">
      <c r="A3" s="9" t="s">
        <v>4</v>
      </c>
      <c r="B3" s="6" t="s">
        <v>5</v>
      </c>
      <c r="C3" s="6" t="s">
        <v>6</v>
      </c>
      <c r="D3" s="7">
        <v>18.170000000000002</v>
      </c>
      <c r="E3" s="7">
        <v>9.27</v>
      </c>
      <c r="F3" s="8"/>
      <c r="G3" s="8"/>
    </row>
    <row r="4" spans="1:16" ht="20.100000000000001" customHeight="1" x14ac:dyDescent="0.35">
      <c r="A4" s="9" t="s">
        <v>22</v>
      </c>
      <c r="B4" s="6"/>
      <c r="C4" s="6" t="s">
        <v>29</v>
      </c>
      <c r="D4" s="7">
        <v>15.309999999999999</v>
      </c>
      <c r="E4" s="7">
        <v>3.085</v>
      </c>
      <c r="F4" s="8"/>
      <c r="G4" s="8"/>
    </row>
    <row r="5" spans="1:16" ht="20.100000000000001" customHeight="1" x14ac:dyDescent="0.35">
      <c r="A5" s="9" t="s">
        <v>24</v>
      </c>
      <c r="B5" s="6"/>
      <c r="C5" s="6" t="s">
        <v>30</v>
      </c>
      <c r="D5" s="7">
        <v>19.239999999999998</v>
      </c>
      <c r="E5" s="7">
        <v>8.4600000000000009</v>
      </c>
      <c r="F5" s="8"/>
      <c r="G5" s="8"/>
    </row>
    <row r="6" spans="1:16" ht="20.100000000000001" customHeight="1" x14ac:dyDescent="0.35">
      <c r="A6" s="9" t="s">
        <v>25</v>
      </c>
      <c r="B6" s="6"/>
      <c r="C6" s="6" t="s">
        <v>31</v>
      </c>
      <c r="D6" s="7">
        <v>20.925000000000001</v>
      </c>
      <c r="E6" s="7">
        <v>5.27</v>
      </c>
      <c r="G6" s="8"/>
    </row>
    <row r="7" spans="1:16" ht="20.100000000000001" customHeight="1" x14ac:dyDescent="0.35">
      <c r="A7" s="9" t="s">
        <v>64</v>
      </c>
      <c r="B7" s="6"/>
      <c r="C7" s="6" t="s">
        <v>65</v>
      </c>
      <c r="D7" s="7">
        <v>24.47</v>
      </c>
      <c r="E7" s="7">
        <v>-0.67</v>
      </c>
      <c r="G7" s="8"/>
    </row>
    <row r="8" spans="1:16" ht="20.100000000000001" customHeight="1" x14ac:dyDescent="0.35">
      <c r="A8" s="9" t="s">
        <v>56</v>
      </c>
      <c r="B8" s="6"/>
      <c r="C8" s="6" t="s">
        <v>32</v>
      </c>
      <c r="D8" s="7">
        <v>24.39</v>
      </c>
      <c r="E8" s="7">
        <v>1.3149999999999999</v>
      </c>
      <c r="F8" s="8"/>
      <c r="G8" s="8"/>
    </row>
    <row r="9" spans="1:16" ht="20.100000000000001" customHeight="1" x14ac:dyDescent="0.35">
      <c r="A9" s="9" t="s">
        <v>16</v>
      </c>
      <c r="B9" s="6"/>
      <c r="C9" s="6" t="s">
        <v>15</v>
      </c>
      <c r="D9" s="7">
        <v>18.195</v>
      </c>
      <c r="E9" s="7">
        <v>4.7449999999999992</v>
      </c>
      <c r="F9" s="8"/>
      <c r="G9" s="8"/>
    </row>
    <row r="10" spans="1:16" ht="20.100000000000001" customHeight="1" x14ac:dyDescent="0.35">
      <c r="A10" s="9"/>
      <c r="B10" s="6"/>
      <c r="C10" s="6"/>
      <c r="D10" s="7"/>
      <c r="E10" s="7"/>
      <c r="F10" s="8"/>
      <c r="G10" s="8"/>
    </row>
    <row r="11" spans="1:16" ht="20.100000000000001" customHeight="1" x14ac:dyDescent="0.35">
      <c r="A11" s="9"/>
      <c r="B11" s="6"/>
      <c r="C11" s="6"/>
      <c r="D11" s="7"/>
      <c r="E11" s="7"/>
      <c r="F11" s="8"/>
      <c r="G11" s="8"/>
    </row>
    <row r="12" spans="1:16" ht="20.100000000000001" customHeight="1" x14ac:dyDescent="0.35">
      <c r="A12" s="9"/>
      <c r="B12" s="6"/>
      <c r="C12" s="6"/>
      <c r="D12" s="7"/>
      <c r="E12" s="7"/>
      <c r="F12" s="8"/>
      <c r="G12" s="8"/>
    </row>
    <row r="13" spans="1:16" ht="20.100000000000001" customHeight="1" x14ac:dyDescent="0.35">
      <c r="A13" s="9"/>
      <c r="B13" s="6"/>
      <c r="C13" s="6"/>
      <c r="D13" s="7"/>
      <c r="E13" s="7"/>
      <c r="F13" s="8"/>
      <c r="G13" s="8"/>
    </row>
    <row r="14" spans="1:16" ht="20.100000000000001" customHeight="1" x14ac:dyDescent="0.35">
      <c r="A14" s="9"/>
      <c r="B14" s="6"/>
      <c r="C14" s="6"/>
      <c r="D14" s="7"/>
      <c r="E14" s="7"/>
      <c r="F14" s="8"/>
      <c r="G14" s="8"/>
    </row>
    <row r="15" spans="1:16" ht="20.100000000000001" customHeight="1" x14ac:dyDescent="0.35">
      <c r="A15" s="5"/>
      <c r="B15" s="6"/>
      <c r="C15" s="6" t="s">
        <v>76</v>
      </c>
      <c r="D15" s="7">
        <f>AVERAGE(D2:D9)</f>
        <v>19.794999999999998</v>
      </c>
      <c r="E15" s="7">
        <f>AVERAGE(E2:E9)</f>
        <v>5.2956249999999994</v>
      </c>
      <c r="F15" s="8"/>
      <c r="G15" s="8"/>
    </row>
    <row r="16" spans="1:16" ht="20.100000000000001" customHeight="1" x14ac:dyDescent="0.35">
      <c r="A16" s="5"/>
      <c r="B16" s="6"/>
      <c r="C16" s="6" t="s">
        <v>77</v>
      </c>
      <c r="D16" s="7">
        <f>_xlfn.STDEV.S(D2:D9)</f>
        <v>3.2607766384274761</v>
      </c>
      <c r="E16" s="7">
        <f>_xlfn.STDEV.S(E2:E9)</f>
        <v>4.0307872658009201</v>
      </c>
      <c r="F16" s="8"/>
      <c r="G16" s="8"/>
    </row>
    <row r="17" spans="1:7" ht="20.100000000000001" customHeight="1" x14ac:dyDescent="0.35">
      <c r="A17" s="5"/>
      <c r="B17" s="6"/>
      <c r="C17" s="6"/>
      <c r="D17" s="7"/>
      <c r="E17" s="7"/>
      <c r="F17" s="8"/>
      <c r="G17" s="8"/>
    </row>
    <row r="18" spans="1:7" ht="20.100000000000001" customHeight="1" x14ac:dyDescent="0.35">
      <c r="A18" s="5"/>
      <c r="B18" s="6"/>
      <c r="C18" s="6"/>
      <c r="D18" s="7"/>
      <c r="E18" s="7"/>
      <c r="F18" s="8"/>
      <c r="G18" s="8"/>
    </row>
    <row r="19" spans="1:7" ht="20.100000000000001" customHeight="1" x14ac:dyDescent="0.35">
      <c r="A19" s="5"/>
      <c r="B19" s="6"/>
      <c r="C19" s="6"/>
      <c r="D19" s="7"/>
      <c r="E19" s="7"/>
      <c r="F19" s="8"/>
      <c r="G19" s="8"/>
    </row>
    <row r="20" spans="1:7" ht="20.100000000000001" customHeight="1" x14ac:dyDescent="0.35">
      <c r="A20" s="5"/>
      <c r="B20" s="6"/>
      <c r="C20" s="6"/>
      <c r="D20" s="7"/>
      <c r="E20" s="7"/>
      <c r="F20" s="8"/>
      <c r="G20" s="8"/>
    </row>
    <row r="21" spans="1:7" ht="20.100000000000001" customHeight="1" x14ac:dyDescent="0.35">
      <c r="A21" s="5"/>
      <c r="B21" s="6"/>
      <c r="C21" s="6"/>
      <c r="D21" s="7"/>
      <c r="E21" s="7"/>
      <c r="F21" s="8"/>
      <c r="G21" s="8"/>
    </row>
    <row r="22" spans="1:7" ht="20.100000000000001" customHeight="1" x14ac:dyDescent="0.35">
      <c r="A22" s="5"/>
      <c r="B22" s="6"/>
      <c r="C22" s="6"/>
      <c r="D22" s="7"/>
      <c r="E22" s="7"/>
      <c r="F22" s="8"/>
      <c r="G22" s="8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32" sqref="D32"/>
    </sheetView>
  </sheetViews>
  <sheetFormatPr defaultColWidth="9" defaultRowHeight="16.5" x14ac:dyDescent="0.3"/>
  <cols>
    <col min="1" max="1" width="27.125" style="3" bestFit="1" customWidth="1"/>
    <col min="2" max="2" width="11.25" style="3" bestFit="1" customWidth="1"/>
    <col min="3" max="3" width="42.625" style="3" bestFit="1" customWidth="1"/>
    <col min="4" max="4" width="12.25" style="3" customWidth="1"/>
    <col min="5" max="6" width="12" style="3" customWidth="1"/>
    <col min="7" max="16384" width="9" style="3"/>
  </cols>
  <sheetData>
    <row r="1" spans="1:16" ht="30.75" customHeight="1" x14ac:dyDescent="0.3">
      <c r="A1" s="1" t="s">
        <v>37</v>
      </c>
      <c r="B1" s="1" t="s">
        <v>38</v>
      </c>
      <c r="C1" s="1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P1" s="4"/>
    </row>
    <row r="2" spans="1:16" ht="20.100000000000001" customHeight="1" x14ac:dyDescent="0.35">
      <c r="A2" s="9" t="s">
        <v>26</v>
      </c>
      <c r="B2" s="6" t="s">
        <v>57</v>
      </c>
      <c r="C2" s="6" t="s">
        <v>59</v>
      </c>
      <c r="D2" s="7">
        <v>0.63</v>
      </c>
      <c r="E2" s="7">
        <v>10.72</v>
      </c>
      <c r="G2" s="8"/>
    </row>
    <row r="3" spans="1:16" ht="20.100000000000001" customHeight="1" x14ac:dyDescent="0.35">
      <c r="A3" s="9" t="s">
        <v>27</v>
      </c>
      <c r="B3" s="6" t="s">
        <v>57</v>
      </c>
      <c r="C3" s="6" t="s">
        <v>58</v>
      </c>
      <c r="D3" s="7">
        <v>1.1000000000000001</v>
      </c>
      <c r="E3" s="7">
        <v>18.05</v>
      </c>
      <c r="F3" s="8"/>
      <c r="G3" s="8"/>
    </row>
    <row r="4" spans="1:16" ht="20.100000000000001" customHeight="1" x14ac:dyDescent="0.35">
      <c r="A4" s="9"/>
      <c r="B4" s="6"/>
      <c r="C4" s="6"/>
      <c r="D4" s="7"/>
      <c r="E4" s="7"/>
      <c r="F4" s="8"/>
      <c r="G4" s="8"/>
    </row>
    <row r="5" spans="1:16" ht="20.100000000000001" customHeight="1" x14ac:dyDescent="0.35">
      <c r="A5" s="9"/>
      <c r="B5" s="6"/>
      <c r="C5" s="6"/>
      <c r="D5" s="7"/>
      <c r="E5" s="7"/>
      <c r="F5" s="8"/>
      <c r="G5" s="8"/>
    </row>
    <row r="6" spans="1:16" ht="20.100000000000001" customHeight="1" x14ac:dyDescent="0.35">
      <c r="A6" s="9"/>
      <c r="B6" s="6"/>
      <c r="C6" s="6"/>
      <c r="D6" s="7"/>
      <c r="E6" s="7"/>
      <c r="G6" s="8"/>
    </row>
    <row r="7" spans="1:16" ht="20.100000000000001" customHeight="1" x14ac:dyDescent="0.35">
      <c r="A7" s="9"/>
      <c r="B7" s="6"/>
      <c r="C7" s="6"/>
      <c r="D7" s="7"/>
      <c r="E7" s="7"/>
      <c r="G7" s="8"/>
    </row>
    <row r="8" spans="1:16" ht="20.100000000000001" customHeight="1" x14ac:dyDescent="0.35">
      <c r="A8" s="9"/>
      <c r="B8" s="6"/>
      <c r="C8" s="6" t="s">
        <v>76</v>
      </c>
      <c r="D8" s="7">
        <f>AVERAGE(D2:D3)</f>
        <v>0.86499999999999999</v>
      </c>
      <c r="E8" s="7">
        <f>AVERAGE(E2:E3)</f>
        <v>14.385000000000002</v>
      </c>
      <c r="F8" s="8"/>
      <c r="G8" s="8"/>
    </row>
    <row r="9" spans="1:16" ht="20.100000000000001" customHeight="1" x14ac:dyDescent="0.35">
      <c r="A9" s="9"/>
      <c r="B9" s="6"/>
      <c r="C9" s="6" t="s">
        <v>77</v>
      </c>
      <c r="D9" s="7">
        <f>_xlfn.STDEV.S(D2:D3)</f>
        <v>0.3323401871576776</v>
      </c>
      <c r="E9" s="7">
        <f>_xlfn.STDEV.S(E2:E3)</f>
        <v>5.1830927060973853</v>
      </c>
      <c r="F9" s="8"/>
      <c r="G9" s="8"/>
    </row>
    <row r="10" spans="1:16" ht="20.100000000000001" customHeight="1" x14ac:dyDescent="0.35">
      <c r="A10" s="9"/>
      <c r="B10" s="6"/>
      <c r="C10" s="6"/>
      <c r="D10" s="7"/>
      <c r="E10" s="7"/>
      <c r="F10" s="8"/>
      <c r="G10" s="8"/>
    </row>
    <row r="11" spans="1:16" ht="20.100000000000001" customHeight="1" x14ac:dyDescent="0.35">
      <c r="A11" s="9"/>
      <c r="B11" s="6"/>
      <c r="C11" s="6"/>
      <c r="D11" s="7"/>
      <c r="E11" s="7"/>
      <c r="F11" s="8"/>
      <c r="G11" s="8"/>
    </row>
    <row r="12" spans="1:16" ht="20.100000000000001" customHeight="1" x14ac:dyDescent="0.35">
      <c r="A12" s="9"/>
      <c r="B12" s="6"/>
      <c r="C12" s="6"/>
      <c r="D12" s="7"/>
      <c r="E12" s="7"/>
      <c r="F12" s="8"/>
      <c r="G12" s="8"/>
    </row>
    <row r="13" spans="1:16" ht="20.100000000000001" customHeight="1" x14ac:dyDescent="0.35">
      <c r="A13" s="9"/>
      <c r="B13" s="6"/>
      <c r="C13" s="6"/>
      <c r="D13" s="7"/>
      <c r="E13" s="7"/>
      <c r="F13" s="8"/>
      <c r="G13" s="8"/>
    </row>
    <row r="14" spans="1:16" ht="20.100000000000001" customHeight="1" x14ac:dyDescent="0.35">
      <c r="A14" s="9"/>
      <c r="B14" s="6"/>
      <c r="C14" s="6"/>
      <c r="D14" s="7"/>
      <c r="E14" s="7"/>
      <c r="F14" s="8"/>
      <c r="G14" s="8"/>
    </row>
    <row r="15" spans="1:16" ht="20.100000000000001" customHeight="1" x14ac:dyDescent="0.35">
      <c r="A15" s="5"/>
      <c r="B15" s="6"/>
      <c r="C15" s="6"/>
      <c r="D15" s="7"/>
      <c r="E15" s="7"/>
      <c r="F15" s="8"/>
      <c r="G15" s="8"/>
    </row>
    <row r="16" spans="1:16" ht="20.100000000000001" customHeight="1" x14ac:dyDescent="0.35">
      <c r="A16" s="5"/>
      <c r="B16" s="6"/>
      <c r="C16" s="6"/>
      <c r="D16" s="7"/>
      <c r="E16" s="7"/>
      <c r="F16" s="8"/>
      <c r="G16" s="8"/>
    </row>
    <row r="17" spans="1:7" ht="20.100000000000001" customHeight="1" x14ac:dyDescent="0.35">
      <c r="A17" s="5"/>
      <c r="B17" s="6"/>
      <c r="C17" s="6"/>
      <c r="D17" s="7"/>
      <c r="E17" s="7"/>
      <c r="F17" s="8"/>
      <c r="G17" s="8"/>
    </row>
    <row r="18" spans="1:7" ht="20.100000000000001" customHeight="1" x14ac:dyDescent="0.35">
      <c r="A18" s="5"/>
      <c r="B18" s="6"/>
      <c r="C18" s="6"/>
      <c r="D18" s="7"/>
      <c r="E18" s="7"/>
      <c r="F18" s="8"/>
      <c r="G18" s="8"/>
    </row>
    <row r="19" spans="1:7" ht="20.100000000000001" customHeight="1" x14ac:dyDescent="0.35">
      <c r="A19" s="5"/>
      <c r="B19" s="6"/>
      <c r="C19" s="6"/>
      <c r="D19" s="7"/>
      <c r="E19" s="7"/>
      <c r="F19" s="8"/>
      <c r="G19" s="8"/>
    </row>
    <row r="20" spans="1:7" ht="20.100000000000001" customHeight="1" x14ac:dyDescent="0.35">
      <c r="A20" s="5"/>
      <c r="B20" s="6"/>
      <c r="C20" s="6"/>
      <c r="D20" s="7"/>
      <c r="E20" s="7"/>
      <c r="F20" s="8"/>
      <c r="G20" s="8"/>
    </row>
    <row r="21" spans="1:7" ht="20.100000000000001" customHeight="1" x14ac:dyDescent="0.35">
      <c r="A21" s="5"/>
      <c r="B21" s="6"/>
      <c r="C21" s="6"/>
      <c r="D21" s="7"/>
      <c r="E21" s="7"/>
      <c r="F21" s="8"/>
      <c r="G21" s="8"/>
    </row>
    <row r="22" spans="1:7" ht="20.100000000000001" customHeight="1" x14ac:dyDescent="0.35">
      <c r="A22" s="5"/>
      <c r="B22" s="6"/>
      <c r="C22" s="6"/>
      <c r="D22" s="7"/>
      <c r="E22" s="7"/>
      <c r="F22" s="8"/>
      <c r="G22" s="8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I25" sqref="I25"/>
    </sheetView>
  </sheetViews>
  <sheetFormatPr defaultColWidth="9" defaultRowHeight="16.5" x14ac:dyDescent="0.3"/>
  <cols>
    <col min="1" max="1" width="27.125" style="3" bestFit="1" customWidth="1"/>
    <col min="2" max="2" width="11.25" style="3" bestFit="1" customWidth="1"/>
    <col min="3" max="3" width="42.625" style="3" bestFit="1" customWidth="1"/>
    <col min="4" max="4" width="12.25" style="3" customWidth="1"/>
    <col min="5" max="6" width="12" style="3" customWidth="1"/>
    <col min="7" max="16384" width="9" style="3"/>
  </cols>
  <sheetData>
    <row r="1" spans="1:16" ht="30.75" customHeight="1" x14ac:dyDescent="0.3">
      <c r="A1" s="1" t="s">
        <v>37</v>
      </c>
      <c r="B1" s="1" t="s">
        <v>38</v>
      </c>
      <c r="C1" s="1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P1" s="4"/>
    </row>
    <row r="2" spans="1:16" ht="20.100000000000001" customHeight="1" x14ac:dyDescent="0.35">
      <c r="A2" s="9" t="s">
        <v>66</v>
      </c>
      <c r="B2" s="6"/>
      <c r="C2" s="6" t="s">
        <v>67</v>
      </c>
      <c r="D2" s="7">
        <v>3.25</v>
      </c>
      <c r="E2" s="7">
        <v>40.020000000000003</v>
      </c>
      <c r="G2" s="8"/>
    </row>
    <row r="3" spans="1:16" ht="20.100000000000001" customHeight="1" x14ac:dyDescent="0.35">
      <c r="A3" s="9" t="s">
        <v>44</v>
      </c>
      <c r="B3" s="6"/>
      <c r="C3" s="6" t="s">
        <v>45</v>
      </c>
      <c r="D3" s="7">
        <v>1.75</v>
      </c>
      <c r="E3" s="7">
        <v>45.94</v>
      </c>
      <c r="F3" s="8"/>
      <c r="G3" s="8"/>
    </row>
    <row r="4" spans="1:16" ht="20.100000000000001" customHeight="1" x14ac:dyDescent="0.35">
      <c r="A4" s="9" t="s">
        <v>55</v>
      </c>
      <c r="B4" s="6"/>
      <c r="C4" s="6" t="s">
        <v>45</v>
      </c>
      <c r="D4" s="7">
        <v>0.13</v>
      </c>
      <c r="E4" s="7">
        <v>51.47</v>
      </c>
      <c r="F4" s="8"/>
      <c r="G4" s="8"/>
    </row>
    <row r="5" spans="1:16" ht="20.100000000000001" customHeight="1" x14ac:dyDescent="0.35">
      <c r="A5" s="9"/>
      <c r="B5" s="6"/>
      <c r="C5" s="6"/>
      <c r="D5" s="7"/>
      <c r="E5" s="7"/>
      <c r="F5" s="8"/>
      <c r="G5" s="8"/>
    </row>
    <row r="6" spans="1:16" ht="20.100000000000001" customHeight="1" x14ac:dyDescent="0.35">
      <c r="A6" s="9"/>
      <c r="B6" s="6"/>
      <c r="C6" s="6" t="s">
        <v>76</v>
      </c>
      <c r="D6" s="7">
        <f>AVERAGE(D2:D4)</f>
        <v>1.71</v>
      </c>
      <c r="E6" s="7">
        <f>AVERAGE(E2:E4)</f>
        <v>45.81</v>
      </c>
      <c r="G6" s="8"/>
    </row>
    <row r="7" spans="1:16" ht="20.100000000000001" customHeight="1" x14ac:dyDescent="0.35">
      <c r="A7" s="9"/>
      <c r="B7" s="6"/>
      <c r="C7" s="6" t="s">
        <v>77</v>
      </c>
      <c r="D7" s="7">
        <f>_xlfn.STDEV.S(D2:D4)</f>
        <v>1.5603845679831623</v>
      </c>
      <c r="E7" s="7">
        <f>_xlfn.STDEV.S(E2:E4)</f>
        <v>5.7261068798966068</v>
      </c>
      <c r="G7" s="8"/>
    </row>
    <row r="8" spans="1:16" ht="20.100000000000001" customHeight="1" x14ac:dyDescent="0.35">
      <c r="A8" s="9"/>
      <c r="B8" s="6"/>
      <c r="C8" s="6"/>
      <c r="D8" s="7"/>
      <c r="E8" s="7"/>
      <c r="F8" s="8"/>
      <c r="G8" s="8"/>
    </row>
    <row r="9" spans="1:16" ht="20.100000000000001" customHeight="1" x14ac:dyDescent="0.35">
      <c r="A9" s="9"/>
      <c r="B9" s="6"/>
      <c r="C9" s="6"/>
      <c r="D9" s="7"/>
      <c r="E9" s="7"/>
      <c r="F9" s="8"/>
      <c r="G9" s="8"/>
    </row>
    <row r="10" spans="1:16" ht="20.100000000000001" customHeight="1" x14ac:dyDescent="0.35">
      <c r="A10" s="9"/>
      <c r="B10" s="6"/>
      <c r="C10" s="6"/>
      <c r="D10" s="7"/>
      <c r="E10" s="7"/>
      <c r="F10" s="8"/>
      <c r="G10" s="8"/>
    </row>
    <row r="11" spans="1:16" ht="20.100000000000001" customHeight="1" x14ac:dyDescent="0.35">
      <c r="A11" s="9"/>
      <c r="B11" s="6"/>
      <c r="C11" s="6"/>
      <c r="D11" s="7"/>
      <c r="E11" s="7"/>
      <c r="F11" s="8"/>
      <c r="G11" s="8"/>
    </row>
    <row r="12" spans="1:16" ht="20.100000000000001" customHeight="1" x14ac:dyDescent="0.35">
      <c r="A12" s="9"/>
      <c r="B12" s="6"/>
      <c r="C12" s="6"/>
      <c r="D12" s="7"/>
      <c r="E12" s="7"/>
      <c r="F12" s="8"/>
      <c r="G12" s="8"/>
    </row>
    <row r="13" spans="1:16" ht="20.100000000000001" customHeight="1" x14ac:dyDescent="0.35">
      <c r="A13" s="9"/>
      <c r="B13" s="6"/>
      <c r="C13" s="6"/>
      <c r="D13" s="7"/>
      <c r="E13" s="7"/>
      <c r="F13" s="8"/>
      <c r="G13" s="8"/>
    </row>
    <row r="14" spans="1:16" ht="20.100000000000001" customHeight="1" x14ac:dyDescent="0.35">
      <c r="A14" s="9"/>
      <c r="B14" s="6"/>
      <c r="C14" s="6"/>
      <c r="D14" s="7"/>
      <c r="E14" s="7"/>
      <c r="F14" s="8"/>
      <c r="G14" s="8"/>
    </row>
    <row r="15" spans="1:16" ht="20.100000000000001" customHeight="1" x14ac:dyDescent="0.35">
      <c r="A15" s="5"/>
      <c r="B15" s="6"/>
      <c r="C15" s="6"/>
      <c r="D15" s="7"/>
      <c r="E15" s="7"/>
      <c r="F15" s="8"/>
      <c r="G15" s="8"/>
    </row>
    <row r="16" spans="1:16" ht="20.100000000000001" customHeight="1" x14ac:dyDescent="0.35">
      <c r="A16" s="5"/>
      <c r="B16" s="6"/>
      <c r="C16" s="6"/>
      <c r="D16" s="7"/>
      <c r="E16" s="7"/>
      <c r="F16" s="8"/>
      <c r="G16" s="8"/>
    </row>
    <row r="17" spans="1:7" ht="20.100000000000001" customHeight="1" x14ac:dyDescent="0.35">
      <c r="A17" s="5"/>
      <c r="B17" s="6"/>
      <c r="C17" s="6"/>
      <c r="D17" s="7"/>
      <c r="E17" s="7"/>
      <c r="F17" s="8"/>
      <c r="G17" s="8"/>
    </row>
    <row r="18" spans="1:7" ht="20.100000000000001" customHeight="1" x14ac:dyDescent="0.35">
      <c r="A18" s="5"/>
      <c r="B18" s="6"/>
      <c r="C18" s="6"/>
      <c r="D18" s="7"/>
      <c r="E18" s="7"/>
      <c r="F18" s="8"/>
      <c r="G18" s="8"/>
    </row>
    <row r="19" spans="1:7" ht="20.100000000000001" customHeight="1" x14ac:dyDescent="0.35">
      <c r="A19" s="5"/>
      <c r="B19" s="6"/>
      <c r="C19" s="6"/>
      <c r="D19" s="7"/>
      <c r="E19" s="7"/>
      <c r="F19" s="8"/>
      <c r="G19" s="8"/>
    </row>
    <row r="20" spans="1:7" ht="20.100000000000001" customHeight="1" x14ac:dyDescent="0.35">
      <c r="A20" s="5"/>
      <c r="B20" s="6"/>
      <c r="C20" s="6"/>
      <c r="D20" s="7"/>
      <c r="E20" s="7"/>
      <c r="F20" s="8"/>
      <c r="G20" s="8"/>
    </row>
    <row r="21" spans="1:7" ht="20.100000000000001" customHeight="1" x14ac:dyDescent="0.35">
      <c r="A21" s="5"/>
      <c r="B21" s="6"/>
      <c r="C21" s="6"/>
      <c r="D21" s="7"/>
      <c r="E21" s="7"/>
      <c r="F21" s="8"/>
      <c r="G21" s="8"/>
    </row>
    <row r="22" spans="1:7" ht="20.100000000000001" customHeight="1" x14ac:dyDescent="0.35">
      <c r="A22" s="5"/>
      <c r="B22" s="6"/>
      <c r="C22" s="6"/>
      <c r="D22" s="7"/>
      <c r="E22" s="7"/>
      <c r="F22" s="8"/>
      <c r="G22" s="8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zoomScale="85" zoomScaleNormal="85" workbookViewId="0">
      <selection activeCell="E29" sqref="E29"/>
    </sheetView>
  </sheetViews>
  <sheetFormatPr defaultColWidth="9" defaultRowHeight="16.5" x14ac:dyDescent="0.3"/>
  <cols>
    <col min="1" max="1" width="27.125" style="3" bestFit="1" customWidth="1"/>
    <col min="2" max="2" width="11.25" style="3" bestFit="1" customWidth="1"/>
    <col min="3" max="3" width="42.625" style="3" bestFit="1" customWidth="1"/>
    <col min="4" max="4" width="12.25" style="3" customWidth="1"/>
    <col min="5" max="6" width="12" style="3" customWidth="1"/>
    <col min="7" max="16384" width="9" style="3"/>
  </cols>
  <sheetData>
    <row r="1" spans="1:16" ht="30.75" customHeight="1" x14ac:dyDescent="0.3">
      <c r="A1" s="1" t="s">
        <v>37</v>
      </c>
      <c r="B1" s="1" t="s">
        <v>38</v>
      </c>
      <c r="C1" s="1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P1" s="4"/>
    </row>
    <row r="2" spans="1:16" ht="20.100000000000001" customHeight="1" x14ac:dyDescent="0.35">
      <c r="A2" s="9" t="s">
        <v>21</v>
      </c>
      <c r="B2" s="6"/>
      <c r="C2" s="6" t="s">
        <v>28</v>
      </c>
      <c r="D2" s="7">
        <v>1.4100000000000001</v>
      </c>
      <c r="E2" s="7">
        <v>8.9700000000000006</v>
      </c>
      <c r="G2" s="8"/>
    </row>
    <row r="3" spans="1:16" ht="20.100000000000001" customHeight="1" x14ac:dyDescent="0.35">
      <c r="A3" s="9" t="s">
        <v>19</v>
      </c>
      <c r="B3" s="6"/>
      <c r="C3" s="6" t="s">
        <v>20</v>
      </c>
      <c r="D3" s="7">
        <v>3.76</v>
      </c>
      <c r="E3" s="7">
        <v>8.43</v>
      </c>
      <c r="F3" s="8"/>
      <c r="G3" s="8"/>
    </row>
    <row r="4" spans="1:16" ht="20.100000000000001" customHeight="1" x14ac:dyDescent="0.35">
      <c r="A4" s="9" t="s">
        <v>7</v>
      </c>
      <c r="B4" s="6" t="s">
        <v>5</v>
      </c>
      <c r="C4" s="6" t="s">
        <v>8</v>
      </c>
      <c r="D4" s="7">
        <v>1.75</v>
      </c>
      <c r="E4" s="7">
        <v>7.65</v>
      </c>
      <c r="F4" s="8"/>
      <c r="G4" s="8"/>
    </row>
    <row r="5" spans="1:16" ht="20.100000000000001" customHeight="1" x14ac:dyDescent="0.35">
      <c r="A5" s="5" t="s">
        <v>23</v>
      </c>
      <c r="B5" s="6"/>
      <c r="C5" s="6" t="s">
        <v>68</v>
      </c>
      <c r="D5" s="7">
        <v>0.53</v>
      </c>
      <c r="E5" s="7">
        <v>7.29</v>
      </c>
      <c r="F5" s="8"/>
      <c r="G5" s="8"/>
    </row>
    <row r="6" spans="1:16" ht="20.100000000000001" customHeight="1" x14ac:dyDescent="0.35">
      <c r="A6" s="9" t="s">
        <v>17</v>
      </c>
      <c r="B6" s="6"/>
      <c r="C6" s="6" t="s">
        <v>18</v>
      </c>
      <c r="D6" s="7">
        <v>1.665</v>
      </c>
      <c r="E6" s="7">
        <v>4.1099999999999994</v>
      </c>
      <c r="F6" s="8"/>
      <c r="G6" s="8"/>
    </row>
    <row r="7" spans="1:16" ht="20.100000000000001" customHeight="1" x14ac:dyDescent="0.35">
      <c r="A7" s="9"/>
      <c r="B7" s="6"/>
      <c r="C7" s="6"/>
      <c r="D7" s="7"/>
      <c r="E7" s="7"/>
      <c r="F7" s="8"/>
      <c r="G7" s="8"/>
    </row>
    <row r="8" spans="1:16" ht="20.100000000000001" customHeight="1" x14ac:dyDescent="0.35">
      <c r="A8" s="9"/>
      <c r="B8" s="6"/>
      <c r="C8" s="6"/>
      <c r="D8" s="7"/>
      <c r="E8" s="7"/>
      <c r="F8" s="8"/>
      <c r="G8" s="8"/>
    </row>
    <row r="9" spans="1:16" ht="20.100000000000001" customHeight="1" x14ac:dyDescent="0.35">
      <c r="A9" s="9"/>
      <c r="B9" s="6"/>
      <c r="C9" s="6"/>
      <c r="D9" s="7"/>
      <c r="E9" s="7"/>
      <c r="F9" s="8"/>
      <c r="G9" s="8"/>
    </row>
    <row r="10" spans="1:16" ht="20.100000000000001" customHeight="1" x14ac:dyDescent="0.35">
      <c r="A10" s="9"/>
      <c r="B10" s="6"/>
      <c r="C10" s="6"/>
      <c r="D10" s="7"/>
      <c r="E10" s="7"/>
      <c r="F10" s="8"/>
      <c r="G10" s="8"/>
    </row>
    <row r="11" spans="1:16" ht="20.100000000000001" customHeight="1" x14ac:dyDescent="0.35">
      <c r="A11" s="9"/>
      <c r="B11" s="6"/>
      <c r="C11" s="6"/>
      <c r="D11" s="7"/>
      <c r="E11" s="7"/>
      <c r="F11" s="8"/>
      <c r="G11" s="8"/>
    </row>
    <row r="12" spans="1:16" ht="20.100000000000001" customHeight="1" x14ac:dyDescent="0.35">
      <c r="A12" s="9"/>
      <c r="B12" s="6"/>
      <c r="C12" s="6"/>
      <c r="D12" s="7"/>
      <c r="E12" s="7"/>
      <c r="F12" s="8"/>
      <c r="G12" s="8"/>
    </row>
    <row r="13" spans="1:16" ht="20.100000000000001" customHeight="1" x14ac:dyDescent="0.35">
      <c r="A13" s="5"/>
      <c r="B13" s="6"/>
      <c r="C13" s="6"/>
      <c r="D13" s="7"/>
      <c r="E13" s="7"/>
      <c r="F13" s="8"/>
      <c r="G13" s="8"/>
    </row>
    <row r="14" spans="1:16" ht="20.100000000000001" customHeight="1" x14ac:dyDescent="0.35">
      <c r="A14" s="5"/>
      <c r="B14" s="6"/>
      <c r="C14" s="6" t="s">
        <v>78</v>
      </c>
      <c r="D14" s="7">
        <f>AVERAGE(D2:D11)</f>
        <v>1.823</v>
      </c>
      <c r="E14" s="7">
        <f>AVERAGE(E2:E11)</f>
        <v>7.2899999999999991</v>
      </c>
      <c r="F14" s="8"/>
      <c r="G14" s="8"/>
    </row>
    <row r="15" spans="1:16" ht="20.100000000000001" customHeight="1" x14ac:dyDescent="0.35">
      <c r="A15" s="5"/>
      <c r="B15" s="6"/>
      <c r="C15" s="6" t="s">
        <v>77</v>
      </c>
      <c r="D15" s="7">
        <f>_xlfn.STDEV.S(D2:D11)</f>
        <v>1.1858203911216907</v>
      </c>
      <c r="E15" s="7">
        <f>_xlfn.STDEV.S(E2:E11)</f>
        <v>1.8949934036824529</v>
      </c>
      <c r="F15" s="8"/>
      <c r="G15" s="8"/>
    </row>
    <row r="16" spans="1:16" ht="20.100000000000001" customHeight="1" x14ac:dyDescent="0.35">
      <c r="A16" s="5"/>
      <c r="B16" s="6"/>
      <c r="C16" s="6"/>
      <c r="D16" s="7"/>
      <c r="E16" s="7"/>
      <c r="F16" s="8"/>
      <c r="G16" s="8"/>
    </row>
    <row r="17" spans="1:7" ht="20.100000000000001" customHeight="1" x14ac:dyDescent="0.35">
      <c r="A17" s="5"/>
      <c r="B17" s="6"/>
      <c r="C17" s="6"/>
      <c r="D17" s="7"/>
      <c r="E17" s="7"/>
      <c r="F17" s="8"/>
      <c r="G17" s="8"/>
    </row>
    <row r="18" spans="1:7" ht="20.100000000000001" customHeight="1" x14ac:dyDescent="0.35">
      <c r="A18" s="5"/>
      <c r="B18" s="6"/>
      <c r="C18" s="6"/>
      <c r="D18" s="7"/>
      <c r="E18" s="7"/>
      <c r="F18" s="8"/>
      <c r="G18" s="8"/>
    </row>
    <row r="19" spans="1:7" ht="20.100000000000001" customHeight="1" x14ac:dyDescent="0.35">
      <c r="A19" s="5"/>
      <c r="B19" s="6"/>
      <c r="C19" s="6"/>
      <c r="D19" s="7"/>
      <c r="E19" s="7"/>
      <c r="F19" s="8"/>
      <c r="G19" s="8"/>
    </row>
  </sheetData>
  <autoFilter ref="A1:E19">
    <sortState ref="A2:E19">
      <sortCondition descending="1" ref="E1:E19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zoomScale="85" zoomScaleNormal="85" workbookViewId="0">
      <selection activeCell="C26" sqref="C26"/>
    </sheetView>
  </sheetViews>
  <sheetFormatPr defaultColWidth="9" defaultRowHeight="16.5" x14ac:dyDescent="0.3"/>
  <cols>
    <col min="1" max="1" width="27.125" style="3" bestFit="1" customWidth="1"/>
    <col min="2" max="2" width="11.25" style="3" bestFit="1" customWidth="1"/>
    <col min="3" max="3" width="42.625" style="3" bestFit="1" customWidth="1"/>
    <col min="4" max="4" width="12.25" style="3" customWidth="1"/>
    <col min="5" max="6" width="12" style="3" customWidth="1"/>
    <col min="7" max="16384" width="9" style="3"/>
  </cols>
  <sheetData>
    <row r="1" spans="1:16" ht="30.75" customHeight="1" x14ac:dyDescent="0.3">
      <c r="A1" s="1" t="s">
        <v>37</v>
      </c>
      <c r="B1" s="1" t="s">
        <v>38</v>
      </c>
      <c r="C1" s="1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P1" s="4"/>
    </row>
    <row r="2" spans="1:16" ht="20.100000000000001" customHeight="1" x14ac:dyDescent="0.35">
      <c r="A2" s="9" t="s">
        <v>12</v>
      </c>
      <c r="B2" s="6" t="s">
        <v>2</v>
      </c>
      <c r="C2" s="6" t="s">
        <v>13</v>
      </c>
      <c r="D2" s="7">
        <v>4.34</v>
      </c>
      <c r="E2" s="7">
        <v>0.88</v>
      </c>
      <c r="G2" s="8"/>
    </row>
    <row r="3" spans="1:16" ht="20.100000000000001" customHeight="1" x14ac:dyDescent="0.35">
      <c r="A3" s="9" t="s">
        <v>53</v>
      </c>
      <c r="B3" s="6" t="s">
        <v>47</v>
      </c>
      <c r="C3" s="6" t="s">
        <v>54</v>
      </c>
      <c r="D3" s="7">
        <v>2.98</v>
      </c>
      <c r="E3" s="7">
        <v>0.23</v>
      </c>
      <c r="F3" s="8"/>
      <c r="G3" s="8"/>
    </row>
    <row r="4" spans="1:16" ht="20.100000000000001" customHeight="1" x14ac:dyDescent="0.35">
      <c r="A4" s="9" t="s">
        <v>51</v>
      </c>
      <c r="B4" s="6" t="s">
        <v>47</v>
      </c>
      <c r="C4" s="6" t="s">
        <v>52</v>
      </c>
      <c r="D4" s="7">
        <v>0.92</v>
      </c>
      <c r="E4" s="7">
        <v>0.08</v>
      </c>
      <c r="F4" s="8"/>
      <c r="G4" s="8"/>
    </row>
    <row r="5" spans="1:16" ht="20.100000000000001" customHeight="1" x14ac:dyDescent="0.35">
      <c r="A5" s="5" t="s">
        <v>46</v>
      </c>
      <c r="B5" s="6" t="s">
        <v>47</v>
      </c>
      <c r="C5" s="6" t="s">
        <v>48</v>
      </c>
      <c r="D5" s="7">
        <v>2.36</v>
      </c>
      <c r="E5" s="7">
        <v>-0.6</v>
      </c>
      <c r="F5" s="8"/>
      <c r="G5" s="8"/>
    </row>
    <row r="6" spans="1:16" ht="20.100000000000001" customHeight="1" x14ac:dyDescent="0.35">
      <c r="A6" s="9" t="s">
        <v>49</v>
      </c>
      <c r="B6" s="6" t="s">
        <v>47</v>
      </c>
      <c r="C6" s="6" t="s">
        <v>50</v>
      </c>
      <c r="D6" s="7">
        <v>1.86</v>
      </c>
      <c r="E6" s="7">
        <v>-1.83</v>
      </c>
      <c r="F6" s="8"/>
      <c r="G6" s="8"/>
    </row>
    <row r="7" spans="1:16" ht="20.100000000000001" customHeight="1" x14ac:dyDescent="0.35">
      <c r="A7" s="9"/>
      <c r="B7" s="6"/>
      <c r="C7" s="6"/>
      <c r="D7" s="7"/>
      <c r="E7" s="7"/>
      <c r="F7" s="8"/>
      <c r="G7" s="8"/>
    </row>
    <row r="8" spans="1:16" ht="20.100000000000001" customHeight="1" x14ac:dyDescent="0.35">
      <c r="A8" s="9"/>
      <c r="B8" s="6"/>
      <c r="C8" s="6"/>
      <c r="D8" s="7"/>
      <c r="E8" s="7"/>
      <c r="F8" s="8"/>
      <c r="G8" s="8"/>
    </row>
    <row r="9" spans="1:16" ht="20.100000000000001" customHeight="1" x14ac:dyDescent="0.35">
      <c r="A9" s="9"/>
      <c r="B9" s="6"/>
      <c r="C9" s="6"/>
      <c r="D9" s="7"/>
      <c r="E9" s="7"/>
      <c r="F9" s="8"/>
      <c r="G9" s="8"/>
    </row>
    <row r="10" spans="1:16" ht="20.100000000000001" customHeight="1" x14ac:dyDescent="0.35">
      <c r="A10" s="9"/>
      <c r="B10" s="6"/>
      <c r="C10" s="6"/>
      <c r="D10" s="7"/>
      <c r="E10" s="7"/>
      <c r="F10" s="8"/>
      <c r="G10" s="8"/>
    </row>
    <row r="11" spans="1:16" ht="20.100000000000001" customHeight="1" x14ac:dyDescent="0.35">
      <c r="A11" s="9"/>
      <c r="B11" s="6"/>
      <c r="C11" s="6"/>
      <c r="D11" s="7"/>
      <c r="E11" s="7"/>
      <c r="F11" s="8"/>
      <c r="G11" s="8"/>
    </row>
    <row r="12" spans="1:16" ht="20.100000000000001" customHeight="1" x14ac:dyDescent="0.35">
      <c r="A12" s="9"/>
      <c r="B12" s="6"/>
      <c r="C12" s="6"/>
      <c r="D12" s="7"/>
      <c r="E12" s="7"/>
      <c r="F12" s="8"/>
      <c r="G12" s="8"/>
    </row>
    <row r="13" spans="1:16" ht="20.100000000000001" customHeight="1" x14ac:dyDescent="0.35">
      <c r="A13" s="5"/>
      <c r="B13" s="6"/>
      <c r="C13" s="6"/>
      <c r="D13" s="7"/>
      <c r="E13" s="7"/>
      <c r="F13" s="8"/>
      <c r="G13" s="8"/>
    </row>
    <row r="14" spans="1:16" ht="20.100000000000001" customHeight="1" x14ac:dyDescent="0.35">
      <c r="A14" s="5"/>
      <c r="B14" s="6"/>
      <c r="C14" s="6" t="s">
        <v>78</v>
      </c>
      <c r="D14" s="7">
        <f>AVERAGE(D2:D11)</f>
        <v>2.492</v>
      </c>
      <c r="E14" s="7">
        <f>AVERAGE(E2:E11)</f>
        <v>-0.24799999999999994</v>
      </c>
      <c r="F14" s="8"/>
      <c r="G14" s="8"/>
    </row>
    <row r="15" spans="1:16" ht="20.100000000000001" customHeight="1" x14ac:dyDescent="0.35">
      <c r="A15" s="5"/>
      <c r="B15" s="6"/>
      <c r="C15" s="6" t="s">
        <v>77</v>
      </c>
      <c r="D15" s="7">
        <f>_xlfn.STDEV.S(D2:D11)</f>
        <v>1.278796309034399</v>
      </c>
      <c r="E15" s="7">
        <f>_xlfn.STDEV.S(E2:E11)</f>
        <v>1.0289654999075528</v>
      </c>
      <c r="F15" s="8"/>
      <c r="G15" s="8"/>
    </row>
    <row r="16" spans="1:16" ht="20.100000000000001" customHeight="1" x14ac:dyDescent="0.35">
      <c r="A16" s="5"/>
      <c r="B16" s="6"/>
      <c r="C16" s="6"/>
      <c r="D16" s="7"/>
      <c r="E16" s="7"/>
      <c r="F16" s="8"/>
      <c r="G16" s="8"/>
    </row>
    <row r="17" spans="1:7" ht="20.100000000000001" customHeight="1" x14ac:dyDescent="0.35">
      <c r="A17" s="5"/>
      <c r="B17" s="6"/>
      <c r="C17" s="6"/>
      <c r="D17" s="7"/>
      <c r="E17" s="7"/>
      <c r="F17" s="8"/>
      <c r="G17" s="8"/>
    </row>
    <row r="18" spans="1:7" ht="20.100000000000001" customHeight="1" x14ac:dyDescent="0.35">
      <c r="A18" s="5"/>
      <c r="B18" s="6"/>
      <c r="C18" s="6"/>
      <c r="D18" s="7"/>
      <c r="E18" s="7"/>
      <c r="F18" s="8"/>
      <c r="G18" s="8"/>
    </row>
    <row r="19" spans="1:7" ht="20.100000000000001" customHeight="1" x14ac:dyDescent="0.35">
      <c r="A19" s="5"/>
      <c r="B19" s="6"/>
      <c r="C19" s="6"/>
      <c r="D19" s="7"/>
      <c r="E19" s="7"/>
      <c r="F19" s="8"/>
      <c r="G19" s="8"/>
    </row>
  </sheetData>
  <autoFilter ref="A1:E19">
    <sortState ref="A2:E19">
      <sortCondition descending="1" ref="E1:E19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tabSelected="1" zoomScale="85" zoomScaleNormal="85" workbookViewId="0">
      <selection activeCell="D26" sqref="D26"/>
    </sheetView>
  </sheetViews>
  <sheetFormatPr defaultColWidth="9" defaultRowHeight="16.5" x14ac:dyDescent="0.3"/>
  <cols>
    <col min="1" max="1" width="27.125" style="3" bestFit="1" customWidth="1"/>
    <col min="2" max="2" width="11.25" style="3" bestFit="1" customWidth="1"/>
    <col min="3" max="3" width="42.625" style="3" bestFit="1" customWidth="1"/>
    <col min="4" max="4" width="12.25" style="3" customWidth="1"/>
    <col min="5" max="6" width="12" style="3" customWidth="1"/>
    <col min="7" max="16384" width="9" style="3"/>
  </cols>
  <sheetData>
    <row r="1" spans="1:16" ht="30.75" customHeight="1" x14ac:dyDescent="0.3">
      <c r="A1" s="1" t="s">
        <v>37</v>
      </c>
      <c r="B1" s="1" t="s">
        <v>38</v>
      </c>
      <c r="C1" s="1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P1" s="4"/>
    </row>
    <row r="2" spans="1:16" ht="20.100000000000001" customHeight="1" x14ac:dyDescent="0.35">
      <c r="A2" s="9" t="s">
        <v>21</v>
      </c>
      <c r="B2" s="6"/>
      <c r="C2" s="6" t="s">
        <v>28</v>
      </c>
      <c r="D2" s="7">
        <v>1.4100000000000001</v>
      </c>
      <c r="E2" s="7">
        <v>8.9700000000000006</v>
      </c>
      <c r="G2" s="8"/>
    </row>
    <row r="3" spans="1:16" ht="20.100000000000001" customHeight="1" x14ac:dyDescent="0.35">
      <c r="A3" s="9" t="s">
        <v>19</v>
      </c>
      <c r="B3" s="6"/>
      <c r="C3" s="6" t="s">
        <v>20</v>
      </c>
      <c r="D3" s="7">
        <v>3.76</v>
      </c>
      <c r="E3" s="7">
        <v>8.43</v>
      </c>
      <c r="F3" s="8"/>
      <c r="G3" s="8"/>
    </row>
    <row r="4" spans="1:16" ht="20.100000000000001" customHeight="1" x14ac:dyDescent="0.35">
      <c r="A4" s="9" t="s">
        <v>7</v>
      </c>
      <c r="B4" s="6" t="s">
        <v>5</v>
      </c>
      <c r="C4" s="6" t="s">
        <v>8</v>
      </c>
      <c r="D4" s="7">
        <v>1.75</v>
      </c>
      <c r="E4" s="7">
        <v>7.65</v>
      </c>
      <c r="F4" s="8"/>
      <c r="G4" s="8"/>
    </row>
    <row r="5" spans="1:16" ht="20.100000000000001" customHeight="1" x14ac:dyDescent="0.35">
      <c r="A5" s="5" t="s">
        <v>23</v>
      </c>
      <c r="B5" s="6"/>
      <c r="C5" s="6" t="s">
        <v>68</v>
      </c>
      <c r="D5" s="7">
        <v>0.53</v>
      </c>
      <c r="E5" s="7">
        <v>7.29</v>
      </c>
      <c r="F5" s="8"/>
      <c r="G5" s="8"/>
    </row>
    <row r="6" spans="1:16" ht="20.100000000000001" customHeight="1" x14ac:dyDescent="0.35">
      <c r="A6" s="9" t="s">
        <v>17</v>
      </c>
      <c r="B6" s="6"/>
      <c r="C6" s="6" t="s">
        <v>18</v>
      </c>
      <c r="D6" s="7">
        <v>1.665</v>
      </c>
      <c r="E6" s="7">
        <v>4.1099999999999994</v>
      </c>
      <c r="F6" s="8"/>
      <c r="G6" s="8"/>
    </row>
    <row r="7" spans="1:16" ht="20.100000000000001" customHeight="1" x14ac:dyDescent="0.35">
      <c r="A7" s="9" t="s">
        <v>12</v>
      </c>
      <c r="B7" s="6" t="s">
        <v>2</v>
      </c>
      <c r="C7" s="6" t="s">
        <v>13</v>
      </c>
      <c r="D7" s="7">
        <v>4.34</v>
      </c>
      <c r="E7" s="7">
        <v>0.88</v>
      </c>
      <c r="F7" s="8"/>
      <c r="G7" s="8"/>
    </row>
    <row r="8" spans="1:16" ht="20.100000000000001" customHeight="1" x14ac:dyDescent="0.35">
      <c r="A8" s="9" t="s">
        <v>53</v>
      </c>
      <c r="B8" s="6" t="s">
        <v>47</v>
      </c>
      <c r="C8" s="6" t="s">
        <v>54</v>
      </c>
      <c r="D8" s="7">
        <v>2.98</v>
      </c>
      <c r="E8" s="7">
        <v>0.23</v>
      </c>
      <c r="F8" s="8"/>
      <c r="G8" s="8"/>
    </row>
    <row r="9" spans="1:16" ht="20.100000000000001" customHeight="1" x14ac:dyDescent="0.35">
      <c r="A9" s="9" t="s">
        <v>51</v>
      </c>
      <c r="B9" s="6" t="s">
        <v>47</v>
      </c>
      <c r="C9" s="6" t="s">
        <v>52</v>
      </c>
      <c r="D9" s="7">
        <v>0.92</v>
      </c>
      <c r="E9" s="7">
        <v>0.08</v>
      </c>
      <c r="F9" s="8"/>
      <c r="G9" s="8"/>
    </row>
    <row r="10" spans="1:16" ht="20.100000000000001" customHeight="1" x14ac:dyDescent="0.35">
      <c r="A10" s="9" t="s">
        <v>46</v>
      </c>
      <c r="B10" s="6" t="s">
        <v>47</v>
      </c>
      <c r="C10" s="6" t="s">
        <v>48</v>
      </c>
      <c r="D10" s="7">
        <v>2.36</v>
      </c>
      <c r="E10" s="7">
        <v>-0.6</v>
      </c>
      <c r="F10" s="8"/>
      <c r="G10" s="8"/>
    </row>
    <row r="11" spans="1:16" ht="20.100000000000001" customHeight="1" x14ac:dyDescent="0.35">
      <c r="A11" s="9" t="s">
        <v>49</v>
      </c>
      <c r="B11" s="6" t="s">
        <v>47</v>
      </c>
      <c r="C11" s="6" t="s">
        <v>50</v>
      </c>
      <c r="D11" s="7">
        <v>1.86</v>
      </c>
      <c r="E11" s="7">
        <v>-1.83</v>
      </c>
      <c r="F11" s="8"/>
      <c r="G11" s="8"/>
    </row>
    <row r="12" spans="1:16" ht="20.100000000000001" customHeight="1" x14ac:dyDescent="0.35">
      <c r="A12" s="9"/>
      <c r="B12" s="6"/>
      <c r="C12" s="6"/>
      <c r="D12" s="7"/>
      <c r="E12" s="7"/>
      <c r="F12" s="8"/>
      <c r="G12" s="8"/>
    </row>
    <row r="13" spans="1:16" ht="20.100000000000001" customHeight="1" x14ac:dyDescent="0.35">
      <c r="A13" s="5"/>
      <c r="B13" s="6"/>
      <c r="C13" s="6"/>
      <c r="D13" s="7"/>
      <c r="E13" s="7"/>
      <c r="F13" s="8"/>
      <c r="G13" s="8"/>
    </row>
    <row r="14" spans="1:16" ht="20.100000000000001" customHeight="1" x14ac:dyDescent="0.35">
      <c r="A14" s="5"/>
      <c r="B14" s="6"/>
      <c r="C14" s="6" t="s">
        <v>78</v>
      </c>
      <c r="D14" s="7">
        <f>AVERAGE(D2:D11)</f>
        <v>2.1574999999999998</v>
      </c>
      <c r="E14" s="7">
        <f>AVERAGE(E2:E11)</f>
        <v>3.5209999999999995</v>
      </c>
      <c r="F14" s="8"/>
      <c r="G14" s="8"/>
    </row>
    <row r="15" spans="1:16" ht="20.100000000000001" customHeight="1" x14ac:dyDescent="0.35">
      <c r="A15" s="5"/>
      <c r="B15" s="6"/>
      <c r="C15" s="6" t="s">
        <v>77</v>
      </c>
      <c r="D15" s="7">
        <f>_xlfn.STDEV.S(D2:D11)</f>
        <v>1.2149468438303519</v>
      </c>
      <c r="E15" s="7">
        <f>_xlfn.STDEV.S(E2:E11)</f>
        <v>4.2249614067928354</v>
      </c>
      <c r="F15" s="8"/>
      <c r="G15" s="8"/>
    </row>
    <row r="16" spans="1:16" ht="20.100000000000001" customHeight="1" x14ac:dyDescent="0.35">
      <c r="A16" s="5"/>
      <c r="B16" s="6"/>
      <c r="C16" s="6"/>
      <c r="D16" s="7"/>
      <c r="E16" s="7"/>
      <c r="F16" s="8"/>
      <c r="G16" s="8"/>
    </row>
    <row r="17" spans="1:7" ht="20.100000000000001" customHeight="1" x14ac:dyDescent="0.35">
      <c r="A17" s="5"/>
      <c r="B17" s="6"/>
      <c r="C17" s="6"/>
      <c r="D17" s="7"/>
      <c r="E17" s="7"/>
      <c r="F17" s="8"/>
      <c r="G17" s="8"/>
    </row>
    <row r="18" spans="1:7" ht="20.100000000000001" customHeight="1" x14ac:dyDescent="0.35">
      <c r="A18" s="5"/>
      <c r="B18" s="6"/>
      <c r="C18" s="6"/>
      <c r="D18" s="7"/>
      <c r="E18" s="7"/>
      <c r="F18" s="8"/>
      <c r="G18" s="8"/>
    </row>
    <row r="19" spans="1:7" ht="20.100000000000001" customHeight="1" x14ac:dyDescent="0.35">
      <c r="A19" s="5"/>
      <c r="B19" s="6"/>
      <c r="C19" s="6"/>
      <c r="D19" s="7"/>
      <c r="E19" s="7"/>
      <c r="F19" s="8"/>
      <c r="G19" s="8"/>
    </row>
  </sheetData>
  <autoFilter ref="A1:E19">
    <sortState ref="A2:E19">
      <sortCondition descending="1" ref="E1:E19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zoomScale="85" zoomScaleNormal="85" workbookViewId="0">
      <selection activeCell="K29" sqref="K29"/>
    </sheetView>
  </sheetViews>
  <sheetFormatPr defaultColWidth="9" defaultRowHeight="16.5" x14ac:dyDescent="0.3"/>
  <cols>
    <col min="1" max="1" width="27.125" style="3" bestFit="1" customWidth="1"/>
    <col min="2" max="2" width="11.25" style="3" bestFit="1" customWidth="1"/>
    <col min="3" max="3" width="42.625" style="3" bestFit="1" customWidth="1"/>
    <col min="4" max="4" width="12.25" style="3" customWidth="1"/>
    <col min="5" max="6" width="12" style="3" customWidth="1"/>
    <col min="7" max="16384" width="9" style="3"/>
  </cols>
  <sheetData>
    <row r="1" spans="1:16" ht="30.75" customHeight="1" x14ac:dyDescent="0.3">
      <c r="A1" s="1" t="s">
        <v>37</v>
      </c>
      <c r="B1" s="1" t="s">
        <v>38</v>
      </c>
      <c r="C1" s="1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P1" s="4"/>
    </row>
    <row r="2" spans="1:16" ht="20.100000000000001" customHeight="1" x14ac:dyDescent="0.35">
      <c r="A2" s="9" t="s">
        <v>79</v>
      </c>
      <c r="B2" s="6"/>
      <c r="C2" s="6"/>
      <c r="D2" s="7">
        <v>3.8</v>
      </c>
      <c r="E2" s="7">
        <v>18.899999999999999</v>
      </c>
      <c r="G2" s="8"/>
    </row>
    <row r="3" spans="1:16" ht="20.100000000000001" customHeight="1" x14ac:dyDescent="0.35">
      <c r="A3" s="9" t="s">
        <v>80</v>
      </c>
      <c r="B3" s="6"/>
      <c r="C3" s="6"/>
      <c r="D3" s="7">
        <v>5.3</v>
      </c>
      <c r="E3" s="7">
        <v>16.5</v>
      </c>
      <c r="F3" s="8"/>
      <c r="G3" s="8"/>
    </row>
    <row r="4" spans="1:16" ht="20.100000000000001" customHeight="1" x14ac:dyDescent="0.35">
      <c r="A4" s="9" t="s">
        <v>81</v>
      </c>
      <c r="B4" s="6"/>
      <c r="C4" s="6"/>
      <c r="D4" s="7">
        <v>6.2</v>
      </c>
      <c r="E4" s="7">
        <v>17.600000000000001</v>
      </c>
      <c r="F4" s="8"/>
      <c r="G4" s="8"/>
    </row>
    <row r="5" spans="1:16" ht="20.100000000000001" customHeight="1" x14ac:dyDescent="0.35">
      <c r="A5" s="9" t="s">
        <v>82</v>
      </c>
      <c r="B5" s="6"/>
      <c r="C5" s="6"/>
      <c r="D5" s="7">
        <v>3.9</v>
      </c>
      <c r="E5" s="7">
        <v>17.3</v>
      </c>
      <c r="F5" s="8"/>
      <c r="G5" s="8"/>
    </row>
    <row r="6" spans="1:16" ht="20.100000000000001" customHeight="1" x14ac:dyDescent="0.35">
      <c r="A6" s="9" t="s">
        <v>83</v>
      </c>
      <c r="B6" s="6"/>
      <c r="C6" s="6"/>
      <c r="D6" s="7">
        <v>5.6</v>
      </c>
      <c r="E6" s="7">
        <v>21.7</v>
      </c>
      <c r="G6" s="8"/>
    </row>
    <row r="7" spans="1:16" ht="20.100000000000001" customHeight="1" x14ac:dyDescent="0.35">
      <c r="A7" s="9" t="s">
        <v>84</v>
      </c>
      <c r="B7" s="6"/>
      <c r="C7" s="6"/>
      <c r="D7" s="7">
        <v>4.7</v>
      </c>
      <c r="E7" s="7">
        <v>19</v>
      </c>
      <c r="G7" s="8"/>
    </row>
    <row r="8" spans="1:16" ht="20.100000000000001" customHeight="1" x14ac:dyDescent="0.35">
      <c r="A8" s="9" t="s">
        <v>85</v>
      </c>
      <c r="B8" s="6"/>
      <c r="C8" s="6"/>
      <c r="D8" s="7">
        <v>0.5</v>
      </c>
      <c r="E8" s="7">
        <v>22.7</v>
      </c>
      <c r="F8" s="8"/>
      <c r="G8" s="8"/>
    </row>
    <row r="9" spans="1:16" ht="20.100000000000001" customHeight="1" x14ac:dyDescent="0.35">
      <c r="A9" s="9" t="s">
        <v>86</v>
      </c>
      <c r="B9" s="6"/>
      <c r="C9" s="6"/>
      <c r="D9" s="7">
        <v>0.9</v>
      </c>
      <c r="E9" s="7">
        <v>21.8</v>
      </c>
      <c r="F9" s="8"/>
      <c r="G9" s="8"/>
    </row>
    <row r="10" spans="1:16" ht="20.100000000000001" customHeight="1" x14ac:dyDescent="0.35">
      <c r="A10" s="9" t="s">
        <v>87</v>
      </c>
      <c r="B10" s="6"/>
      <c r="C10" s="6"/>
      <c r="D10" s="7">
        <v>1.7</v>
      </c>
      <c r="E10" s="7">
        <v>22.6</v>
      </c>
      <c r="F10" s="8"/>
      <c r="G10" s="8"/>
    </row>
    <row r="11" spans="1:16" ht="20.100000000000001" customHeight="1" x14ac:dyDescent="0.35">
      <c r="A11" s="9" t="s">
        <v>88</v>
      </c>
      <c r="B11" s="6"/>
      <c r="C11" s="6"/>
      <c r="D11" s="7">
        <v>0.4</v>
      </c>
      <c r="E11" s="7">
        <v>21.9</v>
      </c>
      <c r="F11" s="8"/>
      <c r="G11" s="8"/>
    </row>
    <row r="12" spans="1:16" ht="20.100000000000001" customHeight="1" x14ac:dyDescent="0.35">
      <c r="A12" s="9" t="s">
        <v>89</v>
      </c>
      <c r="B12" s="6"/>
      <c r="C12" s="6"/>
      <c r="D12" s="7">
        <v>1</v>
      </c>
      <c r="E12" s="7">
        <v>19</v>
      </c>
      <c r="F12" s="8"/>
      <c r="G12" s="8"/>
    </row>
    <row r="13" spans="1:16" ht="20.100000000000001" customHeight="1" x14ac:dyDescent="0.35">
      <c r="A13" s="9" t="s">
        <v>90</v>
      </c>
      <c r="B13" s="6"/>
      <c r="C13" s="6"/>
      <c r="D13" s="7">
        <v>3</v>
      </c>
      <c r="E13" s="7">
        <v>20.9</v>
      </c>
      <c r="F13" s="8"/>
      <c r="G13" s="8"/>
    </row>
    <row r="14" spans="1:16" ht="20.100000000000001" customHeight="1" x14ac:dyDescent="0.35">
      <c r="A14" s="9" t="s">
        <v>91</v>
      </c>
      <c r="B14" s="6"/>
      <c r="C14" s="6"/>
      <c r="D14" s="7">
        <v>2</v>
      </c>
      <c r="E14" s="7">
        <v>20.399999999999999</v>
      </c>
      <c r="F14" s="8"/>
      <c r="G14" s="8"/>
    </row>
    <row r="15" spans="1:16" ht="20.100000000000001" customHeight="1" x14ac:dyDescent="0.35">
      <c r="A15" s="9" t="s">
        <v>92</v>
      </c>
      <c r="B15" s="6"/>
      <c r="C15" s="6"/>
      <c r="D15" s="7">
        <v>-0.9</v>
      </c>
      <c r="E15" s="7">
        <v>15.1</v>
      </c>
      <c r="F15" s="8"/>
      <c r="G15" s="8"/>
    </row>
    <row r="16" spans="1:16" ht="20.100000000000001" customHeight="1" x14ac:dyDescent="0.35">
      <c r="A16" s="9" t="s">
        <v>93</v>
      </c>
      <c r="B16" s="6"/>
      <c r="C16" s="6"/>
      <c r="D16" s="7">
        <v>1</v>
      </c>
      <c r="E16" s="7">
        <v>22.5</v>
      </c>
      <c r="F16" s="8"/>
      <c r="G16" s="8"/>
    </row>
    <row r="17" spans="1:7" ht="20.100000000000001" customHeight="1" x14ac:dyDescent="0.35">
      <c r="A17" s="9" t="s">
        <v>94</v>
      </c>
      <c r="B17" s="6"/>
      <c r="C17" s="6"/>
      <c r="D17" s="7">
        <v>3.8</v>
      </c>
      <c r="E17" s="7">
        <v>16.5</v>
      </c>
      <c r="F17" s="8"/>
      <c r="G17" s="8"/>
    </row>
    <row r="18" spans="1:7" ht="20.100000000000001" customHeight="1" x14ac:dyDescent="0.35">
      <c r="A18" s="9" t="s">
        <v>95</v>
      </c>
      <c r="B18" s="6"/>
      <c r="C18" s="6"/>
      <c r="D18" s="7">
        <v>-0.4</v>
      </c>
      <c r="E18" s="7">
        <v>18.899999999999999</v>
      </c>
      <c r="F18" s="8"/>
      <c r="G18" s="8"/>
    </row>
    <row r="19" spans="1:7" ht="20.100000000000001" customHeight="1" x14ac:dyDescent="0.35">
      <c r="A19" s="9" t="s">
        <v>96</v>
      </c>
      <c r="B19" s="6"/>
      <c r="C19" s="6"/>
      <c r="D19" s="7">
        <v>-1.1000000000000001</v>
      </c>
      <c r="E19" s="7">
        <v>14.1</v>
      </c>
      <c r="F19" s="8"/>
      <c r="G19" s="8"/>
    </row>
    <row r="20" spans="1:7" ht="20.100000000000001" customHeight="1" x14ac:dyDescent="0.35">
      <c r="A20" s="9" t="s">
        <v>97</v>
      </c>
      <c r="B20" s="6"/>
      <c r="C20" s="6"/>
      <c r="D20" s="7">
        <v>7.6</v>
      </c>
      <c r="E20" s="7">
        <v>19.7</v>
      </c>
      <c r="F20" s="8"/>
      <c r="G20" s="8"/>
    </row>
    <row r="21" spans="1:7" ht="20.100000000000001" customHeight="1" x14ac:dyDescent="0.35">
      <c r="A21" s="5"/>
      <c r="B21" s="6"/>
      <c r="C21" s="6" t="s">
        <v>98</v>
      </c>
      <c r="D21" s="13">
        <f>AVERAGE(D2:D19)</f>
        <v>2.2999999999999994</v>
      </c>
      <c r="E21" s="13">
        <f>AVERAGE(E2:E19)</f>
        <v>19.3</v>
      </c>
      <c r="F21" s="8"/>
      <c r="G21" s="8"/>
    </row>
    <row r="22" spans="1:7" ht="20.100000000000001" customHeight="1" x14ac:dyDescent="0.35">
      <c r="A22" s="5"/>
      <c r="B22" s="6"/>
      <c r="C22" s="6" t="s">
        <v>99</v>
      </c>
      <c r="D22" s="13">
        <f>_xlfn.STDEV.S(D2:D20)</f>
        <v>2.5468016865098386</v>
      </c>
      <c r="E22" s="13">
        <f>_xlfn.STDEV.S(E2:E20)</f>
        <v>2.6154623443769642</v>
      </c>
      <c r="F22" s="8"/>
      <c r="G22" s="8"/>
    </row>
    <row r="24" spans="1:7" ht="66" customHeight="1" x14ac:dyDescent="0.3">
      <c r="A24" s="11" t="s">
        <v>100</v>
      </c>
      <c r="B24" s="12"/>
      <c r="C24" s="12"/>
      <c r="D24" s="12"/>
      <c r="E24" s="12"/>
    </row>
    <row r="25" spans="1:7" x14ac:dyDescent="0.3">
      <c r="A25" s="3" t="s">
        <v>104</v>
      </c>
    </row>
    <row r="26" spans="1:7" x14ac:dyDescent="0.3">
      <c r="A26" s="3" t="s">
        <v>101</v>
      </c>
    </row>
    <row r="27" spans="1:7" x14ac:dyDescent="0.3">
      <c r="A27" s="3" t="s">
        <v>102</v>
      </c>
    </row>
    <row r="28" spans="1:7" x14ac:dyDescent="0.3">
      <c r="A28" s="3" t="s">
        <v>103</v>
      </c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6"/>
  <sheetViews>
    <sheetView zoomScale="85" zoomScaleNormal="85" workbookViewId="0">
      <selection activeCell="R5" sqref="R5"/>
    </sheetView>
  </sheetViews>
  <sheetFormatPr defaultColWidth="9" defaultRowHeight="16.5" x14ac:dyDescent="0.3"/>
  <cols>
    <col min="1" max="1" width="27.125" style="3" bestFit="1" customWidth="1"/>
    <col min="2" max="2" width="11.25" style="3" bestFit="1" customWidth="1"/>
    <col min="3" max="3" width="42.625" style="3" bestFit="1" customWidth="1"/>
    <col min="4" max="4" width="12.25" style="3" customWidth="1"/>
    <col min="5" max="6" width="12" style="3" customWidth="1"/>
    <col min="7" max="16384" width="9" style="3"/>
  </cols>
  <sheetData>
    <row r="1" spans="1:16" ht="30.75" customHeight="1" x14ac:dyDescent="0.3">
      <c r="A1" s="1" t="s">
        <v>37</v>
      </c>
      <c r="B1" s="1" t="s">
        <v>38</v>
      </c>
      <c r="C1" s="1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P1" s="4"/>
    </row>
    <row r="2" spans="1:16" ht="20.100000000000001" customHeight="1" x14ac:dyDescent="0.35">
      <c r="A2" s="9" t="s">
        <v>105</v>
      </c>
      <c r="B2" s="6"/>
      <c r="C2" s="6"/>
      <c r="D2" s="7">
        <v>20.399999999999999</v>
      </c>
      <c r="E2" s="7">
        <v>7.4</v>
      </c>
      <c r="G2" s="8"/>
    </row>
    <row r="3" spans="1:16" ht="20.100000000000001" customHeight="1" x14ac:dyDescent="0.35">
      <c r="A3" s="9" t="s">
        <v>106</v>
      </c>
      <c r="B3" s="6"/>
      <c r="C3" s="6"/>
      <c r="D3" s="7">
        <v>-0.6</v>
      </c>
      <c r="E3" s="7">
        <v>8</v>
      </c>
      <c r="F3" s="8"/>
      <c r="G3" s="8"/>
    </row>
    <row r="4" spans="1:16" ht="20.100000000000001" customHeight="1" x14ac:dyDescent="0.35">
      <c r="A4" s="9" t="s">
        <v>107</v>
      </c>
      <c r="B4" s="6"/>
      <c r="C4" s="6"/>
      <c r="D4" s="7">
        <v>21.7</v>
      </c>
      <c r="E4" s="7">
        <v>7.4</v>
      </c>
      <c r="F4" s="8"/>
      <c r="G4" s="8"/>
    </row>
    <row r="5" spans="1:16" ht="20.100000000000001" customHeight="1" x14ac:dyDescent="0.35">
      <c r="A5" s="9" t="s">
        <v>108</v>
      </c>
      <c r="B5" s="6"/>
      <c r="C5" s="6"/>
      <c r="D5" s="7">
        <v>18.8</v>
      </c>
      <c r="E5" s="7">
        <v>8.8000000000000007</v>
      </c>
      <c r="F5" s="8"/>
      <c r="G5" s="8"/>
    </row>
    <row r="6" spans="1:16" ht="20.100000000000001" customHeight="1" x14ac:dyDescent="0.35">
      <c r="A6" s="9" t="s">
        <v>109</v>
      </c>
      <c r="B6" s="6"/>
      <c r="C6" s="6"/>
      <c r="D6" s="7">
        <v>15</v>
      </c>
      <c r="E6" s="7">
        <v>11</v>
      </c>
      <c r="G6" s="8"/>
    </row>
    <row r="7" spans="1:16" ht="20.100000000000001" customHeight="1" x14ac:dyDescent="0.35">
      <c r="A7" s="9" t="s">
        <v>110</v>
      </c>
      <c r="B7" s="6"/>
      <c r="C7" s="6"/>
      <c r="D7" s="7">
        <v>15.7</v>
      </c>
      <c r="E7" s="7">
        <v>7.1</v>
      </c>
      <c r="G7" s="8"/>
    </row>
    <row r="8" spans="1:16" ht="20.100000000000001" customHeight="1" x14ac:dyDescent="0.35">
      <c r="A8" s="9" t="s">
        <v>111</v>
      </c>
      <c r="B8" s="6"/>
      <c r="C8" s="6"/>
      <c r="D8" s="7">
        <v>10.9</v>
      </c>
      <c r="E8" s="7">
        <v>1.6</v>
      </c>
      <c r="F8" s="8"/>
      <c r="G8" s="8"/>
    </row>
    <row r="9" spans="1:16" ht="20.100000000000001" customHeight="1" x14ac:dyDescent="0.35">
      <c r="A9" s="9" t="s">
        <v>112</v>
      </c>
      <c r="B9" s="6"/>
      <c r="C9" s="6"/>
      <c r="D9" s="7">
        <v>17.2</v>
      </c>
      <c r="E9" s="7">
        <v>1</v>
      </c>
      <c r="F9" s="8"/>
      <c r="G9" s="8"/>
    </row>
    <row r="10" spans="1:16" ht="20.100000000000001" customHeight="1" x14ac:dyDescent="0.35">
      <c r="A10" s="9" t="s">
        <v>113</v>
      </c>
      <c r="B10" s="6"/>
      <c r="C10" s="6"/>
      <c r="D10" s="7">
        <v>23.2</v>
      </c>
      <c r="E10" s="7">
        <v>14.4</v>
      </c>
      <c r="F10" s="8"/>
      <c r="G10" s="8"/>
    </row>
    <row r="11" spans="1:16" ht="20.100000000000001" customHeight="1" x14ac:dyDescent="0.35">
      <c r="A11" s="9" t="s">
        <v>114</v>
      </c>
      <c r="B11" s="6"/>
      <c r="C11" s="6"/>
      <c r="D11" s="7">
        <v>21.7</v>
      </c>
      <c r="E11" s="7">
        <v>3.5</v>
      </c>
      <c r="F11" s="8"/>
      <c r="G11" s="8"/>
    </row>
    <row r="12" spans="1:16" ht="20.100000000000001" customHeight="1" x14ac:dyDescent="0.35">
      <c r="A12" s="9" t="s">
        <v>115</v>
      </c>
      <c r="B12" s="6"/>
      <c r="C12" s="6"/>
      <c r="D12" s="7">
        <v>2.1</v>
      </c>
      <c r="E12" s="7">
        <v>4.4000000000000004</v>
      </c>
      <c r="F12" s="8"/>
      <c r="G12" s="8"/>
    </row>
    <row r="13" spans="1:16" ht="20.100000000000001" customHeight="1" x14ac:dyDescent="0.35">
      <c r="A13" s="9" t="s">
        <v>116</v>
      </c>
      <c r="B13" s="6"/>
      <c r="C13" s="6"/>
      <c r="D13" s="7">
        <v>7.5</v>
      </c>
      <c r="E13" s="7">
        <v>-4</v>
      </c>
      <c r="F13" s="8"/>
      <c r="G13" s="8"/>
    </row>
    <row r="14" spans="1:16" ht="20.100000000000001" customHeight="1" x14ac:dyDescent="0.35">
      <c r="A14" s="9" t="s">
        <v>117</v>
      </c>
      <c r="B14" s="6"/>
      <c r="C14" s="6"/>
      <c r="D14" s="7">
        <v>24.4</v>
      </c>
      <c r="E14" s="7">
        <v>10.5</v>
      </c>
      <c r="F14" s="8"/>
      <c r="G14" s="8"/>
    </row>
    <row r="15" spans="1:16" ht="20.100000000000001" customHeight="1" x14ac:dyDescent="0.35">
      <c r="A15" s="9" t="s">
        <v>118</v>
      </c>
      <c r="B15" s="6"/>
      <c r="C15" s="6"/>
      <c r="D15" s="7">
        <v>11.5</v>
      </c>
      <c r="E15" s="7">
        <v>14.1</v>
      </c>
      <c r="F15" s="8"/>
      <c r="G15" s="8"/>
    </row>
    <row r="16" spans="1:16" ht="20.100000000000001" customHeight="1" x14ac:dyDescent="0.35">
      <c r="A16" s="9" t="s">
        <v>119</v>
      </c>
      <c r="B16" s="6"/>
      <c r="C16" s="6"/>
      <c r="D16" s="7">
        <v>24</v>
      </c>
      <c r="E16" s="7">
        <v>7.6</v>
      </c>
      <c r="F16" s="8"/>
      <c r="G16" s="8"/>
    </row>
    <row r="17" spans="1:7" ht="20.100000000000001" customHeight="1" x14ac:dyDescent="0.35">
      <c r="A17" s="9" t="s">
        <v>120</v>
      </c>
      <c r="B17" s="6"/>
      <c r="C17" s="6"/>
      <c r="D17" s="7">
        <v>-1.2</v>
      </c>
      <c r="E17" s="7">
        <v>4.4000000000000004</v>
      </c>
      <c r="F17" s="8"/>
      <c r="G17" s="8"/>
    </row>
    <row r="18" spans="1:7" ht="20.100000000000001" customHeight="1" x14ac:dyDescent="0.35">
      <c r="A18" s="9" t="s">
        <v>121</v>
      </c>
      <c r="B18" s="6"/>
      <c r="C18" s="6"/>
      <c r="D18" s="7">
        <v>12.2</v>
      </c>
      <c r="E18" s="7">
        <v>5.4</v>
      </c>
      <c r="F18" s="8"/>
      <c r="G18" s="8"/>
    </row>
    <row r="19" spans="1:7" ht="20.100000000000001" customHeight="1" x14ac:dyDescent="0.35">
      <c r="A19" s="9" t="s">
        <v>122</v>
      </c>
      <c r="B19" s="6"/>
      <c r="C19" s="6"/>
      <c r="D19" s="7">
        <v>22.6</v>
      </c>
      <c r="E19" s="7">
        <v>12.5</v>
      </c>
      <c r="F19" s="8"/>
      <c r="G19" s="8"/>
    </row>
    <row r="20" spans="1:7" ht="20.100000000000001" customHeight="1" x14ac:dyDescent="0.35">
      <c r="A20" s="9" t="s">
        <v>123</v>
      </c>
      <c r="B20" s="6"/>
      <c r="C20" s="6"/>
      <c r="D20" s="7">
        <v>17.7</v>
      </c>
      <c r="E20" s="7">
        <v>5.8</v>
      </c>
      <c r="F20" s="8"/>
      <c r="G20" s="8"/>
    </row>
    <row r="21" spans="1:7" ht="20.100000000000001" customHeight="1" x14ac:dyDescent="0.35">
      <c r="A21" s="9" t="s">
        <v>124</v>
      </c>
      <c r="B21" s="6"/>
      <c r="C21" s="6"/>
      <c r="D21" s="7">
        <v>-1</v>
      </c>
      <c r="E21" s="7">
        <v>-2.8</v>
      </c>
      <c r="F21" s="8"/>
      <c r="G21" s="8"/>
    </row>
    <row r="22" spans="1:7" ht="20.100000000000001" customHeight="1" x14ac:dyDescent="0.35">
      <c r="A22" s="9" t="s">
        <v>125</v>
      </c>
      <c r="B22" s="6"/>
      <c r="C22" s="6"/>
      <c r="D22" s="7">
        <v>13</v>
      </c>
      <c r="E22" s="7">
        <v>9.3000000000000007</v>
      </c>
      <c r="F22" s="8"/>
      <c r="G22" s="8"/>
    </row>
    <row r="23" spans="1:7" ht="20.25" x14ac:dyDescent="0.35">
      <c r="A23" s="9" t="s">
        <v>126</v>
      </c>
      <c r="B23" s="6"/>
      <c r="C23" s="6"/>
      <c r="D23" s="7">
        <v>9.4</v>
      </c>
      <c r="E23" s="7">
        <v>-4.5</v>
      </c>
      <c r="F23" s="8"/>
      <c r="G23" s="8"/>
    </row>
    <row r="24" spans="1:7" ht="20.25" customHeight="1" x14ac:dyDescent="0.35">
      <c r="A24" s="9" t="s">
        <v>127</v>
      </c>
      <c r="B24" s="6"/>
      <c r="C24" s="6"/>
      <c r="D24" s="7">
        <v>13.2</v>
      </c>
      <c r="E24" s="7">
        <v>10</v>
      </c>
      <c r="F24" s="8"/>
      <c r="G24" s="8"/>
    </row>
    <row r="25" spans="1:7" ht="20.25" x14ac:dyDescent="0.35">
      <c r="A25" s="9" t="s">
        <v>128</v>
      </c>
      <c r="B25" s="6"/>
      <c r="C25" s="6"/>
      <c r="D25" s="7">
        <v>26.2</v>
      </c>
      <c r="E25" s="7">
        <v>10.7</v>
      </c>
      <c r="F25" s="8"/>
      <c r="G25" s="8"/>
    </row>
    <row r="26" spans="1:7" ht="20.25" x14ac:dyDescent="0.35">
      <c r="A26" s="9" t="s">
        <v>129</v>
      </c>
      <c r="B26" s="6"/>
      <c r="C26" s="6"/>
      <c r="D26" s="7">
        <v>17.100000000000001</v>
      </c>
      <c r="E26" s="7">
        <v>2.6</v>
      </c>
      <c r="F26" s="8"/>
      <c r="G26" s="8"/>
    </row>
    <row r="27" spans="1:7" ht="20.25" x14ac:dyDescent="0.35">
      <c r="A27" s="9" t="s">
        <v>130</v>
      </c>
      <c r="B27" s="6"/>
      <c r="C27" s="6"/>
      <c r="D27" s="7">
        <v>13.2</v>
      </c>
      <c r="E27" s="7">
        <v>3</v>
      </c>
      <c r="F27" s="8"/>
      <c r="G27" s="8"/>
    </row>
    <row r="28" spans="1:7" ht="20.25" x14ac:dyDescent="0.35">
      <c r="A28" s="9" t="s">
        <v>131</v>
      </c>
      <c r="B28" s="6"/>
      <c r="C28" s="6"/>
      <c r="D28" s="7">
        <v>15.4</v>
      </c>
      <c r="E28" s="7">
        <v>1</v>
      </c>
      <c r="F28" s="8"/>
      <c r="G28" s="8"/>
    </row>
    <row r="29" spans="1:7" ht="20.25" x14ac:dyDescent="0.35">
      <c r="A29" s="9" t="s">
        <v>132</v>
      </c>
      <c r="B29" s="6"/>
      <c r="C29" s="6"/>
      <c r="D29" s="7">
        <v>22.9</v>
      </c>
      <c r="E29" s="7">
        <v>6</v>
      </c>
      <c r="F29" s="8"/>
      <c r="G29" s="8"/>
    </row>
    <row r="30" spans="1:7" ht="20.25" x14ac:dyDescent="0.35">
      <c r="A30" s="9" t="s">
        <v>133</v>
      </c>
      <c r="B30" s="6"/>
      <c r="C30" s="6"/>
      <c r="D30" s="7">
        <v>14.8</v>
      </c>
      <c r="E30" s="7">
        <v>7</v>
      </c>
      <c r="F30" s="8"/>
      <c r="G30" s="8"/>
    </row>
    <row r="31" spans="1:7" ht="20.25" x14ac:dyDescent="0.35">
      <c r="A31" s="9" t="s">
        <v>134</v>
      </c>
      <c r="B31" s="6"/>
      <c r="C31" s="6"/>
      <c r="D31" s="7">
        <v>12.1</v>
      </c>
      <c r="E31" s="7">
        <v>4.5</v>
      </c>
      <c r="F31" s="8"/>
      <c r="G31" s="8"/>
    </row>
    <row r="32" spans="1:7" ht="20.25" x14ac:dyDescent="0.35">
      <c r="A32" s="9"/>
      <c r="B32" s="6"/>
      <c r="C32" s="6"/>
      <c r="D32" s="7"/>
      <c r="E32" s="7"/>
      <c r="F32" s="8"/>
      <c r="G32" s="8"/>
    </row>
    <row r="33" spans="1:7" ht="20.25" x14ac:dyDescent="0.35">
      <c r="A33" s="9"/>
      <c r="B33" s="6"/>
      <c r="C33" s="6" t="s">
        <v>98</v>
      </c>
      <c r="D33" s="13">
        <f>AVERAGE(D2:D31)</f>
        <v>14.703333333333331</v>
      </c>
      <c r="E33" s="13">
        <f>AVERAGE(E2:E31)</f>
        <v>5.9233333333333329</v>
      </c>
      <c r="F33" s="8"/>
      <c r="G33" s="8"/>
    </row>
    <row r="34" spans="1:7" ht="20.25" x14ac:dyDescent="0.35">
      <c r="A34" s="9"/>
      <c r="B34" s="6"/>
      <c r="C34" s="6" t="s">
        <v>99</v>
      </c>
      <c r="D34" s="13">
        <f>_xlfn.STDEV.S(D2:D31)</f>
        <v>7.6604440014173161</v>
      </c>
      <c r="E34" s="13">
        <f>_xlfn.STDEV.S(E2:E31)</f>
        <v>4.8588123519296742</v>
      </c>
      <c r="F34" s="8"/>
      <c r="G34" s="8"/>
    </row>
    <row r="35" spans="1:7" ht="20.25" x14ac:dyDescent="0.35">
      <c r="A35" s="5"/>
      <c r="B35" s="6"/>
      <c r="C35" s="6"/>
      <c r="D35" s="10"/>
      <c r="E35" s="10"/>
      <c r="F35" s="8"/>
      <c r="G35" s="8"/>
    </row>
    <row r="36" spans="1:7" ht="20.25" x14ac:dyDescent="0.35">
      <c r="A36" s="5"/>
      <c r="B36" s="6"/>
      <c r="C36" s="6"/>
      <c r="D36" s="7"/>
      <c r="E36" s="7"/>
      <c r="F36" s="8"/>
      <c r="G36" s="8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6"/>
  <sheetViews>
    <sheetView zoomScale="85" zoomScaleNormal="85" workbookViewId="0">
      <selection activeCell="G16" sqref="G16"/>
    </sheetView>
  </sheetViews>
  <sheetFormatPr defaultColWidth="9" defaultRowHeight="16.5" x14ac:dyDescent="0.3"/>
  <cols>
    <col min="1" max="1" width="27.125" style="3" bestFit="1" customWidth="1"/>
    <col min="2" max="2" width="11.25" style="3" bestFit="1" customWidth="1"/>
    <col min="3" max="3" width="42.625" style="3" bestFit="1" customWidth="1"/>
    <col min="4" max="4" width="12.25" style="3" customWidth="1"/>
    <col min="5" max="6" width="12" style="3" customWidth="1"/>
    <col min="7" max="16384" width="9" style="3"/>
  </cols>
  <sheetData>
    <row r="1" spans="1:16" ht="30.75" customHeight="1" x14ac:dyDescent="0.3">
      <c r="A1" s="1" t="s">
        <v>37</v>
      </c>
      <c r="B1" s="1" t="s">
        <v>38</v>
      </c>
      <c r="C1" s="1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P1" s="4"/>
    </row>
    <row r="2" spans="1:16" ht="20.100000000000001" customHeight="1" x14ac:dyDescent="0.35">
      <c r="A2" s="9" t="s">
        <v>135</v>
      </c>
      <c r="B2" s="6"/>
      <c r="C2" s="6"/>
      <c r="D2" s="7">
        <v>8</v>
      </c>
      <c r="E2" s="7">
        <v>19.399999999999999</v>
      </c>
      <c r="G2" s="8"/>
    </row>
    <row r="3" spans="1:16" ht="20.100000000000001" customHeight="1" x14ac:dyDescent="0.35">
      <c r="A3" s="9" t="s">
        <v>136</v>
      </c>
      <c r="B3" s="6"/>
      <c r="C3" s="6"/>
      <c r="D3" s="7">
        <v>10.199999999999999</v>
      </c>
      <c r="E3" s="7">
        <v>11.7</v>
      </c>
      <c r="F3" s="8"/>
      <c r="G3" s="8"/>
    </row>
    <row r="4" spans="1:16" ht="20.100000000000001" customHeight="1" x14ac:dyDescent="0.35">
      <c r="A4" s="9" t="s">
        <v>137</v>
      </c>
      <c r="B4" s="6"/>
      <c r="C4" s="6"/>
      <c r="D4" s="7">
        <v>2</v>
      </c>
      <c r="E4" s="7">
        <v>19.399999999999999</v>
      </c>
      <c r="F4" s="8"/>
      <c r="G4" s="8"/>
    </row>
    <row r="5" spans="1:16" ht="20.100000000000001" customHeight="1" x14ac:dyDescent="0.35">
      <c r="A5" s="9" t="s">
        <v>138</v>
      </c>
      <c r="B5" s="6"/>
      <c r="C5" s="6"/>
      <c r="D5" s="7">
        <v>14.6</v>
      </c>
      <c r="E5" s="7">
        <v>9.4</v>
      </c>
      <c r="F5" s="8"/>
      <c r="G5" s="8"/>
    </row>
    <row r="6" spans="1:16" ht="20.100000000000001" customHeight="1" x14ac:dyDescent="0.35">
      <c r="A6" s="9" t="s">
        <v>139</v>
      </c>
      <c r="B6" s="6"/>
      <c r="C6" s="6"/>
      <c r="D6" s="7">
        <v>17.8</v>
      </c>
      <c r="E6" s="7">
        <v>17.7</v>
      </c>
      <c r="G6" s="8"/>
    </row>
    <row r="7" spans="1:16" ht="20.100000000000001" customHeight="1" x14ac:dyDescent="0.35">
      <c r="A7" s="9" t="s">
        <v>140</v>
      </c>
      <c r="B7" s="6"/>
      <c r="C7" s="6"/>
      <c r="D7" s="7">
        <v>15.4</v>
      </c>
      <c r="E7" s="7">
        <v>11</v>
      </c>
      <c r="G7" s="8"/>
    </row>
    <row r="8" spans="1:16" ht="20.100000000000001" customHeight="1" x14ac:dyDescent="0.35">
      <c r="A8" s="9" t="s">
        <v>141</v>
      </c>
      <c r="B8" s="6"/>
      <c r="C8" s="6"/>
      <c r="D8" s="7">
        <v>13.2</v>
      </c>
      <c r="E8" s="7">
        <v>18.3</v>
      </c>
      <c r="F8" s="8"/>
      <c r="G8" s="8"/>
    </row>
    <row r="9" spans="1:16" ht="20.100000000000001" customHeight="1" x14ac:dyDescent="0.35">
      <c r="A9" s="9" t="s">
        <v>142</v>
      </c>
      <c r="B9" s="6"/>
      <c r="C9" s="6"/>
      <c r="D9" s="7">
        <v>7.6</v>
      </c>
      <c r="E9" s="7">
        <v>19.600000000000001</v>
      </c>
      <c r="F9" s="8"/>
      <c r="G9" s="8"/>
    </row>
    <row r="10" spans="1:16" ht="20.100000000000001" customHeight="1" x14ac:dyDescent="0.35">
      <c r="A10" s="9" t="s">
        <v>143</v>
      </c>
      <c r="B10" s="6"/>
      <c r="C10" s="6"/>
      <c r="D10" s="7">
        <v>0.7</v>
      </c>
      <c r="E10" s="7">
        <v>10.6</v>
      </c>
      <c r="F10" s="8"/>
      <c r="G10" s="8"/>
    </row>
    <row r="11" spans="1:16" ht="20.100000000000001" customHeight="1" x14ac:dyDescent="0.35">
      <c r="A11" s="9" t="s">
        <v>144</v>
      </c>
      <c r="B11" s="6"/>
      <c r="C11" s="6"/>
      <c r="D11" s="7">
        <v>15.3</v>
      </c>
      <c r="E11" s="7">
        <v>12.3</v>
      </c>
      <c r="F11" s="8"/>
      <c r="G11" s="8"/>
    </row>
    <row r="12" spans="1:16" ht="20.100000000000001" customHeight="1" x14ac:dyDescent="0.35">
      <c r="A12" s="9" t="s">
        <v>145</v>
      </c>
      <c r="B12" s="6"/>
      <c r="C12" s="6"/>
      <c r="D12" s="7">
        <v>8.6999999999999993</v>
      </c>
      <c r="E12" s="7">
        <v>12.7</v>
      </c>
      <c r="F12" s="8"/>
      <c r="G12" s="8"/>
    </row>
    <row r="13" spans="1:16" ht="20.100000000000001" customHeight="1" x14ac:dyDescent="0.35">
      <c r="A13" s="9" t="s">
        <v>146</v>
      </c>
      <c r="B13" s="6"/>
      <c r="C13" s="6"/>
      <c r="D13" s="7">
        <v>12.5</v>
      </c>
      <c r="E13" s="7">
        <v>13.8</v>
      </c>
      <c r="F13" s="8"/>
      <c r="G13" s="8"/>
    </row>
    <row r="14" spans="1:16" ht="20.100000000000001" customHeight="1" x14ac:dyDescent="0.35">
      <c r="A14" s="9" t="s">
        <v>147</v>
      </c>
      <c r="B14" s="6"/>
      <c r="C14" s="6"/>
      <c r="D14" s="7">
        <v>21.6</v>
      </c>
      <c r="E14" s="7">
        <v>12.4</v>
      </c>
      <c r="F14" s="8"/>
      <c r="G14" s="8"/>
    </row>
    <row r="15" spans="1:16" ht="20.100000000000001" customHeight="1" x14ac:dyDescent="0.35">
      <c r="A15" s="9" t="s">
        <v>148</v>
      </c>
      <c r="B15" s="6"/>
      <c r="C15" s="6"/>
      <c r="D15" s="7">
        <v>12</v>
      </c>
      <c r="E15" s="7">
        <v>31</v>
      </c>
      <c r="F15" s="8"/>
      <c r="G15" s="8"/>
    </row>
    <row r="16" spans="1:16" ht="20.100000000000001" customHeight="1" x14ac:dyDescent="0.35">
      <c r="A16" s="9" t="s">
        <v>149</v>
      </c>
      <c r="B16" s="6"/>
      <c r="C16" s="6"/>
      <c r="D16" s="7">
        <v>15.4</v>
      </c>
      <c r="E16" s="7">
        <v>1.8</v>
      </c>
      <c r="F16" s="8"/>
      <c r="G16" s="8"/>
    </row>
    <row r="17" spans="1:7" ht="20.100000000000001" customHeight="1" x14ac:dyDescent="0.35">
      <c r="A17" s="9" t="s">
        <v>150</v>
      </c>
      <c r="B17" s="6"/>
      <c r="C17" s="6"/>
      <c r="D17" s="7">
        <v>6.8</v>
      </c>
      <c r="E17" s="7">
        <v>24.8</v>
      </c>
      <c r="F17" s="8"/>
      <c r="G17" s="8"/>
    </row>
    <row r="18" spans="1:7" ht="20.100000000000001" customHeight="1" x14ac:dyDescent="0.35">
      <c r="A18" s="9" t="s">
        <v>151</v>
      </c>
      <c r="B18" s="6"/>
      <c r="C18" s="6"/>
      <c r="D18" s="7">
        <v>1.8</v>
      </c>
      <c r="E18" s="7">
        <v>21.1</v>
      </c>
      <c r="F18" s="8"/>
      <c r="G18" s="8"/>
    </row>
    <row r="19" spans="1:7" ht="20.100000000000001" customHeight="1" x14ac:dyDescent="0.35">
      <c r="A19" s="9" t="s">
        <v>152</v>
      </c>
      <c r="B19" s="6"/>
      <c r="C19" s="6"/>
      <c r="D19" s="7">
        <v>15.5</v>
      </c>
      <c r="E19" s="7">
        <v>17.3</v>
      </c>
      <c r="F19" s="8"/>
      <c r="G19" s="8"/>
    </row>
    <row r="20" spans="1:7" ht="20.100000000000001" customHeight="1" x14ac:dyDescent="0.35">
      <c r="A20" s="9" t="s">
        <v>153</v>
      </c>
      <c r="B20" s="6"/>
      <c r="C20" s="6"/>
      <c r="D20" s="7">
        <v>15.8</v>
      </c>
      <c r="E20" s="7">
        <v>15</v>
      </c>
      <c r="F20" s="8"/>
      <c r="G20" s="8"/>
    </row>
    <row r="21" spans="1:7" ht="20.100000000000001" customHeight="1" x14ac:dyDescent="0.35">
      <c r="A21" s="5" t="s">
        <v>154</v>
      </c>
      <c r="B21" s="6"/>
      <c r="C21" s="6"/>
      <c r="D21" s="7">
        <v>4.7</v>
      </c>
      <c r="E21" s="7">
        <v>22.6</v>
      </c>
      <c r="F21" s="8"/>
      <c r="G21" s="8"/>
    </row>
    <row r="22" spans="1:7" ht="20.100000000000001" customHeight="1" x14ac:dyDescent="0.35">
      <c r="A22" s="5" t="s">
        <v>155</v>
      </c>
      <c r="B22" s="6"/>
      <c r="C22" s="6"/>
      <c r="D22" s="7">
        <v>6</v>
      </c>
      <c r="E22" s="7">
        <v>18.600000000000001</v>
      </c>
      <c r="F22" s="8"/>
      <c r="G22" s="8"/>
    </row>
    <row r="23" spans="1:7" ht="20.25" x14ac:dyDescent="0.35">
      <c r="A23" s="9" t="s">
        <v>156</v>
      </c>
      <c r="B23" s="6"/>
      <c r="C23" s="6"/>
      <c r="D23" s="7">
        <v>-1</v>
      </c>
      <c r="E23" s="7">
        <v>20.3</v>
      </c>
      <c r="F23" s="8"/>
      <c r="G23" s="8"/>
    </row>
    <row r="24" spans="1:7" ht="20.25" customHeight="1" x14ac:dyDescent="0.35">
      <c r="A24" s="9" t="s">
        <v>157</v>
      </c>
      <c r="B24" s="6"/>
      <c r="C24" s="6"/>
      <c r="D24" s="7">
        <v>12.2</v>
      </c>
      <c r="E24" s="7">
        <v>10.199999999999999</v>
      </c>
      <c r="F24" s="8"/>
      <c r="G24" s="8"/>
    </row>
    <row r="25" spans="1:7" ht="20.25" x14ac:dyDescent="0.35">
      <c r="A25" s="9" t="s">
        <v>158</v>
      </c>
      <c r="B25" s="6"/>
      <c r="C25" s="6"/>
      <c r="D25" s="7">
        <v>25.5</v>
      </c>
      <c r="E25" s="7">
        <v>12.9</v>
      </c>
      <c r="F25" s="8"/>
      <c r="G25" s="8"/>
    </row>
    <row r="26" spans="1:7" ht="20.25" x14ac:dyDescent="0.35">
      <c r="A26" s="9"/>
      <c r="B26" s="6"/>
      <c r="C26" s="6"/>
      <c r="D26" s="7"/>
      <c r="E26" s="7"/>
      <c r="F26" s="8"/>
      <c r="G26" s="8"/>
    </row>
    <row r="27" spans="1:7" ht="20.25" x14ac:dyDescent="0.35">
      <c r="A27" s="9"/>
      <c r="B27" s="6"/>
      <c r="C27" s="6" t="s">
        <v>74</v>
      </c>
      <c r="D27" s="13">
        <f>AVERAGE(D2:D25)</f>
        <v>10.929166666666667</v>
      </c>
      <c r="E27" s="13">
        <f>AVERAGE(E2:E25)</f>
        <v>15.995833333333337</v>
      </c>
      <c r="F27" s="8"/>
      <c r="G27" s="8"/>
    </row>
    <row r="28" spans="1:7" ht="20.25" x14ac:dyDescent="0.35">
      <c r="A28" s="5"/>
      <c r="B28" s="6"/>
      <c r="C28" s="6" t="s">
        <v>75</v>
      </c>
      <c r="D28" s="13">
        <f>_xlfn.STDEV.S(D2:D25)</f>
        <v>6.6472275467273567</v>
      </c>
      <c r="E28" s="13">
        <f>_xlfn.STDEV.S(E2:E25)</f>
        <v>6.0709199336327613</v>
      </c>
      <c r="F28" s="8"/>
      <c r="G28" s="8"/>
    </row>
    <row r="29" spans="1:7" ht="20.25" x14ac:dyDescent="0.35">
      <c r="A29" s="5"/>
      <c r="B29" s="6"/>
      <c r="C29" s="6"/>
      <c r="D29" s="7"/>
      <c r="E29" s="7"/>
      <c r="F29" s="8"/>
      <c r="G29" s="8"/>
    </row>
    <row r="30" spans="1:7" ht="20.25" x14ac:dyDescent="0.35">
      <c r="A30" s="9"/>
      <c r="B30" s="6"/>
      <c r="C30" s="6"/>
      <c r="D30" s="7"/>
      <c r="E30" s="7"/>
      <c r="F30" s="8"/>
      <c r="G30" s="8"/>
    </row>
    <row r="31" spans="1:7" ht="20.25" x14ac:dyDescent="0.35">
      <c r="A31" s="9"/>
      <c r="B31" s="6"/>
      <c r="C31" s="6"/>
      <c r="D31" s="7"/>
      <c r="E31" s="7"/>
      <c r="F31" s="8"/>
      <c r="G31" s="8"/>
    </row>
    <row r="32" spans="1:7" ht="20.25" x14ac:dyDescent="0.35">
      <c r="A32" s="9"/>
      <c r="B32" s="6"/>
      <c r="C32" s="6"/>
      <c r="D32" s="7"/>
      <c r="E32" s="7"/>
      <c r="F32" s="8"/>
      <c r="G32" s="8"/>
    </row>
    <row r="33" spans="1:7" ht="20.25" x14ac:dyDescent="0.35">
      <c r="A33" s="9"/>
      <c r="B33" s="6"/>
      <c r="C33" s="6"/>
      <c r="D33" s="7"/>
      <c r="E33" s="7"/>
      <c r="F33" s="8"/>
      <c r="G33" s="8"/>
    </row>
    <row r="34" spans="1:7" ht="20.25" x14ac:dyDescent="0.35">
      <c r="A34" s="9"/>
      <c r="B34" s="6"/>
      <c r="C34" s="6"/>
      <c r="D34" s="7"/>
      <c r="E34" s="7"/>
      <c r="F34" s="8"/>
      <c r="G34" s="8"/>
    </row>
    <row r="35" spans="1:7" ht="20.25" x14ac:dyDescent="0.35">
      <c r="A35" s="5"/>
      <c r="B35" s="6"/>
      <c r="C35" s="6"/>
      <c r="D35" s="10"/>
      <c r="E35" s="10"/>
      <c r="F35" s="8"/>
      <c r="G35" s="8"/>
    </row>
    <row r="36" spans="1:7" ht="20.25" x14ac:dyDescent="0.35">
      <c r="A36" s="5"/>
      <c r="B36" s="6"/>
      <c r="C36" s="6"/>
      <c r="D36" s="7"/>
      <c r="E36" s="7"/>
      <c r="F36" s="8"/>
      <c r="G36" s="8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오염원(하수)</vt:lpstr>
      <vt:lpstr>오염원(퇴비)</vt:lpstr>
      <vt:lpstr>오염원(비료)</vt:lpstr>
      <vt:lpstr>오염원(강우)</vt:lpstr>
      <vt:lpstr>오염원(토양_산림 CASE1)</vt:lpstr>
      <vt:lpstr>오염원(토양_산림 CASE2)</vt:lpstr>
      <vt:lpstr>오염원(토양_산림 CASE3)</vt:lpstr>
      <vt:lpstr>오염원(비료)_자료인용, 무기질</vt:lpstr>
      <vt:lpstr>오염원(비료)_자료인용, 유기질</vt:lpstr>
      <vt:lpstr>오염원(비료)_자료인용, 식물성원료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user</cp:lastModifiedBy>
  <cp:lastPrinted>2024-02-24T01:32:10Z</cp:lastPrinted>
  <dcterms:created xsi:type="dcterms:W3CDTF">2018-05-02T05:09:56Z</dcterms:created>
  <dcterms:modified xsi:type="dcterms:W3CDTF">2026-04-17T02:19:15Z</dcterms:modified>
</cp:coreProperties>
</file>