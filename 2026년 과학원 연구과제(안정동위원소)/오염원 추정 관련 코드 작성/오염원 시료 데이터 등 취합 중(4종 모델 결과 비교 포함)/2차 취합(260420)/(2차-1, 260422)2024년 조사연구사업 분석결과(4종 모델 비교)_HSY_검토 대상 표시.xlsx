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1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CASE1)'!$A$1:$E$19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G138" i="37"/>
  <c r="AH138" i="37"/>
  <c r="AI138" i="37"/>
  <c r="AJ138" i="37"/>
  <c r="AG139" i="37"/>
  <c r="AH139" i="37"/>
  <c r="AI139" i="37"/>
  <c r="AJ139" i="37"/>
  <c r="AG140" i="37"/>
  <c r="AH140" i="37"/>
  <c r="AI140" i="37"/>
  <c r="AJ140" i="37"/>
  <c r="AG141" i="37"/>
  <c r="AH141" i="37"/>
  <c r="AI141" i="37"/>
  <c r="AJ141" i="37"/>
  <c r="AG142" i="37"/>
  <c r="AH142" i="37"/>
  <c r="AI142" i="37"/>
  <c r="AJ142" i="37"/>
  <c r="AG143" i="37"/>
  <c r="AH143" i="37"/>
  <c r="AI143" i="37"/>
  <c r="AJ143" i="37"/>
  <c r="AG144" i="37"/>
  <c r="AH144" i="37"/>
  <c r="AI144" i="37"/>
  <c r="AJ144" i="37"/>
  <c r="AG145" i="37"/>
  <c r="AH145" i="37"/>
  <c r="AI145" i="37"/>
  <c r="AJ145" i="37"/>
  <c r="AG146" i="37"/>
  <c r="AH146" i="37"/>
  <c r="AI146" i="37"/>
  <c r="AJ146" i="37"/>
  <c r="AG147" i="37"/>
  <c r="AH147" i="37"/>
  <c r="AI147" i="37"/>
  <c r="AJ147" i="37"/>
  <c r="AG148" i="37"/>
  <c r="AH148" i="37"/>
  <c r="AI148" i="37"/>
  <c r="AJ148" i="37"/>
  <c r="AG149" i="37"/>
  <c r="AH149" i="37"/>
  <c r="AI149" i="37"/>
  <c r="AJ149" i="37"/>
  <c r="AG150" i="37"/>
  <c r="AH150" i="37"/>
  <c r="AI150" i="37"/>
  <c r="AJ150" i="37"/>
  <c r="AG151" i="37"/>
  <c r="AH151" i="37"/>
  <c r="AI151" i="37"/>
  <c r="AJ151" i="37"/>
  <c r="AG152" i="37"/>
  <c r="AH152" i="37"/>
  <c r="AI152" i="37"/>
  <c r="AJ152" i="37"/>
  <c r="AG153" i="37"/>
  <c r="AH153" i="37"/>
  <c r="AI153" i="37"/>
  <c r="AJ153" i="37"/>
  <c r="AG154" i="37"/>
  <c r="AH154" i="37"/>
  <c r="AI154" i="37"/>
  <c r="AJ154" i="37"/>
  <c r="AG155" i="37"/>
  <c r="AH155" i="37"/>
  <c r="AI155" i="37"/>
  <c r="AJ155" i="37"/>
  <c r="AG156" i="37"/>
  <c r="AH156" i="37"/>
  <c r="AI156" i="37"/>
  <c r="AJ156" i="37"/>
  <c r="AG157" i="37"/>
  <c r="AH157" i="37"/>
  <c r="AI157" i="37"/>
  <c r="AJ157" i="37"/>
  <c r="AG158" i="37"/>
  <c r="AH158" i="37"/>
  <c r="AI158" i="37"/>
  <c r="AJ158" i="37"/>
  <c r="AG159" i="37"/>
  <c r="AH159" i="37"/>
  <c r="AI159" i="37"/>
  <c r="AJ159" i="37"/>
  <c r="AG160" i="37"/>
  <c r="AH160" i="37"/>
  <c r="AI160" i="37"/>
  <c r="AJ160" i="37"/>
  <c r="AG161" i="37"/>
  <c r="AH161" i="37"/>
  <c r="AI161" i="37"/>
  <c r="AJ161" i="37"/>
  <c r="AF139" i="37"/>
  <c r="AF140" i="37"/>
  <c r="AF141" i="37"/>
  <c r="AF142" i="37"/>
  <c r="AF143" i="37"/>
  <c r="AF144" i="37"/>
  <c r="AF145" i="37"/>
  <c r="AF146" i="37"/>
  <c r="AF147" i="37"/>
  <c r="AF148" i="37"/>
  <c r="AF149" i="37"/>
  <c r="AF150" i="37"/>
  <c r="AF151" i="37"/>
  <c r="AF152" i="37"/>
  <c r="AF153" i="37"/>
  <c r="AF154" i="37"/>
  <c r="AF155" i="37"/>
  <c r="AF156" i="37"/>
  <c r="AF157" i="37"/>
  <c r="AF158" i="37"/>
  <c r="AF159" i="37"/>
  <c r="AF160" i="37"/>
  <c r="AF161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<sst xmlns="http://schemas.openxmlformats.org/spreadsheetml/2006/main" count="1715" uniqueCount="807">
  <si>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</si>
  <si>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</si>
  <si>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</si>
  <si>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</si>
  <si>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</si>
  <si>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</si>
  <si>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</si>
  <si>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</si>
  <si>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</si>
  <si>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</si>
  <si>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</si>
  <si>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</si>
  <si>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</si>
  <si>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</si>
  <si>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</si>
  <si>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</si>
  <si>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</si>
  <si>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</si>
  <si>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</si>
  <si>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</si>
  <si>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</si>
  <si>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</si>
  <si>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</si>
  <si>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</si>
  <si>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</si>
  <si>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</si>
  <si>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</si>
  <si>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</si>
  <si>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</si>
  <si>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</si>
  <si>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</si>
  <si>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</si>
  <si>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</si>
  <si>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</si>
  <si>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</si>
  <si>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</si>
  <si>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</si>
  <si>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</si>
  <si>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</si>
  <si>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</si>
  <si>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</si>
  <si>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</si>
  <si>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</si>
  <si>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</si>
  <si>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</si>
  <si>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</si>
  <si>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</si>
  <si>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</si>
  <si>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</si>
  <si>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</si>
  <si>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</si>
  <si>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</si>
  <si>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</si>
  <si>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</si>
  <si>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</si>
  <si>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</si>
  <si>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</si>
  <si>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</si>
  <si>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</si>
  <si>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</si>
  <si>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</si>
  <si>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</si>
  <si>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</si>
  <si>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</si>
  <si>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</si>
  <si>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</si>
  <si>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</si>
  <si>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</si>
  <si>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</si>
  <si>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</si>
  <si>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</si>
  <si>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</si>
  <si>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</si>
  <si>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</si>
  <si>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</si>
  <si>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</si>
  <si>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</si>
  <si>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</si>
  <si>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</si>
  <si>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</si>
  <si>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</si>
  <si>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</si>
  <si>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</si>
  <si>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</si>
  <si>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</si>
  <si>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</si>
  <si>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</si>
  <si>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</si>
  <si>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</si>
  <si>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</si>
  <si>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</si>
  <si>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</si>
  <si>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</si>
  <si>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</si>
  <si>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</si>
  <si>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</si>
  <si>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</si>
  <si>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</si>
  <si>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</si>
  <si>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</si>
  <si>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</si>
  <si>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</si>
  <si>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</si>
  <si>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</si>
  <si>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</si>
  <si>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</si>
  <si>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</si>
  <si>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</si>
  <si>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</si>
  <si>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</si>
  <si>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</si>
  <si>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</si>
  <si>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</si>
  <si>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</si>
  <si>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</si>
  <si>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</si>
  <si>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</si>
  <si>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</si>
  <si>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</si>
  <si>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</si>
  <si>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</si>
  <si>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</si>
  <si>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</si>
  <si>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</si>
  <si>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</si>
  <si>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</si>
  <si>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</si>
  <si>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</si>
  <si>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</si>
  <si>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</si>
  <si>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</si>
  <si>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</si>
  <si>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</si>
  <si>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</si>
  <si>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</si>
  <si>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</si>
  <si>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</si>
  <si>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</si>
  <si>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</si>
  <si>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</si>
  <si>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</si>
  <si>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</si>
  <si>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</si>
  <si>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</si>
  <si>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</si>
  <si>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</si>
  <si>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</si>
  <si>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</si>
  <si>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</si>
  <si>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</si>
  <si>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</si>
  <si>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</si>
  <si>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</si>
  <si>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</si>
  <si>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</si>
  <si>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</si>
  <si>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</si>
  <si>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</si>
  <si>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</si>
  <si>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</si>
  <si>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</si>
  <si>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</si>
  <si>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</si>
  <si>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</si>
  <si>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138.5794</t>
  </si>
  <si>
    <t>#################################################################</t>
  </si>
  <si>
    <t># Summary Statistics</t>
  </si>
  <si>
    <t>p.global[5]     0.184 -0.608 -2.831</t>
  </si>
  <si>
    <t>p.global[4]     0.241  0.662  1.108</t>
  </si>
  <si>
    <t>p.global[3]     1.558  2.474  0.805</t>
  </si>
  <si>
    <t>p.global[2]    -0.211 -0.583  0.445</t>
  </si>
  <si>
    <t>p.global[1]    -0.511  0.062  1.219</t>
  </si>
  <si>
    <t>p.fac1[9,5]     0.456 -0.278 -3.566</t>
  </si>
  <si>
    <t>p.fac1[9,4]     0.141  1.518  1.235</t>
  </si>
  <si>
    <t>p.fac1[9,3]     0.607  1.471  1.180</t>
  </si>
  <si>
    <t>p.fac1[9,2]    -0.368 -1.066  0.102</t>
  </si>
  <si>
    <t>p.fac1[9,1]    -0.396 -0.931  1.354</t>
  </si>
  <si>
    <t>p.fac1[8,5]     0.367 -0.910 -1.754</t>
  </si>
  <si>
    <t>p.fac1[8,4]     0.505  1.691  0.340</t>
  </si>
  <si>
    <t>p.fac1[8,3]     0.741  1.557  0.973</t>
  </si>
  <si>
    <t>p.fac1[8,2]     0.527 -1.468  0.574</t>
  </si>
  <si>
    <t>p.fac1[8,1]    -0.651  0.055  1.501</t>
  </si>
  <si>
    <t>p.fac1[7,5]     0.358  0.093 -3.322</t>
  </si>
  <si>
    <t>p.fac1[7,4]    -0.317 -0.166  1.957</t>
  </si>
  <si>
    <t>p.fac1[7,3]     1.510  0.789  0.556</t>
  </si>
  <si>
    <t>p.fac1[7,2]    -0.568 -0.140 -1.314</t>
  </si>
  <si>
    <t>p.fac1[7,1]     0.160  0.077  1.865</t>
  </si>
  <si>
    <t>p.fac1[6,5]     1.059  0.616 -3.949</t>
  </si>
  <si>
    <t>p.fac1[6,4]    -0.971  0.318  1.261</t>
  </si>
  <si>
    <t>p.fac1[6,3]     1.852  0.706  1.773</t>
  </si>
  <si>
    <t>p.fac1[6,2]     0.213 -0.507  0.145</t>
  </si>
  <si>
    <t>p.fac1[6,1]    -0.561 -1.229  1.258</t>
  </si>
  <si>
    <t>p.fac1[5,5]    -0.270 -1.021 -2.426</t>
  </si>
  <si>
    <t>p.fac1[5,4]     0.267  0.235  1.194</t>
  </si>
  <si>
    <t>p.fac1[5,3]     2.236  1.735 -0.431</t>
  </si>
  <si>
    <t>p.fac1[5,2]     1.206  0.619 -0.545</t>
  </si>
  <si>
    <t>p.fac1[5,1]    -1.160  0.651  1.936</t>
  </si>
  <si>
    <t>p.fac1[4,5]     0.494  0.401 -2.178</t>
  </si>
  <si>
    <t>p.fac1[4,4]     0.740  0.655 -0.016</t>
  </si>
  <si>
    <t>p.fac1[4,3]     0.702  0.989  0.428</t>
  </si>
  <si>
    <t>p.fac1[4,2]    -1.548 -0.960  0.787</t>
  </si>
  <si>
    <t>p.fac1[4,1]    -0.818 -0.451  1.875</t>
  </si>
  <si>
    <t>p.fac1[3,5]     1.799 -1.973 -1.745</t>
  </si>
  <si>
    <t>p.fac1[3,4]    -1.707  1.464  0.801</t>
  </si>
  <si>
    <t>p.fac1[3,3]     0.854  1.361 -0.003</t>
  </si>
  <si>
    <t>p.fac1[3,2]     1.081  0.264 -0.424</t>
  </si>
  <si>
    <t>p.fac1[3,1]    -0.444 -0.968  1.195</t>
  </si>
  <si>
    <t>p.fac1[24,5]    0.682  0.603 -2.606</t>
  </si>
  <si>
    <t>p.fac1[24,4]   -0.063  0.831  0.152</t>
  </si>
  <si>
    <t>p.fac1[24,3]    1.411  0.023  0.690</t>
  </si>
  <si>
    <t>p.fac1[24,2]    0.088 -0.775  0.777</t>
  </si>
  <si>
    <t>p.fac1[24,1]   -1.313 -1.925  2.716</t>
  </si>
  <si>
    <t>p.fac1[23,5]    0.622 -0.493 -3.239</t>
  </si>
  <si>
    <t>p.fac1[23,4]    0.203  0.759  0.854</t>
  </si>
  <si>
    <t>p.fac1[23,3]    0.585  2.259  0.985</t>
  </si>
  <si>
    <t>p.fac1[23,2]   -0.896 -0.131  0.689</t>
  </si>
  <si>
    <t>p.fac1[23,1]   -0.394 -0.454  2.158</t>
  </si>
  <si>
    <t>p.fac1[22,5]    0.279  0.182 -2.645</t>
  </si>
  <si>
    <t>p.fac1[22,4]    1.295 -0.148  1.737</t>
  </si>
  <si>
    <t>p.fac1[22,3]    1.209  0.442  1.882</t>
  </si>
  <si>
    <t>p.fac1[22,2]   -0.838  0.624 -1.368</t>
  </si>
  <si>
    <t>p.fac1[22,1]   -1.796 -0.590  1.896</t>
  </si>
  <si>
    <t>p.fac1[21,5]   -0.365 -0.441 -2.234</t>
  </si>
  <si>
    <t>p.fac1[21,4]    1.141  1.459  1.606</t>
  </si>
  <si>
    <t>p.fac1[21,3]    1.098  1.022  0.947</t>
  </si>
  <si>
    <t>p.fac1[21,2]   -0.334 -0.671 -0.675</t>
  </si>
  <si>
    <t>p.fac1[21,1]   -0.434 -0.834  1.196</t>
  </si>
  <si>
    <t>p.fac1[20,5]   -0.681 -0.588 -0.711</t>
  </si>
  <si>
    <t>p.fac1[20,4]    0.345  0.586  0.045</t>
  </si>
  <si>
    <t>p.fac1[20,3]    1.299  0.932  1.859</t>
  </si>
  <si>
    <t>p.fac1[20,2]   -0.354 -0.632 -0.559</t>
  </si>
  <si>
    <t>p.fac1[20,1]   -0.176  0.321  0.757</t>
  </si>
  <si>
    <t>p.fac1[2,5]     0.917 -1.224 -0.684</t>
  </si>
  <si>
    <t>p.fac1[2,4]    -0.738  0.192 -0.383</t>
  </si>
  <si>
    <t>p.fac1[2,3]     2.040  1.905  1.278</t>
  </si>
  <si>
    <t>p.fac1[2,2]     0.739  0.156  0.889</t>
  </si>
  <si>
    <t>p.fac1[2,1]    -1.141  0.747  0.014</t>
  </si>
  <si>
    <t>p.fac1[19,5]    0.574 -1.163 -0.268</t>
  </si>
  <si>
    <t>p.fac1[19,4]   -0.332  0.176 -0.948</t>
  </si>
  <si>
    <t>p.fac1[19,3]    0.946  1.028  0.313</t>
  </si>
  <si>
    <t>p.fac1[19,2]   -0.245  0.299  1.206</t>
  </si>
  <si>
    <t>p.fac1[19,1]    0.146  0.367  0.076</t>
  </si>
  <si>
    <t>p.fac1[18,5]    1.365 -0.884  0.300</t>
  </si>
  <si>
    <t>p.fac1[18,4]   -0.696  0.181  0.273</t>
  </si>
  <si>
    <t>p.fac1[18,3]    1.467  1.701  0.299</t>
  </si>
  <si>
    <t>p.fac1[18,2]   -0.126 -0.074 -1.180</t>
  </si>
  <si>
    <t>p.fac1[18,1]   -0.951  0.269  0.600</t>
  </si>
  <si>
    <t>p.fac1[17,5]   -0.353 -0.422 -0.943</t>
  </si>
  <si>
    <t>p.fac1[17,4]    0.483  0.697  0.672</t>
  </si>
  <si>
    <t>p.fac1[17,3]    1.881  1.675  0.594</t>
  </si>
  <si>
    <t>p.fac1[17,2]   -0.401 -0.462 -0.546</t>
  </si>
  <si>
    <t>p.fac1[17,1]   -0.799 -0.541  0.611</t>
  </si>
  <si>
    <t>p.fac1[16,5]   -1.000 -1.850 -2.996</t>
  </si>
  <si>
    <t>p.fac1[16,4]    2.046  0.968  1.431</t>
  </si>
  <si>
    <t>p.fac1[16,3]    0.293  1.851  1.921</t>
  </si>
  <si>
    <t>p.fac1[16,2]   -0.921  0.902  0.057</t>
  </si>
  <si>
    <t>p.fac1[16,1]   -0.518  0.078  1.250</t>
  </si>
  <si>
    <t>p.fac1[15,5]   -0.588 -0.926 -0.392</t>
  </si>
  <si>
    <t>p.fac1[15,4]    0.308  0.702  1.194</t>
  </si>
  <si>
    <t>p.fac1[15,3]    1.496  1.122  0.520</t>
  </si>
  <si>
    <t>p.fac1[15,2]    0.121 -0.541 -1.377</t>
  </si>
  <si>
    <t>p.fac1[15,1]   -0.925  0.290 -0.014</t>
  </si>
  <si>
    <t>p.fac1[14,5]   -0.165 -0.572 -1.867</t>
  </si>
  <si>
    <t>p.fac1[14,4]    1.217 -0.481  0.348</t>
  </si>
  <si>
    <t>p.fac1[14,3]    2.003  2.182  0.779</t>
  </si>
  <si>
    <t>p.fac1[14,2]   -1.323  1.037  0.429</t>
  </si>
  <si>
    <t>p.fac1[14,1]   -1.712  0.281  1.416</t>
  </si>
  <si>
    <t>p.fac1[13,5]   -0.552 -1.106 -1.125</t>
  </si>
  <si>
    <t>p.fac1[13,4]    1.193  0.764 -0.553</t>
  </si>
  <si>
    <t>p.fac1[13,3]    2.093  0.721  0.452</t>
  </si>
  <si>
    <t>p.fac1[13,2]   -2.021  0.704  1.103</t>
  </si>
  <si>
    <t>p.fac1[13,1]   -0.717 -0.426  1.005</t>
  </si>
  <si>
    <t>p.fac1[12,5]   -1.123 -0.719 -4.044</t>
  </si>
  <si>
    <t>p.fac1[12,4]    0.096  1.173  1.987</t>
  </si>
  <si>
    <t>p.fac1[12,3]   -1.089  2.493  1.300</t>
  </si>
  <si>
    <t>p.fac1[12,2]    0.744 -0.715  0.139</t>
  </si>
  <si>
    <t>p.fac1[12,1]    0.985 -0.222  2.036</t>
  </si>
  <si>
    <t>p.fac1[11,5]    0.384 -2.023 -1.671</t>
  </si>
  <si>
    <t>p.fac1[11,4]    0.077  2.446  0.772</t>
  </si>
  <si>
    <t>p.fac1[11,3]    0.686  1.692 -0.705</t>
  </si>
  <si>
    <t>p.fac1[11,2]   -0.226 -1.547 -0.821</t>
  </si>
  <si>
    <t>p.fac1[11,1]   -0.507  0.713  1.748</t>
  </si>
  <si>
    <t>p.fac1[10,5]   -0.391 -0.155 -2.496</t>
  </si>
  <si>
    <t>p.fac1[10,4]    0.255 -0.216  1.588</t>
  </si>
  <si>
    <t>p.fac1[10,3]    1.741  1.369  1.017</t>
  </si>
  <si>
    <t>p.fac1[10,2]   -0.017  0.593 -0.188</t>
  </si>
  <si>
    <t>p.fac1[10,1]   -0.081 -0.318  1.256</t>
  </si>
  <si>
    <t>p.fac1[1,5]     0.184 -0.608 -2.831</t>
  </si>
  <si>
    <t>p.fac1[1,4]     0.241  0.662  1.108</t>
  </si>
  <si>
    <t>p.fac1[1,3]     1.558  2.474  0.805</t>
  </si>
  <si>
    <t>p.fac1[1,2]    -0.211 -0.583  0.445</t>
  </si>
  <si>
    <t>p.fac1[1,1]    -0.511  0.062  1.219</t>
  </si>
  <si>
    <t>loglik[9]      -1.576  0.032  2.539</t>
  </si>
  <si>
    <t>loglik[8]      -0.452 -1.079 -0.554</t>
  </si>
  <si>
    <t>loglik[7]      -1.533 -0.176  0.396</t>
  </si>
  <si>
    <t>loglik[6]       1.005 -0.231 -0.284</t>
  </si>
  <si>
    <t>loglik[5]      -0.655  0.018 -0.295</t>
  </si>
  <si>
    <t>loglik[4]      -1.283 -0.322 -0.678</t>
  </si>
  <si>
    <t>loglik[3]      -0.258  3.600  0.680</t>
  </si>
  <si>
    <t>loglik[24]     -0.130 -0.628 -2.100</t>
  </si>
  <si>
    <t>loglik[23]     -0.029 -0.851 -0.038</t>
  </si>
  <si>
    <t>loglik[22]      1.333 -1.314 -0.210</t>
  </si>
  <si>
    <t>loglik[21]     -0.180 -0.194 -1.721</t>
  </si>
  <si>
    <t>loglik[20]      0.937  0.549  0.239</t>
  </si>
  <si>
    <t>loglik[2]      -0.838  0.736  0.004</t>
  </si>
  <si>
    <t>loglik[19]     -0.712  1.197  0.523</t>
  </si>
  <si>
    <t>loglik[18]     -0.677  0.390 -1.144</t>
  </si>
  <si>
    <t>loglik[17]     -0.493 -0.787  0.268</t>
  </si>
  <si>
    <t>loglik[16]      1.048 -0.973 -0.964</t>
  </si>
  <si>
    <t>loglik[15]      0.178 -0.488 -1.613</t>
  </si>
  <si>
    <t>loglik[14]      0.167 -1.263 -0.516</t>
  </si>
  <si>
    <t>loglik[13]      1.384 -0.338 -0.654</t>
  </si>
  <si>
    <t>loglik[12]     -0.393  1.007  0.357</t>
  </si>
  <si>
    <t>loglik[11]     -1.414  1.141  0.113</t>
  </si>
  <si>
    <t>loglik[10]     -0.005  0.708 -0.883</t>
  </si>
  <si>
    <t>loglik[1]      -0.008 -0.124 -3.005</t>
  </si>
  <si>
    <t>ilr.fac1[9,4]  -1.203 -0.857  2.009</t>
  </si>
  <si>
    <t>ilr.fac1[9,3]  -0.583 -1.765 -0.093</t>
  </si>
  <si>
    <t>ilr.fac1[9,2]  -0.002 -0.901 -0.463</t>
  </si>
  <si>
    <t>ilr.fac1[9,1]   0.489  0.104 -0.011</t>
  </si>
  <si>
    <t>ilr.fac1[8,4]  -0.317  1.445  0.550</t>
  </si>
  <si>
    <t>ilr.fac1[8,3]  -0.925 -1.020  3.147</t>
  </si>
  <si>
    <t>ilr.fac1[8,2]   0.797 -1.685  0.155</t>
  </si>
  <si>
    <t>ilr.fac1[8,1]  -1.321  0.103  1.339</t>
  </si>
  <si>
    <t>ilr.fac1[7,4]  -0.187 -0.506  1.209</t>
  </si>
  <si>
    <t>ilr.fac1[7,3]   0.423 -0.113 -1.036</t>
  </si>
  <si>
    <t>ilr.fac1[7,2]   0.917  1.019 -1.159</t>
  </si>
  <si>
    <t>ilr.fac1[7,1]   1.708 -0.594  1.810</t>
  </si>
  <si>
    <t>ilr.fac1[6,4]  -0.404 -1.397  1.571</t>
  </si>
  <si>
    <t>ilr.fac1[6,3]   1.050 -0.692  0.469</t>
  </si>
  <si>
    <t>ilr.fac1[6,2]  -1.833  0.505 -1.056</t>
  </si>
  <si>
    <t>ilr.fac1[6,1]  -0.621 -1.032  0.521</t>
  </si>
  <si>
    <t>ilr.fac1[5,4]   1.001  0.713  0.664</t>
  </si>
  <si>
    <t>ilr.fac1[5,3]   1.047  0.575 -0.452</t>
  </si>
  <si>
    <t>ilr.fac1[5,2]  -0.448  0.782  3.023</t>
  </si>
  <si>
    <t>ilr.fac1[5,1]  -1.249  0.041  3.584</t>
  </si>
  <si>
    <t>ilr.fac1[4,4]  -0.259 -1.588  0.722</t>
  </si>
  <si>
    <t>ilr.fac1[4,3]  -1.352 -1.040  0.821</t>
  </si>
  <si>
    <t>ilr.fac1[4,2]   0.022 -0.288  0.969</t>
  </si>
  <si>
    <t>ilr.fac1[4,1]   0.883 -0.004 -0.272</t>
  </si>
  <si>
    <t>ilr.fac1[3,4]  -1.587  0.585 -0.099</t>
  </si>
  <si>
    <t>ilr.fac1[3,3]   0.901 -1.644  0.003</t>
  </si>
  <si>
    <t>ilr.fac1[3,2]  -0.470  1.551  0.564</t>
  </si>
  <si>
    <t>ilr.fac1[3,1]  -1.720 -2.161  0.425</t>
  </si>
  <si>
    <t>ilr.fac1[24,4] -0.055 -2.543  0.507</t>
  </si>
  <si>
    <t>ilr.fac1[24,3]  0.004 -2.318  0.779</t>
  </si>
  <si>
    <t>ilr.fac1[24,2] -0.906  0.883 -0.317</t>
  </si>
  <si>
    <t>ilr.fac1[24,1] -1.012 -2.705  1.200</t>
  </si>
  <si>
    <t>ilr.fac1[23,4] -0.237  0.265  1.487</t>
  </si>
  <si>
    <t>ilr.fac1[23,3] -0.292  0.002  0.035</t>
  </si>
  <si>
    <t>ilr.fac1[23,2] -0.226 -0.337 -0.198</t>
  </si>
  <si>
    <t>ilr.fac1[23,1]  2.151 -0.208 -0.420</t>
  </si>
  <si>
    <t>ilr.fac1[22,4] -1.184 -1.015  1.632</t>
  </si>
  <si>
    <t>ilr.fac1[22,3] -1.020 -0.148  0.149</t>
  </si>
  <si>
    <t>ilr.fac1[22,2] -1.733  0.794 -1.434</t>
  </si>
  <si>
    <t>ilr.fac1[22,1] -0.319 -1.696  0.531</t>
  </si>
  <si>
    <t>ilr.fac1[21,4]  0.652 -1.128 -0.048</t>
  </si>
  <si>
    <t>ilr.fac1[21,3] -0.090 -1.281 -0.395</t>
  </si>
  <si>
    <t>ilr.fac1[21,2]  0.267  0.387 -0.192</t>
  </si>
  <si>
    <t>ilr.fac1[21,1] -0.340 -0.889  0.939</t>
  </si>
  <si>
    <t>ilr.fac1[20,4]  0.560 -0.035 -1.736</t>
  </si>
  <si>
    <t>ilr.fac1[20,3]  0.540 -0.554 -0.274</t>
  </si>
  <si>
    <t>ilr.fac1[20,2] -0.948  0.539 -0.497</t>
  </si>
  <si>
    <t>ilr.fac1[20,1]  2.026  0.765 -0.229</t>
  </si>
  <si>
    <t>ilr.fac1[2,4]  -1.605  1.013 -1.490</t>
  </si>
  <si>
    <t>ilr.fac1[2,3]   0.774  0.957 -0.182</t>
  </si>
  <si>
    <t>ilr.fac1[2,2]   0.156 -2.192 -0.829</t>
  </si>
  <si>
    <t>ilr.fac1[2,1]   0.300  0.335 -1.056</t>
  </si>
  <si>
    <t>ilr.fac1[19,4] -0.435  0.497 -2.614</t>
  </si>
  <si>
    <t>ilr.fac1[19,3]  0.809  0.552  0.609</t>
  </si>
  <si>
    <t>ilr.fac1[19,2]  0.816  0.445  0.260</t>
  </si>
  <si>
    <t>ilr.fac1[19,1] -0.297 -0.052 -2.310</t>
  </si>
  <si>
    <t>ilr.fac1[18,4] -1.488  0.722 -2.485</t>
  </si>
  <si>
    <t>ilr.fac1[18,3]  0.547 -0.052 -0.895</t>
  </si>
  <si>
    <t>ilr.fac1[18,2]  1.011  0.318 -0.827</t>
  </si>
  <si>
    <t>ilr.fac1[18,1]  0.370 -1.215 -1.671</t>
  </si>
  <si>
    <t>ilr.fac1[17,4]  1.723 -0.660 -0.469</t>
  </si>
  <si>
    <t>ilr.fac1[17,3]  0.441 -0.934 -0.536</t>
  </si>
  <si>
    <t>ilr.fac1[17,2] -0.499  0.592 -0.126</t>
  </si>
  <si>
    <t>ilr.fac1[17,1] -0.380 -0.055 -1.052</t>
  </si>
  <si>
    <t>ilr.fac1[16,4]  0.563  0.970  1.246</t>
  </si>
  <si>
    <t>ilr.fac1[16,3] -1.755 -0.077  0.603</t>
  </si>
  <si>
    <t>ilr.fac1[16,2]  0.897 -0.146 -0.915</t>
  </si>
  <si>
    <t>ilr.fac1[16,1]  0.789 -1.194  0.142</t>
  </si>
  <si>
    <t>ilr.fac1[15,4]  0.548 -0.715 -2.218</t>
  </si>
  <si>
    <t>ilr.fac1[15,3] -0.050 -0.896 -2.530</t>
  </si>
  <si>
    <t>ilr.fac1[15,2]  0.576  2.317  0.040</t>
  </si>
  <si>
    <t>ilr.fac1[15,1]  0.536 -0.468 -1.542</t>
  </si>
  <si>
    <t>ilr.fac1[14,4] -0.734  0.596 -0.802</t>
  </si>
  <si>
    <t>ilr.fac1[14,3] -1.543  1.011 -0.239</t>
  </si>
  <si>
    <t>ilr.fac1[14,2] -0.188  0.026  0.182</t>
  </si>
  <si>
    <t>ilr.fac1[14,1]  1.455 -0.263  0.234</t>
  </si>
  <si>
    <t>ilr.fac1[13,4]  0.763  0.034 -0.819</t>
  </si>
  <si>
    <t>ilr.fac1[13,3] -0.648 -1.083  0.255</t>
  </si>
  <si>
    <t>ilr.fac1[13,2] -1.014  0.655 -2.306</t>
  </si>
  <si>
    <t>ilr.fac1[13,1]  2.420 -2.036 -0.992</t>
  </si>
  <si>
    <t>ilr.fac1[12,4]  1.854  0.069  2.067</t>
  </si>
  <si>
    <t>ilr.fac1[12,3]  0.799 -0.602 -0.418</t>
  </si>
  <si>
    <t>ilr.fac1[12,2]  2.870 -0.462 -0.660</t>
  </si>
  <si>
    <t>ilr.fac1[12,1]  0.910  0.041  0.406</t>
  </si>
  <si>
    <t>ilr.fac1[11,4]  0.580  1.341 -1.283</t>
  </si>
  <si>
    <t>ilr.fac1[11,3]  0.645 -1.237 -1.221</t>
  </si>
  <si>
    <t>ilr.fac1[11,2] -0.318  0.764  0.321</t>
  </si>
  <si>
    <t>ilr.fac1[11,1]  0.396  1.485  1.478</t>
  </si>
  <si>
    <t>ilr.fac1[10,4]  1.174  0.353  1.565</t>
  </si>
  <si>
    <t>ilr.fac1[10,3]  0.629  1.167  0.363</t>
  </si>
  <si>
    <t>ilr.fac1[10,2] -0.386  0.082 -0.981</t>
  </si>
  <si>
    <t>ilr.fac1[10,1]  0.565 -1.128  0.589</t>
  </si>
  <si>
    <t>deviance        1.981  1.111  0.915</t>
  </si>
  <si>
    <t xml:space="preserve">               chain1 chain2 chain3</t>
  </si>
  <si>
    <t>And here are the Geweke diagnostics for all variables:</t>
  </si>
  <si>
    <t>Geweke      11      16      32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</si>
  <si>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</si>
  <si>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</si>
  <si>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</si>
  <si>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</si>
  <si>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</si>
  <si>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</si>
  <si>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1.0001497  1.0007370</t>
  </si>
  <si>
    <t>p.global[4]     1.0012327  1.0051990</t>
  </si>
  <si>
    <t>p.global[3]     1.0509511  1.0570926</t>
  </si>
  <si>
    <t>p.global[2]     1.0048374  1.0120528</t>
  </si>
  <si>
    <t>p.global[1]     1.0001501  1.0004817</t>
  </si>
  <si>
    <t>p.fac1[9,5]     1.0002337  1.0015246</t>
  </si>
  <si>
    <t>p.fac1[9,4]     1.0014910  1.0058770</t>
  </si>
  <si>
    <t>p.fac1[9,3]     1.0090803  1.0103606</t>
  </si>
  <si>
    <t>p.fac1[9,2]     1.0020749  1.0066326</t>
  </si>
  <si>
    <t>p.fac1[9,1]     0.9996564  0.9997874</t>
  </si>
  <si>
    <t>p.fac1[8,5]     0.9996913  1.0000118</t>
  </si>
  <si>
    <t>p.fac1[8,4]     1.0041511  1.0064044</t>
  </si>
  <si>
    <t>p.fac1[8,3]     1.0779822  1.0842865</t>
  </si>
  <si>
    <t>p.fac1[8,2]     1.0038846  1.0078075</t>
  </si>
  <si>
    <t>p.fac1[8,1]     1.0000413  1.0012962</t>
  </si>
  <si>
    <t>p.fac1[7,5]     1.0002739  1.0014851</t>
  </si>
  <si>
    <t>p.fac1[7,4]     0.9998635  1.0000236</t>
  </si>
  <si>
    <t>p.fac1[7,3]     1.0096400  1.0106515</t>
  </si>
  <si>
    <t>p.fac1[7,2]     0.9997059  1.0000207</t>
  </si>
  <si>
    <t>p.fac1[7,1]     1.0009371  1.0024128</t>
  </si>
  <si>
    <t>p.fac1[6,5]     1.0005437  1.0032713</t>
  </si>
  <si>
    <t>p.fac1[6,4]     0.9999662  1.0006935</t>
  </si>
  <si>
    <t>p.fac1[6,3]     1.0062525  1.0102953</t>
  </si>
  <si>
    <t>p.fac1[6,2]     1.0016029  1.0054017</t>
  </si>
  <si>
    <t>p.fac1[6,1]     1.0006382  1.0029197</t>
  </si>
  <si>
    <t>p.fac1[5,5]     1.0004618  1.0019868</t>
  </si>
  <si>
    <t>p.fac1[5,4]     1.0012742  1.0042197</t>
  </si>
  <si>
    <t>p.fac1[5,3]     1.0080573  1.0108519</t>
  </si>
  <si>
    <t>p.fac1[5,2]     1.0016167  1.0047648</t>
  </si>
  <si>
    <t>p.fac1[5,1]     0.9996245  0.9999096</t>
  </si>
  <si>
    <t>p.fac1[4,5]     1.0018423  1.0065578</t>
  </si>
  <si>
    <t>p.fac1[4,4]     1.0020586  1.0086412</t>
  </si>
  <si>
    <t>p.fac1[4,3]     1.0045680  1.0056525</t>
  </si>
  <si>
    <t>p.fac1[4,2]     1.0033635  1.0085004</t>
  </si>
  <si>
    <t>p.fac1[4,1]     1.0035710  1.0050867</t>
  </si>
  <si>
    <t>p.fac1[3,5]     1.0004102  1.0013436</t>
  </si>
  <si>
    <t>p.fac1[3,4]     1.0005963  1.0032348</t>
  </si>
  <si>
    <t>p.fac1[3,3]     1.0192668  1.0204679</t>
  </si>
  <si>
    <t>p.fac1[3,2]     1.0007897  1.0037092</t>
  </si>
  <si>
    <t>p.fac1[3,1]     0.9997187  0.9997755</t>
  </si>
  <si>
    <t>p.fac1[24,5]    1.0000160  1.0009217</t>
  </si>
  <si>
    <t>p.fac1[24,4]    1.0002128  1.0015739</t>
  </si>
  <si>
    <t>p.fac1[24,3]    1.0214585  1.0248432</t>
  </si>
  <si>
    <t>p.fac1[24,2]    1.0016903  1.0041396</t>
  </si>
  <si>
    <t>p.fac1[24,1]    1.0016349  1.0040709</t>
  </si>
  <si>
    <t>p.fac1[23,5]    1.0000449  1.0006877</t>
  </si>
  <si>
    <t>p.fac1[23,4]    1.0000057  1.0012982</t>
  </si>
  <si>
    <t>p.fac1[23,3]    1.0086731  1.0092472</t>
  </si>
  <si>
    <t>p.fac1[23,2]    0.9998276  1.0006381</t>
  </si>
  <si>
    <t>p.fac1[23,1]    1.0014293  1.0026127</t>
  </si>
  <si>
    <t>p.fac1[22,5]    1.0008140  1.0042887</t>
  </si>
  <si>
    <t>p.fac1[22,4]    0.9997840  0.9999015</t>
  </si>
  <si>
    <t>p.fac1[22,3]    1.0045660  1.0080582</t>
  </si>
  <si>
    <t>p.fac1[22,2]    1.0039975  1.0100994</t>
  </si>
  <si>
    <t>p.fac1[22,1]    1.0020170  1.0049194</t>
  </si>
  <si>
    <t>p.fac1[21,5]    0.9996355  0.9999221</t>
  </si>
  <si>
    <t>p.fac1[21,4]    1.0013314  1.0030819</t>
  </si>
  <si>
    <t>p.fac1[21,3]    1.0083255  1.0090061</t>
  </si>
  <si>
    <t>p.fac1[21,2]    1.0008088  1.0023880</t>
  </si>
  <si>
    <t>p.fac1[21,1]    1.0004869  1.0012293</t>
  </si>
  <si>
    <t>p.fac1[20,5]    1.0011954  1.0037226</t>
  </si>
  <si>
    <t>p.fac1[20,4]    1.0009941  1.0038958</t>
  </si>
  <si>
    <t>p.fac1[20,3]    1.0060554  1.0076384</t>
  </si>
  <si>
    <t>p.fac1[20,2]    1.0024630  1.0044758</t>
  </si>
  <si>
    <t>p.fac1[20,1]    1.0003862  1.0020826</t>
  </si>
  <si>
    <t>p.fac1[2,5]     1.0012219  1.0048130</t>
  </si>
  <si>
    <t>p.fac1[2,4]     1.0006957  1.0038131</t>
  </si>
  <si>
    <t>p.fac1[2,3]     1.0073304  1.0096653</t>
  </si>
  <si>
    <t>p.fac1[2,2]     0.9998327  1.0005524</t>
  </si>
  <si>
    <t>p.fac1[2,1]     0.9995975  0.9997516</t>
  </si>
  <si>
    <t>p.fac1[19,5]    1.0000810  1.0013042</t>
  </si>
  <si>
    <t>p.fac1[19,4]    1.0003636  1.0012995</t>
  </si>
  <si>
    <t>p.fac1[19,3]    1.0023712  1.0026633</t>
  </si>
  <si>
    <t>p.fac1[19,2]    1.0017795  1.0048868</t>
  </si>
  <si>
    <t>p.fac1[19,1]    1.0032913  1.0096031</t>
  </si>
  <si>
    <t>p.fac1[18,5]    1.0000383  1.0001392</t>
  </si>
  <si>
    <t>p.fac1[18,4]    1.0004972  1.0031459</t>
  </si>
  <si>
    <t>p.fac1[18,3]    1.0020004  1.0021947</t>
  </si>
  <si>
    <t>p.fac1[18,2]    1.0013949  1.0052936</t>
  </si>
  <si>
    <t>p.fac1[18,1]    1.0003690  1.0004425</t>
  </si>
  <si>
    <t>p.fac1[17,5]    1.0012918  1.0028483</t>
  </si>
  <si>
    <t>p.fac1[17,4]    1.0005496  1.0026712</t>
  </si>
  <si>
    <t>p.fac1[17,3]    1.0154796  1.0195222</t>
  </si>
  <si>
    <t>p.fac1[17,2]    1.0011756  1.0033294</t>
  </si>
  <si>
    <t>p.fac1[17,1]    0.9995485  0.9996616</t>
  </si>
  <si>
    <t>p.fac1[16,5]    1.0006458  1.0006739</t>
  </si>
  <si>
    <t>p.fac1[16,4]    0.9995749  0.9995990</t>
  </si>
  <si>
    <t>p.fac1[16,3]    1.0287660  1.0314611</t>
  </si>
  <si>
    <t>p.fac1[16,2]    1.0006163  1.0020493</t>
  </si>
  <si>
    <t>p.fac1[16,1]    1.0000973  1.0012584</t>
  </si>
  <si>
    <t>p.fac1[15,5]    1.0024386  1.0094773</t>
  </si>
  <si>
    <t>p.fac1[15,4]    1.0033287  1.0130293</t>
  </si>
  <si>
    <t>p.fac1[15,3]    1.0016866  1.0022196</t>
  </si>
  <si>
    <t>p.fac1[15,2]    1.0023325  1.0074431</t>
  </si>
  <si>
    <t>p.fac1[15,1]    0.9997724  1.0002906</t>
  </si>
  <si>
    <t>p.fac1[14,5]    1.0007945  1.0041796</t>
  </si>
  <si>
    <t>p.fac1[14,4]    1.0014237  1.0053756</t>
  </si>
  <si>
    <t>p.fac1[14,3]    1.0003558  1.0013766</t>
  </si>
  <si>
    <t>p.fac1[14,2]    1.0020142  1.0056062</t>
  </si>
  <si>
    <t>p.fac1[14,1]    1.0022530  1.0049013</t>
  </si>
  <si>
    <t>p.fac1[13,5]    1.0001808  1.0010778</t>
  </si>
  <si>
    <t>p.fac1[13,4]    0.9996853  0.9998430</t>
  </si>
  <si>
    <t>p.fac1[13,3]    1.0137799  1.0227107</t>
  </si>
  <si>
    <t>p.fac1[13,2]    1.0006053  1.0015625</t>
  </si>
  <si>
    <t>p.fac1[13,1]    1.0007321  1.0012883</t>
  </si>
  <si>
    <t>p.fac1[12,5]    1.0003508  1.0009759</t>
  </si>
  <si>
    <t>p.fac1[12,4]    1.0006257  1.0017289</t>
  </si>
  <si>
    <t>p.fac1[12,3]    1.0075889  1.0100733</t>
  </si>
  <si>
    <t>p.fac1[12,2]    1.0013015  1.0035002</t>
  </si>
  <si>
    <t>p.fac1[12,1]    1.0028327  1.0055283</t>
  </si>
  <si>
    <t>p.fac1[11,5]    1.0007701  1.0035350</t>
  </si>
  <si>
    <t>p.fac1[11,4]    1.0001885  1.0015776</t>
  </si>
  <si>
    <t>p.fac1[11,3]    1.0196454  1.0202322</t>
  </si>
  <si>
    <t>p.fac1[11,2]    1.0008432  1.0016176</t>
  </si>
  <si>
    <t>p.fac1[11,1]    1.0018339  1.0074479</t>
  </si>
  <si>
    <t>p.fac1[10,5]    1.0002570  1.0018175</t>
  </si>
  <si>
    <t>p.fac1[10,4]    1.0010284  1.0050332</t>
  </si>
  <si>
    <t>p.fac1[10,3]    1.0015920  1.0018328</t>
  </si>
  <si>
    <t>p.fac1[10,2]    1.0011779  1.0037325</t>
  </si>
  <si>
    <t>p.fac1[10,1]    1.0007863  1.0028239</t>
  </si>
  <si>
    <t>p.fac1[1,5]     1.0001497  1.0007370</t>
  </si>
  <si>
    <t>p.fac1[1,4]     1.0012327  1.0051990</t>
  </si>
  <si>
    <t>p.fac1[1,3]     1.0509511  1.0570926</t>
  </si>
  <si>
    <t>p.fac1[1,2]     1.0048374  1.0120528</t>
  </si>
  <si>
    <t>p.fac1[1,1]     1.0001501  1.0004817</t>
  </si>
  <si>
    <t>loglik[9]       1.0003408  1.0016113</t>
  </si>
  <si>
    <t>loglik[8]       1.0043426  1.0074969</t>
  </si>
  <si>
    <t>loglik[7]       1.0032397  1.0063126</t>
  </si>
  <si>
    <t>loglik[6]       1.0014396  1.0021572</t>
  </si>
  <si>
    <t>loglik[5]       1.0001299  1.0008156</t>
  </si>
  <si>
    <t>loglik[4]       1.0055053  1.0111565</t>
  </si>
  <si>
    <t>loglik[3]       1.0080800  1.0151493</t>
  </si>
  <si>
    <t>loglik[24]      1.0005898  1.0023289</t>
  </si>
  <si>
    <t>loglik[23]      1.0007171  1.0020653</t>
  </si>
  <si>
    <t>loglik[22]      1.0001987  1.0012598</t>
  </si>
  <si>
    <t>loglik[21]      1.0028237  1.0039195</t>
  </si>
  <si>
    <t>loglik[20]      1.0016817  1.0054041</t>
  </si>
  <si>
    <t>loglik[2]       1.0002717  1.0022034</t>
  </si>
  <si>
    <t>loglik[19]      1.0028546  1.0038562</t>
  </si>
  <si>
    <t>loglik[18]      1.0031995  1.0068429</t>
  </si>
  <si>
    <t>loglik[17]      1.0009647  1.0023095</t>
  </si>
  <si>
    <t>loglik[16]      1.0034894  1.0123333</t>
  </si>
  <si>
    <t>loglik[15]      1.0006243  1.0006281</t>
  </si>
  <si>
    <t>loglik[14]      1.0014494  1.0019064</t>
  </si>
  <si>
    <t>loglik[13]      0.9998785  1.0000309</t>
  </si>
  <si>
    <t>loglik[12]      1.0002730  1.0005188</t>
  </si>
  <si>
    <t>loglik[11]      1.0001721  1.0019666</t>
  </si>
  <si>
    <t>loglik[10]      1.0009287  1.0031811</t>
  </si>
  <si>
    <t>loglik[1]       1.0007631  1.0008854</t>
  </si>
  <si>
    <t>ilr.fac1[9,4]   0.9998602  1.0002708</t>
  </si>
  <si>
    <t>ilr.fac1[9,3]   1.0016854  1.0054468</t>
  </si>
  <si>
    <t>ilr.fac1[9,2]   1.0010837  1.0027839</t>
  </si>
  <si>
    <t>ilr.fac1[9,1]   0.9999036  1.0007292</t>
  </si>
  <si>
    <t>ilr.fac1[8,4]   0.9999305  1.0008709</t>
  </si>
  <si>
    <t>ilr.fac1[8,3]   1.0000521  1.0007126</t>
  </si>
  <si>
    <t>ilr.fac1[8,2]   1.0015944  1.0035030</t>
  </si>
  <si>
    <t>ilr.fac1[8,1]   1.0010528  1.0043654</t>
  </si>
  <si>
    <t>ilr.fac1[7,4]   1.0012652  1.0042223</t>
  </si>
  <si>
    <t>ilr.fac1[7,3]   0.9998666  1.0006849</t>
  </si>
  <si>
    <t>ilr.fac1[7,2]   1.0006905  1.0019595</t>
  </si>
  <si>
    <t>ilr.fac1[7,1]   1.0009271  1.0042380</t>
  </si>
  <si>
    <t>ilr.fac1[6,4]   1.0010753  1.0047181</t>
  </si>
  <si>
    <t>ilr.fac1[6,3]   1.0005465  1.0027558</t>
  </si>
  <si>
    <t>ilr.fac1[6,2]   0.9997005  1.0001225</t>
  </si>
  <si>
    <t>ilr.fac1[6,1]   1.0007983  1.0022762</t>
  </si>
  <si>
    <t>ilr.fac1[5,4]   1.0002969  1.0015511</t>
  </si>
  <si>
    <t>ilr.fac1[5,3]   0.9996341  0.9997520</t>
  </si>
  <si>
    <t>ilr.fac1[5,2]   1.0002973  1.0017178</t>
  </si>
  <si>
    <t>ilr.fac1[5,1]   0.9996824  1.0001636</t>
  </si>
  <si>
    <t>ilr.fac1[4,4]   1.0008438  1.0040926</t>
  </si>
  <si>
    <t>ilr.fac1[4,3]   0.9999273  1.0008290</t>
  </si>
  <si>
    <t>ilr.fac1[4,2]   0.9998026  1.0005219</t>
  </si>
  <si>
    <t>ilr.fac1[4,1]   1.0008739  1.0024769</t>
  </si>
  <si>
    <t>ilr.fac1[3,4]   1.0005561  1.0028299</t>
  </si>
  <si>
    <t>ilr.fac1[3,3]   1.0003655  1.0026055</t>
  </si>
  <si>
    <t>ilr.fac1[3,2]   1.0000324  1.0012912</t>
  </si>
  <si>
    <t>ilr.fac1[3,1]   1.0007139  1.0038577</t>
  </si>
  <si>
    <t>ilr.fac1[24,4]  1.0001917  1.0019181</t>
  </si>
  <si>
    <t>ilr.fac1[24,3]  1.0000711  1.0005569</t>
  </si>
  <si>
    <t>ilr.fac1[24,2]  1.0002022  1.0017262</t>
  </si>
  <si>
    <t>ilr.fac1[24,1]  1.0004553  1.0028094</t>
  </si>
  <si>
    <t>ilr.fac1[23,4]  1.0004248  1.0005568</t>
  </si>
  <si>
    <t>ilr.fac1[23,3]  1.0000930  1.0007918</t>
  </si>
  <si>
    <t>ilr.fac1[23,2]  1.0010850  1.0033189</t>
  </si>
  <si>
    <t>ilr.fac1[23,1]  1.0012004  1.0048313</t>
  </si>
  <si>
    <t>ilr.fac1[22,4]  1.0009992  1.0049717</t>
  </si>
  <si>
    <t>ilr.fac1[22,3]  0.9997603  0.9998656</t>
  </si>
  <si>
    <t>ilr.fac1[22,2]  1.0026365  1.0101018</t>
  </si>
  <si>
    <t>ilr.fac1[22,1]  1.0004663  1.0005095</t>
  </si>
  <si>
    <t>ilr.fac1[21,4]  0.9997025  0.9997949</t>
  </si>
  <si>
    <t>ilr.fac1[21,3]  1.0016867  1.0073394</t>
  </si>
  <si>
    <t>ilr.fac1[21,2]  1.0016669  1.0064874</t>
  </si>
  <si>
    <t>ilr.fac1[21,1]  0.9997081  1.0002455</t>
  </si>
  <si>
    <t>ilr.fac1[20,4]  1.0011381  1.0034027</t>
  </si>
  <si>
    <t>ilr.fac1[20,3]  1.0000613  1.0011174</t>
  </si>
  <si>
    <t>ilr.fac1[20,2]  1.0001978  1.0010112</t>
  </si>
  <si>
    <t>ilr.fac1[20,1]  1.0003699  1.0018966</t>
  </si>
  <si>
    <t>ilr.fac1[2,4]   1.0009778  1.0027096</t>
  </si>
  <si>
    <t>ilr.fac1[2,3]   0.9995454  0.9996317</t>
  </si>
  <si>
    <t>ilr.fac1[2,2]   1.0008599  1.0042846</t>
  </si>
  <si>
    <t>ilr.fac1[2,1]   0.9997998  0.9998603</t>
  </si>
  <si>
    <t>ilr.fac1[19,4]  1.0013198  1.0057843</t>
  </si>
  <si>
    <t>ilr.fac1[19,3]  0.9999901  1.0005286</t>
  </si>
  <si>
    <t>ilr.fac1[19,2]  1.0000892  1.0013541</t>
  </si>
  <si>
    <t>ilr.fac1[19,1]  1.0030989  1.0116361</t>
  </si>
  <si>
    <t>ilr.fac1[18,4]  1.0012508  1.0024754</t>
  </si>
  <si>
    <t>ilr.fac1[18,3]  1.0007936  1.0035740</t>
  </si>
  <si>
    <t>ilr.fac1[18,2]  1.0003518  1.0010528</t>
  </si>
  <si>
    <t>ilr.fac1[18,1]  1.0000187  1.0005913</t>
  </si>
  <si>
    <t>ilr.fac1[17,4]  0.9999094  1.0002398</t>
  </si>
  <si>
    <t>ilr.fac1[17,3]  0.9997857  1.0000880</t>
  </si>
  <si>
    <t>ilr.fac1[17,2]  1.0016720  1.0064669</t>
  </si>
  <si>
    <t>ilr.fac1[17,1]  1.0014766  1.0026240</t>
  </si>
  <si>
    <t>ilr.fac1[16,4]  0.9997801  0.9999737</t>
  </si>
  <si>
    <t>ilr.fac1[16,3]  0.9999630  1.0008617</t>
  </si>
  <si>
    <t>ilr.fac1[16,2]  1.0003634  1.0021792</t>
  </si>
  <si>
    <t>ilr.fac1[16,1]  1.0015745  1.0061113</t>
  </si>
  <si>
    <t>ilr.fac1[15,4]  1.0016449  1.0072238</t>
  </si>
  <si>
    <t>ilr.fac1[15,3]  1.0006951  1.0022711</t>
  </si>
  <si>
    <t>ilr.fac1[15,2]  1.0000132  1.0013801</t>
  </si>
  <si>
    <t>ilr.fac1[15,1]  1.0007869  1.0026969</t>
  </si>
  <si>
    <t>ilr.fac1[14,4]  1.0018202  1.0071887</t>
  </si>
  <si>
    <t>ilr.fac1[14,3]  1.0001123  1.0016443</t>
  </si>
  <si>
    <t>ilr.fac1[14,2]  1.0008393  1.0039185</t>
  </si>
  <si>
    <t>ilr.fac1[14,1]  0.9999066  1.0006635</t>
  </si>
  <si>
    <t>ilr.fac1[13,4]  0.9999292  1.0009450</t>
  </si>
  <si>
    <t>ilr.fac1[13,3]  0.9999043  1.0006711</t>
  </si>
  <si>
    <t>ilr.fac1[13,2]  1.0020554  1.0074495</t>
  </si>
  <si>
    <t>ilr.fac1[13,1]  1.0001199  1.0005844</t>
  </si>
  <si>
    <t>ilr.fac1[12,4]  1.0012192  1.0019659</t>
  </si>
  <si>
    <t>ilr.fac1[12,3]  1.0003481  1.0011184</t>
  </si>
  <si>
    <t>ilr.fac1[12,2]  0.9998873  1.0005169</t>
  </si>
  <si>
    <t>ilr.fac1[12,1]  1.0022907  1.0086503</t>
  </si>
  <si>
    <t>ilr.fac1[11,4]  1.0004704  1.0024435</t>
  </si>
  <si>
    <t>ilr.fac1[11,3]  0.9998927  1.0000897</t>
  </si>
  <si>
    <t>ilr.fac1[11,2]  1.0027583  1.0110370</t>
  </si>
  <si>
    <t>ilr.fac1[11,1]  1.0012701  1.0059877</t>
  </si>
  <si>
    <t>ilr.fac1[10,4]  1.0005354  1.0015247</t>
  </si>
  <si>
    <t>ilr.fac1[10,3]  1.0005129  1.0019027</t>
  </si>
  <si>
    <t>ilr.fac1[10,2]  0.9998534  1.0004156</t>
  </si>
  <si>
    <t>ilr.fac1[10,1]  0.9999941  1.0006398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</si>
  <si>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</si>
  <si>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</si>
  <si>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</si>
  <si>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</si>
  <si>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1.0002162  1.0012717</t>
  </si>
  <si>
    <t xml:space="preserve">               Point est. Upper C.I.</t>
  </si>
  <si>
    <t>And here are the Gelman diagnostics for all variables:</t>
  </si>
  <si>
    <t>p.fac1[7,3]    1.009640   1.010651</t>
  </si>
  <si>
    <t>p.fac1[13,3]   1.013780   1.022711</t>
  </si>
  <si>
    <t>p.fac1[17,3]   1.015480   1.019522</t>
  </si>
  <si>
    <t>p.fac1[3,3]    1.019267   1.020468</t>
  </si>
  <si>
    <t>p.fac1[11,3]   1.019645   1.020232</t>
  </si>
  <si>
    <t>p.fac1[24,3]   1.021459   1.024843</t>
  </si>
  <si>
    <t>p.fac1[16,3]   1.028766   1.031461</t>
  </si>
  <si>
    <t>p.global[3]    1.050951   1.057093</t>
  </si>
  <si>
    <t>p.fac1[1,3]    1.050951   1.057093</t>
  </si>
  <si>
    <t>p.fac1[8,3]    1.077982   1.084287</t>
  </si>
  <si>
    <t xml:space="preserve">             Point est. Upper C.I.</t>
  </si>
  <si>
    <t>The worst variables are:</t>
  </si>
  <si>
    <t>0 &gt; 1.1</t>
  </si>
  <si>
    <t xml:space="preserve">                      </t>
  </si>
  <si>
    <t>3 &gt; 1.05</t>
  </si>
  <si>
    <t>Out of 246 variables: 9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</si>
  <si>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</si>
  <si>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</si>
  <si>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</si>
  <si>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</si>
  <si>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</si>
  <si>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</si>
  <si>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</si>
  <si>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</si>
  <si>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</si>
  <si>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</si>
  <si>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</si>
  <si>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</si>
  <si>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</si>
  <si>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</si>
  <si>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</si>
  <si>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</si>
  <si>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</si>
  <si>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</si>
  <si>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</si>
  <si>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</si>
  <si>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</si>
  <si>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</si>
  <si>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</si>
  <si>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</si>
  <si>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</si>
  <si>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</si>
  <si>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</si>
  <si>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</si>
  <si>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</si>
  <si>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</si>
  <si>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</si>
  <si>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</si>
  <si>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</si>
  <si>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</si>
  <si>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</si>
  <si>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</si>
  <si>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</si>
  <si>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</si>
  <si>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</si>
  <si>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</si>
  <si>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</si>
  <si>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</si>
  <si>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</si>
  <si>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</si>
  <si>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</si>
  <si>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</si>
  <si>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</si>
  <si>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</si>
  <si>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</si>
  <si>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</si>
  <si>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</si>
  <si>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</si>
  <si>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</si>
  <si>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</si>
  <si>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</si>
  <si>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</si>
  <si>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</si>
  <si>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</si>
  <si>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</si>
  <si>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</si>
  <si>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</si>
  <si>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</si>
  <si>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</si>
  <si>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</si>
  <si>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</si>
  <si>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</si>
  <si>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</si>
  <si>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</si>
  <si>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</si>
  <si>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</si>
  <si>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</si>
  <si>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</si>
  <si>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</si>
  <si>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</si>
  <si>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</si>
  <si>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</si>
  <si>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</si>
  <si>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</si>
  <si>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</si>
  <si>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</si>
  <si>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</si>
  <si>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</si>
  <si>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</si>
  <si>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</si>
  <si>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</si>
  <si>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</si>
  <si>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</si>
  <si>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</si>
  <si>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</si>
  <si>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</si>
  <si>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</si>
  <si>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</si>
  <si>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</si>
  <si>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</si>
  <si>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</si>
  <si>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</si>
  <si>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</si>
  <si>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</si>
  <si>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</si>
  <si>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</si>
  <si>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</si>
  <si>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</si>
  <si>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</si>
  <si>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</si>
  <si>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</si>
  <si>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</si>
  <si>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</si>
  <si>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</si>
  <si>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</si>
  <si>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</si>
  <si>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</si>
  <si>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</si>
  <si>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</si>
  <si>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</si>
  <si>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</si>
  <si>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</si>
  <si>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</si>
  <si>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</si>
  <si>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</si>
  <si>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</si>
  <si>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</si>
  <si>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</si>
  <si>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 xml:space="preserve">                  Mean    SD  2.5%    5%   25%   50%   75%   95% 97.5%</t>
    <phoneticPr fontId="1" type="noConversion"/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</si>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</sst>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_ "/>
    <numFmt numFmtId="178" formatCode="0.00_);[Red]\(0.00\)"/>
    <numFmt numFmtId="179" formatCode="0.000_ "/>
    <numFmt numFmtId="180" formatCode="0.000_);[Red]\(0.000\)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6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8" fillId="0" borderId="0" xfId="0" applyFont="1" applyFill="1">
      <alignment vertical="center"/>
    </xf>
    <xf numFmtId="0" fontId="0" fillId="0" borderId="0" xfId="0" applyFill="1">
      <alignment vertical="center"/>
    </xf>
    <xf numFmtId="177" fontId="8" fillId="0" borderId="0" xfId="0" applyNumberFormat="1" applyFont="1" applyFill="1">
      <alignment vertical="center"/>
    </xf>
    <xf numFmtId="177" fontId="28" fillId="0" borderId="0" xfId="0" applyNumberFormat="1" applyFont="1" applyFill="1">
      <alignment vertical="center"/>
    </xf>
    <xf numFmtId="177" fontId="28" fillId="0" borderId="0" xfId="0" applyNumberFormat="1" applyFont="1">
      <alignment vertical="center"/>
    </xf>
    <xf numFmtId="178" fontId="28" fillId="0" borderId="0" xfId="0" applyNumberFormat="1" applyFon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1A-40D4-9E3E-FC630AAD2615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0D4-9E3E-FC630AAD26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A-40D4-9E3E-FC630AAD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A-44E0-9896-E98F31112190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7A-44E0-9896-E98F311121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7A-44E0-9896-E98F31112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3-491A-980D-36185974676A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3-491A-980D-36185974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A9-412C-982F-07CFBDF68CB3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9-412C-982F-07CFBDF68C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A9-412C-982F-07CFBDF6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B-4714-B6AD-37AC241905D9}"/>
              </c:ext>
            </c:extLst>
          </c:dPt>
          <c:xVal>
            <c:numRef>
              <c:f>'오염원(토양_산림 CASE1)'!$D$2:$D$14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12">
                  <c:v>1.823</c:v>
                </c:pt>
              </c:numCache>
            </c:numRef>
          </c:xVal>
          <c:yVal>
            <c:numRef>
              <c:f>'오염원(토양_산림 CASE1)'!$E$2:$E$14</c:f>
              <c:numCache>
                <c:formatCode>0.00</c:formatCode>
                <c:ptCount val="13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B-4714-B6AD-37AC241905D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CASE1)'!$D$2:$D$14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12">
                  <c:v>1.823</c:v>
                </c:pt>
              </c:numCache>
            </c:numRef>
          </c:xVal>
          <c:yVal>
            <c:numRef>
              <c:f>'오염원(토양_산림 CASE1)'!$F$2:$F$14</c:f>
              <c:numCache>
                <c:formatCode>0.00</c:formatCode>
                <c:ptCount val="13"/>
                <c:pt idx="12">
                  <c:v>7.2899999999999991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5B-4714-B6AD-37AC24190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12AA7E-A4F0-5545-050F-B3B6C960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8EAF1D-4A8F-97DC-BC32-E6C07B2B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B7C3FC2-E994-BED1-8E56-30A6AD61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0</xdr:rowOff>
    </xdr:from>
    <xdr:to>
      <xdr:col>53</xdr:col>
      <xdr:colOff>488156</xdr:colOff>
      <xdr:row>125</xdr:row>
      <xdr:rowOff>11905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386A1D-7E6D-C43C-20EC-458F6D94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4"/>
          <a:ext cx="10156031" cy="6762749"/>
        </a:xfrm>
        <a:prstGeom prst="rect">
          <a:avLst/>
        </a:prstGeom>
      </xdr:spPr>
    </xdr:pic>
    <xdr:clientData/>
  </xdr:twoCellAnchor>
  <xdr:twoCellAnchor editAs="oneCell">
    <xdr:from>
      <xdr:col>55</xdr:col>
      <xdr:colOff>1</xdr:colOff>
      <xdr:row>98</xdr:row>
      <xdr:rowOff>1</xdr:rowOff>
    </xdr:from>
    <xdr:to>
      <xdr:col>69</xdr:col>
      <xdr:colOff>333375</xdr:colOff>
      <xdr:row>117</xdr:row>
      <xdr:rowOff>23813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7D5569C-D075-8EED-7432-217C7A0A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07220" y="24848345"/>
          <a:ext cx="10001249" cy="4774406"/>
        </a:xfrm>
        <a:prstGeom prst="rect">
          <a:avLst/>
        </a:prstGeom>
      </xdr:spPr>
    </xdr:pic>
    <xdr:clientData/>
  </xdr:twoCellAnchor>
  <xdr:twoCellAnchor editAs="oneCell">
    <xdr:from>
      <xdr:col>71</xdr:col>
      <xdr:colOff>1</xdr:colOff>
      <xdr:row>98</xdr:row>
      <xdr:rowOff>0</xdr:rowOff>
    </xdr:from>
    <xdr:to>
      <xdr:col>85</xdr:col>
      <xdr:colOff>333376</xdr:colOff>
      <xdr:row>121</xdr:row>
      <xdr:rowOff>11906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F2A99B-A044-6ABC-76B0-5D17FBFE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20" y="24848344"/>
          <a:ext cx="10001250" cy="576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37</xdr:col>
      <xdr:colOff>192920</xdr:colOff>
      <xdr:row>41</xdr:row>
      <xdr:rowOff>124866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51AFDE-0ED8-FB9F-646B-46266F52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1257300"/>
          <a:ext cx="17337920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21</xdr:col>
      <xdr:colOff>152400</xdr:colOff>
      <xdr:row>76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BDDCBEB-3B86-742E-A4CD-91B3FD8B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96393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5FC460D-211D-4086-9747-D78C3343A55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A038049-2D16-4C3A-14CB-714C1FA5830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521C60C-2B19-80B2-41B2-01B1C4A0C5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0A6111D-10CC-5CC2-5BDF-516C69FD1EF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5ACA362-2BFF-5B03-4D93-85775BD1F6C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3B0FEF5-4992-44A9-86BE-E58CCC33FB6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6F13D7-9872-D682-A8D7-5BB54C223BA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980980-F927-61EC-5BAA-3D626D99BB1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CC96B4-6E99-BAFB-0B1D-AE9C2DE403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A2665005-0AB9-E839-95B6-44410B507E6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349360A-25E5-DC6C-9CFD-CA8D57D3D92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6931B-26DE-8B36-4081-C97F82EB12F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EC9D854-556C-C6F5-9802-FA555EFF270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D19622-ECAB-2831-D3A1-93B8561BC9E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6E53E98-C444-D65E-EB44-420AACEEA28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09E242E-AB0F-6688-2AB3-AD07245701A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8FA2CA8-624C-46F0-9BFF-0CD879835FC5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AB9307B-3D3E-B4C2-AF69-347609ED797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50E35F3-2001-8E54-EF90-6475D10E58B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84DCE29-D6C9-46F0-D5CE-A64596AE982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A866861-1B3C-2917-C6A8-FC043F1305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4059F8-4CA8-865B-6816-6E12600ECB1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6F89524-084D-1CC8-6BFA-0ED30F410FF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53578D5-67E7-34D4-32D7-2FB17F40BF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CC2465F-0A49-74FD-34C6-1D188210D52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5E41684-1C97-B9C7-DCBC-51EED5ABFE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216C736-6AA2-8D97-3428-0AAE42175BD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ECEA0AF-3C3A-8155-DF6D-3DADB794DCC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B5F9CA-05A1-5960-428D-B97414EA6A7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A292EFF-AEBD-3FF7-CF04-95DCE64DDB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B4CEF8E-99EE-E5D2-0558-A6C64C22A7C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6FD63E7-5651-E19A-3089-6B29B0A84D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E525C92-FE0D-4F7F-BD37-FB265E884A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D0E77CE-67FC-7BC7-464C-17B3CF05955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7944B3E-88BD-8862-C81B-7BEC879A29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E4EC424-5CD6-9F75-FB48-5066559EB7E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EFF0252-C9F4-7D61-117E-9700F91D4D0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E80E4CF-454A-0D8B-D65A-DA9A36977A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AB4F176-C3FA-100C-F32F-958C0D0CA44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38447EC-4060-67D7-304E-3547FA23764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EFC4F6-AFB2-A124-6253-78F0DF8DC4D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736CC37-3ED7-91C9-FD0B-48EEB286F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4D3B2B3-F78A-6BBA-57A4-B3EF6C13F0D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6DE8673-695C-88F7-099A-DF81A7646C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B577242-7058-40FA-BAE1-E1B8EC57A27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8451A19-6F82-6817-9A28-84B26223E3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D82EF79-7367-2180-CD3F-B50C58420CB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CBA1739-494B-0665-4FBC-0DCD847B107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0E8D025-35F4-4450-940D-1019DA33454F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24FF490-7716-2512-4C5F-15406B76081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E8DD1E7-235F-7C23-2E91-F5CB585124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DBCB197-8F7D-7D08-3FF3-52EDAB97A43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E8FB8E8C-5B71-1442-78DC-774894FAB83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6C17BC5-91B8-D93A-3BE5-BA78F470EF8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8CBC2B-F4B4-86AA-1B0C-932DB3F414E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F0CE58-1FD1-FF26-350F-EF7A4F942C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41B3BF5-CD5A-DF88-C8DE-769BFF8E45B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81A481-4544-16B1-F22B-81C3A48E092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A70FEB9-D2DA-967C-3E8D-984D5233BAE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9AE9F28-2ED4-F404-793E-0C2B46E73FD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FEF941B-B7F2-50A5-2871-1AE3F067EB7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34A08BE-7194-DB10-8C69-73B1F165079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8BDDE89-0430-F856-0E8A-2D353395177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A9D37-5512-9EC4-1D9C-BD8338EEA3B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51C4186-6DB9-4DCB-B379-7A182E56A442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16797D1-B781-9B22-A3E8-C7D3139139C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CF95247-56E0-C601-B15F-55C2D2FD246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76FB875-D348-D157-3C33-D6CC395E0CA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A068C5D-8C62-6346-CEC6-BEB215427CF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F29D03D-5760-0B89-6563-09C3F5F064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5E336D5-4EB9-93B1-5EDF-3837717E55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9020A0-F818-B9C6-B247-CFECC6320D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BEE05B2-25CF-95E7-067F-EBE4835FFC6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07FEC58-D04E-5B08-BADE-3D6EDE35B01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5D9AC9D-4936-842A-F07D-2AADB5C444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6D18CFE-38FC-B076-D974-505187A346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2C66FA7-FCDF-89C8-B02C-7ED4F9A3A1B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10E9840-3AD1-3B84-8631-968D33CCC7F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2117C4-FE49-2688-C8FE-BCDE0794DE0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B88B7E8-3D4D-EC9E-6DDD-9AE8DF7FC4E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341"/>
  <sheetViews>
    <sheetView tabSelected="1" topLeftCell="W1" zoomScale="80" zoomScaleNormal="80" workbookViewId="0">
      <selection activeCell="AC6" sqref="AC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1.823</v>
      </c>
      <c r="AR2" s="57">
        <v>7.2899999999999991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1.1858203911216907</v>
      </c>
      <c r="AR3" s="57">
        <v>1.8949934036824529</v>
      </c>
    </row>
    <row r="6" spans="1:52" ht="31.5" x14ac:dyDescent="0.3">
      <c r="A6" s="95" t="s">
        <v>49</v>
      </c>
      <c r="B6" s="95"/>
      <c r="C6" s="95"/>
      <c r="D6" s="95"/>
      <c r="E6" s="95"/>
      <c r="F6" s="95"/>
      <c r="G6" s="95"/>
      <c r="H6" s="95"/>
      <c r="I6" s="95"/>
      <c r="J6" s="95"/>
      <c r="K6" s="95"/>
      <c r="Y6" s="2"/>
      <c r="Z6" s="57" t="s">
        <v>161</v>
      </c>
    </row>
    <row r="7" spans="1:52" ht="17.25" thickBot="1" x14ac:dyDescent="0.35">
      <c r="Y7" s="3"/>
      <c r="AG7" t="s">
        <v>162</v>
      </c>
      <c r="AI7" t="s">
        <v>163</v>
      </c>
    </row>
    <row r="8" spans="1:52" ht="26.25" customHeight="1" thickBot="1" x14ac:dyDescent="0.35">
      <c r="A8" s="89" t="s">
        <v>1</v>
      </c>
      <c r="B8" s="91" t="s">
        <v>61</v>
      </c>
      <c r="C8" s="91" t="s">
        <v>62</v>
      </c>
      <c r="D8" s="89" t="s">
        <v>7</v>
      </c>
      <c r="E8" s="93" t="s">
        <v>8</v>
      </c>
      <c r="F8" s="94"/>
      <c r="G8" s="84" t="s">
        <v>9</v>
      </c>
      <c r="H8" s="84"/>
      <c r="I8" s="84"/>
      <c r="J8" s="84"/>
      <c r="K8" s="84"/>
      <c r="L8" s="85" t="s">
        <v>55</v>
      </c>
      <c r="M8" s="86"/>
      <c r="N8" s="86"/>
      <c r="O8" s="86"/>
      <c r="P8" s="86"/>
      <c r="Q8" s="86"/>
      <c r="R8" s="86"/>
      <c r="S8" s="86"/>
      <c r="T8" s="86"/>
      <c r="U8" s="8"/>
      <c r="V8" s="8"/>
      <c r="W8" s="8"/>
      <c r="X8" s="8"/>
      <c r="Y8" s="87" t="s">
        <v>10</v>
      </c>
      <c r="Z8" s="78" t="s">
        <v>69</v>
      </c>
      <c r="AA8" s="79"/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90"/>
      <c r="B9" s="90"/>
      <c r="C9" s="90"/>
      <c r="D9" s="92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8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80">
        <v>62.81</v>
      </c>
      <c r="AA10" s="80">
        <v>3.73</v>
      </c>
      <c r="AB10" s="80">
        <v>2.94</v>
      </c>
      <c r="AC10" s="80">
        <v>0.31</v>
      </c>
      <c r="AD10" s="80">
        <v>30.21</v>
      </c>
      <c r="AE10" s="58">
        <f>SUM(Z10:AD10)</f>
        <v>100</v>
      </c>
      <c r="AF10" s="59"/>
      <c r="AG10" s="77">
        <v>42.8</v>
      </c>
      <c r="AH10" s="77">
        <v>11</v>
      </c>
      <c r="AI10" s="77">
        <v>8.6</v>
      </c>
      <c r="AJ10" s="77">
        <v>1.1000000000000001</v>
      </c>
      <c r="AK10" s="77">
        <v>36.5</v>
      </c>
      <c r="AL10" s="60">
        <f>SUM(AG10:AK10)</f>
        <v>100</v>
      </c>
      <c r="AM10" s="59"/>
      <c r="AN10" s="77">
        <v>37.99</v>
      </c>
      <c r="AO10" s="77">
        <v>15.39</v>
      </c>
      <c r="AP10" s="77">
        <v>19</v>
      </c>
      <c r="AQ10" s="77">
        <v>2.71</v>
      </c>
      <c r="AR10" s="77">
        <v>24.91</v>
      </c>
      <c r="AS10" s="60">
        <f>SUM(AN10:AR10)</f>
        <v>99.999999999999986</v>
      </c>
      <c r="AT10" s="59"/>
      <c r="AU10" s="77">
        <v>36.93</v>
      </c>
      <c r="AV10" s="77">
        <v>11.1</v>
      </c>
      <c r="AW10" s="77">
        <v>17.88</v>
      </c>
      <c r="AX10" s="77">
        <v>1.78</v>
      </c>
      <c r="AY10" s="77">
        <v>32.31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80">
        <v>91.18</v>
      </c>
      <c r="AA11" s="80">
        <v>1.01</v>
      </c>
      <c r="AB11" s="80">
        <v>1.0900000000000001</v>
      </c>
      <c r="AC11" s="80">
        <v>0.17</v>
      </c>
      <c r="AD11" s="80">
        <v>6.55</v>
      </c>
      <c r="AE11" s="58">
        <f t="shared" ref="AE11:AE33" si="1">SUM(Z11:AD11)</f>
        <v>100.00000000000001</v>
      </c>
      <c r="AF11" s="59"/>
      <c r="AG11" s="77">
        <v>58.4</v>
      </c>
      <c r="AH11" s="77">
        <v>12.9</v>
      </c>
      <c r="AI11" s="77">
        <v>6.6000000000000005</v>
      </c>
      <c r="AJ11" s="77">
        <v>0.89999999999999991</v>
      </c>
      <c r="AK11" s="77">
        <v>21.2</v>
      </c>
      <c r="AL11" s="60">
        <f t="shared" ref="AL11:AL33" si="2">SUM(AG11:AK11)</f>
        <v>100</v>
      </c>
      <c r="AM11" s="59"/>
      <c r="AN11" s="77">
        <v>55.89</v>
      </c>
      <c r="AO11" s="77">
        <v>20.25</v>
      </c>
      <c r="AP11" s="77">
        <v>6.69</v>
      </c>
      <c r="AQ11" s="77">
        <v>2.64</v>
      </c>
      <c r="AR11" s="77">
        <v>14.530000000000001</v>
      </c>
      <c r="AS11" s="60">
        <f t="shared" ref="AS11:AS33" si="3">SUM(AN11:AR11)</f>
        <v>100</v>
      </c>
      <c r="AT11" s="59"/>
      <c r="AU11" s="77">
        <v>58.42</v>
      </c>
      <c r="AV11" s="77">
        <v>17.57</v>
      </c>
      <c r="AW11" s="77">
        <v>8.33</v>
      </c>
      <c r="AX11" s="77">
        <v>1.1299999999999999</v>
      </c>
      <c r="AY11" s="77">
        <v>14.549999999999999</v>
      </c>
      <c r="AZ11" s="6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80">
        <v>87.63</v>
      </c>
      <c r="AA12" s="80">
        <v>7.3</v>
      </c>
      <c r="AB12" s="80">
        <v>1.1399999999999999</v>
      </c>
      <c r="AC12" s="80">
        <v>0.2</v>
      </c>
      <c r="AD12" s="80">
        <v>3.73</v>
      </c>
      <c r="AE12" s="58">
        <f t="shared" si="1"/>
        <v>100</v>
      </c>
      <c r="AF12" s="59"/>
      <c r="AG12" s="77">
        <v>53</v>
      </c>
      <c r="AH12" s="77">
        <v>12.5</v>
      </c>
      <c r="AI12" s="77">
        <v>7.5</v>
      </c>
      <c r="AJ12" s="77">
        <v>1</v>
      </c>
      <c r="AK12" s="77">
        <v>26</v>
      </c>
      <c r="AL12" s="60">
        <f t="shared" si="2"/>
        <v>100</v>
      </c>
      <c r="AM12" s="59"/>
      <c r="AN12" s="77">
        <v>51.81</v>
      </c>
      <c r="AO12" s="77">
        <v>19.439999999999998</v>
      </c>
      <c r="AP12" s="77">
        <v>9.11</v>
      </c>
      <c r="AQ12" s="77">
        <v>2.33</v>
      </c>
      <c r="AR12" s="77">
        <v>17.309999999999999</v>
      </c>
      <c r="AS12" s="60">
        <f t="shared" si="3"/>
        <v>100</v>
      </c>
      <c r="AT12" s="59"/>
      <c r="AU12" s="77">
        <v>52.99</v>
      </c>
      <c r="AV12" s="77">
        <v>17.2</v>
      </c>
      <c r="AW12" s="77">
        <v>10.34</v>
      </c>
      <c r="AX12" s="77">
        <v>1.49</v>
      </c>
      <c r="AY12" s="77">
        <v>17.98</v>
      </c>
      <c r="AZ12" s="60">
        <f t="shared" si="0"/>
        <v>100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80">
        <v>85.99</v>
      </c>
      <c r="AA13" s="80">
        <v>6.75</v>
      </c>
      <c r="AB13" s="80">
        <v>2.31</v>
      </c>
      <c r="AC13" s="80">
        <v>0.26</v>
      </c>
      <c r="AD13" s="80">
        <v>4.6900000000000004</v>
      </c>
      <c r="AE13" s="58">
        <f t="shared" si="1"/>
        <v>100</v>
      </c>
      <c r="AF13" s="59"/>
      <c r="AG13" s="77">
        <v>53</v>
      </c>
      <c r="AH13" s="77">
        <v>13.900000000000002</v>
      </c>
      <c r="AI13" s="77">
        <v>7.3</v>
      </c>
      <c r="AJ13" s="77">
        <v>1.0999999999999999</v>
      </c>
      <c r="AK13" s="77">
        <v>24.7</v>
      </c>
      <c r="AL13" s="60">
        <f t="shared" si="2"/>
        <v>100</v>
      </c>
      <c r="AM13" s="59"/>
      <c r="AN13" s="77">
        <v>49.93</v>
      </c>
      <c r="AO13" s="77">
        <v>24.51</v>
      </c>
      <c r="AP13" s="77">
        <v>8.25</v>
      </c>
      <c r="AQ13" s="77">
        <v>2.2200000000000002</v>
      </c>
      <c r="AR13" s="77">
        <v>15.09</v>
      </c>
      <c r="AS13" s="60">
        <f t="shared" si="3"/>
        <v>100</v>
      </c>
      <c r="AT13" s="59"/>
      <c r="AU13" s="77">
        <v>51.73</v>
      </c>
      <c r="AV13" s="77">
        <v>20.04</v>
      </c>
      <c r="AW13" s="77">
        <v>10.100000000000001</v>
      </c>
      <c r="AX13" s="77">
        <v>1.81</v>
      </c>
      <c r="AY13" s="77">
        <v>16.32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81">
        <v>28.55</v>
      </c>
      <c r="AA14" s="81">
        <v>2.4700000000000002</v>
      </c>
      <c r="AB14" s="81">
        <v>7.2</v>
      </c>
      <c r="AC14" s="81">
        <v>0.78</v>
      </c>
      <c r="AD14" s="81">
        <v>61</v>
      </c>
      <c r="AE14" s="82">
        <f t="shared" si="1"/>
        <v>100</v>
      </c>
      <c r="AF14" s="59"/>
      <c r="AG14" s="82">
        <v>28.1</v>
      </c>
      <c r="AH14" s="82">
        <v>8.5</v>
      </c>
      <c r="AI14" s="82">
        <v>12.6</v>
      </c>
      <c r="AJ14" s="82">
        <v>1.4000000000000001</v>
      </c>
      <c r="AK14" s="82">
        <v>49.4</v>
      </c>
      <c r="AL14" s="83">
        <f t="shared" si="2"/>
        <v>100</v>
      </c>
      <c r="AM14" s="59"/>
      <c r="AN14" s="82">
        <v>21.74</v>
      </c>
      <c r="AO14" s="82">
        <v>11.68</v>
      </c>
      <c r="AP14" s="82">
        <v>26.49</v>
      </c>
      <c r="AQ14" s="82">
        <v>3.47</v>
      </c>
      <c r="AR14" s="82">
        <v>36.619999999999997</v>
      </c>
      <c r="AS14" s="83">
        <f t="shared" si="3"/>
        <v>100</v>
      </c>
      <c r="AT14" s="59"/>
      <c r="AU14" s="82">
        <v>22.78</v>
      </c>
      <c r="AV14" s="82">
        <v>10.39</v>
      </c>
      <c r="AW14" s="82">
        <v>23.97</v>
      </c>
      <c r="AX14" s="82">
        <v>3.44</v>
      </c>
      <c r="AY14" s="82">
        <v>39.42</v>
      </c>
      <c r="AZ14" s="83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81">
        <v>31.11</v>
      </c>
      <c r="AA15" s="81">
        <v>8.85</v>
      </c>
      <c r="AB15" s="81">
        <v>19.440000000000001</v>
      </c>
      <c r="AC15" s="81">
        <v>2.15</v>
      </c>
      <c r="AD15" s="81">
        <v>38.450000000000003</v>
      </c>
      <c r="AE15" s="82">
        <f t="shared" si="1"/>
        <v>100</v>
      </c>
      <c r="AF15" s="59"/>
      <c r="AG15" s="82">
        <v>31.8</v>
      </c>
      <c r="AH15" s="82">
        <v>10.199999999999999</v>
      </c>
      <c r="AI15" s="82">
        <v>11.799999999999999</v>
      </c>
      <c r="AJ15" s="82">
        <v>1.5</v>
      </c>
      <c r="AK15" s="82">
        <v>44.7</v>
      </c>
      <c r="AL15" s="83">
        <f t="shared" si="2"/>
        <v>100</v>
      </c>
      <c r="AM15" s="59"/>
      <c r="AN15" s="82">
        <v>23.119999999999997</v>
      </c>
      <c r="AO15" s="82">
        <v>14.31</v>
      </c>
      <c r="AP15" s="82">
        <v>23.59</v>
      </c>
      <c r="AQ15" s="82">
        <v>4.22</v>
      </c>
      <c r="AR15" s="82">
        <v>34.760000000000005</v>
      </c>
      <c r="AS15" s="83">
        <f t="shared" si="3"/>
        <v>100</v>
      </c>
      <c r="AT15" s="59"/>
      <c r="AU15" s="82">
        <v>25.990000000000002</v>
      </c>
      <c r="AV15" s="82">
        <v>14.149999999999999</v>
      </c>
      <c r="AW15" s="82">
        <v>21.959999999999997</v>
      </c>
      <c r="AX15" s="82">
        <v>4.67</v>
      </c>
      <c r="AY15" s="82">
        <v>33.229999999999997</v>
      </c>
      <c r="AZ15" s="83">
        <f t="shared" si="0"/>
        <v>100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81">
        <v>42.26</v>
      </c>
      <c r="AA16" s="81">
        <v>8.44</v>
      </c>
      <c r="AB16" s="81">
        <v>4.87</v>
      </c>
      <c r="AC16" s="81">
        <v>1.1200000000000001</v>
      </c>
      <c r="AD16" s="81">
        <v>43.31</v>
      </c>
      <c r="AE16" s="82">
        <f t="shared" si="1"/>
        <v>100</v>
      </c>
      <c r="AF16" s="59"/>
      <c r="AG16" s="82">
        <v>39.800000000000004</v>
      </c>
      <c r="AH16" s="82">
        <v>11.700000000000001</v>
      </c>
      <c r="AI16" s="82">
        <v>9.8000000000000007</v>
      </c>
      <c r="AJ16" s="82">
        <v>1.3</v>
      </c>
      <c r="AK16" s="82">
        <v>37.4</v>
      </c>
      <c r="AL16" s="83">
        <f t="shared" si="2"/>
        <v>100</v>
      </c>
      <c r="AM16" s="59"/>
      <c r="AN16" s="82">
        <v>32.68</v>
      </c>
      <c r="AO16" s="82">
        <v>23.79</v>
      </c>
      <c r="AP16" s="82">
        <v>17.21</v>
      </c>
      <c r="AQ16" s="82">
        <v>2.8899999999999997</v>
      </c>
      <c r="AR16" s="82">
        <v>23.43</v>
      </c>
      <c r="AS16" s="83">
        <f t="shared" si="3"/>
        <v>100</v>
      </c>
      <c r="AT16" s="59"/>
      <c r="AU16" s="82">
        <v>35.880000000000003</v>
      </c>
      <c r="AV16" s="82">
        <v>16.869999999999997</v>
      </c>
      <c r="AW16" s="82">
        <v>16.98</v>
      </c>
      <c r="AX16" s="82">
        <v>3.3099999999999996</v>
      </c>
      <c r="AY16" s="82">
        <v>26.96</v>
      </c>
      <c r="AZ16" s="83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81">
        <v>92.52</v>
      </c>
      <c r="AA17" s="81">
        <v>1.66</v>
      </c>
      <c r="AB17" s="81">
        <v>1.06</v>
      </c>
      <c r="AC17" s="81">
        <v>0.34</v>
      </c>
      <c r="AD17" s="81">
        <v>4.42</v>
      </c>
      <c r="AE17" s="82">
        <f t="shared" si="1"/>
        <v>100</v>
      </c>
      <c r="AF17" s="59"/>
      <c r="AG17" s="82">
        <v>15.8</v>
      </c>
      <c r="AH17" s="82">
        <v>4.5</v>
      </c>
      <c r="AI17" s="82">
        <v>14.799999999999999</v>
      </c>
      <c r="AJ17" s="82">
        <v>0.8</v>
      </c>
      <c r="AK17" s="82">
        <v>64.099999999999994</v>
      </c>
      <c r="AL17" s="83">
        <f t="shared" si="2"/>
        <v>100</v>
      </c>
      <c r="AM17" s="59"/>
      <c r="AN17" s="82">
        <v>15.129999999999999</v>
      </c>
      <c r="AO17" s="82">
        <v>11.48</v>
      </c>
      <c r="AP17" s="82">
        <v>27.3</v>
      </c>
      <c r="AQ17" s="82">
        <v>4.08</v>
      </c>
      <c r="AR17" s="82">
        <v>42.01</v>
      </c>
      <c r="AS17" s="83">
        <f t="shared" si="3"/>
        <v>100</v>
      </c>
      <c r="AT17" s="59"/>
      <c r="AU17" s="82">
        <v>7.31</v>
      </c>
      <c r="AV17" s="82">
        <v>1.68</v>
      </c>
      <c r="AW17" s="82">
        <v>26.3</v>
      </c>
      <c r="AX17" s="82">
        <v>0.6</v>
      </c>
      <c r="AY17" s="82">
        <v>64.11</v>
      </c>
      <c r="AZ17" s="83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80">
        <v>87.03</v>
      </c>
      <c r="AA18" s="80">
        <v>3.76</v>
      </c>
      <c r="AB18" s="80">
        <v>3.75</v>
      </c>
      <c r="AC18" s="80">
        <v>0.32</v>
      </c>
      <c r="AD18" s="80">
        <v>5.14</v>
      </c>
      <c r="AE18" s="58">
        <f t="shared" si="1"/>
        <v>100</v>
      </c>
      <c r="AF18" s="59"/>
      <c r="AG18" s="77">
        <v>56.3</v>
      </c>
      <c r="AH18" s="77">
        <v>17</v>
      </c>
      <c r="AI18" s="77">
        <v>6</v>
      </c>
      <c r="AJ18" s="77">
        <v>1</v>
      </c>
      <c r="AK18" s="77">
        <v>19.7</v>
      </c>
      <c r="AL18" s="60">
        <f t="shared" si="2"/>
        <v>100</v>
      </c>
      <c r="AM18" s="59"/>
      <c r="AN18" s="77">
        <v>46.400000000000006</v>
      </c>
      <c r="AO18" s="77">
        <v>33.239999999999995</v>
      </c>
      <c r="AP18" s="77">
        <v>6.41</v>
      </c>
      <c r="AQ18" s="77">
        <v>3.01</v>
      </c>
      <c r="AR18" s="77">
        <v>10.94</v>
      </c>
      <c r="AS18" s="60">
        <f t="shared" si="3"/>
        <v>100</v>
      </c>
      <c r="AT18" s="59"/>
      <c r="AU18" s="77">
        <v>49.27</v>
      </c>
      <c r="AV18" s="77">
        <v>27.900000000000002</v>
      </c>
      <c r="AW18" s="77">
        <v>8.76</v>
      </c>
      <c r="AX18" s="77">
        <v>2.3199999999999998</v>
      </c>
      <c r="AY18" s="77">
        <v>11.75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80">
        <v>25.71</v>
      </c>
      <c r="AA19" s="80">
        <v>22</v>
      </c>
      <c r="AB19" s="80">
        <v>22.04</v>
      </c>
      <c r="AC19" s="80">
        <v>3.36</v>
      </c>
      <c r="AD19" s="80">
        <v>26.89</v>
      </c>
      <c r="AE19" s="58">
        <f t="shared" si="1"/>
        <v>100</v>
      </c>
      <c r="AF19" s="59"/>
      <c r="AG19" s="77">
        <v>38.5</v>
      </c>
      <c r="AH19" s="77">
        <v>12.7</v>
      </c>
      <c r="AI19" s="77">
        <v>10.299999999999999</v>
      </c>
      <c r="AJ19" s="77">
        <v>1.7999999999999998</v>
      </c>
      <c r="AK19" s="77">
        <v>36.700000000000003</v>
      </c>
      <c r="AL19" s="60">
        <f t="shared" si="2"/>
        <v>100</v>
      </c>
      <c r="AM19" s="59"/>
      <c r="AN19" s="77">
        <v>28.78</v>
      </c>
      <c r="AO19" s="77">
        <v>25.480000000000004</v>
      </c>
      <c r="AP19" s="77">
        <v>17.810000000000002</v>
      </c>
      <c r="AQ19" s="77">
        <v>5.67</v>
      </c>
      <c r="AR19" s="77">
        <v>22.259999999999998</v>
      </c>
      <c r="AS19" s="60">
        <f t="shared" si="3"/>
        <v>100</v>
      </c>
      <c r="AT19" s="59"/>
      <c r="AU19" s="77">
        <v>29.580000000000002</v>
      </c>
      <c r="AV19" s="77">
        <v>20.57</v>
      </c>
      <c r="AW19" s="77">
        <v>18.459999999999997</v>
      </c>
      <c r="AX19" s="77">
        <v>6.1400000000000006</v>
      </c>
      <c r="AY19" s="77">
        <v>25.25</v>
      </c>
      <c r="AZ19" s="60">
        <f t="shared" si="0"/>
        <v>100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80">
        <v>37.17</v>
      </c>
      <c r="AA20" s="80">
        <v>12.92</v>
      </c>
      <c r="AB20" s="80">
        <v>11.46</v>
      </c>
      <c r="AC20" s="80">
        <v>1.82</v>
      </c>
      <c r="AD20" s="80">
        <v>36.630000000000003</v>
      </c>
      <c r="AE20" s="58">
        <f t="shared" si="1"/>
        <v>100</v>
      </c>
      <c r="AF20" s="59"/>
      <c r="AG20" s="77">
        <v>38.6</v>
      </c>
      <c r="AH20" s="77">
        <v>12</v>
      </c>
      <c r="AI20" s="77">
        <v>10.299999999999999</v>
      </c>
      <c r="AJ20" s="77">
        <v>1.5</v>
      </c>
      <c r="AK20" s="77">
        <v>37.6</v>
      </c>
      <c r="AL20" s="60">
        <f t="shared" si="2"/>
        <v>100</v>
      </c>
      <c r="AM20" s="59"/>
      <c r="AN20" s="77">
        <v>26.669999999999998</v>
      </c>
      <c r="AO20" s="77">
        <v>24.58</v>
      </c>
      <c r="AP20" s="77">
        <v>15.409999999999998</v>
      </c>
      <c r="AQ20" s="77">
        <v>3.23</v>
      </c>
      <c r="AR20" s="77">
        <v>30.11</v>
      </c>
      <c r="AS20" s="60">
        <f t="shared" si="3"/>
        <v>100</v>
      </c>
      <c r="AT20" s="59"/>
      <c r="AU20" s="77">
        <v>33.300000000000004</v>
      </c>
      <c r="AV20" s="77">
        <v>17.88</v>
      </c>
      <c r="AW20" s="77">
        <v>17.7</v>
      </c>
      <c r="AX20" s="77">
        <v>4.08</v>
      </c>
      <c r="AY20" s="77">
        <v>27.04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80">
        <v>39.17</v>
      </c>
      <c r="AA21" s="80">
        <v>12.87</v>
      </c>
      <c r="AB21" s="80">
        <v>7.55</v>
      </c>
      <c r="AC21" s="80">
        <v>0.99</v>
      </c>
      <c r="AD21" s="80">
        <v>39.42</v>
      </c>
      <c r="AE21" s="58">
        <f t="shared" si="1"/>
        <v>100</v>
      </c>
      <c r="AF21" s="59"/>
      <c r="AG21" s="77">
        <v>41.4</v>
      </c>
      <c r="AH21" s="77">
        <v>12.4</v>
      </c>
      <c r="AI21" s="77">
        <v>9.7000000000000011</v>
      </c>
      <c r="AJ21" s="77">
        <v>1.4000000000000001</v>
      </c>
      <c r="AK21" s="77">
        <v>35.099999999999994</v>
      </c>
      <c r="AL21" s="60">
        <f t="shared" si="2"/>
        <v>100</v>
      </c>
      <c r="AM21" s="59"/>
      <c r="AN21" s="77">
        <v>32.340000000000003</v>
      </c>
      <c r="AO21" s="77">
        <v>23.87</v>
      </c>
      <c r="AP21" s="77">
        <v>13.900000000000002</v>
      </c>
      <c r="AQ21" s="77">
        <v>3.2199999999999998</v>
      </c>
      <c r="AR21" s="77">
        <v>26.669999999999998</v>
      </c>
      <c r="AS21" s="60">
        <f t="shared" si="3"/>
        <v>100.00000000000001</v>
      </c>
      <c r="AT21" s="59"/>
      <c r="AU21" s="77">
        <v>36.159999999999997</v>
      </c>
      <c r="AV21" s="77">
        <v>18.350000000000001</v>
      </c>
      <c r="AW21" s="77">
        <v>16.37</v>
      </c>
      <c r="AX21" s="77">
        <v>3.63</v>
      </c>
      <c r="AY21" s="77">
        <v>25.490000000000002</v>
      </c>
      <c r="AZ21" s="60">
        <f t="shared" si="0"/>
        <v>100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80">
        <v>64.98</v>
      </c>
      <c r="AA22" s="80">
        <v>2</v>
      </c>
      <c r="AB22" s="80">
        <v>3.55</v>
      </c>
      <c r="AC22" s="80">
        <v>0.52</v>
      </c>
      <c r="AD22" s="80">
        <v>28.95</v>
      </c>
      <c r="AE22" s="58">
        <f t="shared" si="1"/>
        <v>100</v>
      </c>
      <c r="AF22" s="59"/>
      <c r="AG22" s="77">
        <v>45.9</v>
      </c>
      <c r="AH22" s="77">
        <v>12.4</v>
      </c>
      <c r="AI22" s="77">
        <v>8.9</v>
      </c>
      <c r="AJ22" s="77">
        <v>1.2</v>
      </c>
      <c r="AK22" s="77">
        <v>31.6</v>
      </c>
      <c r="AL22" s="60">
        <f t="shared" si="2"/>
        <v>100</v>
      </c>
      <c r="AM22" s="59"/>
      <c r="AN22" s="77">
        <v>46.9</v>
      </c>
      <c r="AO22" s="77">
        <v>20.64</v>
      </c>
      <c r="AP22" s="77">
        <v>10.280000000000001</v>
      </c>
      <c r="AQ22" s="77">
        <v>3.95</v>
      </c>
      <c r="AR22" s="77">
        <v>18.23</v>
      </c>
      <c r="AS22" s="60">
        <f t="shared" si="3"/>
        <v>100</v>
      </c>
      <c r="AT22" s="59"/>
      <c r="AU22" s="77">
        <v>42.61</v>
      </c>
      <c r="AV22" s="77">
        <v>17.88</v>
      </c>
      <c r="AW22" s="77">
        <v>13.98</v>
      </c>
      <c r="AX22" s="77">
        <v>2.5700000000000003</v>
      </c>
      <c r="AY22" s="77">
        <v>22.96</v>
      </c>
      <c r="AZ22" s="60">
        <f t="shared" si="0"/>
        <v>100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80">
        <v>56.44</v>
      </c>
      <c r="AA23" s="80">
        <v>4.6500000000000004</v>
      </c>
      <c r="AB23" s="80">
        <v>3.46</v>
      </c>
      <c r="AC23" s="80">
        <v>0.26</v>
      </c>
      <c r="AD23" s="80">
        <v>35.19</v>
      </c>
      <c r="AE23" s="58">
        <f t="shared" si="1"/>
        <v>100</v>
      </c>
      <c r="AF23" s="59"/>
      <c r="AG23" s="77">
        <v>44.7</v>
      </c>
      <c r="AH23" s="77">
        <v>12.3</v>
      </c>
      <c r="AI23" s="77">
        <v>8.9</v>
      </c>
      <c r="AJ23" s="77">
        <v>1.4</v>
      </c>
      <c r="AK23" s="77">
        <v>32.700000000000003</v>
      </c>
      <c r="AL23" s="60">
        <f t="shared" si="2"/>
        <v>100.00000000000001</v>
      </c>
      <c r="AM23" s="59"/>
      <c r="AN23" s="77">
        <v>46.32</v>
      </c>
      <c r="AO23" s="77">
        <v>19.28</v>
      </c>
      <c r="AP23" s="77">
        <v>11.26</v>
      </c>
      <c r="AQ23" s="77">
        <v>3.3300000000000005</v>
      </c>
      <c r="AR23" s="77">
        <v>19.809999999999999</v>
      </c>
      <c r="AS23" s="60">
        <f t="shared" si="3"/>
        <v>100</v>
      </c>
      <c r="AT23" s="59"/>
      <c r="AU23" s="77">
        <v>41.57</v>
      </c>
      <c r="AV23" s="77">
        <v>17.54</v>
      </c>
      <c r="AW23" s="77">
        <v>14.48</v>
      </c>
      <c r="AX23" s="77">
        <v>2.63</v>
      </c>
      <c r="AY23" s="77">
        <v>23.78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80">
        <v>40.69</v>
      </c>
      <c r="AA24" s="80">
        <v>22.13</v>
      </c>
      <c r="AB24" s="80">
        <v>7.84</v>
      </c>
      <c r="AC24" s="80">
        <v>1.24</v>
      </c>
      <c r="AD24" s="80">
        <v>28.1</v>
      </c>
      <c r="AE24" s="58">
        <f t="shared" si="1"/>
        <v>100</v>
      </c>
      <c r="AF24" s="59"/>
      <c r="AG24" s="77">
        <v>48.4</v>
      </c>
      <c r="AH24" s="77">
        <v>14.799999999999999</v>
      </c>
      <c r="AI24" s="77">
        <v>8.1</v>
      </c>
      <c r="AJ24" s="77">
        <v>1.3</v>
      </c>
      <c r="AK24" s="77">
        <v>27.400000000000002</v>
      </c>
      <c r="AL24" s="60">
        <f t="shared" si="2"/>
        <v>100</v>
      </c>
      <c r="AM24" s="59"/>
      <c r="AN24" s="77">
        <v>41.339999999999996</v>
      </c>
      <c r="AO24" s="77">
        <v>24.93</v>
      </c>
      <c r="AP24" s="77">
        <v>14.510000000000002</v>
      </c>
      <c r="AQ24" s="77">
        <v>3.36</v>
      </c>
      <c r="AR24" s="77">
        <v>15.86</v>
      </c>
      <c r="AS24" s="60">
        <f t="shared" si="3"/>
        <v>100</v>
      </c>
      <c r="AT24" s="59"/>
      <c r="AU24" s="77">
        <v>39.75</v>
      </c>
      <c r="AV24" s="77">
        <v>25.31</v>
      </c>
      <c r="AW24" s="77">
        <v>13.04</v>
      </c>
      <c r="AX24" s="77">
        <v>4.05</v>
      </c>
      <c r="AY24" s="77">
        <v>17.849999999999998</v>
      </c>
      <c r="AZ24" s="60">
        <f t="shared" si="0"/>
        <v>99.999999999999986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81">
        <v>52.19</v>
      </c>
      <c r="AA25" s="81">
        <v>2.16</v>
      </c>
      <c r="AB25" s="81">
        <v>3.23</v>
      </c>
      <c r="AC25" s="81">
        <v>0.28999999999999998</v>
      </c>
      <c r="AD25" s="81">
        <v>42.13</v>
      </c>
      <c r="AE25" s="82">
        <f t="shared" si="1"/>
        <v>100</v>
      </c>
      <c r="AF25" s="59"/>
      <c r="AG25" s="82">
        <v>39.700000000000003</v>
      </c>
      <c r="AH25" s="82">
        <v>11.2</v>
      </c>
      <c r="AI25" s="82">
        <v>9.9</v>
      </c>
      <c r="AJ25" s="82">
        <v>1.3</v>
      </c>
      <c r="AK25" s="82">
        <v>37.9</v>
      </c>
      <c r="AL25" s="83">
        <f t="shared" si="2"/>
        <v>100</v>
      </c>
      <c r="AM25" s="59"/>
      <c r="AN25" s="82">
        <v>30.5</v>
      </c>
      <c r="AO25" s="82">
        <v>21.9</v>
      </c>
      <c r="AP25" s="82">
        <v>23.35</v>
      </c>
      <c r="AQ25" s="82">
        <v>2.8400000000000003</v>
      </c>
      <c r="AR25" s="82">
        <v>21.41</v>
      </c>
      <c r="AS25" s="83">
        <f t="shared" si="3"/>
        <v>100</v>
      </c>
      <c r="AT25" s="59"/>
      <c r="AU25" s="82">
        <v>37.64</v>
      </c>
      <c r="AV25" s="82">
        <v>15.22</v>
      </c>
      <c r="AW25" s="82">
        <v>16.760000000000002</v>
      </c>
      <c r="AX25" s="82">
        <v>2.65</v>
      </c>
      <c r="AY25" s="82">
        <v>27.73</v>
      </c>
      <c r="AZ25" s="83">
        <f t="shared" si="0"/>
        <v>100.00000000000001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80">
        <v>36.130000000000003</v>
      </c>
      <c r="AA26" s="80">
        <v>29.4</v>
      </c>
      <c r="AB26" s="80">
        <v>8.6</v>
      </c>
      <c r="AC26" s="80">
        <v>1.6</v>
      </c>
      <c r="AD26" s="80">
        <v>24.27</v>
      </c>
      <c r="AE26" s="58">
        <f t="shared" si="1"/>
        <v>99.999999999999986</v>
      </c>
      <c r="AF26" s="59"/>
      <c r="AG26" s="77">
        <v>49.6</v>
      </c>
      <c r="AH26" s="77">
        <v>16.7</v>
      </c>
      <c r="AI26" s="77">
        <v>7.6</v>
      </c>
      <c r="AJ26" s="77">
        <v>1.4000000000000001</v>
      </c>
      <c r="AK26" s="77">
        <v>24.7</v>
      </c>
      <c r="AL26" s="60">
        <f t="shared" si="2"/>
        <v>100</v>
      </c>
      <c r="AM26" s="59"/>
      <c r="AN26" s="77">
        <v>37.51</v>
      </c>
      <c r="AO26" s="77">
        <v>33.25</v>
      </c>
      <c r="AP26" s="77">
        <v>9.68</v>
      </c>
      <c r="AQ26" s="77">
        <v>4.34</v>
      </c>
      <c r="AR26" s="77">
        <v>15.22</v>
      </c>
      <c r="AS26" s="60">
        <f t="shared" si="3"/>
        <v>100</v>
      </c>
      <c r="AT26" s="59"/>
      <c r="AU26" s="77">
        <v>39.39</v>
      </c>
      <c r="AV26" s="77">
        <v>28.92</v>
      </c>
      <c r="AW26" s="77">
        <v>12.1</v>
      </c>
      <c r="AX26" s="77">
        <v>4.5</v>
      </c>
      <c r="AY26" s="77">
        <v>15.09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80">
        <v>40.270000000000003</v>
      </c>
      <c r="AA27" s="80">
        <v>28.41</v>
      </c>
      <c r="AB27" s="80">
        <v>5.42</v>
      </c>
      <c r="AC27" s="80">
        <v>1.39</v>
      </c>
      <c r="AD27" s="80">
        <v>24.51</v>
      </c>
      <c r="AE27" s="58">
        <f t="shared" si="1"/>
        <v>100.00000000000001</v>
      </c>
      <c r="AF27" s="59"/>
      <c r="AG27" s="77">
        <v>51.1</v>
      </c>
      <c r="AH27" s="77">
        <v>16.900000000000002</v>
      </c>
      <c r="AI27" s="77">
        <v>7.1999999999999993</v>
      </c>
      <c r="AJ27" s="77">
        <v>1.3</v>
      </c>
      <c r="AK27" s="77">
        <v>23.5</v>
      </c>
      <c r="AL27" s="60">
        <f t="shared" si="2"/>
        <v>100</v>
      </c>
      <c r="AM27" s="59"/>
      <c r="AN27" s="77">
        <v>45.4</v>
      </c>
      <c r="AO27" s="77">
        <v>28.199999999999996</v>
      </c>
      <c r="AP27" s="77">
        <v>9.75</v>
      </c>
      <c r="AQ27" s="77">
        <v>3.94</v>
      </c>
      <c r="AR27" s="77">
        <v>12.709999999999999</v>
      </c>
      <c r="AS27" s="60">
        <f t="shared" si="3"/>
        <v>99.999999999999986</v>
      </c>
      <c r="AT27" s="59"/>
      <c r="AU27" s="77">
        <v>40.92</v>
      </c>
      <c r="AV27" s="77">
        <v>29.15</v>
      </c>
      <c r="AW27" s="77">
        <v>11.459999999999999</v>
      </c>
      <c r="AX27" s="77">
        <v>4.1000000000000005</v>
      </c>
      <c r="AY27" s="77">
        <v>14.37</v>
      </c>
      <c r="AZ27" s="60">
        <f t="shared" si="0"/>
        <v>99.999999999999986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80">
        <v>35.44</v>
      </c>
      <c r="AA28" s="80">
        <v>35.590000000000003</v>
      </c>
      <c r="AB28" s="80">
        <v>9.25</v>
      </c>
      <c r="AC28" s="80">
        <v>2.04</v>
      </c>
      <c r="AD28" s="80">
        <v>17.68</v>
      </c>
      <c r="AE28" s="58">
        <f t="shared" si="1"/>
        <v>100</v>
      </c>
      <c r="AF28" s="59"/>
      <c r="AG28" s="77">
        <v>52</v>
      </c>
      <c r="AH28" s="77">
        <v>18.3</v>
      </c>
      <c r="AI28" s="77">
        <v>7.0000000000000009</v>
      </c>
      <c r="AJ28" s="77">
        <v>1.3</v>
      </c>
      <c r="AK28" s="77">
        <v>21.4</v>
      </c>
      <c r="AL28" s="60">
        <f t="shared" si="2"/>
        <v>100</v>
      </c>
      <c r="AM28" s="59"/>
      <c r="AN28" s="77">
        <v>29.630000000000003</v>
      </c>
      <c r="AO28" s="77">
        <v>44.11</v>
      </c>
      <c r="AP28" s="77">
        <v>11.31</v>
      </c>
      <c r="AQ28" s="77">
        <v>3.44</v>
      </c>
      <c r="AR28" s="77">
        <v>11.51</v>
      </c>
      <c r="AS28" s="60">
        <f t="shared" si="3"/>
        <v>100.00000000000001</v>
      </c>
      <c r="AT28" s="59"/>
      <c r="AU28" s="77">
        <v>38.32</v>
      </c>
      <c r="AV28" s="77">
        <v>32.910000000000004</v>
      </c>
      <c r="AW28" s="77">
        <v>11.15</v>
      </c>
      <c r="AX28" s="77">
        <v>4.78</v>
      </c>
      <c r="AY28" s="77">
        <v>12.839999999999998</v>
      </c>
      <c r="AZ28" s="60">
        <f t="shared" si="0"/>
        <v>100.00000000000001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80">
        <v>29.32</v>
      </c>
      <c r="AA29" s="80">
        <v>28.85</v>
      </c>
      <c r="AB29" s="80">
        <v>15.35</v>
      </c>
      <c r="AC29" s="80">
        <v>2.99</v>
      </c>
      <c r="AD29" s="80">
        <v>23.49</v>
      </c>
      <c r="AE29" s="58">
        <f t="shared" si="1"/>
        <v>99.999999999999986</v>
      </c>
      <c r="AF29" s="59"/>
      <c r="AG29" s="77">
        <v>45.5</v>
      </c>
      <c r="AH29" s="77">
        <v>15.299999999999999</v>
      </c>
      <c r="AI29" s="77">
        <v>8.6</v>
      </c>
      <c r="AJ29" s="77">
        <v>1.5</v>
      </c>
      <c r="AK29" s="77">
        <v>29.099999999999998</v>
      </c>
      <c r="AL29" s="60">
        <f t="shared" si="2"/>
        <v>99.999999999999986</v>
      </c>
      <c r="AM29" s="59"/>
      <c r="AN29" s="77">
        <v>32.96</v>
      </c>
      <c r="AO29" s="77">
        <v>29.69</v>
      </c>
      <c r="AP29" s="77">
        <v>13.459999999999999</v>
      </c>
      <c r="AQ29" s="77">
        <v>4.1000000000000005</v>
      </c>
      <c r="AR29" s="77">
        <v>19.79</v>
      </c>
      <c r="AS29" s="60">
        <f t="shared" si="3"/>
        <v>100</v>
      </c>
      <c r="AT29" s="59"/>
      <c r="AU29" s="77">
        <v>34.75</v>
      </c>
      <c r="AV29" s="77">
        <v>27</v>
      </c>
      <c r="AW29" s="77">
        <v>14.399999999999999</v>
      </c>
      <c r="AX29" s="77">
        <v>5.76</v>
      </c>
      <c r="AY29" s="77">
        <v>18.09</v>
      </c>
      <c r="AZ29" s="60">
        <f t="shared" si="0"/>
        <v>100.00000000000001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80">
        <v>22.81</v>
      </c>
      <c r="AA30" s="80">
        <v>5.18</v>
      </c>
      <c r="AB30" s="80">
        <v>4.38</v>
      </c>
      <c r="AC30" s="80">
        <v>0.36</v>
      </c>
      <c r="AD30" s="80">
        <v>67.27</v>
      </c>
      <c r="AE30" s="58">
        <f t="shared" si="1"/>
        <v>100</v>
      </c>
      <c r="AF30" s="59"/>
      <c r="AG30" s="77">
        <v>25.8</v>
      </c>
      <c r="AH30" s="77">
        <v>7.6</v>
      </c>
      <c r="AI30" s="77">
        <v>12.4</v>
      </c>
      <c r="AJ30" s="77">
        <v>1.2</v>
      </c>
      <c r="AK30" s="77">
        <v>53</v>
      </c>
      <c r="AL30" s="60">
        <f t="shared" si="2"/>
        <v>100</v>
      </c>
      <c r="AM30" s="59"/>
      <c r="AN30" s="77">
        <v>17.89</v>
      </c>
      <c r="AO30" s="77">
        <v>15.61</v>
      </c>
      <c r="AP30" s="77">
        <v>28.050000000000004</v>
      </c>
      <c r="AQ30" s="77">
        <v>3.1</v>
      </c>
      <c r="AR30" s="77">
        <v>35.35</v>
      </c>
      <c r="AS30" s="60">
        <f t="shared" si="3"/>
        <v>100</v>
      </c>
      <c r="AT30" s="59"/>
      <c r="AU30" s="77">
        <v>18.850000000000001</v>
      </c>
      <c r="AV30" s="77">
        <v>8.02</v>
      </c>
      <c r="AW30" s="77">
        <v>25.39</v>
      </c>
      <c r="AX30" s="77">
        <v>2.82</v>
      </c>
      <c r="AY30" s="77">
        <v>44.92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80">
        <v>58.81</v>
      </c>
      <c r="AA31" s="80">
        <v>2.57</v>
      </c>
      <c r="AB31" s="80">
        <v>2.2999999999999998</v>
      </c>
      <c r="AC31" s="80">
        <v>0.57999999999999996</v>
      </c>
      <c r="AD31" s="80">
        <v>35.74</v>
      </c>
      <c r="AE31" s="58">
        <f t="shared" si="1"/>
        <v>100</v>
      </c>
      <c r="AF31" s="59"/>
      <c r="AG31" s="77">
        <v>39.5</v>
      </c>
      <c r="AH31" s="77">
        <v>10.299999999999999</v>
      </c>
      <c r="AI31" s="77">
        <v>10</v>
      </c>
      <c r="AJ31" s="77">
        <v>1.1000000000000001</v>
      </c>
      <c r="AK31" s="77">
        <v>39.1</v>
      </c>
      <c r="AL31" s="60">
        <f t="shared" si="2"/>
        <v>100</v>
      </c>
      <c r="AM31" s="59"/>
      <c r="AN31" s="77">
        <v>32.71</v>
      </c>
      <c r="AO31" s="77">
        <v>20.75</v>
      </c>
      <c r="AP31" s="77">
        <v>12.73</v>
      </c>
      <c r="AQ31" s="77">
        <v>2.92</v>
      </c>
      <c r="AR31" s="77">
        <v>30.89</v>
      </c>
      <c r="AS31" s="60">
        <f t="shared" si="3"/>
        <v>100</v>
      </c>
      <c r="AT31" s="59"/>
      <c r="AU31" s="77">
        <v>37.92</v>
      </c>
      <c r="AV31" s="77">
        <v>13.309999999999999</v>
      </c>
      <c r="AW31" s="77">
        <v>17.11</v>
      </c>
      <c r="AX31" s="77">
        <v>2.1800000000000002</v>
      </c>
      <c r="AY31" s="77">
        <v>29.48</v>
      </c>
      <c r="AZ31" s="60">
        <f t="shared" si="0"/>
        <v>100.00000000000001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80">
        <v>52.21</v>
      </c>
      <c r="AA32" s="80">
        <v>1.3</v>
      </c>
      <c r="AB32" s="80">
        <v>3.64</v>
      </c>
      <c r="AC32" s="80">
        <v>0.05</v>
      </c>
      <c r="AD32" s="80">
        <v>42.8</v>
      </c>
      <c r="AE32" s="58">
        <f t="shared" si="1"/>
        <v>100</v>
      </c>
      <c r="AF32" s="59"/>
      <c r="AG32" s="77">
        <v>40</v>
      </c>
      <c r="AH32" s="77">
        <v>11.3</v>
      </c>
      <c r="AI32" s="77">
        <v>9.9</v>
      </c>
      <c r="AJ32" s="77">
        <v>1.2</v>
      </c>
      <c r="AK32" s="77">
        <v>37.6</v>
      </c>
      <c r="AL32" s="60">
        <f t="shared" si="2"/>
        <v>100</v>
      </c>
      <c r="AM32" s="59"/>
      <c r="AN32" s="77">
        <v>33.56</v>
      </c>
      <c r="AO32" s="77">
        <v>21.44</v>
      </c>
      <c r="AP32" s="77">
        <v>20.399999999999999</v>
      </c>
      <c r="AQ32" s="77">
        <v>2.8899999999999997</v>
      </c>
      <c r="AR32" s="77">
        <v>21.709999999999997</v>
      </c>
      <c r="AS32" s="60">
        <f t="shared" si="3"/>
        <v>100</v>
      </c>
      <c r="AT32" s="59"/>
      <c r="AU32" s="77">
        <v>38.42</v>
      </c>
      <c r="AV32" s="77">
        <v>15.079999999999998</v>
      </c>
      <c r="AW32" s="77">
        <v>16.48</v>
      </c>
      <c r="AX32" s="77">
        <v>2.52</v>
      </c>
      <c r="AY32" s="77">
        <v>27.500000000000004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80">
        <v>52.19</v>
      </c>
      <c r="AA33" s="80">
        <v>2.98</v>
      </c>
      <c r="AB33" s="80">
        <v>0.94</v>
      </c>
      <c r="AC33" s="80">
        <v>0.51</v>
      </c>
      <c r="AD33" s="80">
        <v>43.38</v>
      </c>
      <c r="AE33" s="58">
        <f t="shared" si="1"/>
        <v>100</v>
      </c>
      <c r="AF33" s="59"/>
      <c r="AG33" s="77">
        <v>41.4</v>
      </c>
      <c r="AH33" s="77">
        <v>11.600000000000001</v>
      </c>
      <c r="AI33" s="77">
        <v>9.6</v>
      </c>
      <c r="AJ33" s="77">
        <v>1.2</v>
      </c>
      <c r="AK33" s="77">
        <v>36.199999999999996</v>
      </c>
      <c r="AL33" s="60">
        <f t="shared" si="2"/>
        <v>100</v>
      </c>
      <c r="AM33" s="59"/>
      <c r="AN33" s="77">
        <v>34.35</v>
      </c>
      <c r="AO33" s="77">
        <v>22.28</v>
      </c>
      <c r="AP33" s="77">
        <v>20.93</v>
      </c>
      <c r="AQ33" s="77">
        <v>2.7199999999999998</v>
      </c>
      <c r="AR33" s="77">
        <v>19.72</v>
      </c>
      <c r="AS33" s="60">
        <f t="shared" si="3"/>
        <v>100</v>
      </c>
      <c r="AT33" s="59"/>
      <c r="AU33" s="77">
        <v>38.700000000000003</v>
      </c>
      <c r="AV33" s="77">
        <v>15.939999999999998</v>
      </c>
      <c r="AW33" s="77">
        <v>16.13</v>
      </c>
      <c r="AX33" s="77">
        <v>2.67</v>
      </c>
      <c r="AY33" s="77">
        <v>26.56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9" t="s">
        <v>1</v>
      </c>
      <c r="B38" s="91" t="s">
        <v>61</v>
      </c>
      <c r="C38" s="91" t="s">
        <v>62</v>
      </c>
      <c r="D38" s="89" t="s">
        <v>7</v>
      </c>
      <c r="E38" s="93" t="s">
        <v>8</v>
      </c>
      <c r="F38" s="94"/>
      <c r="G38" s="84" t="s">
        <v>9</v>
      </c>
      <c r="H38" s="84"/>
      <c r="I38" s="84"/>
      <c r="J38" s="84"/>
      <c r="K38" s="84"/>
      <c r="L38" s="85" t="s">
        <v>55</v>
      </c>
      <c r="M38" s="86"/>
      <c r="N38" s="86"/>
      <c r="O38" s="86"/>
      <c r="P38" s="86"/>
      <c r="Q38" s="86"/>
      <c r="R38" s="86"/>
      <c r="S38" s="86"/>
      <c r="T38" s="86"/>
      <c r="U38" s="8"/>
      <c r="V38" s="8"/>
      <c r="W38" s="8"/>
      <c r="X38" s="8"/>
      <c r="Y38" s="87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90"/>
      <c r="B39" s="90"/>
      <c r="C39" s="90"/>
      <c r="D39" s="92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8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7">
        <v>42.8</v>
      </c>
      <c r="AA40" s="77">
        <v>11</v>
      </c>
      <c r="AB40" s="77">
        <v>8.6</v>
      </c>
      <c r="AC40" s="77">
        <v>1.1000000000000001</v>
      </c>
      <c r="AD40" s="77">
        <v>36.5</v>
      </c>
      <c r="AE40" s="60">
        <f>SUM(Z40:AD40)</f>
        <v>100</v>
      </c>
      <c r="AF40" s="59"/>
      <c r="AG40" s="64">
        <v>0.11899999999999999</v>
      </c>
      <c r="AH40" s="64">
        <v>6.4000000000000001E-2</v>
      </c>
      <c r="AI40" s="64">
        <v>7.3999999999999996E-2</v>
      </c>
      <c r="AJ40" s="64">
        <v>1.2E-2</v>
      </c>
      <c r="AK40" s="64">
        <v>0.11600000000000001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7">
        <v>58.4</v>
      </c>
      <c r="AA41" s="77">
        <v>12.9</v>
      </c>
      <c r="AB41" s="77">
        <v>6.6000000000000005</v>
      </c>
      <c r="AC41" s="77">
        <v>0.89999999999999991</v>
      </c>
      <c r="AD41" s="77">
        <v>21.2</v>
      </c>
      <c r="AE41" s="60">
        <f t="shared" ref="AE41:AE63" si="4">SUM(Z41:AD41)</f>
        <v>100</v>
      </c>
      <c r="AF41" s="59"/>
      <c r="AG41" s="64">
        <v>0.214</v>
      </c>
      <c r="AH41" s="64">
        <v>0.13900000000000001</v>
      </c>
      <c r="AI41" s="64">
        <v>7.6999999999999999E-2</v>
      </c>
      <c r="AJ41" s="64">
        <v>1.4E-2</v>
      </c>
      <c r="AK41" s="64">
        <v>0.14099999999999999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7">
        <v>53</v>
      </c>
      <c r="AA42" s="77">
        <v>12.5</v>
      </c>
      <c r="AB42" s="77">
        <v>7.5</v>
      </c>
      <c r="AC42" s="77">
        <v>1</v>
      </c>
      <c r="AD42" s="77">
        <v>26</v>
      </c>
      <c r="AE42" s="60">
        <f t="shared" si="4"/>
        <v>100</v>
      </c>
      <c r="AF42" s="59"/>
      <c r="AG42" s="64">
        <v>0.21299999999999999</v>
      </c>
      <c r="AH42" s="64">
        <v>0.127</v>
      </c>
      <c r="AI42" s="64">
        <v>8.5000000000000006E-2</v>
      </c>
      <c r="AJ42" s="64">
        <v>1.7000000000000001E-2</v>
      </c>
      <c r="AK42" s="64">
        <v>0.161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7">
        <v>53</v>
      </c>
      <c r="AA43" s="77">
        <v>13.900000000000002</v>
      </c>
      <c r="AB43" s="77">
        <v>7.3</v>
      </c>
      <c r="AC43" s="77">
        <v>1.0999999999999999</v>
      </c>
      <c r="AD43" s="77">
        <v>24.7</v>
      </c>
      <c r="AE43" s="60">
        <f t="shared" si="4"/>
        <v>100</v>
      </c>
      <c r="AF43" s="59"/>
      <c r="AG43" s="64">
        <v>0.21099999999999999</v>
      </c>
      <c r="AH43" s="64">
        <v>0.13400000000000001</v>
      </c>
      <c r="AI43" s="64">
        <v>8.2000000000000003E-2</v>
      </c>
      <c r="AJ43" s="64">
        <v>1.7000000000000001E-2</v>
      </c>
      <c r="AK43" s="64">
        <v>0.15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7">
        <v>28.1</v>
      </c>
      <c r="AA44" s="77">
        <v>8.5</v>
      </c>
      <c r="AB44" s="77">
        <v>12.6</v>
      </c>
      <c r="AC44" s="77">
        <v>1.4000000000000001</v>
      </c>
      <c r="AD44" s="77">
        <v>49.4</v>
      </c>
      <c r="AE44" s="60">
        <f t="shared" si="4"/>
        <v>100</v>
      </c>
      <c r="AF44" s="59"/>
      <c r="AG44" s="64">
        <v>0.16400000000000001</v>
      </c>
      <c r="AH44" s="64">
        <v>7.6999999999999999E-2</v>
      </c>
      <c r="AI44" s="64">
        <v>0.14899999999999999</v>
      </c>
      <c r="AJ44" s="64">
        <v>2.4E-2</v>
      </c>
      <c r="AK44" s="64">
        <v>0.21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7">
        <v>31.8</v>
      </c>
      <c r="AA45" s="77">
        <v>10.199999999999999</v>
      </c>
      <c r="AB45" s="77">
        <v>11.799999999999999</v>
      </c>
      <c r="AC45" s="77">
        <v>1.5</v>
      </c>
      <c r="AD45" s="77">
        <v>44.7</v>
      </c>
      <c r="AE45" s="60">
        <f t="shared" si="4"/>
        <v>100</v>
      </c>
      <c r="AF45" s="59"/>
      <c r="AG45" s="64">
        <v>0.17699999999999999</v>
      </c>
      <c r="AH45" s="64">
        <v>0.09</v>
      </c>
      <c r="AI45" s="64">
        <v>0.13500000000000001</v>
      </c>
      <c r="AJ45" s="64">
        <v>2.5999999999999999E-2</v>
      </c>
      <c r="AK45" s="64">
        <v>0.20699999999999999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7">
        <v>39.800000000000004</v>
      </c>
      <c r="AA46" s="77">
        <v>11.700000000000001</v>
      </c>
      <c r="AB46" s="77">
        <v>9.8000000000000007</v>
      </c>
      <c r="AC46" s="77">
        <v>1.3</v>
      </c>
      <c r="AD46" s="77">
        <v>37.4</v>
      </c>
      <c r="AE46" s="60">
        <f t="shared" si="4"/>
        <v>100</v>
      </c>
      <c r="AF46" s="59"/>
      <c r="AG46" s="64">
        <v>0.19600000000000001</v>
      </c>
      <c r="AH46" s="64">
        <v>0.106</v>
      </c>
      <c r="AI46" s="64">
        <v>0.11</v>
      </c>
      <c r="AJ46" s="64">
        <v>2.1999999999999999E-2</v>
      </c>
      <c r="AK46" s="64">
        <v>0.189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7">
        <v>15.8</v>
      </c>
      <c r="AA47" s="77">
        <v>4.5</v>
      </c>
      <c r="AB47" s="77">
        <v>14.799999999999999</v>
      </c>
      <c r="AC47" s="77">
        <v>0.8</v>
      </c>
      <c r="AD47" s="77">
        <v>64.099999999999994</v>
      </c>
      <c r="AE47" s="60">
        <f t="shared" si="4"/>
        <v>100</v>
      </c>
      <c r="AF47" s="59"/>
      <c r="AG47" s="64">
        <v>0.153</v>
      </c>
      <c r="AH47" s="64">
        <v>4.2999999999999997E-2</v>
      </c>
      <c r="AI47" s="64">
        <v>0.23400000000000001</v>
      </c>
      <c r="AJ47" s="64">
        <v>2.3E-2</v>
      </c>
      <c r="AK47" s="64">
        <v>0.26700000000000002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7">
        <v>56.3</v>
      </c>
      <c r="AA48" s="77">
        <v>17</v>
      </c>
      <c r="AB48" s="77">
        <v>6</v>
      </c>
      <c r="AC48" s="77">
        <v>1</v>
      </c>
      <c r="AD48" s="77">
        <v>19.7</v>
      </c>
      <c r="AE48" s="60">
        <f t="shared" si="4"/>
        <v>100</v>
      </c>
      <c r="AF48" s="59"/>
      <c r="AG48" s="64">
        <v>0.22800000000000001</v>
      </c>
      <c r="AH48" s="64">
        <v>0.16600000000000001</v>
      </c>
      <c r="AI48" s="64">
        <v>6.5000000000000002E-2</v>
      </c>
      <c r="AJ48" s="64">
        <v>1.7000000000000001E-2</v>
      </c>
      <c r="AK48" s="64">
        <v>0.128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7">
        <v>38.5</v>
      </c>
      <c r="AA49" s="77">
        <v>12.7</v>
      </c>
      <c r="AB49" s="77">
        <v>10.299999999999999</v>
      </c>
      <c r="AC49" s="77">
        <v>1.7999999999999998</v>
      </c>
      <c r="AD49" s="77">
        <v>36.700000000000003</v>
      </c>
      <c r="AE49" s="60">
        <f t="shared" si="4"/>
        <v>100</v>
      </c>
      <c r="AF49" s="59"/>
      <c r="AG49" s="64">
        <v>0.19500000000000001</v>
      </c>
      <c r="AH49" s="64">
        <v>0.113</v>
      </c>
      <c r="AI49" s="64">
        <v>0.113</v>
      </c>
      <c r="AJ49" s="64">
        <v>3.1E-2</v>
      </c>
      <c r="AK49" s="64">
        <v>0.188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7">
        <v>38.6</v>
      </c>
      <c r="AA50" s="77">
        <v>12</v>
      </c>
      <c r="AB50" s="77">
        <v>10.299999999999999</v>
      </c>
      <c r="AC50" s="77">
        <v>1.5</v>
      </c>
      <c r="AD50" s="77">
        <v>37.6</v>
      </c>
      <c r="AE50" s="60">
        <f t="shared" si="4"/>
        <v>100</v>
      </c>
      <c r="AF50" s="59"/>
      <c r="AG50" s="64">
        <v>0.191</v>
      </c>
      <c r="AH50" s="64">
        <v>0.106</v>
      </c>
      <c r="AI50" s="64">
        <v>0.113</v>
      </c>
      <c r="AJ50" s="64">
        <v>2.5000000000000001E-2</v>
      </c>
      <c r="AK50" s="64">
        <v>0.189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7">
        <v>41.4</v>
      </c>
      <c r="AA51" s="77">
        <v>12.4</v>
      </c>
      <c r="AB51" s="77">
        <v>9.7000000000000011</v>
      </c>
      <c r="AC51" s="77">
        <v>1.4000000000000001</v>
      </c>
      <c r="AD51" s="77">
        <v>35.099999999999994</v>
      </c>
      <c r="AE51" s="60">
        <f t="shared" si="4"/>
        <v>100</v>
      </c>
      <c r="AF51" s="59"/>
      <c r="AG51" s="64">
        <v>0.20399999999999999</v>
      </c>
      <c r="AH51" s="64">
        <v>0.111</v>
      </c>
      <c r="AI51" s="64">
        <v>0.108</v>
      </c>
      <c r="AJ51" s="64">
        <v>2.1000000000000001E-2</v>
      </c>
      <c r="AK51" s="64">
        <v>0.19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7">
        <v>45.9</v>
      </c>
      <c r="AA52" s="77">
        <v>12.4</v>
      </c>
      <c r="AB52" s="77">
        <v>8.9</v>
      </c>
      <c r="AC52" s="77">
        <v>1.2</v>
      </c>
      <c r="AD52" s="77">
        <v>31.6</v>
      </c>
      <c r="AE52" s="60">
        <f t="shared" si="4"/>
        <v>100</v>
      </c>
      <c r="AF52" s="59"/>
      <c r="AG52" s="64">
        <v>0.20300000000000001</v>
      </c>
      <c r="AH52" s="64">
        <v>0.11600000000000001</v>
      </c>
      <c r="AI52" s="64">
        <v>0.10100000000000001</v>
      </c>
      <c r="AJ52" s="64">
        <v>0.02</v>
      </c>
      <c r="AK52" s="64">
        <v>0.17599999999999999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7">
        <v>44.7</v>
      </c>
      <c r="AA53" s="77">
        <v>12.3</v>
      </c>
      <c r="AB53" s="77">
        <v>8.9</v>
      </c>
      <c r="AC53" s="77">
        <v>1.4</v>
      </c>
      <c r="AD53" s="77">
        <v>32.700000000000003</v>
      </c>
      <c r="AE53" s="60">
        <f t="shared" si="4"/>
        <v>100.00000000000001</v>
      </c>
      <c r="AF53" s="59"/>
      <c r="AG53" s="64">
        <v>0.20100000000000001</v>
      </c>
      <c r="AH53" s="64">
        <v>0.115</v>
      </c>
      <c r="AI53" s="64">
        <v>9.9000000000000005E-2</v>
      </c>
      <c r="AJ53" s="64">
        <v>2.1999999999999999E-2</v>
      </c>
      <c r="AK53" s="64">
        <v>0.17599999999999999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7">
        <v>48.4</v>
      </c>
      <c r="AA54" s="77">
        <v>14.799999999999999</v>
      </c>
      <c r="AB54" s="77">
        <v>8.1</v>
      </c>
      <c r="AC54" s="77">
        <v>1.3</v>
      </c>
      <c r="AD54" s="77">
        <v>27.400000000000002</v>
      </c>
      <c r="AE54" s="60">
        <f t="shared" si="4"/>
        <v>100</v>
      </c>
      <c r="AF54" s="59"/>
      <c r="AG54" s="64">
        <v>0.21</v>
      </c>
      <c r="AH54" s="64">
        <v>0.13100000000000001</v>
      </c>
      <c r="AI54" s="64">
        <v>8.7999999999999995E-2</v>
      </c>
      <c r="AJ54" s="64">
        <v>2.3E-2</v>
      </c>
      <c r="AK54" s="64">
        <v>0.161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7">
        <v>39.700000000000003</v>
      </c>
      <c r="AA55" s="77">
        <v>11.2</v>
      </c>
      <c r="AB55" s="77">
        <v>9.9</v>
      </c>
      <c r="AC55" s="77">
        <v>1.3</v>
      </c>
      <c r="AD55" s="77">
        <v>37.9</v>
      </c>
      <c r="AE55" s="60">
        <f t="shared" si="4"/>
        <v>100</v>
      </c>
      <c r="AF55" s="59"/>
      <c r="AG55" s="64">
        <v>0.19700000000000001</v>
      </c>
      <c r="AH55" s="64">
        <v>0.10299999999999999</v>
      </c>
      <c r="AI55" s="64">
        <v>0.114</v>
      </c>
      <c r="AJ55" s="64">
        <v>2.4E-2</v>
      </c>
      <c r="AK55" s="64">
        <v>0.192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7">
        <v>49.6</v>
      </c>
      <c r="AA56" s="77">
        <v>16.7</v>
      </c>
      <c r="AB56" s="77">
        <v>7.6</v>
      </c>
      <c r="AC56" s="77">
        <v>1.4000000000000001</v>
      </c>
      <c r="AD56" s="77">
        <v>24.7</v>
      </c>
      <c r="AE56" s="60">
        <f t="shared" si="4"/>
        <v>100</v>
      </c>
      <c r="AF56" s="59"/>
      <c r="AG56" s="64">
        <v>0.218</v>
      </c>
      <c r="AH56" s="64">
        <v>0.14799999999999999</v>
      </c>
      <c r="AI56" s="64">
        <v>8.1000000000000003E-2</v>
      </c>
      <c r="AJ56" s="64">
        <v>2.3E-2</v>
      </c>
      <c r="AK56" s="64">
        <v>0.14799999999999999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7">
        <v>51.1</v>
      </c>
      <c r="AA57" s="77">
        <v>16.900000000000002</v>
      </c>
      <c r="AB57" s="77">
        <v>7.1999999999999993</v>
      </c>
      <c r="AC57" s="77">
        <v>1.3</v>
      </c>
      <c r="AD57" s="77">
        <v>23.5</v>
      </c>
      <c r="AE57" s="60">
        <f t="shared" si="4"/>
        <v>100</v>
      </c>
      <c r="AF57" s="59"/>
      <c r="AG57" s="64">
        <v>0.22</v>
      </c>
      <c r="AH57" s="64">
        <v>0.154</v>
      </c>
      <c r="AI57" s="64">
        <v>7.6999999999999999E-2</v>
      </c>
      <c r="AJ57" s="64">
        <v>2.1000000000000001E-2</v>
      </c>
      <c r="AK57" s="64">
        <v>0.14499999999999999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7">
        <v>52</v>
      </c>
      <c r="AA58" s="77">
        <v>18.3</v>
      </c>
      <c r="AB58" s="77">
        <v>7.0000000000000009</v>
      </c>
      <c r="AC58" s="77">
        <v>1.3</v>
      </c>
      <c r="AD58" s="77">
        <v>21.4</v>
      </c>
      <c r="AE58" s="60">
        <f t="shared" si="4"/>
        <v>100</v>
      </c>
      <c r="AF58" s="59"/>
      <c r="AG58" s="64">
        <v>0.22700000000000001</v>
      </c>
      <c r="AH58" s="64">
        <v>0.16600000000000001</v>
      </c>
      <c r="AI58" s="64">
        <v>7.2999999999999995E-2</v>
      </c>
      <c r="AJ58" s="64">
        <v>2.1000000000000001E-2</v>
      </c>
      <c r="AK58" s="64">
        <v>0.13600000000000001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7">
        <v>45.5</v>
      </c>
      <c r="AA59" s="77">
        <v>15.299999999999999</v>
      </c>
      <c r="AB59" s="77">
        <v>8.6</v>
      </c>
      <c r="AC59" s="77">
        <v>1.5</v>
      </c>
      <c r="AD59" s="77">
        <v>29.099999999999998</v>
      </c>
      <c r="AE59" s="60">
        <f t="shared" si="4"/>
        <v>99.999999999999986</v>
      </c>
      <c r="AF59" s="59"/>
      <c r="AG59" s="64">
        <v>0.21299999999999999</v>
      </c>
      <c r="AH59" s="64">
        <v>0.13700000000000001</v>
      </c>
      <c r="AI59" s="64">
        <v>9.1999999999999998E-2</v>
      </c>
      <c r="AJ59" s="64">
        <v>2.5000000000000001E-2</v>
      </c>
      <c r="AK59" s="64">
        <v>0.16600000000000001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7">
        <v>25.8</v>
      </c>
      <c r="AA60" s="77">
        <v>7.6</v>
      </c>
      <c r="AB60" s="77">
        <v>12.4</v>
      </c>
      <c r="AC60" s="77">
        <v>1.2</v>
      </c>
      <c r="AD60" s="77">
        <v>53</v>
      </c>
      <c r="AE60" s="60">
        <f t="shared" si="4"/>
        <v>100</v>
      </c>
      <c r="AF60" s="59"/>
      <c r="AG60" s="64">
        <v>0.161</v>
      </c>
      <c r="AH60" s="64">
        <v>7.0000000000000007E-2</v>
      </c>
      <c r="AI60" s="64">
        <v>0.155</v>
      </c>
      <c r="AJ60" s="64">
        <v>2.1999999999999999E-2</v>
      </c>
      <c r="AK60" s="64">
        <v>0.21299999999999999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7">
        <v>39.5</v>
      </c>
      <c r="AA61" s="77">
        <v>10.299999999999999</v>
      </c>
      <c r="AB61" s="77">
        <v>10</v>
      </c>
      <c r="AC61" s="77">
        <v>1.1000000000000001</v>
      </c>
      <c r="AD61" s="77">
        <v>39.1</v>
      </c>
      <c r="AE61" s="60">
        <f t="shared" si="4"/>
        <v>100</v>
      </c>
      <c r="AF61" s="59"/>
      <c r="AG61" s="64">
        <v>0.19500000000000001</v>
      </c>
      <c r="AH61" s="64">
        <v>9.8000000000000004E-2</v>
      </c>
      <c r="AI61" s="64">
        <v>0.115</v>
      </c>
      <c r="AJ61" s="64">
        <v>0.02</v>
      </c>
      <c r="AK61" s="64">
        <v>0.19700000000000001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7">
        <v>40</v>
      </c>
      <c r="AA62" s="77">
        <v>11.3</v>
      </c>
      <c r="AB62" s="77">
        <v>9.9</v>
      </c>
      <c r="AC62" s="77">
        <v>1.2</v>
      </c>
      <c r="AD62" s="77">
        <v>37.6</v>
      </c>
      <c r="AE62" s="60">
        <f t="shared" si="4"/>
        <v>100</v>
      </c>
      <c r="AF62" s="59"/>
      <c r="AG62" s="64">
        <v>0.19700000000000001</v>
      </c>
      <c r="AH62" s="64">
        <v>0.10299999999999999</v>
      </c>
      <c r="AI62" s="64">
        <v>0.114</v>
      </c>
      <c r="AJ62" s="64">
        <v>0.02</v>
      </c>
      <c r="AK62" s="64">
        <v>0.193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7">
        <v>41.4</v>
      </c>
      <c r="AA63" s="77">
        <v>11.600000000000001</v>
      </c>
      <c r="AB63" s="77">
        <v>9.6</v>
      </c>
      <c r="AC63" s="77">
        <v>1.2</v>
      </c>
      <c r="AD63" s="77">
        <v>36.199999999999996</v>
      </c>
      <c r="AE63" s="60">
        <f t="shared" si="4"/>
        <v>100</v>
      </c>
      <c r="AF63" s="59"/>
      <c r="AG63" s="64">
        <v>0.20200000000000001</v>
      </c>
      <c r="AH63" s="64">
        <v>0.106</v>
      </c>
      <c r="AI63" s="64">
        <v>0.109</v>
      </c>
      <c r="AJ63" s="64">
        <v>2.3E-2</v>
      </c>
      <c r="AK63" s="64">
        <v>0.191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9" t="s">
        <v>1</v>
      </c>
      <c r="B69" s="91" t="s">
        <v>61</v>
      </c>
      <c r="C69" s="91" t="s">
        <v>62</v>
      </c>
      <c r="D69" s="89" t="s">
        <v>7</v>
      </c>
      <c r="E69" s="93" t="s">
        <v>8</v>
      </c>
      <c r="F69" s="94"/>
      <c r="G69" s="84" t="s">
        <v>9</v>
      </c>
      <c r="H69" s="84"/>
      <c r="I69" s="84"/>
      <c r="J69" s="84"/>
      <c r="K69" s="84"/>
      <c r="L69" s="85" t="s">
        <v>55</v>
      </c>
      <c r="M69" s="86"/>
      <c r="N69" s="86"/>
      <c r="O69" s="86"/>
      <c r="P69" s="86"/>
      <c r="Q69" s="86"/>
      <c r="R69" s="86"/>
      <c r="S69" s="86"/>
      <c r="T69" s="86"/>
      <c r="U69" s="8"/>
      <c r="V69" s="8"/>
      <c r="W69" s="8"/>
      <c r="X69" s="8"/>
      <c r="Y69" s="87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90"/>
      <c r="B70" s="90"/>
      <c r="C70" s="90"/>
      <c r="D70" s="92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8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7">
        <v>37.99</v>
      </c>
      <c r="AA71" s="77">
        <v>15.39</v>
      </c>
      <c r="AB71" s="77">
        <v>19</v>
      </c>
      <c r="AC71" s="77">
        <v>2.71</v>
      </c>
      <c r="AD71" s="77">
        <v>24.91</v>
      </c>
      <c r="AE71" s="57">
        <f>SUM(Z71:AD71)</f>
        <v>99.999999999999986</v>
      </c>
      <c r="AG71" s="63">
        <v>0.1094</v>
      </c>
      <c r="AH71" s="63">
        <v>4.2299999999999997E-2</v>
      </c>
      <c r="AI71" s="63">
        <v>9.8500000000000004E-2</v>
      </c>
      <c r="AJ71" s="63">
        <v>1.7299999999999999E-2</v>
      </c>
      <c r="AK71" s="63">
        <v>0.10440000000000001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7">
        <v>55.89</v>
      </c>
      <c r="AA72" s="77">
        <v>20.25</v>
      </c>
      <c r="AB72" s="77">
        <v>6.69</v>
      </c>
      <c r="AC72" s="77">
        <v>2.64</v>
      </c>
      <c r="AD72" s="77">
        <v>14.530000000000001</v>
      </c>
      <c r="AE72" s="57">
        <f t="shared" ref="AE72:AE94" si="5">SUM(Z72:AD72)</f>
        <v>100</v>
      </c>
      <c r="AG72" s="63">
        <v>0.14430000000000001</v>
      </c>
      <c r="AH72" s="63">
        <v>0.15720000000000001</v>
      </c>
      <c r="AI72" s="63">
        <v>4.1799999999999997E-2</v>
      </c>
      <c r="AJ72" s="63">
        <v>1.6199999999999999E-2</v>
      </c>
      <c r="AK72" s="63">
        <v>5.4899999999999997E-2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7">
        <v>51.81</v>
      </c>
      <c r="AA73" s="77">
        <v>19.439999999999998</v>
      </c>
      <c r="AB73" s="77">
        <v>9.11</v>
      </c>
      <c r="AC73" s="77">
        <v>2.33</v>
      </c>
      <c r="AD73" s="77">
        <v>17.309999999999999</v>
      </c>
      <c r="AE73" s="57">
        <f t="shared" si="5"/>
        <v>100</v>
      </c>
      <c r="AG73" s="63">
        <v>0.1222</v>
      </c>
      <c r="AH73" s="63">
        <v>0.14929999999999999</v>
      </c>
      <c r="AI73" s="63">
        <v>4.8899999999999999E-2</v>
      </c>
      <c r="AJ73" s="63">
        <v>1.5800000000000002E-2</v>
      </c>
      <c r="AK73" s="63">
        <v>6.1199999999999997E-2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7">
        <v>49.93</v>
      </c>
      <c r="AA74" s="77">
        <v>24.51</v>
      </c>
      <c r="AB74" s="77">
        <v>8.25</v>
      </c>
      <c r="AC74" s="77">
        <v>2.2200000000000002</v>
      </c>
      <c r="AD74" s="77">
        <v>15.09</v>
      </c>
      <c r="AE74" s="57">
        <f t="shared" si="5"/>
        <v>100</v>
      </c>
      <c r="AG74" s="63">
        <v>0.1142</v>
      </c>
      <c r="AH74" s="63">
        <v>0.13439999999999999</v>
      </c>
      <c r="AI74" s="63">
        <v>4.6899999999999997E-2</v>
      </c>
      <c r="AJ74" s="63">
        <v>1.52E-2</v>
      </c>
      <c r="AK74" s="63">
        <v>5.3400000000000003E-2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7">
        <v>21.74</v>
      </c>
      <c r="AA75" s="77">
        <v>11.68</v>
      </c>
      <c r="AB75" s="77">
        <v>26.49</v>
      </c>
      <c r="AC75" s="77">
        <v>3.47</v>
      </c>
      <c r="AD75" s="77">
        <v>36.619999999999997</v>
      </c>
      <c r="AE75" s="57">
        <f t="shared" si="5"/>
        <v>100</v>
      </c>
      <c r="AG75" s="63">
        <v>6.1499999999999999E-2</v>
      </c>
      <c r="AH75" s="63">
        <v>3.5499999999999997E-2</v>
      </c>
      <c r="AI75" s="63">
        <v>8.4900000000000003E-2</v>
      </c>
      <c r="AJ75" s="63">
        <v>1.9199999999999998E-2</v>
      </c>
      <c r="AK75" s="63">
        <v>0.1062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7">
        <v>23.119999999999997</v>
      </c>
      <c r="AA76" s="77">
        <v>14.31</v>
      </c>
      <c r="AB76" s="77">
        <v>23.59</v>
      </c>
      <c r="AC76" s="77">
        <v>4.22</v>
      </c>
      <c r="AD76" s="77">
        <v>34.760000000000005</v>
      </c>
      <c r="AE76" s="57">
        <f t="shared" si="5"/>
        <v>100</v>
      </c>
      <c r="AG76" s="63">
        <v>7.5999999999999998E-2</v>
      </c>
      <c r="AH76" s="63">
        <v>4.7300000000000002E-2</v>
      </c>
      <c r="AI76" s="63">
        <v>8.2400000000000001E-2</v>
      </c>
      <c r="AJ76" s="63">
        <v>1.6E-2</v>
      </c>
      <c r="AK76" s="63">
        <v>0.19969999999999999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7">
        <v>32.68</v>
      </c>
      <c r="AA77" s="77">
        <v>23.79</v>
      </c>
      <c r="AB77" s="77">
        <v>17.21</v>
      </c>
      <c r="AC77" s="77">
        <v>2.8899999999999997</v>
      </c>
      <c r="AD77" s="77">
        <v>23.43</v>
      </c>
      <c r="AE77" s="57">
        <f t="shared" si="5"/>
        <v>100</v>
      </c>
      <c r="AG77" s="63">
        <v>3.9899999999999998E-2</v>
      </c>
      <c r="AH77" s="63">
        <v>0.13370000000000001</v>
      </c>
      <c r="AI77" s="63">
        <v>5.6300000000000003E-2</v>
      </c>
      <c r="AJ77" s="63">
        <v>1.7600000000000001E-2</v>
      </c>
      <c r="AK77" s="63">
        <v>7.5700000000000003E-2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7">
        <v>15.129999999999999</v>
      </c>
      <c r="AA78" s="77">
        <v>11.48</v>
      </c>
      <c r="AB78" s="77">
        <v>27.3</v>
      </c>
      <c r="AC78" s="77">
        <v>4.08</v>
      </c>
      <c r="AD78" s="77">
        <v>42.01</v>
      </c>
      <c r="AE78" s="57">
        <f t="shared" si="5"/>
        <v>100</v>
      </c>
      <c r="AG78" s="63">
        <v>7.8899999999999998E-2</v>
      </c>
      <c r="AH78" s="63">
        <v>0.26840000000000003</v>
      </c>
      <c r="AI78" s="63">
        <v>0.124</v>
      </c>
      <c r="AJ78" s="63">
        <v>4.1099999999999998E-2</v>
      </c>
      <c r="AK78" s="63">
        <v>0.16539999999999999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7">
        <v>46.400000000000006</v>
      </c>
      <c r="AA79" s="77">
        <v>33.239999999999995</v>
      </c>
      <c r="AB79" s="77">
        <v>6.41</v>
      </c>
      <c r="AC79" s="77">
        <v>3.01</v>
      </c>
      <c r="AD79" s="77">
        <v>10.94</v>
      </c>
      <c r="AE79" s="57">
        <f t="shared" si="5"/>
        <v>100</v>
      </c>
      <c r="AG79" s="63">
        <v>9.9099999999999994E-2</v>
      </c>
      <c r="AH79" s="63">
        <v>0.12620000000000001</v>
      </c>
      <c r="AI79" s="63">
        <v>3.49E-2</v>
      </c>
      <c r="AJ79" s="63">
        <v>1.7600000000000001E-2</v>
      </c>
      <c r="AK79" s="63">
        <v>4.1700000000000001E-2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7">
        <v>28.78</v>
      </c>
      <c r="AA80" s="77">
        <v>25.480000000000004</v>
      </c>
      <c r="AB80" s="77">
        <v>17.810000000000002</v>
      </c>
      <c r="AC80" s="77">
        <v>5.67</v>
      </c>
      <c r="AD80" s="77">
        <v>22.259999999999998</v>
      </c>
      <c r="AE80" s="57">
        <f t="shared" si="5"/>
        <v>100</v>
      </c>
      <c r="AG80" s="63">
        <v>7.0499999999999993E-2</v>
      </c>
      <c r="AH80" s="63">
        <v>8.4900000000000003E-2</v>
      </c>
      <c r="AI80" s="63">
        <v>5.5300000000000002E-2</v>
      </c>
      <c r="AJ80" s="63">
        <v>1.7999999999999999E-2</v>
      </c>
      <c r="AK80" s="63">
        <v>6.9099999999999995E-2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7">
        <v>26.669999999999998</v>
      </c>
      <c r="AA81" s="77">
        <v>24.58</v>
      </c>
      <c r="AB81" s="77">
        <v>15.409999999999998</v>
      </c>
      <c r="AC81" s="77">
        <v>3.23</v>
      </c>
      <c r="AD81" s="77">
        <v>30.11</v>
      </c>
      <c r="AE81" s="57">
        <f t="shared" si="5"/>
        <v>100</v>
      </c>
      <c r="AG81" s="63">
        <v>8.3099999999999993E-2</v>
      </c>
      <c r="AH81" s="63">
        <v>0.1137</v>
      </c>
      <c r="AI81" s="63">
        <v>5.3600000000000002E-2</v>
      </c>
      <c r="AJ81" s="63">
        <v>1.8100000000000002E-2</v>
      </c>
      <c r="AK81" s="63">
        <v>0.1101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7">
        <v>32.340000000000003</v>
      </c>
      <c r="AA82" s="77">
        <v>23.87</v>
      </c>
      <c r="AB82" s="77">
        <v>13.900000000000002</v>
      </c>
      <c r="AC82" s="77">
        <v>3.2199999999999998</v>
      </c>
      <c r="AD82" s="77">
        <v>26.669999999999998</v>
      </c>
      <c r="AE82" s="57">
        <f t="shared" si="5"/>
        <v>100.00000000000001</v>
      </c>
      <c r="AG82" s="63">
        <v>4.8899999999999999E-2</v>
      </c>
      <c r="AH82" s="63">
        <v>0.1124</v>
      </c>
      <c r="AI82" s="63">
        <v>5.1499999999999997E-2</v>
      </c>
      <c r="AJ82" s="63">
        <v>1.72E-2</v>
      </c>
      <c r="AK82" s="63">
        <v>9.1499999999999998E-2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7">
        <v>46.9</v>
      </c>
      <c r="AA83" s="77">
        <v>20.64</v>
      </c>
      <c r="AB83" s="77">
        <v>10.280000000000001</v>
      </c>
      <c r="AC83" s="77">
        <v>3.95</v>
      </c>
      <c r="AD83" s="77">
        <v>18.23</v>
      </c>
      <c r="AE83" s="57">
        <f t="shared" si="5"/>
        <v>100</v>
      </c>
      <c r="AG83" s="63">
        <v>0.10059999999999999</v>
      </c>
      <c r="AH83" s="63">
        <v>0.13500000000000001</v>
      </c>
      <c r="AI83" s="63">
        <v>5.1900000000000002E-2</v>
      </c>
      <c r="AJ83" s="63">
        <v>2.1600000000000001E-2</v>
      </c>
      <c r="AK83" s="63">
        <v>6.8400000000000002E-2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7">
        <v>46.32</v>
      </c>
      <c r="AA84" s="77">
        <v>19.28</v>
      </c>
      <c r="AB84" s="77">
        <v>11.26</v>
      </c>
      <c r="AC84" s="77">
        <v>3.3300000000000005</v>
      </c>
      <c r="AD84" s="77">
        <v>19.809999999999999</v>
      </c>
      <c r="AE84" s="57">
        <f t="shared" si="5"/>
        <v>100</v>
      </c>
      <c r="AG84" s="63">
        <v>9.7100000000000006E-2</v>
      </c>
      <c r="AH84" s="63">
        <v>0.1368</v>
      </c>
      <c r="AI84" s="63">
        <v>5.3199999999999997E-2</v>
      </c>
      <c r="AJ84" s="63">
        <v>1.78E-2</v>
      </c>
      <c r="AK84" s="63">
        <v>7.4200000000000002E-2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7">
        <v>41.339999999999996</v>
      </c>
      <c r="AA85" s="77">
        <v>24.93</v>
      </c>
      <c r="AB85" s="77">
        <v>14.510000000000002</v>
      </c>
      <c r="AC85" s="77">
        <v>3.36</v>
      </c>
      <c r="AD85" s="77">
        <v>15.86</v>
      </c>
      <c r="AE85" s="57">
        <f t="shared" si="5"/>
        <v>100</v>
      </c>
      <c r="AG85" s="63">
        <v>4.7100000000000003E-2</v>
      </c>
      <c r="AH85" s="63">
        <v>0.1069</v>
      </c>
      <c r="AI85" s="63">
        <v>5.33E-2</v>
      </c>
      <c r="AJ85" s="63">
        <v>1.67E-2</v>
      </c>
      <c r="AK85" s="63">
        <v>5.4399999999999997E-2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7">
        <v>30.5</v>
      </c>
      <c r="AA86" s="77">
        <v>21.9</v>
      </c>
      <c r="AB86" s="77">
        <v>23.35</v>
      </c>
      <c r="AC86" s="77">
        <v>2.8400000000000003</v>
      </c>
      <c r="AD86" s="77">
        <v>21.41</v>
      </c>
      <c r="AE86" s="57">
        <f t="shared" si="5"/>
        <v>100</v>
      </c>
      <c r="AG86" s="63">
        <v>6.3200000000000006E-2</v>
      </c>
      <c r="AH86" s="63">
        <v>0.17910000000000001</v>
      </c>
      <c r="AI86" s="63">
        <v>0.1074</v>
      </c>
      <c r="AJ86" s="63">
        <v>1.61E-2</v>
      </c>
      <c r="AK86" s="63">
        <v>8.6900000000000005E-2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7">
        <v>37.51</v>
      </c>
      <c r="AA87" s="77">
        <v>33.25</v>
      </c>
      <c r="AB87" s="77">
        <v>9.68</v>
      </c>
      <c r="AC87" s="77">
        <v>4.34</v>
      </c>
      <c r="AD87" s="77">
        <v>15.22</v>
      </c>
      <c r="AE87" s="57">
        <f t="shared" si="5"/>
        <v>100</v>
      </c>
      <c r="AG87" s="63">
        <v>3.4299999999999997E-2</v>
      </c>
      <c r="AH87" s="63">
        <v>8.3099999999999993E-2</v>
      </c>
      <c r="AI87" s="63">
        <v>3.6900000000000002E-2</v>
      </c>
      <c r="AJ87" s="63">
        <v>1.8200000000000001E-2</v>
      </c>
      <c r="AK87" s="63">
        <v>5.2200000000000003E-2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7">
        <v>45.4</v>
      </c>
      <c r="AA88" s="77">
        <v>28.199999999999996</v>
      </c>
      <c r="AB88" s="77">
        <v>9.75</v>
      </c>
      <c r="AC88" s="77">
        <v>3.94</v>
      </c>
      <c r="AD88" s="77">
        <v>12.709999999999999</v>
      </c>
      <c r="AE88" s="57">
        <f t="shared" si="5"/>
        <v>99.999999999999986</v>
      </c>
      <c r="AG88" s="63">
        <v>7.0800000000000002E-2</v>
      </c>
      <c r="AH88" s="63">
        <v>0.1094</v>
      </c>
      <c r="AI88" s="63">
        <v>3.6499999999999998E-2</v>
      </c>
      <c r="AJ88" s="63">
        <v>1.9E-2</v>
      </c>
      <c r="AK88" s="63">
        <v>4.4499999999999998E-2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7">
        <v>29.630000000000003</v>
      </c>
      <c r="AA89" s="77">
        <v>44.11</v>
      </c>
      <c r="AB89" s="77">
        <v>11.31</v>
      </c>
      <c r="AC89" s="77">
        <v>3.44</v>
      </c>
      <c r="AD89" s="77">
        <v>11.51</v>
      </c>
      <c r="AE89" s="57">
        <f t="shared" si="5"/>
        <v>100.00000000000001</v>
      </c>
      <c r="AG89" s="63">
        <v>5.2299999999999999E-2</v>
      </c>
      <c r="AH89" s="63">
        <v>8.0100000000000005E-2</v>
      </c>
      <c r="AI89" s="63">
        <v>4.0899999999999999E-2</v>
      </c>
      <c r="AJ89" s="63">
        <v>1.5900000000000001E-2</v>
      </c>
      <c r="AK89" s="63">
        <v>3.56E-2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7">
        <v>32.96</v>
      </c>
      <c r="AA90" s="77">
        <v>29.69</v>
      </c>
      <c r="AB90" s="77">
        <v>13.459999999999999</v>
      </c>
      <c r="AC90" s="77">
        <v>4.1000000000000005</v>
      </c>
      <c r="AD90" s="77">
        <v>19.79</v>
      </c>
      <c r="AE90" s="57">
        <f t="shared" si="5"/>
        <v>100</v>
      </c>
      <c r="AG90" s="63">
        <v>5.5100000000000003E-2</v>
      </c>
      <c r="AH90" s="63">
        <v>8.2699999999999996E-2</v>
      </c>
      <c r="AI90" s="63">
        <v>4.4699999999999997E-2</v>
      </c>
      <c r="AJ90" s="63">
        <v>1.8700000000000001E-2</v>
      </c>
      <c r="AK90" s="63">
        <v>6.7400000000000002E-2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7">
        <v>17.89</v>
      </c>
      <c r="AA91" s="77">
        <v>15.61</v>
      </c>
      <c r="AB91" s="77">
        <v>28.050000000000004</v>
      </c>
      <c r="AC91" s="77">
        <v>3.1</v>
      </c>
      <c r="AD91" s="77">
        <v>35.35</v>
      </c>
      <c r="AE91" s="57">
        <f t="shared" si="5"/>
        <v>100</v>
      </c>
      <c r="AG91" s="63">
        <v>5.79E-2</v>
      </c>
      <c r="AH91" s="63">
        <v>0.25369999999999998</v>
      </c>
      <c r="AI91" s="63">
        <v>9.5000000000000001E-2</v>
      </c>
      <c r="AJ91" s="63">
        <v>1.8700000000000001E-2</v>
      </c>
      <c r="AK91" s="63">
        <v>0.11940000000000001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7">
        <v>32.71</v>
      </c>
      <c r="AA92" s="77">
        <v>20.75</v>
      </c>
      <c r="AB92" s="77">
        <v>12.73</v>
      </c>
      <c r="AC92" s="77">
        <v>2.92</v>
      </c>
      <c r="AD92" s="77">
        <v>30.89</v>
      </c>
      <c r="AE92" s="57">
        <f t="shared" si="5"/>
        <v>100</v>
      </c>
      <c r="AG92" s="63">
        <v>0.10639999999999999</v>
      </c>
      <c r="AH92" s="63">
        <v>0.23910000000000001</v>
      </c>
      <c r="AI92" s="63">
        <v>5.8400000000000001E-2</v>
      </c>
      <c r="AJ92" s="63">
        <v>1.6400000000000001E-2</v>
      </c>
      <c r="AK92" s="63">
        <v>9.9000000000000005E-2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7">
        <v>33.56</v>
      </c>
      <c r="AA93" s="77">
        <v>21.44</v>
      </c>
      <c r="AB93" s="77">
        <v>20.399999999999999</v>
      </c>
      <c r="AC93" s="77">
        <v>2.8899999999999997</v>
      </c>
      <c r="AD93" s="77">
        <v>21.709999999999997</v>
      </c>
      <c r="AE93" s="57">
        <f t="shared" si="5"/>
        <v>100</v>
      </c>
      <c r="AG93" s="63">
        <v>6.0699999999999997E-2</v>
      </c>
      <c r="AH93" s="63">
        <v>0.1807</v>
      </c>
      <c r="AI93" s="63">
        <v>8.8700000000000001E-2</v>
      </c>
      <c r="AJ93" s="63">
        <v>1.6199999999999999E-2</v>
      </c>
      <c r="AK93" s="63">
        <v>8.8499999999999995E-2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7">
        <v>34.35</v>
      </c>
      <c r="AA94" s="77">
        <v>22.28</v>
      </c>
      <c r="AB94" s="77">
        <v>20.93</v>
      </c>
      <c r="AC94" s="77">
        <v>2.7199999999999998</v>
      </c>
      <c r="AD94" s="77">
        <v>19.72</v>
      </c>
      <c r="AE94" s="57">
        <f t="shared" si="5"/>
        <v>100</v>
      </c>
      <c r="AG94" s="63">
        <v>4.6899999999999997E-2</v>
      </c>
      <c r="AH94" s="63">
        <v>0.14860000000000001</v>
      </c>
      <c r="AI94" s="63">
        <v>8.3099999999999993E-2</v>
      </c>
      <c r="AJ94" s="63">
        <v>1.7000000000000001E-2</v>
      </c>
      <c r="AK94" s="63">
        <v>8.2799999999999999E-2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9" t="s">
        <v>1</v>
      </c>
      <c r="B101" s="91" t="s">
        <v>61</v>
      </c>
      <c r="C101" s="91" t="s">
        <v>62</v>
      </c>
      <c r="D101" s="89" t="s">
        <v>7</v>
      </c>
      <c r="E101" s="93" t="s">
        <v>8</v>
      </c>
      <c r="F101" s="94"/>
      <c r="G101" s="84" t="s">
        <v>9</v>
      </c>
      <c r="H101" s="84"/>
      <c r="I101" s="84"/>
      <c r="J101" s="84"/>
      <c r="K101" s="84"/>
      <c r="L101" s="85" t="s">
        <v>55</v>
      </c>
      <c r="M101" s="86"/>
      <c r="N101" s="86"/>
      <c r="O101" s="86"/>
      <c r="P101" s="86"/>
      <c r="Q101" s="86"/>
      <c r="R101" s="86"/>
      <c r="S101" s="86"/>
      <c r="T101" s="86"/>
      <c r="U101" s="8"/>
      <c r="V101" s="8"/>
      <c r="W101" s="8"/>
      <c r="X101" s="8"/>
      <c r="Y101" s="87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90"/>
      <c r="B102" s="90"/>
      <c r="C102" s="90"/>
      <c r="D102" s="92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8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7">
        <v>36.93</v>
      </c>
      <c r="AA103" s="77">
        <v>11.1</v>
      </c>
      <c r="AB103" s="77">
        <v>17.88</v>
      </c>
      <c r="AC103" s="77">
        <v>1.78</v>
      </c>
      <c r="AD103" s="77">
        <v>32.31</v>
      </c>
      <c r="AE103" s="57">
        <f t="shared" ref="AE103:AE126" si="6">SUM(Z103:AD103)</f>
        <v>100</v>
      </c>
      <c r="AG103" s="63">
        <v>1.9900000000000001E-2</v>
      </c>
      <c r="AH103" s="63">
        <v>1.0200000000000001E-2</v>
      </c>
      <c r="AI103" s="63">
        <v>1.3100000000000001E-2</v>
      </c>
      <c r="AJ103" s="63">
        <v>3.8E-3</v>
      </c>
      <c r="AK103" s="63">
        <v>1.06E-2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7">
        <v>58.42</v>
      </c>
      <c r="AA104" s="77">
        <v>17.57</v>
      </c>
      <c r="AB104" s="77">
        <v>8.33</v>
      </c>
      <c r="AC104" s="77">
        <v>1.1299999999999999</v>
      </c>
      <c r="AD104" s="77">
        <v>14.549999999999999</v>
      </c>
      <c r="AE104" s="57">
        <f t="shared" si="6"/>
        <v>100</v>
      </c>
      <c r="AG104" s="63">
        <v>2.7799999999999998E-2</v>
      </c>
      <c r="AH104" s="63">
        <v>1.2999999999999999E-2</v>
      </c>
      <c r="AI104" s="63">
        <v>8.0999999999999996E-3</v>
      </c>
      <c r="AJ104" s="63">
        <v>3.2000000000000002E-3</v>
      </c>
      <c r="AK104" s="63">
        <v>8.9999999999999993E-3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7">
        <v>52.99</v>
      </c>
      <c r="AA105" s="77">
        <v>17.2</v>
      </c>
      <c r="AB105" s="77">
        <v>10.34</v>
      </c>
      <c r="AC105" s="77">
        <v>1.49</v>
      </c>
      <c r="AD105" s="77">
        <v>17.98</v>
      </c>
      <c r="AE105" s="57">
        <f t="shared" si="6"/>
        <v>100</v>
      </c>
      <c r="AG105" s="63">
        <v>2.5100000000000001E-2</v>
      </c>
      <c r="AH105" s="63">
        <v>1.1599999999999999E-2</v>
      </c>
      <c r="AI105" s="63">
        <v>8.2000000000000007E-3</v>
      </c>
      <c r="AJ105" s="63">
        <v>3.5000000000000001E-3</v>
      </c>
      <c r="AK105" s="63">
        <v>9.7999999999999997E-3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7">
        <v>51.73</v>
      </c>
      <c r="AA106" s="77">
        <v>20.04</v>
      </c>
      <c r="AB106" s="77">
        <v>10.100000000000001</v>
      </c>
      <c r="AC106" s="77">
        <v>1.81</v>
      </c>
      <c r="AD106" s="77">
        <v>16.32</v>
      </c>
      <c r="AE106" s="57">
        <f t="shared" si="6"/>
        <v>100</v>
      </c>
      <c r="AG106" s="63">
        <v>2.4199999999999999E-2</v>
      </c>
      <c r="AH106" s="63">
        <v>1.0800000000000001E-2</v>
      </c>
      <c r="AI106" s="63">
        <v>8.0999999999999996E-3</v>
      </c>
      <c r="AJ106" s="63">
        <v>3.5000000000000001E-3</v>
      </c>
      <c r="AK106" s="63">
        <v>8.8000000000000005E-3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7">
        <v>22.78</v>
      </c>
      <c r="AA107" s="77">
        <v>10.39</v>
      </c>
      <c r="AB107" s="77">
        <v>23.97</v>
      </c>
      <c r="AC107" s="77">
        <v>3.44</v>
      </c>
      <c r="AD107" s="77">
        <v>39.42</v>
      </c>
      <c r="AE107" s="57">
        <f t="shared" si="6"/>
        <v>100</v>
      </c>
      <c r="AG107" s="63">
        <v>1.55E-2</v>
      </c>
      <c r="AH107" s="63">
        <v>4.7999999999999996E-3</v>
      </c>
      <c r="AI107" s="63">
        <v>1.26E-2</v>
      </c>
      <c r="AJ107" s="63">
        <v>3.8E-3</v>
      </c>
      <c r="AK107" s="63">
        <v>1.18E-2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7">
        <v>25.990000000000002</v>
      </c>
      <c r="AA108" s="77">
        <v>14.149999999999999</v>
      </c>
      <c r="AB108" s="77">
        <v>21.959999999999997</v>
      </c>
      <c r="AC108" s="77">
        <v>4.67</v>
      </c>
      <c r="AD108" s="77">
        <v>33.229999999999997</v>
      </c>
      <c r="AE108" s="57">
        <f t="shared" si="6"/>
        <v>100</v>
      </c>
      <c r="AG108" s="63">
        <v>1.1299999999999999E-2</v>
      </c>
      <c r="AH108" s="63">
        <v>4.1000000000000003E-3</v>
      </c>
      <c r="AI108" s="63">
        <v>9.2999999999999992E-3</v>
      </c>
      <c r="AJ108" s="63">
        <v>3.0999999999999999E-3</v>
      </c>
      <c r="AK108" s="63">
        <v>1.1599999999999999E-2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7">
        <v>35.880000000000003</v>
      </c>
      <c r="AA109" s="77">
        <v>16.869999999999997</v>
      </c>
      <c r="AB109" s="77">
        <v>16.98</v>
      </c>
      <c r="AC109" s="77">
        <v>3.3099999999999996</v>
      </c>
      <c r="AD109" s="77">
        <v>26.96</v>
      </c>
      <c r="AE109" s="57">
        <f t="shared" si="6"/>
        <v>100</v>
      </c>
      <c r="AG109" s="63">
        <v>1.2500000000000001E-2</v>
      </c>
      <c r="AH109" s="63">
        <v>7.0000000000000001E-3</v>
      </c>
      <c r="AI109" s="63">
        <v>8.2000000000000007E-3</v>
      </c>
      <c r="AJ109" s="63">
        <v>3.2000000000000002E-3</v>
      </c>
      <c r="AK109" s="63">
        <v>8.6E-3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7">
        <v>7.31</v>
      </c>
      <c r="AA110" s="77">
        <v>1.68</v>
      </c>
      <c r="AB110" s="77">
        <v>26.3</v>
      </c>
      <c r="AC110" s="77">
        <v>0.6</v>
      </c>
      <c r="AD110" s="77">
        <v>64.11</v>
      </c>
      <c r="AE110" s="57">
        <f t="shared" si="6"/>
        <v>100</v>
      </c>
      <c r="AG110" s="63">
        <v>1.72E-2</v>
      </c>
      <c r="AH110" s="63">
        <v>5.4000000000000003E-3</v>
      </c>
      <c r="AI110" s="63">
        <v>1.18E-2</v>
      </c>
      <c r="AJ110" s="63">
        <v>2E-3</v>
      </c>
      <c r="AK110" s="63">
        <v>2.92E-2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7">
        <v>49.27</v>
      </c>
      <c r="AA111" s="77">
        <v>27.900000000000002</v>
      </c>
      <c r="AB111" s="77">
        <v>8.76</v>
      </c>
      <c r="AC111" s="77">
        <v>2.3199999999999998</v>
      </c>
      <c r="AD111" s="77">
        <v>11.75</v>
      </c>
      <c r="AE111" s="57">
        <f t="shared" si="6"/>
        <v>100</v>
      </c>
      <c r="AG111" s="63">
        <v>1.95E-2</v>
      </c>
      <c r="AH111" s="63">
        <v>1.1900000000000001E-2</v>
      </c>
      <c r="AI111" s="63">
        <v>6.7000000000000002E-3</v>
      </c>
      <c r="AJ111" s="63">
        <v>3.7000000000000002E-3</v>
      </c>
      <c r="AK111" s="63">
        <v>8.2000000000000007E-3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7">
        <v>29.580000000000002</v>
      </c>
      <c r="AA112" s="77">
        <v>20.57</v>
      </c>
      <c r="AB112" s="77">
        <v>18.459999999999997</v>
      </c>
      <c r="AC112" s="77">
        <v>6.1400000000000006</v>
      </c>
      <c r="AD112" s="77">
        <v>25.25</v>
      </c>
      <c r="AE112" s="57">
        <f t="shared" si="6"/>
        <v>100</v>
      </c>
      <c r="AG112" s="63">
        <v>8.5000000000000006E-3</v>
      </c>
      <c r="AH112" s="63">
        <v>3.8999999999999998E-3</v>
      </c>
      <c r="AI112" s="63">
        <v>7.1999999999999998E-3</v>
      </c>
      <c r="AJ112" s="63">
        <v>2.5999999999999999E-3</v>
      </c>
      <c r="AK112" s="63">
        <v>8.8999999999999999E-3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7">
        <v>33.300000000000004</v>
      </c>
      <c r="AA113" s="77">
        <v>17.88</v>
      </c>
      <c r="AB113" s="77">
        <v>17.7</v>
      </c>
      <c r="AC113" s="77">
        <v>4.08</v>
      </c>
      <c r="AD113" s="77">
        <v>27.04</v>
      </c>
      <c r="AE113" s="57">
        <f t="shared" si="6"/>
        <v>100</v>
      </c>
      <c r="AG113" s="63">
        <v>1.11E-2</v>
      </c>
      <c r="AH113" s="63">
        <v>5.5999999999999999E-3</v>
      </c>
      <c r="AI113" s="63">
        <v>7.7999999999999996E-3</v>
      </c>
      <c r="AJ113" s="63">
        <v>2.8E-3</v>
      </c>
      <c r="AK113" s="63">
        <v>1.01E-2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7">
        <v>36.159999999999997</v>
      </c>
      <c r="AA114" s="77">
        <v>18.350000000000001</v>
      </c>
      <c r="AB114" s="77">
        <v>16.37</v>
      </c>
      <c r="AC114" s="77">
        <v>3.63</v>
      </c>
      <c r="AD114" s="77">
        <v>25.490000000000002</v>
      </c>
      <c r="AE114" s="57">
        <f t="shared" si="6"/>
        <v>100</v>
      </c>
      <c r="AG114" s="63">
        <v>1.29E-2</v>
      </c>
      <c r="AH114" s="63">
        <v>6.4000000000000003E-3</v>
      </c>
      <c r="AI114" s="63">
        <v>7.7999999999999996E-3</v>
      </c>
      <c r="AJ114" s="63">
        <v>3.0000000000000001E-3</v>
      </c>
      <c r="AK114" s="63">
        <v>9.7999999999999997E-3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7">
        <v>42.61</v>
      </c>
      <c r="AA115" s="77">
        <v>17.88</v>
      </c>
      <c r="AB115" s="77">
        <v>13.98</v>
      </c>
      <c r="AC115" s="77">
        <v>2.5700000000000003</v>
      </c>
      <c r="AD115" s="77">
        <v>22.96</v>
      </c>
      <c r="AE115" s="57">
        <f t="shared" si="6"/>
        <v>100</v>
      </c>
      <c r="AG115" s="63">
        <v>1.7899999999999999E-2</v>
      </c>
      <c r="AH115" s="63">
        <v>8.2000000000000007E-3</v>
      </c>
      <c r="AI115" s="63">
        <v>8.0000000000000002E-3</v>
      </c>
      <c r="AJ115" s="63">
        <v>3.5999999999999999E-3</v>
      </c>
      <c r="AK115" s="63">
        <v>9.5999999999999992E-3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7">
        <v>41.57</v>
      </c>
      <c r="AA116" s="77">
        <v>17.54</v>
      </c>
      <c r="AB116" s="77">
        <v>14.48</v>
      </c>
      <c r="AC116" s="77">
        <v>2.63</v>
      </c>
      <c r="AD116" s="77">
        <v>23.78</v>
      </c>
      <c r="AE116" s="57">
        <f t="shared" si="6"/>
        <v>100</v>
      </c>
      <c r="AG116" s="63">
        <v>1.6899999999999998E-2</v>
      </c>
      <c r="AH116" s="63">
        <v>8.3000000000000001E-3</v>
      </c>
      <c r="AI116" s="63">
        <v>8.0000000000000002E-3</v>
      </c>
      <c r="AJ116" s="63">
        <v>3.5000000000000001E-3</v>
      </c>
      <c r="AK116" s="63">
        <v>8.9999999999999993E-3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7">
        <v>39.75</v>
      </c>
      <c r="AA117" s="77">
        <v>25.31</v>
      </c>
      <c r="AB117" s="77">
        <v>13.04</v>
      </c>
      <c r="AC117" s="77">
        <v>4.05</v>
      </c>
      <c r="AD117" s="77">
        <v>17.849999999999998</v>
      </c>
      <c r="AE117" s="57">
        <f t="shared" si="6"/>
        <v>99.999999999999986</v>
      </c>
      <c r="AG117" s="63">
        <v>1.2500000000000001E-2</v>
      </c>
      <c r="AH117" s="63">
        <v>4.7999999999999996E-3</v>
      </c>
      <c r="AI117" s="63">
        <v>7.4999999999999997E-3</v>
      </c>
      <c r="AJ117" s="63">
        <v>3.5000000000000001E-3</v>
      </c>
      <c r="AK117" s="63">
        <v>7.4000000000000003E-3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7">
        <v>37.64</v>
      </c>
      <c r="AA118" s="77">
        <v>15.22</v>
      </c>
      <c r="AB118" s="77">
        <v>16.760000000000002</v>
      </c>
      <c r="AC118" s="77">
        <v>2.65</v>
      </c>
      <c r="AD118" s="77">
        <v>27.73</v>
      </c>
      <c r="AE118" s="57">
        <f t="shared" si="6"/>
        <v>100.00000000000001</v>
      </c>
      <c r="AG118" s="63">
        <v>1.4E-2</v>
      </c>
      <c r="AH118" s="63">
        <v>8.5000000000000006E-3</v>
      </c>
      <c r="AI118" s="63">
        <v>8.6999999999999994E-3</v>
      </c>
      <c r="AJ118" s="63">
        <v>3.3999999999999998E-3</v>
      </c>
      <c r="AK118" s="63">
        <v>8.3000000000000001E-3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7">
        <v>39.39</v>
      </c>
      <c r="AA119" s="77">
        <v>28.92</v>
      </c>
      <c r="AB119" s="77">
        <v>12.1</v>
      </c>
      <c r="AC119" s="77">
        <v>4.5</v>
      </c>
      <c r="AD119" s="77">
        <v>15.09</v>
      </c>
      <c r="AE119" s="57">
        <f t="shared" si="6"/>
        <v>100</v>
      </c>
      <c r="AG119" s="63">
        <v>1.1299999999999999E-2</v>
      </c>
      <c r="AH119" s="63">
        <v>3.8E-3</v>
      </c>
      <c r="AI119" s="63">
        <v>5.7999999999999996E-3</v>
      </c>
      <c r="AJ119" s="63">
        <v>3.3E-3</v>
      </c>
      <c r="AK119" s="63">
        <v>7.4999999999999997E-3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7">
        <v>40.92</v>
      </c>
      <c r="AA120" s="77">
        <v>29.15</v>
      </c>
      <c r="AB120" s="77">
        <v>11.459999999999999</v>
      </c>
      <c r="AC120" s="77">
        <v>4.1000000000000005</v>
      </c>
      <c r="AD120" s="77">
        <v>14.37</v>
      </c>
      <c r="AE120" s="57">
        <f t="shared" si="6"/>
        <v>99.999999999999986</v>
      </c>
      <c r="AG120" s="63">
        <v>1.21E-2</v>
      </c>
      <c r="AH120" s="63">
        <v>3.8999999999999998E-3</v>
      </c>
      <c r="AI120" s="63">
        <v>5.8999999999999999E-3</v>
      </c>
      <c r="AJ120" s="63">
        <v>3.2000000000000002E-3</v>
      </c>
      <c r="AK120" s="63">
        <v>7.7000000000000002E-3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7">
        <v>38.32</v>
      </c>
      <c r="AA121" s="77">
        <v>32.910000000000004</v>
      </c>
      <c r="AB121" s="77">
        <v>11.15</v>
      </c>
      <c r="AC121" s="77">
        <v>4.78</v>
      </c>
      <c r="AD121" s="77">
        <v>12.839999999999998</v>
      </c>
      <c r="AE121" s="57">
        <f t="shared" si="6"/>
        <v>100.00000000000001</v>
      </c>
      <c r="AG121" s="63">
        <v>1.2E-2</v>
      </c>
      <c r="AH121" s="63">
        <v>5.7999999999999996E-3</v>
      </c>
      <c r="AI121" s="63">
        <v>4.1000000000000003E-3</v>
      </c>
      <c r="AJ121" s="63">
        <v>2.8E-3</v>
      </c>
      <c r="AK121" s="63">
        <v>4.7000000000000002E-3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7">
        <v>34.75</v>
      </c>
      <c r="AA122" s="77">
        <v>27</v>
      </c>
      <c r="AB122" s="77">
        <v>14.399999999999999</v>
      </c>
      <c r="AC122" s="77">
        <v>5.76</v>
      </c>
      <c r="AD122" s="77">
        <v>18.09</v>
      </c>
      <c r="AE122" s="57">
        <f t="shared" si="6"/>
        <v>100.00000000000001</v>
      </c>
      <c r="AG122" s="63">
        <v>8.3999999999999995E-3</v>
      </c>
      <c r="AH122" s="63">
        <v>2.8999999999999998E-3</v>
      </c>
      <c r="AI122" s="63">
        <v>6.4000000000000003E-3</v>
      </c>
      <c r="AJ122" s="63">
        <v>3.3999999999999998E-3</v>
      </c>
      <c r="AK122" s="63">
        <v>6.7999999999999996E-3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7">
        <v>18.850000000000001</v>
      </c>
      <c r="AA123" s="77">
        <v>8.02</v>
      </c>
      <c r="AB123" s="77">
        <v>25.39</v>
      </c>
      <c r="AC123" s="77">
        <v>2.82</v>
      </c>
      <c r="AD123" s="77">
        <v>44.92</v>
      </c>
      <c r="AE123" s="57">
        <f t="shared" si="6"/>
        <v>100</v>
      </c>
      <c r="AG123" s="63">
        <v>1.54E-2</v>
      </c>
      <c r="AH123" s="63">
        <v>7.4000000000000003E-3</v>
      </c>
      <c r="AI123" s="63">
        <v>1.18E-2</v>
      </c>
      <c r="AJ123" s="63">
        <v>3.5000000000000001E-3</v>
      </c>
      <c r="AK123" s="63">
        <v>2.06E-2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7">
        <v>37.92</v>
      </c>
      <c r="AA124" s="77">
        <v>13.309999999999999</v>
      </c>
      <c r="AB124" s="77">
        <v>17.11</v>
      </c>
      <c r="AC124" s="77">
        <v>2.1800000000000002</v>
      </c>
      <c r="AD124" s="77">
        <v>29.48</v>
      </c>
      <c r="AE124" s="57">
        <f t="shared" si="6"/>
        <v>100.00000000000001</v>
      </c>
      <c r="AG124" s="63">
        <v>1.7000000000000001E-2</v>
      </c>
      <c r="AH124" s="63">
        <v>9.7999999999999997E-3</v>
      </c>
      <c r="AI124" s="63">
        <v>1.0500000000000001E-2</v>
      </c>
      <c r="AJ124" s="63">
        <v>3.5999999999999999E-3</v>
      </c>
      <c r="AK124" s="63">
        <v>9.7999999999999997E-3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7">
        <v>38.42</v>
      </c>
      <c r="AA125" s="77">
        <v>15.079999999999998</v>
      </c>
      <c r="AB125" s="77">
        <v>16.48</v>
      </c>
      <c r="AC125" s="77">
        <v>2.52</v>
      </c>
      <c r="AD125" s="77">
        <v>27.500000000000004</v>
      </c>
      <c r="AE125" s="57">
        <f t="shared" si="6"/>
        <v>100</v>
      </c>
      <c r="AG125" s="63">
        <v>1.4500000000000001E-2</v>
      </c>
      <c r="AH125" s="63">
        <v>8.8999999999999999E-3</v>
      </c>
      <c r="AI125" s="63">
        <v>8.6999999999999994E-3</v>
      </c>
      <c r="AJ125" s="63">
        <v>3.3999999999999998E-3</v>
      </c>
      <c r="AK125" s="63">
        <v>8.2000000000000007E-3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7">
        <v>38.700000000000003</v>
      </c>
      <c r="AA126" s="77">
        <v>15.939999999999998</v>
      </c>
      <c r="AB126" s="77">
        <v>16.13</v>
      </c>
      <c r="AC126" s="77">
        <v>2.67</v>
      </c>
      <c r="AD126" s="77">
        <v>26.56</v>
      </c>
      <c r="AE126" s="57">
        <f t="shared" si="6"/>
        <v>100</v>
      </c>
      <c r="AG126" s="63">
        <v>1.4200000000000001E-2</v>
      </c>
      <c r="AH126" s="63">
        <v>8.3999999999999995E-3</v>
      </c>
      <c r="AI126" s="63">
        <v>8.3000000000000001E-3</v>
      </c>
      <c r="AJ126" s="63">
        <v>3.3999999999999998E-3</v>
      </c>
      <c r="AK126" s="63">
        <v>7.9000000000000008E-3</v>
      </c>
    </row>
    <row r="127" spans="1:37" ht="20.100000000000001" customHeight="1" x14ac:dyDescent="0.3"/>
    <row r="128" spans="1:37" ht="20.100000000000001" customHeight="1" x14ac:dyDescent="0.3"/>
    <row r="129" spans="1:60" ht="20.100000000000001" customHeight="1" x14ac:dyDescent="0.3"/>
    <row r="130" spans="1:60" ht="20.100000000000001" customHeight="1" x14ac:dyDescent="0.3"/>
    <row r="131" spans="1:60" ht="20.100000000000001" customHeight="1" x14ac:dyDescent="0.3"/>
    <row r="132" spans="1:60" ht="20.100000000000001" customHeight="1" x14ac:dyDescent="0.3"/>
    <row r="133" spans="1:60" ht="20.100000000000001" customHeight="1" x14ac:dyDescent="0.3"/>
    <row r="134" spans="1:60" ht="20.100000000000001" customHeight="1" x14ac:dyDescent="0.3"/>
    <row r="135" spans="1:60" ht="20.100000000000001" customHeight="1" thickBot="1" x14ac:dyDescent="0.35">
      <c r="Z135" t="s">
        <v>154</v>
      </c>
    </row>
    <row r="136" spans="1:60" ht="20.100000000000001" customHeight="1" thickBot="1" x14ac:dyDescent="0.35">
      <c r="A136" s="89" t="s">
        <v>1</v>
      </c>
      <c r="B136" s="91" t="s">
        <v>61</v>
      </c>
      <c r="C136" s="91" t="s">
        <v>62</v>
      </c>
      <c r="D136" s="89" t="s">
        <v>7</v>
      </c>
      <c r="E136" s="93" t="s">
        <v>8</v>
      </c>
      <c r="F136" s="94"/>
      <c r="G136" s="84" t="s">
        <v>9</v>
      </c>
      <c r="H136" s="84"/>
      <c r="I136" s="84"/>
      <c r="J136" s="84"/>
      <c r="K136" s="84"/>
      <c r="L136" s="85" t="s">
        <v>55</v>
      </c>
      <c r="M136" s="86"/>
      <c r="N136" s="86"/>
      <c r="O136" s="86"/>
      <c r="P136" s="86"/>
      <c r="Q136" s="86"/>
      <c r="R136" s="86"/>
      <c r="S136" s="86"/>
      <c r="T136" s="86"/>
      <c r="U136" s="8"/>
      <c r="V136" s="8"/>
      <c r="W136" s="8"/>
      <c r="X136" s="8"/>
      <c r="Y136" s="87" t="s">
        <v>10</v>
      </c>
      <c r="Z136" s="55" t="s">
        <v>155</v>
      </c>
      <c r="AF136" s="55" t="s">
        <v>156</v>
      </c>
      <c r="AL136" s="55" t="s">
        <v>157</v>
      </c>
    </row>
    <row r="137" spans="1:60" ht="20.100000000000001" customHeight="1" thickBot="1" x14ac:dyDescent="0.35">
      <c r="A137" s="90"/>
      <c r="B137" s="90"/>
      <c r="C137" s="90"/>
      <c r="D137" s="92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8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60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74">
        <f>Z10/AG10</f>
        <v>1.4675233644859815</v>
      </c>
      <c r="AA138" s="74">
        <f t="shared" ref="AA138:AD138" si="7">AA10/AH10</f>
        <v>0.33909090909090911</v>
      </c>
      <c r="AB138" s="74">
        <f t="shared" si="7"/>
        <v>0.3418604651162791</v>
      </c>
      <c r="AC138" s="74">
        <f t="shared" si="7"/>
        <v>0.2818181818181818</v>
      </c>
      <c r="AD138" s="74">
        <f t="shared" si="7"/>
        <v>0.8276712328767124</v>
      </c>
      <c r="AE138" s="74"/>
      <c r="AF138" s="74">
        <f>Z10/AN10</f>
        <v>1.6533298236377993</v>
      </c>
      <c r="AG138" s="74">
        <f t="shared" ref="AG138:AJ153" si="8">AA10/AO10</f>
        <v>0.24236517218973358</v>
      </c>
      <c r="AH138" s="74">
        <f t="shared" si="8"/>
        <v>0.15473684210526314</v>
      </c>
      <c r="AI138" s="74">
        <f t="shared" si="8"/>
        <v>0.11439114391143912</v>
      </c>
      <c r="AJ138" s="74">
        <f t="shared" si="8"/>
        <v>1.2127659574468086</v>
      </c>
      <c r="AK138" s="74"/>
      <c r="AL138" s="74">
        <f>Z10/AU10</f>
        <v>1.7007852694286489</v>
      </c>
      <c r="AM138" s="74">
        <f t="shared" ref="AM138:AP138" si="9">AA10/AV10</f>
        <v>0.33603603603603605</v>
      </c>
      <c r="AN138" s="74">
        <f t="shared" si="9"/>
        <v>0.16442953020134229</v>
      </c>
      <c r="AO138" s="74">
        <f t="shared" si="9"/>
        <v>0.17415730337078653</v>
      </c>
      <c r="AP138" s="74">
        <f t="shared" si="9"/>
        <v>0.93500464252553384</v>
      </c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</row>
    <row r="139" spans="1:60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74">
        <f t="shared" ref="Z139:Z161" si="10">Z11/AG11</f>
        <v>1.5613013698630138</v>
      </c>
      <c r="AA139" s="74">
        <f t="shared" ref="AA139:AA161" si="11">AA11/AH11</f>
        <v>7.8294573643410845E-2</v>
      </c>
      <c r="AB139" s="74">
        <f t="shared" ref="AB139:AB161" si="12">AB11/AI11</f>
        <v>0.16515151515151516</v>
      </c>
      <c r="AC139" s="74">
        <f t="shared" ref="AC139:AC161" si="13">AC11/AJ11</f>
        <v>0.18888888888888891</v>
      </c>
      <c r="AD139" s="74">
        <f t="shared" ref="AD139:AD161" si="14">AD11/AK11</f>
        <v>0.30896226415094341</v>
      </c>
      <c r="AE139" s="74"/>
      <c r="AF139" s="74">
        <f t="shared" ref="AF139:AF161" si="15">Z11/AN11</f>
        <v>1.6314188584719986</v>
      </c>
      <c r="AG139" s="74">
        <f t="shared" si="8"/>
        <v>4.9876543209876542E-2</v>
      </c>
      <c r="AH139" s="74">
        <f t="shared" si="8"/>
        <v>0.16292974588938713</v>
      </c>
      <c r="AI139" s="74">
        <f t="shared" si="8"/>
        <v>6.4393939393939392E-2</v>
      </c>
      <c r="AJ139" s="74">
        <f t="shared" si="8"/>
        <v>0.45079146593255331</v>
      </c>
      <c r="AK139" s="74"/>
      <c r="AL139" s="74">
        <f t="shared" ref="AL139:AL161" si="16">Z11/AU11</f>
        <v>1.5607668606641563</v>
      </c>
      <c r="AM139" s="74">
        <f t="shared" ref="AM139:AM161" si="17">AA11/AV11</f>
        <v>5.7484348321001709E-2</v>
      </c>
      <c r="AN139" s="74">
        <f t="shared" ref="AN139:AN161" si="18">AB11/AW11</f>
        <v>0.13085234093637454</v>
      </c>
      <c r="AO139" s="74">
        <f t="shared" ref="AO139:AO161" si="19">AC11/AX11</f>
        <v>0.15044247787610621</v>
      </c>
      <c r="AP139" s="74">
        <f t="shared" ref="AP139:AP161" si="20">AD11/AY11</f>
        <v>0.45017182130584193</v>
      </c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</row>
    <row r="140" spans="1:60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74">
        <f t="shared" si="10"/>
        <v>1.6533962264150943</v>
      </c>
      <c r="AA140" s="74">
        <f t="shared" si="11"/>
        <v>0.58399999999999996</v>
      </c>
      <c r="AB140" s="74">
        <f t="shared" si="12"/>
        <v>0.152</v>
      </c>
      <c r="AC140" s="74">
        <f t="shared" si="13"/>
        <v>0.2</v>
      </c>
      <c r="AD140" s="74">
        <f t="shared" si="14"/>
        <v>0.14346153846153847</v>
      </c>
      <c r="AE140" s="74"/>
      <c r="AF140" s="74">
        <f t="shared" si="15"/>
        <v>1.6913723219455703</v>
      </c>
      <c r="AG140" s="74">
        <f t="shared" si="8"/>
        <v>0.37551440329218111</v>
      </c>
      <c r="AH140" s="74">
        <f t="shared" si="8"/>
        <v>0.12513721185510429</v>
      </c>
      <c r="AI140" s="74">
        <f t="shared" si="8"/>
        <v>8.5836909871244635E-2</v>
      </c>
      <c r="AJ140" s="74">
        <f t="shared" si="8"/>
        <v>0.21548238012709417</v>
      </c>
      <c r="AK140" s="74"/>
      <c r="AL140" s="74">
        <f t="shared" si="16"/>
        <v>1.6537082468390261</v>
      </c>
      <c r="AM140" s="74">
        <f t="shared" si="17"/>
        <v>0.42441860465116282</v>
      </c>
      <c r="AN140" s="74">
        <f t="shared" si="18"/>
        <v>0.11025145067698258</v>
      </c>
      <c r="AO140" s="74">
        <f t="shared" si="19"/>
        <v>0.13422818791946309</v>
      </c>
      <c r="AP140" s="74">
        <f t="shared" si="20"/>
        <v>0.20745272525027808</v>
      </c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</row>
    <row r="141" spans="1:60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74">
        <f t="shared" si="10"/>
        <v>1.6224528301886791</v>
      </c>
      <c r="AA141" s="74">
        <f t="shared" si="11"/>
        <v>0.48561151079136683</v>
      </c>
      <c r="AB141" s="74">
        <f t="shared" si="12"/>
        <v>0.31643835616438359</v>
      </c>
      <c r="AC141" s="74">
        <f t="shared" si="13"/>
        <v>0.23636363636363639</v>
      </c>
      <c r="AD141" s="74">
        <f t="shared" si="14"/>
        <v>0.18987854251012148</v>
      </c>
      <c r="AE141" s="74"/>
      <c r="AF141" s="74">
        <f t="shared" si="15"/>
        <v>1.7222110955337471</v>
      </c>
      <c r="AG141" s="74">
        <f t="shared" si="8"/>
        <v>0.27539779681762544</v>
      </c>
      <c r="AH141" s="74">
        <f t="shared" si="8"/>
        <v>0.28000000000000003</v>
      </c>
      <c r="AI141" s="74">
        <f t="shared" si="8"/>
        <v>0.11711711711711711</v>
      </c>
      <c r="AJ141" s="74">
        <f t="shared" si="8"/>
        <v>0.3108018555334659</v>
      </c>
      <c r="AK141" s="74"/>
      <c r="AL141" s="74">
        <f t="shared" si="16"/>
        <v>1.6622849410400156</v>
      </c>
      <c r="AM141" s="74">
        <f t="shared" si="17"/>
        <v>0.33682634730538924</v>
      </c>
      <c r="AN141" s="74">
        <f t="shared" si="18"/>
        <v>0.22871287128712869</v>
      </c>
      <c r="AO141" s="74">
        <f t="shared" si="19"/>
        <v>0.143646408839779</v>
      </c>
      <c r="AP141" s="74">
        <f t="shared" si="20"/>
        <v>0.28737745098039219</v>
      </c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</row>
    <row r="142" spans="1:60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74">
        <f t="shared" si="10"/>
        <v>1.0160142348754448</v>
      </c>
      <c r="AA142" s="74">
        <f t="shared" si="11"/>
        <v>0.29058823529411765</v>
      </c>
      <c r="AB142" s="74">
        <f t="shared" si="12"/>
        <v>0.57142857142857151</v>
      </c>
      <c r="AC142" s="74">
        <f t="shared" si="13"/>
        <v>0.55714285714285716</v>
      </c>
      <c r="AD142" s="74">
        <f t="shared" si="14"/>
        <v>1.2348178137651822</v>
      </c>
      <c r="AE142" s="74"/>
      <c r="AF142" s="74">
        <f t="shared" si="15"/>
        <v>1.313247470101196</v>
      </c>
      <c r="AG142" s="74">
        <f t="shared" si="8"/>
        <v>0.21147260273972604</v>
      </c>
      <c r="AH142" s="74">
        <f t="shared" si="8"/>
        <v>0.27180067950169878</v>
      </c>
      <c r="AI142" s="74">
        <f t="shared" si="8"/>
        <v>0.22478386167146974</v>
      </c>
      <c r="AJ142" s="74">
        <f t="shared" si="8"/>
        <v>1.6657564172583288</v>
      </c>
      <c r="AK142" s="74"/>
      <c r="AL142" s="74">
        <f t="shared" si="16"/>
        <v>1.2532923617208076</v>
      </c>
      <c r="AM142" s="74">
        <f t="shared" si="17"/>
        <v>0.23772858517805584</v>
      </c>
      <c r="AN142" s="74">
        <f t="shared" si="18"/>
        <v>0.30037546933667086</v>
      </c>
      <c r="AO142" s="74">
        <f t="shared" si="19"/>
        <v>0.22674418604651164</v>
      </c>
      <c r="AP142" s="74">
        <f t="shared" si="20"/>
        <v>1.5474378488077118</v>
      </c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</row>
    <row r="143" spans="1:60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74">
        <f t="shared" si="10"/>
        <v>0.97830188679245278</v>
      </c>
      <c r="AA143" s="74">
        <f t="shared" si="11"/>
        <v>0.86764705882352944</v>
      </c>
      <c r="AB143" s="74">
        <f t="shared" si="12"/>
        <v>1.6474576271186443</v>
      </c>
      <c r="AC143" s="74">
        <f t="shared" si="13"/>
        <v>1.4333333333333333</v>
      </c>
      <c r="AD143" s="74">
        <f t="shared" si="14"/>
        <v>0.86017897091722595</v>
      </c>
      <c r="AE143" s="74"/>
      <c r="AF143" s="74">
        <f t="shared" si="15"/>
        <v>1.3455882352941178</v>
      </c>
      <c r="AG143" s="74">
        <f t="shared" si="8"/>
        <v>0.61844863731656174</v>
      </c>
      <c r="AH143" s="74">
        <f t="shared" si="8"/>
        <v>0.82407799915218316</v>
      </c>
      <c r="AI143" s="74">
        <f t="shared" si="8"/>
        <v>0.50947867298578198</v>
      </c>
      <c r="AJ143" s="74">
        <f t="shared" si="8"/>
        <v>1.1061565017261219</v>
      </c>
      <c r="AK143" s="74"/>
      <c r="AL143" s="74">
        <f t="shared" si="16"/>
        <v>1.1969988457098883</v>
      </c>
      <c r="AM143" s="74">
        <f t="shared" si="17"/>
        <v>0.62544169611307421</v>
      </c>
      <c r="AN143" s="74">
        <f t="shared" si="18"/>
        <v>0.88524590163934447</v>
      </c>
      <c r="AO143" s="74">
        <f t="shared" si="19"/>
        <v>0.46038543897216272</v>
      </c>
      <c r="AP143" s="74">
        <f t="shared" si="20"/>
        <v>1.1570869696057782</v>
      </c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</row>
    <row r="144" spans="1:60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74">
        <f t="shared" si="10"/>
        <v>1.0618090452261304</v>
      </c>
      <c r="AA144" s="74">
        <f t="shared" si="11"/>
        <v>0.72136752136752125</v>
      </c>
      <c r="AB144" s="74">
        <f t="shared" si="12"/>
        <v>0.49693877551020404</v>
      </c>
      <c r="AC144" s="74">
        <f t="shared" si="13"/>
        <v>0.86153846153846159</v>
      </c>
      <c r="AD144" s="74">
        <f t="shared" si="14"/>
        <v>1.1580213903743317</v>
      </c>
      <c r="AE144" s="74"/>
      <c r="AF144" s="74">
        <f t="shared" si="15"/>
        <v>1.2931456548347613</v>
      </c>
      <c r="AG144" s="74">
        <f t="shared" si="8"/>
        <v>0.3547709121479613</v>
      </c>
      <c r="AH144" s="74">
        <f t="shared" si="8"/>
        <v>0.28297501452643808</v>
      </c>
      <c r="AI144" s="74">
        <f t="shared" si="8"/>
        <v>0.38754325259515576</v>
      </c>
      <c r="AJ144" s="74">
        <f t="shared" si="8"/>
        <v>1.8484848484848486</v>
      </c>
      <c r="AK144" s="74"/>
      <c r="AL144" s="74">
        <f t="shared" si="16"/>
        <v>1.1778149386845038</v>
      </c>
      <c r="AM144" s="74">
        <f t="shared" si="17"/>
        <v>0.5002963841138115</v>
      </c>
      <c r="AN144" s="74">
        <f t="shared" si="18"/>
        <v>0.2868080094228504</v>
      </c>
      <c r="AO144" s="74">
        <f t="shared" si="19"/>
        <v>0.33836858006042303</v>
      </c>
      <c r="AP144" s="74">
        <f t="shared" si="20"/>
        <v>1.6064540059347181</v>
      </c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</row>
    <row r="145" spans="1:60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74">
        <f t="shared" si="10"/>
        <v>5.8556962025316448</v>
      </c>
      <c r="AA145" s="74">
        <f t="shared" si="11"/>
        <v>0.36888888888888888</v>
      </c>
      <c r="AB145" s="74">
        <f t="shared" si="12"/>
        <v>7.1621621621621626E-2</v>
      </c>
      <c r="AC145" s="74">
        <f t="shared" si="13"/>
        <v>0.42499999999999999</v>
      </c>
      <c r="AD145" s="74">
        <f t="shared" si="14"/>
        <v>6.895475819032762E-2</v>
      </c>
      <c r="AE145" s="74"/>
      <c r="AF145" s="74">
        <f t="shared" si="15"/>
        <v>6.1150033046926637</v>
      </c>
      <c r="AG145" s="74">
        <f t="shared" si="8"/>
        <v>0.14459930313588848</v>
      </c>
      <c r="AH145" s="74">
        <f t="shared" si="8"/>
        <v>3.8827838827838829E-2</v>
      </c>
      <c r="AI145" s="74">
        <f t="shared" si="8"/>
        <v>8.3333333333333343E-2</v>
      </c>
      <c r="AJ145" s="74">
        <f t="shared" si="8"/>
        <v>0.10521304451321115</v>
      </c>
      <c r="AK145" s="74"/>
      <c r="AL145" s="74">
        <f t="shared" si="16"/>
        <v>12.656634746922025</v>
      </c>
      <c r="AM145" s="74">
        <f t="shared" si="17"/>
        <v>0.98809523809523814</v>
      </c>
      <c r="AN145" s="74">
        <f t="shared" si="18"/>
        <v>4.0304182509505702E-2</v>
      </c>
      <c r="AO145" s="74">
        <f t="shared" si="19"/>
        <v>0.56666666666666676</v>
      </c>
      <c r="AP145" s="74">
        <f t="shared" si="20"/>
        <v>6.8944002495710491E-2</v>
      </c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</row>
    <row r="146" spans="1:60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74">
        <f t="shared" si="10"/>
        <v>1.5458259325044406</v>
      </c>
      <c r="AA146" s="74">
        <f t="shared" si="11"/>
        <v>0.22117647058823528</v>
      </c>
      <c r="AB146" s="74">
        <f t="shared" si="12"/>
        <v>0.625</v>
      </c>
      <c r="AC146" s="74">
        <f t="shared" si="13"/>
        <v>0.32</v>
      </c>
      <c r="AD146" s="74">
        <f t="shared" si="14"/>
        <v>0.26091370558375632</v>
      </c>
      <c r="AE146" s="74"/>
      <c r="AF146" s="74">
        <f t="shared" si="15"/>
        <v>1.8756465517241376</v>
      </c>
      <c r="AG146" s="74">
        <f t="shared" si="8"/>
        <v>0.1131167268351384</v>
      </c>
      <c r="AH146" s="74">
        <f t="shared" si="8"/>
        <v>0.58502340093603744</v>
      </c>
      <c r="AI146" s="74">
        <f t="shared" si="8"/>
        <v>0.106312292358804</v>
      </c>
      <c r="AJ146" s="74">
        <f t="shared" si="8"/>
        <v>0.46983546617915906</v>
      </c>
      <c r="AK146" s="74"/>
      <c r="AL146" s="74">
        <f t="shared" si="16"/>
        <v>1.7663892835396793</v>
      </c>
      <c r="AM146" s="74">
        <f t="shared" si="17"/>
        <v>0.13476702508960572</v>
      </c>
      <c r="AN146" s="74">
        <f t="shared" si="18"/>
        <v>0.42808219178082191</v>
      </c>
      <c r="AO146" s="74">
        <f t="shared" si="19"/>
        <v>0.13793103448275865</v>
      </c>
      <c r="AP146" s="74">
        <f t="shared" si="20"/>
        <v>0.43744680851063827</v>
      </c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</row>
    <row r="147" spans="1:60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74">
        <f t="shared" si="10"/>
        <v>0.66779220779220783</v>
      </c>
      <c r="AA147" s="74">
        <f t="shared" si="11"/>
        <v>1.7322834645669292</v>
      </c>
      <c r="AB147" s="74">
        <f t="shared" si="12"/>
        <v>2.1398058252427186</v>
      </c>
      <c r="AC147" s="74">
        <f t="shared" si="13"/>
        <v>1.8666666666666667</v>
      </c>
      <c r="AD147" s="74">
        <f t="shared" si="14"/>
        <v>0.7326975476839237</v>
      </c>
      <c r="AE147" s="74"/>
      <c r="AF147" s="74">
        <f t="shared" si="15"/>
        <v>0.89332870048644897</v>
      </c>
      <c r="AG147" s="74">
        <f t="shared" si="8"/>
        <v>0.86342229199372045</v>
      </c>
      <c r="AH147" s="74">
        <f t="shared" si="8"/>
        <v>1.2375070185289161</v>
      </c>
      <c r="AI147" s="74">
        <f t="shared" si="8"/>
        <v>0.59259259259259256</v>
      </c>
      <c r="AJ147" s="74">
        <f t="shared" si="8"/>
        <v>1.2079964061096138</v>
      </c>
      <c r="AK147" s="74"/>
      <c r="AL147" s="74">
        <f t="shared" si="16"/>
        <v>0.86916835699797157</v>
      </c>
      <c r="AM147" s="74">
        <f t="shared" si="17"/>
        <v>1.0695187165775402</v>
      </c>
      <c r="AN147" s="74">
        <f t="shared" si="18"/>
        <v>1.1939328277356447</v>
      </c>
      <c r="AO147" s="74">
        <f t="shared" si="19"/>
        <v>0.5472312703583061</v>
      </c>
      <c r="AP147" s="74">
        <f t="shared" si="20"/>
        <v>1.064950495049505</v>
      </c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</row>
    <row r="148" spans="1:60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74">
        <f t="shared" si="10"/>
        <v>0.96295336787564767</v>
      </c>
      <c r="AA148" s="74">
        <f t="shared" si="11"/>
        <v>1.0766666666666667</v>
      </c>
      <c r="AB148" s="74">
        <f t="shared" si="12"/>
        <v>1.1126213592233012</v>
      </c>
      <c r="AC148" s="74">
        <f t="shared" si="13"/>
        <v>1.2133333333333334</v>
      </c>
      <c r="AD148" s="74">
        <f t="shared" si="14"/>
        <v>0.97420212765957448</v>
      </c>
      <c r="AE148" s="74"/>
      <c r="AF148" s="74">
        <f t="shared" si="15"/>
        <v>1.393700787401575</v>
      </c>
      <c r="AG148" s="74">
        <f t="shared" si="8"/>
        <v>0.5256305939788446</v>
      </c>
      <c r="AH148" s="74">
        <f t="shared" si="8"/>
        <v>0.74367293964957837</v>
      </c>
      <c r="AI148" s="74">
        <f t="shared" si="8"/>
        <v>0.56346749226006199</v>
      </c>
      <c r="AJ148" s="74">
        <f t="shared" si="8"/>
        <v>1.2165393556957822</v>
      </c>
      <c r="AK148" s="74"/>
      <c r="AL148" s="74">
        <f t="shared" si="16"/>
        <v>1.1162162162162161</v>
      </c>
      <c r="AM148" s="74">
        <f t="shared" si="17"/>
        <v>0.72259507829977632</v>
      </c>
      <c r="AN148" s="74">
        <f t="shared" si="18"/>
        <v>0.64745762711864419</v>
      </c>
      <c r="AO148" s="74">
        <f t="shared" si="19"/>
        <v>0.44607843137254904</v>
      </c>
      <c r="AP148" s="74">
        <f t="shared" si="20"/>
        <v>1.3546597633136097</v>
      </c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</row>
    <row r="149" spans="1:60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74">
        <f t="shared" si="10"/>
        <v>0.94613526570048312</v>
      </c>
      <c r="AA149" s="74">
        <f t="shared" si="11"/>
        <v>1.0379032258064516</v>
      </c>
      <c r="AB149" s="74">
        <f t="shared" si="12"/>
        <v>0.77835051546391743</v>
      </c>
      <c r="AC149" s="74">
        <f t="shared" si="13"/>
        <v>0.70714285714285707</v>
      </c>
      <c r="AD149" s="74">
        <f t="shared" si="14"/>
        <v>1.1230769230769233</v>
      </c>
      <c r="AE149" s="74"/>
      <c r="AF149" s="74">
        <f t="shared" si="15"/>
        <v>1.2111935683364254</v>
      </c>
      <c r="AG149" s="74">
        <f t="shared" si="8"/>
        <v>0.53917050691244239</v>
      </c>
      <c r="AH149" s="74">
        <f t="shared" si="8"/>
        <v>0.54316546762589923</v>
      </c>
      <c r="AI149" s="74">
        <f t="shared" si="8"/>
        <v>0.30745341614906835</v>
      </c>
      <c r="AJ149" s="74">
        <f t="shared" si="8"/>
        <v>1.4780652418447695</v>
      </c>
      <c r="AK149" s="74"/>
      <c r="AL149" s="74">
        <f t="shared" si="16"/>
        <v>1.0832411504424779</v>
      </c>
      <c r="AM149" s="74">
        <f t="shared" si="17"/>
        <v>0.70136239782016341</v>
      </c>
      <c r="AN149" s="74">
        <f t="shared" si="18"/>
        <v>0.46120952962736711</v>
      </c>
      <c r="AO149" s="74">
        <f t="shared" si="19"/>
        <v>0.27272727272727271</v>
      </c>
      <c r="AP149" s="74">
        <f t="shared" si="20"/>
        <v>1.5464888191447625</v>
      </c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</row>
    <row r="150" spans="1:60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74">
        <f t="shared" si="10"/>
        <v>1.415686274509804</v>
      </c>
      <c r="AA150" s="74">
        <f t="shared" si="11"/>
        <v>0.16129032258064516</v>
      </c>
      <c r="AB150" s="74">
        <f t="shared" si="12"/>
        <v>0.398876404494382</v>
      </c>
      <c r="AC150" s="74">
        <f t="shared" si="13"/>
        <v>0.43333333333333335</v>
      </c>
      <c r="AD150" s="74">
        <f t="shared" si="14"/>
        <v>0.916139240506329</v>
      </c>
      <c r="AE150" s="74"/>
      <c r="AF150" s="74">
        <f t="shared" si="15"/>
        <v>1.3855010660980811</v>
      </c>
      <c r="AG150" s="74">
        <f t="shared" si="8"/>
        <v>9.6899224806201542E-2</v>
      </c>
      <c r="AH150" s="74">
        <f t="shared" si="8"/>
        <v>0.34533073929961083</v>
      </c>
      <c r="AI150" s="74">
        <f t="shared" si="8"/>
        <v>0.13164556962025317</v>
      </c>
      <c r="AJ150" s="74">
        <f t="shared" si="8"/>
        <v>1.5880416895227647</v>
      </c>
      <c r="AK150" s="74"/>
      <c r="AL150" s="74">
        <f t="shared" si="16"/>
        <v>1.5249941328326686</v>
      </c>
      <c r="AM150" s="74">
        <f t="shared" si="17"/>
        <v>0.11185682326621925</v>
      </c>
      <c r="AN150" s="74">
        <f t="shared" si="18"/>
        <v>0.25393419170243203</v>
      </c>
      <c r="AO150" s="74">
        <f t="shared" si="19"/>
        <v>0.20233463035019453</v>
      </c>
      <c r="AP150" s="74">
        <f t="shared" si="20"/>
        <v>1.2608885017421603</v>
      </c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</row>
    <row r="151" spans="1:60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74">
        <f t="shared" si="10"/>
        <v>1.2626398210290826</v>
      </c>
      <c r="AA151" s="74">
        <f t="shared" si="11"/>
        <v>0.37804878048780488</v>
      </c>
      <c r="AB151" s="74">
        <f t="shared" si="12"/>
        <v>0.38876404494382022</v>
      </c>
      <c r="AC151" s="74">
        <f t="shared" si="13"/>
        <v>0.18571428571428572</v>
      </c>
      <c r="AD151" s="74">
        <f t="shared" si="14"/>
        <v>1.0761467889908256</v>
      </c>
      <c r="AE151" s="74"/>
      <c r="AF151" s="74">
        <f t="shared" si="15"/>
        <v>1.2184801381692574</v>
      </c>
      <c r="AG151" s="74">
        <f t="shared" si="8"/>
        <v>0.24118257261410789</v>
      </c>
      <c r="AH151" s="74">
        <f t="shared" si="8"/>
        <v>0.30728241563055064</v>
      </c>
      <c r="AI151" s="74">
        <f t="shared" si="8"/>
        <v>7.8078078078078067E-2</v>
      </c>
      <c r="AJ151" s="74">
        <f t="shared" si="8"/>
        <v>1.7763755678950026</v>
      </c>
      <c r="AK151" s="74"/>
      <c r="AL151" s="74">
        <f t="shared" si="16"/>
        <v>1.3577098869376953</v>
      </c>
      <c r="AM151" s="74">
        <f t="shared" si="17"/>
        <v>0.26510832383124289</v>
      </c>
      <c r="AN151" s="74">
        <f t="shared" si="18"/>
        <v>0.23895027624309392</v>
      </c>
      <c r="AO151" s="74">
        <f t="shared" si="19"/>
        <v>9.8859315589353625E-2</v>
      </c>
      <c r="AP151" s="74">
        <f t="shared" si="20"/>
        <v>1.4798149705634986</v>
      </c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</row>
    <row r="152" spans="1:60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74">
        <f t="shared" si="10"/>
        <v>0.8407024793388429</v>
      </c>
      <c r="AA152" s="74">
        <f t="shared" si="11"/>
        <v>1.4952702702702703</v>
      </c>
      <c r="AB152" s="74">
        <f t="shared" si="12"/>
        <v>0.96790123456790123</v>
      </c>
      <c r="AC152" s="74">
        <f t="shared" si="13"/>
        <v>0.95384615384615379</v>
      </c>
      <c r="AD152" s="74">
        <f t="shared" si="14"/>
        <v>1.0255474452554745</v>
      </c>
      <c r="AE152" s="74"/>
      <c r="AF152" s="74">
        <f t="shared" si="15"/>
        <v>0.98427672955974843</v>
      </c>
      <c r="AG152" s="74">
        <f t="shared" si="8"/>
        <v>0.88768551945447249</v>
      </c>
      <c r="AH152" s="74">
        <f t="shared" si="8"/>
        <v>0.5403170227429358</v>
      </c>
      <c r="AI152" s="74">
        <f t="shared" si="8"/>
        <v>0.36904761904761907</v>
      </c>
      <c r="AJ152" s="74">
        <f t="shared" si="8"/>
        <v>1.771752837326608</v>
      </c>
      <c r="AK152" s="74"/>
      <c r="AL152" s="74">
        <f t="shared" si="16"/>
        <v>1.0236477987421384</v>
      </c>
      <c r="AM152" s="74">
        <f t="shared" si="17"/>
        <v>0.87435796128012644</v>
      </c>
      <c r="AN152" s="74">
        <f t="shared" si="18"/>
        <v>0.60122699386503076</v>
      </c>
      <c r="AO152" s="74">
        <f t="shared" si="19"/>
        <v>0.30617283950617286</v>
      </c>
      <c r="AP152" s="74">
        <f t="shared" si="20"/>
        <v>1.5742296918767509</v>
      </c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</row>
    <row r="153" spans="1:60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74">
        <f t="shared" si="10"/>
        <v>1.314609571788413</v>
      </c>
      <c r="AA153" s="74">
        <f t="shared" si="11"/>
        <v>0.19285714285714289</v>
      </c>
      <c r="AB153" s="74">
        <f t="shared" si="12"/>
        <v>0.32626262626262625</v>
      </c>
      <c r="AC153" s="74">
        <f t="shared" si="13"/>
        <v>0.22307692307692306</v>
      </c>
      <c r="AD153" s="74">
        <f t="shared" si="14"/>
        <v>1.111609498680739</v>
      </c>
      <c r="AE153" s="74"/>
      <c r="AF153" s="74">
        <f t="shared" si="15"/>
        <v>1.7111475409836066</v>
      </c>
      <c r="AG153" s="74">
        <f t="shared" si="8"/>
        <v>9.8630136986301381E-2</v>
      </c>
      <c r="AH153" s="74">
        <f t="shared" si="8"/>
        <v>0.13832976445396145</v>
      </c>
      <c r="AI153" s="74">
        <f t="shared" si="8"/>
        <v>0.10211267605633802</v>
      </c>
      <c r="AJ153" s="74">
        <f t="shared" si="8"/>
        <v>1.9677720691265765</v>
      </c>
      <c r="AK153" s="74"/>
      <c r="AL153" s="74">
        <f t="shared" si="16"/>
        <v>1.3865568544102018</v>
      </c>
      <c r="AM153" s="74">
        <f t="shared" si="17"/>
        <v>0.14191852825229961</v>
      </c>
      <c r="AN153" s="74">
        <f t="shared" si="18"/>
        <v>0.19272076372315033</v>
      </c>
      <c r="AO153" s="74">
        <f t="shared" si="19"/>
        <v>0.10943396226415093</v>
      </c>
      <c r="AP153" s="74">
        <f t="shared" si="20"/>
        <v>1.5192931842769564</v>
      </c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</row>
    <row r="154" spans="1:60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74">
        <f t="shared" si="10"/>
        <v>0.72842741935483879</v>
      </c>
      <c r="AA154" s="74">
        <f t="shared" si="11"/>
        <v>1.7604790419161676</v>
      </c>
      <c r="AB154" s="74">
        <f t="shared" si="12"/>
        <v>1.131578947368421</v>
      </c>
      <c r="AC154" s="74">
        <f t="shared" si="13"/>
        <v>1.1428571428571428</v>
      </c>
      <c r="AD154" s="74">
        <f t="shared" si="14"/>
        <v>0.98259109311740889</v>
      </c>
      <c r="AE154" s="74"/>
      <c r="AF154" s="74">
        <f t="shared" si="15"/>
        <v>0.96320981071714218</v>
      </c>
      <c r="AG154" s="74">
        <f t="shared" ref="AG154:AG161" si="21">AA26/AO26</f>
        <v>0.88421052631578945</v>
      </c>
      <c r="AH154" s="74">
        <f t="shared" ref="AH154:AH161" si="22">AB26/AP26</f>
        <v>0.88842975206611574</v>
      </c>
      <c r="AI154" s="74">
        <f t="shared" ref="AI154:AI161" si="23">AC26/AQ26</f>
        <v>0.3686635944700461</v>
      </c>
      <c r="AJ154" s="74">
        <f t="shared" ref="AJ154:AJ161" si="24">AD26/AR26</f>
        <v>1.5946123521681996</v>
      </c>
      <c r="AK154" s="74"/>
      <c r="AL154" s="74">
        <f t="shared" si="16"/>
        <v>0.91723787763391729</v>
      </c>
      <c r="AM154" s="74">
        <f t="shared" si="17"/>
        <v>1.0165975103734439</v>
      </c>
      <c r="AN154" s="74">
        <f t="shared" si="18"/>
        <v>0.71074380165289253</v>
      </c>
      <c r="AO154" s="74">
        <f t="shared" si="19"/>
        <v>0.35555555555555557</v>
      </c>
      <c r="AP154" s="74">
        <f t="shared" si="20"/>
        <v>1.6083499005964215</v>
      </c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</row>
    <row r="155" spans="1:60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74">
        <f t="shared" si="10"/>
        <v>0.78806262230919766</v>
      </c>
      <c r="AA155" s="74">
        <f t="shared" si="11"/>
        <v>1.6810650887573964</v>
      </c>
      <c r="AB155" s="74">
        <f t="shared" si="12"/>
        <v>0.75277777777777788</v>
      </c>
      <c r="AC155" s="74">
        <f t="shared" si="13"/>
        <v>1.0692307692307692</v>
      </c>
      <c r="AD155" s="74">
        <f t="shared" si="14"/>
        <v>1.0429787234042553</v>
      </c>
      <c r="AE155" s="74"/>
      <c r="AF155" s="74">
        <f t="shared" si="15"/>
        <v>0.88700440528634372</v>
      </c>
      <c r="AG155" s="74">
        <f t="shared" si="21"/>
        <v>1.0074468085106385</v>
      </c>
      <c r="AH155" s="74">
        <f t="shared" si="22"/>
        <v>0.5558974358974359</v>
      </c>
      <c r="AI155" s="74">
        <f t="shared" si="23"/>
        <v>0.35279187817258884</v>
      </c>
      <c r="AJ155" s="74">
        <f t="shared" si="24"/>
        <v>1.9284028324154212</v>
      </c>
      <c r="AK155" s="74"/>
      <c r="AL155" s="74">
        <f t="shared" si="16"/>
        <v>0.98411534701857284</v>
      </c>
      <c r="AM155" s="74">
        <f t="shared" si="17"/>
        <v>0.97461406518010296</v>
      </c>
      <c r="AN155" s="74">
        <f t="shared" si="18"/>
        <v>0.47294938917975571</v>
      </c>
      <c r="AO155" s="74">
        <f t="shared" si="19"/>
        <v>0.33902439024390235</v>
      </c>
      <c r="AP155" s="74">
        <f t="shared" si="20"/>
        <v>1.7056367432150314</v>
      </c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</row>
    <row r="156" spans="1:60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74">
        <f t="shared" si="10"/>
        <v>0.68153846153846154</v>
      </c>
      <c r="AA156" s="74">
        <f t="shared" si="11"/>
        <v>1.944808743169399</v>
      </c>
      <c r="AB156" s="74">
        <f t="shared" si="12"/>
        <v>1.3214285714285712</v>
      </c>
      <c r="AC156" s="74">
        <f t="shared" si="13"/>
        <v>1.5692307692307692</v>
      </c>
      <c r="AD156" s="74">
        <f t="shared" si="14"/>
        <v>0.82616822429906545</v>
      </c>
      <c r="AE156" s="74"/>
      <c r="AF156" s="74">
        <f t="shared" si="15"/>
        <v>1.1960850489368882</v>
      </c>
      <c r="AG156" s="74">
        <f t="shared" si="21"/>
        <v>0.80684652006347779</v>
      </c>
      <c r="AH156" s="74">
        <f t="shared" si="22"/>
        <v>0.81786030061892123</v>
      </c>
      <c r="AI156" s="74">
        <f t="shared" si="23"/>
        <v>0.59302325581395354</v>
      </c>
      <c r="AJ156" s="74">
        <f t="shared" si="24"/>
        <v>1.5360556038227628</v>
      </c>
      <c r="AK156" s="74"/>
      <c r="AL156" s="74">
        <f t="shared" si="16"/>
        <v>0.9248434237995824</v>
      </c>
      <c r="AM156" s="74">
        <f t="shared" si="17"/>
        <v>1.0814342145244606</v>
      </c>
      <c r="AN156" s="74">
        <f t="shared" si="18"/>
        <v>0.82959641255605376</v>
      </c>
      <c r="AO156" s="74">
        <f t="shared" si="19"/>
        <v>0.42677824267782427</v>
      </c>
      <c r="AP156" s="74">
        <f t="shared" si="20"/>
        <v>1.3769470404984425</v>
      </c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</row>
    <row r="157" spans="1:60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74">
        <f t="shared" si="10"/>
        <v>0.64439560439560439</v>
      </c>
      <c r="AA157" s="74">
        <f t="shared" si="11"/>
        <v>1.8856209150326799</v>
      </c>
      <c r="AB157" s="74">
        <f t="shared" si="12"/>
        <v>1.7848837209302326</v>
      </c>
      <c r="AC157" s="74">
        <f t="shared" si="13"/>
        <v>1.9933333333333334</v>
      </c>
      <c r="AD157" s="74">
        <f t="shared" si="14"/>
        <v>0.80721649484536084</v>
      </c>
      <c r="AE157" s="74"/>
      <c r="AF157" s="74">
        <f t="shared" si="15"/>
        <v>0.8895631067961165</v>
      </c>
      <c r="AG157" s="74">
        <f t="shared" si="21"/>
        <v>0.97170764567194345</v>
      </c>
      <c r="AH157" s="74">
        <f t="shared" si="22"/>
        <v>1.1404160475482912</v>
      </c>
      <c r="AI157" s="74">
        <f t="shared" si="23"/>
        <v>0.72926829268292681</v>
      </c>
      <c r="AJ157" s="74">
        <f t="shared" si="24"/>
        <v>1.1869631126831732</v>
      </c>
      <c r="AK157" s="74"/>
      <c r="AL157" s="74">
        <f t="shared" si="16"/>
        <v>0.84374100719424461</v>
      </c>
      <c r="AM157" s="74">
        <f t="shared" si="17"/>
        <v>1.0685185185185186</v>
      </c>
      <c r="AN157" s="74">
        <f t="shared" si="18"/>
        <v>1.0659722222222223</v>
      </c>
      <c r="AO157" s="74">
        <f t="shared" si="19"/>
        <v>0.51909722222222232</v>
      </c>
      <c r="AP157" s="74">
        <f t="shared" si="20"/>
        <v>1.2985074626865671</v>
      </c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</row>
    <row r="158" spans="1:60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74">
        <f t="shared" si="10"/>
        <v>0.8841085271317829</v>
      </c>
      <c r="AA158" s="74">
        <f t="shared" si="11"/>
        <v>0.68157894736842106</v>
      </c>
      <c r="AB158" s="74">
        <f t="shared" si="12"/>
        <v>0.35322580645161289</v>
      </c>
      <c r="AC158" s="74">
        <f t="shared" si="13"/>
        <v>0.3</v>
      </c>
      <c r="AD158" s="74">
        <f t="shared" si="14"/>
        <v>1.2692452830188679</v>
      </c>
      <c r="AE158" s="74"/>
      <c r="AF158" s="74">
        <f t="shared" si="15"/>
        <v>1.2750139742873112</v>
      </c>
      <c r="AG158" s="74">
        <f t="shared" si="21"/>
        <v>0.33183856502242154</v>
      </c>
      <c r="AH158" s="74">
        <f t="shared" si="22"/>
        <v>0.15614973262032084</v>
      </c>
      <c r="AI158" s="74">
        <f t="shared" si="23"/>
        <v>0.11612903225806451</v>
      </c>
      <c r="AJ158" s="74">
        <f t="shared" si="24"/>
        <v>1.9029702970297029</v>
      </c>
      <c r="AK158" s="74"/>
      <c r="AL158" s="74">
        <f t="shared" si="16"/>
        <v>1.2100795755968168</v>
      </c>
      <c r="AM158" s="74">
        <f t="shared" si="17"/>
        <v>0.64588528678304236</v>
      </c>
      <c r="AN158" s="74">
        <f t="shared" si="18"/>
        <v>0.17250886175659708</v>
      </c>
      <c r="AO158" s="74">
        <f t="shared" si="19"/>
        <v>0.1276595744680851</v>
      </c>
      <c r="AP158" s="74">
        <f t="shared" si="20"/>
        <v>1.4975512021371324</v>
      </c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</row>
    <row r="159" spans="1:60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74">
        <f t="shared" si="10"/>
        <v>1.4888607594936709</v>
      </c>
      <c r="AA159" s="74">
        <f t="shared" si="11"/>
        <v>0.24951456310679612</v>
      </c>
      <c r="AB159" s="74">
        <f t="shared" si="12"/>
        <v>0.22999999999999998</v>
      </c>
      <c r="AC159" s="74">
        <f t="shared" si="13"/>
        <v>0.52727272727272723</v>
      </c>
      <c r="AD159" s="74">
        <f t="shared" si="14"/>
        <v>0.91406649616368285</v>
      </c>
      <c r="AE159" s="74"/>
      <c r="AF159" s="74">
        <f t="shared" si="15"/>
        <v>1.7979211250382146</v>
      </c>
      <c r="AG159" s="74">
        <f t="shared" si="21"/>
        <v>0.12385542168674699</v>
      </c>
      <c r="AH159" s="74">
        <f t="shared" si="22"/>
        <v>0.18067556952081695</v>
      </c>
      <c r="AI159" s="74">
        <f t="shared" si="23"/>
        <v>0.19863013698630136</v>
      </c>
      <c r="AJ159" s="74">
        <f t="shared" si="24"/>
        <v>1.1570087406927809</v>
      </c>
      <c r="AK159" s="74"/>
      <c r="AL159" s="74">
        <f t="shared" si="16"/>
        <v>1.5508966244725739</v>
      </c>
      <c r="AM159" s="74">
        <f t="shared" si="17"/>
        <v>0.19308790383170549</v>
      </c>
      <c r="AN159" s="74">
        <f t="shared" si="18"/>
        <v>0.13442431326709525</v>
      </c>
      <c r="AO159" s="74">
        <f t="shared" si="19"/>
        <v>0.26605504587155959</v>
      </c>
      <c r="AP159" s="74">
        <f t="shared" si="20"/>
        <v>1.2123473541383989</v>
      </c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</row>
    <row r="160" spans="1:60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74">
        <f t="shared" si="10"/>
        <v>1.30525</v>
      </c>
      <c r="AA160" s="74">
        <f t="shared" si="11"/>
        <v>0.11504424778761062</v>
      </c>
      <c r="AB160" s="74">
        <f t="shared" si="12"/>
        <v>0.36767676767676766</v>
      </c>
      <c r="AC160" s="74">
        <f t="shared" si="13"/>
        <v>4.1666666666666671E-2</v>
      </c>
      <c r="AD160" s="74">
        <f t="shared" si="14"/>
        <v>1.1382978723404253</v>
      </c>
      <c r="AE160" s="74"/>
      <c r="AF160" s="74">
        <f t="shared" si="15"/>
        <v>1.555721096543504</v>
      </c>
      <c r="AG160" s="74">
        <f t="shared" si="21"/>
        <v>6.0634328358208957E-2</v>
      </c>
      <c r="AH160" s="74">
        <f t="shared" si="22"/>
        <v>0.17843137254901964</v>
      </c>
      <c r="AI160" s="74">
        <f t="shared" si="23"/>
        <v>1.7301038062283738E-2</v>
      </c>
      <c r="AJ160" s="74">
        <f t="shared" si="24"/>
        <v>1.971441731920774</v>
      </c>
      <c r="AK160" s="74"/>
      <c r="AL160" s="74">
        <f t="shared" si="16"/>
        <v>1.3589276418532015</v>
      </c>
      <c r="AM160" s="74">
        <f t="shared" si="17"/>
        <v>8.6206896551724158E-2</v>
      </c>
      <c r="AN160" s="74">
        <f t="shared" si="18"/>
        <v>0.220873786407767</v>
      </c>
      <c r="AO160" s="74">
        <f t="shared" si="19"/>
        <v>1.9841269841269844E-2</v>
      </c>
      <c r="AP160" s="74">
        <f t="shared" si="20"/>
        <v>1.5563636363636359</v>
      </c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</row>
    <row r="161" spans="1:60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74">
        <f t="shared" si="10"/>
        <v>1.2606280193236714</v>
      </c>
      <c r="AA161" s="74">
        <f t="shared" si="11"/>
        <v>0.25689655172413789</v>
      </c>
      <c r="AB161" s="74">
        <f t="shared" si="12"/>
        <v>9.7916666666666666E-2</v>
      </c>
      <c r="AC161" s="74">
        <f t="shared" si="13"/>
        <v>0.42500000000000004</v>
      </c>
      <c r="AD161" s="74">
        <f t="shared" si="14"/>
        <v>1.1983425414364643</v>
      </c>
      <c r="AE161" s="74"/>
      <c r="AF161" s="74">
        <f t="shared" si="15"/>
        <v>1.5193595342066957</v>
      </c>
      <c r="AG161" s="74">
        <f t="shared" si="21"/>
        <v>0.13375224416517054</v>
      </c>
      <c r="AH161" s="74">
        <f t="shared" si="22"/>
        <v>4.4911610129001432E-2</v>
      </c>
      <c r="AI161" s="74">
        <f t="shared" si="23"/>
        <v>0.18750000000000003</v>
      </c>
      <c r="AJ161" s="74">
        <f t="shared" si="24"/>
        <v>2.1997971602434081</v>
      </c>
      <c r="AK161" s="74"/>
      <c r="AL161" s="74">
        <f t="shared" si="16"/>
        <v>1.348578811369509</v>
      </c>
      <c r="AM161" s="74">
        <f t="shared" si="17"/>
        <v>0.18695106649937268</v>
      </c>
      <c r="AN161" s="74">
        <f t="shared" si="18"/>
        <v>5.8276503409795413E-2</v>
      </c>
      <c r="AO161" s="74">
        <f t="shared" si="19"/>
        <v>0.19101123595505617</v>
      </c>
      <c r="AP161" s="74">
        <f t="shared" si="20"/>
        <v>1.6332831325301207</v>
      </c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</row>
    <row r="162" spans="1:60" ht="20.100000000000001" customHeight="1" x14ac:dyDescent="0.3"/>
    <row r="163" spans="1:60" ht="20.100000000000001" customHeight="1" x14ac:dyDescent="0.3"/>
    <row r="164" spans="1:60" ht="20.100000000000001" customHeight="1" x14ac:dyDescent="0.3"/>
    <row r="165" spans="1:60" ht="20.100000000000001" customHeight="1" x14ac:dyDescent="0.3"/>
    <row r="166" spans="1:60" ht="20.100000000000001" customHeight="1" x14ac:dyDescent="0.3"/>
    <row r="167" spans="1:60" ht="20.100000000000001" customHeight="1" thickBot="1" x14ac:dyDescent="0.35">
      <c r="Z167" t="s">
        <v>154</v>
      </c>
    </row>
    <row r="168" spans="1:60" ht="20.100000000000001" customHeight="1" thickBot="1" x14ac:dyDescent="0.35">
      <c r="A168" s="89" t="s">
        <v>1</v>
      </c>
      <c r="B168" s="91" t="s">
        <v>61</v>
      </c>
      <c r="C168" s="91" t="s">
        <v>62</v>
      </c>
      <c r="D168" s="89" t="s">
        <v>7</v>
      </c>
      <c r="E168" s="93" t="s">
        <v>8</v>
      </c>
      <c r="F168" s="94"/>
      <c r="G168" s="84" t="s">
        <v>9</v>
      </c>
      <c r="H168" s="84"/>
      <c r="I168" s="84"/>
      <c r="J168" s="84"/>
      <c r="K168" s="84"/>
      <c r="L168" s="85" t="s">
        <v>55</v>
      </c>
      <c r="M168" s="86"/>
      <c r="N168" s="86"/>
      <c r="O168" s="86"/>
      <c r="P168" s="86"/>
      <c r="Q168" s="86"/>
      <c r="R168" s="86"/>
      <c r="S168" s="86"/>
      <c r="T168" s="86"/>
      <c r="U168" s="8"/>
      <c r="V168" s="8"/>
      <c r="W168" s="8"/>
      <c r="X168" s="8"/>
      <c r="Y168" s="87" t="s">
        <v>10</v>
      </c>
      <c r="Z168" s="55" t="s">
        <v>158</v>
      </c>
      <c r="AF168" s="55" t="s">
        <v>159</v>
      </c>
      <c r="AL168" s="55" t="s">
        <v>160</v>
      </c>
    </row>
    <row r="169" spans="1:60" ht="20.100000000000001" customHeight="1" thickBot="1" x14ac:dyDescent="0.35">
      <c r="A169" s="90"/>
      <c r="B169" s="90"/>
      <c r="C169" s="90"/>
      <c r="D169" s="92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8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60" ht="20.100000000000001" customHeight="1" x14ac:dyDescent="0.3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1.1266122663858908</v>
      </c>
      <c r="AA170" s="63">
        <f t="shared" ref="AA170:AD170" si="25">AH10/AO10</f>
        <v>0.71474983755685506</v>
      </c>
      <c r="AB170" s="63">
        <f t="shared" si="25"/>
        <v>0.45263157894736838</v>
      </c>
      <c r="AC170" s="63">
        <f t="shared" si="25"/>
        <v>0.40590405904059046</v>
      </c>
      <c r="AD170" s="63">
        <f t="shared" si="25"/>
        <v>1.46527498996387</v>
      </c>
      <c r="AE170" s="63"/>
      <c r="AF170" s="63">
        <f>AG10/AU10</f>
        <v>1.1589493636609802</v>
      </c>
      <c r="AG170" s="63">
        <f t="shared" ref="AG170:AJ170" si="26">AH10/AV10</f>
        <v>0.99099099099099097</v>
      </c>
      <c r="AH170" s="63">
        <f t="shared" si="26"/>
        <v>0.48098434004474272</v>
      </c>
      <c r="AI170" s="63">
        <f t="shared" si="26"/>
        <v>0.61797752808988771</v>
      </c>
      <c r="AJ170" s="63">
        <f t="shared" si="26"/>
        <v>1.1296812132466727</v>
      </c>
      <c r="AK170" s="63"/>
      <c r="AL170" s="63">
        <f>AN10/AU10</f>
        <v>1.0287029515299215</v>
      </c>
      <c r="AM170" s="63">
        <f t="shared" ref="AM170:AP170" si="27">AO10/AV10</f>
        <v>1.3864864864864865</v>
      </c>
      <c r="AN170" s="63">
        <f t="shared" si="27"/>
        <v>1.0626398210290828</v>
      </c>
      <c r="AO170" s="63">
        <f t="shared" si="27"/>
        <v>1.5224719101123596</v>
      </c>
      <c r="AP170" s="63">
        <f t="shared" si="27"/>
        <v>0.77096874032807172</v>
      </c>
    </row>
    <row r="171" spans="1:60" ht="20.100000000000001" customHeight="1" x14ac:dyDescent="0.3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1.0449096439434604</v>
      </c>
      <c r="AA171" s="63">
        <f t="shared" ref="AA171:AA193" si="29">AH11/AO11</f>
        <v>0.63703703703703707</v>
      </c>
      <c r="AB171" s="63">
        <f t="shared" ref="AB171:AB193" si="30">AI11/AP11</f>
        <v>0.98654708520179379</v>
      </c>
      <c r="AC171" s="63">
        <f t="shared" ref="AC171:AC193" si="31">AJ11/AQ11</f>
        <v>0.34090909090909088</v>
      </c>
      <c r="AD171" s="63">
        <f t="shared" ref="AD171:AD193" si="32">AK11/AR11</f>
        <v>1.4590502408809358</v>
      </c>
      <c r="AE171" s="63"/>
      <c r="AF171" s="63">
        <f t="shared" ref="AF171:AF193" si="33">AG11/AU11</f>
        <v>0.99965765148921593</v>
      </c>
      <c r="AG171" s="63">
        <f t="shared" ref="AG171:AG193" si="34">AH11/AV11</f>
        <v>0.73420603301081389</v>
      </c>
      <c r="AH171" s="63">
        <f t="shared" ref="AH171:AH193" si="35">AI11/AW11</f>
        <v>0.79231692677070831</v>
      </c>
      <c r="AI171" s="63">
        <f t="shared" ref="AI171:AI193" si="36">AJ11/AX11</f>
        <v>0.79646017699115046</v>
      </c>
      <c r="AJ171" s="63">
        <f t="shared" ref="AJ171:AJ193" si="37">AK11/AY11</f>
        <v>1.4570446735395191</v>
      </c>
      <c r="AK171" s="63"/>
      <c r="AL171" s="63">
        <f t="shared" ref="AL171:AL193" si="38">AN11/AU11</f>
        <v>0.95669291338582674</v>
      </c>
      <c r="AM171" s="63">
        <f t="shared" ref="AM171:AM193" si="39">AO11/AV11</f>
        <v>1.1525327262379055</v>
      </c>
      <c r="AN171" s="63">
        <f t="shared" ref="AN171:AN193" si="40">AP11/AW11</f>
        <v>0.80312124849939981</v>
      </c>
      <c r="AO171" s="63">
        <f t="shared" ref="AO171:AO193" si="41">AQ11/AX11</f>
        <v>2.3362831858407085</v>
      </c>
      <c r="AP171" s="63">
        <f t="shared" ref="AP171:AP193" si="42">AR11/AY11</f>
        <v>0.99862542955326472</v>
      </c>
    </row>
    <row r="172" spans="1:60" ht="20.100000000000001" customHeight="1" x14ac:dyDescent="0.3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1.0229685388921057</v>
      </c>
      <c r="AA172" s="63">
        <f t="shared" si="29"/>
        <v>0.64300411522633749</v>
      </c>
      <c r="AB172" s="63">
        <f t="shared" si="30"/>
        <v>0.82327113062568613</v>
      </c>
      <c r="AC172" s="63">
        <f t="shared" si="31"/>
        <v>0.42918454935622319</v>
      </c>
      <c r="AD172" s="63">
        <f t="shared" si="32"/>
        <v>1.5020219526285385</v>
      </c>
      <c r="AE172" s="63"/>
      <c r="AF172" s="63">
        <f t="shared" si="33"/>
        <v>1.0001887148518589</v>
      </c>
      <c r="AG172" s="63">
        <f t="shared" si="34"/>
        <v>0.7267441860465117</v>
      </c>
      <c r="AH172" s="63">
        <f t="shared" si="35"/>
        <v>0.72533849129593808</v>
      </c>
      <c r="AI172" s="63">
        <f t="shared" si="36"/>
        <v>0.67114093959731547</v>
      </c>
      <c r="AJ172" s="63">
        <f t="shared" si="37"/>
        <v>1.4460511679644048</v>
      </c>
      <c r="AK172" s="63"/>
      <c r="AL172" s="63">
        <f t="shared" si="38"/>
        <v>0.97773164748065677</v>
      </c>
      <c r="AM172" s="63">
        <f t="shared" si="39"/>
        <v>1.1302325581395347</v>
      </c>
      <c r="AN172" s="63">
        <f t="shared" si="40"/>
        <v>0.88104448742746611</v>
      </c>
      <c r="AO172" s="63">
        <f t="shared" si="41"/>
        <v>1.563758389261745</v>
      </c>
      <c r="AP172" s="63">
        <f t="shared" si="42"/>
        <v>0.96273637374860943</v>
      </c>
    </row>
    <row r="173" spans="1:60" ht="20.100000000000001" customHeight="1" x14ac:dyDescent="0.3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1.0614860805127178</v>
      </c>
      <c r="AA173" s="63">
        <f t="shared" si="29"/>
        <v>0.56711546307629546</v>
      </c>
      <c r="AB173" s="63">
        <f t="shared" si="30"/>
        <v>0.88484848484848477</v>
      </c>
      <c r="AC173" s="63">
        <f t="shared" si="31"/>
        <v>0.49549549549549537</v>
      </c>
      <c r="AD173" s="63">
        <f t="shared" si="32"/>
        <v>1.6368455931080186</v>
      </c>
      <c r="AE173" s="63"/>
      <c r="AF173" s="63">
        <f t="shared" si="33"/>
        <v>1.0245505509375605</v>
      </c>
      <c r="AG173" s="63">
        <f t="shared" si="34"/>
        <v>0.69361277445109792</v>
      </c>
      <c r="AH173" s="63">
        <f t="shared" si="35"/>
        <v>0.72277227722772264</v>
      </c>
      <c r="AI173" s="63">
        <f t="shared" si="36"/>
        <v>0.60773480662983415</v>
      </c>
      <c r="AJ173" s="63">
        <f t="shared" si="37"/>
        <v>1.5134803921568627</v>
      </c>
      <c r="AK173" s="63"/>
      <c r="AL173" s="63">
        <f t="shared" si="38"/>
        <v>0.96520394355306405</v>
      </c>
      <c r="AM173" s="63">
        <f t="shared" si="39"/>
        <v>1.2230538922155689</v>
      </c>
      <c r="AN173" s="63">
        <f t="shared" si="40"/>
        <v>0.81683168316831667</v>
      </c>
      <c r="AO173" s="63">
        <f t="shared" si="41"/>
        <v>1.2265193370165746</v>
      </c>
      <c r="AP173" s="63">
        <f t="shared" si="42"/>
        <v>0.92463235294117641</v>
      </c>
    </row>
    <row r="174" spans="1:60" ht="20.100000000000001" customHeight="1" x14ac:dyDescent="0.3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1.2925482980680774</v>
      </c>
      <c r="AA174" s="63">
        <f t="shared" si="29"/>
        <v>0.72773972602739723</v>
      </c>
      <c r="AB174" s="63">
        <f t="shared" si="30"/>
        <v>0.47565118912797283</v>
      </c>
      <c r="AC174" s="63">
        <f t="shared" si="31"/>
        <v>0.40345821325648418</v>
      </c>
      <c r="AD174" s="63">
        <f t="shared" si="32"/>
        <v>1.3489896231567451</v>
      </c>
      <c r="AE174" s="63"/>
      <c r="AF174" s="63">
        <f t="shared" si="33"/>
        <v>1.2335381913959613</v>
      </c>
      <c r="AG174" s="63">
        <f t="shared" si="34"/>
        <v>0.81809432146294514</v>
      </c>
      <c r="AH174" s="63">
        <f t="shared" si="35"/>
        <v>0.52565707133917394</v>
      </c>
      <c r="AI174" s="63">
        <f t="shared" si="36"/>
        <v>0.40697674418604657</v>
      </c>
      <c r="AJ174" s="63">
        <f t="shared" si="37"/>
        <v>1.2531709791983763</v>
      </c>
      <c r="AK174" s="63"/>
      <c r="AL174" s="63">
        <f t="shared" si="38"/>
        <v>0.95434591747146613</v>
      </c>
      <c r="AM174" s="63">
        <f t="shared" si="39"/>
        <v>1.1241578440808468</v>
      </c>
      <c r="AN174" s="63">
        <f t="shared" si="40"/>
        <v>1.1051314142678348</v>
      </c>
      <c r="AO174" s="63">
        <f t="shared" si="41"/>
        <v>1.0087209302325582</v>
      </c>
      <c r="AP174" s="63">
        <f t="shared" si="42"/>
        <v>0.92897006595636722</v>
      </c>
    </row>
    <row r="175" spans="1:60" ht="20.100000000000001" customHeight="1" x14ac:dyDescent="0.3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1.3754325259515572</v>
      </c>
      <c r="AA175" s="63">
        <f t="shared" si="29"/>
        <v>0.71278825995807116</v>
      </c>
      <c r="AB175" s="63">
        <f t="shared" si="30"/>
        <v>0.50021195421788889</v>
      </c>
      <c r="AC175" s="63">
        <f t="shared" si="31"/>
        <v>0.35545023696682465</v>
      </c>
      <c r="AD175" s="63">
        <f t="shared" si="32"/>
        <v>1.2859608745684694</v>
      </c>
      <c r="AE175" s="63"/>
      <c r="AF175" s="63">
        <f t="shared" si="33"/>
        <v>1.2235475182762601</v>
      </c>
      <c r="AG175" s="63">
        <f t="shared" si="34"/>
        <v>0.72084805653710249</v>
      </c>
      <c r="AH175" s="63">
        <f t="shared" si="35"/>
        <v>0.53734061930783239</v>
      </c>
      <c r="AI175" s="63">
        <f t="shared" si="36"/>
        <v>0.32119914346895073</v>
      </c>
      <c r="AJ175" s="63">
        <f t="shared" si="37"/>
        <v>1.3451700270839604</v>
      </c>
      <c r="AK175" s="63"/>
      <c r="AL175" s="63">
        <f t="shared" si="38"/>
        <v>0.88957291265871474</v>
      </c>
      <c r="AM175" s="63">
        <f t="shared" si="39"/>
        <v>1.0113074204946997</v>
      </c>
      <c r="AN175" s="63">
        <f t="shared" si="40"/>
        <v>1.0742258652094718</v>
      </c>
      <c r="AO175" s="63">
        <f t="shared" si="41"/>
        <v>0.90364025695931471</v>
      </c>
      <c r="AP175" s="63">
        <f t="shared" si="42"/>
        <v>1.0460427324706594</v>
      </c>
    </row>
    <row r="176" spans="1:60" ht="20.100000000000001" customHeight="1" x14ac:dyDescent="0.3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1.2178702570379438</v>
      </c>
      <c r="AA176" s="63">
        <f t="shared" si="29"/>
        <v>0.49180327868852464</v>
      </c>
      <c r="AB176" s="63">
        <f t="shared" si="30"/>
        <v>0.56943637420104587</v>
      </c>
      <c r="AC176" s="63">
        <f t="shared" si="31"/>
        <v>0.44982698961937723</v>
      </c>
      <c r="AD176" s="63">
        <f t="shared" si="32"/>
        <v>1.596244131455399</v>
      </c>
      <c r="AE176" s="63"/>
      <c r="AF176" s="63">
        <f t="shared" si="33"/>
        <v>1.109253065774805</v>
      </c>
      <c r="AG176" s="63">
        <f t="shared" si="34"/>
        <v>0.69353882631890951</v>
      </c>
      <c r="AH176" s="63">
        <f t="shared" si="35"/>
        <v>0.57714958775029446</v>
      </c>
      <c r="AI176" s="63">
        <f t="shared" si="36"/>
        <v>0.392749244712991</v>
      </c>
      <c r="AJ176" s="63">
        <f t="shared" si="37"/>
        <v>1.3872403560830859</v>
      </c>
      <c r="AK176" s="63"/>
      <c r="AL176" s="63">
        <f t="shared" si="38"/>
        <v>0.91081382385730203</v>
      </c>
      <c r="AM176" s="63">
        <f t="shared" si="39"/>
        <v>1.4101956135151157</v>
      </c>
      <c r="AN176" s="63">
        <f t="shared" si="40"/>
        <v>1.013545347467609</v>
      </c>
      <c r="AO176" s="63">
        <f t="shared" si="41"/>
        <v>0.87311178247734145</v>
      </c>
      <c r="AP176" s="63">
        <f t="shared" si="42"/>
        <v>0.86906528189910981</v>
      </c>
    </row>
    <row r="177" spans="1:42" ht="20.100000000000001" customHeight="1" x14ac:dyDescent="0.3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1.0442828816920027</v>
      </c>
      <c r="AA177" s="63">
        <f t="shared" si="29"/>
        <v>0.39198606271777003</v>
      </c>
      <c r="AB177" s="63">
        <f t="shared" si="30"/>
        <v>0.54212454212454209</v>
      </c>
      <c r="AC177" s="63">
        <f t="shared" si="31"/>
        <v>0.19607843137254902</v>
      </c>
      <c r="AD177" s="63">
        <f t="shared" si="32"/>
        <v>1.5258271840038085</v>
      </c>
      <c r="AE177" s="63"/>
      <c r="AF177" s="63">
        <f t="shared" si="33"/>
        <v>2.1614227086183311</v>
      </c>
      <c r="AG177" s="63">
        <f t="shared" si="34"/>
        <v>2.6785714285714288</v>
      </c>
      <c r="AH177" s="63">
        <f t="shared" si="35"/>
        <v>0.56273764258555126</v>
      </c>
      <c r="AI177" s="63">
        <f t="shared" si="36"/>
        <v>1.3333333333333335</v>
      </c>
      <c r="AJ177" s="63">
        <f t="shared" si="37"/>
        <v>0.999844018093901</v>
      </c>
      <c r="AK177" s="63"/>
      <c r="AL177" s="63">
        <f t="shared" si="38"/>
        <v>2.0697674418604652</v>
      </c>
      <c r="AM177" s="63">
        <f t="shared" si="39"/>
        <v>6.8333333333333339</v>
      </c>
      <c r="AN177" s="63">
        <f t="shared" si="40"/>
        <v>1.038022813688213</v>
      </c>
      <c r="AO177" s="63">
        <f t="shared" si="41"/>
        <v>6.8000000000000007</v>
      </c>
      <c r="AP177" s="63">
        <f t="shared" si="42"/>
        <v>0.65527998752144745</v>
      </c>
    </row>
    <row r="178" spans="1:42" ht="20.100000000000001" customHeight="1" x14ac:dyDescent="0.3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1.2133620689655171</v>
      </c>
      <c r="AA178" s="63">
        <f t="shared" si="29"/>
        <v>0.51143200962695556</v>
      </c>
      <c r="AB178" s="63">
        <f t="shared" si="30"/>
        <v>0.93603744149765988</v>
      </c>
      <c r="AC178" s="63">
        <f t="shared" si="31"/>
        <v>0.33222591362126247</v>
      </c>
      <c r="AD178" s="63">
        <f t="shared" si="32"/>
        <v>1.8007312614259599</v>
      </c>
      <c r="AE178" s="63"/>
      <c r="AF178" s="63">
        <f t="shared" si="33"/>
        <v>1.1426831743454433</v>
      </c>
      <c r="AG178" s="63">
        <f t="shared" si="34"/>
        <v>0.60931899641577059</v>
      </c>
      <c r="AH178" s="63">
        <f t="shared" si="35"/>
        <v>0.68493150684931503</v>
      </c>
      <c r="AI178" s="63">
        <f t="shared" si="36"/>
        <v>0.43103448275862072</v>
      </c>
      <c r="AJ178" s="63">
        <f t="shared" si="37"/>
        <v>1.676595744680851</v>
      </c>
      <c r="AK178" s="63"/>
      <c r="AL178" s="63">
        <f t="shared" si="38"/>
        <v>0.94174954333265681</v>
      </c>
      <c r="AM178" s="63">
        <f t="shared" si="39"/>
        <v>1.1913978494623654</v>
      </c>
      <c r="AN178" s="63">
        <f t="shared" si="40"/>
        <v>0.7317351598173516</v>
      </c>
      <c r="AO178" s="63">
        <f t="shared" si="41"/>
        <v>1.2974137931034482</v>
      </c>
      <c r="AP178" s="63">
        <f t="shared" si="42"/>
        <v>0.93106382978723401</v>
      </c>
    </row>
    <row r="179" spans="1:42" ht="20.100000000000001" customHeight="1" x14ac:dyDescent="0.3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1.3377345378735233</v>
      </c>
      <c r="AA179" s="63">
        <f t="shared" si="29"/>
        <v>0.49843014128728402</v>
      </c>
      <c r="AB179" s="63">
        <f t="shared" si="30"/>
        <v>0.57832678270634463</v>
      </c>
      <c r="AC179" s="63">
        <f t="shared" si="31"/>
        <v>0.31746031746031744</v>
      </c>
      <c r="AD179" s="63">
        <f t="shared" si="32"/>
        <v>1.6486972147349508</v>
      </c>
      <c r="AE179" s="63"/>
      <c r="AF179" s="63">
        <f t="shared" si="33"/>
        <v>1.3015551048005409</v>
      </c>
      <c r="AG179" s="63">
        <f t="shared" si="34"/>
        <v>0.61740398638794358</v>
      </c>
      <c r="AH179" s="63">
        <f t="shared" si="35"/>
        <v>0.5579631635969664</v>
      </c>
      <c r="AI179" s="63">
        <f t="shared" si="36"/>
        <v>0.29315960912052114</v>
      </c>
      <c r="AJ179" s="63">
        <f t="shared" si="37"/>
        <v>1.4534653465346536</v>
      </c>
      <c r="AK179" s="63"/>
      <c r="AL179" s="63">
        <f t="shared" si="38"/>
        <v>0.97295469912102772</v>
      </c>
      <c r="AM179" s="63">
        <f t="shared" si="39"/>
        <v>1.2386971317452602</v>
      </c>
      <c r="AN179" s="63">
        <f t="shared" si="40"/>
        <v>0.96478873239436647</v>
      </c>
      <c r="AO179" s="63">
        <f t="shared" si="41"/>
        <v>0.92345276872964155</v>
      </c>
      <c r="AP179" s="63">
        <f t="shared" si="42"/>
        <v>0.88158415841584148</v>
      </c>
    </row>
    <row r="180" spans="1:42" ht="20.100000000000001" customHeight="1" x14ac:dyDescent="0.3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1.4473190851143609</v>
      </c>
      <c r="AA180" s="63">
        <f t="shared" si="29"/>
        <v>0.48820179007323028</v>
      </c>
      <c r="AB180" s="63">
        <f t="shared" si="30"/>
        <v>0.66839714471122647</v>
      </c>
      <c r="AC180" s="63">
        <f t="shared" si="31"/>
        <v>0.46439628482972134</v>
      </c>
      <c r="AD180" s="63">
        <f t="shared" si="32"/>
        <v>1.2487545665891731</v>
      </c>
      <c r="AE180" s="63"/>
      <c r="AF180" s="63">
        <f t="shared" si="33"/>
        <v>1.159159159159159</v>
      </c>
      <c r="AG180" s="63">
        <f t="shared" si="34"/>
        <v>0.67114093959731547</v>
      </c>
      <c r="AH180" s="63">
        <f t="shared" si="35"/>
        <v>0.58192090395480223</v>
      </c>
      <c r="AI180" s="63">
        <f t="shared" si="36"/>
        <v>0.36764705882352938</v>
      </c>
      <c r="AJ180" s="63">
        <f t="shared" si="37"/>
        <v>1.3905325443786982</v>
      </c>
      <c r="AK180" s="63"/>
      <c r="AL180" s="63">
        <f t="shared" si="38"/>
        <v>0.80090090090090071</v>
      </c>
      <c r="AM180" s="63">
        <f t="shared" si="39"/>
        <v>1.3747203579418343</v>
      </c>
      <c r="AN180" s="63">
        <f t="shared" si="40"/>
        <v>0.87062146892655357</v>
      </c>
      <c r="AO180" s="63">
        <f t="shared" si="41"/>
        <v>0.79166666666666663</v>
      </c>
      <c r="AP180" s="63">
        <f t="shared" si="42"/>
        <v>1.1135355029585798</v>
      </c>
    </row>
    <row r="181" spans="1:42" ht="20.100000000000001" customHeight="1" x14ac:dyDescent="0.3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1.2801484230055657</v>
      </c>
      <c r="AA181" s="63">
        <f t="shared" si="29"/>
        <v>0.51948051948051943</v>
      </c>
      <c r="AB181" s="63">
        <f t="shared" si="30"/>
        <v>0.69784172661870503</v>
      </c>
      <c r="AC181" s="63">
        <f t="shared" si="31"/>
        <v>0.43478260869565227</v>
      </c>
      <c r="AD181" s="63">
        <f t="shared" si="32"/>
        <v>1.3160854893138356</v>
      </c>
      <c r="AE181" s="63"/>
      <c r="AF181" s="63">
        <f t="shared" si="33"/>
        <v>1.1449115044247788</v>
      </c>
      <c r="AG181" s="63">
        <f t="shared" si="34"/>
        <v>0.6757493188010899</v>
      </c>
      <c r="AH181" s="63">
        <f t="shared" si="35"/>
        <v>0.59254734270006115</v>
      </c>
      <c r="AI181" s="63">
        <f t="shared" si="36"/>
        <v>0.38567493112947665</v>
      </c>
      <c r="AJ181" s="63">
        <f t="shared" si="37"/>
        <v>1.3770105923891718</v>
      </c>
      <c r="AK181" s="63"/>
      <c r="AL181" s="63">
        <f t="shared" si="38"/>
        <v>0.8943584070796462</v>
      </c>
      <c r="AM181" s="63">
        <f t="shared" si="39"/>
        <v>1.3008174386920981</v>
      </c>
      <c r="AN181" s="63">
        <f t="shared" si="40"/>
        <v>0.84911423335369585</v>
      </c>
      <c r="AO181" s="63">
        <f t="shared" si="41"/>
        <v>0.88705234159779611</v>
      </c>
      <c r="AP181" s="63">
        <f t="shared" si="42"/>
        <v>1.0462926637897214</v>
      </c>
    </row>
    <row r="182" spans="1:42" ht="20.100000000000001" customHeight="1" x14ac:dyDescent="0.3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0.97867803837953093</v>
      </c>
      <c r="AA182" s="63">
        <f t="shared" si="29"/>
        <v>0.60077519379844957</v>
      </c>
      <c r="AB182" s="63">
        <f t="shared" si="30"/>
        <v>0.86575875486381315</v>
      </c>
      <c r="AC182" s="63">
        <f t="shared" si="31"/>
        <v>0.30379746835443033</v>
      </c>
      <c r="AD182" s="63">
        <f t="shared" si="32"/>
        <v>1.7334064728469556</v>
      </c>
      <c r="AE182" s="63"/>
      <c r="AF182" s="63">
        <f t="shared" si="33"/>
        <v>1.0772119220840177</v>
      </c>
      <c r="AG182" s="63">
        <f t="shared" si="34"/>
        <v>0.69351230425055932</v>
      </c>
      <c r="AH182" s="63">
        <f t="shared" si="35"/>
        <v>0.63662374821173107</v>
      </c>
      <c r="AI182" s="63">
        <f t="shared" si="36"/>
        <v>0.46692607003891046</v>
      </c>
      <c r="AJ182" s="63">
        <f t="shared" si="37"/>
        <v>1.3763066202090593</v>
      </c>
      <c r="AK182" s="63"/>
      <c r="AL182" s="63">
        <f t="shared" si="38"/>
        <v>1.1006805914104669</v>
      </c>
      <c r="AM182" s="63">
        <f t="shared" si="39"/>
        <v>1.1543624161073827</v>
      </c>
      <c r="AN182" s="63">
        <f t="shared" si="40"/>
        <v>0.73533619456366239</v>
      </c>
      <c r="AO182" s="63">
        <f t="shared" si="41"/>
        <v>1.536964980544747</v>
      </c>
      <c r="AP182" s="63">
        <f t="shared" si="42"/>
        <v>0.79398954703832747</v>
      </c>
    </row>
    <row r="183" spans="1:42" ht="20.100000000000001" customHeight="1" x14ac:dyDescent="0.3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0.96502590673575139</v>
      </c>
      <c r="AA183" s="63">
        <f t="shared" si="29"/>
        <v>0.63796680497925307</v>
      </c>
      <c r="AB183" s="63">
        <f t="shared" si="30"/>
        <v>0.79040852575488463</v>
      </c>
      <c r="AC183" s="63">
        <f t="shared" si="31"/>
        <v>0.42042042042042033</v>
      </c>
      <c r="AD183" s="63">
        <f t="shared" si="32"/>
        <v>1.6506814740030291</v>
      </c>
      <c r="AE183" s="63"/>
      <c r="AF183" s="63">
        <f t="shared" si="33"/>
        <v>1.0752946836661055</v>
      </c>
      <c r="AG183" s="63">
        <f t="shared" si="34"/>
        <v>0.70125427594070699</v>
      </c>
      <c r="AH183" s="63">
        <f t="shared" si="35"/>
        <v>0.61464088397790051</v>
      </c>
      <c r="AI183" s="63">
        <f t="shared" si="36"/>
        <v>0.53231939163498099</v>
      </c>
      <c r="AJ183" s="63">
        <f t="shared" si="37"/>
        <v>1.3751051303616486</v>
      </c>
      <c r="AK183" s="63"/>
      <c r="AL183" s="63">
        <f t="shared" si="38"/>
        <v>1.1142650950204473</v>
      </c>
      <c r="AM183" s="63">
        <f t="shared" si="39"/>
        <v>1.0992018244013684</v>
      </c>
      <c r="AN183" s="63">
        <f t="shared" si="40"/>
        <v>0.77762430939226512</v>
      </c>
      <c r="AO183" s="63">
        <f t="shared" si="41"/>
        <v>1.2661596958174908</v>
      </c>
      <c r="AP183" s="63">
        <f t="shared" si="42"/>
        <v>0.83305298570227071</v>
      </c>
    </row>
    <row r="184" spans="1:42" ht="20.100000000000001" customHeight="1" x14ac:dyDescent="0.3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1.1707789066279632</v>
      </c>
      <c r="AA184" s="63">
        <f t="shared" si="29"/>
        <v>0.59366225431207376</v>
      </c>
      <c r="AB184" s="63">
        <f t="shared" si="30"/>
        <v>0.55823569951757401</v>
      </c>
      <c r="AC184" s="63">
        <f t="shared" si="31"/>
        <v>0.38690476190476192</v>
      </c>
      <c r="AD184" s="63">
        <f t="shared" si="32"/>
        <v>1.7276166456494326</v>
      </c>
      <c r="AE184" s="63"/>
      <c r="AF184" s="63">
        <f t="shared" si="33"/>
        <v>1.2176100628930817</v>
      </c>
      <c r="AG184" s="63">
        <f t="shared" si="34"/>
        <v>0.58474911102331095</v>
      </c>
      <c r="AH184" s="63">
        <f t="shared" si="35"/>
        <v>0.62116564417177911</v>
      </c>
      <c r="AI184" s="63">
        <f t="shared" si="36"/>
        <v>0.32098765432098769</v>
      </c>
      <c r="AJ184" s="63">
        <f t="shared" si="37"/>
        <v>1.5350140056022412</v>
      </c>
      <c r="AK184" s="63"/>
      <c r="AL184" s="63">
        <f t="shared" si="38"/>
        <v>1.0399999999999998</v>
      </c>
      <c r="AM184" s="63">
        <f t="shared" si="39"/>
        <v>0.9849861714737258</v>
      </c>
      <c r="AN184" s="63">
        <f t="shared" si="40"/>
        <v>1.1127300613496935</v>
      </c>
      <c r="AO184" s="63">
        <f t="shared" si="41"/>
        <v>0.82962962962962961</v>
      </c>
      <c r="AP184" s="63">
        <f t="shared" si="42"/>
        <v>0.88851540616246505</v>
      </c>
    </row>
    <row r="185" spans="1:42" ht="20.100000000000001" customHeight="1" x14ac:dyDescent="0.3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1.3016393442622951</v>
      </c>
      <c r="AA185" s="63">
        <f t="shared" si="29"/>
        <v>0.51141552511415522</v>
      </c>
      <c r="AB185" s="63">
        <f t="shared" si="30"/>
        <v>0.42398286937901497</v>
      </c>
      <c r="AC185" s="63">
        <f t="shared" si="31"/>
        <v>0.45774647887323938</v>
      </c>
      <c r="AD185" s="63">
        <f t="shared" si="32"/>
        <v>1.7702008407286314</v>
      </c>
      <c r="AE185" s="63"/>
      <c r="AF185" s="63">
        <f t="shared" si="33"/>
        <v>1.0547290116896919</v>
      </c>
      <c r="AG185" s="63">
        <f t="shared" si="34"/>
        <v>0.73587385019710894</v>
      </c>
      <c r="AH185" s="63">
        <f t="shared" si="35"/>
        <v>0.59069212410501193</v>
      </c>
      <c r="AI185" s="63">
        <f t="shared" si="36"/>
        <v>0.49056603773584911</v>
      </c>
      <c r="AJ185" s="63">
        <f t="shared" si="37"/>
        <v>1.3667508113956004</v>
      </c>
      <c r="AK185" s="63"/>
      <c r="AL185" s="63">
        <f t="shared" si="38"/>
        <v>0.81030818278427208</v>
      </c>
      <c r="AM185" s="63">
        <f t="shared" si="39"/>
        <v>1.4388961892247041</v>
      </c>
      <c r="AN185" s="63">
        <f t="shared" si="40"/>
        <v>1.393198090692124</v>
      </c>
      <c r="AO185" s="63">
        <f t="shared" si="41"/>
        <v>1.0716981132075474</v>
      </c>
      <c r="AP185" s="63">
        <f t="shared" si="42"/>
        <v>0.77208799134511363</v>
      </c>
    </row>
    <row r="186" spans="1:42" ht="20.100000000000001" customHeight="1" x14ac:dyDescent="0.3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1.3223140495867769</v>
      </c>
      <c r="AA186" s="63">
        <f t="shared" si="29"/>
        <v>0.50225563909774429</v>
      </c>
      <c r="AB186" s="63">
        <f t="shared" si="30"/>
        <v>0.7851239669421487</v>
      </c>
      <c r="AC186" s="63">
        <f t="shared" si="31"/>
        <v>0.32258064516129037</v>
      </c>
      <c r="AD186" s="63">
        <f t="shared" si="32"/>
        <v>1.6228646517739815</v>
      </c>
      <c r="AE186" s="63"/>
      <c r="AF186" s="63">
        <f t="shared" si="33"/>
        <v>1.2592028433612592</v>
      </c>
      <c r="AG186" s="63">
        <f t="shared" si="34"/>
        <v>0.5774550484094052</v>
      </c>
      <c r="AH186" s="63">
        <f t="shared" si="35"/>
        <v>0.62809917355371903</v>
      </c>
      <c r="AI186" s="63">
        <f t="shared" si="36"/>
        <v>0.31111111111111112</v>
      </c>
      <c r="AJ186" s="63">
        <f t="shared" si="37"/>
        <v>1.6368455931080186</v>
      </c>
      <c r="AK186" s="63"/>
      <c r="AL186" s="63">
        <f t="shared" si="38"/>
        <v>0.95227215029195222</v>
      </c>
      <c r="AM186" s="63">
        <f t="shared" si="39"/>
        <v>1.1497233748271092</v>
      </c>
      <c r="AN186" s="63">
        <f t="shared" si="40"/>
        <v>0.8</v>
      </c>
      <c r="AO186" s="63">
        <f t="shared" si="41"/>
        <v>0.96444444444444444</v>
      </c>
      <c r="AP186" s="63">
        <f t="shared" si="42"/>
        <v>1.0086149768058317</v>
      </c>
    </row>
    <row r="187" spans="1:42" ht="20.100000000000001" customHeight="1" x14ac:dyDescent="0.3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1.1255506607929515</v>
      </c>
      <c r="AA187" s="63">
        <f t="shared" si="29"/>
        <v>0.59929078014184411</v>
      </c>
      <c r="AB187" s="63">
        <f t="shared" si="30"/>
        <v>0.73846153846153839</v>
      </c>
      <c r="AC187" s="63">
        <f t="shared" si="31"/>
        <v>0.32994923857868019</v>
      </c>
      <c r="AD187" s="63">
        <f t="shared" si="32"/>
        <v>1.848937844217152</v>
      </c>
      <c r="AE187" s="63"/>
      <c r="AF187" s="63">
        <f t="shared" si="33"/>
        <v>1.2487781036168133</v>
      </c>
      <c r="AG187" s="63">
        <f t="shared" si="34"/>
        <v>0.57975986277873082</v>
      </c>
      <c r="AH187" s="63">
        <f t="shared" si="35"/>
        <v>0.62827225130890052</v>
      </c>
      <c r="AI187" s="63">
        <f t="shared" si="36"/>
        <v>0.31707317073170727</v>
      </c>
      <c r="AJ187" s="63">
        <f t="shared" si="37"/>
        <v>1.6353514265831595</v>
      </c>
      <c r="AK187" s="63"/>
      <c r="AL187" s="63">
        <f t="shared" si="38"/>
        <v>1.1094819159335287</v>
      </c>
      <c r="AM187" s="63">
        <f t="shared" si="39"/>
        <v>0.96740994854202389</v>
      </c>
      <c r="AN187" s="63">
        <f t="shared" si="40"/>
        <v>0.85078534031413622</v>
      </c>
      <c r="AO187" s="63">
        <f t="shared" si="41"/>
        <v>0.96097560975609742</v>
      </c>
      <c r="AP187" s="63">
        <f t="shared" si="42"/>
        <v>0.8844815588030619</v>
      </c>
    </row>
    <row r="188" spans="1:42" ht="20.100000000000001" customHeight="1" x14ac:dyDescent="0.3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1.7549780627742151</v>
      </c>
      <c r="AA188" s="63">
        <f t="shared" si="29"/>
        <v>0.41487191113126276</v>
      </c>
      <c r="AB188" s="63">
        <f t="shared" si="30"/>
        <v>0.61892130857648109</v>
      </c>
      <c r="AC188" s="63">
        <f t="shared" si="31"/>
        <v>0.37790697674418605</v>
      </c>
      <c r="AD188" s="63">
        <f t="shared" si="32"/>
        <v>1.8592528236316246</v>
      </c>
      <c r="AE188" s="63"/>
      <c r="AF188" s="63">
        <f t="shared" si="33"/>
        <v>1.3569937369519833</v>
      </c>
      <c r="AG188" s="63">
        <f t="shared" si="34"/>
        <v>0.55606198723792155</v>
      </c>
      <c r="AH188" s="63">
        <f t="shared" si="35"/>
        <v>0.62780269058295968</v>
      </c>
      <c r="AI188" s="63">
        <f t="shared" si="36"/>
        <v>0.27196652719665271</v>
      </c>
      <c r="AJ188" s="63">
        <f t="shared" si="37"/>
        <v>1.6666666666666667</v>
      </c>
      <c r="AK188" s="63"/>
      <c r="AL188" s="63">
        <f t="shared" si="38"/>
        <v>0.77322546972860129</v>
      </c>
      <c r="AM188" s="63">
        <f t="shared" si="39"/>
        <v>1.3403220905499846</v>
      </c>
      <c r="AN188" s="63">
        <f t="shared" si="40"/>
        <v>1.0143497757847533</v>
      </c>
      <c r="AO188" s="63">
        <f t="shared" si="41"/>
        <v>0.71966527196652719</v>
      </c>
      <c r="AP188" s="63">
        <f t="shared" si="42"/>
        <v>0.89641744548286617</v>
      </c>
    </row>
    <row r="189" spans="1:42" ht="20.100000000000001" customHeight="1" x14ac:dyDescent="0.3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1.3804611650485437</v>
      </c>
      <c r="AA189" s="63">
        <f t="shared" si="29"/>
        <v>0.51532502526103063</v>
      </c>
      <c r="AB189" s="63">
        <f t="shared" si="30"/>
        <v>0.63893016344725118</v>
      </c>
      <c r="AC189" s="63">
        <f t="shared" si="31"/>
        <v>0.3658536585365853</v>
      </c>
      <c r="AD189" s="63">
        <f t="shared" si="32"/>
        <v>1.4704396159676605</v>
      </c>
      <c r="AE189" s="63"/>
      <c r="AF189" s="63">
        <f t="shared" si="33"/>
        <v>1.3093525179856116</v>
      </c>
      <c r="AG189" s="63">
        <f t="shared" si="34"/>
        <v>0.56666666666666665</v>
      </c>
      <c r="AH189" s="63">
        <f t="shared" si="35"/>
        <v>0.59722222222222221</v>
      </c>
      <c r="AI189" s="63">
        <f t="shared" si="36"/>
        <v>0.26041666666666669</v>
      </c>
      <c r="AJ189" s="63">
        <f t="shared" si="37"/>
        <v>1.6086235489220564</v>
      </c>
      <c r="AK189" s="63"/>
      <c r="AL189" s="63">
        <f t="shared" si="38"/>
        <v>0.94848920863309349</v>
      </c>
      <c r="AM189" s="63">
        <f t="shared" si="39"/>
        <v>1.0996296296296297</v>
      </c>
      <c r="AN189" s="63">
        <f t="shared" si="40"/>
        <v>0.93472222222222223</v>
      </c>
      <c r="AO189" s="63">
        <f t="shared" si="41"/>
        <v>0.71180555555555569</v>
      </c>
      <c r="AP189" s="63">
        <f t="shared" si="42"/>
        <v>1.0939745715865119</v>
      </c>
    </row>
    <row r="190" spans="1:42" ht="20.100000000000001" customHeight="1" x14ac:dyDescent="0.3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1.4421464505310229</v>
      </c>
      <c r="AA190" s="63">
        <f t="shared" si="29"/>
        <v>0.48686739269698909</v>
      </c>
      <c r="AB190" s="63">
        <f t="shared" si="30"/>
        <v>0.4420677361853832</v>
      </c>
      <c r="AC190" s="63">
        <f t="shared" si="31"/>
        <v>0.38709677419354838</v>
      </c>
      <c r="AD190" s="63">
        <f t="shared" si="32"/>
        <v>1.4992927864214993</v>
      </c>
      <c r="AE190" s="63"/>
      <c r="AF190" s="63">
        <f t="shared" si="33"/>
        <v>1.3687002652519893</v>
      </c>
      <c r="AG190" s="63">
        <f t="shared" si="34"/>
        <v>0.94763092269326688</v>
      </c>
      <c r="AH190" s="63">
        <f t="shared" si="35"/>
        <v>0.48838125246159908</v>
      </c>
      <c r="AI190" s="63">
        <f t="shared" si="36"/>
        <v>0.42553191489361702</v>
      </c>
      <c r="AJ190" s="63">
        <f t="shared" si="37"/>
        <v>1.1798753339269812</v>
      </c>
      <c r="AK190" s="63"/>
      <c r="AL190" s="63">
        <f t="shared" si="38"/>
        <v>0.94907161803713525</v>
      </c>
      <c r="AM190" s="63">
        <f t="shared" si="39"/>
        <v>1.9463840399002494</v>
      </c>
      <c r="AN190" s="63">
        <f t="shared" si="40"/>
        <v>1.1047656557699883</v>
      </c>
      <c r="AO190" s="63">
        <f t="shared" si="41"/>
        <v>1.0992907801418441</v>
      </c>
      <c r="AP190" s="63">
        <f t="shared" si="42"/>
        <v>0.78695458593054324</v>
      </c>
    </row>
    <row r="191" spans="1:42" ht="20.100000000000001" customHeight="1" x14ac:dyDescent="0.3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1.2075817792723937</v>
      </c>
      <c r="AA191" s="63">
        <f t="shared" si="29"/>
        <v>0.49638554216867464</v>
      </c>
      <c r="AB191" s="63">
        <f t="shared" si="30"/>
        <v>0.78554595443833464</v>
      </c>
      <c r="AC191" s="63">
        <f t="shared" si="31"/>
        <v>0.37671232876712335</v>
      </c>
      <c r="AD191" s="63">
        <f t="shared" si="32"/>
        <v>1.2657818064098414</v>
      </c>
      <c r="AE191" s="63"/>
      <c r="AF191" s="63">
        <f t="shared" si="33"/>
        <v>1.0416666666666665</v>
      </c>
      <c r="AG191" s="63">
        <f t="shared" si="34"/>
        <v>0.77385424492862509</v>
      </c>
      <c r="AH191" s="63">
        <f t="shared" si="35"/>
        <v>0.58445353594389249</v>
      </c>
      <c r="AI191" s="63">
        <f t="shared" si="36"/>
        <v>0.50458715596330272</v>
      </c>
      <c r="AJ191" s="63">
        <f t="shared" si="37"/>
        <v>1.3263229308005429</v>
      </c>
      <c r="AK191" s="63"/>
      <c r="AL191" s="63">
        <f t="shared" si="38"/>
        <v>0.86260548523206748</v>
      </c>
      <c r="AM191" s="63">
        <f t="shared" si="39"/>
        <v>1.558978211870774</v>
      </c>
      <c r="AN191" s="63">
        <f t="shared" si="40"/>
        <v>0.74400935125657519</v>
      </c>
      <c r="AO191" s="63">
        <f t="shared" si="41"/>
        <v>1.3394495412844036</v>
      </c>
      <c r="AP191" s="63">
        <f t="shared" si="42"/>
        <v>1.0478290366350067</v>
      </c>
    </row>
    <row r="192" spans="1:42" ht="20.100000000000001" customHeight="1" x14ac:dyDescent="0.3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1.1918951132300357</v>
      </c>
      <c r="AA192" s="63">
        <f t="shared" si="29"/>
        <v>0.52705223880597019</v>
      </c>
      <c r="AB192" s="63">
        <f t="shared" si="30"/>
        <v>0.48529411764705888</v>
      </c>
      <c r="AC192" s="63">
        <f t="shared" si="31"/>
        <v>0.41522491349480972</v>
      </c>
      <c r="AD192" s="63">
        <f t="shared" si="32"/>
        <v>1.7319207738369418</v>
      </c>
      <c r="AE192" s="63"/>
      <c r="AF192" s="63">
        <f t="shared" si="33"/>
        <v>1.0411244143675169</v>
      </c>
      <c r="AG192" s="63">
        <f t="shared" si="34"/>
        <v>0.74933687002652538</v>
      </c>
      <c r="AH192" s="63">
        <f t="shared" si="35"/>
        <v>0.60072815533980584</v>
      </c>
      <c r="AI192" s="63">
        <f t="shared" si="36"/>
        <v>0.47619047619047616</v>
      </c>
      <c r="AJ192" s="63">
        <f t="shared" si="37"/>
        <v>1.3672727272727272</v>
      </c>
      <c r="AK192" s="63"/>
      <c r="AL192" s="63">
        <f t="shared" si="38"/>
        <v>0.87350338365434677</v>
      </c>
      <c r="AM192" s="63">
        <f t="shared" si="39"/>
        <v>1.4217506631299737</v>
      </c>
      <c r="AN192" s="63">
        <f t="shared" si="40"/>
        <v>1.2378640776699028</v>
      </c>
      <c r="AO192" s="63">
        <f t="shared" si="41"/>
        <v>1.1468253968253967</v>
      </c>
      <c r="AP192" s="63">
        <f t="shared" si="42"/>
        <v>0.7894545454545453</v>
      </c>
    </row>
    <row r="193" spans="1:42" ht="20.100000000000001" customHeight="1" thickBot="1" x14ac:dyDescent="0.35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1.205240174672489</v>
      </c>
      <c r="AA193" s="63">
        <f t="shared" si="29"/>
        <v>0.52064631956912033</v>
      </c>
      <c r="AB193" s="63">
        <f t="shared" si="30"/>
        <v>0.45867176301958912</v>
      </c>
      <c r="AC193" s="63">
        <f t="shared" si="31"/>
        <v>0.44117647058823534</v>
      </c>
      <c r="AD193" s="63">
        <f t="shared" si="32"/>
        <v>1.8356997971602433</v>
      </c>
      <c r="AE193" s="63"/>
      <c r="AF193" s="63">
        <f t="shared" si="33"/>
        <v>1.069767441860465</v>
      </c>
      <c r="AG193" s="63">
        <f t="shared" si="34"/>
        <v>0.72772898368883332</v>
      </c>
      <c r="AH193" s="63">
        <f t="shared" si="35"/>
        <v>0.59516429014259142</v>
      </c>
      <c r="AI193" s="63">
        <f t="shared" si="36"/>
        <v>0.449438202247191</v>
      </c>
      <c r="AJ193" s="63">
        <f t="shared" si="37"/>
        <v>1.3629518072289155</v>
      </c>
      <c r="AK193" s="63"/>
      <c r="AL193" s="63">
        <f t="shared" si="38"/>
        <v>0.88759689922480622</v>
      </c>
      <c r="AM193" s="63">
        <f t="shared" si="39"/>
        <v>1.3977415307402763</v>
      </c>
      <c r="AN193" s="63">
        <f t="shared" si="40"/>
        <v>1.2975821450712959</v>
      </c>
      <c r="AO193" s="63">
        <f t="shared" si="41"/>
        <v>1.0187265917602994</v>
      </c>
      <c r="AP193" s="63">
        <f t="shared" si="42"/>
        <v>0.74246987951807231</v>
      </c>
    </row>
    <row r="194" spans="1:42" ht="20.100000000000001" customHeight="1" x14ac:dyDescent="0.3"/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36:K136"/>
    <mergeCell ref="L136:T136"/>
    <mergeCell ref="Y136:Y137"/>
    <mergeCell ref="A168:A169"/>
    <mergeCell ref="B168:B169"/>
    <mergeCell ref="C168:C169"/>
    <mergeCell ref="D168:D169"/>
    <mergeCell ref="E168:F168"/>
    <mergeCell ref="G168:K168"/>
    <mergeCell ref="L168:T168"/>
    <mergeCell ref="Y168:Y169"/>
    <mergeCell ref="A136:A137"/>
    <mergeCell ref="B136:B137"/>
    <mergeCell ref="C136:C137"/>
    <mergeCell ref="D136:D137"/>
    <mergeCell ref="E136:F136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{65B1C704-92A0-4D32-89CE-833CFDD69F8A}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{91ED2C1E-CADE-47B3-A23F-2159706C21D4}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{9547F1DB-91DA-46D5-B612-694CE30D79DE}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{8A9B14F8-9BD1-4A30-B82F-EC44FFFEFDD4}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{873CEC70-B771-4894-B516-3AD2615D94AE}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{D87967F6-B65E-47C9-B5D6-A3A5BFB8ADD2}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5B1C704-92A0-4D32-89CE-833CFDD69F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91ED2C1E-CADE-47B3-A23F-2159706C21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9547F1DB-91DA-46D5-B612-694CE30D7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8A9B14F8-9BD1-4A30-B82F-EC44FFFEF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73CEC70-B771-4894-B516-3AD2615D94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D87967F6-B65E-47C9-B5D6-A3A5BFB8A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C105" sqref="C105:C128"/>
    </sheetView>
  </sheetViews>
  <sheetFormatPr defaultRowHeight="16.5" x14ac:dyDescent="0.3"/>
  <cols>
    <col min="1" max="1" width="81.625" bestFit="1" customWidth="1"/>
    <col min="2" max="3" width="6.5" bestFit="1" customWidth="1"/>
    <col min="4" max="4" width="7.5" bestFit="1" customWidth="1"/>
    <col min="5" max="9" width="6.5" bestFit="1" customWidth="1"/>
    <col min="10" max="10" width="7.5" bestFit="1" customWidth="1"/>
  </cols>
  <sheetData>
    <row r="2" spans="1:10" x14ac:dyDescent="0.3">
      <c r="A2" t="s">
        <v>165</v>
      </c>
    </row>
    <row r="3" spans="1:10" x14ac:dyDescent="0.3">
      <c r="A3" t="s">
        <v>166</v>
      </c>
    </row>
    <row r="4" spans="1:10" x14ac:dyDescent="0.3">
      <c r="A4" t="s">
        <v>165</v>
      </c>
    </row>
    <row r="6" spans="1:10" x14ac:dyDescent="0.3">
      <c r="A6" t="s">
        <v>164</v>
      </c>
    </row>
    <row r="8" spans="1:10" x14ac:dyDescent="0.3">
      <c r="A8" t="s">
        <v>804</v>
      </c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 x14ac:dyDescent="0.3">
      <c r="A9" t="s">
        <v>684</v>
      </c>
      <c r="B9">
        <v>8.5999999999999993E-2</v>
      </c>
      <c r="C9">
        <v>7.3999999999999996E-2</v>
      </c>
      <c r="D9">
        <v>3.0000000000000001E-3</v>
      </c>
      <c r="E9">
        <v>8.0000000000000002E-3</v>
      </c>
      <c r="F9">
        <v>3.1E-2</v>
      </c>
      <c r="G9">
        <v>6.5000000000000002E-2</v>
      </c>
      <c r="H9">
        <v>0.121</v>
      </c>
      <c r="I9">
        <v>0.24099999999999999</v>
      </c>
      <c r="J9">
        <v>0.28000000000000003</v>
      </c>
    </row>
    <row r="10" spans="1:10" x14ac:dyDescent="0.3">
      <c r="A10" t="s">
        <v>685</v>
      </c>
      <c r="B10">
        <v>6.6000000000000003E-2</v>
      </c>
      <c r="C10">
        <v>7.6999999999999999E-2</v>
      </c>
      <c r="D10">
        <v>1E-3</v>
      </c>
      <c r="E10">
        <v>2E-3</v>
      </c>
      <c r="F10">
        <v>1.4E-2</v>
      </c>
      <c r="G10">
        <v>3.7999999999999999E-2</v>
      </c>
      <c r="H10">
        <v>0.09</v>
      </c>
      <c r="I10">
        <v>0.22700000000000001</v>
      </c>
      <c r="J10">
        <v>0.28699999999999998</v>
      </c>
    </row>
    <row r="11" spans="1:10" x14ac:dyDescent="0.3">
      <c r="A11" t="s">
        <v>686</v>
      </c>
      <c r="B11">
        <v>7.4999999999999997E-2</v>
      </c>
      <c r="C11">
        <v>8.5000000000000006E-2</v>
      </c>
      <c r="D11">
        <v>1E-3</v>
      </c>
      <c r="E11">
        <v>3.0000000000000001E-3</v>
      </c>
      <c r="F11">
        <v>1.4999999999999999E-2</v>
      </c>
      <c r="G11">
        <v>4.3999999999999997E-2</v>
      </c>
      <c r="H11">
        <v>0.10299999999999999</v>
      </c>
      <c r="I11">
        <v>0.253</v>
      </c>
      <c r="J11">
        <v>0.32200000000000001</v>
      </c>
    </row>
    <row r="12" spans="1:10" x14ac:dyDescent="0.3">
      <c r="A12" t="s">
        <v>687</v>
      </c>
      <c r="B12">
        <v>7.2999999999999995E-2</v>
      </c>
      <c r="C12">
        <v>8.2000000000000003E-2</v>
      </c>
      <c r="D12">
        <v>1E-3</v>
      </c>
      <c r="E12">
        <v>3.0000000000000001E-3</v>
      </c>
      <c r="F12">
        <v>1.6E-2</v>
      </c>
      <c r="G12">
        <v>4.4999999999999998E-2</v>
      </c>
      <c r="H12">
        <v>0.10199999999999999</v>
      </c>
      <c r="I12">
        <v>0.251</v>
      </c>
      <c r="J12">
        <v>0.29499999999999998</v>
      </c>
    </row>
    <row r="13" spans="1:10" x14ac:dyDescent="0.3">
      <c r="A13" t="s">
        <v>688</v>
      </c>
      <c r="B13">
        <v>0.126</v>
      </c>
      <c r="C13">
        <v>0.14899999999999999</v>
      </c>
      <c r="D13">
        <v>1E-3</v>
      </c>
      <c r="E13">
        <v>2E-3</v>
      </c>
      <c r="F13">
        <v>1.9E-2</v>
      </c>
      <c r="G13">
        <v>6.2E-2</v>
      </c>
      <c r="H13">
        <v>0.18</v>
      </c>
      <c r="I13">
        <v>0.45500000000000002</v>
      </c>
      <c r="J13">
        <v>0.53600000000000003</v>
      </c>
    </row>
    <row r="14" spans="1:10" x14ac:dyDescent="0.3">
      <c r="A14" t="s">
        <v>689</v>
      </c>
      <c r="B14">
        <v>0.11799999999999999</v>
      </c>
      <c r="C14">
        <v>0.13500000000000001</v>
      </c>
      <c r="D14">
        <v>1E-3</v>
      </c>
      <c r="E14">
        <v>3.0000000000000001E-3</v>
      </c>
      <c r="F14">
        <v>1.9E-2</v>
      </c>
      <c r="G14">
        <v>6.3E-2</v>
      </c>
      <c r="H14">
        <v>0.17199999999999999</v>
      </c>
      <c r="I14">
        <v>0.41099999999999998</v>
      </c>
      <c r="J14">
        <v>0.47599999999999998</v>
      </c>
    </row>
    <row r="15" spans="1:10" x14ac:dyDescent="0.3">
      <c r="A15" t="s">
        <v>690</v>
      </c>
      <c r="B15">
        <v>9.8000000000000004E-2</v>
      </c>
      <c r="C15">
        <v>0.11</v>
      </c>
      <c r="D15">
        <v>1E-3</v>
      </c>
      <c r="E15">
        <v>3.0000000000000001E-3</v>
      </c>
      <c r="F15">
        <v>1.9E-2</v>
      </c>
      <c r="G15">
        <v>5.6000000000000001E-2</v>
      </c>
      <c r="H15">
        <v>0.13700000000000001</v>
      </c>
      <c r="I15">
        <v>0.33400000000000002</v>
      </c>
      <c r="J15">
        <v>0.41499999999999998</v>
      </c>
    </row>
    <row r="16" spans="1:10" x14ac:dyDescent="0.3">
      <c r="A16" t="s">
        <v>691</v>
      </c>
      <c r="B16">
        <v>0.14799999999999999</v>
      </c>
      <c r="C16">
        <v>0.23400000000000001</v>
      </c>
      <c r="D16">
        <v>1E-3</v>
      </c>
      <c r="E16">
        <v>2E-3</v>
      </c>
      <c r="F16">
        <v>1.0999999999999999E-2</v>
      </c>
      <c r="G16">
        <v>3.5999999999999997E-2</v>
      </c>
      <c r="H16">
        <v>0.14299999999999999</v>
      </c>
      <c r="I16">
        <v>0.74</v>
      </c>
      <c r="J16">
        <v>0.81499999999999995</v>
      </c>
    </row>
    <row r="17" spans="1:10" x14ac:dyDescent="0.3">
      <c r="A17" t="s">
        <v>692</v>
      </c>
      <c r="B17">
        <v>0.06</v>
      </c>
      <c r="C17">
        <v>6.5000000000000002E-2</v>
      </c>
      <c r="D17">
        <v>1E-3</v>
      </c>
      <c r="E17">
        <v>2E-3</v>
      </c>
      <c r="F17">
        <v>1.4999999999999999E-2</v>
      </c>
      <c r="G17">
        <v>3.5999999999999997E-2</v>
      </c>
      <c r="H17">
        <v>8.1000000000000003E-2</v>
      </c>
      <c r="I17">
        <v>0.19800000000000001</v>
      </c>
      <c r="J17">
        <v>0.23699999999999999</v>
      </c>
    </row>
    <row r="18" spans="1:10" x14ac:dyDescent="0.3">
      <c r="A18" t="s">
        <v>693</v>
      </c>
      <c r="B18">
        <v>0.10299999999999999</v>
      </c>
      <c r="C18">
        <v>0.113</v>
      </c>
      <c r="D18">
        <v>1E-3</v>
      </c>
      <c r="E18">
        <v>3.0000000000000001E-3</v>
      </c>
      <c r="F18">
        <v>0.02</v>
      </c>
      <c r="G18">
        <v>6.0999999999999999E-2</v>
      </c>
      <c r="H18">
        <v>0.153</v>
      </c>
      <c r="I18">
        <v>0.35</v>
      </c>
      <c r="J18">
        <v>0.41399999999999998</v>
      </c>
    </row>
    <row r="19" spans="1:10" x14ac:dyDescent="0.3">
      <c r="A19" t="s">
        <v>694</v>
      </c>
      <c r="B19">
        <v>0.10299999999999999</v>
      </c>
      <c r="C19">
        <v>0.113</v>
      </c>
      <c r="D19">
        <v>1E-3</v>
      </c>
      <c r="E19">
        <v>3.0000000000000001E-3</v>
      </c>
      <c r="F19">
        <v>0.02</v>
      </c>
      <c r="G19">
        <v>5.8999999999999997E-2</v>
      </c>
      <c r="H19">
        <v>0.14899999999999999</v>
      </c>
      <c r="I19">
        <v>0.34599999999999997</v>
      </c>
      <c r="J19">
        <v>0.40600000000000003</v>
      </c>
    </row>
    <row r="20" spans="1:10" x14ac:dyDescent="0.3">
      <c r="A20" t="s">
        <v>695</v>
      </c>
      <c r="B20">
        <v>9.7000000000000003E-2</v>
      </c>
      <c r="C20">
        <v>0.108</v>
      </c>
      <c r="D20">
        <v>1E-3</v>
      </c>
      <c r="E20">
        <v>3.0000000000000001E-3</v>
      </c>
      <c r="F20">
        <v>1.7000000000000001E-2</v>
      </c>
      <c r="G20">
        <v>5.6000000000000001E-2</v>
      </c>
      <c r="H20">
        <v>0.14299999999999999</v>
      </c>
      <c r="I20">
        <v>0.33300000000000002</v>
      </c>
      <c r="J20">
        <v>0.38900000000000001</v>
      </c>
    </row>
    <row r="21" spans="1:10" x14ac:dyDescent="0.3">
      <c r="A21" t="s">
        <v>696</v>
      </c>
      <c r="B21">
        <v>8.8999999999999996E-2</v>
      </c>
      <c r="C21">
        <v>0.10100000000000001</v>
      </c>
      <c r="D21">
        <v>1E-3</v>
      </c>
      <c r="E21">
        <v>3.0000000000000001E-3</v>
      </c>
      <c r="F21">
        <v>1.7999999999999999E-2</v>
      </c>
      <c r="G21">
        <v>0.05</v>
      </c>
      <c r="H21">
        <v>0.126</v>
      </c>
      <c r="I21">
        <v>0.30499999999999999</v>
      </c>
      <c r="J21">
        <v>0.36699999999999999</v>
      </c>
    </row>
    <row r="22" spans="1:10" x14ac:dyDescent="0.3">
      <c r="A22" t="s">
        <v>697</v>
      </c>
      <c r="B22">
        <v>8.8999999999999996E-2</v>
      </c>
      <c r="C22">
        <v>9.9000000000000005E-2</v>
      </c>
      <c r="D22">
        <v>1E-3</v>
      </c>
      <c r="E22">
        <v>3.0000000000000001E-3</v>
      </c>
      <c r="F22">
        <v>1.9E-2</v>
      </c>
      <c r="G22">
        <v>5.2999999999999999E-2</v>
      </c>
      <c r="H22">
        <v>0.124</v>
      </c>
      <c r="I22">
        <v>0.30099999999999999</v>
      </c>
      <c r="J22">
        <v>0.36599999999999999</v>
      </c>
    </row>
    <row r="23" spans="1:10" x14ac:dyDescent="0.3">
      <c r="A23" t="s">
        <v>698</v>
      </c>
      <c r="B23">
        <v>8.1000000000000003E-2</v>
      </c>
      <c r="C23">
        <v>8.7999999999999995E-2</v>
      </c>
      <c r="D23">
        <v>1E-3</v>
      </c>
      <c r="E23">
        <v>3.0000000000000001E-3</v>
      </c>
      <c r="F23">
        <v>1.7000000000000001E-2</v>
      </c>
      <c r="G23">
        <v>0.05</v>
      </c>
      <c r="H23">
        <v>0.115</v>
      </c>
      <c r="I23">
        <v>0.27300000000000002</v>
      </c>
      <c r="J23">
        <v>0.32200000000000001</v>
      </c>
    </row>
    <row r="24" spans="1:10" x14ac:dyDescent="0.3">
      <c r="A24" t="s">
        <v>699</v>
      </c>
      <c r="B24">
        <v>9.9000000000000005E-2</v>
      </c>
      <c r="C24">
        <v>0.114</v>
      </c>
      <c r="D24">
        <v>1E-3</v>
      </c>
      <c r="E24">
        <v>3.0000000000000001E-3</v>
      </c>
      <c r="F24">
        <v>1.7999999999999999E-2</v>
      </c>
      <c r="G24">
        <v>5.5E-2</v>
      </c>
      <c r="H24">
        <v>0.14199999999999999</v>
      </c>
      <c r="I24">
        <v>0.35</v>
      </c>
      <c r="J24">
        <v>0.42899999999999999</v>
      </c>
    </row>
    <row r="25" spans="1:10" x14ac:dyDescent="0.3">
      <c r="A25" t="s">
        <v>700</v>
      </c>
      <c r="B25">
        <v>7.5999999999999998E-2</v>
      </c>
      <c r="C25">
        <v>8.1000000000000003E-2</v>
      </c>
      <c r="D25">
        <v>1E-3</v>
      </c>
      <c r="E25">
        <v>3.0000000000000001E-3</v>
      </c>
      <c r="F25">
        <v>1.7000000000000001E-2</v>
      </c>
      <c r="G25">
        <v>4.5999999999999999E-2</v>
      </c>
      <c r="H25">
        <v>0.11</v>
      </c>
      <c r="I25">
        <v>0.245</v>
      </c>
      <c r="J25">
        <v>0.29099999999999998</v>
      </c>
    </row>
    <row r="26" spans="1:10" x14ac:dyDescent="0.3">
      <c r="A26" t="s">
        <v>701</v>
      </c>
      <c r="B26">
        <v>7.1999999999999995E-2</v>
      </c>
      <c r="C26">
        <v>7.6999999999999999E-2</v>
      </c>
      <c r="D26">
        <v>1E-3</v>
      </c>
      <c r="E26">
        <v>3.0000000000000001E-3</v>
      </c>
      <c r="F26">
        <v>1.7000000000000001E-2</v>
      </c>
      <c r="G26">
        <v>4.3999999999999997E-2</v>
      </c>
      <c r="H26">
        <v>0.10199999999999999</v>
      </c>
      <c r="I26">
        <v>0.23</v>
      </c>
      <c r="J26">
        <v>0.27200000000000002</v>
      </c>
    </row>
    <row r="27" spans="1:10" x14ac:dyDescent="0.3">
      <c r="A27" t="s">
        <v>702</v>
      </c>
      <c r="B27">
        <v>7.0000000000000007E-2</v>
      </c>
      <c r="C27">
        <v>7.2999999999999995E-2</v>
      </c>
      <c r="D27">
        <v>1E-3</v>
      </c>
      <c r="E27">
        <v>3.0000000000000001E-3</v>
      </c>
      <c r="F27">
        <v>1.6E-2</v>
      </c>
      <c r="G27">
        <v>4.5999999999999999E-2</v>
      </c>
      <c r="H27">
        <v>9.8000000000000004E-2</v>
      </c>
      <c r="I27">
        <v>0.217</v>
      </c>
      <c r="J27">
        <v>0.26800000000000002</v>
      </c>
    </row>
    <row r="28" spans="1:10" x14ac:dyDescent="0.3">
      <c r="A28" t="s">
        <v>703</v>
      </c>
      <c r="B28">
        <v>8.5999999999999993E-2</v>
      </c>
      <c r="C28">
        <v>9.1999999999999998E-2</v>
      </c>
      <c r="D28">
        <v>1E-3</v>
      </c>
      <c r="E28">
        <v>3.0000000000000001E-3</v>
      </c>
      <c r="F28">
        <v>0.02</v>
      </c>
      <c r="G28">
        <v>5.0999999999999997E-2</v>
      </c>
      <c r="H28">
        <v>0.122</v>
      </c>
      <c r="I28">
        <v>0.28399999999999997</v>
      </c>
      <c r="J28">
        <v>0.33300000000000002</v>
      </c>
    </row>
    <row r="29" spans="1:10" x14ac:dyDescent="0.3">
      <c r="A29" t="s">
        <v>704</v>
      </c>
      <c r="B29">
        <v>0.124</v>
      </c>
      <c r="C29">
        <v>0.155</v>
      </c>
      <c r="D29">
        <v>1E-3</v>
      </c>
      <c r="E29">
        <v>2E-3</v>
      </c>
      <c r="F29">
        <v>1.7000000000000001E-2</v>
      </c>
      <c r="G29">
        <v>5.8999999999999997E-2</v>
      </c>
      <c r="H29">
        <v>0.16900000000000001</v>
      </c>
      <c r="I29">
        <v>0.48199999999999998</v>
      </c>
      <c r="J29">
        <v>0.56999999999999995</v>
      </c>
    </row>
    <row r="30" spans="1:10" x14ac:dyDescent="0.3">
      <c r="A30" t="s">
        <v>705</v>
      </c>
      <c r="B30">
        <v>0.1</v>
      </c>
      <c r="C30">
        <v>0.115</v>
      </c>
      <c r="D30">
        <v>1E-3</v>
      </c>
      <c r="E30">
        <v>3.0000000000000001E-3</v>
      </c>
      <c r="F30">
        <v>1.7000000000000001E-2</v>
      </c>
      <c r="G30">
        <v>5.5E-2</v>
      </c>
      <c r="H30">
        <v>0.13500000000000001</v>
      </c>
      <c r="I30">
        <v>0.35299999999999998</v>
      </c>
      <c r="J30">
        <v>0.43</v>
      </c>
    </row>
    <row r="31" spans="1:10" x14ac:dyDescent="0.3">
      <c r="A31" t="s">
        <v>706</v>
      </c>
      <c r="B31">
        <v>9.9000000000000005E-2</v>
      </c>
      <c r="C31">
        <v>0.114</v>
      </c>
      <c r="D31">
        <v>1E-3</v>
      </c>
      <c r="E31">
        <v>3.0000000000000001E-3</v>
      </c>
      <c r="F31">
        <v>1.7999999999999999E-2</v>
      </c>
      <c r="G31">
        <v>5.5E-2</v>
      </c>
      <c r="H31">
        <v>0.13800000000000001</v>
      </c>
      <c r="I31">
        <v>0.34599999999999997</v>
      </c>
      <c r="J31">
        <v>0.41699999999999998</v>
      </c>
    </row>
    <row r="32" spans="1:10" x14ac:dyDescent="0.3">
      <c r="A32" t="s">
        <v>707</v>
      </c>
      <c r="B32">
        <v>9.6000000000000002E-2</v>
      </c>
      <c r="C32">
        <v>0.109</v>
      </c>
      <c r="D32">
        <v>1E-3</v>
      </c>
      <c r="E32">
        <v>3.0000000000000001E-3</v>
      </c>
      <c r="F32">
        <v>1.7999999999999999E-2</v>
      </c>
      <c r="G32">
        <v>5.5E-2</v>
      </c>
      <c r="H32">
        <v>0.13400000000000001</v>
      </c>
      <c r="I32">
        <v>0.33600000000000002</v>
      </c>
      <c r="J32">
        <v>0.39200000000000002</v>
      </c>
    </row>
    <row r="33" spans="1:10" x14ac:dyDescent="0.3">
      <c r="A33" t="s">
        <v>708</v>
      </c>
      <c r="B33">
        <v>0.11</v>
      </c>
      <c r="C33">
        <v>6.4000000000000001E-2</v>
      </c>
      <c r="D33">
        <v>1.4E-2</v>
      </c>
      <c r="E33">
        <v>2.1999999999999999E-2</v>
      </c>
      <c r="F33">
        <v>6.3E-2</v>
      </c>
      <c r="G33">
        <v>0.10100000000000001</v>
      </c>
      <c r="H33">
        <v>0.14799999999999999</v>
      </c>
      <c r="I33">
        <v>0.22700000000000001</v>
      </c>
      <c r="J33">
        <v>0.25700000000000001</v>
      </c>
    </row>
    <row r="34" spans="1:10" x14ac:dyDescent="0.3">
      <c r="A34" t="s">
        <v>709</v>
      </c>
      <c r="B34">
        <v>0.129</v>
      </c>
      <c r="C34">
        <v>0.13900000000000001</v>
      </c>
      <c r="D34">
        <v>4.0000000000000001E-3</v>
      </c>
      <c r="E34">
        <v>6.0000000000000001E-3</v>
      </c>
      <c r="F34">
        <v>2.8000000000000001E-2</v>
      </c>
      <c r="G34">
        <v>7.6999999999999999E-2</v>
      </c>
      <c r="H34">
        <v>0.183</v>
      </c>
      <c r="I34">
        <v>0.42099999999999999</v>
      </c>
      <c r="J34">
        <v>0.505</v>
      </c>
    </row>
    <row r="35" spans="1:10" x14ac:dyDescent="0.3">
      <c r="A35" t="s">
        <v>710</v>
      </c>
      <c r="B35">
        <v>0.125</v>
      </c>
      <c r="C35">
        <v>0.127</v>
      </c>
      <c r="D35">
        <v>4.0000000000000001E-3</v>
      </c>
      <c r="E35">
        <v>6.0000000000000001E-3</v>
      </c>
      <c r="F35">
        <v>0.03</v>
      </c>
      <c r="G35">
        <v>8.1000000000000003E-2</v>
      </c>
      <c r="H35">
        <v>0.17899999999999999</v>
      </c>
      <c r="I35">
        <v>0.38800000000000001</v>
      </c>
      <c r="J35">
        <v>0.46200000000000002</v>
      </c>
    </row>
    <row r="36" spans="1:10" x14ac:dyDescent="0.3">
      <c r="A36" t="s">
        <v>711</v>
      </c>
      <c r="B36">
        <v>0.13900000000000001</v>
      </c>
      <c r="C36">
        <v>0.13400000000000001</v>
      </c>
      <c r="D36">
        <v>3.0000000000000001E-3</v>
      </c>
      <c r="E36">
        <v>7.0000000000000001E-3</v>
      </c>
      <c r="F36">
        <v>3.5999999999999997E-2</v>
      </c>
      <c r="G36">
        <v>9.5000000000000001E-2</v>
      </c>
      <c r="H36">
        <v>0.20799999999999999</v>
      </c>
      <c r="I36">
        <v>0.40600000000000003</v>
      </c>
      <c r="J36">
        <v>0.48799999999999999</v>
      </c>
    </row>
    <row r="37" spans="1:10" x14ac:dyDescent="0.3">
      <c r="A37" t="s">
        <v>712</v>
      </c>
      <c r="B37">
        <v>8.5000000000000006E-2</v>
      </c>
      <c r="C37">
        <v>7.6999999999999999E-2</v>
      </c>
      <c r="D37">
        <v>5.0000000000000001E-3</v>
      </c>
      <c r="E37">
        <v>8.0000000000000002E-3</v>
      </c>
      <c r="F37">
        <v>2.8000000000000001E-2</v>
      </c>
      <c r="G37">
        <v>6.3E-2</v>
      </c>
      <c r="H37">
        <v>0.122</v>
      </c>
      <c r="I37">
        <v>0.23799999999999999</v>
      </c>
      <c r="J37">
        <v>0.28199999999999997</v>
      </c>
    </row>
    <row r="38" spans="1:10" x14ac:dyDescent="0.3">
      <c r="A38" t="s">
        <v>713</v>
      </c>
      <c r="B38">
        <v>0.10199999999999999</v>
      </c>
      <c r="C38">
        <v>0.09</v>
      </c>
      <c r="D38">
        <v>5.0000000000000001E-3</v>
      </c>
      <c r="E38">
        <v>8.0000000000000002E-3</v>
      </c>
      <c r="F38">
        <v>3.3000000000000002E-2</v>
      </c>
      <c r="G38">
        <v>7.3999999999999996E-2</v>
      </c>
      <c r="H38">
        <v>0.14599999999999999</v>
      </c>
      <c r="I38">
        <v>0.28199999999999997</v>
      </c>
      <c r="J38">
        <v>0.32900000000000001</v>
      </c>
    </row>
    <row r="39" spans="1:10" x14ac:dyDescent="0.3">
      <c r="A39" t="s">
        <v>714</v>
      </c>
      <c r="B39">
        <v>0.11700000000000001</v>
      </c>
      <c r="C39">
        <v>0.106</v>
      </c>
      <c r="D39">
        <v>5.0000000000000001E-3</v>
      </c>
      <c r="E39">
        <v>8.0000000000000002E-3</v>
      </c>
      <c r="F39">
        <v>3.5000000000000003E-2</v>
      </c>
      <c r="G39">
        <v>8.5000000000000006E-2</v>
      </c>
      <c r="H39">
        <v>0.16800000000000001</v>
      </c>
      <c r="I39">
        <v>0.33100000000000002</v>
      </c>
      <c r="J39">
        <v>0.38900000000000001</v>
      </c>
    </row>
    <row r="40" spans="1:10" x14ac:dyDescent="0.3">
      <c r="A40" t="s">
        <v>715</v>
      </c>
      <c r="B40">
        <v>4.3999999999999997E-2</v>
      </c>
      <c r="C40">
        <v>4.2999999999999997E-2</v>
      </c>
      <c r="D40">
        <v>3.0000000000000001E-3</v>
      </c>
      <c r="E40">
        <v>4.0000000000000001E-3</v>
      </c>
      <c r="F40">
        <v>1.4999999999999999E-2</v>
      </c>
      <c r="G40">
        <v>3.2000000000000001E-2</v>
      </c>
      <c r="H40">
        <v>6.0999999999999999E-2</v>
      </c>
      <c r="I40">
        <v>0.125</v>
      </c>
      <c r="J40">
        <v>0.157</v>
      </c>
    </row>
    <row r="41" spans="1:10" x14ac:dyDescent="0.3">
      <c r="A41" t="s">
        <v>716</v>
      </c>
      <c r="B41">
        <v>0.17</v>
      </c>
      <c r="C41">
        <v>0.16600000000000001</v>
      </c>
      <c r="D41">
        <v>3.0000000000000001E-3</v>
      </c>
      <c r="E41">
        <v>6.0000000000000001E-3</v>
      </c>
      <c r="F41">
        <v>3.7999999999999999E-2</v>
      </c>
      <c r="G41">
        <v>0.113</v>
      </c>
      <c r="H41">
        <v>0.26200000000000001</v>
      </c>
      <c r="I41">
        <v>0.51300000000000001</v>
      </c>
      <c r="J41">
        <v>0.58499999999999996</v>
      </c>
    </row>
    <row r="42" spans="1:10" x14ac:dyDescent="0.3">
      <c r="A42" t="s">
        <v>717</v>
      </c>
      <c r="B42">
        <v>0.127</v>
      </c>
      <c r="C42">
        <v>0.113</v>
      </c>
      <c r="D42">
        <v>5.0000000000000001E-3</v>
      </c>
      <c r="E42">
        <v>8.0000000000000002E-3</v>
      </c>
      <c r="F42">
        <v>0.04</v>
      </c>
      <c r="G42">
        <v>9.4E-2</v>
      </c>
      <c r="H42">
        <v>0.188</v>
      </c>
      <c r="I42">
        <v>0.35</v>
      </c>
      <c r="J42">
        <v>0.41299999999999998</v>
      </c>
    </row>
    <row r="43" spans="1:10" x14ac:dyDescent="0.3">
      <c r="A43" t="s">
        <v>718</v>
      </c>
      <c r="B43">
        <v>0.12</v>
      </c>
      <c r="C43">
        <v>0.106</v>
      </c>
      <c r="D43">
        <v>5.0000000000000001E-3</v>
      </c>
      <c r="E43">
        <v>8.0000000000000002E-3</v>
      </c>
      <c r="F43">
        <v>3.6999999999999998E-2</v>
      </c>
      <c r="G43">
        <v>0.09</v>
      </c>
      <c r="H43">
        <v>0.17799999999999999</v>
      </c>
      <c r="I43">
        <v>0.32800000000000001</v>
      </c>
      <c r="J43">
        <v>0.376</v>
      </c>
    </row>
    <row r="44" spans="1:10" x14ac:dyDescent="0.3">
      <c r="A44" t="s">
        <v>719</v>
      </c>
      <c r="B44">
        <v>0.124</v>
      </c>
      <c r="C44">
        <v>0.111</v>
      </c>
      <c r="D44">
        <v>5.0000000000000001E-3</v>
      </c>
      <c r="E44">
        <v>8.0000000000000002E-3</v>
      </c>
      <c r="F44">
        <v>3.6999999999999998E-2</v>
      </c>
      <c r="G44">
        <v>0.09</v>
      </c>
      <c r="H44">
        <v>0.182</v>
      </c>
      <c r="I44">
        <v>0.34399999999999997</v>
      </c>
      <c r="J44">
        <v>0.41</v>
      </c>
    </row>
    <row r="45" spans="1:10" x14ac:dyDescent="0.3">
      <c r="A45" t="s">
        <v>720</v>
      </c>
      <c r="B45">
        <v>0.124</v>
      </c>
      <c r="C45">
        <v>0.11600000000000001</v>
      </c>
      <c r="D45">
        <v>4.0000000000000001E-3</v>
      </c>
      <c r="E45">
        <v>8.0000000000000002E-3</v>
      </c>
      <c r="F45">
        <v>3.5000000000000003E-2</v>
      </c>
      <c r="G45">
        <v>8.7999999999999995E-2</v>
      </c>
      <c r="H45">
        <v>0.17799999999999999</v>
      </c>
      <c r="I45">
        <v>0.35599999999999998</v>
      </c>
      <c r="J45">
        <v>0.41699999999999998</v>
      </c>
    </row>
    <row r="46" spans="1:10" x14ac:dyDescent="0.3">
      <c r="A46" t="s">
        <v>721</v>
      </c>
      <c r="B46">
        <v>0.123</v>
      </c>
      <c r="C46">
        <v>0.115</v>
      </c>
      <c r="D46">
        <v>4.0000000000000001E-3</v>
      </c>
      <c r="E46">
        <v>8.0000000000000002E-3</v>
      </c>
      <c r="F46">
        <v>3.4000000000000002E-2</v>
      </c>
      <c r="G46">
        <v>8.6999999999999994E-2</v>
      </c>
      <c r="H46">
        <v>0.17899999999999999</v>
      </c>
      <c r="I46">
        <v>0.35199999999999998</v>
      </c>
      <c r="J46">
        <v>0.41399999999999998</v>
      </c>
    </row>
    <row r="47" spans="1:10" x14ac:dyDescent="0.3">
      <c r="A47" t="s">
        <v>722</v>
      </c>
      <c r="B47">
        <v>0.14799999999999999</v>
      </c>
      <c r="C47">
        <v>0.13100000000000001</v>
      </c>
      <c r="D47">
        <v>4.0000000000000001E-3</v>
      </c>
      <c r="E47">
        <v>7.0000000000000001E-3</v>
      </c>
      <c r="F47">
        <v>4.1000000000000002E-2</v>
      </c>
      <c r="G47">
        <v>0.112</v>
      </c>
      <c r="H47">
        <v>0.221</v>
      </c>
      <c r="I47">
        <v>0.40699999999999997</v>
      </c>
      <c r="J47">
        <v>0.48</v>
      </c>
    </row>
    <row r="48" spans="1:10" x14ac:dyDescent="0.3">
      <c r="A48" t="s">
        <v>723</v>
      </c>
      <c r="B48">
        <v>0.111</v>
      </c>
      <c r="C48">
        <v>0.10299999999999999</v>
      </c>
      <c r="D48">
        <v>5.0000000000000001E-3</v>
      </c>
      <c r="E48">
        <v>8.0000000000000002E-3</v>
      </c>
      <c r="F48">
        <v>3.3000000000000002E-2</v>
      </c>
      <c r="G48">
        <v>0.08</v>
      </c>
      <c r="H48">
        <v>0.16</v>
      </c>
      <c r="I48">
        <v>0.316</v>
      </c>
      <c r="J48">
        <v>0.373</v>
      </c>
    </row>
    <row r="49" spans="1:10" x14ac:dyDescent="0.3">
      <c r="A49" t="s">
        <v>724</v>
      </c>
      <c r="B49">
        <v>0.16700000000000001</v>
      </c>
      <c r="C49">
        <v>0.14799999999999999</v>
      </c>
      <c r="D49">
        <v>4.0000000000000001E-3</v>
      </c>
      <c r="E49">
        <v>7.0000000000000001E-3</v>
      </c>
      <c r="F49">
        <v>4.2000000000000003E-2</v>
      </c>
      <c r="G49">
        <v>0.129</v>
      </c>
      <c r="H49">
        <v>0.26</v>
      </c>
      <c r="I49">
        <v>0.46400000000000002</v>
      </c>
      <c r="J49">
        <v>0.52200000000000002</v>
      </c>
    </row>
    <row r="50" spans="1:10" x14ac:dyDescent="0.3">
      <c r="A50" t="s">
        <v>725</v>
      </c>
      <c r="B50">
        <v>0.16900000000000001</v>
      </c>
      <c r="C50">
        <v>0.154</v>
      </c>
      <c r="D50">
        <v>4.0000000000000001E-3</v>
      </c>
      <c r="E50">
        <v>7.0000000000000001E-3</v>
      </c>
      <c r="F50">
        <v>4.1000000000000002E-2</v>
      </c>
      <c r="G50">
        <v>0.123</v>
      </c>
      <c r="H50">
        <v>0.26100000000000001</v>
      </c>
      <c r="I50">
        <v>0.47099999999999997</v>
      </c>
      <c r="J50">
        <v>0.53600000000000003</v>
      </c>
    </row>
    <row r="51" spans="1:10" x14ac:dyDescent="0.3">
      <c r="A51" t="s">
        <v>726</v>
      </c>
      <c r="B51">
        <v>0.183</v>
      </c>
      <c r="C51">
        <v>0.16600000000000001</v>
      </c>
      <c r="D51">
        <v>4.0000000000000001E-3</v>
      </c>
      <c r="E51">
        <v>8.0000000000000002E-3</v>
      </c>
      <c r="F51">
        <v>4.2000000000000003E-2</v>
      </c>
      <c r="G51">
        <v>0.13300000000000001</v>
      </c>
      <c r="H51">
        <v>0.3</v>
      </c>
      <c r="I51">
        <v>0.502</v>
      </c>
      <c r="J51">
        <v>0.57199999999999995</v>
      </c>
    </row>
    <row r="52" spans="1:10" x14ac:dyDescent="0.3">
      <c r="A52" t="s">
        <v>727</v>
      </c>
      <c r="B52">
        <v>0.153</v>
      </c>
      <c r="C52">
        <v>0.13700000000000001</v>
      </c>
      <c r="D52">
        <v>5.0000000000000001E-3</v>
      </c>
      <c r="E52">
        <v>8.0000000000000002E-3</v>
      </c>
      <c r="F52">
        <v>4.2000000000000003E-2</v>
      </c>
      <c r="G52">
        <v>0.113</v>
      </c>
      <c r="H52">
        <v>0.23400000000000001</v>
      </c>
      <c r="I52">
        <v>0.42399999999999999</v>
      </c>
      <c r="J52">
        <v>0.48099999999999998</v>
      </c>
    </row>
    <row r="53" spans="1:10" x14ac:dyDescent="0.3">
      <c r="A53" t="s">
        <v>728</v>
      </c>
      <c r="B53">
        <v>7.4999999999999997E-2</v>
      </c>
      <c r="C53">
        <v>7.0000000000000007E-2</v>
      </c>
      <c r="D53">
        <v>4.0000000000000001E-3</v>
      </c>
      <c r="E53">
        <v>6.0000000000000001E-3</v>
      </c>
      <c r="F53">
        <v>2.5000000000000001E-2</v>
      </c>
      <c r="G53">
        <v>5.3999999999999999E-2</v>
      </c>
      <c r="H53">
        <v>0.105</v>
      </c>
      <c r="I53">
        <v>0.20899999999999999</v>
      </c>
      <c r="J53">
        <v>0.25700000000000001</v>
      </c>
    </row>
    <row r="54" spans="1:10" x14ac:dyDescent="0.3">
      <c r="A54" t="s">
        <v>729</v>
      </c>
      <c r="B54">
        <v>0.10299999999999999</v>
      </c>
      <c r="C54">
        <v>9.8000000000000004E-2</v>
      </c>
      <c r="D54">
        <v>4.0000000000000001E-3</v>
      </c>
      <c r="E54">
        <v>7.0000000000000001E-3</v>
      </c>
      <c r="F54">
        <v>3.1E-2</v>
      </c>
      <c r="G54">
        <v>7.1999999999999995E-2</v>
      </c>
      <c r="H54">
        <v>0.14599999999999999</v>
      </c>
      <c r="I54">
        <v>0.3</v>
      </c>
      <c r="J54">
        <v>0.36199999999999999</v>
      </c>
    </row>
    <row r="55" spans="1:10" x14ac:dyDescent="0.3">
      <c r="A55" t="s">
        <v>730</v>
      </c>
      <c r="B55">
        <v>0.113</v>
      </c>
      <c r="C55">
        <v>0.10299999999999999</v>
      </c>
      <c r="D55">
        <v>4.0000000000000001E-3</v>
      </c>
      <c r="E55">
        <v>7.0000000000000001E-3</v>
      </c>
      <c r="F55">
        <v>3.5999999999999997E-2</v>
      </c>
      <c r="G55">
        <v>8.1000000000000003E-2</v>
      </c>
      <c r="H55">
        <v>0.16700000000000001</v>
      </c>
      <c r="I55">
        <v>0.31</v>
      </c>
      <c r="J55">
        <v>0.371</v>
      </c>
    </row>
    <row r="56" spans="1:10" x14ac:dyDescent="0.3">
      <c r="A56" t="s">
        <v>731</v>
      </c>
      <c r="B56">
        <v>0.11600000000000001</v>
      </c>
      <c r="C56">
        <v>0.106</v>
      </c>
      <c r="D56">
        <v>5.0000000000000001E-3</v>
      </c>
      <c r="E56">
        <v>8.0000000000000002E-3</v>
      </c>
      <c r="F56">
        <v>3.5999999999999997E-2</v>
      </c>
      <c r="G56">
        <v>8.4000000000000005E-2</v>
      </c>
      <c r="H56">
        <v>0.16500000000000001</v>
      </c>
      <c r="I56">
        <v>0.32</v>
      </c>
      <c r="J56">
        <v>0.38200000000000001</v>
      </c>
    </row>
    <row r="57" spans="1:10" x14ac:dyDescent="0.3">
      <c r="A57" t="s">
        <v>732</v>
      </c>
      <c r="B57">
        <v>0.01</v>
      </c>
      <c r="C57">
        <v>1.2E-2</v>
      </c>
      <c r="D57">
        <v>0</v>
      </c>
      <c r="E57">
        <v>0</v>
      </c>
      <c r="F57">
        <v>3.0000000000000001E-3</v>
      </c>
      <c r="G57">
        <v>7.0000000000000001E-3</v>
      </c>
      <c r="H57">
        <v>1.4E-2</v>
      </c>
      <c r="I57">
        <v>0.03</v>
      </c>
      <c r="J57">
        <v>0.04</v>
      </c>
    </row>
    <row r="58" spans="1:10" x14ac:dyDescent="0.3">
      <c r="A58" t="s">
        <v>733</v>
      </c>
      <c r="B58">
        <v>8.9999999999999993E-3</v>
      </c>
      <c r="C58">
        <v>1.4E-2</v>
      </c>
      <c r="D58">
        <v>0</v>
      </c>
      <c r="E58">
        <v>0</v>
      </c>
      <c r="F58">
        <v>1E-3</v>
      </c>
      <c r="G58">
        <v>4.0000000000000001E-3</v>
      </c>
      <c r="H58">
        <v>1.0999999999999999E-2</v>
      </c>
      <c r="I58">
        <v>3.4000000000000002E-2</v>
      </c>
      <c r="J58">
        <v>4.2999999999999997E-2</v>
      </c>
    </row>
    <row r="59" spans="1:10" x14ac:dyDescent="0.3">
      <c r="A59" t="s">
        <v>734</v>
      </c>
      <c r="B59">
        <v>0.01</v>
      </c>
      <c r="C59">
        <v>1.7000000000000001E-2</v>
      </c>
      <c r="D59">
        <v>0</v>
      </c>
      <c r="E59">
        <v>0</v>
      </c>
      <c r="F59">
        <v>1E-3</v>
      </c>
      <c r="G59">
        <v>4.0000000000000001E-3</v>
      </c>
      <c r="H59">
        <v>1.2E-2</v>
      </c>
      <c r="I59">
        <v>3.6999999999999998E-2</v>
      </c>
      <c r="J59">
        <v>5.2999999999999999E-2</v>
      </c>
    </row>
    <row r="60" spans="1:10" x14ac:dyDescent="0.3">
      <c r="A60" t="s">
        <v>735</v>
      </c>
      <c r="B60">
        <v>1.0999999999999999E-2</v>
      </c>
      <c r="C60">
        <v>1.7000000000000001E-2</v>
      </c>
      <c r="D60">
        <v>0</v>
      </c>
      <c r="E60">
        <v>0</v>
      </c>
      <c r="F60">
        <v>2E-3</v>
      </c>
      <c r="G60">
        <v>5.0000000000000001E-3</v>
      </c>
      <c r="H60">
        <v>1.2999999999999999E-2</v>
      </c>
      <c r="I60">
        <v>4.1000000000000002E-2</v>
      </c>
      <c r="J60">
        <v>5.7000000000000002E-2</v>
      </c>
    </row>
    <row r="61" spans="1:10" x14ac:dyDescent="0.3">
      <c r="A61" t="s">
        <v>736</v>
      </c>
      <c r="B61">
        <v>1.4E-2</v>
      </c>
      <c r="C61">
        <v>2.4E-2</v>
      </c>
      <c r="D61">
        <v>0</v>
      </c>
      <c r="E61">
        <v>0</v>
      </c>
      <c r="F61">
        <v>2E-3</v>
      </c>
      <c r="G61">
        <v>5.0000000000000001E-3</v>
      </c>
      <c r="H61">
        <v>1.4999999999999999E-2</v>
      </c>
      <c r="I61">
        <v>5.8000000000000003E-2</v>
      </c>
      <c r="J61">
        <v>7.9000000000000001E-2</v>
      </c>
    </row>
    <row r="62" spans="1:10" x14ac:dyDescent="0.3">
      <c r="A62" t="s">
        <v>737</v>
      </c>
      <c r="B62">
        <v>1.4999999999999999E-2</v>
      </c>
      <c r="C62">
        <v>2.5999999999999999E-2</v>
      </c>
      <c r="D62">
        <v>0</v>
      </c>
      <c r="E62">
        <v>0</v>
      </c>
      <c r="F62">
        <v>2E-3</v>
      </c>
      <c r="G62">
        <v>6.0000000000000001E-3</v>
      </c>
      <c r="H62">
        <v>1.7000000000000001E-2</v>
      </c>
      <c r="I62">
        <v>6.3E-2</v>
      </c>
      <c r="J62">
        <v>9.4E-2</v>
      </c>
    </row>
    <row r="63" spans="1:10" x14ac:dyDescent="0.3">
      <c r="A63" t="s">
        <v>738</v>
      </c>
      <c r="B63">
        <v>1.2999999999999999E-2</v>
      </c>
      <c r="C63">
        <v>2.1999999999999999E-2</v>
      </c>
      <c r="D63">
        <v>0</v>
      </c>
      <c r="E63">
        <v>0</v>
      </c>
      <c r="F63">
        <v>2E-3</v>
      </c>
      <c r="G63">
        <v>5.0000000000000001E-3</v>
      </c>
      <c r="H63">
        <v>1.4999999999999999E-2</v>
      </c>
      <c r="I63">
        <v>5.0999999999999997E-2</v>
      </c>
      <c r="J63">
        <v>6.8000000000000005E-2</v>
      </c>
    </row>
    <row r="64" spans="1:10" x14ac:dyDescent="0.3">
      <c r="A64" t="s">
        <v>739</v>
      </c>
      <c r="B64">
        <v>8.0000000000000002E-3</v>
      </c>
      <c r="C64">
        <v>2.3E-2</v>
      </c>
      <c r="D64">
        <v>0</v>
      </c>
      <c r="E64">
        <v>0</v>
      </c>
      <c r="F64">
        <v>1E-3</v>
      </c>
      <c r="G64">
        <v>3.0000000000000001E-3</v>
      </c>
      <c r="H64">
        <v>8.0000000000000002E-3</v>
      </c>
      <c r="I64">
        <v>2.9000000000000001E-2</v>
      </c>
      <c r="J64">
        <v>4.2000000000000003E-2</v>
      </c>
    </row>
    <row r="65" spans="1:10" x14ac:dyDescent="0.3">
      <c r="A65" t="s">
        <v>740</v>
      </c>
      <c r="B65">
        <v>0.01</v>
      </c>
      <c r="C65">
        <v>1.7000000000000001E-2</v>
      </c>
      <c r="D65">
        <v>0</v>
      </c>
      <c r="E65">
        <v>0</v>
      </c>
      <c r="F65">
        <v>1E-3</v>
      </c>
      <c r="G65">
        <v>4.0000000000000001E-3</v>
      </c>
      <c r="H65">
        <v>1.2E-2</v>
      </c>
      <c r="I65">
        <v>3.9E-2</v>
      </c>
      <c r="J65">
        <v>5.2999999999999999E-2</v>
      </c>
    </row>
    <row r="66" spans="1:10" x14ac:dyDescent="0.3">
      <c r="A66" t="s">
        <v>741</v>
      </c>
      <c r="B66">
        <v>1.7999999999999999E-2</v>
      </c>
      <c r="C66">
        <v>3.1E-2</v>
      </c>
      <c r="D66">
        <v>0</v>
      </c>
      <c r="E66">
        <v>0</v>
      </c>
      <c r="F66">
        <v>2E-3</v>
      </c>
      <c r="G66">
        <v>6.0000000000000001E-3</v>
      </c>
      <c r="H66">
        <v>0.02</v>
      </c>
      <c r="I66">
        <v>7.9000000000000001E-2</v>
      </c>
      <c r="J66">
        <v>0.105</v>
      </c>
    </row>
    <row r="67" spans="1:10" x14ac:dyDescent="0.3">
      <c r="A67" t="s">
        <v>742</v>
      </c>
      <c r="B67">
        <v>1.4999999999999999E-2</v>
      </c>
      <c r="C67">
        <v>2.5000000000000001E-2</v>
      </c>
      <c r="D67">
        <v>0</v>
      </c>
      <c r="E67">
        <v>0</v>
      </c>
      <c r="F67">
        <v>2E-3</v>
      </c>
      <c r="G67">
        <v>6.0000000000000001E-3</v>
      </c>
      <c r="H67">
        <v>1.7000000000000001E-2</v>
      </c>
      <c r="I67">
        <v>0.06</v>
      </c>
      <c r="J67">
        <v>8.4000000000000005E-2</v>
      </c>
    </row>
    <row r="68" spans="1:10" x14ac:dyDescent="0.3">
      <c r="A68" t="s">
        <v>743</v>
      </c>
      <c r="B68">
        <v>1.4E-2</v>
      </c>
      <c r="C68">
        <v>2.1000000000000001E-2</v>
      </c>
      <c r="D68">
        <v>0</v>
      </c>
      <c r="E68">
        <v>0</v>
      </c>
      <c r="F68">
        <v>2E-3</v>
      </c>
      <c r="G68">
        <v>6.0000000000000001E-3</v>
      </c>
      <c r="H68">
        <v>1.7000000000000001E-2</v>
      </c>
      <c r="I68">
        <v>5.7000000000000002E-2</v>
      </c>
      <c r="J68">
        <v>7.9000000000000001E-2</v>
      </c>
    </row>
    <row r="69" spans="1:10" x14ac:dyDescent="0.3">
      <c r="A69" t="s">
        <v>744</v>
      </c>
      <c r="B69">
        <v>1.2E-2</v>
      </c>
      <c r="C69">
        <v>0.02</v>
      </c>
      <c r="D69">
        <v>0</v>
      </c>
      <c r="E69">
        <v>0</v>
      </c>
      <c r="F69">
        <v>2E-3</v>
      </c>
      <c r="G69">
        <v>5.0000000000000001E-3</v>
      </c>
      <c r="H69">
        <v>1.4999999999999999E-2</v>
      </c>
      <c r="I69">
        <v>4.8000000000000001E-2</v>
      </c>
      <c r="J69">
        <v>6.8000000000000005E-2</v>
      </c>
    </row>
    <row r="70" spans="1:10" x14ac:dyDescent="0.3">
      <c r="A70" t="s">
        <v>745</v>
      </c>
      <c r="B70">
        <v>1.2999999999999999E-2</v>
      </c>
      <c r="C70">
        <v>2.1999999999999999E-2</v>
      </c>
      <c r="D70">
        <v>0</v>
      </c>
      <c r="E70">
        <v>0</v>
      </c>
      <c r="F70">
        <v>2E-3</v>
      </c>
      <c r="G70">
        <v>5.0000000000000001E-3</v>
      </c>
      <c r="H70">
        <v>1.4E-2</v>
      </c>
      <c r="I70">
        <v>5.0999999999999997E-2</v>
      </c>
      <c r="J70">
        <v>7.0999999999999994E-2</v>
      </c>
    </row>
    <row r="71" spans="1:10" x14ac:dyDescent="0.3">
      <c r="A71" t="s">
        <v>746</v>
      </c>
      <c r="B71">
        <v>1.2999999999999999E-2</v>
      </c>
      <c r="C71">
        <v>2.3E-2</v>
      </c>
      <c r="D71">
        <v>0</v>
      </c>
      <c r="E71">
        <v>0</v>
      </c>
      <c r="F71">
        <v>2E-3</v>
      </c>
      <c r="G71">
        <v>5.0000000000000001E-3</v>
      </c>
      <c r="H71">
        <v>1.4999999999999999E-2</v>
      </c>
      <c r="I71">
        <v>5.5E-2</v>
      </c>
      <c r="J71">
        <v>7.4999999999999997E-2</v>
      </c>
    </row>
    <row r="72" spans="1:10" x14ac:dyDescent="0.3">
      <c r="A72" t="s">
        <v>747</v>
      </c>
      <c r="B72">
        <v>1.2999999999999999E-2</v>
      </c>
      <c r="C72">
        <v>2.4E-2</v>
      </c>
      <c r="D72">
        <v>0</v>
      </c>
      <c r="E72">
        <v>0</v>
      </c>
      <c r="F72">
        <v>2E-3</v>
      </c>
      <c r="G72">
        <v>5.0000000000000001E-3</v>
      </c>
      <c r="H72">
        <v>1.4999999999999999E-2</v>
      </c>
      <c r="I72">
        <v>5.0999999999999997E-2</v>
      </c>
      <c r="J72">
        <v>7.1999999999999995E-2</v>
      </c>
    </row>
    <row r="73" spans="1:10" x14ac:dyDescent="0.3">
      <c r="A73" t="s">
        <v>748</v>
      </c>
      <c r="B73">
        <v>1.4E-2</v>
      </c>
      <c r="C73">
        <v>2.3E-2</v>
      </c>
      <c r="D73">
        <v>0</v>
      </c>
      <c r="E73">
        <v>0</v>
      </c>
      <c r="F73">
        <v>2E-3</v>
      </c>
      <c r="G73">
        <v>5.0000000000000001E-3</v>
      </c>
      <c r="H73">
        <v>1.6E-2</v>
      </c>
      <c r="I73">
        <v>5.8999999999999997E-2</v>
      </c>
      <c r="J73">
        <v>8.1000000000000003E-2</v>
      </c>
    </row>
    <row r="74" spans="1:10" x14ac:dyDescent="0.3">
      <c r="A74" t="s">
        <v>749</v>
      </c>
      <c r="B74">
        <v>1.2999999999999999E-2</v>
      </c>
      <c r="C74">
        <v>2.1000000000000001E-2</v>
      </c>
      <c r="D74">
        <v>0</v>
      </c>
      <c r="E74">
        <v>0</v>
      </c>
      <c r="F74">
        <v>2E-3</v>
      </c>
      <c r="G74">
        <v>5.0000000000000001E-3</v>
      </c>
      <c r="H74">
        <v>1.4E-2</v>
      </c>
      <c r="I74">
        <v>5.2999999999999999E-2</v>
      </c>
      <c r="J74">
        <v>7.1999999999999995E-2</v>
      </c>
    </row>
    <row r="75" spans="1:10" x14ac:dyDescent="0.3">
      <c r="A75" t="s">
        <v>750</v>
      </c>
      <c r="B75">
        <v>1.2999999999999999E-2</v>
      </c>
      <c r="C75">
        <v>2.1000000000000001E-2</v>
      </c>
      <c r="D75">
        <v>0</v>
      </c>
      <c r="E75">
        <v>0</v>
      </c>
      <c r="F75">
        <v>2E-3</v>
      </c>
      <c r="G75">
        <v>5.0000000000000001E-3</v>
      </c>
      <c r="H75">
        <v>1.4999999999999999E-2</v>
      </c>
      <c r="I75">
        <v>5.7000000000000002E-2</v>
      </c>
      <c r="J75">
        <v>7.6999999999999999E-2</v>
      </c>
    </row>
    <row r="76" spans="1:10" x14ac:dyDescent="0.3">
      <c r="A76" t="s">
        <v>751</v>
      </c>
      <c r="B76">
        <v>1.4999999999999999E-2</v>
      </c>
      <c r="C76">
        <v>2.5000000000000001E-2</v>
      </c>
      <c r="D76">
        <v>0</v>
      </c>
      <c r="E76">
        <v>0</v>
      </c>
      <c r="F76">
        <v>2E-3</v>
      </c>
      <c r="G76">
        <v>6.0000000000000001E-3</v>
      </c>
      <c r="H76">
        <v>1.7999999999999999E-2</v>
      </c>
      <c r="I76">
        <v>6.3E-2</v>
      </c>
      <c r="J76">
        <v>8.8999999999999996E-2</v>
      </c>
    </row>
    <row r="77" spans="1:10" x14ac:dyDescent="0.3">
      <c r="A77" t="s">
        <v>752</v>
      </c>
      <c r="B77">
        <v>1.2E-2</v>
      </c>
      <c r="C77">
        <v>2.1999999999999999E-2</v>
      </c>
      <c r="D77">
        <v>0</v>
      </c>
      <c r="E77">
        <v>0</v>
      </c>
      <c r="F77">
        <v>2E-3</v>
      </c>
      <c r="G77">
        <v>5.0000000000000001E-3</v>
      </c>
      <c r="H77">
        <v>1.4E-2</v>
      </c>
      <c r="I77">
        <v>0.05</v>
      </c>
      <c r="J77">
        <v>6.8000000000000005E-2</v>
      </c>
    </row>
    <row r="78" spans="1:10" x14ac:dyDescent="0.3">
      <c r="A78" t="s">
        <v>753</v>
      </c>
      <c r="B78">
        <v>1.2E-2</v>
      </c>
      <c r="C78">
        <v>0.02</v>
      </c>
      <c r="D78">
        <v>0</v>
      </c>
      <c r="E78">
        <v>0</v>
      </c>
      <c r="F78">
        <v>2E-3</v>
      </c>
      <c r="G78">
        <v>5.0000000000000001E-3</v>
      </c>
      <c r="H78">
        <v>1.2999999999999999E-2</v>
      </c>
      <c r="I78">
        <v>4.5999999999999999E-2</v>
      </c>
      <c r="J78">
        <v>6.9000000000000006E-2</v>
      </c>
    </row>
    <row r="79" spans="1:10" x14ac:dyDescent="0.3">
      <c r="A79" t="s">
        <v>754</v>
      </c>
      <c r="B79">
        <v>1.2E-2</v>
      </c>
      <c r="C79">
        <v>0.02</v>
      </c>
      <c r="D79">
        <v>0</v>
      </c>
      <c r="E79">
        <v>0</v>
      </c>
      <c r="F79">
        <v>2E-3</v>
      </c>
      <c r="G79">
        <v>5.0000000000000001E-3</v>
      </c>
      <c r="H79">
        <v>1.4E-2</v>
      </c>
      <c r="I79">
        <v>4.4999999999999998E-2</v>
      </c>
      <c r="J79">
        <v>6.8000000000000005E-2</v>
      </c>
    </row>
    <row r="80" spans="1:10" x14ac:dyDescent="0.3">
      <c r="A80" t="s">
        <v>755</v>
      </c>
      <c r="B80">
        <v>1.2E-2</v>
      </c>
      <c r="C80">
        <v>2.3E-2</v>
      </c>
      <c r="D80">
        <v>0</v>
      </c>
      <c r="E80">
        <v>0</v>
      </c>
      <c r="F80">
        <v>2E-3</v>
      </c>
      <c r="G80">
        <v>5.0000000000000001E-3</v>
      </c>
      <c r="H80">
        <v>1.4E-2</v>
      </c>
      <c r="I80">
        <v>0.05</v>
      </c>
      <c r="J80">
        <v>6.9000000000000006E-2</v>
      </c>
    </row>
    <row r="81" spans="1:10" x14ac:dyDescent="0.3">
      <c r="A81" t="s">
        <v>756</v>
      </c>
      <c r="B81">
        <v>0.42799999999999999</v>
      </c>
      <c r="C81">
        <v>0.11899999999999999</v>
      </c>
      <c r="D81">
        <v>0.19900000000000001</v>
      </c>
      <c r="E81">
        <v>0.23300000000000001</v>
      </c>
      <c r="F81">
        <v>0.34399999999999997</v>
      </c>
      <c r="G81">
        <v>0.42899999999999999</v>
      </c>
      <c r="H81">
        <v>0.50800000000000001</v>
      </c>
      <c r="I81">
        <v>0.625</v>
      </c>
      <c r="J81">
        <v>0.66500000000000004</v>
      </c>
    </row>
    <row r="82" spans="1:10" x14ac:dyDescent="0.3">
      <c r="A82" t="s">
        <v>757</v>
      </c>
      <c r="B82">
        <v>0.58399999999999996</v>
      </c>
      <c r="C82">
        <v>0.214</v>
      </c>
      <c r="D82">
        <v>0.10199999999999999</v>
      </c>
      <c r="E82">
        <v>0.16200000000000001</v>
      </c>
      <c r="F82">
        <v>0.45200000000000001</v>
      </c>
      <c r="G82">
        <v>0.61399999999999999</v>
      </c>
      <c r="H82">
        <v>0.747</v>
      </c>
      <c r="I82">
        <v>0.89</v>
      </c>
      <c r="J82">
        <v>0.91700000000000004</v>
      </c>
    </row>
    <row r="83" spans="1:10" x14ac:dyDescent="0.3">
      <c r="A83" t="s">
        <v>758</v>
      </c>
      <c r="B83">
        <v>0.53</v>
      </c>
      <c r="C83">
        <v>0.21299999999999999</v>
      </c>
      <c r="D83">
        <v>8.8999999999999996E-2</v>
      </c>
      <c r="E83">
        <v>0.14599999999999999</v>
      </c>
      <c r="F83">
        <v>0.38600000000000001</v>
      </c>
      <c r="G83">
        <v>0.54800000000000004</v>
      </c>
      <c r="H83">
        <v>0.69199999999999995</v>
      </c>
      <c r="I83">
        <v>0.85599999999999998</v>
      </c>
      <c r="J83">
        <v>0.9</v>
      </c>
    </row>
    <row r="84" spans="1:10" x14ac:dyDescent="0.3">
      <c r="A84" t="s">
        <v>759</v>
      </c>
      <c r="B84">
        <v>0.53</v>
      </c>
      <c r="C84">
        <v>0.21099999999999999</v>
      </c>
      <c r="D84">
        <v>0.09</v>
      </c>
      <c r="E84">
        <v>0.14199999999999999</v>
      </c>
      <c r="F84">
        <v>0.38900000000000001</v>
      </c>
      <c r="G84">
        <v>0.54900000000000004</v>
      </c>
      <c r="H84">
        <v>0.68300000000000005</v>
      </c>
      <c r="I84">
        <v>0.85699999999999998</v>
      </c>
      <c r="J84">
        <v>0.89300000000000002</v>
      </c>
    </row>
    <row r="85" spans="1:10" x14ac:dyDescent="0.3">
      <c r="A85" t="s">
        <v>760</v>
      </c>
      <c r="B85">
        <v>0.28100000000000003</v>
      </c>
      <c r="C85">
        <v>0.16400000000000001</v>
      </c>
      <c r="D85">
        <v>0.04</v>
      </c>
      <c r="E85">
        <v>0.06</v>
      </c>
      <c r="F85">
        <v>0.16</v>
      </c>
      <c r="G85">
        <v>0.255</v>
      </c>
      <c r="H85">
        <v>0.36899999999999999</v>
      </c>
      <c r="I85">
        <v>0.59499999999999997</v>
      </c>
      <c r="J85">
        <v>0.67900000000000005</v>
      </c>
    </row>
    <row r="86" spans="1:10" x14ac:dyDescent="0.3">
      <c r="A86" t="s">
        <v>761</v>
      </c>
      <c r="B86">
        <v>0.317</v>
      </c>
      <c r="C86">
        <v>0.17699999999999999</v>
      </c>
      <c r="D86">
        <v>4.9000000000000002E-2</v>
      </c>
      <c r="E86">
        <v>7.0999999999999994E-2</v>
      </c>
      <c r="F86">
        <v>0.17899999999999999</v>
      </c>
      <c r="G86">
        <v>0.29799999999999999</v>
      </c>
      <c r="H86">
        <v>0.42499999999999999</v>
      </c>
      <c r="I86">
        <v>0.64100000000000001</v>
      </c>
      <c r="J86">
        <v>0.70899999999999996</v>
      </c>
    </row>
    <row r="87" spans="1:10" x14ac:dyDescent="0.3">
      <c r="A87" t="s">
        <v>762</v>
      </c>
      <c r="B87">
        <v>0.39800000000000002</v>
      </c>
      <c r="C87">
        <v>0.19600000000000001</v>
      </c>
      <c r="D87">
        <v>6.5000000000000002E-2</v>
      </c>
      <c r="E87">
        <v>9.2999999999999999E-2</v>
      </c>
      <c r="F87">
        <v>0.251</v>
      </c>
      <c r="G87">
        <v>0.38600000000000001</v>
      </c>
      <c r="H87">
        <v>0.52900000000000003</v>
      </c>
      <c r="I87">
        <v>0.74299999999999999</v>
      </c>
      <c r="J87">
        <v>0.81200000000000006</v>
      </c>
    </row>
    <row r="88" spans="1:10" x14ac:dyDescent="0.3">
      <c r="A88" t="s">
        <v>763</v>
      </c>
      <c r="B88">
        <v>0.158</v>
      </c>
      <c r="C88">
        <v>0.153</v>
      </c>
      <c r="D88">
        <v>1.7000000000000001E-2</v>
      </c>
      <c r="E88">
        <v>2.3E-2</v>
      </c>
      <c r="F88">
        <v>6.4000000000000001E-2</v>
      </c>
      <c r="G88">
        <v>0.114</v>
      </c>
      <c r="H88">
        <v>0.19500000000000001</v>
      </c>
      <c r="I88">
        <v>0.441</v>
      </c>
      <c r="J88">
        <v>0.69</v>
      </c>
    </row>
    <row r="89" spans="1:10" x14ac:dyDescent="0.3">
      <c r="A89" t="s">
        <v>764</v>
      </c>
      <c r="B89">
        <v>0.56299999999999994</v>
      </c>
      <c r="C89">
        <v>0.22800000000000001</v>
      </c>
      <c r="D89">
        <v>8.4000000000000005E-2</v>
      </c>
      <c r="E89">
        <v>0.13100000000000001</v>
      </c>
      <c r="F89">
        <v>0.41099999999999998</v>
      </c>
      <c r="G89">
        <v>0.60199999999999998</v>
      </c>
      <c r="H89">
        <v>0.73699999999999999</v>
      </c>
      <c r="I89">
        <v>0.88300000000000001</v>
      </c>
      <c r="J89">
        <v>0.91700000000000004</v>
      </c>
    </row>
    <row r="90" spans="1:10" x14ac:dyDescent="0.3">
      <c r="A90" t="s">
        <v>765</v>
      </c>
      <c r="B90">
        <v>0.38500000000000001</v>
      </c>
      <c r="C90">
        <v>0.19500000000000001</v>
      </c>
      <c r="D90">
        <v>5.7000000000000002E-2</v>
      </c>
      <c r="E90">
        <v>8.5999999999999993E-2</v>
      </c>
      <c r="F90">
        <v>0.23599999999999999</v>
      </c>
      <c r="G90">
        <v>0.374</v>
      </c>
      <c r="H90">
        <v>0.51900000000000002</v>
      </c>
      <c r="I90">
        <v>0.72599999999999998</v>
      </c>
      <c r="J90">
        <v>0.80200000000000005</v>
      </c>
    </row>
    <row r="91" spans="1:10" x14ac:dyDescent="0.3">
      <c r="A91" t="s">
        <v>766</v>
      </c>
      <c r="B91">
        <v>0.38600000000000001</v>
      </c>
      <c r="C91">
        <v>0.191</v>
      </c>
      <c r="D91">
        <v>6.5000000000000002E-2</v>
      </c>
      <c r="E91">
        <v>9.2999999999999999E-2</v>
      </c>
      <c r="F91">
        <v>0.23499999999999999</v>
      </c>
      <c r="G91">
        <v>0.38300000000000001</v>
      </c>
      <c r="H91">
        <v>0.51900000000000002</v>
      </c>
      <c r="I91">
        <v>0.72599999999999998</v>
      </c>
      <c r="J91">
        <v>0.78900000000000003</v>
      </c>
    </row>
    <row r="92" spans="1:10" x14ac:dyDescent="0.3">
      <c r="A92" t="s">
        <v>767</v>
      </c>
      <c r="B92">
        <v>0.41399999999999998</v>
      </c>
      <c r="C92">
        <v>0.20399999999999999</v>
      </c>
      <c r="D92">
        <v>0.06</v>
      </c>
      <c r="E92">
        <v>8.8999999999999996E-2</v>
      </c>
      <c r="F92">
        <v>0.26300000000000001</v>
      </c>
      <c r="G92">
        <v>0.40500000000000003</v>
      </c>
      <c r="H92">
        <v>0.55700000000000005</v>
      </c>
      <c r="I92">
        <v>0.77400000000000002</v>
      </c>
      <c r="J92">
        <v>0.83699999999999997</v>
      </c>
    </row>
    <row r="93" spans="1:10" x14ac:dyDescent="0.3">
      <c r="A93" t="s">
        <v>768</v>
      </c>
      <c r="B93">
        <v>0.45900000000000002</v>
      </c>
      <c r="C93">
        <v>0.20300000000000001</v>
      </c>
      <c r="D93">
        <v>7.5999999999999998E-2</v>
      </c>
      <c r="E93">
        <v>0.11899999999999999</v>
      </c>
      <c r="F93">
        <v>0.314</v>
      </c>
      <c r="G93">
        <v>0.46</v>
      </c>
      <c r="H93">
        <v>0.60099999999999998</v>
      </c>
      <c r="I93">
        <v>0.8</v>
      </c>
      <c r="J93">
        <v>0.84699999999999998</v>
      </c>
    </row>
    <row r="94" spans="1:10" x14ac:dyDescent="0.3">
      <c r="A94" t="s">
        <v>769</v>
      </c>
      <c r="B94">
        <v>0.44700000000000001</v>
      </c>
      <c r="C94">
        <v>0.20100000000000001</v>
      </c>
      <c r="D94">
        <v>8.1000000000000003E-2</v>
      </c>
      <c r="E94">
        <v>0.12</v>
      </c>
      <c r="F94">
        <v>0.29599999999999999</v>
      </c>
      <c r="G94">
        <v>0.44700000000000001</v>
      </c>
      <c r="H94">
        <v>0.59699999999999998</v>
      </c>
      <c r="I94">
        <v>0.77500000000000002</v>
      </c>
      <c r="J94">
        <v>0.83399999999999996</v>
      </c>
    </row>
    <row r="95" spans="1:10" x14ac:dyDescent="0.3">
      <c r="A95" t="s">
        <v>770</v>
      </c>
      <c r="B95">
        <v>0.48399999999999999</v>
      </c>
      <c r="C95">
        <v>0.21</v>
      </c>
      <c r="D95">
        <v>8.6999999999999994E-2</v>
      </c>
      <c r="E95">
        <v>0.126</v>
      </c>
      <c r="F95">
        <v>0.33</v>
      </c>
      <c r="G95">
        <v>0.49199999999999999</v>
      </c>
      <c r="H95">
        <v>0.64300000000000002</v>
      </c>
      <c r="I95">
        <v>0.82699999999999996</v>
      </c>
      <c r="J95">
        <v>0.875</v>
      </c>
    </row>
    <row r="96" spans="1:10" x14ac:dyDescent="0.3">
      <c r="A96" t="s">
        <v>771</v>
      </c>
      <c r="B96">
        <v>0.39700000000000002</v>
      </c>
      <c r="C96">
        <v>0.19700000000000001</v>
      </c>
      <c r="D96">
        <v>5.6000000000000001E-2</v>
      </c>
      <c r="E96">
        <v>0.09</v>
      </c>
      <c r="F96">
        <v>0.248</v>
      </c>
      <c r="G96">
        <v>0.38800000000000001</v>
      </c>
      <c r="H96">
        <v>0.53100000000000003</v>
      </c>
      <c r="I96">
        <v>0.73699999999999999</v>
      </c>
      <c r="J96">
        <v>0.79900000000000004</v>
      </c>
    </row>
    <row r="97" spans="1:10" x14ac:dyDescent="0.3">
      <c r="A97" t="s">
        <v>772</v>
      </c>
      <c r="B97">
        <v>0.496</v>
      </c>
      <c r="C97">
        <v>0.218</v>
      </c>
      <c r="D97">
        <v>7.6999999999999999E-2</v>
      </c>
      <c r="E97">
        <v>0.11899999999999999</v>
      </c>
      <c r="F97">
        <v>0.33500000000000002</v>
      </c>
      <c r="G97">
        <v>0.51</v>
      </c>
      <c r="H97">
        <v>0.66300000000000003</v>
      </c>
      <c r="I97">
        <v>0.83899999999999997</v>
      </c>
      <c r="J97">
        <v>0.88600000000000001</v>
      </c>
    </row>
    <row r="98" spans="1:10" x14ac:dyDescent="0.3">
      <c r="A98" t="s">
        <v>773</v>
      </c>
      <c r="B98">
        <v>0.51100000000000001</v>
      </c>
      <c r="C98">
        <v>0.22</v>
      </c>
      <c r="D98">
        <v>0.08</v>
      </c>
      <c r="E98">
        <v>0.12</v>
      </c>
      <c r="F98">
        <v>0.34899999999999998</v>
      </c>
      <c r="G98">
        <v>0.53300000000000003</v>
      </c>
      <c r="H98">
        <v>0.67700000000000005</v>
      </c>
      <c r="I98">
        <v>0.85099999999999998</v>
      </c>
      <c r="J98">
        <v>0.88900000000000001</v>
      </c>
    </row>
    <row r="99" spans="1:10" x14ac:dyDescent="0.3">
      <c r="A99" t="s">
        <v>774</v>
      </c>
      <c r="B99">
        <v>0.52</v>
      </c>
      <c r="C99">
        <v>0.22700000000000001</v>
      </c>
      <c r="D99">
        <v>7.1999999999999995E-2</v>
      </c>
      <c r="E99">
        <v>0.11799999999999999</v>
      </c>
      <c r="F99">
        <v>0.35</v>
      </c>
      <c r="G99">
        <v>0.53900000000000003</v>
      </c>
      <c r="H99">
        <v>0.70099999999999996</v>
      </c>
      <c r="I99">
        <v>0.85699999999999998</v>
      </c>
      <c r="J99">
        <v>0.89900000000000002</v>
      </c>
    </row>
    <row r="100" spans="1:10" x14ac:dyDescent="0.3">
      <c r="A100" t="s">
        <v>775</v>
      </c>
      <c r="B100">
        <v>0.45500000000000002</v>
      </c>
      <c r="C100">
        <v>0.21299999999999999</v>
      </c>
      <c r="D100">
        <v>7.0999999999999994E-2</v>
      </c>
      <c r="E100">
        <v>0.108</v>
      </c>
      <c r="F100">
        <v>0.29699999999999999</v>
      </c>
      <c r="G100">
        <v>0.45700000000000002</v>
      </c>
      <c r="H100">
        <v>0.60599999999999998</v>
      </c>
      <c r="I100">
        <v>0.81599999999999995</v>
      </c>
      <c r="J100">
        <v>0.86299999999999999</v>
      </c>
    </row>
    <row r="101" spans="1:10" x14ac:dyDescent="0.3">
      <c r="A101" t="s">
        <v>776</v>
      </c>
      <c r="B101">
        <v>0.25800000000000001</v>
      </c>
      <c r="C101">
        <v>0.161</v>
      </c>
      <c r="D101">
        <v>3.4000000000000002E-2</v>
      </c>
      <c r="E101">
        <v>4.9000000000000002E-2</v>
      </c>
      <c r="F101">
        <v>0.14199999999999999</v>
      </c>
      <c r="G101">
        <v>0.23100000000000001</v>
      </c>
      <c r="H101">
        <v>0.34399999999999997</v>
      </c>
      <c r="I101">
        <v>0.56499999999999995</v>
      </c>
      <c r="J101">
        <v>0.65</v>
      </c>
    </row>
    <row r="102" spans="1:10" x14ac:dyDescent="0.3">
      <c r="A102" t="s">
        <v>777</v>
      </c>
      <c r="B102">
        <v>0.39500000000000002</v>
      </c>
      <c r="C102">
        <v>0.19500000000000001</v>
      </c>
      <c r="D102">
        <v>5.3999999999999999E-2</v>
      </c>
      <c r="E102">
        <v>8.5000000000000006E-2</v>
      </c>
      <c r="F102">
        <v>0.246</v>
      </c>
      <c r="G102">
        <v>0.39</v>
      </c>
      <c r="H102">
        <v>0.52800000000000002</v>
      </c>
      <c r="I102">
        <v>0.73199999999999998</v>
      </c>
      <c r="J102">
        <v>0.80400000000000005</v>
      </c>
    </row>
    <row r="103" spans="1:10" x14ac:dyDescent="0.3">
      <c r="A103" t="s">
        <v>778</v>
      </c>
      <c r="B103">
        <v>0.4</v>
      </c>
      <c r="C103">
        <v>0.19700000000000001</v>
      </c>
      <c r="D103">
        <v>6.7000000000000004E-2</v>
      </c>
      <c r="E103">
        <v>9.6000000000000002E-2</v>
      </c>
      <c r="F103">
        <v>0.251</v>
      </c>
      <c r="G103">
        <v>0.38700000000000001</v>
      </c>
      <c r="H103">
        <v>0.53100000000000003</v>
      </c>
      <c r="I103">
        <v>0.75</v>
      </c>
      <c r="J103">
        <v>0.82199999999999995</v>
      </c>
    </row>
    <row r="104" spans="1:10" x14ac:dyDescent="0.3">
      <c r="A104" t="s">
        <v>779</v>
      </c>
      <c r="B104">
        <v>0.41399999999999998</v>
      </c>
      <c r="C104">
        <v>0.20200000000000001</v>
      </c>
      <c r="D104">
        <v>6.2E-2</v>
      </c>
      <c r="E104">
        <v>9.4E-2</v>
      </c>
      <c r="F104">
        <v>0.26300000000000001</v>
      </c>
      <c r="G104">
        <v>0.40500000000000003</v>
      </c>
      <c r="H104">
        <v>0.55800000000000005</v>
      </c>
      <c r="I104">
        <v>0.77100000000000002</v>
      </c>
      <c r="J104">
        <v>0.82099999999999995</v>
      </c>
    </row>
    <row r="105" spans="1:10" x14ac:dyDescent="0.3">
      <c r="A105" t="s">
        <v>780</v>
      </c>
      <c r="B105">
        <v>0.36499999999999999</v>
      </c>
      <c r="C105">
        <v>0.11600000000000001</v>
      </c>
      <c r="D105">
        <v>0.13600000000000001</v>
      </c>
      <c r="E105">
        <v>0.16800000000000001</v>
      </c>
      <c r="F105">
        <v>0.28699999999999998</v>
      </c>
      <c r="G105">
        <v>0.371</v>
      </c>
      <c r="H105">
        <v>0.44500000000000001</v>
      </c>
      <c r="I105">
        <v>0.55200000000000005</v>
      </c>
      <c r="J105">
        <v>0.57799999999999996</v>
      </c>
    </row>
    <row r="106" spans="1:10" x14ac:dyDescent="0.3">
      <c r="A106" t="s">
        <v>781</v>
      </c>
      <c r="B106">
        <v>0.21199999999999999</v>
      </c>
      <c r="C106">
        <v>0.14099999999999999</v>
      </c>
      <c r="D106">
        <v>2.3E-2</v>
      </c>
      <c r="E106">
        <v>3.2000000000000001E-2</v>
      </c>
      <c r="F106">
        <v>9.9000000000000005E-2</v>
      </c>
      <c r="G106">
        <v>0.188</v>
      </c>
      <c r="H106">
        <v>0.29799999999999999</v>
      </c>
      <c r="I106">
        <v>0.47199999999999998</v>
      </c>
      <c r="J106">
        <v>0.53800000000000003</v>
      </c>
    </row>
    <row r="107" spans="1:10" x14ac:dyDescent="0.3">
      <c r="A107" t="s">
        <v>782</v>
      </c>
      <c r="B107">
        <v>0.26100000000000001</v>
      </c>
      <c r="C107">
        <v>0.161</v>
      </c>
      <c r="D107">
        <v>2.8000000000000001E-2</v>
      </c>
      <c r="E107">
        <v>4.1000000000000002E-2</v>
      </c>
      <c r="F107">
        <v>0.13300000000000001</v>
      </c>
      <c r="G107">
        <v>0.23899999999999999</v>
      </c>
      <c r="H107">
        <v>0.35899999999999999</v>
      </c>
      <c r="I107">
        <v>0.55300000000000005</v>
      </c>
      <c r="J107">
        <v>0.62</v>
      </c>
    </row>
    <row r="108" spans="1:10" x14ac:dyDescent="0.3">
      <c r="A108" t="s">
        <v>783</v>
      </c>
      <c r="B108">
        <v>0.247</v>
      </c>
      <c r="C108">
        <v>0.15</v>
      </c>
      <c r="D108">
        <v>2.9000000000000001E-2</v>
      </c>
      <c r="E108">
        <v>4.1000000000000002E-2</v>
      </c>
      <c r="F108">
        <v>0.128</v>
      </c>
      <c r="G108">
        <v>0.23100000000000001</v>
      </c>
      <c r="H108">
        <v>0.34200000000000003</v>
      </c>
      <c r="I108">
        <v>0.52</v>
      </c>
      <c r="J108">
        <v>0.58199999999999996</v>
      </c>
    </row>
    <row r="109" spans="1:10" x14ac:dyDescent="0.3">
      <c r="A109" t="s">
        <v>784</v>
      </c>
      <c r="B109">
        <v>0.49399999999999999</v>
      </c>
      <c r="C109">
        <v>0.21</v>
      </c>
      <c r="D109">
        <v>5.8000000000000003E-2</v>
      </c>
      <c r="E109">
        <v>0.108</v>
      </c>
      <c r="F109">
        <v>0.35399999999999998</v>
      </c>
      <c r="G109">
        <v>0.51700000000000002</v>
      </c>
      <c r="H109">
        <v>0.65100000000000002</v>
      </c>
      <c r="I109">
        <v>0.80800000000000005</v>
      </c>
      <c r="J109">
        <v>0.85199999999999998</v>
      </c>
    </row>
    <row r="110" spans="1:10" x14ac:dyDescent="0.3">
      <c r="A110" t="s">
        <v>785</v>
      </c>
      <c r="B110">
        <v>0.44700000000000001</v>
      </c>
      <c r="C110">
        <v>0.20699999999999999</v>
      </c>
      <c r="D110">
        <v>5.1999999999999998E-2</v>
      </c>
      <c r="E110">
        <v>8.8999999999999996E-2</v>
      </c>
      <c r="F110">
        <v>0.29599999999999999</v>
      </c>
      <c r="G110">
        <v>0.45800000000000002</v>
      </c>
      <c r="H110">
        <v>0.60199999999999998</v>
      </c>
      <c r="I110">
        <v>0.77300000000000002</v>
      </c>
      <c r="J110">
        <v>0.82799999999999996</v>
      </c>
    </row>
    <row r="111" spans="1:10" x14ac:dyDescent="0.3">
      <c r="A111" t="s">
        <v>786</v>
      </c>
      <c r="B111">
        <v>0.375</v>
      </c>
      <c r="C111">
        <v>0.189</v>
      </c>
      <c r="D111">
        <v>4.4999999999999998E-2</v>
      </c>
      <c r="E111">
        <v>6.8000000000000005E-2</v>
      </c>
      <c r="F111">
        <v>0.23300000000000001</v>
      </c>
      <c r="G111">
        <v>0.374</v>
      </c>
      <c r="H111">
        <v>0.505</v>
      </c>
      <c r="I111">
        <v>0.68400000000000005</v>
      </c>
      <c r="J111">
        <v>0.755</v>
      </c>
    </row>
    <row r="112" spans="1:10" x14ac:dyDescent="0.3">
      <c r="A112" t="s">
        <v>787</v>
      </c>
      <c r="B112">
        <v>0.64100000000000001</v>
      </c>
      <c r="C112">
        <v>0.26700000000000002</v>
      </c>
      <c r="D112">
        <v>3.7999999999999999E-2</v>
      </c>
      <c r="E112">
        <v>6.9000000000000006E-2</v>
      </c>
      <c r="F112">
        <v>0.53</v>
      </c>
      <c r="G112">
        <v>0.73399999999999999</v>
      </c>
      <c r="H112">
        <v>0.84</v>
      </c>
      <c r="I112">
        <v>0.92600000000000005</v>
      </c>
      <c r="J112">
        <v>0.94199999999999995</v>
      </c>
    </row>
    <row r="113" spans="1:10" x14ac:dyDescent="0.3">
      <c r="A113" t="s">
        <v>788</v>
      </c>
      <c r="B113">
        <v>0.19700000000000001</v>
      </c>
      <c r="C113">
        <v>0.128</v>
      </c>
      <c r="D113">
        <v>2.1000000000000001E-2</v>
      </c>
      <c r="E113">
        <v>3.1E-2</v>
      </c>
      <c r="F113">
        <v>9.9000000000000005E-2</v>
      </c>
      <c r="G113">
        <v>0.17799999999999999</v>
      </c>
      <c r="H113">
        <v>0.27200000000000002</v>
      </c>
      <c r="I113">
        <v>0.42899999999999999</v>
      </c>
      <c r="J113">
        <v>0.48699999999999999</v>
      </c>
    </row>
    <row r="114" spans="1:10" x14ac:dyDescent="0.3">
      <c r="A114" t="s">
        <v>789</v>
      </c>
      <c r="B114">
        <v>0.36699999999999999</v>
      </c>
      <c r="C114">
        <v>0.188</v>
      </c>
      <c r="D114">
        <v>4.7E-2</v>
      </c>
      <c r="E114">
        <v>7.1999999999999995E-2</v>
      </c>
      <c r="F114">
        <v>0.22</v>
      </c>
      <c r="G114">
        <v>0.36399999999999999</v>
      </c>
      <c r="H114">
        <v>0.499</v>
      </c>
      <c r="I114">
        <v>0.69299999999999995</v>
      </c>
      <c r="J114">
        <v>0.74199999999999999</v>
      </c>
    </row>
    <row r="115" spans="1:10" x14ac:dyDescent="0.3">
      <c r="A115" t="s">
        <v>790</v>
      </c>
      <c r="B115">
        <v>0.376</v>
      </c>
      <c r="C115">
        <v>0.189</v>
      </c>
      <c r="D115">
        <v>4.7E-2</v>
      </c>
      <c r="E115">
        <v>7.2999999999999995E-2</v>
      </c>
      <c r="F115">
        <v>0.23</v>
      </c>
      <c r="G115">
        <v>0.374</v>
      </c>
      <c r="H115">
        <v>0.50800000000000001</v>
      </c>
      <c r="I115">
        <v>0.69899999999999995</v>
      </c>
      <c r="J115">
        <v>0.75900000000000001</v>
      </c>
    </row>
    <row r="116" spans="1:10" x14ac:dyDescent="0.3">
      <c r="A116" t="s">
        <v>791</v>
      </c>
      <c r="B116">
        <v>0.35099999999999998</v>
      </c>
      <c r="C116">
        <v>0.19</v>
      </c>
      <c r="D116">
        <v>3.9E-2</v>
      </c>
      <c r="E116">
        <v>6.4000000000000001E-2</v>
      </c>
      <c r="F116">
        <v>0.20599999999999999</v>
      </c>
      <c r="G116">
        <v>0.34200000000000003</v>
      </c>
      <c r="H116">
        <v>0.48</v>
      </c>
      <c r="I116">
        <v>0.68700000000000006</v>
      </c>
      <c r="J116">
        <v>0.75700000000000001</v>
      </c>
    </row>
    <row r="117" spans="1:10" x14ac:dyDescent="0.3">
      <c r="A117" t="s">
        <v>792</v>
      </c>
      <c r="B117">
        <v>0.316</v>
      </c>
      <c r="C117">
        <v>0.17599999999999999</v>
      </c>
      <c r="D117">
        <v>3.5999999999999997E-2</v>
      </c>
      <c r="E117">
        <v>5.7000000000000002E-2</v>
      </c>
      <c r="F117">
        <v>0.17899999999999999</v>
      </c>
      <c r="G117">
        <v>0.3</v>
      </c>
      <c r="H117">
        <v>0.443</v>
      </c>
      <c r="I117">
        <v>0.623</v>
      </c>
      <c r="J117">
        <v>0.68500000000000005</v>
      </c>
    </row>
    <row r="118" spans="1:10" x14ac:dyDescent="0.3">
      <c r="A118" t="s">
        <v>793</v>
      </c>
      <c r="B118">
        <v>0.32700000000000001</v>
      </c>
      <c r="C118">
        <v>0.17599999999999999</v>
      </c>
      <c r="D118">
        <v>4.4999999999999998E-2</v>
      </c>
      <c r="E118">
        <v>6.9000000000000006E-2</v>
      </c>
      <c r="F118">
        <v>0.191</v>
      </c>
      <c r="G118">
        <v>0.316</v>
      </c>
      <c r="H118">
        <v>0.44500000000000001</v>
      </c>
      <c r="I118">
        <v>0.63100000000000001</v>
      </c>
      <c r="J118">
        <v>0.70599999999999996</v>
      </c>
    </row>
    <row r="119" spans="1:10" x14ac:dyDescent="0.3">
      <c r="A119" t="s">
        <v>794</v>
      </c>
      <c r="B119">
        <v>0.27400000000000002</v>
      </c>
      <c r="C119">
        <v>0.161</v>
      </c>
      <c r="D119">
        <v>3.1E-2</v>
      </c>
      <c r="E119">
        <v>4.7E-2</v>
      </c>
      <c r="F119">
        <v>0.14799999999999999</v>
      </c>
      <c r="G119">
        <v>0.25600000000000001</v>
      </c>
      <c r="H119">
        <v>0.38</v>
      </c>
      <c r="I119">
        <v>0.56299999999999994</v>
      </c>
      <c r="J119">
        <v>0.626</v>
      </c>
    </row>
    <row r="120" spans="1:10" x14ac:dyDescent="0.3">
      <c r="A120" t="s">
        <v>795</v>
      </c>
      <c r="B120">
        <v>0.379</v>
      </c>
      <c r="C120">
        <v>0.192</v>
      </c>
      <c r="D120">
        <v>4.5999999999999999E-2</v>
      </c>
      <c r="E120">
        <v>7.1999999999999995E-2</v>
      </c>
      <c r="F120">
        <v>0.23100000000000001</v>
      </c>
      <c r="G120">
        <v>0.38500000000000001</v>
      </c>
      <c r="H120">
        <v>0.51300000000000001</v>
      </c>
      <c r="I120">
        <v>0.70199999999999996</v>
      </c>
      <c r="J120">
        <v>0.75900000000000001</v>
      </c>
    </row>
    <row r="121" spans="1:10" x14ac:dyDescent="0.3">
      <c r="A121" t="s">
        <v>796</v>
      </c>
      <c r="B121">
        <v>0.247</v>
      </c>
      <c r="C121">
        <v>0.14799999999999999</v>
      </c>
      <c r="D121">
        <v>2.9000000000000001E-2</v>
      </c>
      <c r="E121">
        <v>4.8000000000000001E-2</v>
      </c>
      <c r="F121">
        <v>0.13</v>
      </c>
      <c r="G121">
        <v>0.22900000000000001</v>
      </c>
      <c r="H121">
        <v>0.34699999999999998</v>
      </c>
      <c r="I121">
        <v>0.50600000000000001</v>
      </c>
      <c r="J121">
        <v>0.57299999999999995</v>
      </c>
    </row>
    <row r="122" spans="1:10" x14ac:dyDescent="0.3">
      <c r="A122" t="s">
        <v>797</v>
      </c>
      <c r="B122">
        <v>0.23499999999999999</v>
      </c>
      <c r="C122">
        <v>0.14499999999999999</v>
      </c>
      <c r="D122">
        <v>2.7E-2</v>
      </c>
      <c r="E122">
        <v>4.3999999999999997E-2</v>
      </c>
      <c r="F122">
        <v>0.124</v>
      </c>
      <c r="G122">
        <v>0.219</v>
      </c>
      <c r="H122">
        <v>0.32</v>
      </c>
      <c r="I122">
        <v>0.496</v>
      </c>
      <c r="J122">
        <v>0.56599999999999995</v>
      </c>
    </row>
    <row r="123" spans="1:10" x14ac:dyDescent="0.3">
      <c r="A123" t="s">
        <v>798</v>
      </c>
      <c r="B123">
        <v>0.214</v>
      </c>
      <c r="C123">
        <v>0.13600000000000001</v>
      </c>
      <c r="D123">
        <v>2.4E-2</v>
      </c>
      <c r="E123">
        <v>3.5999999999999997E-2</v>
      </c>
      <c r="F123">
        <v>0.111</v>
      </c>
      <c r="G123">
        <v>0.193</v>
      </c>
      <c r="H123">
        <v>0.29699999999999999</v>
      </c>
      <c r="I123">
        <v>0.47</v>
      </c>
      <c r="J123">
        <v>0.52700000000000002</v>
      </c>
    </row>
    <row r="124" spans="1:10" x14ac:dyDescent="0.3">
      <c r="A124" t="s">
        <v>799</v>
      </c>
      <c r="B124">
        <v>0.29099999999999998</v>
      </c>
      <c r="C124">
        <v>0.16600000000000001</v>
      </c>
      <c r="D124">
        <v>3.2000000000000001E-2</v>
      </c>
      <c r="E124">
        <v>5.3999999999999999E-2</v>
      </c>
      <c r="F124">
        <v>0.16200000000000001</v>
      </c>
      <c r="G124">
        <v>0.27600000000000002</v>
      </c>
      <c r="H124">
        <v>0.40500000000000003</v>
      </c>
      <c r="I124">
        <v>0.58799999999999997</v>
      </c>
      <c r="J124">
        <v>0.65700000000000003</v>
      </c>
    </row>
    <row r="125" spans="1:10" x14ac:dyDescent="0.3">
      <c r="A125" t="s">
        <v>800</v>
      </c>
      <c r="B125">
        <v>0.53</v>
      </c>
      <c r="C125">
        <v>0.21299999999999999</v>
      </c>
      <c r="D125">
        <v>7.6999999999999999E-2</v>
      </c>
      <c r="E125">
        <v>0.123</v>
      </c>
      <c r="F125">
        <v>0.39300000000000002</v>
      </c>
      <c r="G125">
        <v>0.55900000000000005</v>
      </c>
      <c r="H125">
        <v>0.68899999999999995</v>
      </c>
      <c r="I125">
        <v>0.83599999999999997</v>
      </c>
      <c r="J125">
        <v>0.879</v>
      </c>
    </row>
    <row r="126" spans="1:10" x14ac:dyDescent="0.3">
      <c r="A126" t="s">
        <v>801</v>
      </c>
      <c r="B126">
        <v>0.39100000000000001</v>
      </c>
      <c r="C126">
        <v>0.19700000000000001</v>
      </c>
      <c r="D126">
        <v>4.4999999999999998E-2</v>
      </c>
      <c r="E126">
        <v>7.0999999999999994E-2</v>
      </c>
      <c r="F126">
        <v>0.24299999999999999</v>
      </c>
      <c r="G126">
        <v>0.39100000000000001</v>
      </c>
      <c r="H126">
        <v>0.52900000000000003</v>
      </c>
      <c r="I126">
        <v>0.72299999999999998</v>
      </c>
      <c r="J126">
        <v>0.78200000000000003</v>
      </c>
    </row>
    <row r="127" spans="1:10" x14ac:dyDescent="0.3">
      <c r="A127" t="s">
        <v>802</v>
      </c>
      <c r="B127">
        <v>0.376</v>
      </c>
      <c r="C127">
        <v>0.193</v>
      </c>
      <c r="D127">
        <v>4.3999999999999997E-2</v>
      </c>
      <c r="E127">
        <v>6.9000000000000006E-2</v>
      </c>
      <c r="F127">
        <v>0.22600000000000001</v>
      </c>
      <c r="G127">
        <v>0.379</v>
      </c>
      <c r="H127">
        <v>0.51400000000000001</v>
      </c>
      <c r="I127">
        <v>0.69399999999999995</v>
      </c>
      <c r="J127">
        <v>0.753</v>
      </c>
    </row>
    <row r="128" spans="1:10" x14ac:dyDescent="0.3">
      <c r="A128" t="s">
        <v>803</v>
      </c>
      <c r="B128">
        <v>0.36199999999999999</v>
      </c>
      <c r="C128">
        <v>0.191</v>
      </c>
      <c r="D128">
        <v>4.2999999999999997E-2</v>
      </c>
      <c r="E128">
        <v>6.6000000000000003E-2</v>
      </c>
      <c r="F128">
        <v>0.21299999999999999</v>
      </c>
      <c r="G128">
        <v>0.35899999999999999</v>
      </c>
      <c r="H128">
        <v>0.49399999999999999</v>
      </c>
      <c r="I128">
        <v>0.68899999999999995</v>
      </c>
      <c r="J128">
        <v>0.747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>
      <selection activeCell="I28" sqref="I28"/>
    </sheetView>
  </sheetViews>
  <sheetFormatPr defaultRowHeight="16.5" x14ac:dyDescent="0.3"/>
  <sheetData>
    <row r="2" spans="1:1" x14ac:dyDescent="0.3">
      <c r="A2" t="s">
        <v>416</v>
      </c>
    </row>
    <row r="3" spans="1:1" x14ac:dyDescent="0.3">
      <c r="A3" t="s">
        <v>683</v>
      </c>
    </row>
    <row r="4" spans="1:1" x14ac:dyDescent="0.3">
      <c r="A4" t="s">
        <v>416</v>
      </c>
    </row>
    <row r="6" spans="1:1" x14ac:dyDescent="0.3">
      <c r="A6" t="s">
        <v>682</v>
      </c>
    </row>
    <row r="9" spans="1:1" x14ac:dyDescent="0.3">
      <c r="A9" t="s">
        <v>681</v>
      </c>
    </row>
    <row r="11" spans="1:1" x14ac:dyDescent="0.3">
      <c r="A11" t="s">
        <v>679</v>
      </c>
    </row>
    <row r="12" spans="1:1" x14ac:dyDescent="0.3">
      <c r="A12" t="s">
        <v>680</v>
      </c>
    </row>
    <row r="14" spans="1:1" x14ac:dyDescent="0.3">
      <c r="A14" t="s">
        <v>679</v>
      </c>
    </row>
    <row r="15" spans="1:1" x14ac:dyDescent="0.3">
      <c r="A15" t="s">
        <v>678</v>
      </c>
    </row>
    <row r="18" spans="1:1" x14ac:dyDescent="0.3">
      <c r="A18" t="s">
        <v>677</v>
      </c>
    </row>
    <row r="20" spans="1:1" x14ac:dyDescent="0.3">
      <c r="A20" t="s">
        <v>676</v>
      </c>
    </row>
    <row r="21" spans="1:1" x14ac:dyDescent="0.3">
      <c r="A21" t="s">
        <v>675</v>
      </c>
    </row>
    <row r="22" spans="1:1" x14ac:dyDescent="0.3">
      <c r="A22" t="s">
        <v>674</v>
      </c>
    </row>
    <row r="23" spans="1:1" x14ac:dyDescent="0.3">
      <c r="A23" t="s">
        <v>673</v>
      </c>
    </row>
    <row r="24" spans="1:1" x14ac:dyDescent="0.3">
      <c r="A24" t="s">
        <v>672</v>
      </c>
    </row>
    <row r="25" spans="1:1" x14ac:dyDescent="0.3">
      <c r="A25" t="s">
        <v>671</v>
      </c>
    </row>
    <row r="26" spans="1:1" x14ac:dyDescent="0.3">
      <c r="A26" t="s">
        <v>670</v>
      </c>
    </row>
    <row r="27" spans="1:1" x14ac:dyDescent="0.3">
      <c r="A27" t="s">
        <v>669</v>
      </c>
    </row>
    <row r="28" spans="1:1" x14ac:dyDescent="0.3">
      <c r="A28" t="s">
        <v>668</v>
      </c>
    </row>
    <row r="29" spans="1:1" x14ac:dyDescent="0.3">
      <c r="A29" t="s">
        <v>667</v>
      </c>
    </row>
    <row r="30" spans="1:1" x14ac:dyDescent="0.3">
      <c r="A30" t="s">
        <v>666</v>
      </c>
    </row>
    <row r="33" spans="1:1" x14ac:dyDescent="0.3">
      <c r="A33" t="s">
        <v>665</v>
      </c>
    </row>
    <row r="35" spans="1:1" x14ac:dyDescent="0.3">
      <c r="A35" t="s">
        <v>664</v>
      </c>
    </row>
    <row r="36" spans="1:1" x14ac:dyDescent="0.3">
      <c r="A36" t="s">
        <v>663</v>
      </c>
    </row>
    <row r="37" spans="1:1" x14ac:dyDescent="0.3">
      <c r="A37" t="s">
        <v>662</v>
      </c>
    </row>
    <row r="38" spans="1:1" x14ac:dyDescent="0.3">
      <c r="A38" t="s">
        <v>661</v>
      </c>
    </row>
    <row r="39" spans="1:1" x14ac:dyDescent="0.3">
      <c r="A39" t="s">
        <v>660</v>
      </c>
    </row>
    <row r="40" spans="1:1" x14ac:dyDescent="0.3">
      <c r="A40" t="s">
        <v>659</v>
      </c>
    </row>
    <row r="41" spans="1:1" x14ac:dyDescent="0.3">
      <c r="A41" t="s">
        <v>658</v>
      </c>
    </row>
    <row r="42" spans="1:1" x14ac:dyDescent="0.3">
      <c r="A42" t="s">
        <v>657</v>
      </c>
    </row>
    <row r="43" spans="1:1" x14ac:dyDescent="0.3">
      <c r="A43" t="s">
        <v>656</v>
      </c>
    </row>
    <row r="44" spans="1:1" x14ac:dyDescent="0.3">
      <c r="A44" t="s">
        <v>655</v>
      </c>
    </row>
    <row r="45" spans="1:1" x14ac:dyDescent="0.3">
      <c r="A45" t="s">
        <v>654</v>
      </c>
    </row>
    <row r="46" spans="1:1" x14ac:dyDescent="0.3">
      <c r="A46" t="s">
        <v>653</v>
      </c>
    </row>
    <row r="47" spans="1:1" x14ac:dyDescent="0.3">
      <c r="A47" t="s">
        <v>652</v>
      </c>
    </row>
    <row r="48" spans="1:1" x14ac:dyDescent="0.3">
      <c r="A48" t="s">
        <v>651</v>
      </c>
    </row>
    <row r="49" spans="1:1" x14ac:dyDescent="0.3">
      <c r="A49" t="s">
        <v>650</v>
      </c>
    </row>
    <row r="50" spans="1:1" x14ac:dyDescent="0.3">
      <c r="A50" t="s">
        <v>649</v>
      </c>
    </row>
    <row r="51" spans="1:1" x14ac:dyDescent="0.3">
      <c r="A51" t="s">
        <v>648</v>
      </c>
    </row>
    <row r="52" spans="1:1" x14ac:dyDescent="0.3">
      <c r="A52" t="s">
        <v>647</v>
      </c>
    </row>
    <row r="53" spans="1:1" x14ac:dyDescent="0.3">
      <c r="A53" t="s">
        <v>646</v>
      </c>
    </row>
    <row r="54" spans="1:1" x14ac:dyDescent="0.3">
      <c r="A54" t="s">
        <v>645</v>
      </c>
    </row>
    <row r="55" spans="1:1" x14ac:dyDescent="0.3">
      <c r="A55" t="s">
        <v>644</v>
      </c>
    </row>
    <row r="56" spans="1:1" x14ac:dyDescent="0.3">
      <c r="A56" t="s">
        <v>643</v>
      </c>
    </row>
    <row r="57" spans="1:1" x14ac:dyDescent="0.3">
      <c r="A57" t="s">
        <v>642</v>
      </c>
    </row>
    <row r="58" spans="1:1" x14ac:dyDescent="0.3">
      <c r="A58" t="s">
        <v>641</v>
      </c>
    </row>
    <row r="59" spans="1:1" x14ac:dyDescent="0.3">
      <c r="A59" t="s">
        <v>640</v>
      </c>
    </row>
    <row r="60" spans="1:1" x14ac:dyDescent="0.3">
      <c r="A60" t="s">
        <v>639</v>
      </c>
    </row>
    <row r="61" spans="1:1" x14ac:dyDescent="0.3">
      <c r="A61" t="s">
        <v>638</v>
      </c>
    </row>
    <row r="62" spans="1:1" x14ac:dyDescent="0.3">
      <c r="A62" t="s">
        <v>637</v>
      </c>
    </row>
    <row r="63" spans="1:1" x14ac:dyDescent="0.3">
      <c r="A63" t="s">
        <v>636</v>
      </c>
    </row>
    <row r="64" spans="1:1" x14ac:dyDescent="0.3">
      <c r="A64" t="s">
        <v>635</v>
      </c>
    </row>
    <row r="65" spans="1:1" x14ac:dyDescent="0.3">
      <c r="A65" t="s">
        <v>634</v>
      </c>
    </row>
    <row r="66" spans="1:1" x14ac:dyDescent="0.3">
      <c r="A66" t="s">
        <v>633</v>
      </c>
    </row>
    <row r="67" spans="1:1" x14ac:dyDescent="0.3">
      <c r="A67" t="s">
        <v>632</v>
      </c>
    </row>
    <row r="68" spans="1:1" x14ac:dyDescent="0.3">
      <c r="A68" t="s">
        <v>631</v>
      </c>
    </row>
    <row r="69" spans="1:1" x14ac:dyDescent="0.3">
      <c r="A69" t="s">
        <v>630</v>
      </c>
    </row>
    <row r="70" spans="1:1" x14ac:dyDescent="0.3">
      <c r="A70" t="s">
        <v>629</v>
      </c>
    </row>
    <row r="71" spans="1:1" x14ac:dyDescent="0.3">
      <c r="A71" t="s">
        <v>628</v>
      </c>
    </row>
    <row r="72" spans="1:1" x14ac:dyDescent="0.3">
      <c r="A72" t="s">
        <v>627</v>
      </c>
    </row>
    <row r="73" spans="1:1" x14ac:dyDescent="0.3">
      <c r="A73" t="s">
        <v>626</v>
      </c>
    </row>
    <row r="74" spans="1:1" x14ac:dyDescent="0.3">
      <c r="A74" t="s">
        <v>625</v>
      </c>
    </row>
    <row r="75" spans="1:1" x14ac:dyDescent="0.3">
      <c r="A75" t="s">
        <v>624</v>
      </c>
    </row>
    <row r="76" spans="1:1" x14ac:dyDescent="0.3">
      <c r="A76" t="s">
        <v>623</v>
      </c>
    </row>
    <row r="77" spans="1:1" x14ac:dyDescent="0.3">
      <c r="A77" t="s">
        <v>622</v>
      </c>
    </row>
    <row r="78" spans="1:1" x14ac:dyDescent="0.3">
      <c r="A78" t="s">
        <v>621</v>
      </c>
    </row>
    <row r="79" spans="1:1" x14ac:dyDescent="0.3">
      <c r="A79" t="s">
        <v>620</v>
      </c>
    </row>
    <row r="80" spans="1:1" x14ac:dyDescent="0.3">
      <c r="A80" t="s">
        <v>619</v>
      </c>
    </row>
    <row r="81" spans="1:1" x14ac:dyDescent="0.3">
      <c r="A81" t="s">
        <v>618</v>
      </c>
    </row>
    <row r="82" spans="1:1" x14ac:dyDescent="0.3">
      <c r="A82" t="s">
        <v>617</v>
      </c>
    </row>
    <row r="83" spans="1:1" x14ac:dyDescent="0.3">
      <c r="A83" t="s">
        <v>616</v>
      </c>
    </row>
    <row r="84" spans="1:1" x14ac:dyDescent="0.3">
      <c r="A84" t="s">
        <v>615</v>
      </c>
    </row>
    <row r="85" spans="1:1" x14ac:dyDescent="0.3">
      <c r="A85" t="s">
        <v>614</v>
      </c>
    </row>
    <row r="86" spans="1:1" x14ac:dyDescent="0.3">
      <c r="A86" t="s">
        <v>613</v>
      </c>
    </row>
    <row r="87" spans="1:1" x14ac:dyDescent="0.3">
      <c r="A87" t="s">
        <v>612</v>
      </c>
    </row>
    <row r="88" spans="1:1" x14ac:dyDescent="0.3">
      <c r="A88" t="s">
        <v>611</v>
      </c>
    </row>
    <row r="89" spans="1:1" x14ac:dyDescent="0.3">
      <c r="A89" t="s">
        <v>610</v>
      </c>
    </row>
    <row r="90" spans="1:1" x14ac:dyDescent="0.3">
      <c r="A90" t="s">
        <v>609</v>
      </c>
    </row>
    <row r="91" spans="1:1" x14ac:dyDescent="0.3">
      <c r="A91" t="s">
        <v>608</v>
      </c>
    </row>
    <row r="92" spans="1:1" x14ac:dyDescent="0.3">
      <c r="A92" t="s">
        <v>607</v>
      </c>
    </row>
    <row r="93" spans="1:1" x14ac:dyDescent="0.3">
      <c r="A93" t="s">
        <v>606</v>
      </c>
    </row>
    <row r="94" spans="1:1" x14ac:dyDescent="0.3">
      <c r="A94" t="s">
        <v>605</v>
      </c>
    </row>
    <row r="95" spans="1:1" x14ac:dyDescent="0.3">
      <c r="A95" t="s">
        <v>604</v>
      </c>
    </row>
    <row r="96" spans="1:1" x14ac:dyDescent="0.3">
      <c r="A96" t="s">
        <v>603</v>
      </c>
    </row>
    <row r="97" spans="1:1" x14ac:dyDescent="0.3">
      <c r="A97" t="s">
        <v>602</v>
      </c>
    </row>
    <row r="98" spans="1:1" x14ac:dyDescent="0.3">
      <c r="A98" t="s">
        <v>601</v>
      </c>
    </row>
    <row r="99" spans="1:1" x14ac:dyDescent="0.3">
      <c r="A99" t="s">
        <v>600</v>
      </c>
    </row>
    <row r="100" spans="1:1" x14ac:dyDescent="0.3">
      <c r="A100" t="s">
        <v>599</v>
      </c>
    </row>
    <row r="101" spans="1:1" x14ac:dyDescent="0.3">
      <c r="A101" t="s">
        <v>598</v>
      </c>
    </row>
    <row r="102" spans="1:1" x14ac:dyDescent="0.3">
      <c r="A102" t="s">
        <v>597</v>
      </c>
    </row>
    <row r="103" spans="1:1" x14ac:dyDescent="0.3">
      <c r="A103" t="s">
        <v>596</v>
      </c>
    </row>
    <row r="104" spans="1:1" x14ac:dyDescent="0.3">
      <c r="A104" t="s">
        <v>595</v>
      </c>
    </row>
    <row r="105" spans="1:1" x14ac:dyDescent="0.3">
      <c r="A105" t="s">
        <v>594</v>
      </c>
    </row>
    <row r="106" spans="1:1" x14ac:dyDescent="0.3">
      <c r="A106" t="s">
        <v>593</v>
      </c>
    </row>
    <row r="107" spans="1:1" x14ac:dyDescent="0.3">
      <c r="A107" t="s">
        <v>592</v>
      </c>
    </row>
    <row r="108" spans="1:1" x14ac:dyDescent="0.3">
      <c r="A108" t="s">
        <v>591</v>
      </c>
    </row>
    <row r="109" spans="1:1" x14ac:dyDescent="0.3">
      <c r="A109" t="s">
        <v>590</v>
      </c>
    </row>
    <row r="110" spans="1:1" x14ac:dyDescent="0.3">
      <c r="A110" t="s">
        <v>589</v>
      </c>
    </row>
    <row r="111" spans="1:1" x14ac:dyDescent="0.3">
      <c r="A111" t="s">
        <v>588</v>
      </c>
    </row>
    <row r="112" spans="1:1" x14ac:dyDescent="0.3">
      <c r="A112" t="s">
        <v>587</v>
      </c>
    </row>
    <row r="113" spans="1:1" x14ac:dyDescent="0.3">
      <c r="A113" t="s">
        <v>586</v>
      </c>
    </row>
    <row r="114" spans="1:1" x14ac:dyDescent="0.3">
      <c r="A114" t="s">
        <v>585</v>
      </c>
    </row>
    <row r="115" spans="1:1" x14ac:dyDescent="0.3">
      <c r="A115" t="s">
        <v>584</v>
      </c>
    </row>
    <row r="116" spans="1:1" x14ac:dyDescent="0.3">
      <c r="A116" t="s">
        <v>583</v>
      </c>
    </row>
    <row r="117" spans="1:1" x14ac:dyDescent="0.3">
      <c r="A117" t="s">
        <v>582</v>
      </c>
    </row>
    <row r="118" spans="1:1" x14ac:dyDescent="0.3">
      <c r="A118" t="s">
        <v>581</v>
      </c>
    </row>
    <row r="119" spans="1:1" x14ac:dyDescent="0.3">
      <c r="A119" t="s">
        <v>580</v>
      </c>
    </row>
    <row r="120" spans="1:1" x14ac:dyDescent="0.3">
      <c r="A120" t="s">
        <v>579</v>
      </c>
    </row>
    <row r="121" spans="1:1" x14ac:dyDescent="0.3">
      <c r="A121" t="s">
        <v>578</v>
      </c>
    </row>
    <row r="122" spans="1:1" x14ac:dyDescent="0.3">
      <c r="A122" t="s">
        <v>577</v>
      </c>
    </row>
    <row r="123" spans="1:1" x14ac:dyDescent="0.3">
      <c r="A123" t="s">
        <v>576</v>
      </c>
    </row>
    <row r="124" spans="1:1" x14ac:dyDescent="0.3">
      <c r="A124" t="s">
        <v>575</v>
      </c>
    </row>
    <row r="125" spans="1:1" x14ac:dyDescent="0.3">
      <c r="A125" t="s">
        <v>574</v>
      </c>
    </row>
    <row r="126" spans="1:1" x14ac:dyDescent="0.3">
      <c r="A126" t="s">
        <v>573</v>
      </c>
    </row>
    <row r="127" spans="1:1" x14ac:dyDescent="0.3">
      <c r="A127" t="s">
        <v>572</v>
      </c>
    </row>
    <row r="128" spans="1:1" x14ac:dyDescent="0.3">
      <c r="A128" t="s">
        <v>571</v>
      </c>
    </row>
    <row r="129" spans="1:1" x14ac:dyDescent="0.3">
      <c r="A129" t="s">
        <v>570</v>
      </c>
    </row>
    <row r="130" spans="1:1" x14ac:dyDescent="0.3">
      <c r="A130" t="s">
        <v>569</v>
      </c>
    </row>
    <row r="131" spans="1:1" x14ac:dyDescent="0.3">
      <c r="A131" t="s">
        <v>568</v>
      </c>
    </row>
    <row r="132" spans="1:1" x14ac:dyDescent="0.3">
      <c r="A132" t="s">
        <v>567</v>
      </c>
    </row>
    <row r="133" spans="1:1" x14ac:dyDescent="0.3">
      <c r="A133" t="s">
        <v>566</v>
      </c>
    </row>
    <row r="134" spans="1:1" x14ac:dyDescent="0.3">
      <c r="A134" t="s">
        <v>565</v>
      </c>
    </row>
    <row r="135" spans="1:1" x14ac:dyDescent="0.3">
      <c r="A135" t="s">
        <v>564</v>
      </c>
    </row>
    <row r="136" spans="1:1" x14ac:dyDescent="0.3">
      <c r="A136" t="s">
        <v>563</v>
      </c>
    </row>
    <row r="137" spans="1:1" x14ac:dyDescent="0.3">
      <c r="A137" t="s">
        <v>562</v>
      </c>
    </row>
    <row r="138" spans="1:1" x14ac:dyDescent="0.3">
      <c r="A138" t="s">
        <v>561</v>
      </c>
    </row>
    <row r="139" spans="1:1" x14ac:dyDescent="0.3">
      <c r="A139" t="s">
        <v>560</v>
      </c>
    </row>
    <row r="140" spans="1:1" x14ac:dyDescent="0.3">
      <c r="A140" t="s">
        <v>559</v>
      </c>
    </row>
    <row r="141" spans="1:1" x14ac:dyDescent="0.3">
      <c r="A141" t="s">
        <v>558</v>
      </c>
    </row>
    <row r="142" spans="1:1" x14ac:dyDescent="0.3">
      <c r="A142" t="s">
        <v>557</v>
      </c>
    </row>
    <row r="143" spans="1:1" x14ac:dyDescent="0.3">
      <c r="A143" t="s">
        <v>556</v>
      </c>
    </row>
    <row r="144" spans="1:1" x14ac:dyDescent="0.3">
      <c r="A144" t="s">
        <v>555</v>
      </c>
    </row>
    <row r="145" spans="1:1" x14ac:dyDescent="0.3">
      <c r="A145" t="s">
        <v>554</v>
      </c>
    </row>
    <row r="146" spans="1:1" x14ac:dyDescent="0.3">
      <c r="A146" t="s">
        <v>553</v>
      </c>
    </row>
    <row r="147" spans="1:1" x14ac:dyDescent="0.3">
      <c r="A147" t="s">
        <v>552</v>
      </c>
    </row>
    <row r="148" spans="1:1" x14ac:dyDescent="0.3">
      <c r="A148" t="s">
        <v>551</v>
      </c>
    </row>
    <row r="149" spans="1:1" x14ac:dyDescent="0.3">
      <c r="A149" t="s">
        <v>550</v>
      </c>
    </row>
    <row r="150" spans="1:1" x14ac:dyDescent="0.3">
      <c r="A150" t="s">
        <v>549</v>
      </c>
    </row>
    <row r="151" spans="1:1" x14ac:dyDescent="0.3">
      <c r="A151" t="s">
        <v>548</v>
      </c>
    </row>
    <row r="152" spans="1:1" x14ac:dyDescent="0.3">
      <c r="A152" t="s">
        <v>547</v>
      </c>
    </row>
    <row r="153" spans="1:1" x14ac:dyDescent="0.3">
      <c r="A153" t="s">
        <v>546</v>
      </c>
    </row>
    <row r="154" spans="1:1" x14ac:dyDescent="0.3">
      <c r="A154" t="s">
        <v>545</v>
      </c>
    </row>
    <row r="155" spans="1:1" x14ac:dyDescent="0.3">
      <c r="A155" t="s">
        <v>544</v>
      </c>
    </row>
    <row r="156" spans="1:1" x14ac:dyDescent="0.3">
      <c r="A156" t="s">
        <v>543</v>
      </c>
    </row>
    <row r="157" spans="1:1" x14ac:dyDescent="0.3">
      <c r="A157" t="s">
        <v>542</v>
      </c>
    </row>
    <row r="158" spans="1:1" x14ac:dyDescent="0.3">
      <c r="A158" t="s">
        <v>541</v>
      </c>
    </row>
    <row r="159" spans="1:1" x14ac:dyDescent="0.3">
      <c r="A159" t="s">
        <v>540</v>
      </c>
    </row>
    <row r="160" spans="1:1" x14ac:dyDescent="0.3">
      <c r="A160" t="s">
        <v>539</v>
      </c>
    </row>
    <row r="161" spans="1:1" x14ac:dyDescent="0.3">
      <c r="A161" t="s">
        <v>538</v>
      </c>
    </row>
    <row r="162" spans="1:1" x14ac:dyDescent="0.3">
      <c r="A162" t="s">
        <v>537</v>
      </c>
    </row>
    <row r="163" spans="1:1" x14ac:dyDescent="0.3">
      <c r="A163" t="s">
        <v>536</v>
      </c>
    </row>
    <row r="164" spans="1:1" x14ac:dyDescent="0.3">
      <c r="A164" t="s">
        <v>535</v>
      </c>
    </row>
    <row r="165" spans="1:1" x14ac:dyDescent="0.3">
      <c r="A165" t="s">
        <v>534</v>
      </c>
    </row>
    <row r="166" spans="1:1" x14ac:dyDescent="0.3">
      <c r="A166" t="s">
        <v>533</v>
      </c>
    </row>
    <row r="167" spans="1:1" x14ac:dyDescent="0.3">
      <c r="A167" t="s">
        <v>532</v>
      </c>
    </row>
    <row r="168" spans="1:1" x14ac:dyDescent="0.3">
      <c r="A168" t="s">
        <v>531</v>
      </c>
    </row>
    <row r="169" spans="1:1" x14ac:dyDescent="0.3">
      <c r="A169" t="s">
        <v>530</v>
      </c>
    </row>
    <row r="170" spans="1:1" x14ac:dyDescent="0.3">
      <c r="A170" t="s">
        <v>529</v>
      </c>
    </row>
    <row r="171" spans="1:1" x14ac:dyDescent="0.3">
      <c r="A171" t="s">
        <v>528</v>
      </c>
    </row>
    <row r="172" spans="1:1" x14ac:dyDescent="0.3">
      <c r="A172" t="s">
        <v>527</v>
      </c>
    </row>
    <row r="173" spans="1:1" x14ac:dyDescent="0.3">
      <c r="A173" t="s">
        <v>526</v>
      </c>
    </row>
    <row r="174" spans="1:1" x14ac:dyDescent="0.3">
      <c r="A174" t="s">
        <v>525</v>
      </c>
    </row>
    <row r="175" spans="1:1" x14ac:dyDescent="0.3">
      <c r="A175" t="s">
        <v>524</v>
      </c>
    </row>
    <row r="176" spans="1:1" x14ac:dyDescent="0.3">
      <c r="A176" t="s">
        <v>523</v>
      </c>
    </row>
    <row r="177" spans="1:1" x14ac:dyDescent="0.3">
      <c r="A177" t="s">
        <v>522</v>
      </c>
    </row>
    <row r="178" spans="1:1" x14ac:dyDescent="0.3">
      <c r="A178" t="s">
        <v>521</v>
      </c>
    </row>
    <row r="179" spans="1:1" x14ac:dyDescent="0.3">
      <c r="A179" t="s">
        <v>520</v>
      </c>
    </row>
    <row r="180" spans="1:1" x14ac:dyDescent="0.3">
      <c r="A180" t="s">
        <v>519</v>
      </c>
    </row>
    <row r="181" spans="1:1" x14ac:dyDescent="0.3">
      <c r="A181" t="s">
        <v>518</v>
      </c>
    </row>
    <row r="182" spans="1:1" x14ac:dyDescent="0.3">
      <c r="A182" t="s">
        <v>517</v>
      </c>
    </row>
    <row r="183" spans="1:1" x14ac:dyDescent="0.3">
      <c r="A183" t="s">
        <v>516</v>
      </c>
    </row>
    <row r="184" spans="1:1" x14ac:dyDescent="0.3">
      <c r="A184" t="s">
        <v>515</v>
      </c>
    </row>
    <row r="185" spans="1:1" x14ac:dyDescent="0.3">
      <c r="A185" t="s">
        <v>514</v>
      </c>
    </row>
    <row r="186" spans="1:1" x14ac:dyDescent="0.3">
      <c r="A186" t="s">
        <v>513</v>
      </c>
    </row>
    <row r="187" spans="1:1" x14ac:dyDescent="0.3">
      <c r="A187" t="s">
        <v>512</v>
      </c>
    </row>
    <row r="188" spans="1:1" x14ac:dyDescent="0.3">
      <c r="A188" t="s">
        <v>511</v>
      </c>
    </row>
    <row r="189" spans="1:1" x14ac:dyDescent="0.3">
      <c r="A189" t="s">
        <v>510</v>
      </c>
    </row>
    <row r="190" spans="1:1" x14ac:dyDescent="0.3">
      <c r="A190" t="s">
        <v>509</v>
      </c>
    </row>
    <row r="191" spans="1:1" x14ac:dyDescent="0.3">
      <c r="A191" t="s">
        <v>508</v>
      </c>
    </row>
    <row r="192" spans="1:1" x14ac:dyDescent="0.3">
      <c r="A192" t="s">
        <v>507</v>
      </c>
    </row>
    <row r="193" spans="1:1" x14ac:dyDescent="0.3">
      <c r="A193" t="s">
        <v>506</v>
      </c>
    </row>
    <row r="194" spans="1:1" x14ac:dyDescent="0.3">
      <c r="A194" t="s">
        <v>505</v>
      </c>
    </row>
    <row r="195" spans="1:1" x14ac:dyDescent="0.3">
      <c r="A195" t="s">
        <v>504</v>
      </c>
    </row>
    <row r="196" spans="1:1" x14ac:dyDescent="0.3">
      <c r="A196" t="s">
        <v>503</v>
      </c>
    </row>
    <row r="197" spans="1:1" x14ac:dyDescent="0.3">
      <c r="A197" t="s">
        <v>502</v>
      </c>
    </row>
    <row r="198" spans="1:1" x14ac:dyDescent="0.3">
      <c r="A198" t="s">
        <v>501</v>
      </c>
    </row>
    <row r="199" spans="1:1" x14ac:dyDescent="0.3">
      <c r="A199" t="s">
        <v>500</v>
      </c>
    </row>
    <row r="200" spans="1:1" x14ac:dyDescent="0.3">
      <c r="A200" t="s">
        <v>499</v>
      </c>
    </row>
    <row r="201" spans="1:1" x14ac:dyDescent="0.3">
      <c r="A201" t="s">
        <v>498</v>
      </c>
    </row>
    <row r="202" spans="1:1" x14ac:dyDescent="0.3">
      <c r="A202" t="s">
        <v>497</v>
      </c>
    </row>
    <row r="203" spans="1:1" x14ac:dyDescent="0.3">
      <c r="A203" t="s">
        <v>496</v>
      </c>
    </row>
    <row r="204" spans="1:1" x14ac:dyDescent="0.3">
      <c r="A204" t="s">
        <v>495</v>
      </c>
    </row>
    <row r="205" spans="1:1" x14ac:dyDescent="0.3">
      <c r="A205" t="s">
        <v>494</v>
      </c>
    </row>
    <row r="206" spans="1:1" x14ac:dyDescent="0.3">
      <c r="A206" t="s">
        <v>493</v>
      </c>
    </row>
    <row r="207" spans="1:1" x14ac:dyDescent="0.3">
      <c r="A207" t="s">
        <v>492</v>
      </c>
    </row>
    <row r="208" spans="1:1" x14ac:dyDescent="0.3">
      <c r="A208" t="s">
        <v>491</v>
      </c>
    </row>
    <row r="209" spans="1:1" x14ac:dyDescent="0.3">
      <c r="A209" t="s">
        <v>490</v>
      </c>
    </row>
    <row r="210" spans="1:1" x14ac:dyDescent="0.3">
      <c r="A210" t="s">
        <v>489</v>
      </c>
    </row>
    <row r="211" spans="1:1" x14ac:dyDescent="0.3">
      <c r="A211" t="s">
        <v>488</v>
      </c>
    </row>
    <row r="212" spans="1:1" x14ac:dyDescent="0.3">
      <c r="A212" t="s">
        <v>487</v>
      </c>
    </row>
    <row r="213" spans="1:1" x14ac:dyDescent="0.3">
      <c r="A213" t="s">
        <v>486</v>
      </c>
    </row>
    <row r="214" spans="1:1" x14ac:dyDescent="0.3">
      <c r="A214" t="s">
        <v>485</v>
      </c>
    </row>
    <row r="215" spans="1:1" x14ac:dyDescent="0.3">
      <c r="A215" t="s">
        <v>484</v>
      </c>
    </row>
    <row r="216" spans="1:1" x14ac:dyDescent="0.3">
      <c r="A216" t="s">
        <v>483</v>
      </c>
    </row>
    <row r="217" spans="1:1" x14ac:dyDescent="0.3">
      <c r="A217" t="s">
        <v>482</v>
      </c>
    </row>
    <row r="218" spans="1:1" x14ac:dyDescent="0.3">
      <c r="A218" t="s">
        <v>481</v>
      </c>
    </row>
    <row r="219" spans="1:1" x14ac:dyDescent="0.3">
      <c r="A219" t="s">
        <v>480</v>
      </c>
    </row>
    <row r="220" spans="1:1" x14ac:dyDescent="0.3">
      <c r="A220" t="s">
        <v>479</v>
      </c>
    </row>
    <row r="221" spans="1:1" x14ac:dyDescent="0.3">
      <c r="A221" t="s">
        <v>478</v>
      </c>
    </row>
    <row r="222" spans="1:1" x14ac:dyDescent="0.3">
      <c r="A222" t="s">
        <v>477</v>
      </c>
    </row>
    <row r="223" spans="1:1" x14ac:dyDescent="0.3">
      <c r="A223" t="s">
        <v>476</v>
      </c>
    </row>
    <row r="224" spans="1:1" x14ac:dyDescent="0.3">
      <c r="A224" t="s">
        <v>475</v>
      </c>
    </row>
    <row r="225" spans="1:1" x14ac:dyDescent="0.3">
      <c r="A225" t="s">
        <v>474</v>
      </c>
    </row>
    <row r="226" spans="1:1" x14ac:dyDescent="0.3">
      <c r="A226" t="s">
        <v>473</v>
      </c>
    </row>
    <row r="227" spans="1:1" x14ac:dyDescent="0.3">
      <c r="A227" t="s">
        <v>472</v>
      </c>
    </row>
    <row r="228" spans="1:1" x14ac:dyDescent="0.3">
      <c r="A228" t="s">
        <v>471</v>
      </c>
    </row>
    <row r="229" spans="1:1" x14ac:dyDescent="0.3">
      <c r="A229" t="s">
        <v>470</v>
      </c>
    </row>
    <row r="230" spans="1:1" x14ac:dyDescent="0.3">
      <c r="A230" t="s">
        <v>469</v>
      </c>
    </row>
    <row r="231" spans="1:1" x14ac:dyDescent="0.3">
      <c r="A231" t="s">
        <v>468</v>
      </c>
    </row>
    <row r="232" spans="1:1" x14ac:dyDescent="0.3">
      <c r="A232" t="s">
        <v>467</v>
      </c>
    </row>
    <row r="233" spans="1:1" x14ac:dyDescent="0.3">
      <c r="A233" t="s">
        <v>466</v>
      </c>
    </row>
    <row r="234" spans="1:1" x14ac:dyDescent="0.3">
      <c r="A234" t="s">
        <v>465</v>
      </c>
    </row>
    <row r="235" spans="1:1" x14ac:dyDescent="0.3">
      <c r="A235" t="s">
        <v>464</v>
      </c>
    </row>
    <row r="236" spans="1:1" x14ac:dyDescent="0.3">
      <c r="A236" t="s">
        <v>463</v>
      </c>
    </row>
    <row r="237" spans="1:1" x14ac:dyDescent="0.3">
      <c r="A237" t="s">
        <v>462</v>
      </c>
    </row>
    <row r="238" spans="1:1" x14ac:dyDescent="0.3">
      <c r="A238" t="s">
        <v>461</v>
      </c>
    </row>
    <row r="239" spans="1:1" x14ac:dyDescent="0.3">
      <c r="A239" t="s">
        <v>460</v>
      </c>
    </row>
    <row r="240" spans="1:1" x14ac:dyDescent="0.3">
      <c r="A240" t="s">
        <v>459</v>
      </c>
    </row>
    <row r="241" spans="1:1" x14ac:dyDescent="0.3">
      <c r="A241" t="s">
        <v>458</v>
      </c>
    </row>
    <row r="242" spans="1:1" x14ac:dyDescent="0.3">
      <c r="A242" t="s">
        <v>457</v>
      </c>
    </row>
    <row r="243" spans="1:1" x14ac:dyDescent="0.3">
      <c r="A243" t="s">
        <v>456</v>
      </c>
    </row>
    <row r="244" spans="1:1" x14ac:dyDescent="0.3">
      <c r="A244" t="s">
        <v>455</v>
      </c>
    </row>
    <row r="245" spans="1:1" x14ac:dyDescent="0.3">
      <c r="A245" t="s">
        <v>454</v>
      </c>
    </row>
    <row r="246" spans="1:1" x14ac:dyDescent="0.3">
      <c r="A246" t="s">
        <v>453</v>
      </c>
    </row>
    <row r="247" spans="1:1" x14ac:dyDescent="0.3">
      <c r="A247" t="s">
        <v>452</v>
      </c>
    </row>
    <row r="248" spans="1:1" x14ac:dyDescent="0.3">
      <c r="A248" t="s">
        <v>451</v>
      </c>
    </row>
    <row r="249" spans="1:1" x14ac:dyDescent="0.3">
      <c r="A249" t="s">
        <v>450</v>
      </c>
    </row>
    <row r="250" spans="1:1" x14ac:dyDescent="0.3">
      <c r="A250" t="s">
        <v>449</v>
      </c>
    </row>
    <row r="251" spans="1:1" x14ac:dyDescent="0.3">
      <c r="A251" t="s">
        <v>448</v>
      </c>
    </row>
    <row r="252" spans="1:1" x14ac:dyDescent="0.3">
      <c r="A252" t="s">
        <v>447</v>
      </c>
    </row>
    <row r="253" spans="1:1" x14ac:dyDescent="0.3">
      <c r="A253" t="s">
        <v>446</v>
      </c>
    </row>
    <row r="254" spans="1:1" x14ac:dyDescent="0.3">
      <c r="A254" t="s">
        <v>445</v>
      </c>
    </row>
    <row r="255" spans="1:1" x14ac:dyDescent="0.3">
      <c r="A255" t="s">
        <v>444</v>
      </c>
    </row>
    <row r="256" spans="1:1" x14ac:dyDescent="0.3">
      <c r="A256" t="s">
        <v>443</v>
      </c>
    </row>
    <row r="257" spans="1:1" x14ac:dyDescent="0.3">
      <c r="A257" t="s">
        <v>442</v>
      </c>
    </row>
    <row r="258" spans="1:1" x14ac:dyDescent="0.3">
      <c r="A258" t="s">
        <v>441</v>
      </c>
    </row>
    <row r="259" spans="1:1" x14ac:dyDescent="0.3">
      <c r="A259" t="s">
        <v>440</v>
      </c>
    </row>
    <row r="260" spans="1:1" x14ac:dyDescent="0.3">
      <c r="A260" t="s">
        <v>439</v>
      </c>
    </row>
    <row r="261" spans="1:1" x14ac:dyDescent="0.3">
      <c r="A261" t="s">
        <v>438</v>
      </c>
    </row>
    <row r="262" spans="1:1" x14ac:dyDescent="0.3">
      <c r="A262" t="s">
        <v>437</v>
      </c>
    </row>
    <row r="263" spans="1:1" x14ac:dyDescent="0.3">
      <c r="A263" t="s">
        <v>436</v>
      </c>
    </row>
    <row r="264" spans="1:1" x14ac:dyDescent="0.3">
      <c r="A264" t="s">
        <v>435</v>
      </c>
    </row>
    <row r="265" spans="1:1" x14ac:dyDescent="0.3">
      <c r="A265" t="s">
        <v>434</v>
      </c>
    </row>
    <row r="266" spans="1:1" x14ac:dyDescent="0.3">
      <c r="A266" t="s">
        <v>433</v>
      </c>
    </row>
    <row r="267" spans="1:1" x14ac:dyDescent="0.3">
      <c r="A267" t="s">
        <v>432</v>
      </c>
    </row>
    <row r="268" spans="1:1" x14ac:dyDescent="0.3">
      <c r="A268" t="s">
        <v>431</v>
      </c>
    </row>
    <row r="269" spans="1:1" x14ac:dyDescent="0.3">
      <c r="A269" t="s">
        <v>430</v>
      </c>
    </row>
    <row r="270" spans="1:1" x14ac:dyDescent="0.3">
      <c r="A270" t="s">
        <v>429</v>
      </c>
    </row>
    <row r="271" spans="1:1" x14ac:dyDescent="0.3">
      <c r="A271" t="s">
        <v>428</v>
      </c>
    </row>
    <row r="272" spans="1:1" x14ac:dyDescent="0.3">
      <c r="A272" t="s">
        <v>427</v>
      </c>
    </row>
    <row r="273" spans="1:1" x14ac:dyDescent="0.3">
      <c r="A273" t="s">
        <v>426</v>
      </c>
    </row>
    <row r="274" spans="1:1" x14ac:dyDescent="0.3">
      <c r="A274" t="s">
        <v>425</v>
      </c>
    </row>
    <row r="275" spans="1:1" x14ac:dyDescent="0.3">
      <c r="A275" t="s">
        <v>424</v>
      </c>
    </row>
    <row r="276" spans="1:1" x14ac:dyDescent="0.3">
      <c r="A276" t="s">
        <v>423</v>
      </c>
    </row>
    <row r="277" spans="1:1" x14ac:dyDescent="0.3">
      <c r="A277" t="s">
        <v>422</v>
      </c>
    </row>
    <row r="278" spans="1:1" x14ac:dyDescent="0.3">
      <c r="A278" t="s">
        <v>421</v>
      </c>
    </row>
    <row r="279" spans="1:1" x14ac:dyDescent="0.3">
      <c r="A279" t="s">
        <v>420</v>
      </c>
    </row>
    <row r="280" spans="1:1" x14ac:dyDescent="0.3">
      <c r="A280" t="s">
        <v>419</v>
      </c>
    </row>
    <row r="281" spans="1:1" x14ac:dyDescent="0.3">
      <c r="A281" t="s">
        <v>418</v>
      </c>
    </row>
    <row r="283" spans="1:1" x14ac:dyDescent="0.3">
      <c r="A283" t="s">
        <v>416</v>
      </c>
    </row>
    <row r="284" spans="1:1" x14ac:dyDescent="0.3">
      <c r="A284" t="s">
        <v>417</v>
      </c>
    </row>
    <row r="285" spans="1:1" x14ac:dyDescent="0.3">
      <c r="A285" t="s">
        <v>416</v>
      </c>
    </row>
    <row r="287" spans="1:1" x14ac:dyDescent="0.3">
      <c r="A287" t="s">
        <v>415</v>
      </c>
    </row>
    <row r="288" spans="1:1" x14ac:dyDescent="0.3">
      <c r="A288" t="s">
        <v>414</v>
      </c>
    </row>
    <row r="289" spans="1:1" x14ac:dyDescent="0.3">
      <c r="A289">
        <v>246</v>
      </c>
    </row>
    <row r="290" spans="1:1" x14ac:dyDescent="0.3">
      <c r="A290" t="s">
        <v>413</v>
      </c>
    </row>
    <row r="293" spans="1:1" x14ac:dyDescent="0.3">
      <c r="A293" t="s">
        <v>412</v>
      </c>
    </row>
    <row r="294" spans="1:1" x14ac:dyDescent="0.3">
      <c r="A294" t="s">
        <v>411</v>
      </c>
    </row>
    <row r="297" spans="1:1" x14ac:dyDescent="0.3">
      <c r="A297" t="s">
        <v>410</v>
      </c>
    </row>
    <row r="299" spans="1:1" x14ac:dyDescent="0.3">
      <c r="A299" t="s">
        <v>409</v>
      </c>
    </row>
    <row r="300" spans="1:1" x14ac:dyDescent="0.3">
      <c r="A300" t="s">
        <v>408</v>
      </c>
    </row>
    <row r="301" spans="1:1" x14ac:dyDescent="0.3">
      <c r="A301" t="s">
        <v>407</v>
      </c>
    </row>
    <row r="302" spans="1:1" x14ac:dyDescent="0.3">
      <c r="A302" t="s">
        <v>406</v>
      </c>
    </row>
    <row r="303" spans="1:1" x14ac:dyDescent="0.3">
      <c r="A303" t="s">
        <v>405</v>
      </c>
    </row>
    <row r="304" spans="1:1" x14ac:dyDescent="0.3">
      <c r="A304" t="s">
        <v>404</v>
      </c>
    </row>
    <row r="305" spans="1:1" x14ac:dyDescent="0.3">
      <c r="A305" t="s">
        <v>403</v>
      </c>
    </row>
    <row r="306" spans="1:1" x14ac:dyDescent="0.3">
      <c r="A306" t="s">
        <v>402</v>
      </c>
    </row>
    <row r="307" spans="1:1" x14ac:dyDescent="0.3">
      <c r="A307" t="s">
        <v>401</v>
      </c>
    </row>
    <row r="308" spans="1:1" x14ac:dyDescent="0.3">
      <c r="A308" t="s">
        <v>400</v>
      </c>
    </row>
    <row r="309" spans="1:1" x14ac:dyDescent="0.3">
      <c r="A309" t="s">
        <v>399</v>
      </c>
    </row>
    <row r="310" spans="1:1" x14ac:dyDescent="0.3">
      <c r="A310" t="s">
        <v>398</v>
      </c>
    </row>
    <row r="311" spans="1:1" x14ac:dyDescent="0.3">
      <c r="A311" t="s">
        <v>397</v>
      </c>
    </row>
    <row r="312" spans="1:1" x14ac:dyDescent="0.3">
      <c r="A312" t="s">
        <v>396</v>
      </c>
    </row>
    <row r="313" spans="1:1" x14ac:dyDescent="0.3">
      <c r="A313" t="s">
        <v>395</v>
      </c>
    </row>
    <row r="314" spans="1:1" x14ac:dyDescent="0.3">
      <c r="A314" t="s">
        <v>394</v>
      </c>
    </row>
    <row r="315" spans="1:1" x14ac:dyDescent="0.3">
      <c r="A315" t="s">
        <v>393</v>
      </c>
    </row>
    <row r="316" spans="1:1" x14ac:dyDescent="0.3">
      <c r="A316" t="s">
        <v>392</v>
      </c>
    </row>
    <row r="317" spans="1:1" x14ac:dyDescent="0.3">
      <c r="A317" t="s">
        <v>391</v>
      </c>
    </row>
    <row r="318" spans="1:1" x14ac:dyDescent="0.3">
      <c r="A318" t="s">
        <v>390</v>
      </c>
    </row>
    <row r="319" spans="1:1" x14ac:dyDescent="0.3">
      <c r="A319" t="s">
        <v>389</v>
      </c>
    </row>
    <row r="320" spans="1:1" x14ac:dyDescent="0.3">
      <c r="A320" t="s">
        <v>388</v>
      </c>
    </row>
    <row r="321" spans="1:1" x14ac:dyDescent="0.3">
      <c r="A321" t="s">
        <v>387</v>
      </c>
    </row>
    <row r="322" spans="1:1" x14ac:dyDescent="0.3">
      <c r="A322" t="s">
        <v>386</v>
      </c>
    </row>
    <row r="323" spans="1:1" x14ac:dyDescent="0.3">
      <c r="A323" t="s">
        <v>385</v>
      </c>
    </row>
    <row r="324" spans="1:1" x14ac:dyDescent="0.3">
      <c r="A324" t="s">
        <v>384</v>
      </c>
    </row>
    <row r="325" spans="1:1" x14ac:dyDescent="0.3">
      <c r="A325" t="s">
        <v>383</v>
      </c>
    </row>
    <row r="326" spans="1:1" x14ac:dyDescent="0.3">
      <c r="A326" t="s">
        <v>382</v>
      </c>
    </row>
    <row r="327" spans="1:1" x14ac:dyDescent="0.3">
      <c r="A327" t="s">
        <v>381</v>
      </c>
    </row>
    <row r="328" spans="1:1" x14ac:dyDescent="0.3">
      <c r="A328" t="s">
        <v>380</v>
      </c>
    </row>
    <row r="329" spans="1:1" x14ac:dyDescent="0.3">
      <c r="A329" t="s">
        <v>379</v>
      </c>
    </row>
    <row r="330" spans="1:1" x14ac:dyDescent="0.3">
      <c r="A330" t="s">
        <v>378</v>
      </c>
    </row>
    <row r="331" spans="1:1" x14ac:dyDescent="0.3">
      <c r="A331" t="s">
        <v>377</v>
      </c>
    </row>
    <row r="332" spans="1:1" x14ac:dyDescent="0.3">
      <c r="A332" t="s">
        <v>376</v>
      </c>
    </row>
    <row r="333" spans="1:1" x14ac:dyDescent="0.3">
      <c r="A333" t="s">
        <v>375</v>
      </c>
    </row>
    <row r="334" spans="1:1" x14ac:dyDescent="0.3">
      <c r="A334" t="s">
        <v>374</v>
      </c>
    </row>
    <row r="335" spans="1:1" x14ac:dyDescent="0.3">
      <c r="A335" t="s">
        <v>373</v>
      </c>
    </row>
    <row r="336" spans="1:1" x14ac:dyDescent="0.3">
      <c r="A336" t="s">
        <v>372</v>
      </c>
    </row>
    <row r="337" spans="1:1" x14ac:dyDescent="0.3">
      <c r="A337" t="s">
        <v>371</v>
      </c>
    </row>
    <row r="338" spans="1:1" x14ac:dyDescent="0.3">
      <c r="A338" t="s">
        <v>370</v>
      </c>
    </row>
    <row r="339" spans="1:1" x14ac:dyDescent="0.3">
      <c r="A339" t="s">
        <v>369</v>
      </c>
    </row>
    <row r="340" spans="1:1" x14ac:dyDescent="0.3">
      <c r="A340" t="s">
        <v>368</v>
      </c>
    </row>
    <row r="341" spans="1:1" x14ac:dyDescent="0.3">
      <c r="A341" t="s">
        <v>367</v>
      </c>
    </row>
    <row r="342" spans="1:1" x14ac:dyDescent="0.3">
      <c r="A342" t="s">
        <v>366</v>
      </c>
    </row>
    <row r="343" spans="1:1" x14ac:dyDescent="0.3">
      <c r="A343" t="s">
        <v>365</v>
      </c>
    </row>
    <row r="344" spans="1:1" x14ac:dyDescent="0.3">
      <c r="A344" t="s">
        <v>364</v>
      </c>
    </row>
    <row r="345" spans="1:1" x14ac:dyDescent="0.3">
      <c r="A345" t="s">
        <v>363</v>
      </c>
    </row>
    <row r="346" spans="1:1" x14ac:dyDescent="0.3">
      <c r="A346" t="s">
        <v>362</v>
      </c>
    </row>
    <row r="347" spans="1:1" x14ac:dyDescent="0.3">
      <c r="A347" t="s">
        <v>361</v>
      </c>
    </row>
    <row r="348" spans="1:1" x14ac:dyDescent="0.3">
      <c r="A348" t="s">
        <v>360</v>
      </c>
    </row>
    <row r="349" spans="1:1" x14ac:dyDescent="0.3">
      <c r="A349" t="s">
        <v>359</v>
      </c>
    </row>
    <row r="350" spans="1:1" x14ac:dyDescent="0.3">
      <c r="A350" t="s">
        <v>358</v>
      </c>
    </row>
    <row r="351" spans="1:1" x14ac:dyDescent="0.3">
      <c r="A351" t="s">
        <v>357</v>
      </c>
    </row>
    <row r="352" spans="1:1" x14ac:dyDescent="0.3">
      <c r="A352" t="s">
        <v>356</v>
      </c>
    </row>
    <row r="353" spans="1:1" x14ac:dyDescent="0.3">
      <c r="A353" t="s">
        <v>355</v>
      </c>
    </row>
    <row r="354" spans="1:1" x14ac:dyDescent="0.3">
      <c r="A354" t="s">
        <v>354</v>
      </c>
    </row>
    <row r="355" spans="1:1" x14ac:dyDescent="0.3">
      <c r="A355" t="s">
        <v>353</v>
      </c>
    </row>
    <row r="356" spans="1:1" x14ac:dyDescent="0.3">
      <c r="A356" t="s">
        <v>352</v>
      </c>
    </row>
    <row r="357" spans="1:1" x14ac:dyDescent="0.3">
      <c r="A357" t="s">
        <v>351</v>
      </c>
    </row>
    <row r="358" spans="1:1" x14ac:dyDescent="0.3">
      <c r="A358" t="s">
        <v>350</v>
      </c>
    </row>
    <row r="359" spans="1:1" x14ac:dyDescent="0.3">
      <c r="A359" t="s">
        <v>349</v>
      </c>
    </row>
    <row r="360" spans="1:1" x14ac:dyDescent="0.3">
      <c r="A360" t="s">
        <v>348</v>
      </c>
    </row>
    <row r="361" spans="1:1" x14ac:dyDescent="0.3">
      <c r="A361" t="s">
        <v>347</v>
      </c>
    </row>
    <row r="362" spans="1:1" x14ac:dyDescent="0.3">
      <c r="A362" t="s">
        <v>346</v>
      </c>
    </row>
    <row r="363" spans="1:1" x14ac:dyDescent="0.3">
      <c r="A363" t="s">
        <v>345</v>
      </c>
    </row>
    <row r="364" spans="1:1" x14ac:dyDescent="0.3">
      <c r="A364" t="s">
        <v>344</v>
      </c>
    </row>
    <row r="365" spans="1:1" x14ac:dyDescent="0.3">
      <c r="A365" t="s">
        <v>343</v>
      </c>
    </row>
    <row r="366" spans="1:1" x14ac:dyDescent="0.3">
      <c r="A366" t="s">
        <v>342</v>
      </c>
    </row>
    <row r="367" spans="1:1" x14ac:dyDescent="0.3">
      <c r="A367" t="s">
        <v>341</v>
      </c>
    </row>
    <row r="368" spans="1:1" x14ac:dyDescent="0.3">
      <c r="A368" t="s">
        <v>340</v>
      </c>
    </row>
    <row r="369" spans="1:1" x14ac:dyDescent="0.3">
      <c r="A369" t="s">
        <v>339</v>
      </c>
    </row>
    <row r="370" spans="1:1" x14ac:dyDescent="0.3">
      <c r="A370" t="s">
        <v>338</v>
      </c>
    </row>
    <row r="371" spans="1:1" x14ac:dyDescent="0.3">
      <c r="A371" t="s">
        <v>337</v>
      </c>
    </row>
    <row r="372" spans="1:1" x14ac:dyDescent="0.3">
      <c r="A372" t="s">
        <v>336</v>
      </c>
    </row>
    <row r="373" spans="1:1" x14ac:dyDescent="0.3">
      <c r="A373" t="s">
        <v>335</v>
      </c>
    </row>
    <row r="374" spans="1:1" x14ac:dyDescent="0.3">
      <c r="A374" t="s">
        <v>334</v>
      </c>
    </row>
    <row r="375" spans="1:1" x14ac:dyDescent="0.3">
      <c r="A375" t="s">
        <v>333</v>
      </c>
    </row>
    <row r="376" spans="1:1" x14ac:dyDescent="0.3">
      <c r="A376" t="s">
        <v>332</v>
      </c>
    </row>
    <row r="377" spans="1:1" x14ac:dyDescent="0.3">
      <c r="A377" t="s">
        <v>331</v>
      </c>
    </row>
    <row r="378" spans="1:1" x14ac:dyDescent="0.3">
      <c r="A378" t="s">
        <v>330</v>
      </c>
    </row>
    <row r="379" spans="1:1" x14ac:dyDescent="0.3">
      <c r="A379" t="s">
        <v>329</v>
      </c>
    </row>
    <row r="380" spans="1:1" x14ac:dyDescent="0.3">
      <c r="A380" t="s">
        <v>328</v>
      </c>
    </row>
    <row r="381" spans="1:1" x14ac:dyDescent="0.3">
      <c r="A381" t="s">
        <v>327</v>
      </c>
    </row>
    <row r="382" spans="1:1" x14ac:dyDescent="0.3">
      <c r="A382" t="s">
        <v>326</v>
      </c>
    </row>
    <row r="383" spans="1:1" x14ac:dyDescent="0.3">
      <c r="A383" t="s">
        <v>325</v>
      </c>
    </row>
    <row r="384" spans="1:1" x14ac:dyDescent="0.3">
      <c r="A384" t="s">
        <v>324</v>
      </c>
    </row>
    <row r="385" spans="1:1" x14ac:dyDescent="0.3">
      <c r="A385" t="s">
        <v>323</v>
      </c>
    </row>
    <row r="386" spans="1:1" x14ac:dyDescent="0.3">
      <c r="A386" t="s">
        <v>322</v>
      </c>
    </row>
    <row r="387" spans="1:1" x14ac:dyDescent="0.3">
      <c r="A387" t="s">
        <v>321</v>
      </c>
    </row>
    <row r="388" spans="1:1" x14ac:dyDescent="0.3">
      <c r="A388" t="s">
        <v>320</v>
      </c>
    </row>
    <row r="389" spans="1:1" x14ac:dyDescent="0.3">
      <c r="A389" t="s">
        <v>319</v>
      </c>
    </row>
    <row r="390" spans="1:1" x14ac:dyDescent="0.3">
      <c r="A390" t="s">
        <v>318</v>
      </c>
    </row>
    <row r="391" spans="1:1" x14ac:dyDescent="0.3">
      <c r="A391" t="s">
        <v>317</v>
      </c>
    </row>
    <row r="392" spans="1:1" x14ac:dyDescent="0.3">
      <c r="A392" t="s">
        <v>316</v>
      </c>
    </row>
    <row r="393" spans="1:1" x14ac:dyDescent="0.3">
      <c r="A393" t="s">
        <v>315</v>
      </c>
    </row>
    <row r="394" spans="1:1" x14ac:dyDescent="0.3">
      <c r="A394" t="s">
        <v>314</v>
      </c>
    </row>
    <row r="395" spans="1:1" x14ac:dyDescent="0.3">
      <c r="A395" t="s">
        <v>313</v>
      </c>
    </row>
    <row r="396" spans="1:1" x14ac:dyDescent="0.3">
      <c r="A396" t="s">
        <v>312</v>
      </c>
    </row>
    <row r="397" spans="1:1" x14ac:dyDescent="0.3">
      <c r="A397" t="s">
        <v>311</v>
      </c>
    </row>
    <row r="398" spans="1:1" x14ac:dyDescent="0.3">
      <c r="A398" t="s">
        <v>310</v>
      </c>
    </row>
    <row r="399" spans="1:1" x14ac:dyDescent="0.3">
      <c r="A399" t="s">
        <v>309</v>
      </c>
    </row>
    <row r="400" spans="1:1" x14ac:dyDescent="0.3">
      <c r="A400" t="s">
        <v>308</v>
      </c>
    </row>
    <row r="401" spans="1:1" x14ac:dyDescent="0.3">
      <c r="A401" t="s">
        <v>307</v>
      </c>
    </row>
    <row r="402" spans="1:1" x14ac:dyDescent="0.3">
      <c r="A402" t="s">
        <v>306</v>
      </c>
    </row>
    <row r="403" spans="1:1" x14ac:dyDescent="0.3">
      <c r="A403" t="s">
        <v>305</v>
      </c>
    </row>
    <row r="404" spans="1:1" x14ac:dyDescent="0.3">
      <c r="A404" t="s">
        <v>304</v>
      </c>
    </row>
    <row r="405" spans="1:1" x14ac:dyDescent="0.3">
      <c r="A405" t="s">
        <v>303</v>
      </c>
    </row>
    <row r="406" spans="1:1" x14ac:dyDescent="0.3">
      <c r="A406" t="s">
        <v>302</v>
      </c>
    </row>
    <row r="407" spans="1:1" x14ac:dyDescent="0.3">
      <c r="A407" t="s">
        <v>301</v>
      </c>
    </row>
    <row r="408" spans="1:1" x14ac:dyDescent="0.3">
      <c r="A408" t="s">
        <v>300</v>
      </c>
    </row>
    <row r="409" spans="1:1" x14ac:dyDescent="0.3">
      <c r="A409" t="s">
        <v>299</v>
      </c>
    </row>
    <row r="410" spans="1:1" x14ac:dyDescent="0.3">
      <c r="A410" t="s">
        <v>298</v>
      </c>
    </row>
    <row r="411" spans="1:1" x14ac:dyDescent="0.3">
      <c r="A411" t="s">
        <v>297</v>
      </c>
    </row>
    <row r="412" spans="1:1" x14ac:dyDescent="0.3">
      <c r="A412" t="s">
        <v>296</v>
      </c>
    </row>
    <row r="413" spans="1:1" x14ac:dyDescent="0.3">
      <c r="A413" t="s">
        <v>295</v>
      </c>
    </row>
    <row r="414" spans="1:1" x14ac:dyDescent="0.3">
      <c r="A414" t="s">
        <v>294</v>
      </c>
    </row>
    <row r="415" spans="1:1" x14ac:dyDescent="0.3">
      <c r="A415" t="s">
        <v>293</v>
      </c>
    </row>
    <row r="416" spans="1:1" x14ac:dyDescent="0.3">
      <c r="A416" t="s">
        <v>292</v>
      </c>
    </row>
    <row r="417" spans="1:1" x14ac:dyDescent="0.3">
      <c r="A417" t="s">
        <v>291</v>
      </c>
    </row>
    <row r="418" spans="1:1" x14ac:dyDescent="0.3">
      <c r="A418" t="s">
        <v>290</v>
      </c>
    </row>
    <row r="419" spans="1:1" x14ac:dyDescent="0.3">
      <c r="A419" t="s">
        <v>289</v>
      </c>
    </row>
    <row r="420" spans="1:1" x14ac:dyDescent="0.3">
      <c r="A420" t="s">
        <v>288</v>
      </c>
    </row>
    <row r="421" spans="1:1" x14ac:dyDescent="0.3">
      <c r="A421" t="s">
        <v>287</v>
      </c>
    </row>
    <row r="422" spans="1:1" x14ac:dyDescent="0.3">
      <c r="A422" t="s">
        <v>286</v>
      </c>
    </row>
    <row r="423" spans="1:1" x14ac:dyDescent="0.3">
      <c r="A423" t="s">
        <v>285</v>
      </c>
    </row>
    <row r="424" spans="1:1" x14ac:dyDescent="0.3">
      <c r="A424" t="s">
        <v>284</v>
      </c>
    </row>
    <row r="425" spans="1:1" x14ac:dyDescent="0.3">
      <c r="A425" t="s">
        <v>283</v>
      </c>
    </row>
    <row r="426" spans="1:1" x14ac:dyDescent="0.3">
      <c r="A426" t="s">
        <v>282</v>
      </c>
    </row>
    <row r="427" spans="1:1" x14ac:dyDescent="0.3">
      <c r="A427" t="s">
        <v>281</v>
      </c>
    </row>
    <row r="428" spans="1:1" x14ac:dyDescent="0.3">
      <c r="A428" t="s">
        <v>280</v>
      </c>
    </row>
    <row r="429" spans="1:1" x14ac:dyDescent="0.3">
      <c r="A429" t="s">
        <v>279</v>
      </c>
    </row>
    <row r="430" spans="1:1" x14ac:dyDescent="0.3">
      <c r="A430" t="s">
        <v>278</v>
      </c>
    </row>
    <row r="431" spans="1:1" x14ac:dyDescent="0.3">
      <c r="A431" t="s">
        <v>277</v>
      </c>
    </row>
    <row r="432" spans="1:1" x14ac:dyDescent="0.3">
      <c r="A432" t="s">
        <v>276</v>
      </c>
    </row>
    <row r="433" spans="1:1" x14ac:dyDescent="0.3">
      <c r="A433" t="s">
        <v>275</v>
      </c>
    </row>
    <row r="434" spans="1:1" x14ac:dyDescent="0.3">
      <c r="A434" t="s">
        <v>274</v>
      </c>
    </row>
    <row r="435" spans="1:1" x14ac:dyDescent="0.3">
      <c r="A435" t="s">
        <v>273</v>
      </c>
    </row>
    <row r="436" spans="1:1" x14ac:dyDescent="0.3">
      <c r="A436" t="s">
        <v>272</v>
      </c>
    </row>
    <row r="437" spans="1:1" x14ac:dyDescent="0.3">
      <c r="A437" t="s">
        <v>271</v>
      </c>
    </row>
    <row r="438" spans="1:1" x14ac:dyDescent="0.3">
      <c r="A438" t="s">
        <v>270</v>
      </c>
    </row>
    <row r="439" spans="1:1" x14ac:dyDescent="0.3">
      <c r="A439" t="s">
        <v>269</v>
      </c>
    </row>
    <row r="440" spans="1:1" x14ac:dyDescent="0.3">
      <c r="A440" t="s">
        <v>268</v>
      </c>
    </row>
    <row r="441" spans="1:1" x14ac:dyDescent="0.3">
      <c r="A441" t="s">
        <v>267</v>
      </c>
    </row>
    <row r="442" spans="1:1" x14ac:dyDescent="0.3">
      <c r="A442" t="s">
        <v>266</v>
      </c>
    </row>
    <row r="443" spans="1:1" x14ac:dyDescent="0.3">
      <c r="A443" t="s">
        <v>265</v>
      </c>
    </row>
    <row r="444" spans="1:1" x14ac:dyDescent="0.3">
      <c r="A444" t="s">
        <v>264</v>
      </c>
    </row>
    <row r="445" spans="1:1" x14ac:dyDescent="0.3">
      <c r="A445" t="s">
        <v>263</v>
      </c>
    </row>
    <row r="446" spans="1:1" x14ac:dyDescent="0.3">
      <c r="A446" t="s">
        <v>262</v>
      </c>
    </row>
    <row r="447" spans="1:1" x14ac:dyDescent="0.3">
      <c r="A447" t="s">
        <v>261</v>
      </c>
    </row>
    <row r="448" spans="1:1" x14ac:dyDescent="0.3">
      <c r="A448" t="s">
        <v>260</v>
      </c>
    </row>
    <row r="449" spans="1:1" x14ac:dyDescent="0.3">
      <c r="A449" t="s">
        <v>259</v>
      </c>
    </row>
    <row r="450" spans="1:1" x14ac:dyDescent="0.3">
      <c r="A450" t="s">
        <v>258</v>
      </c>
    </row>
    <row r="451" spans="1:1" x14ac:dyDescent="0.3">
      <c r="A451" t="s">
        <v>257</v>
      </c>
    </row>
    <row r="452" spans="1:1" x14ac:dyDescent="0.3">
      <c r="A452" t="s">
        <v>256</v>
      </c>
    </row>
    <row r="453" spans="1:1" x14ac:dyDescent="0.3">
      <c r="A453" t="s">
        <v>255</v>
      </c>
    </row>
    <row r="454" spans="1:1" x14ac:dyDescent="0.3">
      <c r="A454" t="s">
        <v>254</v>
      </c>
    </row>
    <row r="455" spans="1:1" x14ac:dyDescent="0.3">
      <c r="A455" t="s">
        <v>253</v>
      </c>
    </row>
    <row r="456" spans="1:1" x14ac:dyDescent="0.3">
      <c r="A456" t="s">
        <v>252</v>
      </c>
    </row>
    <row r="457" spans="1:1" x14ac:dyDescent="0.3">
      <c r="A457" t="s">
        <v>251</v>
      </c>
    </row>
    <row r="458" spans="1:1" x14ac:dyDescent="0.3">
      <c r="A458" t="s">
        <v>250</v>
      </c>
    </row>
    <row r="459" spans="1:1" x14ac:dyDescent="0.3">
      <c r="A459" t="s">
        <v>249</v>
      </c>
    </row>
    <row r="460" spans="1:1" x14ac:dyDescent="0.3">
      <c r="A460" t="s">
        <v>248</v>
      </c>
    </row>
    <row r="461" spans="1:1" x14ac:dyDescent="0.3">
      <c r="A461" t="s">
        <v>247</v>
      </c>
    </row>
    <row r="462" spans="1:1" x14ac:dyDescent="0.3">
      <c r="A462" t="s">
        <v>246</v>
      </c>
    </row>
    <row r="463" spans="1:1" x14ac:dyDescent="0.3">
      <c r="A463" t="s">
        <v>245</v>
      </c>
    </row>
    <row r="464" spans="1:1" x14ac:dyDescent="0.3">
      <c r="A464" t="s">
        <v>244</v>
      </c>
    </row>
    <row r="465" spans="1:1" x14ac:dyDescent="0.3">
      <c r="A465" t="s">
        <v>243</v>
      </c>
    </row>
    <row r="466" spans="1:1" x14ac:dyDescent="0.3">
      <c r="A466" t="s">
        <v>242</v>
      </c>
    </row>
    <row r="467" spans="1:1" x14ac:dyDescent="0.3">
      <c r="A467" t="s">
        <v>241</v>
      </c>
    </row>
    <row r="468" spans="1:1" x14ac:dyDescent="0.3">
      <c r="A468" t="s">
        <v>240</v>
      </c>
    </row>
    <row r="469" spans="1:1" x14ac:dyDescent="0.3">
      <c r="A469" t="s">
        <v>239</v>
      </c>
    </row>
    <row r="470" spans="1:1" x14ac:dyDescent="0.3">
      <c r="A470" t="s">
        <v>238</v>
      </c>
    </row>
    <row r="471" spans="1:1" x14ac:dyDescent="0.3">
      <c r="A471" t="s">
        <v>237</v>
      </c>
    </row>
    <row r="472" spans="1:1" x14ac:dyDescent="0.3">
      <c r="A472" t="s">
        <v>236</v>
      </c>
    </row>
    <row r="473" spans="1:1" x14ac:dyDescent="0.3">
      <c r="A473" t="s">
        <v>235</v>
      </c>
    </row>
    <row r="474" spans="1:1" x14ac:dyDescent="0.3">
      <c r="A474" t="s">
        <v>234</v>
      </c>
    </row>
    <row r="475" spans="1:1" x14ac:dyDescent="0.3">
      <c r="A475" t="s">
        <v>233</v>
      </c>
    </row>
    <row r="476" spans="1:1" x14ac:dyDescent="0.3">
      <c r="A476" t="s">
        <v>232</v>
      </c>
    </row>
    <row r="477" spans="1:1" x14ac:dyDescent="0.3">
      <c r="A477" t="s">
        <v>231</v>
      </c>
    </row>
    <row r="478" spans="1:1" x14ac:dyDescent="0.3">
      <c r="A478" t="s">
        <v>230</v>
      </c>
    </row>
    <row r="479" spans="1:1" x14ac:dyDescent="0.3">
      <c r="A479" t="s">
        <v>229</v>
      </c>
    </row>
    <row r="480" spans="1:1" x14ac:dyDescent="0.3">
      <c r="A480" t="s">
        <v>228</v>
      </c>
    </row>
    <row r="481" spans="1:1" x14ac:dyDescent="0.3">
      <c r="A481" t="s">
        <v>227</v>
      </c>
    </row>
    <row r="482" spans="1:1" x14ac:dyDescent="0.3">
      <c r="A482" t="s">
        <v>226</v>
      </c>
    </row>
    <row r="483" spans="1:1" x14ac:dyDescent="0.3">
      <c r="A483" t="s">
        <v>225</v>
      </c>
    </row>
    <row r="484" spans="1:1" x14ac:dyDescent="0.3">
      <c r="A484" t="s">
        <v>224</v>
      </c>
    </row>
    <row r="485" spans="1:1" x14ac:dyDescent="0.3">
      <c r="A485" t="s">
        <v>223</v>
      </c>
    </row>
    <row r="486" spans="1:1" x14ac:dyDescent="0.3">
      <c r="A486" t="s">
        <v>222</v>
      </c>
    </row>
    <row r="487" spans="1:1" x14ac:dyDescent="0.3">
      <c r="A487" t="s">
        <v>221</v>
      </c>
    </row>
    <row r="488" spans="1:1" x14ac:dyDescent="0.3">
      <c r="A488" t="s">
        <v>220</v>
      </c>
    </row>
    <row r="489" spans="1:1" x14ac:dyDescent="0.3">
      <c r="A489" t="s">
        <v>219</v>
      </c>
    </row>
    <row r="490" spans="1:1" x14ac:dyDescent="0.3">
      <c r="A490" t="s">
        <v>218</v>
      </c>
    </row>
    <row r="491" spans="1:1" x14ac:dyDescent="0.3">
      <c r="A491" t="s">
        <v>217</v>
      </c>
    </row>
    <row r="492" spans="1:1" x14ac:dyDescent="0.3">
      <c r="A492" t="s">
        <v>216</v>
      </c>
    </row>
    <row r="493" spans="1:1" x14ac:dyDescent="0.3">
      <c r="A493" t="s">
        <v>215</v>
      </c>
    </row>
    <row r="494" spans="1:1" x14ac:dyDescent="0.3">
      <c r="A494" t="s">
        <v>214</v>
      </c>
    </row>
    <row r="495" spans="1:1" x14ac:dyDescent="0.3">
      <c r="A495" t="s">
        <v>213</v>
      </c>
    </row>
    <row r="496" spans="1:1" x14ac:dyDescent="0.3">
      <c r="A496" t="s">
        <v>212</v>
      </c>
    </row>
    <row r="497" spans="1:1" x14ac:dyDescent="0.3">
      <c r="A497" t="s">
        <v>211</v>
      </c>
    </row>
    <row r="498" spans="1:1" x14ac:dyDescent="0.3">
      <c r="A498" t="s">
        <v>210</v>
      </c>
    </row>
    <row r="499" spans="1:1" x14ac:dyDescent="0.3">
      <c r="A499" t="s">
        <v>209</v>
      </c>
    </row>
    <row r="500" spans="1:1" x14ac:dyDescent="0.3">
      <c r="A500" t="s">
        <v>208</v>
      </c>
    </row>
    <row r="501" spans="1:1" x14ac:dyDescent="0.3">
      <c r="A501" t="s">
        <v>207</v>
      </c>
    </row>
    <row r="502" spans="1:1" x14ac:dyDescent="0.3">
      <c r="A502" t="s">
        <v>206</v>
      </c>
    </row>
    <row r="503" spans="1:1" x14ac:dyDescent="0.3">
      <c r="A503" t="s">
        <v>205</v>
      </c>
    </row>
    <row r="504" spans="1:1" x14ac:dyDescent="0.3">
      <c r="A504" t="s">
        <v>204</v>
      </c>
    </row>
    <row r="505" spans="1:1" x14ac:dyDescent="0.3">
      <c r="A505" t="s">
        <v>203</v>
      </c>
    </row>
    <row r="506" spans="1:1" x14ac:dyDescent="0.3">
      <c r="A506" t="s">
        <v>202</v>
      </c>
    </row>
    <row r="507" spans="1:1" x14ac:dyDescent="0.3">
      <c r="A507" t="s">
        <v>201</v>
      </c>
    </row>
    <row r="508" spans="1:1" x14ac:dyDescent="0.3">
      <c r="A508" t="s">
        <v>200</v>
      </c>
    </row>
    <row r="509" spans="1:1" x14ac:dyDescent="0.3">
      <c r="A509" t="s">
        <v>199</v>
      </c>
    </row>
    <row r="510" spans="1:1" x14ac:dyDescent="0.3">
      <c r="A510" t="s">
        <v>198</v>
      </c>
    </row>
    <row r="511" spans="1:1" x14ac:dyDescent="0.3">
      <c r="A511" t="s">
        <v>197</v>
      </c>
    </row>
    <row r="512" spans="1:1" x14ac:dyDescent="0.3">
      <c r="A512" t="s">
        <v>196</v>
      </c>
    </row>
    <row r="513" spans="1:1" x14ac:dyDescent="0.3">
      <c r="A513" t="s">
        <v>195</v>
      </c>
    </row>
    <row r="514" spans="1:1" x14ac:dyDescent="0.3">
      <c r="A514" t="s">
        <v>194</v>
      </c>
    </row>
    <row r="515" spans="1:1" x14ac:dyDescent="0.3">
      <c r="A515" t="s">
        <v>193</v>
      </c>
    </row>
    <row r="516" spans="1:1" x14ac:dyDescent="0.3">
      <c r="A516" t="s">
        <v>192</v>
      </c>
    </row>
    <row r="517" spans="1:1" x14ac:dyDescent="0.3">
      <c r="A517" t="s">
        <v>191</v>
      </c>
    </row>
    <row r="518" spans="1:1" x14ac:dyDescent="0.3">
      <c r="A518" t="s">
        <v>190</v>
      </c>
    </row>
    <row r="519" spans="1:1" x14ac:dyDescent="0.3">
      <c r="A519" t="s">
        <v>189</v>
      </c>
    </row>
    <row r="520" spans="1:1" x14ac:dyDescent="0.3">
      <c r="A520" t="s">
        <v>188</v>
      </c>
    </row>
    <row r="521" spans="1:1" x14ac:dyDescent="0.3">
      <c r="A521" t="s">
        <v>187</v>
      </c>
    </row>
    <row r="522" spans="1:1" x14ac:dyDescent="0.3">
      <c r="A522" t="s">
        <v>186</v>
      </c>
    </row>
    <row r="523" spans="1:1" x14ac:dyDescent="0.3">
      <c r="A523" t="s">
        <v>185</v>
      </c>
    </row>
    <row r="524" spans="1:1" x14ac:dyDescent="0.3">
      <c r="A524" t="s">
        <v>184</v>
      </c>
    </row>
    <row r="525" spans="1:1" x14ac:dyDescent="0.3">
      <c r="A525" t="s">
        <v>183</v>
      </c>
    </row>
    <row r="526" spans="1:1" x14ac:dyDescent="0.3">
      <c r="A526" t="s">
        <v>182</v>
      </c>
    </row>
    <row r="527" spans="1:1" x14ac:dyDescent="0.3">
      <c r="A527" t="s">
        <v>181</v>
      </c>
    </row>
    <row r="528" spans="1:1" x14ac:dyDescent="0.3">
      <c r="A528" t="s">
        <v>180</v>
      </c>
    </row>
    <row r="529" spans="1:1" x14ac:dyDescent="0.3">
      <c r="A529" t="s">
        <v>179</v>
      </c>
    </row>
    <row r="530" spans="1:1" x14ac:dyDescent="0.3">
      <c r="A530" t="s">
        <v>178</v>
      </c>
    </row>
    <row r="531" spans="1:1" x14ac:dyDescent="0.3">
      <c r="A531" t="s">
        <v>177</v>
      </c>
    </row>
    <row r="532" spans="1:1" x14ac:dyDescent="0.3">
      <c r="A532" t="s">
        <v>176</v>
      </c>
    </row>
    <row r="533" spans="1:1" x14ac:dyDescent="0.3">
      <c r="A533" t="s">
        <v>175</v>
      </c>
    </row>
    <row r="534" spans="1:1" x14ac:dyDescent="0.3">
      <c r="A534" t="s">
        <v>174</v>
      </c>
    </row>
    <row r="535" spans="1:1" x14ac:dyDescent="0.3">
      <c r="A535" t="s">
        <v>173</v>
      </c>
    </row>
    <row r="536" spans="1:1" x14ac:dyDescent="0.3">
      <c r="A536" t="s">
        <v>172</v>
      </c>
    </row>
    <row r="537" spans="1:1" x14ac:dyDescent="0.3">
      <c r="A537" t="s">
        <v>171</v>
      </c>
    </row>
    <row r="538" spans="1:1" x14ac:dyDescent="0.3">
      <c r="A538" t="s">
        <v>170</v>
      </c>
    </row>
    <row r="539" spans="1:1" x14ac:dyDescent="0.3">
      <c r="A539" t="s">
        <v>169</v>
      </c>
    </row>
    <row r="540" spans="1:1" x14ac:dyDescent="0.3">
      <c r="A540" t="s">
        <v>168</v>
      </c>
    </row>
    <row r="541" spans="1:1" x14ac:dyDescent="0.3">
      <c r="A541" t="s">
        <v>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D25" sqref="D25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153</v>
      </c>
      <c r="B2" s="69"/>
      <c r="C2" s="69" t="s">
        <v>152</v>
      </c>
      <c r="D2" s="68">
        <v>1.4100000000000001</v>
      </c>
      <c r="E2" s="68">
        <v>8.9700000000000006</v>
      </c>
      <c r="G2" s="67"/>
    </row>
    <row r="3" spans="1:16" ht="20.100000000000001" customHeight="1" x14ac:dyDescent="0.35">
      <c r="A3" s="70" t="s">
        <v>151</v>
      </c>
      <c r="B3" s="69"/>
      <c r="C3" s="69" t="s">
        <v>150</v>
      </c>
      <c r="D3" s="68">
        <v>3.76</v>
      </c>
      <c r="E3" s="68">
        <v>8.43</v>
      </c>
      <c r="F3" s="67"/>
      <c r="G3" s="67"/>
    </row>
    <row r="4" spans="1:16" ht="20.100000000000001" customHeight="1" x14ac:dyDescent="0.35">
      <c r="A4" s="70" t="s">
        <v>149</v>
      </c>
      <c r="B4" s="69" t="s">
        <v>133</v>
      </c>
      <c r="C4" s="69" t="s">
        <v>148</v>
      </c>
      <c r="D4" s="68">
        <v>1.75</v>
      </c>
      <c r="E4" s="68">
        <v>7.65</v>
      </c>
      <c r="F4" s="67"/>
      <c r="G4" s="67"/>
    </row>
    <row r="5" spans="1:16" ht="20.100000000000001" customHeight="1" x14ac:dyDescent="0.35">
      <c r="A5" s="70" t="s">
        <v>147</v>
      </c>
      <c r="B5" s="69"/>
      <c r="C5" s="69" t="s">
        <v>146</v>
      </c>
      <c r="D5" s="68">
        <v>0.53</v>
      </c>
      <c r="E5" s="68">
        <v>7.29</v>
      </c>
      <c r="F5" s="67"/>
      <c r="G5" s="67"/>
    </row>
    <row r="6" spans="1:16" ht="20.100000000000001" customHeight="1" x14ac:dyDescent="0.35">
      <c r="A6" s="70" t="s">
        <v>145</v>
      </c>
      <c r="B6" s="69"/>
      <c r="C6" s="69" t="s">
        <v>144</v>
      </c>
      <c r="D6" s="68">
        <v>1.665</v>
      </c>
      <c r="E6" s="68">
        <v>4.1099999999999994</v>
      </c>
      <c r="F6" s="67"/>
      <c r="G6" s="67"/>
    </row>
    <row r="7" spans="1:16" ht="20.100000000000001" customHeight="1" x14ac:dyDescent="0.35">
      <c r="A7" s="70"/>
      <c r="B7" s="69"/>
      <c r="C7" s="69"/>
      <c r="D7" s="68"/>
      <c r="E7" s="68"/>
      <c r="F7" s="67"/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1.823</v>
      </c>
      <c r="F14" s="68">
        <f>AVERAGE(E2:E11)</f>
        <v>7.2899999999999991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1.1858203911216907</v>
      </c>
      <c r="E15" s="68">
        <f>_xlfn.STDEV.S(E2:E11)</f>
        <v>1.8949934036824529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2026-04-22T01:11:09Z</dcterms:modified>
</cp:coreProperties>
</file>