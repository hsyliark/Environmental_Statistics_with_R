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조사연구사업 관련(안정동위원소, 국가 수질측정망 적용)\2026년 연구사업 관련\오염원 기여율 산정 모델 비교\오염원 시료 데이터 등 취합 중(4종 모델 결과 비교 포함)\2차 취합(260420)\"/>
    </mc:Choice>
  </mc:AlternateContent>
  <bookViews>
    <workbookView xWindow="0" yWindow="0" windowWidth="30720" windowHeight="13215" tabRatio="737"/>
  </bookViews>
  <sheets>
    <sheet name="4월" sheetId="37" r:id="rId1"/>
    <sheet name="summary_statistics_MixSIAR" sheetId="43" r:id="rId2"/>
    <sheet name="diagnostics_MixSIAR" sheetId="44" r:id="rId3"/>
    <sheet name="오염원(하수)" sheetId="38" r:id="rId4"/>
    <sheet name="오염원(퇴비)" sheetId="39" r:id="rId5"/>
    <sheet name="오염원(비료)" sheetId="40" r:id="rId6"/>
    <sheet name="오염원(강우)" sheetId="41" r:id="rId7"/>
    <sheet name="오염원(토양_산림 CASE3)" sheetId="42" r:id="rId8"/>
  </sheets>
  <definedNames>
    <definedName name="_xlnm._FilterDatabase" localSheetId="6" hidden="1">'오염원(강우)'!$A$1:$E$22</definedName>
    <definedName name="_xlnm._FilterDatabase" localSheetId="5" hidden="1">'오염원(비료)'!$A$1:$E$22</definedName>
    <definedName name="_xlnm._FilterDatabase" localSheetId="7" hidden="1">'오염원(토양_산림 CASE3)'!$A$1:$E$19</definedName>
    <definedName name="_xlnm._FilterDatabase" localSheetId="4" hidden="1">'오염원(퇴비)'!$A$1:$E$22</definedName>
    <definedName name="_xlnm._FilterDatabase" localSheetId="3" hidden="1">'오염원(하수)'!$A$1:$E$22</definedName>
    <definedName name="_xlnm.Print_Area" localSheetId="0">'4월'!#REF!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71" i="37" l="1"/>
  <c r="AM171" i="37"/>
  <c r="AN171" i="37"/>
  <c r="AO171" i="37"/>
  <c r="AP171" i="37"/>
  <c r="AL172" i="37"/>
  <c r="AM172" i="37"/>
  <c r="AN172" i="37"/>
  <c r="AO172" i="37"/>
  <c r="AP172" i="37"/>
  <c r="AL173" i="37"/>
  <c r="AM173" i="37"/>
  <c r="AN173" i="37"/>
  <c r="AO173" i="37"/>
  <c r="AP173" i="37"/>
  <c r="AL174" i="37"/>
  <c r="AM174" i="37"/>
  <c r="AN174" i="37"/>
  <c r="AO174" i="37"/>
  <c r="AP174" i="37"/>
  <c r="AL175" i="37"/>
  <c r="AM175" i="37"/>
  <c r="AN175" i="37"/>
  <c r="AO175" i="37"/>
  <c r="AP175" i="37"/>
  <c r="AL176" i="37"/>
  <c r="AM176" i="37"/>
  <c r="AN176" i="37"/>
  <c r="AO176" i="37"/>
  <c r="AP176" i="37"/>
  <c r="AL177" i="37"/>
  <c r="AM177" i="37"/>
  <c r="AN177" i="37"/>
  <c r="AO177" i="37"/>
  <c r="AP177" i="37"/>
  <c r="AL178" i="37"/>
  <c r="AM178" i="37"/>
  <c r="AN178" i="37"/>
  <c r="AO178" i="37"/>
  <c r="AP178" i="37"/>
  <c r="AL179" i="37"/>
  <c r="AM179" i="37"/>
  <c r="AN179" i="37"/>
  <c r="AO179" i="37"/>
  <c r="AP179" i="37"/>
  <c r="AL180" i="37"/>
  <c r="AM180" i="37"/>
  <c r="AN180" i="37"/>
  <c r="AO180" i="37"/>
  <c r="AP180" i="37"/>
  <c r="AL181" i="37"/>
  <c r="AM181" i="37"/>
  <c r="AN181" i="37"/>
  <c r="AO181" i="37"/>
  <c r="AP181" i="37"/>
  <c r="AL182" i="37"/>
  <c r="AM182" i="37"/>
  <c r="AN182" i="37"/>
  <c r="AO182" i="37"/>
  <c r="AP182" i="37"/>
  <c r="AL183" i="37"/>
  <c r="AM183" i="37"/>
  <c r="AN183" i="37"/>
  <c r="AO183" i="37"/>
  <c r="AP183" i="37"/>
  <c r="AL184" i="37"/>
  <c r="AM184" i="37"/>
  <c r="AN184" i="37"/>
  <c r="AO184" i="37"/>
  <c r="AP184" i="37"/>
  <c r="AL185" i="37"/>
  <c r="AM185" i="37"/>
  <c r="AN185" i="37"/>
  <c r="AO185" i="37"/>
  <c r="AP185" i="37"/>
  <c r="AL186" i="37"/>
  <c r="AM186" i="37"/>
  <c r="AN186" i="37"/>
  <c r="AO186" i="37"/>
  <c r="AP186" i="37"/>
  <c r="AL187" i="37"/>
  <c r="AM187" i="37"/>
  <c r="AN187" i="37"/>
  <c r="AO187" i="37"/>
  <c r="AP187" i="37"/>
  <c r="AL188" i="37"/>
  <c r="AM188" i="37"/>
  <c r="AN188" i="37"/>
  <c r="AO188" i="37"/>
  <c r="AP188" i="37"/>
  <c r="AL189" i="37"/>
  <c r="AM189" i="37"/>
  <c r="AN189" i="37"/>
  <c r="AO189" i="37"/>
  <c r="AP189" i="37"/>
  <c r="AL190" i="37"/>
  <c r="AM190" i="37"/>
  <c r="AN190" i="37"/>
  <c r="AO190" i="37"/>
  <c r="AP190" i="37"/>
  <c r="AL191" i="37"/>
  <c r="AM191" i="37"/>
  <c r="AN191" i="37"/>
  <c r="AO191" i="37"/>
  <c r="AP191" i="37"/>
  <c r="AL192" i="37"/>
  <c r="AM192" i="37"/>
  <c r="AN192" i="37"/>
  <c r="AO192" i="37"/>
  <c r="AP192" i="37"/>
  <c r="AL193" i="37"/>
  <c r="AM193" i="37"/>
  <c r="AN193" i="37"/>
  <c r="AO193" i="37"/>
  <c r="AP193" i="37"/>
  <c r="AM170" i="37"/>
  <c r="AN170" i="37"/>
  <c r="AO170" i="37"/>
  <c r="AP170" i="37"/>
  <c r="AL170" i="37"/>
  <c r="AF171" i="37"/>
  <c r="AG171" i="37"/>
  <c r="AH171" i="37"/>
  <c r="AI171" i="37"/>
  <c r="AJ171" i="37"/>
  <c r="AF172" i="37"/>
  <c r="AG172" i="37"/>
  <c r="AH172" i="37"/>
  <c r="AI172" i="37"/>
  <c r="AJ172" i="37"/>
  <c r="AF173" i="37"/>
  <c r="AG173" i="37"/>
  <c r="AH173" i="37"/>
  <c r="AI173" i="37"/>
  <c r="AJ173" i="37"/>
  <c r="AF174" i="37"/>
  <c r="AG174" i="37"/>
  <c r="AH174" i="37"/>
  <c r="AI174" i="37"/>
  <c r="AJ174" i="37"/>
  <c r="AF175" i="37"/>
  <c r="AG175" i="37"/>
  <c r="AH175" i="37"/>
  <c r="AI175" i="37"/>
  <c r="AJ175" i="37"/>
  <c r="AF176" i="37"/>
  <c r="AG176" i="37"/>
  <c r="AH176" i="37"/>
  <c r="AI176" i="37"/>
  <c r="AJ176" i="37"/>
  <c r="AF177" i="37"/>
  <c r="AG177" i="37"/>
  <c r="AH177" i="37"/>
  <c r="AI177" i="37"/>
  <c r="AJ177" i="37"/>
  <c r="AF178" i="37"/>
  <c r="AG178" i="37"/>
  <c r="AH178" i="37"/>
  <c r="AI178" i="37"/>
  <c r="AJ178" i="37"/>
  <c r="AF179" i="37"/>
  <c r="AG179" i="37"/>
  <c r="AH179" i="37"/>
  <c r="AI179" i="37"/>
  <c r="AJ179" i="37"/>
  <c r="AF180" i="37"/>
  <c r="AG180" i="37"/>
  <c r="AH180" i="37"/>
  <c r="AI180" i="37"/>
  <c r="AJ180" i="37"/>
  <c r="AF181" i="37"/>
  <c r="AG181" i="37"/>
  <c r="AH181" i="37"/>
  <c r="AI181" i="37"/>
  <c r="AJ181" i="37"/>
  <c r="AF182" i="37"/>
  <c r="AG182" i="37"/>
  <c r="AH182" i="37"/>
  <c r="AI182" i="37"/>
  <c r="AJ182" i="37"/>
  <c r="AF183" i="37"/>
  <c r="AG183" i="37"/>
  <c r="AH183" i="37"/>
  <c r="AI183" i="37"/>
  <c r="AJ183" i="37"/>
  <c r="AF184" i="37"/>
  <c r="AG184" i="37"/>
  <c r="AH184" i="37"/>
  <c r="AI184" i="37"/>
  <c r="AJ184" i="37"/>
  <c r="AF185" i="37"/>
  <c r="AG185" i="37"/>
  <c r="AH185" i="37"/>
  <c r="AI185" i="37"/>
  <c r="AJ185" i="37"/>
  <c r="AF186" i="37"/>
  <c r="AG186" i="37"/>
  <c r="AH186" i="37"/>
  <c r="AI186" i="37"/>
  <c r="AJ186" i="37"/>
  <c r="AF187" i="37"/>
  <c r="AG187" i="37"/>
  <c r="AH187" i="37"/>
  <c r="AI187" i="37"/>
  <c r="AJ187" i="37"/>
  <c r="AF188" i="37"/>
  <c r="AG188" i="37"/>
  <c r="AH188" i="37"/>
  <c r="AI188" i="37"/>
  <c r="AJ188" i="37"/>
  <c r="AF189" i="37"/>
  <c r="AG189" i="37"/>
  <c r="AH189" i="37"/>
  <c r="AI189" i="37"/>
  <c r="AJ189" i="37"/>
  <c r="AF190" i="37"/>
  <c r="AG190" i="37"/>
  <c r="AH190" i="37"/>
  <c r="AI190" i="37"/>
  <c r="AJ190" i="37"/>
  <c r="AF191" i="37"/>
  <c r="AG191" i="37"/>
  <c r="AH191" i="37"/>
  <c r="AI191" i="37"/>
  <c r="AJ191" i="37"/>
  <c r="AF192" i="37"/>
  <c r="AG192" i="37"/>
  <c r="AH192" i="37"/>
  <c r="AI192" i="37"/>
  <c r="AJ192" i="37"/>
  <c r="AF193" i="37"/>
  <c r="AG193" i="37"/>
  <c r="AH193" i="37"/>
  <c r="AI193" i="37"/>
  <c r="AJ193" i="37"/>
  <c r="AG170" i="37"/>
  <c r="AH170" i="37"/>
  <c r="AI170" i="37"/>
  <c r="AJ170" i="37"/>
  <c r="AF170" i="37"/>
  <c r="Z171" i="37"/>
  <c r="AA171" i="37"/>
  <c r="AB171" i="37"/>
  <c r="AC171" i="37"/>
  <c r="AD171" i="37"/>
  <c r="Z172" i="37"/>
  <c r="AA172" i="37"/>
  <c r="AB172" i="37"/>
  <c r="AC172" i="37"/>
  <c r="AD172" i="37"/>
  <c r="Z173" i="37"/>
  <c r="AA173" i="37"/>
  <c r="AB173" i="37"/>
  <c r="AC173" i="37"/>
  <c r="AD173" i="37"/>
  <c r="Z174" i="37"/>
  <c r="AA174" i="37"/>
  <c r="AB174" i="37"/>
  <c r="AC174" i="37"/>
  <c r="AD174" i="37"/>
  <c r="Z175" i="37"/>
  <c r="AA175" i="37"/>
  <c r="AB175" i="37"/>
  <c r="AC175" i="37"/>
  <c r="AD175" i="37"/>
  <c r="Z176" i="37"/>
  <c r="AA176" i="37"/>
  <c r="AB176" i="37"/>
  <c r="AC176" i="37"/>
  <c r="AD176" i="37"/>
  <c r="Z177" i="37"/>
  <c r="AA177" i="37"/>
  <c r="AB177" i="37"/>
  <c r="AC177" i="37"/>
  <c r="AD177" i="37"/>
  <c r="Z178" i="37"/>
  <c r="AA178" i="37"/>
  <c r="AB178" i="37"/>
  <c r="AC178" i="37"/>
  <c r="AD178" i="37"/>
  <c r="Z179" i="37"/>
  <c r="AA179" i="37"/>
  <c r="AB179" i="37"/>
  <c r="AC179" i="37"/>
  <c r="AD179" i="37"/>
  <c r="Z180" i="37"/>
  <c r="AA180" i="37"/>
  <c r="AB180" i="37"/>
  <c r="AC180" i="37"/>
  <c r="AD180" i="37"/>
  <c r="Z181" i="37"/>
  <c r="AA181" i="37"/>
  <c r="AB181" i="37"/>
  <c r="AC181" i="37"/>
  <c r="AD181" i="37"/>
  <c r="Z182" i="37"/>
  <c r="AA182" i="37"/>
  <c r="AB182" i="37"/>
  <c r="AC182" i="37"/>
  <c r="AD182" i="37"/>
  <c r="Z183" i="37"/>
  <c r="AA183" i="37"/>
  <c r="AB183" i="37"/>
  <c r="AC183" i="37"/>
  <c r="AD183" i="37"/>
  <c r="Z184" i="37"/>
  <c r="AA184" i="37"/>
  <c r="AB184" i="37"/>
  <c r="AC184" i="37"/>
  <c r="AD184" i="37"/>
  <c r="Z185" i="37"/>
  <c r="AA185" i="37"/>
  <c r="AB185" i="37"/>
  <c r="AC185" i="37"/>
  <c r="AD185" i="37"/>
  <c r="Z186" i="37"/>
  <c r="AA186" i="37"/>
  <c r="AB186" i="37"/>
  <c r="AC186" i="37"/>
  <c r="AD186" i="37"/>
  <c r="Z187" i="37"/>
  <c r="AA187" i="37"/>
  <c r="AB187" i="37"/>
  <c r="AC187" i="37"/>
  <c r="AD187" i="37"/>
  <c r="Z188" i="37"/>
  <c r="AA188" i="37"/>
  <c r="AB188" i="37"/>
  <c r="AC188" i="37"/>
  <c r="AD188" i="37"/>
  <c r="Z189" i="37"/>
  <c r="AA189" i="37"/>
  <c r="AB189" i="37"/>
  <c r="AC189" i="37"/>
  <c r="AD189" i="37"/>
  <c r="Z190" i="37"/>
  <c r="AA190" i="37"/>
  <c r="AB190" i="37"/>
  <c r="AC190" i="37"/>
  <c r="AD190" i="37"/>
  <c r="Z191" i="37"/>
  <c r="AA191" i="37"/>
  <c r="AB191" i="37"/>
  <c r="AC191" i="37"/>
  <c r="AD191" i="37"/>
  <c r="Z192" i="37"/>
  <c r="AA192" i="37"/>
  <c r="AB192" i="37"/>
  <c r="AC192" i="37"/>
  <c r="AD192" i="37"/>
  <c r="Z193" i="37"/>
  <c r="AA193" i="37"/>
  <c r="AB193" i="37"/>
  <c r="AC193" i="37"/>
  <c r="AD193" i="37"/>
  <c r="AA170" i="37"/>
  <c r="AB170" i="37"/>
  <c r="AC170" i="37"/>
  <c r="AD170" i="37"/>
  <c r="Z170" i="37"/>
  <c r="AL139" i="37"/>
  <c r="AM139" i="37"/>
  <c r="AN139" i="37"/>
  <c r="AO139" i="37"/>
  <c r="AP139" i="37"/>
  <c r="AL140" i="37"/>
  <c r="AM140" i="37"/>
  <c r="AN140" i="37"/>
  <c r="AO140" i="37"/>
  <c r="AP140" i="37"/>
  <c r="AL141" i="37"/>
  <c r="AM141" i="37"/>
  <c r="AN141" i="37"/>
  <c r="AO141" i="37"/>
  <c r="AP141" i="37"/>
  <c r="AL142" i="37"/>
  <c r="AM142" i="37"/>
  <c r="AN142" i="37"/>
  <c r="AO142" i="37"/>
  <c r="AP142" i="37"/>
  <c r="AL143" i="37"/>
  <c r="AM143" i="37"/>
  <c r="AN143" i="37"/>
  <c r="AO143" i="37"/>
  <c r="AP143" i="37"/>
  <c r="AL144" i="37"/>
  <c r="AM144" i="37"/>
  <c r="AN144" i="37"/>
  <c r="AO144" i="37"/>
  <c r="AP144" i="37"/>
  <c r="AL145" i="37"/>
  <c r="AM145" i="37"/>
  <c r="AN145" i="37"/>
  <c r="AO145" i="37"/>
  <c r="AP145" i="37"/>
  <c r="AL146" i="37"/>
  <c r="AM146" i="37"/>
  <c r="AN146" i="37"/>
  <c r="AO146" i="37"/>
  <c r="AP146" i="37"/>
  <c r="AL147" i="37"/>
  <c r="AM147" i="37"/>
  <c r="AN147" i="37"/>
  <c r="AO147" i="37"/>
  <c r="AP147" i="37"/>
  <c r="AL148" i="37"/>
  <c r="AM148" i="37"/>
  <c r="AN148" i="37"/>
  <c r="AO148" i="37"/>
  <c r="AP148" i="37"/>
  <c r="AL149" i="37"/>
  <c r="AM149" i="37"/>
  <c r="AN149" i="37"/>
  <c r="AO149" i="37"/>
  <c r="AP149" i="37"/>
  <c r="AL150" i="37"/>
  <c r="AM150" i="37"/>
  <c r="AN150" i="37"/>
  <c r="AO150" i="37"/>
  <c r="AP150" i="37"/>
  <c r="AL151" i="37"/>
  <c r="AM151" i="37"/>
  <c r="AN151" i="37"/>
  <c r="AO151" i="37"/>
  <c r="AP151" i="37"/>
  <c r="AL152" i="37"/>
  <c r="AM152" i="37"/>
  <c r="AN152" i="37"/>
  <c r="AO152" i="37"/>
  <c r="AP152" i="37"/>
  <c r="AL153" i="37"/>
  <c r="AM153" i="37"/>
  <c r="AN153" i="37"/>
  <c r="AO153" i="37"/>
  <c r="AP153" i="37"/>
  <c r="AL154" i="37"/>
  <c r="AM154" i="37"/>
  <c r="AN154" i="37"/>
  <c r="AO154" i="37"/>
  <c r="AP154" i="37"/>
  <c r="AL155" i="37"/>
  <c r="AM155" i="37"/>
  <c r="AN155" i="37"/>
  <c r="AO155" i="37"/>
  <c r="AP155" i="37"/>
  <c r="AL156" i="37"/>
  <c r="AM156" i="37"/>
  <c r="AN156" i="37"/>
  <c r="AO156" i="37"/>
  <c r="AP156" i="37"/>
  <c r="AL157" i="37"/>
  <c r="AM157" i="37"/>
  <c r="AN157" i="37"/>
  <c r="AO157" i="37"/>
  <c r="AP157" i="37"/>
  <c r="AL158" i="37"/>
  <c r="AM158" i="37"/>
  <c r="AN158" i="37"/>
  <c r="AO158" i="37"/>
  <c r="AP158" i="37"/>
  <c r="AL159" i="37"/>
  <c r="AM159" i="37"/>
  <c r="AN159" i="37"/>
  <c r="AO159" i="37"/>
  <c r="AP159" i="37"/>
  <c r="AL160" i="37"/>
  <c r="AM160" i="37"/>
  <c r="AN160" i="37"/>
  <c r="AO160" i="37"/>
  <c r="AP160" i="37"/>
  <c r="AL161" i="37"/>
  <c r="AM161" i="37"/>
  <c r="AN161" i="37"/>
  <c r="AO161" i="37"/>
  <c r="AP161" i="37"/>
  <c r="AM138" i="37"/>
  <c r="AN138" i="37"/>
  <c r="AO138" i="37"/>
  <c r="AP138" i="37"/>
  <c r="AL138" i="37"/>
  <c r="AF139" i="37"/>
  <c r="AG139" i="37"/>
  <c r="AH139" i="37"/>
  <c r="AI139" i="37"/>
  <c r="AJ139" i="37"/>
  <c r="AF140" i="37"/>
  <c r="AG140" i="37"/>
  <c r="AH140" i="37"/>
  <c r="AI140" i="37"/>
  <c r="AJ140" i="37"/>
  <c r="AF141" i="37"/>
  <c r="AG141" i="37"/>
  <c r="AH141" i="37"/>
  <c r="AI141" i="37"/>
  <c r="AJ141" i="37"/>
  <c r="AF142" i="37"/>
  <c r="AG142" i="37"/>
  <c r="AH142" i="37"/>
  <c r="AI142" i="37"/>
  <c r="AJ142" i="37"/>
  <c r="AF143" i="37"/>
  <c r="AG143" i="37"/>
  <c r="AH143" i="37"/>
  <c r="AI143" i="37"/>
  <c r="AJ143" i="37"/>
  <c r="AF144" i="37"/>
  <c r="AG144" i="37"/>
  <c r="AH144" i="37"/>
  <c r="AI144" i="37"/>
  <c r="AJ144" i="37"/>
  <c r="AF145" i="37"/>
  <c r="AG145" i="37"/>
  <c r="AH145" i="37"/>
  <c r="AI145" i="37"/>
  <c r="AJ145" i="37"/>
  <c r="AF146" i="37"/>
  <c r="AG146" i="37"/>
  <c r="AH146" i="37"/>
  <c r="AI146" i="37"/>
  <c r="AJ146" i="37"/>
  <c r="AF147" i="37"/>
  <c r="AG147" i="37"/>
  <c r="AH147" i="37"/>
  <c r="AI147" i="37"/>
  <c r="AJ147" i="37"/>
  <c r="AF148" i="37"/>
  <c r="AG148" i="37"/>
  <c r="AH148" i="37"/>
  <c r="AI148" i="37"/>
  <c r="AJ148" i="37"/>
  <c r="AF149" i="37"/>
  <c r="AG149" i="37"/>
  <c r="AH149" i="37"/>
  <c r="AI149" i="37"/>
  <c r="AJ149" i="37"/>
  <c r="AF150" i="37"/>
  <c r="AG150" i="37"/>
  <c r="AH150" i="37"/>
  <c r="AI150" i="37"/>
  <c r="AJ150" i="37"/>
  <c r="AF151" i="37"/>
  <c r="AG151" i="37"/>
  <c r="AH151" i="37"/>
  <c r="AI151" i="37"/>
  <c r="AJ151" i="37"/>
  <c r="AF152" i="37"/>
  <c r="AG152" i="37"/>
  <c r="AH152" i="37"/>
  <c r="AI152" i="37"/>
  <c r="AJ152" i="37"/>
  <c r="AF153" i="37"/>
  <c r="AG153" i="37"/>
  <c r="AH153" i="37"/>
  <c r="AI153" i="37"/>
  <c r="AJ153" i="37"/>
  <c r="AF154" i="37"/>
  <c r="AG154" i="37"/>
  <c r="AH154" i="37"/>
  <c r="AI154" i="37"/>
  <c r="AJ154" i="37"/>
  <c r="AF155" i="37"/>
  <c r="AG155" i="37"/>
  <c r="AH155" i="37"/>
  <c r="AI155" i="37"/>
  <c r="AJ155" i="37"/>
  <c r="AF156" i="37"/>
  <c r="AG156" i="37"/>
  <c r="AH156" i="37"/>
  <c r="AI156" i="37"/>
  <c r="AJ156" i="37"/>
  <c r="AF157" i="37"/>
  <c r="AG157" i="37"/>
  <c r="AH157" i="37"/>
  <c r="AI157" i="37"/>
  <c r="AJ157" i="37"/>
  <c r="AF158" i="37"/>
  <c r="AG158" i="37"/>
  <c r="AH158" i="37"/>
  <c r="AI158" i="37"/>
  <c r="AJ158" i="37"/>
  <c r="AF159" i="37"/>
  <c r="AG159" i="37"/>
  <c r="AH159" i="37"/>
  <c r="AI159" i="37"/>
  <c r="AJ159" i="37"/>
  <c r="AF160" i="37"/>
  <c r="AG160" i="37"/>
  <c r="AH160" i="37"/>
  <c r="AI160" i="37"/>
  <c r="AJ160" i="37"/>
  <c r="AF161" i="37"/>
  <c r="AG161" i="37"/>
  <c r="AH161" i="37"/>
  <c r="AI161" i="37"/>
  <c r="AJ161" i="37"/>
  <c r="AG138" i="37"/>
  <c r="AH138" i="37"/>
  <c r="AI138" i="37"/>
  <c r="AJ138" i="37"/>
  <c r="AF138" i="37"/>
  <c r="Z139" i="37"/>
  <c r="AA139" i="37"/>
  <c r="AB139" i="37"/>
  <c r="AC139" i="37"/>
  <c r="AD139" i="37"/>
  <c r="Z140" i="37"/>
  <c r="AA140" i="37"/>
  <c r="AB140" i="37"/>
  <c r="AC140" i="37"/>
  <c r="AD140" i="37"/>
  <c r="Z141" i="37"/>
  <c r="AA141" i="37"/>
  <c r="AB141" i="37"/>
  <c r="AC141" i="37"/>
  <c r="AD141" i="37"/>
  <c r="Z142" i="37"/>
  <c r="AA142" i="37"/>
  <c r="AB142" i="37"/>
  <c r="AC142" i="37"/>
  <c r="AD142" i="37"/>
  <c r="Z143" i="37"/>
  <c r="AA143" i="37"/>
  <c r="AB143" i="37"/>
  <c r="AC143" i="37"/>
  <c r="AD143" i="37"/>
  <c r="Z144" i="37"/>
  <c r="AA144" i="37"/>
  <c r="AB144" i="37"/>
  <c r="AC144" i="37"/>
  <c r="AD144" i="37"/>
  <c r="Z145" i="37"/>
  <c r="AA145" i="37"/>
  <c r="AB145" i="37"/>
  <c r="AC145" i="37"/>
  <c r="AD145" i="37"/>
  <c r="Z146" i="37"/>
  <c r="AA146" i="37"/>
  <c r="AB146" i="37"/>
  <c r="AC146" i="37"/>
  <c r="AD146" i="37"/>
  <c r="Z147" i="37"/>
  <c r="AA147" i="37"/>
  <c r="AB147" i="37"/>
  <c r="AC147" i="37"/>
  <c r="AD147" i="37"/>
  <c r="Z148" i="37"/>
  <c r="AA148" i="37"/>
  <c r="AB148" i="37"/>
  <c r="AC148" i="37"/>
  <c r="AD148" i="37"/>
  <c r="Z149" i="37"/>
  <c r="AA149" i="37"/>
  <c r="AB149" i="37"/>
  <c r="AC149" i="37"/>
  <c r="AD149" i="37"/>
  <c r="Z150" i="37"/>
  <c r="AA150" i="37"/>
  <c r="AB150" i="37"/>
  <c r="AC150" i="37"/>
  <c r="AD150" i="37"/>
  <c r="Z151" i="37"/>
  <c r="AA151" i="37"/>
  <c r="AB151" i="37"/>
  <c r="AC151" i="37"/>
  <c r="AD151" i="37"/>
  <c r="Z152" i="37"/>
  <c r="AA152" i="37"/>
  <c r="AB152" i="37"/>
  <c r="AC152" i="37"/>
  <c r="AD152" i="37"/>
  <c r="Z153" i="37"/>
  <c r="AA153" i="37"/>
  <c r="AB153" i="37"/>
  <c r="AC153" i="37"/>
  <c r="AD153" i="37"/>
  <c r="Z154" i="37"/>
  <c r="AA154" i="37"/>
  <c r="AB154" i="37"/>
  <c r="AC154" i="37"/>
  <c r="AD154" i="37"/>
  <c r="Z155" i="37"/>
  <c r="AA155" i="37"/>
  <c r="AB155" i="37"/>
  <c r="AC155" i="37"/>
  <c r="AD155" i="37"/>
  <c r="Z156" i="37"/>
  <c r="AA156" i="37"/>
  <c r="AB156" i="37"/>
  <c r="AC156" i="37"/>
  <c r="AD156" i="37"/>
  <c r="Z157" i="37"/>
  <c r="AA157" i="37"/>
  <c r="AB157" i="37"/>
  <c r="AC157" i="37"/>
  <c r="AD157" i="37"/>
  <c r="Z158" i="37"/>
  <c r="AA158" i="37"/>
  <c r="AB158" i="37"/>
  <c r="AC158" i="37"/>
  <c r="AD158" i="37"/>
  <c r="Z159" i="37"/>
  <c r="AA159" i="37"/>
  <c r="AB159" i="37"/>
  <c r="AC159" i="37"/>
  <c r="AD159" i="37"/>
  <c r="Z160" i="37"/>
  <c r="AA160" i="37"/>
  <c r="AB160" i="37"/>
  <c r="AC160" i="37"/>
  <c r="AD160" i="37"/>
  <c r="Z161" i="37"/>
  <c r="AA161" i="37"/>
  <c r="AB161" i="37"/>
  <c r="AC161" i="37"/>
  <c r="AD161" i="37"/>
  <c r="AA138" i="37"/>
  <c r="AB138" i="37"/>
  <c r="AC138" i="37"/>
  <c r="AD138" i="37"/>
  <c r="Z138" i="37"/>
  <c r="D14" i="42"/>
  <c r="F14" i="42"/>
  <c r="D15" i="42"/>
  <c r="E15" i="42"/>
  <c r="D6" i="41"/>
  <c r="E6" i="41"/>
  <c r="D7" i="41"/>
  <c r="E7" i="41"/>
  <c r="D8" i="40"/>
  <c r="E8" i="40"/>
  <c r="D9" i="40"/>
  <c r="E9" i="40"/>
  <c r="D15" i="39"/>
  <c r="E15" i="39"/>
  <c r="D16" i="39"/>
  <c r="E16" i="39"/>
  <c r="D17" i="38"/>
  <c r="E17" i="38"/>
  <c r="D18" i="38"/>
  <c r="E18" i="38"/>
  <c r="AE126" i="37"/>
  <c r="AE125" i="37"/>
  <c r="AE124" i="37"/>
  <c r="AE123" i="37"/>
  <c r="AE122" i="37"/>
  <c r="AE121" i="37"/>
  <c r="AE120" i="37"/>
  <c r="AE119" i="37"/>
  <c r="AE118" i="37"/>
  <c r="AE117" i="37"/>
  <c r="AE116" i="37"/>
  <c r="AE115" i="37"/>
  <c r="AE114" i="37"/>
  <c r="AE113" i="37"/>
  <c r="AE112" i="37"/>
  <c r="AE111" i="37"/>
  <c r="AE110" i="37"/>
  <c r="AE109" i="37"/>
  <c r="AE108" i="37"/>
  <c r="AE107" i="37"/>
  <c r="AE106" i="37"/>
  <c r="AE105" i="37"/>
  <c r="AE104" i="37"/>
  <c r="AE103" i="37"/>
  <c r="AE94" i="37"/>
  <c r="AE93" i="37"/>
  <c r="AE92" i="37"/>
  <c r="AE91" i="37"/>
  <c r="AE90" i="37"/>
  <c r="AE89" i="37"/>
  <c r="AE88" i="37"/>
  <c r="AE87" i="37"/>
  <c r="AE86" i="37"/>
  <c r="AE85" i="37"/>
  <c r="AE84" i="37"/>
  <c r="AE83" i="37"/>
  <c r="AE82" i="37"/>
  <c r="AE81" i="37"/>
  <c r="AE80" i="37"/>
  <c r="AE79" i="37"/>
  <c r="AE78" i="37"/>
  <c r="AE77" i="37"/>
  <c r="AE76" i="37"/>
  <c r="AE75" i="37"/>
  <c r="AE74" i="37"/>
  <c r="AE73" i="37"/>
  <c r="AE72" i="37"/>
  <c r="AE71" i="37"/>
  <c r="AE63" i="37"/>
  <c r="AE62" i="37"/>
  <c r="AE61" i="37"/>
  <c r="AE60" i="37"/>
  <c r="AE59" i="37"/>
  <c r="AE58" i="37"/>
  <c r="AE57" i="37"/>
  <c r="AE56" i="37"/>
  <c r="AE55" i="37"/>
  <c r="AE54" i="37"/>
  <c r="AE53" i="37"/>
  <c r="AE52" i="37"/>
  <c r="AE51" i="37"/>
  <c r="AE50" i="37"/>
  <c r="AE49" i="37"/>
  <c r="AE48" i="37"/>
  <c r="AE47" i="37"/>
  <c r="AE46" i="37"/>
  <c r="AE45" i="37"/>
  <c r="AE44" i="37"/>
  <c r="AE43" i="37"/>
  <c r="AE42" i="37"/>
  <c r="AE41" i="37"/>
  <c r="AE40" i="37"/>
  <c r="AZ33" i="37"/>
  <c r="AS33" i="37"/>
  <c r="AL33" i="37"/>
  <c r="AE33" i="37"/>
  <c r="AZ32" i="37"/>
  <c r="AS32" i="37"/>
  <c r="AL32" i="37"/>
  <c r="AE32" i="37"/>
  <c r="AZ31" i="37"/>
  <c r="AS31" i="37"/>
  <c r="AL31" i="37"/>
  <c r="AE31" i="37"/>
  <c r="AZ30" i="37"/>
  <c r="AS30" i="37"/>
  <c r="AL30" i="37"/>
  <c r="AE30" i="37"/>
  <c r="AZ29" i="37"/>
  <c r="AS29" i="37"/>
  <c r="AL29" i="37"/>
  <c r="AE29" i="37"/>
  <c r="AZ28" i="37"/>
  <c r="AS28" i="37"/>
  <c r="AL28" i="37"/>
  <c r="AE28" i="37"/>
  <c r="AZ27" i="37"/>
  <c r="AS27" i="37"/>
  <c r="AL27" i="37"/>
  <c r="AE27" i="37"/>
  <c r="AZ26" i="37"/>
  <c r="AS26" i="37"/>
  <c r="AL26" i="37"/>
  <c r="AE26" i="37"/>
  <c r="AZ25" i="37"/>
  <c r="AS25" i="37"/>
  <c r="AL25" i="37"/>
  <c r="AE25" i="37"/>
  <c r="AZ24" i="37"/>
  <c r="AS24" i="37"/>
  <c r="AL24" i="37"/>
  <c r="AE24" i="37"/>
  <c r="AZ23" i="37"/>
  <c r="AS23" i="37"/>
  <c r="AL23" i="37"/>
  <c r="AE23" i="37"/>
  <c r="AZ22" i="37"/>
  <c r="AS22" i="37"/>
  <c r="AL22" i="37"/>
  <c r="AE22" i="37"/>
  <c r="AZ21" i="37"/>
  <c r="AS21" i="37"/>
  <c r="AL21" i="37"/>
  <c r="AE21" i="37"/>
  <c r="AZ20" i="37"/>
  <c r="AS20" i="37"/>
  <c r="AL20" i="37"/>
  <c r="AE20" i="37"/>
  <c r="AZ19" i="37"/>
  <c r="AS19" i="37"/>
  <c r="AL19" i="37"/>
  <c r="AE19" i="37"/>
  <c r="AZ18" i="37"/>
  <c r="AS18" i="37"/>
  <c r="AL18" i="37"/>
  <c r="AE18" i="37"/>
  <c r="AZ17" i="37"/>
  <c r="AS17" i="37"/>
  <c r="AL17" i="37"/>
  <c r="AE17" i="37"/>
  <c r="AZ16" i="37"/>
  <c r="AS16" i="37"/>
  <c r="AL16" i="37"/>
  <c r="AE16" i="37"/>
  <c r="AZ15" i="37"/>
  <c r="AS15" i="37"/>
  <c r="AL15" i="37"/>
  <c r="AE15" i="37"/>
  <c r="AZ14" i="37"/>
  <c r="AS14" i="37"/>
  <c r="AL14" i="37"/>
  <c r="AE14" i="37"/>
  <c r="AZ13" i="37"/>
  <c r="AS13" i="37"/>
  <c r="AL13" i="37"/>
  <c r="AE13" i="37"/>
  <c r="AZ12" i="37"/>
  <c r="AS12" i="37"/>
  <c r="AL12" i="37"/>
  <c r="AE12" i="37"/>
  <c r="AZ11" i="37"/>
  <c r="AS11" i="37"/>
  <c r="AL11" i="37"/>
  <c r="AE11" i="37"/>
  <c r="AZ10" i="37"/>
  <c r="AS10" i="37"/>
  <c r="AL10" i="37"/>
  <c r="AE10" i="37"/>
</calcChain>
</file>

<file path=xl/sharedStrings.xml><?xml version="1.0" encoding="utf-8"?>
<sst xmlns="http://schemas.openxmlformats.org/spreadsheetml/2006/main" count="1729" uniqueCount="817">
  <si>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</si>
  <si>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</si>
  <si>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</si>
  <si>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</si>
  <si>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</si>
  <si>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</si>
  <si>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</si>
  <si>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</si>
  <si>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</si>
  <si>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</si>
  <si>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</si>
  <si>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</si>
  <si>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</si>
  <si>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</si>
  <si>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</si>
  <si>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</si>
  <si>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</si>
  <si>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</si>
  <si>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</si>
  <si>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</si>
  <si>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</si>
  <si>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</si>
  <si>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</si>
  <si>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</si>
  <si>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</si>
  <si>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</si>
  <si>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</si>
  <si>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</si>
  <si>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</si>
  <si>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</si>
  <si>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</si>
  <si>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</si>
  <si>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</si>
  <si>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</si>
  <si>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</si>
  <si>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</si>
  <si>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</si>
  <si>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</si>
  <si>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</si>
  <si>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</si>
  <si>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</si>
  <si>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</si>
  <si>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</si>
  <si>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</si>
  <si>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</si>
  <si>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</si>
  <si>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</si>
  <si>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</si>
  <si>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</si>
  <si>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</si>
  <si>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</si>
  <si>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</si>
  <si>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</si>
  <si>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</si>
  <si>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</si>
  <si>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</si>
  <si>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</si>
  <si>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</si>
  <si>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</si>
  <si>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</si>
  <si>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</si>
  <si>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</si>
  <si>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</si>
  <si>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</si>
  <si>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</si>
  <si>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</si>
  <si>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</si>
  <si>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</si>
  <si>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n.a</t>
    <phoneticPr fontId="2" type="noConversion"/>
  </si>
  <si>
    <t>Result_EMMTE (%)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</si>
  <si>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</si>
  <si>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</si>
  <si>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</si>
  <si>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</si>
  <si>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</si>
  <si>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</si>
  <si>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</si>
  <si>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</si>
  <si>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</si>
  <si>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</si>
  <si>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mean</t>
    <phoneticPr fontId="1" type="noConversion"/>
  </si>
  <si>
    <t>sd</t>
    <phoneticPr fontId="1" type="noConversion"/>
  </si>
  <si>
    <t xml:space="preserve">MixSIAR(베이지안 확률통계 이론 기반) : 자연적 변동성 반영(STD 포함)  </t>
    <phoneticPr fontId="1" type="noConversion"/>
  </si>
  <si>
    <t>Result_MixSIAR (STD)</t>
    <phoneticPr fontId="1" type="noConversion"/>
  </si>
  <si>
    <t>ML(AI) Ensemble(사용 알고리즘 별 parameter tuning 및 추정값의 차이 존재) : 예측의 불확실성 반영(STD 산출)</t>
    <phoneticPr fontId="1" type="noConversion"/>
  </si>
  <si>
    <t>Result_ML Ensemble (%, mean)</t>
    <phoneticPr fontId="1" type="noConversion"/>
  </si>
  <si>
    <t>Result_ML Ensemble (STD)</t>
    <phoneticPr fontId="1" type="noConversion"/>
  </si>
  <si>
    <t>ML_Ensemble : Random Forest, ExtraTrees, XGBoost, LightGBM, SVM, KNN, Tree, ElasticNet, BNN, TabNet, GNN_Spatial, BART, ST_GNN</t>
    <phoneticPr fontId="1" type="noConversion"/>
  </si>
  <si>
    <t>Result_AI Ensemble (%, mean)</t>
    <phoneticPr fontId="1" type="noConversion"/>
  </si>
  <si>
    <t>Result_AI Ensemble (STD)</t>
    <phoneticPr fontId="1" type="noConversion"/>
  </si>
  <si>
    <t>AI_Ensemble : DNN, CNN, RNN, LSTM, BINN</t>
    <phoneticPr fontId="1" type="noConversion"/>
  </si>
  <si>
    <t>담양 하수처리장</t>
  </si>
  <si>
    <t>EM-01</t>
  </si>
  <si>
    <t>증심사천 방류수</t>
  </si>
  <si>
    <t>광주천</t>
  </si>
  <si>
    <t>EM-06</t>
  </si>
  <si>
    <t>광주 2하수처리장</t>
  </si>
  <si>
    <t>화순천 하수처리장 방류수</t>
  </si>
  <si>
    <t>지석천</t>
  </si>
  <si>
    <t>JS-10-20B</t>
  </si>
  <si>
    <t>빛가람 수질복원센터 방류수</t>
  </si>
  <si>
    <t>영산천</t>
  </si>
  <si>
    <t>EM-02</t>
  </si>
  <si>
    <t>산포하수처리장 방류수</t>
  </si>
  <si>
    <t>EM-08</t>
  </si>
  <si>
    <t>무안 하수처리장</t>
  </si>
  <si>
    <t>EM-03</t>
  </si>
  <si>
    <t>광주 1하수처리장</t>
  </si>
  <si>
    <t>EM-05</t>
  </si>
  <si>
    <t>신안천방류수</t>
  </si>
  <si>
    <t>EM-07</t>
  </si>
  <si>
    <t>빛가람 방류수</t>
  </si>
  <si>
    <t>EM02</t>
  </si>
  <si>
    <t>비고</t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</si>
  <si>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</si>
  <si>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</si>
  <si>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</si>
  <si>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채수지점</t>
    <phoneticPr fontId="46" type="noConversion"/>
  </si>
  <si>
    <t>하천명</t>
    <phoneticPr fontId="47" type="noConversion"/>
  </si>
  <si>
    <t>ID</t>
    <phoneticPr fontId="47" type="noConversion"/>
  </si>
  <si>
    <t>광주천 부숙퇴비</t>
  </si>
  <si>
    <t>EM16</t>
  </si>
  <si>
    <t>남평퇴비</t>
  </si>
  <si>
    <t>EM44</t>
  </si>
  <si>
    <t>추동천 퇴비</t>
  </si>
  <si>
    <t>JS-EM-M5</t>
  </si>
  <si>
    <t>승가교 퇴비(소)</t>
  </si>
  <si>
    <t>EM43</t>
  </si>
  <si>
    <t>영산천 부숙퇴비(소)</t>
  </si>
  <si>
    <t>EM33</t>
  </si>
  <si>
    <t>만봉천 부숙퇴비(소)</t>
  </si>
  <si>
    <t>EM24</t>
  </si>
  <si>
    <t>감정천 퇴비유출수</t>
  </si>
  <si>
    <t>장성천</t>
  </si>
  <si>
    <t>복합비료(밭에 주로 사용)</t>
  </si>
  <si>
    <t>비료</t>
  </si>
  <si>
    <t>EM47</t>
  </si>
  <si>
    <t>복합비료(논에 주로 사용)</t>
  </si>
  <si>
    <t>EM45</t>
  </si>
  <si>
    <t>강우(빗물)</t>
  </si>
  <si>
    <t>EM-25</t>
  </si>
  <si>
    <t>EM-18</t>
  </si>
  <si>
    <t>강우시료</t>
  </si>
  <si>
    <t>EM-40</t>
  </si>
  <si>
    <t>동화호 상류02</t>
  </si>
  <si>
    <t>산림</t>
  </si>
  <si>
    <t>EM-21</t>
  </si>
  <si>
    <t>동화호 상류01</t>
  </si>
  <si>
    <t>EM-20</t>
  </si>
  <si>
    <t>동화천 상류</t>
  </si>
  <si>
    <t>EM-23</t>
  </si>
  <si>
    <t>오수천 상류</t>
  </si>
  <si>
    <t>EM-24</t>
  </si>
  <si>
    <t>광주천 산림유출수</t>
  </si>
  <si>
    <t>EM-15</t>
  </si>
  <si>
    <t>대촌천 논토양1</t>
  </si>
  <si>
    <t>EM13</t>
  </si>
  <si>
    <t>장성천 논토양</t>
  </si>
  <si>
    <t>EM27</t>
  </si>
  <si>
    <t>장성천 산림유출수</t>
  </si>
  <si>
    <t>EM-04</t>
  </si>
  <si>
    <t>광주천 산림토(대나무)</t>
  </si>
  <si>
    <t>EM19</t>
  </si>
  <si>
    <t>만봉천 논토양</t>
  </si>
  <si>
    <t>EM23</t>
  </si>
  <si>
    <t>모델 별 오염원 기여율 추정값 비교 : 계산한 비율 값이 1에 가까울수록 해당 2가지 모델의 오염원 기여율 추정값이 비슷하다는 의미임</t>
    <phoneticPr fontId="1" type="noConversion"/>
  </si>
  <si>
    <t>EMMTE/MixSIAR</t>
    <phoneticPr fontId="1" type="noConversion"/>
  </si>
  <si>
    <t>EMMTE/ML Ensemble</t>
    <phoneticPr fontId="1" type="noConversion"/>
  </si>
  <si>
    <t>EMMTE/AI Ensemble</t>
    <phoneticPr fontId="1" type="noConversion"/>
  </si>
  <si>
    <t>MixSIAR/ML Ensemble</t>
    <phoneticPr fontId="1" type="noConversion"/>
  </si>
  <si>
    <t>MixSIAR/AI Ensemble</t>
    <phoneticPr fontId="1" type="noConversion"/>
  </si>
  <si>
    <t>ML Ensemble/AI ensemble</t>
    <phoneticPr fontId="1" type="noConversion"/>
  </si>
  <si>
    <t>분별작용 고려 안함</t>
    <phoneticPr fontId="1" type="noConversion"/>
  </si>
  <si>
    <t>run="normal"</t>
    <phoneticPr fontId="1" type="noConversion"/>
  </si>
  <si>
    <t>모델 수렴도 확보</t>
    <phoneticPr fontId="1" type="noConversion"/>
  </si>
  <si>
    <t>DIC = 153.2499</t>
  </si>
  <si>
    <t>#################################################################</t>
  </si>
  <si>
    <t># Summary Statistics</t>
  </si>
  <si>
    <t>p.global[5]     0.209 -1.425 -0.230</t>
  </si>
  <si>
    <t>p.global[4]     0.287  0.601 -0.508</t>
  </si>
  <si>
    <t>p.global[3]    -0.389  1.589  0.288</t>
  </si>
  <si>
    <t>p.global[2]    -0.262  0.441  0.532</t>
  </si>
  <si>
    <t>p.global[1]    -0.297  0.579  0.605</t>
  </si>
  <si>
    <t>p.fac1[9,5]     0.856 -0.576 -0.431</t>
  </si>
  <si>
    <t>p.fac1[9,4]     0.438  0.966  0.129</t>
  </si>
  <si>
    <t>p.fac1[9,3]    -0.750  1.929  1.609</t>
  </si>
  <si>
    <t>p.fac1[9,2]    -1.010 -1.792 -0.617</t>
  </si>
  <si>
    <t>p.fac1[9,1]    -0.365  1.221  1.357</t>
  </si>
  <si>
    <t>p.fac1[8,5]     0.011 -1.082 -0.297</t>
  </si>
  <si>
    <t>p.fac1[8,4]     0.673  2.378 -0.003</t>
  </si>
  <si>
    <t>p.fac1[8,3]    -0.188  1.315  0.003</t>
  </si>
  <si>
    <t>p.fac1[8,2]    -0.318 -0.943  1.940</t>
  </si>
  <si>
    <t>p.fac1[8,1]    -0.249 -0.262 -0.084</t>
  </si>
  <si>
    <t>p.fac1[7,5]    -0.154  0.178  1.223</t>
  </si>
  <si>
    <t>p.fac1[7,4]     0.643 -2.203 -1.455</t>
  </si>
  <si>
    <t>p.fac1[7,3]    -0.258  1.704  0.636</t>
  </si>
  <si>
    <t>p.fac1[7,2]     0.175  1.441  0.240</t>
  </si>
  <si>
    <t>p.fac1[7,1]    -0.797  1.827 -0.051</t>
  </si>
  <si>
    <t>p.fac1[6,5]    -2.016 -0.193 -0.408</t>
  </si>
  <si>
    <t>p.fac1[6,4]     3.044  0.210 -0.471</t>
  </si>
  <si>
    <t>p.fac1[6,3]    -0.265  0.687  0.809</t>
  </si>
  <si>
    <t>p.fac1[6,2]    -1.803  0.129  0.380</t>
  </si>
  <si>
    <t>p.fac1[6,1]     0.139 -0.181  0.602</t>
  </si>
  <si>
    <t>p.fac1[5,5]    -0.198  0.108 -1.506</t>
  </si>
  <si>
    <t>p.fac1[5,4]     0.388 -0.521  0.448</t>
  </si>
  <si>
    <t>p.fac1[5,3]     0.025  0.766  1.073</t>
  </si>
  <si>
    <t>p.fac1[5,2]    -0.323  0.699  0.925</t>
  </si>
  <si>
    <t>p.fac1[5,1]    -0.036 -0.210  0.916</t>
  </si>
  <si>
    <t>p.fac1[4,5]    -0.240 -0.343  0.596</t>
  </si>
  <si>
    <t>p.fac1[4,4]     0.286 -0.017 -1.129</t>
  </si>
  <si>
    <t>p.fac1[4,3]    -1.487  1.619 -0.602</t>
  </si>
  <si>
    <t>p.fac1[4,2]     0.705 -0.448  1.059</t>
  </si>
  <si>
    <t>p.fac1[4,1]    -1.443  0.658  0.987</t>
  </si>
  <si>
    <t>p.fac1[3,5]     1.014 -1.687 -0.466</t>
  </si>
  <si>
    <t>p.fac1[3,4]    -0.688 -0.431 -0.727</t>
  </si>
  <si>
    <t>p.fac1[3,3]    -0.908  0.392  0.405</t>
  </si>
  <si>
    <t>p.fac1[3,2]    -0.061  2.413  1.579</t>
  </si>
  <si>
    <t>p.fac1[3,1]    -0.251 -0.765  0.448</t>
  </si>
  <si>
    <t>p.fac1[24,5]    0.556 -1.181  1.161</t>
  </si>
  <si>
    <t>p.fac1[24,4]   -0.132  0.158 -2.051</t>
  </si>
  <si>
    <t>p.fac1[24,3]   -1.561 -0.078 -0.035</t>
  </si>
  <si>
    <t>p.fac1[24,2]   -0.436  0.591 -0.012</t>
  </si>
  <si>
    <t>p.fac1[24,1]    0.089  1.070  0.702</t>
  </si>
  <si>
    <t>p.fac1[23,5]   -0.787 -0.826 -1.431</t>
  </si>
  <si>
    <t>p.fac1[23,4]    0.683 -1.212 -0.302</t>
  </si>
  <si>
    <t>p.fac1[23,3]   -0.005  1.459 -0.339</t>
  </si>
  <si>
    <t>p.fac1[23,2]   -0.042  1.107  1.007</t>
  </si>
  <si>
    <t>p.fac1[23,1]    0.039  1.440  1.183</t>
  </si>
  <si>
    <t>p.fac1[22,5]   -0.570 -0.615  2.458</t>
  </si>
  <si>
    <t>p.fac1[22,4]    0.008  0.212 -2.268</t>
  </si>
  <si>
    <t>p.fac1[22,3]   -0.924  0.740 -0.144</t>
  </si>
  <si>
    <t>p.fac1[22,2]    1.222  0.130  1.319</t>
  </si>
  <si>
    <t>p.fac1[22,1]    0.130  0.339 -0.354</t>
  </si>
  <si>
    <t>p.fac1[21,5]    0.849  1.255  0.626</t>
  </si>
  <si>
    <t>p.fac1[21,4]   -0.310 -1.396 -1.462</t>
  </si>
  <si>
    <t>p.fac1[21,3]   -0.122  1.385 -1.377</t>
  </si>
  <si>
    <t>p.fac1[21,2]   -0.607  0.754  0.084</t>
  </si>
  <si>
    <t>p.fac1[21,1]   -0.407 -0.813  0.095</t>
  </si>
  <si>
    <t>p.fac1[20,5]    0.521 -0.053  0.901</t>
  </si>
  <si>
    <t>p.fac1[20,4]    0.809  0.448 -1.005</t>
  </si>
  <si>
    <t>p.fac1[20,3]   -0.737  0.827  0.439</t>
  </si>
  <si>
    <t>p.fac1[20,2]   -2.956 -1.099  0.971</t>
  </si>
  <si>
    <t>p.fac1[20,1]    0.258  0.126 -0.659</t>
  </si>
  <si>
    <t>p.fac1[2,5]    -0.236 -0.569 -0.238</t>
  </si>
  <si>
    <t>p.fac1[2,4]    -0.461 -0.524 -0.768</t>
  </si>
  <si>
    <t>p.fac1[2,3]     0.411  2.242 -0.279</t>
  </si>
  <si>
    <t>p.fac1[2,2]     1.085  0.608  1.049</t>
  </si>
  <si>
    <t>p.fac1[2,1]     0.309  0.529  0.903</t>
  </si>
  <si>
    <t>p.fac1[19,5]    1.231 -0.929  0.850</t>
  </si>
  <si>
    <t>p.fac1[19,4]    1.169 -0.381 -1.188</t>
  </si>
  <si>
    <t>p.fac1[19,3]   -1.397  0.035  0.332</t>
  </si>
  <si>
    <t>p.fac1[19,2]   -1.363  1.134  0.425</t>
  </si>
  <si>
    <t>p.fac1[19,1]   -1.960  0.005  0.410</t>
  </si>
  <si>
    <t>p.fac1[18,5]    0.329 -0.494  0.175</t>
  </si>
  <si>
    <t>p.fac1[18,4]   -0.899  0.615  0.009</t>
  </si>
  <si>
    <t>p.fac1[18,3]   -1.612  0.467  0.335</t>
  </si>
  <si>
    <t>p.fac1[18,2]    1.025 -1.524 -0.406</t>
  </si>
  <si>
    <t>p.fac1[18,1]    0.384  0.664  0.443</t>
  </si>
  <si>
    <t>p.fac1[17,5]    1.593 -1.420 -0.554</t>
  </si>
  <si>
    <t>p.fac1[17,4]   -1.481  0.158 -0.313</t>
  </si>
  <si>
    <t>p.fac1[17,3]   -0.289  1.565  0.093</t>
  </si>
  <si>
    <t>p.fac1[17,2]    0.163 -0.021  0.814</t>
  </si>
  <si>
    <t>p.fac1[17,1]    0.953  0.864  0.018</t>
  </si>
  <si>
    <t>p.fac1[16,5]   -0.660 -0.941  0.302</t>
  </si>
  <si>
    <t>p.fac1[16,4]    0.540  0.544  0.188</t>
  </si>
  <si>
    <t>p.fac1[16,3]    0.168  1.207 -0.277</t>
  </si>
  <si>
    <t>p.fac1[16,2]   -0.756 -0.024 -0.587</t>
  </si>
  <si>
    <t>p.fac1[16,1]    0.569  0.132 -0.199</t>
  </si>
  <si>
    <t>p.fac1[15,5]    0.777 -1.682 -1.894</t>
  </si>
  <si>
    <t>p.fac1[15,4]   -0.589  0.539  0.804</t>
  </si>
  <si>
    <t>p.fac1[15,3]    0.097  1.315  0.081</t>
  </si>
  <si>
    <t>p.fac1[15,2]   -0.342  0.317  0.183</t>
  </si>
  <si>
    <t>p.fac1[15,1]    0.316  0.000  0.426</t>
  </si>
  <si>
    <t>p.fac1[14,5]    1.442 -0.739  1.325</t>
  </si>
  <si>
    <t>p.fac1[14,4]   -1.391  0.546 -0.803</t>
  </si>
  <si>
    <t>p.fac1[14,3]   -1.416  0.458 -0.006</t>
  </si>
  <si>
    <t>p.fac1[14,2]    0.898 -0.478 -0.366</t>
  </si>
  <si>
    <t>p.fac1[14,1]   -0.425  0.419  0.176</t>
  </si>
  <si>
    <t>p.fac1[13,5]    0.977 -1.030  1.060</t>
  </si>
  <si>
    <t>p.fac1[13,4]   -0.671 -0.308 -0.727</t>
  </si>
  <si>
    <t>p.fac1[13,3]   -0.234  0.709  0.022</t>
  </si>
  <si>
    <t>p.fac1[13,2]   -0.721  0.881  0.492</t>
  </si>
  <si>
    <t>p.fac1[13,1]    0.505  1.246 -0.930</t>
  </si>
  <si>
    <t>p.fac1[12,5]   -0.738 -1.673 -0.779</t>
  </si>
  <si>
    <t>p.fac1[12,4]    1.955  0.786  0.648</t>
  </si>
  <si>
    <t>p.fac1[12,3]   -1.661  0.776  0.106</t>
  </si>
  <si>
    <t>p.fac1[12,2]   -0.952 -1.265 -0.263</t>
  </si>
  <si>
    <t>p.fac1[12,1]   -0.533  1.843  0.269</t>
  </si>
  <si>
    <t>p.fac1[11,5]    1.213 -0.844 -0.678</t>
  </si>
  <si>
    <t>p.fac1[11,4]   -0.445  0.435  0.601</t>
  </si>
  <si>
    <t>p.fac1[11,3]   -1.131  1.812 -1.346</t>
  </si>
  <si>
    <t>p.fac1[11,2]    0.655 -0.554 -0.494</t>
  </si>
  <si>
    <t>p.fac1[11,1]   -1.302  0.357  0.717</t>
  </si>
  <si>
    <t>p.fac1[10,5]    0.953 -0.340  0.292</t>
  </si>
  <si>
    <t>p.fac1[10,4]    0.178 -0.761 -1.934</t>
  </si>
  <si>
    <t>p.fac1[10,3]   -0.470  2.457  1.123</t>
  </si>
  <si>
    <t>p.fac1[10,2]   -1.519  1.768  0.465</t>
  </si>
  <si>
    <t>p.fac1[10,1]    0.021 -0.935  0.857</t>
  </si>
  <si>
    <t>p.fac1[1,5]     0.209 -1.425 -0.230</t>
  </si>
  <si>
    <t>p.fac1[1,4]     0.287  0.601 -0.508</t>
  </si>
  <si>
    <t>p.fac1[1,3]    -0.389  1.589  0.288</t>
  </si>
  <si>
    <t>p.fac1[1,2]    -0.262  0.441  0.532</t>
  </si>
  <si>
    <t>p.fac1[1,1]    -0.297  0.579  0.605</t>
  </si>
  <si>
    <t>loglik[9]      -1.751 -0.079 -0.704</t>
  </si>
  <si>
    <t>loglik[8]       0.686 -1.364 -0.121</t>
  </si>
  <si>
    <t>loglik[7]      -0.785  0.638 -0.235</t>
  </si>
  <si>
    <t>loglik[6]      -0.549  0.113  2.104</t>
  </si>
  <si>
    <t>loglik[5]       0.082  0.537 -1.190</t>
  </si>
  <si>
    <t>loglik[4]       1.349 -1.447 -0.646</t>
  </si>
  <si>
    <t>loglik[3]      -0.266  0.041  1.378</t>
  </si>
  <si>
    <t>loglik[24]      0.347  2.309  0.133</t>
  </si>
  <si>
    <t>loglik[23]      0.827  0.507  0.062</t>
  </si>
  <si>
    <t>loglik[22]     -0.421  1.224 -0.835</t>
  </si>
  <si>
    <t>loglik[21]      1.263  0.912 -0.528</t>
  </si>
  <si>
    <t>loglik[20]     -2.513 -0.591 -0.839</t>
  </si>
  <si>
    <t>loglik[2]      -2.072 -0.728  0.250</t>
  </si>
  <si>
    <t>loglik[19]     -1.760  0.689 -0.922</t>
  </si>
  <si>
    <t>loglik[18]      0.503 -2.256  0.977</t>
  </si>
  <si>
    <t>loglik[17]      0.824  1.289  0.975</t>
  </si>
  <si>
    <t>loglik[16]      0.242 -0.529 -0.600</t>
  </si>
  <si>
    <t>loglik[15]      0.124  0.592 -1.306</t>
  </si>
  <si>
    <t>loglik[14]      1.795  0.516  1.034</t>
  </si>
  <si>
    <t>loglik[13]     -0.317 -0.182 -1.024</t>
  </si>
  <si>
    <t>loglik[12]      0.354  0.179  1.939</t>
  </si>
  <si>
    <t>loglik[11]     -0.732 -1.703 -0.346</t>
  </si>
  <si>
    <t>loglik[10]      0.205  0.597  1.515</t>
  </si>
  <si>
    <t>loglik[1]      -0.248 -2.031  0.862</t>
  </si>
  <si>
    <t>ilr.fac1[9,4]  -0.584 -0.606  0.569</t>
  </si>
  <si>
    <t>ilr.fac1[9,3]  -1.375 -0.450 -0.100</t>
  </si>
  <si>
    <t>ilr.fac1[9,2]   0.270 -1.535 -1.263</t>
  </si>
  <si>
    <t>ilr.fac1[9,1]   1.929  3.195  0.957</t>
  </si>
  <si>
    <t>ilr.fac1[8,4]   0.946  0.245  0.871</t>
  </si>
  <si>
    <t>ilr.fac1[8,3]   0.308 -2.613 -0.098</t>
  </si>
  <si>
    <t>ilr.fac1[8,2]  -0.887 -1.223  0.538</t>
  </si>
  <si>
    <t>ilr.fac1[8,1]   0.297 -1.859 -1.376</t>
  </si>
  <si>
    <t>ilr.fac1[7,4]   0.655 -1.580 -1.643</t>
  </si>
  <si>
    <t>ilr.fac1[7,3]  -0.330  1.641  0.499</t>
  </si>
  <si>
    <t>ilr.fac1[7,2]  -0.197  1.090 -1.824</t>
  </si>
  <si>
    <t>ilr.fac1[7,1]  -0.525 -0.885 -1.370</t>
  </si>
  <si>
    <t>ilr.fac1[6,4]   1.720 -0.951  0.494</t>
  </si>
  <si>
    <t>ilr.fac1[6,3]  -1.992  0.342  0.221</t>
  </si>
  <si>
    <t>ilr.fac1[6,2]  -0.292  0.108  0.277</t>
  </si>
  <si>
    <t>ilr.fac1[6,1]   0.744 -0.135  0.971</t>
  </si>
  <si>
    <t>ilr.fac1[5,4]   0.016 -1.253  1.507</t>
  </si>
  <si>
    <t>ilr.fac1[5,3]  -0.179  0.751 -0.144</t>
  </si>
  <si>
    <t>ilr.fac1[5,2]  -1.178 -0.190  0.876</t>
  </si>
  <si>
    <t>ilr.fac1[5,1]  -0.786 -1.135 -0.442</t>
  </si>
  <si>
    <t>ilr.fac1[4,4]   0.240 -1.492 -0.927</t>
  </si>
  <si>
    <t>ilr.fac1[4,3]   0.145 -0.448  0.349</t>
  </si>
  <si>
    <t>ilr.fac1[4,2]   0.652 -0.153  1.322</t>
  </si>
  <si>
    <t>ilr.fac1[4,1]  -0.693  1.033 -0.979</t>
  </si>
  <si>
    <t>ilr.fac1[3,4]  -0.571 -0.114  0.850</t>
  </si>
  <si>
    <t>ilr.fac1[3,3]   0.857  0.476  0.863</t>
  </si>
  <si>
    <t>ilr.fac1[3,2]   0.087  2.840  0.514</t>
  </si>
  <si>
    <t>ilr.fac1[3,1]  -0.551 -1.644 -0.741</t>
  </si>
  <si>
    <t>ilr.fac1[24,4]  0.342  0.398 -2.237</t>
  </si>
  <si>
    <t>ilr.fac1[24,3]  1.969 -0.203  0.021</t>
  </si>
  <si>
    <t>ilr.fac1[24,2] -0.470  1.407  0.304</t>
  </si>
  <si>
    <t>ilr.fac1[24,1]  0.614  0.005 -0.357</t>
  </si>
  <si>
    <t>ilr.fac1[23,4]  1.530  0.088  1.233</t>
  </si>
  <si>
    <t>ilr.fac1[23,3]  0.730  1.873  0.302</t>
  </si>
  <si>
    <t>ilr.fac1[23,2] -1.747 -0.068  1.104</t>
  </si>
  <si>
    <t>ilr.fac1[23,1]  0.849  0.511 -0.630</t>
  </si>
  <si>
    <t>ilr.fac1[22,4]  1.310 -1.231 -1.942</t>
  </si>
  <si>
    <t>ilr.fac1[22,3]  1.178 -0.781  0.732</t>
  </si>
  <si>
    <t>ilr.fac1[22,2] -0.100  0.982 -0.686</t>
  </si>
  <si>
    <t>ilr.fac1[22,1] -0.518 -0.271 -1.213</t>
  </si>
  <si>
    <t>ilr.fac1[21,4] -0.873 -2.922 -0.966</t>
  </si>
  <si>
    <t>ilr.fac1[21,3]  0.199  1.107 -0.237</t>
  </si>
  <si>
    <t>ilr.fac1[21,2] -0.235  0.556  0.745</t>
  </si>
  <si>
    <t>ilr.fac1[21,1]  0.729 -1.222  0.346</t>
  </si>
  <si>
    <t>ilr.fac1[20,4] -0.501 -1.375 -1.302</t>
  </si>
  <si>
    <t>ilr.fac1[20,3] -1.202 -1.179 -0.070</t>
  </si>
  <si>
    <t>ilr.fac1[20,2] -0.536  0.773 -0.888</t>
  </si>
  <si>
    <t>ilr.fac1[20,1]  1.666  0.788 -2.814</t>
  </si>
  <si>
    <t>ilr.fac1[2,4]   0.987 -0.060 -0.372</t>
  </si>
  <si>
    <t>ilr.fac1[2,3]   2.102  0.761  0.578</t>
  </si>
  <si>
    <t>ilr.fac1[2,2]  -0.747 -0.398  1.318</t>
  </si>
  <si>
    <t>ilr.fac1[2,1]   0.362 -0.016  0.415</t>
  </si>
  <si>
    <t>ilr.fac1[19,4] -1.273 -0.938  0.103</t>
  </si>
  <si>
    <t>ilr.fac1[19,3] -1.579  0.524  0.374</t>
  </si>
  <si>
    <t>ilr.fac1[19,2] -0.113  1.890 -1.093</t>
  </si>
  <si>
    <t>ilr.fac1[19,1] -0.523 -0.785 -0.811</t>
  </si>
  <si>
    <t>ilr.fac1[18,4]  0.813  0.214 -0.744</t>
  </si>
  <si>
    <t>ilr.fac1[18,3]  2.225 -1.279 -0.372</t>
  </si>
  <si>
    <t>ilr.fac1[18,2] -0.525  0.681 -1.033</t>
  </si>
  <si>
    <t>ilr.fac1[18,1] -0.295  1.740  1.001</t>
  </si>
  <si>
    <t>ilr.fac1[17,4] -0.717  0.161  1.394</t>
  </si>
  <si>
    <t>ilr.fac1[17,3]  1.890  0.323  0.535</t>
  </si>
  <si>
    <t>ilr.fac1[17,2] -0.164 -0.369  0.423</t>
  </si>
  <si>
    <t>ilr.fac1[17,1]  1.051  0.670  0.088</t>
  </si>
  <si>
    <t>ilr.fac1[16,4]  1.767 -1.409 -1.036</t>
  </si>
  <si>
    <t>ilr.fac1[16,3]  1.207 -1.194 -1.761</t>
  </si>
  <si>
    <t>ilr.fac1[16,2]  0.258  0.912 -1.414</t>
  </si>
  <si>
    <t>ilr.fac1[16,1]  0.280  0.369 -0.331</t>
  </si>
  <si>
    <t>ilr.fac1[15,4] -0.238  0.432  0.975</t>
  </si>
  <si>
    <t>ilr.fac1[15,3]  0.876 -0.399 -1.950</t>
  </si>
  <si>
    <t>ilr.fac1[15,2] -0.586  0.773 -0.536</t>
  </si>
  <si>
    <t>ilr.fac1[15,1]  0.471 -1.282 -0.051</t>
  </si>
  <si>
    <t>ilr.fac1[14,4] -1.143 -1.289 -1.523</t>
  </si>
  <si>
    <t>ilr.fac1[14,3]  1.235 -0.584 -0.787</t>
  </si>
  <si>
    <t>ilr.fac1[14,2]  0.659  0.777 -0.884</t>
  </si>
  <si>
    <t>ilr.fac1[14,1] -0.873  0.945 -0.147</t>
  </si>
  <si>
    <t>ilr.fac1[13,4] -0.777 -0.224 -1.584</t>
  </si>
  <si>
    <t>ilr.fac1[13,3]  0.870  0.300 -1.263</t>
  </si>
  <si>
    <t>ilr.fac1[13,2]  0.031  0.608 -0.460</t>
  </si>
  <si>
    <t>ilr.fac1[13,1]  1.247 -0.994 -1.371</t>
  </si>
  <si>
    <t>ilr.fac1[12,4]  0.307  0.503  0.294</t>
  </si>
  <si>
    <t>ilr.fac1[12,3] -1.468 -0.098 -1.680</t>
  </si>
  <si>
    <t>ilr.fac1[12,2] -0.624  0.893 -0.009</t>
  </si>
  <si>
    <t>ilr.fac1[12,1]  1.153  2.676 -0.090</t>
  </si>
  <si>
    <t>ilr.fac1[11,4] -1.559 -0.311  0.284</t>
  </si>
  <si>
    <t>ilr.fac1[11,3]  0.412  0.096 -1.584</t>
  </si>
  <si>
    <t>ilr.fac1[11,2]  1.270 -1.753  0.824</t>
  </si>
  <si>
    <t>ilr.fac1[11,1] -1.905  0.196  0.613</t>
  </si>
  <si>
    <t>ilr.fac1[10,4] -0.485 -1.267 -0.353</t>
  </si>
  <si>
    <t>ilr.fac1[10,3]  0.021  0.994  0.800</t>
  </si>
  <si>
    <t>ilr.fac1[10,2] -0.094 -1.597 -0.121</t>
  </si>
  <si>
    <t>ilr.fac1[10,1]  0.777 -1.817  0.554</t>
  </si>
  <si>
    <t>deviance        0.737 -0.069 -0.330</t>
  </si>
  <si>
    <t xml:space="preserve">               chain1 chain2 chain3</t>
  </si>
  <si>
    <t>And here are the Geweke diagnostics for all variables:</t>
  </si>
  <si>
    <t>Geweke       9      13       6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</si>
  <si>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</si>
  <si>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</si>
  <si>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</si>
  <si>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</si>
  <si>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</si>
  <si>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</si>
  <si>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p.global[5]     1.0041926  1.0165332</t>
  </si>
  <si>
    <t>p.global[4]     1.0009462  1.0031886</t>
  </si>
  <si>
    <t>p.global[3]     1.0051870  1.0117502</t>
  </si>
  <si>
    <t>p.global[2]     1.0014146  1.0015464</t>
  </si>
  <si>
    <t>p.global[1]     1.0074700  1.0248346</t>
  </si>
  <si>
    <t>p.fac1[9,5]     1.0005798  1.0031840</t>
  </si>
  <si>
    <t>p.fac1[9,4]     1.0002144  1.0013293</t>
  </si>
  <si>
    <t>p.fac1[9,3]     1.0021739  1.0054979</t>
  </si>
  <si>
    <t>p.fac1[9,2]     0.9997851  1.0002518</t>
  </si>
  <si>
    <t>p.fac1[9,1]     1.0022538  1.0074197</t>
  </si>
  <si>
    <t>p.fac1[8,5]     1.0015993  1.0047730</t>
  </si>
  <si>
    <t>p.fac1[8,4]     1.0001430  1.0010664</t>
  </si>
  <si>
    <t>p.fac1[8,3]     1.0265152  1.0287332</t>
  </si>
  <si>
    <t>p.fac1[8,2]     1.0001985  1.0003282</t>
  </si>
  <si>
    <t>p.fac1[8,1]     1.0030311  1.0085232</t>
  </si>
  <si>
    <t>p.fac1[7,5]     1.0012335  1.0041960</t>
  </si>
  <si>
    <t>p.fac1[7,4]     1.0002568  1.0012628</t>
  </si>
  <si>
    <t>p.fac1[7,3]     1.0046996  1.0088333</t>
  </si>
  <si>
    <t>p.fac1[7,2]     1.0008270  1.0042095</t>
  </si>
  <si>
    <t>p.fac1[7,1]     1.0020840  1.0071124</t>
  </si>
  <si>
    <t>p.fac1[6,5]     1.0024459  1.0088582</t>
  </si>
  <si>
    <t>p.fac1[6,4]     0.9999020  1.0004294</t>
  </si>
  <si>
    <t>p.fac1[6,3]     1.0082365  1.0134177</t>
  </si>
  <si>
    <t>p.fac1[6,2]     1.0002941  1.0007261</t>
  </si>
  <si>
    <t>p.fac1[6,1]     1.0029100  1.0113903</t>
  </si>
  <si>
    <t>p.fac1[5,5]     1.0020427  1.0081182</t>
  </si>
  <si>
    <t>p.fac1[5,4]     1.0008061  1.0029591</t>
  </si>
  <si>
    <t>p.fac1[5,3]     1.0094579  1.0135264</t>
  </si>
  <si>
    <t>p.fac1[5,2]     1.0011503  1.0026945</t>
  </si>
  <si>
    <t>p.fac1[5,1]     1.0061300  1.0199188</t>
  </si>
  <si>
    <t>p.fac1[4,5]     1.0014577  1.0066521</t>
  </si>
  <si>
    <t>p.fac1[4,4]     1.0003644  1.0020623</t>
  </si>
  <si>
    <t>p.fac1[4,3]     1.0011463  1.0043117</t>
  </si>
  <si>
    <t>p.fac1[4,2]     0.9997708  1.0003881</t>
  </si>
  <si>
    <t>p.fac1[4,1]     1.0017842  1.0062757</t>
  </si>
  <si>
    <t>p.fac1[3,5]     1.0026798  1.0068828</t>
  </si>
  <si>
    <t>p.fac1[3,4]     1.0001494  1.0007881</t>
  </si>
  <si>
    <t>p.fac1[3,3]     1.0018980  1.0042938</t>
  </si>
  <si>
    <t>p.fac1[3,2]     0.9998002  0.9999637</t>
  </si>
  <si>
    <t>p.fac1[3,1]     1.0010164  1.0047448</t>
  </si>
  <si>
    <t>p.fac1[24,5]    1.0002146  1.0012789</t>
  </si>
  <si>
    <t>p.fac1[24,4]    0.9997694  1.0001970</t>
  </si>
  <si>
    <t>p.fac1[24,3]    1.0041304  1.0069133</t>
  </si>
  <si>
    <t>p.fac1[24,2]    1.0003082  1.0013400</t>
  </si>
  <si>
    <t>p.fac1[24,1]    1.0015977  1.0043689</t>
  </si>
  <si>
    <t>p.fac1[23,5]    1.0010085  1.0046481</t>
  </si>
  <si>
    <t>p.fac1[23,4]    0.9996929  1.0002037</t>
  </si>
  <si>
    <t>p.fac1[23,3]    1.0039566  1.0072914</t>
  </si>
  <si>
    <t>p.fac1[23,2]    1.0003307  1.0014054</t>
  </si>
  <si>
    <t>p.fac1[23,1]    1.0016937  1.0050000</t>
  </si>
  <si>
    <t>p.fac1[22,5]    1.0037247  1.0146815</t>
  </si>
  <si>
    <t>p.fac1[22,4]    1.0002639  1.0023122</t>
  </si>
  <si>
    <t>p.fac1[22,3]    1.0014029  1.0053477</t>
  </si>
  <si>
    <t>p.fac1[22,2]    1.0006802  1.0024453</t>
  </si>
  <si>
    <t>p.fac1[22,1]    1.0031962  1.0099936</t>
  </si>
  <si>
    <t>p.fac1[21,5]    1.0011499  1.0054765</t>
  </si>
  <si>
    <t>p.fac1[21,4]    1.0008354  1.0015917</t>
  </si>
  <si>
    <t>p.fac1[21,3]    1.0027572  1.0045429</t>
  </si>
  <si>
    <t>p.fac1[21,2]    1.0009479  1.0018957</t>
  </si>
  <si>
    <t>p.fac1[21,1]    1.0019201  1.0074138</t>
  </si>
  <si>
    <t>p.fac1[20,5]    1.0033462  1.0100850</t>
  </si>
  <si>
    <t>p.fac1[20,4]    1.0001847  1.0019254</t>
  </si>
  <si>
    <t>p.fac1[20,3]    1.0043772  1.0073031</t>
  </si>
  <si>
    <t>p.fac1[20,2]    0.9999019  1.0005421</t>
  </si>
  <si>
    <t>p.fac1[20,1]    1.0012445  1.0049470</t>
  </si>
  <si>
    <t>p.fac1[2,5]     1.0011430  1.0043991</t>
  </si>
  <si>
    <t>p.fac1[2,4]     0.9999118  1.0007024</t>
  </si>
  <si>
    <t>p.fac1[2,3]     1.0020032  1.0031596</t>
  </si>
  <si>
    <t>p.fac1[2,2]     1.0005021  1.0012099</t>
  </si>
  <si>
    <t>p.fac1[2,1]     1.0022463  1.0062996</t>
  </si>
  <si>
    <t>p.fac1[19,5]    1.0025323  1.0091469</t>
  </si>
  <si>
    <t>p.fac1[19,4]    0.9996729  1.0000202</t>
  </si>
  <si>
    <t>p.fac1[19,3]    1.0010272  1.0028093</t>
  </si>
  <si>
    <t>p.fac1[19,2]    0.9999079  1.0009477</t>
  </si>
  <si>
    <t>p.fac1[19,1]    1.0015768  1.0047201</t>
  </si>
  <si>
    <t>p.fac1[18,5]    1.0003680  1.0009776</t>
  </si>
  <si>
    <t>p.fac1[18,4]    1.0004199  1.0019419</t>
  </si>
  <si>
    <t>p.fac1[18,3]    1.0046632  1.0057492</t>
  </si>
  <si>
    <t>p.fac1[18,2]    1.0002661  1.0018832</t>
  </si>
  <si>
    <t>p.fac1[18,1]    1.0011052  1.0050445</t>
  </si>
  <si>
    <t>p.fac1[17,5]    1.0001755  1.0018706</t>
  </si>
  <si>
    <t>p.fac1[17,4]    1.0001125  1.0009855</t>
  </si>
  <si>
    <t>p.fac1[17,3]    1.0196731  1.0276437</t>
  </si>
  <si>
    <t>p.fac1[17,2]    0.9998903  0.9999904</t>
  </si>
  <si>
    <t>p.fac1[17,1]    1.0060062  1.0158640</t>
  </si>
  <si>
    <t>p.fac1[16,5]    1.0017406  1.0061179</t>
  </si>
  <si>
    <t>p.fac1[16,4]    1.0005392  1.0028836</t>
  </si>
  <si>
    <t>p.fac1[16,3]    1.0057200  1.0110519</t>
  </si>
  <si>
    <t>p.fac1[16,2]    0.9995976  0.9997148</t>
  </si>
  <si>
    <t>p.fac1[16,1]    1.0009936  1.0048793</t>
  </si>
  <si>
    <t>p.fac1[15,5]    1.0007601  1.0032227</t>
  </si>
  <si>
    <t>p.fac1[15,4]    0.9997188  0.9999677</t>
  </si>
  <si>
    <t>p.fac1[15,3]    1.0040993  1.0072300</t>
  </si>
  <si>
    <t>p.fac1[15,2]    1.0007149  1.0029617</t>
  </si>
  <si>
    <t>p.fac1[15,1]    1.0014468  1.0059084</t>
  </si>
  <si>
    <t>p.fac1[14,5]    0.9999268  1.0007922</t>
  </si>
  <si>
    <t>p.fac1[14,4]    0.9998249  1.0002450</t>
  </si>
  <si>
    <t>p.fac1[14,3]    1.0087515  1.0166617</t>
  </si>
  <si>
    <t>p.fac1[14,2]    0.9995675  0.9996131</t>
  </si>
  <si>
    <t>p.fac1[14,1]    1.0040219  1.0129334</t>
  </si>
  <si>
    <t>p.fac1[13,5]    1.0059091  1.0222067</t>
  </si>
  <si>
    <t>p.fac1[13,4]    1.0010788  1.0044165</t>
  </si>
  <si>
    <t>p.fac1[13,3]    1.0054745  1.0109571</t>
  </si>
  <si>
    <t>p.fac1[13,2]    1.0004434  1.0010569</t>
  </si>
  <si>
    <t>p.fac1[13,1]    1.0042197  1.0148174</t>
  </si>
  <si>
    <t>p.fac1[12,5]    1.0038933  1.0143712</t>
  </si>
  <si>
    <t>p.fac1[12,4]    0.9999619  1.0011608</t>
  </si>
  <si>
    <t>p.fac1[12,3]    1.0020729  1.0035692</t>
  </si>
  <si>
    <t>p.fac1[12,2]    1.0004779  1.0017308</t>
  </si>
  <si>
    <t>p.fac1[12,1]    1.0068812  1.0199441</t>
  </si>
  <si>
    <t>p.fac1[11,5]    1.0018222  1.0079570</t>
  </si>
  <si>
    <t>p.fac1[11,4]    0.9995913  0.9998200</t>
  </si>
  <si>
    <t>p.fac1[11,3]    1.0004857  1.0015638</t>
  </si>
  <si>
    <t>p.fac1[11,2]    1.0005935  1.0011929</t>
  </si>
  <si>
    <t>p.fac1[11,1]    1.0013444  1.0058867</t>
  </si>
  <si>
    <t>p.fac1[10,5]    1.0004034  1.0025562</t>
  </si>
  <si>
    <t>p.fac1[10,4]    1.0005254  1.0025044</t>
  </si>
  <si>
    <t>p.fac1[10,3]    0.9998995  1.0002447</t>
  </si>
  <si>
    <t>p.fac1[10,2]    1.0008643  1.0035000</t>
  </si>
  <si>
    <t>p.fac1[10,1]    1.0011054  1.0047218</t>
  </si>
  <si>
    <t>p.fac1[1,5]     1.0041926  1.0165332</t>
  </si>
  <si>
    <t>p.fac1[1,4]     1.0009462  1.0031886</t>
  </si>
  <si>
    <t>p.fac1[1,3]     1.0051870  1.0117502</t>
  </si>
  <si>
    <t>p.fac1[1,2]     1.0014146  1.0015464</t>
  </si>
  <si>
    <t>p.fac1[1,1]     1.0074700  1.0248346</t>
  </si>
  <si>
    <t>loglik[9]       1.0001809  1.0011817</t>
  </si>
  <si>
    <t>loglik[8]       1.0001594  1.0003208</t>
  </si>
  <si>
    <t>loglik[7]       1.0018377  1.0041046</t>
  </si>
  <si>
    <t>loglik[6]       1.0002431  1.0005087</t>
  </si>
  <si>
    <t>loglik[5]       1.0014595  1.0015061</t>
  </si>
  <si>
    <t>loglik[4]       1.0016293  1.0028904</t>
  </si>
  <si>
    <t>loglik[3]       1.0042399  1.0119709</t>
  </si>
  <si>
    <t>loglik[24]      1.0010990  1.0018829</t>
  </si>
  <si>
    <t>loglik[23]      1.0010687  1.0014085</t>
  </si>
  <si>
    <t>loglik[22]      1.0005176  1.0027685</t>
  </si>
  <si>
    <t>loglik[21]      1.0005740  1.0021308</t>
  </si>
  <si>
    <t>loglik[20]      1.0044368  1.0091601</t>
  </si>
  <si>
    <t>loglik[2]       0.9997565  1.0000064</t>
  </si>
  <si>
    <t>loglik[19]      1.0117539  1.0143326</t>
  </si>
  <si>
    <t>loglik[18]      1.0057519  1.0091986</t>
  </si>
  <si>
    <t>loglik[17]      1.0020550  1.0029401</t>
  </si>
  <si>
    <t>loglik[16]      1.0014767  1.0060476</t>
  </si>
  <si>
    <t>loglik[15]      0.9998728  1.0002076</t>
  </si>
  <si>
    <t>loglik[14]      1.0012949  1.0027187</t>
  </si>
  <si>
    <t>loglik[13]      1.0005448  1.0014376</t>
  </si>
  <si>
    <t>loglik[12]      1.0002171  1.0009764</t>
  </si>
  <si>
    <t>loglik[11]      1.0003831  1.0005177</t>
  </si>
  <si>
    <t>loglik[10]      1.0003854  1.0021892</t>
  </si>
  <si>
    <t>loglik[1]       0.9998491  1.0000456</t>
  </si>
  <si>
    <t>ilr.fac1[9,4]   1.0021976  1.0063661</t>
  </si>
  <si>
    <t>ilr.fac1[9,3]   0.9998305  1.0000052</t>
  </si>
  <si>
    <t>ilr.fac1[9,2]   1.0008785  1.0013047</t>
  </si>
  <si>
    <t>ilr.fac1[9,1]   0.9996960  0.9999786</t>
  </si>
  <si>
    <t>ilr.fac1[8,4]   1.0005130  1.0010239</t>
  </si>
  <si>
    <t>ilr.fac1[8,3]   1.0006557  1.0030650</t>
  </si>
  <si>
    <t>ilr.fac1[8,2]   1.0000329  1.0001818</t>
  </si>
  <si>
    <t>ilr.fac1[8,1]   0.9996969  1.0001220</t>
  </si>
  <si>
    <t>ilr.fac1[7,4]   1.0001369  1.0015032</t>
  </si>
  <si>
    <t>ilr.fac1[7,3]   1.0025290  1.0077403</t>
  </si>
  <si>
    <t>ilr.fac1[7,2]   1.0005277  1.0006726</t>
  </si>
  <si>
    <t>ilr.fac1[7,1]   1.0012699  1.0052321</t>
  </si>
  <si>
    <t>ilr.fac1[6,4]   1.0001532  1.0009371</t>
  </si>
  <si>
    <t>ilr.fac1[6,3]   0.9997716  0.9998479</t>
  </si>
  <si>
    <t>ilr.fac1[6,2]   0.9998878  1.0004783</t>
  </si>
  <si>
    <t>ilr.fac1[6,1]   1.0014327  1.0063947</t>
  </si>
  <si>
    <t>ilr.fac1[5,4]   1.0011855  1.0021149</t>
  </si>
  <si>
    <t>ilr.fac1[5,3]   1.0006302  1.0027473</t>
  </si>
  <si>
    <t>ilr.fac1[5,2]   1.0004515  1.0020661</t>
  </si>
  <si>
    <t>ilr.fac1[5,1]   1.0014326  1.0060825</t>
  </si>
  <si>
    <t>ilr.fac1[4,4]   1.0014793  1.0019009</t>
  </si>
  <si>
    <t>ilr.fac1[4,3]   1.0001632  1.0016698</t>
  </si>
  <si>
    <t>ilr.fac1[4,2]   1.0012190  1.0038150</t>
  </si>
  <si>
    <t>ilr.fac1[4,1]   1.0002841  1.0010573</t>
  </si>
  <si>
    <t>ilr.fac1[3,4]   1.0003252  1.0008536</t>
  </si>
  <si>
    <t>ilr.fac1[3,3]   1.0005405  1.0016114</t>
  </si>
  <si>
    <t>ilr.fac1[3,2]   1.0000130  1.0008460</t>
  </si>
  <si>
    <t>ilr.fac1[3,1]   1.0004479  1.0012658</t>
  </si>
  <si>
    <t>ilr.fac1[24,4]  1.0009004  1.0041596</t>
  </si>
  <si>
    <t>ilr.fac1[24,3]  0.9996893  0.9999828</t>
  </si>
  <si>
    <t>ilr.fac1[24,2]  1.0011080  1.0053933</t>
  </si>
  <si>
    <t>ilr.fac1[24,1]  1.0001051  1.0012887</t>
  </si>
  <si>
    <t>ilr.fac1[23,4]  0.9999651  1.0004581</t>
  </si>
  <si>
    <t>ilr.fac1[23,3]  0.9995366  0.9996246</t>
  </si>
  <si>
    <t>ilr.fac1[23,2]  0.9997062  1.0001165</t>
  </si>
  <si>
    <t>ilr.fac1[23,1]  0.9996633  0.9998806</t>
  </si>
  <si>
    <t>ilr.fac1[22,4]  1.0010581  1.0040631</t>
  </si>
  <si>
    <t>ilr.fac1[22,3]  1.0005426  1.0025847</t>
  </si>
  <si>
    <t>ilr.fac1[22,2]  1.0012217  1.0054880</t>
  </si>
  <si>
    <t>ilr.fac1[22,1]  1.0016627  1.0027777</t>
  </si>
  <si>
    <t>ilr.fac1[21,4]  1.0001469  1.0012920</t>
  </si>
  <si>
    <t>ilr.fac1[21,3]  1.0003362  1.0024313</t>
  </si>
  <si>
    <t>ilr.fac1[21,2]  1.0003061  1.0014321</t>
  </si>
  <si>
    <t>ilr.fac1[21,1]  1.0000410  1.0012862</t>
  </si>
  <si>
    <t>ilr.fac1[20,4]  1.0001812  1.0004965</t>
  </si>
  <si>
    <t>ilr.fac1[20,3]  1.0015518  1.0030134</t>
  </si>
  <si>
    <t>ilr.fac1[20,2]  1.0002768  1.0012857</t>
  </si>
  <si>
    <t>ilr.fac1[20,1]  0.9997865  1.0003644</t>
  </si>
  <si>
    <t>ilr.fac1[2,4]   0.9998223  1.0006519</t>
  </si>
  <si>
    <t>ilr.fac1[2,3]   1.0000038  1.0004278</t>
  </si>
  <si>
    <t>ilr.fac1[2,2]   0.9998963  1.0002700</t>
  </si>
  <si>
    <t>ilr.fac1[2,1]   0.9998262  1.0004319</t>
  </si>
  <si>
    <t>ilr.fac1[19,4]  0.9999728  1.0007487</t>
  </si>
  <si>
    <t>ilr.fac1[19,3]  0.9996822  0.9997089</t>
  </si>
  <si>
    <t>ilr.fac1[19,2]  1.0001713  1.0019413</t>
  </si>
  <si>
    <t>ilr.fac1[19,1]  1.0006856  1.0036534</t>
  </si>
  <si>
    <t>ilr.fac1[18,4]  1.0012166  1.0048042</t>
  </si>
  <si>
    <t>ilr.fac1[18,3]  1.0000613  1.0002982</t>
  </si>
  <si>
    <t>ilr.fac1[18,2]  0.9996411  0.9999712</t>
  </si>
  <si>
    <t>ilr.fac1[18,1]  1.0016800  1.0072854</t>
  </si>
  <si>
    <t>ilr.fac1[17,4]  0.9996198  0.9996570</t>
  </si>
  <si>
    <t>ilr.fac1[17,3]  1.0004108  1.0018181</t>
  </si>
  <si>
    <t>ilr.fac1[17,2]  1.0001637  1.0010783</t>
  </si>
  <si>
    <t>ilr.fac1[17,1]  0.9996700  0.9997891</t>
  </si>
  <si>
    <t>ilr.fac1[16,4]  1.0007017  1.0030801</t>
  </si>
  <si>
    <t>ilr.fac1[16,3]  1.0009850  1.0029452</t>
  </si>
  <si>
    <t>ilr.fac1[16,2]  0.9997528  0.9998194</t>
  </si>
  <si>
    <t>ilr.fac1[16,1]  0.9999929  1.0001700</t>
  </si>
  <si>
    <t>ilr.fac1[15,4]  1.0016785  1.0069559</t>
  </si>
  <si>
    <t>ilr.fac1[15,3]  0.9999443  1.0005101</t>
  </si>
  <si>
    <t>ilr.fac1[15,2]  1.0007233  1.0014574</t>
  </si>
  <si>
    <t>ilr.fac1[15,1]  1.0013070  1.0036422</t>
  </si>
  <si>
    <t>ilr.fac1[14,4]  1.0000243  1.0014002</t>
  </si>
  <si>
    <t>ilr.fac1[14,3]  0.9995527  0.9996891</t>
  </si>
  <si>
    <t>ilr.fac1[14,2]  0.9999188  1.0010197</t>
  </si>
  <si>
    <t>ilr.fac1[14,1]  0.9997660  0.9997950</t>
  </si>
  <si>
    <t>ilr.fac1[13,4]  1.0011742  1.0055986</t>
  </si>
  <si>
    <t>ilr.fac1[13,3]  1.0004863  1.0006699</t>
  </si>
  <si>
    <t>ilr.fac1[13,2]  1.0008832  1.0042357</t>
  </si>
  <si>
    <t>ilr.fac1[13,1]  1.0005250  1.0031071</t>
  </si>
  <si>
    <t>ilr.fac1[12,4]  1.0002125  1.0014474</t>
  </si>
  <si>
    <t>ilr.fac1[12,3]  1.0000896  1.0013877</t>
  </si>
  <si>
    <t>ilr.fac1[12,2]  0.9999687  1.0010910</t>
  </si>
  <si>
    <t>ilr.fac1[12,1]  1.0022283  1.0081945</t>
  </si>
  <si>
    <t>ilr.fac1[11,4]  0.9996375  1.0000005</t>
  </si>
  <si>
    <t>ilr.fac1[11,3]  0.9998103  1.0003371</t>
  </si>
  <si>
    <t>ilr.fac1[11,2]  0.9998223  1.0000828</t>
  </si>
  <si>
    <t>ilr.fac1[11,1]  1.0006150  1.0007155</t>
  </si>
  <si>
    <t>ilr.fac1[10,4]  0.9998550  1.0004381</t>
  </si>
  <si>
    <t>ilr.fac1[10,3]  1.0007086  1.0029189</t>
  </si>
  <si>
    <t>ilr.fac1[10,2]  1.0000731  1.0010509</t>
  </si>
  <si>
    <t>ilr.fac1[10,1]  0.9997013  1.0002160</t>
  </si>
  <si>
    <t>ilr.fac1[1,4]         NaN        NaN</t>
  </si>
  <si>
    <t>ilr.fac1[1,3]         NaN        NaN</t>
  </si>
  <si>
    <t>ilr.fac1[1,2]         NaN        NaN</t>
  </si>
  <si>
    <t>ilr.fac1[1,1]         NaN        NaN</t>
  </si>
  <si>
    <t>deviance        1.0071517  1.0245925</t>
  </si>
  <si>
    <t xml:space="preserve">               Point est. Upper C.I.</t>
  </si>
  <si>
    <t>And here are the Gelman diagnostics for all variables:</t>
  </si>
  <si>
    <t>p.fac1[12,1]   1.006881   1.019944</t>
  </si>
  <si>
    <t>deviance       1.007152   1.024592</t>
  </si>
  <si>
    <t>p.global[1]    1.007470   1.024835</t>
  </si>
  <si>
    <t>p.fac1[1,1]    1.007470   1.024835</t>
  </si>
  <si>
    <t>p.fac1[6,3]    1.008237   1.013418</t>
  </si>
  <si>
    <t>p.fac1[14,3]   1.008751   1.016662</t>
  </si>
  <si>
    <t>p.fac1[5,3]    1.009458   1.013526</t>
  </si>
  <si>
    <t>loglik[19]     1.011754   1.014333</t>
  </si>
  <si>
    <t>p.fac1[17,3]   1.019673   1.027644</t>
  </si>
  <si>
    <t>p.fac1[8,3]    1.026515   1.028733</t>
  </si>
  <si>
    <t xml:space="preserve">             Point est. Upper C.I.</t>
  </si>
  <si>
    <t>The worst variables are:</t>
  </si>
  <si>
    <t>0 &gt; 1.1</t>
  </si>
  <si>
    <t xml:space="preserve">                      </t>
  </si>
  <si>
    <t>0 &gt; 1.05</t>
  </si>
  <si>
    <t>Out of 246 variables: 3 &gt; 1.01</t>
  </si>
  <si>
    <t>Generally the Gelman diagnostic should be &lt; 1.05</t>
  </si>
  <si>
    <t># Gelman-Rubin Diagnostic</t>
  </si>
  <si>
    <t>p.s01.fertilizer</t>
  </si>
  <si>
    <t>p.s02.fertilizer</t>
  </si>
  <si>
    <t>p.s03.fertilizer</t>
  </si>
  <si>
    <t>p.s04.fertilizer</t>
  </si>
  <si>
    <t>p.s05.fertilizer</t>
  </si>
  <si>
    <t>p.s06.fertilizer</t>
  </si>
  <si>
    <t>p.s07.fertilizer</t>
  </si>
  <si>
    <t>p.s08.fertilizer</t>
  </si>
  <si>
    <t>p.s09.fertilizer</t>
  </si>
  <si>
    <t>p.s10.fertilizer</t>
  </si>
  <si>
    <t>p.s11.fertilizer</t>
  </si>
  <si>
    <t>p.s12.fertilizer</t>
  </si>
  <si>
    <t>p.s13.fertilizer</t>
  </si>
  <si>
    <t>p.s14.fertilizer</t>
  </si>
  <si>
    <t>p.s15.fertilizer</t>
  </si>
  <si>
    <t>p.s16.fertilizer</t>
  </si>
  <si>
    <t>p.s17.fertilizer</t>
  </si>
  <si>
    <t>p.s18.fertilizer</t>
  </si>
  <si>
    <t>p.s19.fertilizer</t>
  </si>
  <si>
    <t>p.s20.fertilizer</t>
  </si>
  <si>
    <t>p.s21.fertilizer</t>
  </si>
  <si>
    <t>p.s22.fertilizer</t>
  </si>
  <si>
    <t>p.s23.fertilizer</t>
  </si>
  <si>
    <t>p.s24.fertilizer</t>
  </si>
  <si>
    <t>p.s01.manure</t>
  </si>
  <si>
    <t>p.s02.manure</t>
  </si>
  <si>
    <t>p.s03.manure</t>
  </si>
  <si>
    <t>p.s04.manure</t>
  </si>
  <si>
    <t>p.s05.manure</t>
  </si>
  <si>
    <t>p.s06.manure</t>
  </si>
  <si>
    <t>p.s07.manure</t>
  </si>
  <si>
    <t>p.s08.manure</t>
  </si>
  <si>
    <t>p.s09.manure</t>
  </si>
  <si>
    <t>p.s10.manure</t>
  </si>
  <si>
    <t>p.s11.manure</t>
  </si>
  <si>
    <t>p.s12.manure</t>
  </si>
  <si>
    <t>p.s13.manure</t>
  </si>
  <si>
    <t>p.s14.manure</t>
  </si>
  <si>
    <t>p.s15.manure</t>
  </si>
  <si>
    <t>p.s16.manure</t>
  </si>
  <si>
    <t>p.s17.manure</t>
  </si>
  <si>
    <t>p.s18.manure</t>
  </si>
  <si>
    <t>p.s19.manure</t>
  </si>
  <si>
    <t>p.s20.manure</t>
  </si>
  <si>
    <t>p.s21.manure</t>
  </si>
  <si>
    <t>p.s22.manure</t>
  </si>
  <si>
    <t>p.s23.manure</t>
  </si>
  <si>
    <t>p.s24.manure</t>
  </si>
  <si>
    <t>p.s01.rain</t>
  </si>
  <si>
    <t>p.s02.rain</t>
  </si>
  <si>
    <t>p.s03.rain</t>
  </si>
  <si>
    <t>p.s04.rain</t>
  </si>
  <si>
    <t>p.s05.rain</t>
  </si>
  <si>
    <t>p.s06.rain</t>
  </si>
  <si>
    <t>p.s07.rain</t>
  </si>
  <si>
    <t>p.s08.rain</t>
  </si>
  <si>
    <t>p.s09.rain</t>
  </si>
  <si>
    <t>p.s10.rain</t>
  </si>
  <si>
    <t>p.s11.rain</t>
  </si>
  <si>
    <t>p.s12.rain</t>
  </si>
  <si>
    <t>p.s13.rain</t>
  </si>
  <si>
    <t>p.s14.rain</t>
  </si>
  <si>
    <t>p.s15.rain</t>
  </si>
  <si>
    <t>p.s16.rain</t>
  </si>
  <si>
    <t>p.s17.rain</t>
  </si>
  <si>
    <t>p.s18.rain</t>
  </si>
  <si>
    <t>p.s19.rain</t>
  </si>
  <si>
    <t>p.s20.rain</t>
  </si>
  <si>
    <t>p.s21.rain</t>
  </si>
  <si>
    <t>p.s22.rain</t>
  </si>
  <si>
    <t>p.s23.rain</t>
  </si>
  <si>
    <t>p.s24.rain</t>
  </si>
  <si>
    <t>p.s01.sewage</t>
  </si>
  <si>
    <t>p.s02.sewage</t>
  </si>
  <si>
    <t>p.s03.sewage</t>
  </si>
  <si>
    <t>p.s04.sewage</t>
  </si>
  <si>
    <t>p.s05.sewage</t>
  </si>
  <si>
    <t>p.s06.sewage</t>
  </si>
  <si>
    <t>p.s07.sewage</t>
  </si>
  <si>
    <t>p.s08.sewage</t>
  </si>
  <si>
    <t>p.s09.sewage</t>
  </si>
  <si>
    <t>p.s10.sewage</t>
  </si>
  <si>
    <t>p.s11.sewage</t>
  </si>
  <si>
    <t>p.s12.sewage</t>
  </si>
  <si>
    <t>p.s13.sewage</t>
  </si>
  <si>
    <t>p.s14.sewage</t>
  </si>
  <si>
    <t>p.s15.sewage</t>
  </si>
  <si>
    <t>p.s16.sewage</t>
  </si>
  <si>
    <t>p.s17.sewage</t>
  </si>
  <si>
    <t>p.s18.sewage</t>
  </si>
  <si>
    <t>p.s19.sewage</t>
  </si>
  <si>
    <t>p.s20.sewage</t>
  </si>
  <si>
    <t>p.s21.sewage</t>
  </si>
  <si>
    <t>p.s22.sewage</t>
  </si>
  <si>
    <t>p.s23.sewage</t>
  </si>
  <si>
    <t>p.s24.sewage</t>
  </si>
  <si>
    <t>p.s01.soil</t>
  </si>
  <si>
    <t>p.s02.soil</t>
  </si>
  <si>
    <t>p.s03.soil</t>
  </si>
  <si>
    <t>p.s04.soil</t>
  </si>
  <si>
    <t>p.s05.soil</t>
  </si>
  <si>
    <t>p.s06.soil</t>
  </si>
  <si>
    <t>p.s07.soil</t>
  </si>
  <si>
    <t>p.s08.soil</t>
  </si>
  <si>
    <t>p.s09.soil</t>
  </si>
  <si>
    <t>p.s10.soil</t>
  </si>
  <si>
    <t>p.s11.soil</t>
  </si>
  <si>
    <t>p.s12.soil</t>
  </si>
  <si>
    <t>p.s13.soil</t>
  </si>
  <si>
    <t>p.s14.soil</t>
  </si>
  <si>
    <t>p.s15.soil</t>
  </si>
  <si>
    <t>p.s16.soil</t>
  </si>
  <si>
    <t>p.s17.soil</t>
  </si>
  <si>
    <t>p.s18.soil</t>
  </si>
  <si>
    <t>p.s19.soil</t>
  </si>
  <si>
    <t>p.s20.soil</t>
  </si>
  <si>
    <t>p.s21.soil</t>
  </si>
  <si>
    <t>p.s22.soil</t>
  </si>
  <si>
    <t>p.s23.soil</t>
  </si>
  <si>
    <t>p.s24.soil</t>
  </si>
  <si>
    <t>Mean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</si>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</sst>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_ "/>
    <numFmt numFmtId="178" formatCode="0.00_);[Red]\(0.00\)"/>
    <numFmt numFmtId="179" formatCode="0.000_ "/>
  </numFmts>
  <fonts count="4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24"/>
      <color rgb="FF0000FF"/>
      <name val="맑은 고딕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3" fillId="0" borderId="42" applyNumberFormat="0" applyFill="0" applyAlignment="0" applyProtection="0"/>
    <xf numFmtId="0" fontId="34" fillId="0" borderId="0"/>
    <xf numFmtId="0" fontId="35" fillId="0" borderId="43" applyNumberFormat="0" applyFill="0" applyAlignment="0" applyProtection="0"/>
    <xf numFmtId="0" fontId="36" fillId="0" borderId="0">
      <alignment vertical="center"/>
    </xf>
  </cellStyleXfs>
  <cellXfs count="93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37" fillId="0" borderId="0" xfId="0" applyFont="1">
      <alignment vertical="center"/>
    </xf>
    <xf numFmtId="178" fontId="0" fillId="0" borderId="0" xfId="0" applyNumberFormat="1">
      <alignment vertical="center"/>
    </xf>
    <xf numFmtId="177" fontId="8" fillId="0" borderId="0" xfId="0" applyNumberFormat="1" applyFont="1">
      <alignment vertical="center"/>
    </xf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178" fontId="38" fillId="3" borderId="4" xfId="0" applyNumberFormat="1" applyFont="1" applyFill="1" applyBorder="1" applyAlignment="1">
      <alignment horizontal="center" vertical="center" wrapText="1"/>
    </xf>
    <xf numFmtId="178" fontId="5" fillId="3" borderId="4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55" applyFont="1">
      <alignment vertical="center"/>
    </xf>
    <xf numFmtId="2" fontId="40" fillId="0" borderId="44" xfId="55" applyNumberFormat="1" applyFont="1" applyBorder="1" applyAlignment="1">
      <alignment horizontal="center" vertical="center"/>
    </xf>
    <xf numFmtId="2" fontId="40" fillId="0" borderId="44" xfId="53" applyNumberFormat="1" applyFont="1" applyBorder="1" applyAlignment="1">
      <alignment horizontal="center"/>
    </xf>
    <xf numFmtId="0" fontId="40" fillId="0" borderId="44" xfId="53" applyFont="1" applyBorder="1" applyAlignment="1">
      <alignment horizontal="center"/>
    </xf>
    <xf numFmtId="49" fontId="41" fillId="0" borderId="44" xfId="55" applyNumberFormat="1" applyFont="1" applyBorder="1" applyAlignment="1">
      <alignment horizontal="center" vertical="center"/>
    </xf>
    <xf numFmtId="0" fontId="42" fillId="0" borderId="0" xfId="55" applyFont="1">
      <alignment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0" fontId="45" fillId="29" borderId="44" xfId="55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8" fillId="0" borderId="0" xfId="0" applyNumberFormat="1" applyFont="1" applyFill="1">
      <alignment vertical="center"/>
    </xf>
    <xf numFmtId="49" fontId="30" fillId="28" borderId="4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7" fontId="28" fillId="0" borderId="0" xfId="0" applyNumberFormat="1" applyFont="1" applyFill="1">
      <alignment vertical="center"/>
    </xf>
    <xf numFmtId="177" fontId="28" fillId="0" borderId="0" xfId="0" applyNumberFormat="1" applyFont="1">
      <alignment vertical="center"/>
    </xf>
    <xf numFmtId="178" fontId="28" fillId="0" borderId="0" xfId="0" applyNumberFormat="1" applyFont="1">
      <alignment vertical="center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B18-4A3C-BC2B-A8B12D257FBB}"/>
              </c:ext>
            </c:extLst>
          </c:dPt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'오염원(하수)'!$E$2:$E$15</c:f>
              <c:numCache>
                <c:formatCode>0.00</c:formatCode>
                <c:ptCount val="14"/>
                <c:pt idx="0">
                  <c:v>5.16</c:v>
                </c:pt>
                <c:pt idx="1">
                  <c:v>-0.37</c:v>
                </c:pt>
                <c:pt idx="2">
                  <c:v>-3.82</c:v>
                </c:pt>
                <c:pt idx="3">
                  <c:v>0.65</c:v>
                </c:pt>
                <c:pt idx="4">
                  <c:v>3.84</c:v>
                </c:pt>
                <c:pt idx="5">
                  <c:v>4.66</c:v>
                </c:pt>
                <c:pt idx="6">
                  <c:v>3.65</c:v>
                </c:pt>
                <c:pt idx="7">
                  <c:v>4.01</c:v>
                </c:pt>
                <c:pt idx="8">
                  <c:v>-0.53</c:v>
                </c:pt>
                <c:pt idx="9">
                  <c:v>1.42</c:v>
                </c:pt>
                <c:pt idx="10">
                  <c:v>1.05</c:v>
                </c:pt>
                <c:pt idx="11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18-4A3C-BC2B-A8B12D257FB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'오염원(하수)'!$F$2:$F$15</c:f>
              <c:numCache>
                <c:formatCode>0.00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18-4A3C-BC2B-A8B12D257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A7-4F1E-BECF-C4349902703E}"/>
              </c:ext>
            </c:extLst>
          </c:dPt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'오염원(퇴비)'!$E$2:$E$9</c:f>
              <c:numCache>
                <c:formatCode>0.00</c:formatCode>
                <c:ptCount val="8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5.27</c:v>
                </c:pt>
                <c:pt idx="5">
                  <c:v>-0.67</c:v>
                </c:pt>
                <c:pt idx="6">
                  <c:v>1.3149999999999999</c:v>
                </c:pt>
                <c:pt idx="7">
                  <c:v>4.7449999999999992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A7-4F1E-BECF-C4349902703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'오염원(퇴비)'!$F$2:$F$9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A7-4F1E-BECF-C43499027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0E-4AB4-B71D-4E15F29A18AE}"/>
              </c:ext>
            </c:extLst>
          </c:dPt>
          <c:xVal>
            <c:numRef>
              <c:f>'오염원(비료)'!$D$2:$D$3</c:f>
              <c:numCache>
                <c:formatCode>0.00</c:formatCode>
                <c:ptCount val="2"/>
                <c:pt idx="0">
                  <c:v>0.63</c:v>
                </c:pt>
                <c:pt idx="1">
                  <c:v>1.1000000000000001</c:v>
                </c:pt>
              </c:numCache>
            </c:numRef>
          </c:xVal>
          <c:yVal>
            <c:numRef>
              <c:f>'오염원(비료)'!$E$2:$E$3</c:f>
              <c:numCache>
                <c:formatCode>0.00</c:formatCode>
                <c:ptCount val="2"/>
                <c:pt idx="0">
                  <c:v>10.72</c:v>
                </c:pt>
                <c:pt idx="1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0E-4AB4-B71D-4E15F29A1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F5-4A31-8357-F7E3F5B11EFE}"/>
              </c:ext>
            </c:extLst>
          </c:dPt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'오염원(강우)'!$E$2:$E$4</c:f>
              <c:numCache>
                <c:formatCode>0.00</c:formatCode>
                <c:ptCount val="3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F5-4A31-8357-F7E3F5B11EF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'오염원(강우)'!$F$2:$F$4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F5-4A31-8357-F7E3F5B11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B7-48A3-AE4A-C94B4442F168}"/>
              </c:ext>
            </c:extLst>
          </c:dPt>
          <c:xVal>
            <c:numRef>
              <c:f>'오염원(토양_산림 CASE3)'!$D$2:$D$14</c:f>
              <c:numCache>
                <c:formatCode>0.00</c:formatCode>
                <c:ptCount val="13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  <c:pt idx="5">
                  <c:v>4.34</c:v>
                </c:pt>
                <c:pt idx="6">
                  <c:v>2.98</c:v>
                </c:pt>
                <c:pt idx="7">
                  <c:v>0.92</c:v>
                </c:pt>
                <c:pt idx="8">
                  <c:v>2.36</c:v>
                </c:pt>
                <c:pt idx="9">
                  <c:v>1.86</c:v>
                </c:pt>
                <c:pt idx="12">
                  <c:v>2.1574999999999998</c:v>
                </c:pt>
              </c:numCache>
            </c:numRef>
          </c:xVal>
          <c:yVal>
            <c:numRef>
              <c:f>'오염원(토양_산림 CASE3)'!$E$2:$E$14</c:f>
              <c:numCache>
                <c:formatCode>0.00</c:formatCode>
                <c:ptCount val="13"/>
                <c:pt idx="0">
                  <c:v>8.9700000000000006</c:v>
                </c:pt>
                <c:pt idx="1">
                  <c:v>8.43</c:v>
                </c:pt>
                <c:pt idx="2">
                  <c:v>7.65</c:v>
                </c:pt>
                <c:pt idx="3">
                  <c:v>7.29</c:v>
                </c:pt>
                <c:pt idx="4">
                  <c:v>4.1099999999999994</c:v>
                </c:pt>
                <c:pt idx="5">
                  <c:v>0.88</c:v>
                </c:pt>
                <c:pt idx="6">
                  <c:v>0.23</c:v>
                </c:pt>
                <c:pt idx="7">
                  <c:v>0.08</c:v>
                </c:pt>
                <c:pt idx="8">
                  <c:v>-0.6</c:v>
                </c:pt>
                <c:pt idx="9">
                  <c:v>-1.83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B7-48A3-AE4A-C94B4442F16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 CASE3)'!$D$2:$D$14</c:f>
              <c:numCache>
                <c:formatCode>0.00</c:formatCode>
                <c:ptCount val="13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  <c:pt idx="5">
                  <c:v>4.34</c:v>
                </c:pt>
                <c:pt idx="6">
                  <c:v>2.98</c:v>
                </c:pt>
                <c:pt idx="7">
                  <c:v>0.92</c:v>
                </c:pt>
                <c:pt idx="8">
                  <c:v>2.36</c:v>
                </c:pt>
                <c:pt idx="9">
                  <c:v>1.86</c:v>
                </c:pt>
                <c:pt idx="12">
                  <c:v>2.1574999999999998</c:v>
                </c:pt>
              </c:numCache>
            </c:numRef>
          </c:xVal>
          <c:yVal>
            <c:numRef>
              <c:f>'오염원(토양_산림 CASE3)'!$F$2:$F$14</c:f>
              <c:numCache>
                <c:formatCode>0.00</c:formatCode>
                <c:ptCount val="13"/>
                <c:pt idx="12">
                  <c:v>3.5209999999999995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B7-48A3-AE4A-C94B4442F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66</xdr:row>
      <xdr:rowOff>0</xdr:rowOff>
    </xdr:from>
    <xdr:to>
      <xdr:col>51</xdr:col>
      <xdr:colOff>363157</xdr:colOff>
      <xdr:row>87</xdr:row>
      <xdr:rowOff>141246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C6B9D81-4737-E893-FC60-518FF8BF9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66</xdr:row>
      <xdr:rowOff>0</xdr:rowOff>
    </xdr:from>
    <xdr:to>
      <xdr:col>65</xdr:col>
      <xdr:colOff>363157</xdr:colOff>
      <xdr:row>87</xdr:row>
      <xdr:rowOff>141246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FCFD81D-C0B3-DB7A-2FC3-FADFDA7B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26094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66</xdr:row>
      <xdr:rowOff>0</xdr:rowOff>
    </xdr:from>
    <xdr:to>
      <xdr:col>79</xdr:col>
      <xdr:colOff>363157</xdr:colOff>
      <xdr:row>87</xdr:row>
      <xdr:rowOff>141246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3CBFE61-AC00-4243-379E-BA07E5B60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396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38</xdr:col>
      <xdr:colOff>1</xdr:colOff>
      <xdr:row>98</xdr:row>
      <xdr:rowOff>1</xdr:rowOff>
    </xdr:from>
    <xdr:to>
      <xdr:col>51</xdr:col>
      <xdr:colOff>8503</xdr:colOff>
      <xdr:row>125</xdr:row>
      <xdr:rowOff>238124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39ABD4-9BA7-73A0-7F41-739A392AE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67657" y="24848345"/>
          <a:ext cx="8985815" cy="6988967"/>
        </a:xfrm>
        <a:prstGeom prst="rect">
          <a:avLst/>
        </a:prstGeom>
      </xdr:spPr>
    </xdr:pic>
    <xdr:clientData/>
  </xdr:twoCellAnchor>
  <xdr:twoCellAnchor editAs="oneCell">
    <xdr:from>
      <xdr:col>52</xdr:col>
      <xdr:colOff>1</xdr:colOff>
      <xdr:row>98</xdr:row>
      <xdr:rowOff>0</xdr:rowOff>
    </xdr:from>
    <xdr:to>
      <xdr:col>67</xdr:col>
      <xdr:colOff>488157</xdr:colOff>
      <xdr:row>118</xdr:row>
      <xdr:rowOff>226218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3D20958-60D1-6943-461E-F37E01939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35532" y="24848344"/>
          <a:ext cx="10846594" cy="5226843"/>
        </a:xfrm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98</xdr:row>
      <xdr:rowOff>1</xdr:rowOff>
    </xdr:from>
    <xdr:to>
      <xdr:col>84</xdr:col>
      <xdr:colOff>333374</xdr:colOff>
      <xdr:row>119</xdr:row>
      <xdr:rowOff>95251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0E80CB1-2267-AD7A-B893-B34256D6D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75094" y="24848345"/>
          <a:ext cx="10691811" cy="5345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36</xdr:col>
      <xdr:colOff>390525</xdr:colOff>
      <xdr:row>51</xdr:row>
      <xdr:rowOff>114300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81B2DDA-334C-CA25-3255-1ED5F391A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1466850"/>
          <a:ext cx="17535525" cy="9334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62</xdr:row>
      <xdr:rowOff>0</xdr:rowOff>
    </xdr:from>
    <xdr:to>
      <xdr:col>20</xdr:col>
      <xdr:colOff>152400</xdr:colOff>
      <xdr:row>92</xdr:row>
      <xdr:rowOff>38100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6A08321-D2B4-92DB-38BB-5B445F06E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1299210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D93502B-D3DF-43D3-AD80-CA2630A3F119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51CC4FA-AEAB-9A16-8DB2-7F402530FB9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DD53D42-5B52-3359-D589-41A7ED858D8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20C5C76-49E8-CCD9-2419-5EF31395F81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FFC5A887-79F0-DE1C-5CF9-E74638A8D5D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A828B24-6CEE-2B8B-AC1B-2B044EE9C2D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25392C7-C8B1-28CF-3449-640610FC0B1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3F34C41-A90A-3D86-BC06-AFDED5EAD9A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CBA25D5-04DC-736B-CB6F-8F973719B3A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4C48F69-3D12-0C48-F7BD-BCADA6DFFB7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73863D2-DB0A-22C7-3AEA-1EB439C4168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70D4D43-4AF2-6AC9-7135-DE92872DDED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A6ACECC-B64E-CC7E-0C6D-0E162170755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1708CFE-B8B7-CA8D-B120-B3F8025D9EF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D7D908-5BC9-6BF2-1C83-80ABCA747F4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25BEDF7-C2F3-9123-13DF-61CE1266376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5B1B80-4D92-4B3D-B9D5-15F16A8E467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4CFC905-916D-9274-C155-A55B3EAB389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3C90761-1CB0-FD7B-9F8C-5AEE99682CD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91741F4-0D3A-A9D7-A30D-184D22D9598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F86A930-F9EC-77A6-AAA1-50D73E7261F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CDADC62-B173-0C50-DC2E-AB72998CF55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1C59039-6A93-2E05-82A3-9662A15F830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74D852-000B-8A79-C2ED-371F34C8825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E85EF189-58C5-5222-3796-8FD80E3ED30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DFEF2708-1614-7238-6903-529AB749EE5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FF11380-D195-783C-D2EA-39ECEA0E8E0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433E593-7F5B-E31B-0FC4-79E172ECD84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7AEF0F2-81B7-0C8B-5707-1BBB2C350AC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1445176-7607-FB7D-BFA0-45ACE099836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2E96E5-DD4B-97AE-4760-E051CC833FC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3804E90-694D-23E3-0C1B-21C34B7847F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1425BE2-3EA4-4651-8E5F-8A94DAA416CD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D7A2F76-70BB-56AD-CE16-2A8DC91F0B0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DBB966-64CD-D9E1-0D0B-490D5CCBB38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EB5F4C4-31C9-DED7-0F3D-E43F184C492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D53A108-44B9-E5B1-9ECB-009B3DDEBA0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EB5FE54-6E86-B967-BEAD-FD120BFE97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D9A7745-0FDE-52DB-E20C-4F5562E3FAC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3229AAF-3654-EA45-9500-8C425CF7703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21956573-1031-0D7A-A1D2-16ABFA65B5F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D05523A-0BBB-B758-E846-9A421DC70D7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DAF4D0-39D9-9438-CF28-B3EEB809A5A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A6317BA-521B-D9A9-758D-C4950CBEDE3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693AC64-08E7-7719-B1CD-40D0DE09173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C5AFA01-3D65-BEFA-25D4-CFA55EF0F73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6F3973B-C6BE-6B45-1071-6D3851CFE93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98A50A4-DF48-434B-BC16-7A5932BD4D9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2DCDD6A-CEEA-48C3-8873-C06FA59D74F4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1A4921A-276F-6F49-15E4-8925621518B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3CC6D984-8026-18B1-F436-ABEF8F8DF90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F604303-D34E-189D-3C33-A0E6C29A6C4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4EBB442-8310-33D8-FD0B-F4288115122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1AF1609-A241-D9D1-1BEE-46A31CEDFC6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0C6E9D9-6C94-1C1D-97BE-4B45D1D5E2D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281D553-1A67-C8CC-06AE-D728624FB57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2000659-9683-60C3-62A3-784B2E68D25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B9C2306-3F5B-F3B7-4EF4-6B98BEEADFD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2241309-62F9-83E5-143B-B2879C7F62E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54273CB-281C-7BA8-3165-E7F4658FE45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9066C90-8822-F783-4CA4-56B4467E130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2B17912-600A-578D-36CB-DBEE714B1C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F45596D-D734-7967-CA55-9B9737D1F65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5FB5D67-6A41-5F8C-23B3-8E2624E81A1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20EF015-EC4A-4B54-AA29-95224B1D014B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E4B3B20-DA03-0107-F993-AFC91021F30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F0E86B5-ED13-E0D9-FE8B-A0CF4DA8458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BD26C53-82AD-D91E-353A-40BB7F91D7E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9EE4BB3-7B3E-7C1D-D246-B0EA9E231E7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7C28C75-F4B1-E87D-6DEF-3F0F636C0A3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E906897-895A-E653-31CB-F2C6D8D62E0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77ADD482-7430-D23C-AAC4-0189CE68B55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96919CA-DDE8-7D5A-E3CC-7E784C8EF57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2B524CA-5B16-AAF3-B624-618D66F58F6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B1FE894-7E68-943D-236B-1FC7AAD3949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534E2880-ED4A-6463-EBB4-2B33D26B03B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63E46E5-EDBD-C41B-11A6-087BC3B0633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7F213A4-B11C-1CD0-6AC9-9E2D883682C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D9BC0BD-D920-616E-D4D0-8C775CCD6E5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5E10C611-F7F0-7993-0050-3F5304063D1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341"/>
  <sheetViews>
    <sheetView tabSelected="1" topLeftCell="X1" zoomScale="80" zoomScaleNormal="80" workbookViewId="0">
      <selection activeCell="AL6" sqref="AL6"/>
    </sheetView>
  </sheetViews>
  <sheetFormatPr defaultRowHeight="16.5" x14ac:dyDescent="0.3"/>
  <cols>
    <col min="1" max="1" width="6.75" bestFit="1" customWidth="1"/>
    <col min="2" max="3" width="9.5" bestFit="1" customWidth="1"/>
    <col min="4" max="4" width="16.5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52" ht="18" thickBot="1" x14ac:dyDescent="0.35">
      <c r="Z1" s="57" t="s">
        <v>73</v>
      </c>
      <c r="AA1" s="61" t="s">
        <v>79</v>
      </c>
      <c r="AB1" s="62" t="s">
        <v>66</v>
      </c>
      <c r="AC1" s="57"/>
      <c r="AD1" s="57" t="s">
        <v>74</v>
      </c>
      <c r="AE1" s="61" t="s">
        <v>79</v>
      </c>
      <c r="AF1" s="62" t="s">
        <v>66</v>
      </c>
      <c r="AG1" s="57"/>
      <c r="AH1" s="57" t="s">
        <v>75</v>
      </c>
      <c r="AI1" s="61" t="s">
        <v>79</v>
      </c>
      <c r="AJ1" s="62" t="s">
        <v>66</v>
      </c>
      <c r="AK1" s="57"/>
      <c r="AL1" s="57" t="s">
        <v>76</v>
      </c>
      <c r="AM1" s="61" t="s">
        <v>79</v>
      </c>
      <c r="AN1" s="62" t="s">
        <v>66</v>
      </c>
      <c r="AO1" s="57"/>
      <c r="AP1" s="57" t="s">
        <v>77</v>
      </c>
      <c r="AQ1" s="61" t="s">
        <v>79</v>
      </c>
      <c r="AR1" s="62" t="s">
        <v>66</v>
      </c>
    </row>
    <row r="2" spans="1:52" x14ac:dyDescent="0.3">
      <c r="Z2" s="57" t="s">
        <v>80</v>
      </c>
      <c r="AA2" s="57">
        <v>13.3575</v>
      </c>
      <c r="AB2" s="57">
        <v>1.9608333333333334</v>
      </c>
      <c r="AC2" s="57"/>
      <c r="AD2" s="57" t="s">
        <v>80</v>
      </c>
      <c r="AE2" s="57">
        <v>19.794999999999998</v>
      </c>
      <c r="AF2" s="57">
        <v>5.2956249999999994</v>
      </c>
      <c r="AG2" s="57"/>
      <c r="AH2" s="57" t="s">
        <v>80</v>
      </c>
      <c r="AI2" s="57">
        <v>0.86499999999999999</v>
      </c>
      <c r="AJ2" s="57">
        <v>14.385000000000002</v>
      </c>
      <c r="AK2" s="57"/>
      <c r="AL2" s="57" t="s">
        <v>80</v>
      </c>
      <c r="AM2" s="57">
        <v>1.71</v>
      </c>
      <c r="AN2" s="57">
        <v>45.81</v>
      </c>
      <c r="AO2" s="57"/>
      <c r="AP2" s="57" t="s">
        <v>80</v>
      </c>
      <c r="AQ2" s="57">
        <v>2.1574999999999998</v>
      </c>
      <c r="AR2" s="57">
        <v>3.5209999999999995</v>
      </c>
    </row>
    <row r="3" spans="1:52" x14ac:dyDescent="0.3">
      <c r="Z3" s="57" t="s">
        <v>81</v>
      </c>
      <c r="AA3" s="57">
        <v>1.9060865429174276</v>
      </c>
      <c r="AB3" s="57">
        <v>2.6869836360882551</v>
      </c>
      <c r="AC3" s="57"/>
      <c r="AD3" s="57" t="s">
        <v>81</v>
      </c>
      <c r="AE3" s="57">
        <v>3.2607766384274761</v>
      </c>
      <c r="AF3" s="57">
        <v>4.0307872658009201</v>
      </c>
      <c r="AG3" s="57"/>
      <c r="AH3" s="57" t="s">
        <v>81</v>
      </c>
      <c r="AI3" s="57">
        <v>0.3323401871576776</v>
      </c>
      <c r="AJ3" s="57">
        <v>5.1830927060973853</v>
      </c>
      <c r="AK3" s="57"/>
      <c r="AL3" s="57" t="s">
        <v>81</v>
      </c>
      <c r="AM3" s="57">
        <v>1.5603845679831623</v>
      </c>
      <c r="AN3" s="57">
        <v>5.7261068798966068</v>
      </c>
      <c r="AO3" s="57"/>
      <c r="AP3" s="57" t="s">
        <v>81</v>
      </c>
      <c r="AQ3" s="57">
        <v>1.2149468438303519</v>
      </c>
      <c r="AR3" s="57">
        <v>4.2249614067928354</v>
      </c>
    </row>
    <row r="6" spans="1:52" ht="31.5" x14ac:dyDescent="0.3">
      <c r="A6" s="89" t="s">
        <v>49</v>
      </c>
      <c r="B6" s="89"/>
      <c r="C6" s="89"/>
      <c r="D6" s="89"/>
      <c r="E6" s="89"/>
      <c r="F6" s="89"/>
      <c r="G6" s="89"/>
      <c r="H6" s="89"/>
      <c r="I6" s="89"/>
      <c r="J6" s="89"/>
      <c r="K6" s="89"/>
      <c r="Y6" s="2"/>
      <c r="Z6" s="57" t="s">
        <v>172</v>
      </c>
    </row>
    <row r="7" spans="1:52" ht="17.25" thickBot="1" x14ac:dyDescent="0.35">
      <c r="Y7" s="3"/>
      <c r="AG7" t="s">
        <v>173</v>
      </c>
      <c r="AI7" t="s">
        <v>174</v>
      </c>
    </row>
    <row r="8" spans="1:52" ht="26.25" customHeight="1" thickBot="1" x14ac:dyDescent="0.35">
      <c r="A8" s="83" t="s">
        <v>1</v>
      </c>
      <c r="B8" s="85" t="s">
        <v>61</v>
      </c>
      <c r="C8" s="85" t="s">
        <v>62</v>
      </c>
      <c r="D8" s="83" t="s">
        <v>7</v>
      </c>
      <c r="E8" s="87" t="s">
        <v>8</v>
      </c>
      <c r="F8" s="88"/>
      <c r="G8" s="78" t="s">
        <v>9</v>
      </c>
      <c r="H8" s="78"/>
      <c r="I8" s="78"/>
      <c r="J8" s="78"/>
      <c r="K8" s="78"/>
      <c r="L8" s="79" t="s">
        <v>55</v>
      </c>
      <c r="M8" s="80"/>
      <c r="N8" s="80"/>
      <c r="O8" s="80"/>
      <c r="P8" s="80"/>
      <c r="Q8" s="80"/>
      <c r="R8" s="80"/>
      <c r="S8" s="80"/>
      <c r="T8" s="80"/>
      <c r="U8" s="8"/>
      <c r="V8" s="8"/>
      <c r="W8" s="8"/>
      <c r="X8" s="8"/>
      <c r="Y8" s="81" t="s">
        <v>10</v>
      </c>
      <c r="Z8" s="55" t="s">
        <v>69</v>
      </c>
      <c r="AE8">
        <v>100</v>
      </c>
      <c r="AG8" s="55" t="s">
        <v>70</v>
      </c>
      <c r="AL8">
        <v>100</v>
      </c>
      <c r="AN8" s="55" t="s">
        <v>71</v>
      </c>
      <c r="AS8">
        <v>100</v>
      </c>
      <c r="AU8" s="55" t="s">
        <v>72</v>
      </c>
      <c r="AZ8">
        <v>100</v>
      </c>
    </row>
    <row r="9" spans="1:52" ht="33.75" customHeight="1" thickBot="1" x14ac:dyDescent="0.35">
      <c r="A9" s="84"/>
      <c r="B9" s="84"/>
      <c r="C9" s="84"/>
      <c r="D9" s="86"/>
      <c r="E9" s="1" t="s">
        <v>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6</v>
      </c>
      <c r="M9" s="4" t="s">
        <v>50</v>
      </c>
      <c r="N9" s="4" t="s">
        <v>2</v>
      </c>
      <c r="O9" s="4" t="s">
        <v>3</v>
      </c>
      <c r="P9" s="4" t="s">
        <v>51</v>
      </c>
      <c r="Q9" s="4" t="s">
        <v>52</v>
      </c>
      <c r="R9" s="4" t="s">
        <v>53</v>
      </c>
      <c r="S9" s="4" t="s">
        <v>54</v>
      </c>
      <c r="T9" s="6" t="s">
        <v>4</v>
      </c>
      <c r="U9" s="9" t="s">
        <v>65</v>
      </c>
      <c r="V9" s="9" t="s">
        <v>66</v>
      </c>
      <c r="W9" s="9" t="s">
        <v>63</v>
      </c>
      <c r="X9" s="9" t="s">
        <v>64</v>
      </c>
      <c r="Y9" s="82"/>
      <c r="Z9" s="55" t="s">
        <v>73</v>
      </c>
      <c r="AA9" s="55" t="s">
        <v>74</v>
      </c>
      <c r="AB9" s="55" t="s">
        <v>75</v>
      </c>
      <c r="AC9" s="55" t="s">
        <v>76</v>
      </c>
      <c r="AD9" s="55" t="s">
        <v>77</v>
      </c>
      <c r="AE9" s="56" t="s">
        <v>78</v>
      </c>
      <c r="AG9" s="55" t="s">
        <v>73</v>
      </c>
      <c r="AH9" s="55" t="s">
        <v>74</v>
      </c>
      <c r="AI9" s="55" t="s">
        <v>75</v>
      </c>
      <c r="AJ9" s="55" t="s">
        <v>76</v>
      </c>
      <c r="AK9" s="55" t="s">
        <v>77</v>
      </c>
      <c r="AL9" s="56" t="s">
        <v>78</v>
      </c>
      <c r="AN9" s="55" t="s">
        <v>73</v>
      </c>
      <c r="AO9" s="55" t="s">
        <v>74</v>
      </c>
      <c r="AP9" s="55" t="s">
        <v>75</v>
      </c>
      <c r="AQ9" s="55" t="s">
        <v>76</v>
      </c>
      <c r="AR9" s="55" t="s">
        <v>77</v>
      </c>
      <c r="AS9" s="56" t="s">
        <v>78</v>
      </c>
      <c r="AU9" s="55" t="s">
        <v>73</v>
      </c>
      <c r="AV9" s="55" t="s">
        <v>74</v>
      </c>
      <c r="AW9" s="55" t="s">
        <v>75</v>
      </c>
      <c r="AX9" s="55" t="s">
        <v>76</v>
      </c>
      <c r="AY9" s="55" t="s">
        <v>77</v>
      </c>
      <c r="AZ9" s="56" t="s">
        <v>78</v>
      </c>
    </row>
    <row r="10" spans="1:52" ht="20.100000000000001" customHeight="1" x14ac:dyDescent="0.3">
      <c r="A10" s="30">
        <v>1</v>
      </c>
      <c r="B10" s="25" t="s">
        <v>56</v>
      </c>
      <c r="C10" s="25" t="s">
        <v>17</v>
      </c>
      <c r="D10" s="10" t="s">
        <v>18</v>
      </c>
      <c r="E10" s="11">
        <v>45394</v>
      </c>
      <c r="F10" s="12">
        <v>0.40625</v>
      </c>
      <c r="G10" s="10" t="s">
        <v>19</v>
      </c>
      <c r="H10" s="37">
        <v>13.4</v>
      </c>
      <c r="I10" s="37">
        <v>7.66</v>
      </c>
      <c r="J10" s="37">
        <v>11.37</v>
      </c>
      <c r="K10" s="37">
        <v>200.1</v>
      </c>
      <c r="L10" s="38">
        <v>1.5620000000000001</v>
      </c>
      <c r="M10" s="38"/>
      <c r="N10" s="38">
        <v>2.8000000000000001E-2</v>
      </c>
      <c r="O10" s="38">
        <v>1.5338708615263741</v>
      </c>
      <c r="P10" s="38" t="s">
        <v>68</v>
      </c>
      <c r="Q10" s="38">
        <v>1.2</v>
      </c>
      <c r="R10" s="38">
        <v>1.9E-2</v>
      </c>
      <c r="S10" s="38">
        <v>1.4999999999999999E-2</v>
      </c>
      <c r="T10" s="38">
        <v>21.926092412394119</v>
      </c>
      <c r="U10" s="38">
        <v>6.79</v>
      </c>
      <c r="V10" s="38">
        <v>2.9</v>
      </c>
      <c r="W10" s="38" t="s">
        <v>67</v>
      </c>
      <c r="X10" s="38">
        <v>6.8100892305781313</v>
      </c>
      <c r="Y10" s="13"/>
      <c r="Z10" s="77">
        <v>47.21</v>
      </c>
      <c r="AA10" s="77">
        <v>1.27</v>
      </c>
      <c r="AB10" s="77">
        <v>1.79</v>
      </c>
      <c r="AC10" s="77">
        <v>0.39</v>
      </c>
      <c r="AD10" s="77">
        <v>49.34</v>
      </c>
      <c r="AE10" s="58">
        <f>SUM(Z10:AD10)</f>
        <v>100</v>
      </c>
      <c r="AF10" s="59"/>
      <c r="AG10" s="76">
        <v>41.699999999999996</v>
      </c>
      <c r="AH10" s="76">
        <v>12.1</v>
      </c>
      <c r="AI10" s="76">
        <v>11.200000000000001</v>
      </c>
      <c r="AJ10" s="76">
        <v>1.6</v>
      </c>
      <c r="AK10" s="76">
        <v>33.4</v>
      </c>
      <c r="AL10" s="60">
        <f>SUM(AG10:AK10)</f>
        <v>100</v>
      </c>
      <c r="AM10" s="59"/>
      <c r="AN10" s="76">
        <v>25.06</v>
      </c>
      <c r="AO10" s="76">
        <v>12.770000000000001</v>
      </c>
      <c r="AP10" s="76">
        <v>18.61</v>
      </c>
      <c r="AQ10" s="76">
        <v>2.39</v>
      </c>
      <c r="AR10" s="76">
        <v>41.17</v>
      </c>
      <c r="AS10" s="60">
        <f>SUM(AN10:AR10)</f>
        <v>100</v>
      </c>
      <c r="AT10" s="59"/>
      <c r="AU10" s="76">
        <v>25.52</v>
      </c>
      <c r="AV10" s="76">
        <v>12.29</v>
      </c>
      <c r="AW10" s="76">
        <v>14.71</v>
      </c>
      <c r="AX10" s="76">
        <v>2.5299999999999998</v>
      </c>
      <c r="AY10" s="76">
        <v>44.95</v>
      </c>
      <c r="AZ10" s="60">
        <f t="shared" ref="AZ10:AZ33" si="0">SUM(AU10:AY10)</f>
        <v>100</v>
      </c>
    </row>
    <row r="11" spans="1:52" ht="20.100000000000001" customHeight="1" x14ac:dyDescent="0.3">
      <c r="A11" s="22">
        <v>2</v>
      </c>
      <c r="B11" s="14" t="s">
        <v>56</v>
      </c>
      <c r="C11" s="14" t="s">
        <v>17</v>
      </c>
      <c r="D11" s="15" t="s">
        <v>20</v>
      </c>
      <c r="E11" s="16">
        <v>45394</v>
      </c>
      <c r="F11" s="17">
        <v>0.4375</v>
      </c>
      <c r="G11" s="15" t="s">
        <v>19</v>
      </c>
      <c r="H11" s="24">
        <v>17.899999999999999</v>
      </c>
      <c r="I11" s="24">
        <v>7.63</v>
      </c>
      <c r="J11" s="24">
        <v>10.66</v>
      </c>
      <c r="K11" s="24">
        <v>381</v>
      </c>
      <c r="L11" s="39">
        <v>5.1319999999999997</v>
      </c>
      <c r="M11" s="39"/>
      <c r="N11" s="39">
        <v>0.82399999999999995</v>
      </c>
      <c r="O11" s="39">
        <v>3.8056685669511721</v>
      </c>
      <c r="P11" s="39">
        <v>0.75779406996970966</v>
      </c>
      <c r="Q11" s="39">
        <v>3.4</v>
      </c>
      <c r="R11" s="39">
        <v>4.1000000000000002E-2</v>
      </c>
      <c r="S11" s="39">
        <v>2.9000000000000001E-2</v>
      </c>
      <c r="T11" s="39">
        <v>48.553205182927933</v>
      </c>
      <c r="U11" s="39">
        <v>10.94</v>
      </c>
      <c r="V11" s="39">
        <v>0.19</v>
      </c>
      <c r="W11" s="39">
        <v>91.9</v>
      </c>
      <c r="X11" s="39">
        <v>11.530193967408453</v>
      </c>
      <c r="Y11" s="18"/>
      <c r="Z11" s="77">
        <v>91.74</v>
      </c>
      <c r="AA11" s="77">
        <v>1.62</v>
      </c>
      <c r="AB11" s="77">
        <v>0.76</v>
      </c>
      <c r="AC11" s="77">
        <v>0.14000000000000001</v>
      </c>
      <c r="AD11" s="77">
        <v>5.74</v>
      </c>
      <c r="AE11" s="58">
        <f t="shared" ref="AE11:AE33" si="1">SUM(Z11:AD11)</f>
        <v>100</v>
      </c>
      <c r="AF11" s="59"/>
      <c r="AG11" s="76">
        <v>53.900000000000006</v>
      </c>
      <c r="AH11" s="76">
        <v>14.399999999999999</v>
      </c>
      <c r="AI11" s="76">
        <v>7.7</v>
      </c>
      <c r="AJ11" s="76">
        <v>1.3</v>
      </c>
      <c r="AK11" s="76">
        <v>22.7</v>
      </c>
      <c r="AL11" s="60">
        <f t="shared" ref="AL11:AL33" si="2">SUM(AG11:AK11)</f>
        <v>100.00000000000001</v>
      </c>
      <c r="AM11" s="59"/>
      <c r="AN11" s="76">
        <v>51.11</v>
      </c>
      <c r="AO11" s="76">
        <v>17.64</v>
      </c>
      <c r="AP11" s="76">
        <v>8.44</v>
      </c>
      <c r="AQ11" s="76">
        <v>3.95</v>
      </c>
      <c r="AR11" s="76">
        <v>18.86</v>
      </c>
      <c r="AS11" s="60">
        <f t="shared" ref="AS11:AS33" si="3">SUM(AN11:AR11)</f>
        <v>100</v>
      </c>
      <c r="AT11" s="59"/>
      <c r="AU11" s="76">
        <v>45.1</v>
      </c>
      <c r="AV11" s="76">
        <v>20.27</v>
      </c>
      <c r="AW11" s="76">
        <v>8.14</v>
      </c>
      <c r="AX11" s="76">
        <v>1.63</v>
      </c>
      <c r="AY11" s="76">
        <v>24.86</v>
      </c>
      <c r="AZ11" s="60">
        <f t="shared" si="0"/>
        <v>100</v>
      </c>
    </row>
    <row r="12" spans="1:52" ht="20.100000000000001" customHeight="1" x14ac:dyDescent="0.3">
      <c r="A12" s="22">
        <v>3</v>
      </c>
      <c r="B12" s="14" t="s">
        <v>56</v>
      </c>
      <c r="C12" s="14" t="s">
        <v>17</v>
      </c>
      <c r="D12" s="15" t="s">
        <v>21</v>
      </c>
      <c r="E12" s="16">
        <v>45394</v>
      </c>
      <c r="F12" s="17">
        <v>0.4513888888888889</v>
      </c>
      <c r="G12" s="15" t="s">
        <v>19</v>
      </c>
      <c r="H12" s="24">
        <v>19.100000000000001</v>
      </c>
      <c r="I12" s="24">
        <v>7.58</v>
      </c>
      <c r="J12" s="24">
        <v>9.67</v>
      </c>
      <c r="K12" s="24">
        <v>357</v>
      </c>
      <c r="L12" s="39">
        <v>4.3529999999999998</v>
      </c>
      <c r="M12" s="39"/>
      <c r="N12" s="39">
        <v>0.90200000000000002</v>
      </c>
      <c r="O12" s="39">
        <v>2.9836540688462629</v>
      </c>
      <c r="P12" s="39">
        <v>0.5708632001190197</v>
      </c>
      <c r="Q12" s="39">
        <v>3.5</v>
      </c>
      <c r="R12" s="39">
        <v>7.8E-2</v>
      </c>
      <c r="S12" s="39">
        <v>6.9000000000000006E-2</v>
      </c>
      <c r="T12" s="39">
        <v>42.668927928854785</v>
      </c>
      <c r="U12" s="39">
        <v>10.09</v>
      </c>
      <c r="V12" s="39">
        <v>1.5</v>
      </c>
      <c r="W12" s="39">
        <v>25.3</v>
      </c>
      <c r="X12" s="39">
        <v>11.842993595465368</v>
      </c>
      <c r="Y12" s="18"/>
      <c r="Z12" s="77">
        <v>82.54</v>
      </c>
      <c r="AA12" s="77">
        <v>2.27</v>
      </c>
      <c r="AB12" s="77">
        <v>0.71</v>
      </c>
      <c r="AC12" s="77">
        <v>0.51</v>
      </c>
      <c r="AD12" s="77">
        <v>13.97</v>
      </c>
      <c r="AE12" s="58">
        <f t="shared" si="1"/>
        <v>100</v>
      </c>
      <c r="AF12" s="59"/>
      <c r="AG12" s="76">
        <v>49.7</v>
      </c>
      <c r="AH12" s="76">
        <v>14.000000000000002</v>
      </c>
      <c r="AI12" s="76">
        <v>8.5</v>
      </c>
      <c r="AJ12" s="76">
        <v>1.4000000000000001</v>
      </c>
      <c r="AK12" s="76">
        <v>26.400000000000002</v>
      </c>
      <c r="AL12" s="60">
        <f t="shared" si="2"/>
        <v>100.00000000000001</v>
      </c>
      <c r="AM12" s="59"/>
      <c r="AN12" s="76">
        <v>33.979999999999997</v>
      </c>
      <c r="AO12" s="76">
        <v>25.91</v>
      </c>
      <c r="AP12" s="76">
        <v>10.01</v>
      </c>
      <c r="AQ12" s="76">
        <v>4</v>
      </c>
      <c r="AR12" s="76">
        <v>26.1</v>
      </c>
      <c r="AS12" s="60">
        <f t="shared" si="3"/>
        <v>100</v>
      </c>
      <c r="AT12" s="59"/>
      <c r="AU12" s="76">
        <v>40.849999999999994</v>
      </c>
      <c r="AV12" s="76">
        <v>19.32</v>
      </c>
      <c r="AW12" s="76">
        <v>9.9699999999999989</v>
      </c>
      <c r="AX12" s="76">
        <v>2.1</v>
      </c>
      <c r="AY12" s="76">
        <v>27.76</v>
      </c>
      <c r="AZ12" s="60">
        <f t="shared" si="0"/>
        <v>99.999999999999986</v>
      </c>
    </row>
    <row r="13" spans="1:52" ht="20.100000000000001" customHeight="1" x14ac:dyDescent="0.3">
      <c r="A13" s="22">
        <v>4</v>
      </c>
      <c r="B13" s="14" t="s">
        <v>56</v>
      </c>
      <c r="C13" s="14" t="s">
        <v>17</v>
      </c>
      <c r="D13" s="15" t="s">
        <v>22</v>
      </c>
      <c r="E13" s="16">
        <v>45394</v>
      </c>
      <c r="F13" s="17">
        <v>0.46527777777777773</v>
      </c>
      <c r="G13" s="15" t="s">
        <v>19</v>
      </c>
      <c r="H13" s="24">
        <v>20.399999999999999</v>
      </c>
      <c r="I13" s="24">
        <v>7.35</v>
      </c>
      <c r="J13" s="24">
        <v>9</v>
      </c>
      <c r="K13" s="24">
        <v>348</v>
      </c>
      <c r="L13" s="39">
        <v>3.8969999999999998</v>
      </c>
      <c r="M13" s="39"/>
      <c r="N13" s="39">
        <v>0.78200000000000003</v>
      </c>
      <c r="O13" s="39">
        <v>2.6470789824688241</v>
      </c>
      <c r="P13" s="39">
        <v>0.50575484929842918</v>
      </c>
      <c r="Q13" s="39">
        <v>3.5</v>
      </c>
      <c r="R13" s="39">
        <v>5.8999999999999997E-2</v>
      </c>
      <c r="S13" s="39">
        <v>4.8000000000000001E-2</v>
      </c>
      <c r="T13" s="39">
        <v>41.228925543629487</v>
      </c>
      <c r="U13" s="39">
        <v>10.63</v>
      </c>
      <c r="V13" s="39">
        <v>2.19</v>
      </c>
      <c r="W13" s="39">
        <v>19.899999999999999</v>
      </c>
      <c r="X13" s="39">
        <v>12.303652359256734</v>
      </c>
      <c r="Y13" s="18"/>
      <c r="Z13" s="77">
        <v>77.12</v>
      </c>
      <c r="AA13" s="77">
        <v>5.28</v>
      </c>
      <c r="AB13" s="77">
        <v>1.25</v>
      </c>
      <c r="AC13" s="77">
        <v>0.17</v>
      </c>
      <c r="AD13" s="77">
        <v>16.18</v>
      </c>
      <c r="AE13" s="58">
        <f t="shared" si="1"/>
        <v>100</v>
      </c>
      <c r="AF13" s="59"/>
      <c r="AG13" s="76">
        <v>51.5</v>
      </c>
      <c r="AH13" s="76">
        <v>14.6</v>
      </c>
      <c r="AI13" s="76">
        <v>8.7999999999999989</v>
      </c>
      <c r="AJ13" s="76">
        <v>1.5</v>
      </c>
      <c r="AK13" s="76">
        <v>23.6</v>
      </c>
      <c r="AL13" s="60">
        <f t="shared" si="2"/>
        <v>100</v>
      </c>
      <c r="AM13" s="59"/>
      <c r="AN13" s="76">
        <v>49.76</v>
      </c>
      <c r="AO13" s="76">
        <v>18.22</v>
      </c>
      <c r="AP13" s="76">
        <v>9.9699999999999989</v>
      </c>
      <c r="AQ13" s="76">
        <v>3.45</v>
      </c>
      <c r="AR13" s="76">
        <v>18.600000000000001</v>
      </c>
      <c r="AS13" s="60">
        <f t="shared" si="3"/>
        <v>100</v>
      </c>
      <c r="AT13" s="59"/>
      <c r="AU13" s="76">
        <v>41.83</v>
      </c>
      <c r="AV13" s="76">
        <v>22.03</v>
      </c>
      <c r="AW13" s="76">
        <v>10.190000000000001</v>
      </c>
      <c r="AX13" s="76">
        <v>2.44</v>
      </c>
      <c r="AY13" s="76">
        <v>23.51</v>
      </c>
      <c r="AZ13" s="60">
        <f t="shared" si="0"/>
        <v>100</v>
      </c>
    </row>
    <row r="14" spans="1:52" ht="20.100000000000001" customHeight="1" x14ac:dyDescent="0.3">
      <c r="A14" s="31">
        <v>5</v>
      </c>
      <c r="B14" s="32" t="s">
        <v>57</v>
      </c>
      <c r="C14" s="32" t="s">
        <v>23</v>
      </c>
      <c r="D14" s="33" t="s">
        <v>24</v>
      </c>
      <c r="E14" s="42">
        <v>45394</v>
      </c>
      <c r="F14" s="34">
        <v>0.625</v>
      </c>
      <c r="G14" s="33" t="s">
        <v>19</v>
      </c>
      <c r="H14" s="35">
        <v>23.3</v>
      </c>
      <c r="I14" s="35">
        <v>8.59</v>
      </c>
      <c r="J14" s="35">
        <v>9.51</v>
      </c>
      <c r="K14" s="35">
        <v>167.4</v>
      </c>
      <c r="L14" s="41">
        <v>1.5269999999999999</v>
      </c>
      <c r="M14" s="41"/>
      <c r="N14" s="41">
        <v>2.8000000000000001E-2</v>
      </c>
      <c r="O14" s="41">
        <v>1.3577461209228088</v>
      </c>
      <c r="P14" s="41" t="s">
        <v>68</v>
      </c>
      <c r="Q14" s="41">
        <v>2.5</v>
      </c>
      <c r="R14" s="41">
        <v>2.5000000000000001E-2</v>
      </c>
      <c r="S14" s="41">
        <v>8.9999999999999993E-3</v>
      </c>
      <c r="T14" s="41">
        <v>13.465682479565089</v>
      </c>
      <c r="U14" s="41">
        <v>5.58</v>
      </c>
      <c r="V14" s="41">
        <v>6.49</v>
      </c>
      <c r="W14" s="41">
        <v>8.1999999999999993</v>
      </c>
      <c r="X14" s="41">
        <v>15.388054287513553</v>
      </c>
      <c r="Y14" s="36"/>
      <c r="Z14" s="77">
        <v>22.22</v>
      </c>
      <c r="AA14" s="77">
        <v>7.15</v>
      </c>
      <c r="AB14" s="77">
        <v>19.079999999999998</v>
      </c>
      <c r="AC14" s="77">
        <v>2.67</v>
      </c>
      <c r="AD14" s="77">
        <v>48.88</v>
      </c>
      <c r="AE14" s="58">
        <f t="shared" si="1"/>
        <v>100</v>
      </c>
      <c r="AF14" s="59"/>
      <c r="AG14" s="76">
        <v>27.800000000000004</v>
      </c>
      <c r="AH14" s="76">
        <v>9</v>
      </c>
      <c r="AI14" s="76">
        <v>17.5</v>
      </c>
      <c r="AJ14" s="76">
        <v>2.1999999999999997</v>
      </c>
      <c r="AK14" s="76">
        <v>43.5</v>
      </c>
      <c r="AL14" s="60">
        <f t="shared" si="2"/>
        <v>100</v>
      </c>
      <c r="AM14" s="59"/>
      <c r="AN14" s="76">
        <v>18.84</v>
      </c>
      <c r="AO14" s="76">
        <v>10.39</v>
      </c>
      <c r="AP14" s="76">
        <v>25.430000000000003</v>
      </c>
      <c r="AQ14" s="76">
        <v>5.16</v>
      </c>
      <c r="AR14" s="76">
        <v>40.18</v>
      </c>
      <c r="AS14" s="60">
        <f t="shared" si="3"/>
        <v>100</v>
      </c>
      <c r="AT14" s="59"/>
      <c r="AU14" s="76">
        <v>19.43</v>
      </c>
      <c r="AV14" s="76">
        <v>10.780000000000001</v>
      </c>
      <c r="AW14" s="76">
        <v>24.08</v>
      </c>
      <c r="AX14" s="76">
        <v>4.95</v>
      </c>
      <c r="AY14" s="76">
        <v>40.760000000000005</v>
      </c>
      <c r="AZ14" s="60">
        <f t="shared" si="0"/>
        <v>100</v>
      </c>
    </row>
    <row r="15" spans="1:52" ht="20.100000000000001" customHeight="1" x14ac:dyDescent="0.3">
      <c r="A15" s="31">
        <v>6</v>
      </c>
      <c r="B15" s="32" t="s">
        <v>57</v>
      </c>
      <c r="C15" s="32" t="s">
        <v>23</v>
      </c>
      <c r="D15" s="33" t="s">
        <v>25</v>
      </c>
      <c r="E15" s="42">
        <v>45394</v>
      </c>
      <c r="F15" s="34">
        <v>0.63888888888888895</v>
      </c>
      <c r="G15" s="33" t="s">
        <v>19</v>
      </c>
      <c r="H15" s="35">
        <v>20.5</v>
      </c>
      <c r="I15" s="35">
        <v>7.61</v>
      </c>
      <c r="J15" s="35">
        <v>10.02</v>
      </c>
      <c r="K15" s="35">
        <v>279</v>
      </c>
      <c r="L15" s="41">
        <v>2.8879999999999999</v>
      </c>
      <c r="M15" s="41"/>
      <c r="N15" s="41">
        <v>0.128</v>
      </c>
      <c r="O15" s="41">
        <v>2.3599395974240749</v>
      </c>
      <c r="P15" s="41">
        <v>4.16973481937844E-2</v>
      </c>
      <c r="Q15" s="41">
        <v>3.8</v>
      </c>
      <c r="R15" s="41">
        <v>0.13700000000000001</v>
      </c>
      <c r="S15" s="41">
        <v>0.13200000000000001</v>
      </c>
      <c r="T15" s="41">
        <v>24.609506883467702</v>
      </c>
      <c r="U15" s="41">
        <v>6.75</v>
      </c>
      <c r="V15" s="41">
        <v>7.6</v>
      </c>
      <c r="W15" s="41">
        <v>14.7</v>
      </c>
      <c r="X15" s="41">
        <v>11.914577909851953</v>
      </c>
      <c r="Y15" s="36"/>
      <c r="Z15" s="77">
        <v>25.1</v>
      </c>
      <c r="AA15" s="77">
        <v>12.01</v>
      </c>
      <c r="AB15" s="77">
        <v>25.47</v>
      </c>
      <c r="AC15" s="77">
        <v>3.51</v>
      </c>
      <c r="AD15" s="77">
        <v>33.909999999999997</v>
      </c>
      <c r="AE15" s="58">
        <f t="shared" si="1"/>
        <v>100</v>
      </c>
      <c r="AF15" s="59"/>
      <c r="AG15" s="76">
        <v>31.8</v>
      </c>
      <c r="AH15" s="76">
        <v>10.9</v>
      </c>
      <c r="AI15" s="76">
        <v>16.400000000000002</v>
      </c>
      <c r="AJ15" s="76">
        <v>2.5</v>
      </c>
      <c r="AK15" s="76">
        <v>38.4</v>
      </c>
      <c r="AL15" s="60">
        <f t="shared" si="2"/>
        <v>100</v>
      </c>
      <c r="AM15" s="59"/>
      <c r="AN15" s="76">
        <v>22.73</v>
      </c>
      <c r="AO15" s="76">
        <v>13.850000000000001</v>
      </c>
      <c r="AP15" s="76">
        <v>24.29</v>
      </c>
      <c r="AQ15" s="76">
        <v>6.15</v>
      </c>
      <c r="AR15" s="76">
        <v>32.979999999999997</v>
      </c>
      <c r="AS15" s="60">
        <f t="shared" si="3"/>
        <v>100</v>
      </c>
      <c r="AT15" s="59"/>
      <c r="AU15" s="76">
        <v>23.56</v>
      </c>
      <c r="AV15" s="76">
        <v>14.87</v>
      </c>
      <c r="AW15" s="76">
        <v>22.75</v>
      </c>
      <c r="AX15" s="76">
        <v>6.24</v>
      </c>
      <c r="AY15" s="76">
        <v>32.58</v>
      </c>
      <c r="AZ15" s="60">
        <f t="shared" si="0"/>
        <v>100</v>
      </c>
    </row>
    <row r="16" spans="1:52" ht="20.100000000000001" customHeight="1" x14ac:dyDescent="0.3">
      <c r="A16" s="31">
        <v>7</v>
      </c>
      <c r="B16" s="32" t="s">
        <v>57</v>
      </c>
      <c r="C16" s="32" t="s">
        <v>23</v>
      </c>
      <c r="D16" s="33" t="s">
        <v>26</v>
      </c>
      <c r="E16" s="42">
        <v>45393</v>
      </c>
      <c r="F16" s="34">
        <v>0.63888888888888895</v>
      </c>
      <c r="G16" s="33" t="s">
        <v>19</v>
      </c>
      <c r="H16" s="43">
        <v>17.5</v>
      </c>
      <c r="I16" s="43">
        <v>7.38</v>
      </c>
      <c r="J16" s="43">
        <v>9.8800000000000008</v>
      </c>
      <c r="K16" s="44">
        <v>267</v>
      </c>
      <c r="L16" s="41">
        <v>3.016</v>
      </c>
      <c r="M16" s="41"/>
      <c r="N16" s="41">
        <v>0.191</v>
      </c>
      <c r="O16" s="41">
        <v>2.4391271227247548</v>
      </c>
      <c r="P16" s="41">
        <v>7.7295428737773897E-2</v>
      </c>
      <c r="Q16" s="41">
        <v>4.3</v>
      </c>
      <c r="R16" s="41">
        <v>0.251</v>
      </c>
      <c r="S16" s="41">
        <v>0.249</v>
      </c>
      <c r="T16" s="41">
        <v>21.663703887468678</v>
      </c>
      <c r="U16" s="41">
        <v>8.2100000000000009</v>
      </c>
      <c r="V16" s="41">
        <v>5.56</v>
      </c>
      <c r="W16" s="41">
        <v>19.2</v>
      </c>
      <c r="X16" s="41">
        <v>10.009981831868686</v>
      </c>
      <c r="Y16" s="36"/>
      <c r="Z16" s="77">
        <v>33.42</v>
      </c>
      <c r="AA16" s="77">
        <v>14.45</v>
      </c>
      <c r="AB16" s="77">
        <v>13.22</v>
      </c>
      <c r="AC16" s="77">
        <v>2.08</v>
      </c>
      <c r="AD16" s="77">
        <v>36.83</v>
      </c>
      <c r="AE16" s="58">
        <f t="shared" si="1"/>
        <v>100</v>
      </c>
      <c r="AF16" s="59"/>
      <c r="AG16" s="76">
        <v>39.5</v>
      </c>
      <c r="AH16" s="76">
        <v>12.8</v>
      </c>
      <c r="AI16" s="76">
        <v>12.8</v>
      </c>
      <c r="AJ16" s="76">
        <v>2</v>
      </c>
      <c r="AK16" s="76">
        <v>32.9</v>
      </c>
      <c r="AL16" s="60">
        <f t="shared" si="2"/>
        <v>100</v>
      </c>
      <c r="AM16" s="59"/>
      <c r="AN16" s="76">
        <v>27.33</v>
      </c>
      <c r="AO16" s="76">
        <v>19.3</v>
      </c>
      <c r="AP16" s="76">
        <v>24.38</v>
      </c>
      <c r="AQ16" s="76">
        <v>3.0700000000000003</v>
      </c>
      <c r="AR16" s="76">
        <v>25.919999999999998</v>
      </c>
      <c r="AS16" s="60">
        <f t="shared" si="3"/>
        <v>99.999999999999986</v>
      </c>
      <c r="AT16" s="59"/>
      <c r="AU16" s="76">
        <v>30.259999999999998</v>
      </c>
      <c r="AV16" s="76">
        <v>18.34</v>
      </c>
      <c r="AW16" s="76">
        <v>16.53</v>
      </c>
      <c r="AX16" s="76">
        <v>4.4400000000000004</v>
      </c>
      <c r="AY16" s="76">
        <v>30.43</v>
      </c>
      <c r="AZ16" s="60">
        <f t="shared" si="0"/>
        <v>100</v>
      </c>
    </row>
    <row r="17" spans="1:52" s="7" customFormat="1" ht="20.100000000000001" customHeight="1" x14ac:dyDescent="0.3">
      <c r="A17" s="31">
        <v>8</v>
      </c>
      <c r="B17" s="32" t="s">
        <v>57</v>
      </c>
      <c r="C17" s="32" t="s">
        <v>27</v>
      </c>
      <c r="D17" s="33" t="s">
        <v>28</v>
      </c>
      <c r="E17" s="42">
        <v>45393</v>
      </c>
      <c r="F17" s="34">
        <v>0.65277777777777779</v>
      </c>
      <c r="G17" s="33" t="s">
        <v>19</v>
      </c>
      <c r="H17" s="43">
        <v>15.2</v>
      </c>
      <c r="I17" s="43">
        <v>7.18</v>
      </c>
      <c r="J17" s="43">
        <v>8.57</v>
      </c>
      <c r="K17" s="44">
        <v>447</v>
      </c>
      <c r="L17" s="41">
        <v>10.587</v>
      </c>
      <c r="M17" s="41"/>
      <c r="N17" s="41">
        <v>7.5830000000000002</v>
      </c>
      <c r="O17" s="41">
        <v>0.97586059085562704</v>
      </c>
      <c r="P17" s="41">
        <v>8.6902733014795064E-2</v>
      </c>
      <c r="Q17" s="41">
        <v>13.8</v>
      </c>
      <c r="R17" s="41">
        <v>4.4939999999999998</v>
      </c>
      <c r="S17" s="41">
        <v>4.4489999999999998</v>
      </c>
      <c r="T17" s="41">
        <v>28.874406034046217</v>
      </c>
      <c r="U17" s="41">
        <v>1.58</v>
      </c>
      <c r="V17" s="41">
        <v>-0.43</v>
      </c>
      <c r="W17" s="41">
        <v>29.5</v>
      </c>
      <c r="X17" s="41">
        <v>10.352175185906143</v>
      </c>
      <c r="Y17" s="36"/>
      <c r="Z17" s="90">
        <v>85.42</v>
      </c>
      <c r="AA17" s="90">
        <v>1.94</v>
      </c>
      <c r="AB17" s="90">
        <v>0.77</v>
      </c>
      <c r="AC17" s="90">
        <v>0.22</v>
      </c>
      <c r="AD17" s="90">
        <v>11.65</v>
      </c>
      <c r="AE17" s="91">
        <f t="shared" si="1"/>
        <v>100</v>
      </c>
      <c r="AF17" s="59"/>
      <c r="AG17" s="91">
        <v>13.700000000000001</v>
      </c>
      <c r="AH17" s="91">
        <v>4.9000000000000004</v>
      </c>
      <c r="AI17" s="91">
        <v>13.600000000000001</v>
      </c>
      <c r="AJ17" s="91">
        <v>1.2</v>
      </c>
      <c r="AK17" s="91">
        <v>66.600000000000009</v>
      </c>
      <c r="AL17" s="92">
        <f t="shared" si="2"/>
        <v>100.00000000000001</v>
      </c>
      <c r="AM17" s="59"/>
      <c r="AN17" s="91">
        <v>7.35</v>
      </c>
      <c r="AO17" s="91">
        <v>5.09</v>
      </c>
      <c r="AP17" s="91">
        <v>17.39</v>
      </c>
      <c r="AQ17" s="91">
        <v>5.77</v>
      </c>
      <c r="AR17" s="91">
        <v>64.400000000000006</v>
      </c>
      <c r="AS17" s="92">
        <f t="shared" si="3"/>
        <v>100</v>
      </c>
      <c r="AT17" s="59"/>
      <c r="AU17" s="91">
        <v>3.49</v>
      </c>
      <c r="AV17" s="91">
        <v>1.55</v>
      </c>
      <c r="AW17" s="91">
        <v>14.17</v>
      </c>
      <c r="AX17" s="91">
        <v>0.97</v>
      </c>
      <c r="AY17" s="91">
        <v>79.820000000000007</v>
      </c>
      <c r="AZ17" s="92">
        <f t="shared" si="0"/>
        <v>100</v>
      </c>
    </row>
    <row r="18" spans="1:52" ht="20.100000000000001" customHeight="1" x14ac:dyDescent="0.3">
      <c r="A18" s="31">
        <v>9</v>
      </c>
      <c r="B18" s="32" t="s">
        <v>57</v>
      </c>
      <c r="C18" s="32" t="s">
        <v>27</v>
      </c>
      <c r="D18" s="33" t="s">
        <v>30</v>
      </c>
      <c r="E18" s="42">
        <v>45393</v>
      </c>
      <c r="F18" s="34">
        <v>0.64236111111111105</v>
      </c>
      <c r="G18" s="33" t="s">
        <v>19</v>
      </c>
      <c r="H18" s="43">
        <v>17.600000000000001</v>
      </c>
      <c r="I18" s="43">
        <v>8.07</v>
      </c>
      <c r="J18" s="43">
        <v>12.5</v>
      </c>
      <c r="K18" s="44">
        <v>306</v>
      </c>
      <c r="L18" s="41">
        <v>5.1479999999999997</v>
      </c>
      <c r="M18" s="41"/>
      <c r="N18" s="41">
        <v>0.44400000000000001</v>
      </c>
      <c r="O18" s="41">
        <v>3.8062637015242489</v>
      </c>
      <c r="P18" s="41">
        <v>0.37424985100928226</v>
      </c>
      <c r="Q18" s="41">
        <v>8.3000000000000007</v>
      </c>
      <c r="R18" s="41">
        <v>1.298</v>
      </c>
      <c r="S18" s="41">
        <v>1.2909999999999999</v>
      </c>
      <c r="T18" s="41">
        <v>22.829088136986975</v>
      </c>
      <c r="U18" s="41">
        <v>12.48</v>
      </c>
      <c r="V18" s="41">
        <v>2.62</v>
      </c>
      <c r="W18" s="41" t="s">
        <v>67</v>
      </c>
      <c r="X18" s="41">
        <v>12.076708490286192</v>
      </c>
      <c r="Y18" s="36"/>
      <c r="Z18" s="77">
        <v>81.95</v>
      </c>
      <c r="AA18" s="77">
        <v>7.43</v>
      </c>
      <c r="AB18" s="77">
        <v>1.26</v>
      </c>
      <c r="AC18" s="77">
        <v>0.44</v>
      </c>
      <c r="AD18" s="77">
        <v>8.92</v>
      </c>
      <c r="AE18" s="58">
        <f t="shared" si="1"/>
        <v>100</v>
      </c>
      <c r="AF18" s="59"/>
      <c r="AG18" s="76">
        <v>54.6</v>
      </c>
      <c r="AH18" s="76">
        <v>18.099999999999998</v>
      </c>
      <c r="AI18" s="76">
        <v>7.3</v>
      </c>
      <c r="AJ18" s="76">
        <v>1.4000000000000001</v>
      </c>
      <c r="AK18" s="76">
        <v>18.600000000000001</v>
      </c>
      <c r="AL18" s="60">
        <f t="shared" si="2"/>
        <v>100</v>
      </c>
      <c r="AM18" s="59"/>
      <c r="AN18" s="76">
        <v>40.119999999999997</v>
      </c>
      <c r="AO18" s="76">
        <v>31.669999999999998</v>
      </c>
      <c r="AP18" s="76">
        <v>8.6300000000000008</v>
      </c>
      <c r="AQ18" s="76">
        <v>4.08</v>
      </c>
      <c r="AR18" s="76">
        <v>15.5</v>
      </c>
      <c r="AS18" s="60">
        <f t="shared" si="3"/>
        <v>99.999999999999986</v>
      </c>
      <c r="AT18" s="59"/>
      <c r="AU18" s="76">
        <v>44.16</v>
      </c>
      <c r="AV18" s="76">
        <v>29.53</v>
      </c>
      <c r="AW18" s="76">
        <v>8.67</v>
      </c>
      <c r="AX18" s="76">
        <v>2.67</v>
      </c>
      <c r="AY18" s="76">
        <v>14.97</v>
      </c>
      <c r="AZ18" s="60">
        <f t="shared" si="0"/>
        <v>100</v>
      </c>
    </row>
    <row r="19" spans="1:52" ht="20.100000000000001" customHeight="1" x14ac:dyDescent="0.3">
      <c r="A19" s="22">
        <v>10</v>
      </c>
      <c r="B19" s="14" t="s">
        <v>58</v>
      </c>
      <c r="C19" s="14" t="s">
        <v>31</v>
      </c>
      <c r="D19" s="15" t="s">
        <v>32</v>
      </c>
      <c r="E19" s="16">
        <v>45394</v>
      </c>
      <c r="F19" s="17">
        <v>0.55902777777777779</v>
      </c>
      <c r="G19" s="15" t="s">
        <v>19</v>
      </c>
      <c r="H19" s="23">
        <v>20.100000000000001</v>
      </c>
      <c r="I19" s="23">
        <v>9.43</v>
      </c>
      <c r="J19" s="23">
        <v>13.8</v>
      </c>
      <c r="K19" s="45">
        <v>159.5</v>
      </c>
      <c r="L19" s="39">
        <v>1.5369999999999999</v>
      </c>
      <c r="M19" s="39"/>
      <c r="N19" s="39">
        <v>0.06</v>
      </c>
      <c r="O19" s="39">
        <v>1.3490559741266328</v>
      </c>
      <c r="P19" s="39" t="s">
        <v>68</v>
      </c>
      <c r="Q19" s="39">
        <v>2.4</v>
      </c>
      <c r="R19" s="39">
        <v>1.9E-2</v>
      </c>
      <c r="S19" s="39">
        <v>7.0000000000000001E-3</v>
      </c>
      <c r="T19" s="39">
        <v>10.187097958523417</v>
      </c>
      <c r="U19" s="39">
        <v>8.51</v>
      </c>
      <c r="V19" s="39">
        <v>8.32</v>
      </c>
      <c r="W19" s="39">
        <v>8.6999999999999993</v>
      </c>
      <c r="X19" s="39">
        <v>13.328055480267331</v>
      </c>
      <c r="Y19" s="18"/>
      <c r="Z19" s="77">
        <v>23.5</v>
      </c>
      <c r="AA19" s="77">
        <v>22.97</v>
      </c>
      <c r="AB19" s="77">
        <v>22.78</v>
      </c>
      <c r="AC19" s="77">
        <v>5.41</v>
      </c>
      <c r="AD19" s="77">
        <v>25.34</v>
      </c>
      <c r="AE19" s="58">
        <f t="shared" si="1"/>
        <v>100</v>
      </c>
      <c r="AF19" s="59"/>
      <c r="AG19" s="76">
        <v>38.200000000000003</v>
      </c>
      <c r="AH19" s="76">
        <v>14.099999999999998</v>
      </c>
      <c r="AI19" s="76">
        <v>14.000000000000002</v>
      </c>
      <c r="AJ19" s="76">
        <v>2.7</v>
      </c>
      <c r="AK19" s="76">
        <v>31</v>
      </c>
      <c r="AL19" s="60">
        <f t="shared" si="2"/>
        <v>100</v>
      </c>
      <c r="AM19" s="59"/>
      <c r="AN19" s="76">
        <v>27.939999999999998</v>
      </c>
      <c r="AO19" s="76">
        <v>19.57</v>
      </c>
      <c r="AP19" s="76">
        <v>20.25</v>
      </c>
      <c r="AQ19" s="76">
        <v>8.6499999999999986</v>
      </c>
      <c r="AR19" s="76">
        <v>23.59</v>
      </c>
      <c r="AS19" s="60">
        <f t="shared" si="3"/>
        <v>100</v>
      </c>
      <c r="AT19" s="59"/>
      <c r="AU19" s="76">
        <v>27.77</v>
      </c>
      <c r="AV19" s="76">
        <v>21.27</v>
      </c>
      <c r="AW19" s="76">
        <v>19.48</v>
      </c>
      <c r="AX19" s="76">
        <v>7.37</v>
      </c>
      <c r="AY19" s="76">
        <v>24.11</v>
      </c>
      <c r="AZ19" s="60">
        <f t="shared" si="0"/>
        <v>100</v>
      </c>
    </row>
    <row r="20" spans="1:52" ht="20.100000000000001" customHeight="1" x14ac:dyDescent="0.3">
      <c r="A20" s="22">
        <v>11</v>
      </c>
      <c r="B20" s="14" t="s">
        <v>58</v>
      </c>
      <c r="C20" s="14" t="s">
        <v>31</v>
      </c>
      <c r="D20" s="15" t="s">
        <v>33</v>
      </c>
      <c r="E20" s="16">
        <v>45394</v>
      </c>
      <c r="F20" s="17">
        <v>0.60416666666666663</v>
      </c>
      <c r="G20" s="15" t="s">
        <v>19</v>
      </c>
      <c r="H20" s="23">
        <v>18.8</v>
      </c>
      <c r="I20" s="23">
        <v>7.93</v>
      </c>
      <c r="J20" s="23">
        <v>10.17</v>
      </c>
      <c r="K20" s="45">
        <v>192.7</v>
      </c>
      <c r="L20" s="39">
        <v>2.169</v>
      </c>
      <c r="M20" s="39"/>
      <c r="N20" s="39">
        <v>2.1999999999999999E-2</v>
      </c>
      <c r="O20" s="39">
        <v>2.0674211944327476</v>
      </c>
      <c r="P20" s="39" t="s">
        <v>68</v>
      </c>
      <c r="Q20" s="39">
        <v>2</v>
      </c>
      <c r="R20" s="39">
        <v>4.7E-2</v>
      </c>
      <c r="S20" s="39">
        <v>4.2999999999999997E-2</v>
      </c>
      <c r="T20" s="39">
        <v>12.831242270508705</v>
      </c>
      <c r="U20" s="39">
        <v>8.24</v>
      </c>
      <c r="V20" s="39">
        <v>6.51</v>
      </c>
      <c r="W20" s="39">
        <v>11.6</v>
      </c>
      <c r="X20" s="39">
        <v>13.545452837707971</v>
      </c>
      <c r="Y20" s="18"/>
      <c r="Z20" s="77">
        <v>28.89</v>
      </c>
      <c r="AA20" s="77">
        <v>17.87</v>
      </c>
      <c r="AB20" s="77">
        <v>18.489999999999998</v>
      </c>
      <c r="AC20" s="77">
        <v>2.71</v>
      </c>
      <c r="AD20" s="77">
        <v>32.04</v>
      </c>
      <c r="AE20" s="58">
        <f t="shared" si="1"/>
        <v>100</v>
      </c>
      <c r="AF20" s="59"/>
      <c r="AG20" s="76">
        <v>38.700000000000003</v>
      </c>
      <c r="AH20" s="76">
        <v>13.3</v>
      </c>
      <c r="AI20" s="76">
        <v>13.600000000000001</v>
      </c>
      <c r="AJ20" s="76">
        <v>2.2999999999999998</v>
      </c>
      <c r="AK20" s="76">
        <v>32.1</v>
      </c>
      <c r="AL20" s="60">
        <f t="shared" si="2"/>
        <v>100</v>
      </c>
      <c r="AM20" s="59"/>
      <c r="AN20" s="76">
        <v>25.83</v>
      </c>
      <c r="AO20" s="76">
        <v>18.63</v>
      </c>
      <c r="AP20" s="76">
        <v>19.149999999999999</v>
      </c>
      <c r="AQ20" s="76">
        <v>4.6500000000000004</v>
      </c>
      <c r="AR20" s="76">
        <v>31.740000000000002</v>
      </c>
      <c r="AS20" s="60">
        <f t="shared" si="3"/>
        <v>100</v>
      </c>
      <c r="AT20" s="59"/>
      <c r="AU20" s="76">
        <v>29.28</v>
      </c>
      <c r="AV20" s="76">
        <v>19.16</v>
      </c>
      <c r="AW20" s="76">
        <v>17.78</v>
      </c>
      <c r="AX20" s="76">
        <v>5.28</v>
      </c>
      <c r="AY20" s="76">
        <v>28.499999999999996</v>
      </c>
      <c r="AZ20" s="60">
        <f t="shared" si="0"/>
        <v>100</v>
      </c>
    </row>
    <row r="21" spans="1:52" ht="20.100000000000001" customHeight="1" x14ac:dyDescent="0.3">
      <c r="A21" s="22">
        <v>12</v>
      </c>
      <c r="B21" s="14" t="s">
        <v>58</v>
      </c>
      <c r="C21" s="14" t="s">
        <v>31</v>
      </c>
      <c r="D21" s="15" t="s">
        <v>34</v>
      </c>
      <c r="E21" s="16">
        <v>45394</v>
      </c>
      <c r="F21" s="17">
        <v>0.61111111111111105</v>
      </c>
      <c r="G21" s="15" t="s">
        <v>19</v>
      </c>
      <c r="H21" s="23">
        <v>20.6</v>
      </c>
      <c r="I21" s="23">
        <v>8.49</v>
      </c>
      <c r="J21" s="23">
        <v>11.2</v>
      </c>
      <c r="K21" s="45">
        <v>200.4</v>
      </c>
      <c r="L21" s="39">
        <v>2.4790000000000001</v>
      </c>
      <c r="M21" s="39"/>
      <c r="N21" s="39">
        <v>3.5000000000000003E-2</v>
      </c>
      <c r="O21" s="39">
        <v>2.3482003300928995</v>
      </c>
      <c r="P21" s="39" t="s">
        <v>68</v>
      </c>
      <c r="Q21" s="39">
        <v>2.1</v>
      </c>
      <c r="R21" s="39">
        <v>5.0999999999999997E-2</v>
      </c>
      <c r="S21" s="39">
        <v>4.8000000000000001E-2</v>
      </c>
      <c r="T21" s="39">
        <v>14.247692060289525</v>
      </c>
      <c r="U21" s="39">
        <v>8.6199999999999992</v>
      </c>
      <c r="V21" s="39">
        <v>5.83</v>
      </c>
      <c r="W21" s="39">
        <v>11.2</v>
      </c>
      <c r="X21" s="39">
        <v>14.539856019900043</v>
      </c>
      <c r="Y21" s="18"/>
      <c r="Z21" s="77">
        <v>29.59</v>
      </c>
      <c r="AA21" s="77">
        <v>18.899999999999999</v>
      </c>
      <c r="AB21" s="77">
        <v>13.12</v>
      </c>
      <c r="AC21" s="77">
        <v>2.39</v>
      </c>
      <c r="AD21" s="77">
        <v>36</v>
      </c>
      <c r="AE21" s="58">
        <f t="shared" si="1"/>
        <v>100</v>
      </c>
      <c r="AF21" s="59"/>
      <c r="AG21" s="76">
        <v>40.700000000000003</v>
      </c>
      <c r="AH21" s="76">
        <v>13.5</v>
      </c>
      <c r="AI21" s="76">
        <v>12.7</v>
      </c>
      <c r="AJ21" s="76">
        <v>2</v>
      </c>
      <c r="AK21" s="76">
        <v>31.1</v>
      </c>
      <c r="AL21" s="60">
        <f t="shared" si="2"/>
        <v>100</v>
      </c>
      <c r="AM21" s="59"/>
      <c r="AN21" s="76">
        <v>29.24</v>
      </c>
      <c r="AO21" s="76">
        <v>19.25</v>
      </c>
      <c r="AP21" s="76">
        <v>20.95</v>
      </c>
      <c r="AQ21" s="76">
        <v>3.7699999999999996</v>
      </c>
      <c r="AR21" s="76">
        <v>26.790000000000003</v>
      </c>
      <c r="AS21" s="60">
        <f t="shared" si="3"/>
        <v>100</v>
      </c>
      <c r="AT21" s="59"/>
      <c r="AU21" s="76">
        <v>31.16</v>
      </c>
      <c r="AV21" s="76">
        <v>19.689999999999998</v>
      </c>
      <c r="AW21" s="76">
        <v>16.36</v>
      </c>
      <c r="AX21" s="76">
        <v>4.71</v>
      </c>
      <c r="AY21" s="76">
        <v>28.08</v>
      </c>
      <c r="AZ21" s="60">
        <f t="shared" si="0"/>
        <v>99.999999999999986</v>
      </c>
    </row>
    <row r="22" spans="1:52" ht="20.100000000000001" customHeight="1" x14ac:dyDescent="0.3">
      <c r="A22" s="22">
        <v>13</v>
      </c>
      <c r="B22" s="14" t="s">
        <v>58</v>
      </c>
      <c r="C22" s="14" t="s">
        <v>35</v>
      </c>
      <c r="D22" s="15" t="s">
        <v>36</v>
      </c>
      <c r="E22" s="16">
        <v>45394</v>
      </c>
      <c r="F22" s="17">
        <v>0.59375</v>
      </c>
      <c r="G22" s="15" t="s">
        <v>37</v>
      </c>
      <c r="H22" s="23">
        <v>20</v>
      </c>
      <c r="I22" s="23">
        <v>7.91</v>
      </c>
      <c r="J22" s="23">
        <v>10.9</v>
      </c>
      <c r="K22" s="45">
        <v>264</v>
      </c>
      <c r="L22" s="39">
        <v>3.7250000000000001</v>
      </c>
      <c r="M22" s="39"/>
      <c r="N22" s="39">
        <v>0.246</v>
      </c>
      <c r="O22" s="39">
        <v>3.3700928149145133</v>
      </c>
      <c r="P22" s="39">
        <v>6.9030757429925982E-2</v>
      </c>
      <c r="Q22" s="39">
        <v>2.2000000000000002</v>
      </c>
      <c r="R22" s="39">
        <v>0.106</v>
      </c>
      <c r="S22" s="39">
        <v>0.105</v>
      </c>
      <c r="T22" s="39">
        <v>20.963677081464517</v>
      </c>
      <c r="U22" s="39">
        <v>9.1300000000000008</v>
      </c>
      <c r="V22" s="39">
        <v>4.09</v>
      </c>
      <c r="W22" s="39">
        <v>9.3000000000000007</v>
      </c>
      <c r="X22" s="39">
        <v>15.702781473289019</v>
      </c>
      <c r="Y22" s="18"/>
      <c r="Z22" s="77">
        <v>38.64</v>
      </c>
      <c r="AA22" s="77">
        <v>15.11</v>
      </c>
      <c r="AB22" s="77">
        <v>4.46</v>
      </c>
      <c r="AC22" s="77">
        <v>1.06</v>
      </c>
      <c r="AD22" s="77">
        <v>40.729999999999997</v>
      </c>
      <c r="AE22" s="58">
        <f t="shared" si="1"/>
        <v>100</v>
      </c>
      <c r="AF22" s="59"/>
      <c r="AG22" s="76">
        <v>44.2</v>
      </c>
      <c r="AH22" s="76">
        <v>13.600000000000001</v>
      </c>
      <c r="AI22" s="76">
        <v>10.8</v>
      </c>
      <c r="AJ22" s="76">
        <v>1.7000000000000002</v>
      </c>
      <c r="AK22" s="76">
        <v>29.7</v>
      </c>
      <c r="AL22" s="60">
        <f t="shared" si="2"/>
        <v>100.00000000000001</v>
      </c>
      <c r="AM22" s="59"/>
      <c r="AN22" s="76">
        <v>35.730000000000004</v>
      </c>
      <c r="AO22" s="76">
        <v>19.439999999999998</v>
      </c>
      <c r="AP22" s="76">
        <v>14.17</v>
      </c>
      <c r="AQ22" s="76">
        <v>4.1099999999999994</v>
      </c>
      <c r="AR22" s="76">
        <v>26.55</v>
      </c>
      <c r="AS22" s="60">
        <f t="shared" si="3"/>
        <v>100</v>
      </c>
      <c r="AT22" s="59"/>
      <c r="AU22" s="76">
        <v>34.760000000000005</v>
      </c>
      <c r="AV22" s="76">
        <v>19.45</v>
      </c>
      <c r="AW22" s="76">
        <v>13.66</v>
      </c>
      <c r="AX22" s="76">
        <v>3.4299999999999997</v>
      </c>
      <c r="AY22" s="76">
        <v>28.7</v>
      </c>
      <c r="AZ22" s="60">
        <f t="shared" si="0"/>
        <v>100.00000000000001</v>
      </c>
    </row>
    <row r="23" spans="1:52" ht="20.100000000000001" customHeight="1" x14ac:dyDescent="0.3">
      <c r="A23" s="22">
        <v>14</v>
      </c>
      <c r="B23" s="14" t="s">
        <v>58</v>
      </c>
      <c r="C23" s="14" t="s">
        <v>5</v>
      </c>
      <c r="D23" s="15" t="s">
        <v>29</v>
      </c>
      <c r="E23" s="16">
        <v>45394</v>
      </c>
      <c r="F23" s="17">
        <v>0.58680555555555558</v>
      </c>
      <c r="G23" s="15" t="s">
        <v>37</v>
      </c>
      <c r="H23" s="23">
        <v>21.3</v>
      </c>
      <c r="I23" s="23">
        <v>7.61</v>
      </c>
      <c r="J23" s="23">
        <v>10.199999999999999</v>
      </c>
      <c r="K23" s="45">
        <v>330</v>
      </c>
      <c r="L23" s="39">
        <v>3.2210000000000001</v>
      </c>
      <c r="M23" s="39"/>
      <c r="N23" s="39">
        <v>0.48799999999999999</v>
      </c>
      <c r="O23" s="39">
        <v>2.409154906701044</v>
      </c>
      <c r="P23" s="39">
        <v>0.20265185356162441</v>
      </c>
      <c r="Q23" s="39">
        <v>2.8</v>
      </c>
      <c r="R23" s="39">
        <v>7.3999999999999996E-2</v>
      </c>
      <c r="S23" s="39">
        <v>7.0000000000000007E-2</v>
      </c>
      <c r="T23" s="39">
        <v>37.782982991834189</v>
      </c>
      <c r="U23" s="39">
        <v>8.94</v>
      </c>
      <c r="V23" s="39">
        <v>4.2699999999999996</v>
      </c>
      <c r="W23" s="39">
        <v>16.5</v>
      </c>
      <c r="X23" s="39">
        <v>12.61424864341576</v>
      </c>
      <c r="Y23" s="18"/>
      <c r="Z23" s="77">
        <v>33.479999999999997</v>
      </c>
      <c r="AA23" s="77">
        <v>17.690000000000001</v>
      </c>
      <c r="AB23" s="77">
        <v>4.32</v>
      </c>
      <c r="AC23" s="77">
        <v>1.25</v>
      </c>
      <c r="AD23" s="77">
        <v>43.26</v>
      </c>
      <c r="AE23" s="58">
        <f t="shared" si="1"/>
        <v>100</v>
      </c>
      <c r="AF23" s="59"/>
      <c r="AG23" s="76">
        <v>42.8</v>
      </c>
      <c r="AH23" s="76">
        <v>13.8</v>
      </c>
      <c r="AI23" s="76">
        <v>11.3</v>
      </c>
      <c r="AJ23" s="76">
        <v>1.7999999999999998</v>
      </c>
      <c r="AK23" s="76">
        <v>30.3</v>
      </c>
      <c r="AL23" s="60">
        <f t="shared" si="2"/>
        <v>99.999999999999986</v>
      </c>
      <c r="AM23" s="59"/>
      <c r="AN23" s="76">
        <v>29.99</v>
      </c>
      <c r="AO23" s="76">
        <v>20.41</v>
      </c>
      <c r="AP23" s="76">
        <v>16.07</v>
      </c>
      <c r="AQ23" s="76">
        <v>3.3000000000000003</v>
      </c>
      <c r="AR23" s="76">
        <v>30.23</v>
      </c>
      <c r="AS23" s="60">
        <f t="shared" si="3"/>
        <v>100</v>
      </c>
      <c r="AT23" s="59"/>
      <c r="AU23" s="76">
        <v>33.950000000000003</v>
      </c>
      <c r="AV23" s="76">
        <v>19.13</v>
      </c>
      <c r="AW23" s="76">
        <v>14.069999999999999</v>
      </c>
      <c r="AX23" s="76">
        <v>3.53</v>
      </c>
      <c r="AY23" s="76">
        <v>29.32</v>
      </c>
      <c r="AZ23" s="60">
        <f t="shared" si="0"/>
        <v>100</v>
      </c>
    </row>
    <row r="24" spans="1:52" ht="20.100000000000001" customHeight="1" x14ac:dyDescent="0.3">
      <c r="A24" s="22">
        <v>15</v>
      </c>
      <c r="B24" s="14" t="s">
        <v>58</v>
      </c>
      <c r="C24" s="14" t="s">
        <v>35</v>
      </c>
      <c r="D24" s="15" t="s">
        <v>29</v>
      </c>
      <c r="E24" s="16">
        <v>45394</v>
      </c>
      <c r="F24" s="17">
        <v>0.58333333333333337</v>
      </c>
      <c r="G24" s="15" t="s">
        <v>37</v>
      </c>
      <c r="H24" s="23">
        <v>19.2</v>
      </c>
      <c r="I24" s="23">
        <v>8.1999999999999993</v>
      </c>
      <c r="J24" s="23">
        <v>10.36</v>
      </c>
      <c r="K24" s="45">
        <v>265</v>
      </c>
      <c r="L24" s="39">
        <v>2.9990000000000001</v>
      </c>
      <c r="M24" s="39"/>
      <c r="N24" s="39">
        <v>8.3000000000000004E-2</v>
      </c>
      <c r="O24" s="39">
        <v>2.8600034333719488</v>
      </c>
      <c r="P24" s="39">
        <v>1.7071790625036165E-3</v>
      </c>
      <c r="Q24" s="39">
        <v>2.4</v>
      </c>
      <c r="R24" s="39">
        <v>7.3999999999999996E-2</v>
      </c>
      <c r="S24" s="39">
        <v>7.0999999999999994E-2</v>
      </c>
      <c r="T24" s="39">
        <v>20.981463254273066</v>
      </c>
      <c r="U24" s="39">
        <v>10.39</v>
      </c>
      <c r="V24" s="39">
        <v>5.64</v>
      </c>
      <c r="W24" s="39">
        <v>12.4</v>
      </c>
      <c r="X24" s="39">
        <v>16.465379552633163</v>
      </c>
      <c r="Y24" s="18"/>
      <c r="Z24" s="77">
        <v>29.81</v>
      </c>
      <c r="AA24" s="77">
        <v>28.55</v>
      </c>
      <c r="AB24" s="77">
        <v>9.98</v>
      </c>
      <c r="AC24" s="77">
        <v>2.41</v>
      </c>
      <c r="AD24" s="77">
        <v>29.25</v>
      </c>
      <c r="AE24" s="58">
        <f t="shared" si="1"/>
        <v>100</v>
      </c>
      <c r="AF24" s="59"/>
      <c r="AG24" s="76">
        <v>47.099999999999994</v>
      </c>
      <c r="AH24" s="76">
        <v>16.100000000000001</v>
      </c>
      <c r="AI24" s="76">
        <v>10.3</v>
      </c>
      <c r="AJ24" s="76">
        <v>1.9</v>
      </c>
      <c r="AK24" s="76">
        <v>24.6</v>
      </c>
      <c r="AL24" s="60">
        <f t="shared" si="2"/>
        <v>100</v>
      </c>
      <c r="AM24" s="59"/>
      <c r="AN24" s="76">
        <v>38.81</v>
      </c>
      <c r="AO24" s="76">
        <v>22.189999999999998</v>
      </c>
      <c r="AP24" s="76">
        <v>14.31</v>
      </c>
      <c r="AQ24" s="76">
        <v>5.4</v>
      </c>
      <c r="AR24" s="76">
        <v>19.29</v>
      </c>
      <c r="AS24" s="60">
        <f t="shared" si="3"/>
        <v>100</v>
      </c>
      <c r="AT24" s="59"/>
      <c r="AU24" s="76">
        <v>36.01</v>
      </c>
      <c r="AV24" s="76">
        <v>25.95</v>
      </c>
      <c r="AW24" s="76">
        <v>13.700000000000001</v>
      </c>
      <c r="AX24" s="76">
        <v>4.8</v>
      </c>
      <c r="AY24" s="76">
        <v>19.54</v>
      </c>
      <c r="AZ24" s="60">
        <f t="shared" si="0"/>
        <v>100</v>
      </c>
    </row>
    <row r="25" spans="1:52" ht="20.100000000000001" customHeight="1" x14ac:dyDescent="0.3">
      <c r="A25" s="31">
        <v>16</v>
      </c>
      <c r="B25" s="32" t="s">
        <v>59</v>
      </c>
      <c r="C25" s="32" t="s">
        <v>38</v>
      </c>
      <c r="D25" s="33" t="s">
        <v>39</v>
      </c>
      <c r="E25" s="42">
        <v>45394</v>
      </c>
      <c r="F25" s="34">
        <v>0.60763888888888895</v>
      </c>
      <c r="G25" s="33" t="s">
        <v>37</v>
      </c>
      <c r="H25" s="43">
        <v>16.7</v>
      </c>
      <c r="I25" s="43">
        <v>7.74</v>
      </c>
      <c r="J25" s="43">
        <v>9.69</v>
      </c>
      <c r="K25" s="44">
        <v>280</v>
      </c>
      <c r="L25" s="41">
        <v>4.0350000000000001</v>
      </c>
      <c r="M25" s="41"/>
      <c r="N25" s="41">
        <v>0.11600000000000001</v>
      </c>
      <c r="O25" s="41">
        <v>3.6370006163330189</v>
      </c>
      <c r="P25" s="41">
        <v>7.1019486261476195E-2</v>
      </c>
      <c r="Q25" s="41">
        <v>3.7</v>
      </c>
      <c r="R25" s="41">
        <v>7.6999999999999999E-2</v>
      </c>
      <c r="S25" s="41">
        <v>7.0999999999999994E-2</v>
      </c>
      <c r="T25" s="41">
        <v>20.656813665762371</v>
      </c>
      <c r="U25" s="41">
        <v>7.92</v>
      </c>
      <c r="V25" s="41">
        <v>4.59</v>
      </c>
      <c r="W25" s="41">
        <v>12.1</v>
      </c>
      <c r="X25" s="41">
        <v>13.006279806017819</v>
      </c>
      <c r="Y25" s="36"/>
      <c r="Z25" s="77">
        <v>32.549999999999997</v>
      </c>
      <c r="AA25" s="77">
        <v>12.34</v>
      </c>
      <c r="AB25" s="77">
        <v>7.58</v>
      </c>
      <c r="AC25" s="77">
        <v>1.28</v>
      </c>
      <c r="AD25" s="77">
        <v>46.25</v>
      </c>
      <c r="AE25" s="58">
        <f t="shared" si="1"/>
        <v>100</v>
      </c>
      <c r="AF25" s="59"/>
      <c r="AG25" s="76">
        <v>39.1</v>
      </c>
      <c r="AH25" s="76">
        <v>12.2</v>
      </c>
      <c r="AI25" s="76">
        <v>12.4</v>
      </c>
      <c r="AJ25" s="76">
        <v>1.7999999999999998</v>
      </c>
      <c r="AK25" s="76">
        <v>34.5</v>
      </c>
      <c r="AL25" s="60">
        <f t="shared" si="2"/>
        <v>100</v>
      </c>
      <c r="AM25" s="59"/>
      <c r="AN25" s="76">
        <v>28.43</v>
      </c>
      <c r="AO25" s="76">
        <v>17.72</v>
      </c>
      <c r="AP25" s="76">
        <v>20.95</v>
      </c>
      <c r="AQ25" s="76">
        <v>3.77</v>
      </c>
      <c r="AR25" s="76">
        <v>29.13</v>
      </c>
      <c r="AS25" s="60">
        <f t="shared" si="3"/>
        <v>99.999999999999986</v>
      </c>
      <c r="AT25" s="59"/>
      <c r="AU25" s="76">
        <v>30.349999999999998</v>
      </c>
      <c r="AV25" s="76">
        <v>16.79</v>
      </c>
      <c r="AW25" s="76">
        <v>15.58</v>
      </c>
      <c r="AX25" s="76">
        <v>3.65</v>
      </c>
      <c r="AY25" s="76">
        <v>33.629999999999995</v>
      </c>
      <c r="AZ25" s="60">
        <f t="shared" si="0"/>
        <v>100</v>
      </c>
    </row>
    <row r="26" spans="1:52" ht="20.100000000000001" customHeight="1" x14ac:dyDescent="0.3">
      <c r="A26" s="31">
        <v>17</v>
      </c>
      <c r="B26" s="32" t="s">
        <v>59</v>
      </c>
      <c r="C26" s="32" t="s">
        <v>38</v>
      </c>
      <c r="D26" s="33" t="s">
        <v>41</v>
      </c>
      <c r="E26" s="42">
        <v>45393</v>
      </c>
      <c r="F26" s="34">
        <v>0.5625</v>
      </c>
      <c r="G26" s="33" t="s">
        <v>37</v>
      </c>
      <c r="H26" s="43">
        <v>20</v>
      </c>
      <c r="I26" s="43">
        <v>7.57</v>
      </c>
      <c r="J26" s="43">
        <v>9.91</v>
      </c>
      <c r="K26" s="44">
        <v>372</v>
      </c>
      <c r="L26" s="41">
        <v>4.7130000000000001</v>
      </c>
      <c r="M26" s="41"/>
      <c r="N26" s="41">
        <v>0.129</v>
      </c>
      <c r="O26" s="41">
        <v>4.3850525263799121</v>
      </c>
      <c r="P26" s="41">
        <v>6.3094173518871088E-2</v>
      </c>
      <c r="Q26" s="41">
        <v>3.7</v>
      </c>
      <c r="R26" s="41">
        <v>8.3000000000000004E-2</v>
      </c>
      <c r="S26" s="41">
        <v>7.5999999999999998E-2</v>
      </c>
      <c r="T26" s="41">
        <v>42.086888752878899</v>
      </c>
      <c r="U26" s="41">
        <v>11.24</v>
      </c>
      <c r="V26" s="41">
        <v>5.97</v>
      </c>
      <c r="W26" s="41">
        <v>17.3</v>
      </c>
      <c r="X26" s="41">
        <v>11.329123160711552</v>
      </c>
      <c r="Y26" s="36"/>
      <c r="Z26" s="77">
        <v>30.99</v>
      </c>
      <c r="AA26" s="77">
        <v>32.4</v>
      </c>
      <c r="AB26" s="77">
        <v>10.52</v>
      </c>
      <c r="AC26" s="77">
        <v>2.91</v>
      </c>
      <c r="AD26" s="77">
        <v>23.18</v>
      </c>
      <c r="AE26" s="58">
        <f t="shared" si="1"/>
        <v>100</v>
      </c>
      <c r="AF26" s="59"/>
      <c r="AG26" s="76">
        <v>48.699999999999996</v>
      </c>
      <c r="AH26" s="76">
        <v>17.899999999999999</v>
      </c>
      <c r="AI26" s="76">
        <v>9.4</v>
      </c>
      <c r="AJ26" s="76">
        <v>2</v>
      </c>
      <c r="AK26" s="76">
        <v>22</v>
      </c>
      <c r="AL26" s="60">
        <f t="shared" si="2"/>
        <v>100</v>
      </c>
      <c r="AM26" s="59"/>
      <c r="AN26" s="76">
        <v>32.450000000000003</v>
      </c>
      <c r="AO26" s="76">
        <v>29.32</v>
      </c>
      <c r="AP26" s="76">
        <v>13.43</v>
      </c>
      <c r="AQ26" s="76">
        <v>7.03</v>
      </c>
      <c r="AR26" s="76">
        <v>17.77</v>
      </c>
      <c r="AS26" s="60">
        <f t="shared" si="3"/>
        <v>100</v>
      </c>
      <c r="AT26" s="59"/>
      <c r="AU26" s="76">
        <v>36.99</v>
      </c>
      <c r="AV26" s="76">
        <v>29.28</v>
      </c>
      <c r="AW26" s="76">
        <v>12.629999999999999</v>
      </c>
      <c r="AX26" s="76">
        <v>5.1400000000000006</v>
      </c>
      <c r="AY26" s="76">
        <v>15.959999999999999</v>
      </c>
      <c r="AZ26" s="60">
        <f t="shared" si="0"/>
        <v>100</v>
      </c>
    </row>
    <row r="27" spans="1:52" ht="20.100000000000001" customHeight="1" x14ac:dyDescent="0.3">
      <c r="A27" s="31">
        <v>18</v>
      </c>
      <c r="B27" s="32" t="s">
        <v>59</v>
      </c>
      <c r="C27" s="32" t="s">
        <v>38</v>
      </c>
      <c r="D27" s="33" t="s">
        <v>42</v>
      </c>
      <c r="E27" s="42">
        <v>45393</v>
      </c>
      <c r="F27" s="34">
        <v>0.62847222222222221</v>
      </c>
      <c r="G27" s="33" t="s">
        <v>37</v>
      </c>
      <c r="H27" s="43">
        <v>18.399999999999999</v>
      </c>
      <c r="I27" s="43">
        <v>7.16</v>
      </c>
      <c r="J27" s="43">
        <v>8.81</v>
      </c>
      <c r="K27" s="44">
        <v>393</v>
      </c>
      <c r="L27" s="41">
        <v>5.0999999999999996</v>
      </c>
      <c r="M27" s="41"/>
      <c r="N27" s="41">
        <v>0.374</v>
      </c>
      <c r="O27" s="41">
        <v>4.4413298229600713</v>
      </c>
      <c r="P27" s="41">
        <v>0.15166091643205315</v>
      </c>
      <c r="Q27" s="41">
        <v>4</v>
      </c>
      <c r="R27" s="41">
        <v>6.2E-2</v>
      </c>
      <c r="S27" s="41">
        <v>5.3999999999999999E-2</v>
      </c>
      <c r="T27" s="41">
        <v>46.199351722238532</v>
      </c>
      <c r="U27" s="41">
        <v>11.5</v>
      </c>
      <c r="V27" s="41">
        <v>5.45</v>
      </c>
      <c r="W27" s="41">
        <v>19.100000000000001</v>
      </c>
      <c r="X27" s="41">
        <v>11.436419136503728</v>
      </c>
      <c r="Y27" s="36"/>
      <c r="Z27" s="77">
        <v>31.91</v>
      </c>
      <c r="AA27" s="77">
        <v>33.020000000000003</v>
      </c>
      <c r="AB27" s="77">
        <v>7.49</v>
      </c>
      <c r="AC27" s="77">
        <v>2.44</v>
      </c>
      <c r="AD27" s="77">
        <v>25.14</v>
      </c>
      <c r="AE27" s="58">
        <f t="shared" si="1"/>
        <v>100</v>
      </c>
      <c r="AF27" s="59"/>
      <c r="AG27" s="76">
        <v>50.3</v>
      </c>
      <c r="AH27" s="76">
        <v>17.899999999999999</v>
      </c>
      <c r="AI27" s="76">
        <v>9.3000000000000007</v>
      </c>
      <c r="AJ27" s="76">
        <v>1.7999999999999998</v>
      </c>
      <c r="AK27" s="76">
        <v>20.7</v>
      </c>
      <c r="AL27" s="60">
        <f t="shared" si="2"/>
        <v>99.999999999999986</v>
      </c>
      <c r="AM27" s="59"/>
      <c r="AN27" s="76">
        <v>38.690000000000005</v>
      </c>
      <c r="AO27" s="76">
        <v>28.01</v>
      </c>
      <c r="AP27" s="76">
        <v>13.38</v>
      </c>
      <c r="AQ27" s="76">
        <v>5.9700000000000006</v>
      </c>
      <c r="AR27" s="76">
        <v>13.950000000000001</v>
      </c>
      <c r="AS27" s="60">
        <f t="shared" si="3"/>
        <v>100</v>
      </c>
      <c r="AT27" s="59"/>
      <c r="AU27" s="76">
        <v>38.17</v>
      </c>
      <c r="AV27" s="76">
        <v>29.64</v>
      </c>
      <c r="AW27" s="76">
        <v>11.89</v>
      </c>
      <c r="AX27" s="76">
        <v>4.67</v>
      </c>
      <c r="AY27" s="76">
        <v>15.629999999999999</v>
      </c>
      <c r="AZ27" s="60">
        <f t="shared" si="0"/>
        <v>100</v>
      </c>
    </row>
    <row r="28" spans="1:52" ht="20.100000000000001" customHeight="1" x14ac:dyDescent="0.3">
      <c r="A28" s="31">
        <v>19</v>
      </c>
      <c r="B28" s="32" t="s">
        <v>59</v>
      </c>
      <c r="C28" s="32" t="s">
        <v>43</v>
      </c>
      <c r="D28" s="33" t="s">
        <v>40</v>
      </c>
      <c r="E28" s="42">
        <v>45393</v>
      </c>
      <c r="F28" s="34">
        <v>0.56597222222222221</v>
      </c>
      <c r="G28" s="33" t="s">
        <v>37</v>
      </c>
      <c r="H28" s="43">
        <v>20.399999999999999</v>
      </c>
      <c r="I28" s="43">
        <v>7.15</v>
      </c>
      <c r="J28" s="43">
        <v>9.94</v>
      </c>
      <c r="K28" s="44">
        <v>427</v>
      </c>
      <c r="L28" s="41">
        <v>4.4729999999999999</v>
      </c>
      <c r="M28" s="41"/>
      <c r="N28" s="41">
        <v>0.26700000000000002</v>
      </c>
      <c r="O28" s="41">
        <v>3.9058742648607598</v>
      </c>
      <c r="P28" s="41">
        <v>7.8217782921411683E-2</v>
      </c>
      <c r="Q28" s="41">
        <v>3.9</v>
      </c>
      <c r="R28" s="41">
        <v>0.02</v>
      </c>
      <c r="S28" s="41">
        <v>7.0000000000000001E-3</v>
      </c>
      <c r="T28" s="41">
        <v>64.491191417810811</v>
      </c>
      <c r="U28" s="41">
        <v>12.27</v>
      </c>
      <c r="V28" s="41">
        <v>6.11</v>
      </c>
      <c r="W28" s="41">
        <v>20.2</v>
      </c>
      <c r="X28" s="41">
        <v>10.396885695613589</v>
      </c>
      <c r="Y28" s="36"/>
      <c r="Z28" s="77">
        <v>31.52</v>
      </c>
      <c r="AA28" s="77">
        <v>37.81</v>
      </c>
      <c r="AB28" s="77">
        <v>9.5</v>
      </c>
      <c r="AC28" s="77">
        <v>3.3</v>
      </c>
      <c r="AD28" s="77">
        <v>17.87</v>
      </c>
      <c r="AE28" s="58">
        <f t="shared" si="1"/>
        <v>100</v>
      </c>
      <c r="AF28" s="59"/>
      <c r="AG28" s="76">
        <v>51.1</v>
      </c>
      <c r="AH28" s="76">
        <v>19.600000000000001</v>
      </c>
      <c r="AI28" s="76">
        <v>8.4</v>
      </c>
      <c r="AJ28" s="76">
        <v>1.7999999999999998</v>
      </c>
      <c r="AK28" s="76">
        <v>19.100000000000001</v>
      </c>
      <c r="AL28" s="60">
        <f t="shared" si="2"/>
        <v>100</v>
      </c>
      <c r="AM28" s="59"/>
      <c r="AN28" s="76">
        <v>27.43</v>
      </c>
      <c r="AO28" s="76">
        <v>38.619999999999997</v>
      </c>
      <c r="AP28" s="76">
        <v>12.18</v>
      </c>
      <c r="AQ28" s="76">
        <v>6.35</v>
      </c>
      <c r="AR28" s="76">
        <v>15.42</v>
      </c>
      <c r="AS28" s="60">
        <f t="shared" si="3"/>
        <v>99.999999999999986</v>
      </c>
      <c r="AT28" s="59"/>
      <c r="AU28" s="76">
        <v>36.4</v>
      </c>
      <c r="AV28" s="76">
        <v>33.29</v>
      </c>
      <c r="AW28" s="76">
        <v>11.42</v>
      </c>
      <c r="AX28" s="76">
        <v>5.13</v>
      </c>
      <c r="AY28" s="76">
        <v>13.76</v>
      </c>
      <c r="AZ28" s="60">
        <f t="shared" si="0"/>
        <v>100</v>
      </c>
    </row>
    <row r="29" spans="1:52" ht="19.5" customHeight="1" x14ac:dyDescent="0.3">
      <c r="A29" s="31">
        <v>20</v>
      </c>
      <c r="B29" s="32" t="s">
        <v>59</v>
      </c>
      <c r="C29" s="32" t="s">
        <v>43</v>
      </c>
      <c r="D29" s="33" t="s">
        <v>44</v>
      </c>
      <c r="E29" s="42">
        <v>45393</v>
      </c>
      <c r="F29" s="34">
        <v>0.57291666666666663</v>
      </c>
      <c r="G29" s="33" t="s">
        <v>37</v>
      </c>
      <c r="H29" s="43">
        <v>17.7</v>
      </c>
      <c r="I29" s="43">
        <v>8.4600000000000009</v>
      </c>
      <c r="J29" s="43">
        <v>13.23</v>
      </c>
      <c r="K29" s="44">
        <v>488</v>
      </c>
      <c r="L29" s="41">
        <v>5.1660000000000004</v>
      </c>
      <c r="M29" s="41"/>
      <c r="N29" s="41">
        <v>6.3E-2</v>
      </c>
      <c r="O29" s="41">
        <v>4.9679283032825374</v>
      </c>
      <c r="P29" s="41">
        <v>0.12958430283036404</v>
      </c>
      <c r="Q29" s="41">
        <v>2.9</v>
      </c>
      <c r="R29" s="41">
        <v>4.8000000000000001E-2</v>
      </c>
      <c r="S29" s="41">
        <v>2.3E-2</v>
      </c>
      <c r="T29" s="41">
        <v>53.23904304944535</v>
      </c>
      <c r="U29" s="41">
        <v>10.25</v>
      </c>
      <c r="V29" s="41">
        <v>7.37</v>
      </c>
      <c r="W29" s="41">
        <v>23.4</v>
      </c>
      <c r="X29" s="41">
        <v>10.85344472189681</v>
      </c>
      <c r="Y29" s="36"/>
      <c r="Z29" s="77">
        <v>27.09</v>
      </c>
      <c r="AA29" s="77">
        <v>29.73</v>
      </c>
      <c r="AB29" s="77">
        <v>16.27</v>
      </c>
      <c r="AC29" s="77">
        <v>4.71</v>
      </c>
      <c r="AD29" s="77">
        <v>22.2</v>
      </c>
      <c r="AE29" s="58">
        <f t="shared" si="1"/>
        <v>100</v>
      </c>
      <c r="AF29" s="59"/>
      <c r="AG29" s="76">
        <v>45.2</v>
      </c>
      <c r="AH29" s="76">
        <v>16.900000000000002</v>
      </c>
      <c r="AI29" s="76">
        <v>11.3</v>
      </c>
      <c r="AJ29" s="76">
        <v>2.1</v>
      </c>
      <c r="AK29" s="76">
        <v>24.5</v>
      </c>
      <c r="AL29" s="60">
        <f t="shared" si="2"/>
        <v>100</v>
      </c>
      <c r="AM29" s="59"/>
      <c r="AN29" s="76">
        <v>33.489999999999995</v>
      </c>
      <c r="AO29" s="76">
        <v>25.55</v>
      </c>
      <c r="AP29" s="76">
        <v>14.87</v>
      </c>
      <c r="AQ29" s="76">
        <v>7.25</v>
      </c>
      <c r="AR29" s="76">
        <v>18.84</v>
      </c>
      <c r="AS29" s="60">
        <f t="shared" si="3"/>
        <v>100</v>
      </c>
      <c r="AT29" s="59"/>
      <c r="AU29" s="76">
        <v>33.01</v>
      </c>
      <c r="AV29" s="76">
        <v>27.169999999999998</v>
      </c>
      <c r="AW29" s="76">
        <v>15.32</v>
      </c>
      <c r="AX29" s="76">
        <v>6.5500000000000007</v>
      </c>
      <c r="AY29" s="76">
        <v>17.95</v>
      </c>
      <c r="AZ29" s="60">
        <f t="shared" si="0"/>
        <v>100</v>
      </c>
    </row>
    <row r="30" spans="1:52" ht="20.100000000000001" customHeight="1" x14ac:dyDescent="0.3">
      <c r="A30" s="22">
        <v>21</v>
      </c>
      <c r="B30" s="14" t="s">
        <v>60</v>
      </c>
      <c r="C30" s="14" t="s">
        <v>45</v>
      </c>
      <c r="D30" s="15" t="s">
        <v>46</v>
      </c>
      <c r="E30" s="16">
        <v>45393</v>
      </c>
      <c r="F30" s="17">
        <v>0.44097222222222227</v>
      </c>
      <c r="G30" s="15" t="s">
        <v>37</v>
      </c>
      <c r="H30" s="23">
        <v>14.7</v>
      </c>
      <c r="I30" s="23">
        <v>7.64</v>
      </c>
      <c r="J30" s="23">
        <v>10.1</v>
      </c>
      <c r="K30" s="45">
        <v>195</v>
      </c>
      <c r="L30" s="39">
        <v>1.575</v>
      </c>
      <c r="M30" s="39"/>
      <c r="N30" s="39">
        <v>3.9E-2</v>
      </c>
      <c r="O30" s="39">
        <v>1.4978781437023474</v>
      </c>
      <c r="P30" s="39" t="s">
        <v>68</v>
      </c>
      <c r="Q30" s="39">
        <v>1.7</v>
      </c>
      <c r="R30" s="39">
        <v>6.0000000000000001E-3</v>
      </c>
      <c r="S30" s="39">
        <v>2E-3</v>
      </c>
      <c r="T30" s="39">
        <v>11.157679937554409</v>
      </c>
      <c r="U30" s="39">
        <v>4.84</v>
      </c>
      <c r="V30" s="39">
        <v>5.72</v>
      </c>
      <c r="W30" s="39">
        <v>8.6999999999999993</v>
      </c>
      <c r="X30" s="39">
        <v>14.992753436048833</v>
      </c>
      <c r="Y30" s="18"/>
      <c r="Z30" s="77">
        <v>8.7200000000000006</v>
      </c>
      <c r="AA30" s="77">
        <v>10.86</v>
      </c>
      <c r="AB30" s="77">
        <v>12.62</v>
      </c>
      <c r="AC30" s="77">
        <v>1.6</v>
      </c>
      <c r="AD30" s="77">
        <v>66.2</v>
      </c>
      <c r="AE30" s="58">
        <f t="shared" si="1"/>
        <v>100</v>
      </c>
      <c r="AF30" s="59"/>
      <c r="AG30" s="76">
        <v>25.1</v>
      </c>
      <c r="AH30" s="76">
        <v>8.2000000000000011</v>
      </c>
      <c r="AI30" s="76">
        <v>16.900000000000002</v>
      </c>
      <c r="AJ30" s="76">
        <v>2</v>
      </c>
      <c r="AK30" s="76">
        <v>47.8</v>
      </c>
      <c r="AL30" s="60">
        <f t="shared" si="2"/>
        <v>100</v>
      </c>
      <c r="AM30" s="59"/>
      <c r="AN30" s="76">
        <v>12.13</v>
      </c>
      <c r="AO30" s="76">
        <v>9.91</v>
      </c>
      <c r="AP30" s="76">
        <v>27.639999999999997</v>
      </c>
      <c r="AQ30" s="76">
        <v>3.9800000000000004</v>
      </c>
      <c r="AR30" s="76">
        <v>46.34</v>
      </c>
      <c r="AS30" s="60">
        <f t="shared" si="3"/>
        <v>100</v>
      </c>
      <c r="AT30" s="59"/>
      <c r="AU30" s="76">
        <v>15.079999999999998</v>
      </c>
      <c r="AV30" s="76">
        <v>8.06</v>
      </c>
      <c r="AW30" s="76">
        <v>24.43</v>
      </c>
      <c r="AX30" s="76">
        <v>4.26</v>
      </c>
      <c r="AY30" s="76">
        <v>48.17</v>
      </c>
      <c r="AZ30" s="60">
        <f t="shared" si="0"/>
        <v>100</v>
      </c>
    </row>
    <row r="31" spans="1:52" ht="20.100000000000001" customHeight="1" x14ac:dyDescent="0.3">
      <c r="A31" s="22">
        <v>22</v>
      </c>
      <c r="B31" s="14" t="s">
        <v>60</v>
      </c>
      <c r="C31" s="14" t="s">
        <v>45</v>
      </c>
      <c r="D31" s="19" t="s">
        <v>47</v>
      </c>
      <c r="E31" s="16">
        <v>45393</v>
      </c>
      <c r="F31" s="20">
        <v>0.46180555555555558</v>
      </c>
      <c r="G31" s="15" t="s">
        <v>37</v>
      </c>
      <c r="H31" s="23">
        <v>17.3</v>
      </c>
      <c r="I31" s="23">
        <v>7.3</v>
      </c>
      <c r="J31" s="23">
        <v>9.5</v>
      </c>
      <c r="K31" s="45">
        <v>232</v>
      </c>
      <c r="L31" s="40">
        <v>1.9910000000000001</v>
      </c>
      <c r="M31" s="40"/>
      <c r="N31" s="40">
        <v>4.2000000000000003E-2</v>
      </c>
      <c r="O31" s="40">
        <v>1.8417102276897697</v>
      </c>
      <c r="P31" s="39" t="s">
        <v>68</v>
      </c>
      <c r="Q31" s="40">
        <v>2.7</v>
      </c>
      <c r="R31" s="40">
        <v>5.3999999999999999E-2</v>
      </c>
      <c r="S31" s="40">
        <v>5.0999999999999997E-2</v>
      </c>
      <c r="T31" s="40">
        <v>17.228406114095094</v>
      </c>
      <c r="U31" s="40">
        <v>7.46</v>
      </c>
      <c r="V31" s="40">
        <v>3.75</v>
      </c>
      <c r="W31" s="40">
        <v>11.3</v>
      </c>
      <c r="X31" s="40">
        <v>13.044520469711662</v>
      </c>
      <c r="Y31" s="21"/>
      <c r="Z31" s="77">
        <v>44.57</v>
      </c>
      <c r="AA31" s="77">
        <v>2.72</v>
      </c>
      <c r="AB31" s="77">
        <v>3.46</v>
      </c>
      <c r="AC31" s="77">
        <v>1.29</v>
      </c>
      <c r="AD31" s="77">
        <v>47.96</v>
      </c>
      <c r="AE31" s="58">
        <f t="shared" si="1"/>
        <v>100</v>
      </c>
      <c r="AF31" s="59"/>
      <c r="AG31" s="76">
        <v>37.4</v>
      </c>
      <c r="AH31" s="76">
        <v>11</v>
      </c>
      <c r="AI31" s="76">
        <v>12.7</v>
      </c>
      <c r="AJ31" s="76">
        <v>1.6</v>
      </c>
      <c r="AK31" s="76">
        <v>37.299999999999997</v>
      </c>
      <c r="AL31" s="60">
        <f t="shared" si="2"/>
        <v>100</v>
      </c>
      <c r="AM31" s="59"/>
      <c r="AN31" s="76">
        <v>33.200000000000003</v>
      </c>
      <c r="AO31" s="76">
        <v>13.04</v>
      </c>
      <c r="AP31" s="76">
        <v>16.580000000000002</v>
      </c>
      <c r="AQ31" s="76">
        <v>3.7199999999999998</v>
      </c>
      <c r="AR31" s="76">
        <v>33.46</v>
      </c>
      <c r="AS31" s="60">
        <f t="shared" si="3"/>
        <v>100</v>
      </c>
      <c r="AT31" s="59"/>
      <c r="AU31" s="76">
        <v>28.95</v>
      </c>
      <c r="AV31" s="76">
        <v>14.84</v>
      </c>
      <c r="AW31" s="76">
        <v>15.010000000000002</v>
      </c>
      <c r="AX31" s="76">
        <v>3.06</v>
      </c>
      <c r="AY31" s="76">
        <v>38.14</v>
      </c>
      <c r="AZ31" s="60">
        <f t="shared" si="0"/>
        <v>100</v>
      </c>
    </row>
    <row r="32" spans="1:52" ht="20.100000000000001" customHeight="1" x14ac:dyDescent="0.3">
      <c r="A32" s="22">
        <v>23</v>
      </c>
      <c r="B32" s="14" t="s">
        <v>60</v>
      </c>
      <c r="C32" s="14" t="s">
        <v>45</v>
      </c>
      <c r="D32" s="19" t="s">
        <v>29</v>
      </c>
      <c r="E32" s="16">
        <v>45393</v>
      </c>
      <c r="F32" s="20">
        <v>0.47569444444444442</v>
      </c>
      <c r="G32" s="15" t="s">
        <v>37</v>
      </c>
      <c r="H32" s="23">
        <v>17.8</v>
      </c>
      <c r="I32" s="23">
        <v>7.54</v>
      </c>
      <c r="J32" s="23">
        <v>10.7</v>
      </c>
      <c r="K32" s="45">
        <v>237</v>
      </c>
      <c r="L32" s="40">
        <v>2.1120000000000001</v>
      </c>
      <c r="M32" s="40"/>
      <c r="N32" s="40">
        <v>5.7000000000000002E-2</v>
      </c>
      <c r="O32" s="40">
        <v>1.9377533187741629</v>
      </c>
      <c r="P32" s="39" t="s">
        <v>68</v>
      </c>
      <c r="Q32" s="40">
        <v>2.8</v>
      </c>
      <c r="R32" s="40">
        <v>4.8000000000000001E-2</v>
      </c>
      <c r="S32" s="40">
        <v>4.2999999999999997E-2</v>
      </c>
      <c r="T32" s="40">
        <v>18.676808109788333</v>
      </c>
      <c r="U32" s="40">
        <v>7.95</v>
      </c>
      <c r="V32" s="40">
        <v>4.3499999999999996</v>
      </c>
      <c r="W32" s="40">
        <v>12.1</v>
      </c>
      <c r="X32" s="40">
        <v>13.065326733831593</v>
      </c>
      <c r="Y32" s="21"/>
      <c r="Z32" s="77">
        <v>36.69</v>
      </c>
      <c r="AA32" s="77">
        <v>10.119999999999999</v>
      </c>
      <c r="AB32" s="77">
        <v>8.18</v>
      </c>
      <c r="AC32" s="77">
        <v>0.82</v>
      </c>
      <c r="AD32" s="77">
        <v>44.19</v>
      </c>
      <c r="AE32" s="58">
        <f t="shared" si="1"/>
        <v>100</v>
      </c>
      <c r="AF32" s="59"/>
      <c r="AG32" s="76">
        <v>39.300000000000004</v>
      </c>
      <c r="AH32" s="76">
        <v>12.2</v>
      </c>
      <c r="AI32" s="76">
        <v>12.4</v>
      </c>
      <c r="AJ32" s="76">
        <v>1.9</v>
      </c>
      <c r="AK32" s="76">
        <v>34.200000000000003</v>
      </c>
      <c r="AL32" s="60">
        <f t="shared" si="2"/>
        <v>100</v>
      </c>
      <c r="AM32" s="59"/>
      <c r="AN32" s="76">
        <v>28.360000000000003</v>
      </c>
      <c r="AO32" s="76">
        <v>17.649999999999999</v>
      </c>
      <c r="AP32" s="76">
        <v>22.470000000000002</v>
      </c>
      <c r="AQ32" s="76">
        <v>3.0300000000000002</v>
      </c>
      <c r="AR32" s="76">
        <v>28.49</v>
      </c>
      <c r="AS32" s="60">
        <f t="shared" si="3"/>
        <v>100</v>
      </c>
      <c r="AT32" s="59"/>
      <c r="AU32" s="76">
        <v>30.67</v>
      </c>
      <c r="AV32" s="76">
        <v>16.66</v>
      </c>
      <c r="AW32" s="76">
        <v>15.22</v>
      </c>
      <c r="AX32" s="76">
        <v>3.49</v>
      </c>
      <c r="AY32" s="76">
        <v>33.96</v>
      </c>
      <c r="AZ32" s="60">
        <f t="shared" si="0"/>
        <v>100</v>
      </c>
    </row>
    <row r="33" spans="1:52" ht="20.100000000000001" customHeight="1" thickBot="1" x14ac:dyDescent="0.35">
      <c r="A33" s="46">
        <v>24</v>
      </c>
      <c r="B33" s="47" t="s">
        <v>60</v>
      </c>
      <c r="C33" s="47" t="s">
        <v>45</v>
      </c>
      <c r="D33" s="48" t="s">
        <v>48</v>
      </c>
      <c r="E33" s="49">
        <v>45393</v>
      </c>
      <c r="F33" s="50">
        <v>0.48958333333333331</v>
      </c>
      <c r="G33" s="48" t="s">
        <v>37</v>
      </c>
      <c r="H33" s="51">
        <v>16.899999999999999</v>
      </c>
      <c r="I33" s="51">
        <v>7.29</v>
      </c>
      <c r="J33" s="51">
        <v>8.75</v>
      </c>
      <c r="K33" s="52">
        <v>248</v>
      </c>
      <c r="L33" s="53">
        <v>2.1680000000000001</v>
      </c>
      <c r="M33" s="53"/>
      <c r="N33" s="53">
        <v>6.5000000000000002E-2</v>
      </c>
      <c r="O33" s="53">
        <v>1.9645769962820305</v>
      </c>
      <c r="P33" s="53" t="s">
        <v>68</v>
      </c>
      <c r="Q33" s="53">
        <v>2.7</v>
      </c>
      <c r="R33" s="53">
        <v>3.7999999999999999E-2</v>
      </c>
      <c r="S33" s="53">
        <v>3.3000000000000002E-2</v>
      </c>
      <c r="T33" s="53">
        <v>18.945319130868253</v>
      </c>
      <c r="U33" s="53">
        <v>8.2100000000000009</v>
      </c>
      <c r="V33" s="53">
        <v>4.57</v>
      </c>
      <c r="W33" s="53">
        <v>13.4</v>
      </c>
      <c r="X33" s="53">
        <v>12.926440961420095</v>
      </c>
      <c r="Y33" s="54"/>
      <c r="Z33" s="77">
        <v>35.200000000000003</v>
      </c>
      <c r="AA33" s="77">
        <v>12.59</v>
      </c>
      <c r="AB33" s="77">
        <v>6.95</v>
      </c>
      <c r="AC33" s="77">
        <v>1.43</v>
      </c>
      <c r="AD33" s="77">
        <v>43.83</v>
      </c>
      <c r="AE33" s="58">
        <f t="shared" si="1"/>
        <v>100</v>
      </c>
      <c r="AF33" s="59"/>
      <c r="AG33" s="76">
        <v>39.800000000000004</v>
      </c>
      <c r="AH33" s="76">
        <v>12.5</v>
      </c>
      <c r="AI33" s="76">
        <v>12.4</v>
      </c>
      <c r="AJ33" s="76">
        <v>1.9</v>
      </c>
      <c r="AK33" s="76">
        <v>33.4</v>
      </c>
      <c r="AL33" s="60">
        <f t="shared" si="2"/>
        <v>100</v>
      </c>
      <c r="AM33" s="59"/>
      <c r="AN33" s="76">
        <v>31.15</v>
      </c>
      <c r="AO33" s="76">
        <v>17.93</v>
      </c>
      <c r="AP33" s="76">
        <v>20.47</v>
      </c>
      <c r="AQ33" s="76">
        <v>3.27</v>
      </c>
      <c r="AR33" s="76">
        <v>27.18</v>
      </c>
      <c r="AS33" s="60">
        <f t="shared" si="3"/>
        <v>100</v>
      </c>
      <c r="AT33" s="59"/>
      <c r="AU33" s="76">
        <v>31.319999999999997</v>
      </c>
      <c r="AV33" s="76">
        <v>17.5</v>
      </c>
      <c r="AW33" s="76">
        <v>15.229999999999999</v>
      </c>
      <c r="AX33" s="76">
        <v>3.6700000000000004</v>
      </c>
      <c r="AY33" s="76">
        <v>32.28</v>
      </c>
      <c r="AZ33" s="60">
        <f t="shared" si="0"/>
        <v>100</v>
      </c>
    </row>
    <row r="34" spans="1:52" ht="20.100000000000001" customHeight="1" x14ac:dyDescent="0.3">
      <c r="A34" s="5"/>
      <c r="B34" s="5"/>
      <c r="C34" s="5"/>
      <c r="D34" s="5"/>
      <c r="E34" s="26"/>
      <c r="F34" s="27"/>
      <c r="G34" s="5"/>
      <c r="H34" s="28"/>
      <c r="I34" s="28"/>
      <c r="J34" s="28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52" ht="20.100000000000001" customHeight="1" x14ac:dyDescent="0.3">
      <c r="A35" s="5"/>
      <c r="B35" s="5"/>
      <c r="C35" s="5"/>
      <c r="D35" s="5"/>
      <c r="E35" s="26"/>
      <c r="F35" s="27"/>
      <c r="G35" s="5"/>
      <c r="H35" s="28"/>
      <c r="I35" s="28"/>
      <c r="J35" s="28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52" x14ac:dyDescent="0.3">
      <c r="A36" s="5"/>
      <c r="B36" s="5"/>
      <c r="C36" s="5"/>
      <c r="D36" s="5"/>
      <c r="E36" s="26"/>
      <c r="F36" s="27"/>
      <c r="G36" s="5"/>
      <c r="H36" s="28"/>
      <c r="I36" s="28"/>
      <c r="J36" s="28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52" ht="33.75" customHeight="1" thickBot="1" x14ac:dyDescent="0.35">
      <c r="AC37" s="5" t="s">
        <v>82</v>
      </c>
    </row>
    <row r="38" spans="1:52" ht="20.100000000000001" customHeight="1" thickBot="1" x14ac:dyDescent="0.35">
      <c r="A38" s="83" t="s">
        <v>1</v>
      </c>
      <c r="B38" s="85" t="s">
        <v>61</v>
      </c>
      <c r="C38" s="85" t="s">
        <v>62</v>
      </c>
      <c r="D38" s="83" t="s">
        <v>7</v>
      </c>
      <c r="E38" s="87" t="s">
        <v>8</v>
      </c>
      <c r="F38" s="88"/>
      <c r="G38" s="78" t="s">
        <v>9</v>
      </c>
      <c r="H38" s="78"/>
      <c r="I38" s="78"/>
      <c r="J38" s="78"/>
      <c r="K38" s="78"/>
      <c r="L38" s="79" t="s">
        <v>55</v>
      </c>
      <c r="M38" s="80"/>
      <c r="N38" s="80"/>
      <c r="O38" s="80"/>
      <c r="P38" s="80"/>
      <c r="Q38" s="80"/>
      <c r="R38" s="80"/>
      <c r="S38" s="80"/>
      <c r="T38" s="80"/>
      <c r="U38" s="8"/>
      <c r="V38" s="8"/>
      <c r="W38" s="8"/>
      <c r="X38" s="8"/>
      <c r="Y38" s="81" t="s">
        <v>10</v>
      </c>
      <c r="Z38" s="55" t="s">
        <v>70</v>
      </c>
      <c r="AE38">
        <v>100</v>
      </c>
      <c r="AG38" s="55" t="s">
        <v>83</v>
      </c>
    </row>
    <row r="39" spans="1:52" ht="20.100000000000001" customHeight="1" thickBot="1" x14ac:dyDescent="0.35">
      <c r="A39" s="84"/>
      <c r="B39" s="84"/>
      <c r="C39" s="84"/>
      <c r="D39" s="86"/>
      <c r="E39" s="1" t="s">
        <v>0</v>
      </c>
      <c r="F39" s="4" t="s">
        <v>11</v>
      </c>
      <c r="G39" s="4" t="s">
        <v>12</v>
      </c>
      <c r="H39" s="4" t="s">
        <v>13</v>
      </c>
      <c r="I39" s="4" t="s">
        <v>14</v>
      </c>
      <c r="J39" s="4" t="s">
        <v>15</v>
      </c>
      <c r="K39" s="4" t="s">
        <v>16</v>
      </c>
      <c r="L39" s="4" t="s">
        <v>6</v>
      </c>
      <c r="M39" s="4" t="s">
        <v>50</v>
      </c>
      <c r="N39" s="4" t="s">
        <v>2</v>
      </c>
      <c r="O39" s="4" t="s">
        <v>3</v>
      </c>
      <c r="P39" s="4" t="s">
        <v>51</v>
      </c>
      <c r="Q39" s="4" t="s">
        <v>52</v>
      </c>
      <c r="R39" s="4" t="s">
        <v>53</v>
      </c>
      <c r="S39" s="4" t="s">
        <v>54</v>
      </c>
      <c r="T39" s="6" t="s">
        <v>4</v>
      </c>
      <c r="U39" s="9" t="s">
        <v>65</v>
      </c>
      <c r="V39" s="9" t="s">
        <v>66</v>
      </c>
      <c r="W39" s="9" t="s">
        <v>63</v>
      </c>
      <c r="X39" s="9" t="s">
        <v>64</v>
      </c>
      <c r="Y39" s="82"/>
      <c r="Z39" s="55" t="s">
        <v>73</v>
      </c>
      <c r="AA39" s="55" t="s">
        <v>74</v>
      </c>
      <c r="AB39" s="55" t="s">
        <v>75</v>
      </c>
      <c r="AC39" s="55" t="s">
        <v>76</v>
      </c>
      <c r="AD39" s="55" t="s">
        <v>77</v>
      </c>
      <c r="AE39" s="56" t="s">
        <v>78</v>
      </c>
      <c r="AG39" s="55" t="s">
        <v>73</v>
      </c>
      <c r="AH39" s="55" t="s">
        <v>74</v>
      </c>
      <c r="AI39" s="55" t="s">
        <v>75</v>
      </c>
      <c r="AJ39" s="55" t="s">
        <v>76</v>
      </c>
      <c r="AK39" s="55" t="s">
        <v>77</v>
      </c>
    </row>
    <row r="40" spans="1:52" ht="20.100000000000001" customHeight="1" x14ac:dyDescent="0.3">
      <c r="A40" s="30">
        <v>1</v>
      </c>
      <c r="B40" s="25" t="s">
        <v>17</v>
      </c>
      <c r="C40" s="25" t="s">
        <v>17</v>
      </c>
      <c r="D40" s="10" t="s">
        <v>18</v>
      </c>
      <c r="E40" s="11">
        <v>45394</v>
      </c>
      <c r="F40" s="12">
        <v>0.40625</v>
      </c>
      <c r="G40" s="10" t="s">
        <v>19</v>
      </c>
      <c r="H40" s="37">
        <v>13.4</v>
      </c>
      <c r="I40" s="37">
        <v>7.66</v>
      </c>
      <c r="J40" s="37">
        <v>11.37</v>
      </c>
      <c r="K40" s="37">
        <v>200.1</v>
      </c>
      <c r="L40" s="38">
        <v>1.5620000000000001</v>
      </c>
      <c r="M40" s="38"/>
      <c r="N40" s="38">
        <v>2.8000000000000001E-2</v>
      </c>
      <c r="O40" s="38">
        <v>1.5338708615263741</v>
      </c>
      <c r="P40" s="38" t="s">
        <v>68</v>
      </c>
      <c r="Q40" s="38">
        <v>1.2</v>
      </c>
      <c r="R40" s="38">
        <v>1.9E-2</v>
      </c>
      <c r="S40" s="38">
        <v>1.4999999999999999E-2</v>
      </c>
      <c r="T40" s="38">
        <v>21.926092412394119</v>
      </c>
      <c r="U40" s="38">
        <v>6.79</v>
      </c>
      <c r="V40" s="38">
        <v>2.9</v>
      </c>
      <c r="W40" s="38" t="s">
        <v>67</v>
      </c>
      <c r="X40" s="38">
        <v>6.8100892305781313</v>
      </c>
      <c r="Y40" s="13"/>
      <c r="Z40" s="76">
        <v>41.699999999999996</v>
      </c>
      <c r="AA40" s="76">
        <v>12.1</v>
      </c>
      <c r="AB40" s="76">
        <v>11.200000000000001</v>
      </c>
      <c r="AC40" s="76">
        <v>1.6</v>
      </c>
      <c r="AD40" s="76">
        <v>33.4</v>
      </c>
      <c r="AE40" s="60">
        <f>SUM(Z40:AD40)</f>
        <v>100</v>
      </c>
      <c r="AF40" s="59"/>
      <c r="AG40" s="64">
        <v>0.122</v>
      </c>
      <c r="AH40" s="64">
        <v>6.9000000000000006E-2</v>
      </c>
      <c r="AI40" s="64">
        <v>7.8E-2</v>
      </c>
      <c r="AJ40" s="64">
        <v>1.4E-2</v>
      </c>
      <c r="AK40" s="64">
        <v>0.112</v>
      </c>
    </row>
    <row r="41" spans="1:52" ht="20.100000000000001" customHeight="1" x14ac:dyDescent="0.3">
      <c r="A41" s="22">
        <v>2</v>
      </c>
      <c r="B41" s="14" t="s">
        <v>17</v>
      </c>
      <c r="C41" s="14" t="s">
        <v>17</v>
      </c>
      <c r="D41" s="15" t="s">
        <v>20</v>
      </c>
      <c r="E41" s="16">
        <v>45394</v>
      </c>
      <c r="F41" s="17">
        <v>0.4375</v>
      </c>
      <c r="G41" s="15" t="s">
        <v>19</v>
      </c>
      <c r="H41" s="24">
        <v>17.899999999999999</v>
      </c>
      <c r="I41" s="24">
        <v>7.63</v>
      </c>
      <c r="J41" s="24">
        <v>10.66</v>
      </c>
      <c r="K41" s="24">
        <v>381</v>
      </c>
      <c r="L41" s="39">
        <v>5.1319999999999997</v>
      </c>
      <c r="M41" s="39"/>
      <c r="N41" s="39">
        <v>0.82399999999999995</v>
      </c>
      <c r="O41" s="39">
        <v>3.8056685669511721</v>
      </c>
      <c r="P41" s="39">
        <v>0.75779406996970966</v>
      </c>
      <c r="Q41" s="39">
        <v>3.4</v>
      </c>
      <c r="R41" s="39">
        <v>4.1000000000000002E-2</v>
      </c>
      <c r="S41" s="39">
        <v>2.9000000000000001E-2</v>
      </c>
      <c r="T41" s="39">
        <v>48.553205182927933</v>
      </c>
      <c r="U41" s="39">
        <v>10.94</v>
      </c>
      <c r="V41" s="39">
        <v>0.19</v>
      </c>
      <c r="W41" s="39">
        <v>91.9</v>
      </c>
      <c r="X41" s="39">
        <v>11.530193967408453</v>
      </c>
      <c r="Y41" s="18"/>
      <c r="Z41" s="76">
        <v>53.900000000000006</v>
      </c>
      <c r="AA41" s="76">
        <v>14.399999999999999</v>
      </c>
      <c r="AB41" s="76">
        <v>7.7</v>
      </c>
      <c r="AC41" s="76">
        <v>1.3</v>
      </c>
      <c r="AD41" s="76">
        <v>22.7</v>
      </c>
      <c r="AE41" s="60">
        <f t="shared" ref="AE41:AE63" si="4">SUM(Z41:AD41)</f>
        <v>100.00000000000001</v>
      </c>
      <c r="AF41" s="59"/>
      <c r="AG41" s="64">
        <v>0.22800000000000001</v>
      </c>
      <c r="AH41" s="64">
        <v>0.14499999999999999</v>
      </c>
      <c r="AI41" s="64">
        <v>8.1000000000000003E-2</v>
      </c>
      <c r="AJ41" s="64">
        <v>1.7999999999999999E-2</v>
      </c>
      <c r="AK41" s="64">
        <v>0.15</v>
      </c>
    </row>
    <row r="42" spans="1:52" ht="20.100000000000001" customHeight="1" x14ac:dyDescent="0.3">
      <c r="A42" s="22">
        <v>3</v>
      </c>
      <c r="B42" s="14" t="s">
        <v>17</v>
      </c>
      <c r="C42" s="14" t="s">
        <v>17</v>
      </c>
      <c r="D42" s="15" t="s">
        <v>21</v>
      </c>
      <c r="E42" s="16">
        <v>45394</v>
      </c>
      <c r="F42" s="17">
        <v>0.4513888888888889</v>
      </c>
      <c r="G42" s="15" t="s">
        <v>19</v>
      </c>
      <c r="H42" s="24">
        <v>19.100000000000001</v>
      </c>
      <c r="I42" s="24">
        <v>7.58</v>
      </c>
      <c r="J42" s="24">
        <v>9.67</v>
      </c>
      <c r="K42" s="24">
        <v>357</v>
      </c>
      <c r="L42" s="39">
        <v>4.3529999999999998</v>
      </c>
      <c r="M42" s="39"/>
      <c r="N42" s="39">
        <v>0.90200000000000002</v>
      </c>
      <c r="O42" s="39">
        <v>2.9836540688462629</v>
      </c>
      <c r="P42" s="39">
        <v>0.5708632001190197</v>
      </c>
      <c r="Q42" s="39">
        <v>3.5</v>
      </c>
      <c r="R42" s="39">
        <v>7.8E-2</v>
      </c>
      <c r="S42" s="39">
        <v>6.9000000000000006E-2</v>
      </c>
      <c r="T42" s="39">
        <v>42.668927928854785</v>
      </c>
      <c r="U42" s="39">
        <v>10.09</v>
      </c>
      <c r="V42" s="39">
        <v>1.5</v>
      </c>
      <c r="W42" s="39">
        <v>25.3</v>
      </c>
      <c r="X42" s="39">
        <v>11.842993595465368</v>
      </c>
      <c r="Y42" s="18"/>
      <c r="Z42" s="76">
        <v>49.7</v>
      </c>
      <c r="AA42" s="76">
        <v>14.000000000000002</v>
      </c>
      <c r="AB42" s="76">
        <v>8.5</v>
      </c>
      <c r="AC42" s="76">
        <v>1.4000000000000001</v>
      </c>
      <c r="AD42" s="76">
        <v>26.400000000000002</v>
      </c>
      <c r="AE42" s="60">
        <f t="shared" si="4"/>
        <v>100.00000000000001</v>
      </c>
      <c r="AF42" s="59"/>
      <c r="AG42" s="64">
        <v>0.217</v>
      </c>
      <c r="AH42" s="64">
        <v>0.13400000000000001</v>
      </c>
      <c r="AI42" s="64">
        <v>8.5000000000000006E-2</v>
      </c>
      <c r="AJ42" s="64">
        <v>1.9E-2</v>
      </c>
      <c r="AK42" s="64">
        <v>0.16300000000000001</v>
      </c>
    </row>
    <row r="43" spans="1:52" ht="20.100000000000001" customHeight="1" x14ac:dyDescent="0.3">
      <c r="A43" s="22">
        <v>4</v>
      </c>
      <c r="B43" s="14" t="s">
        <v>17</v>
      </c>
      <c r="C43" s="14" t="s">
        <v>17</v>
      </c>
      <c r="D43" s="15" t="s">
        <v>22</v>
      </c>
      <c r="E43" s="16">
        <v>45394</v>
      </c>
      <c r="F43" s="17">
        <v>0.46527777777777773</v>
      </c>
      <c r="G43" s="15" t="s">
        <v>19</v>
      </c>
      <c r="H43" s="24">
        <v>20.399999999999999</v>
      </c>
      <c r="I43" s="24">
        <v>7.35</v>
      </c>
      <c r="J43" s="24">
        <v>9</v>
      </c>
      <c r="K43" s="24">
        <v>348</v>
      </c>
      <c r="L43" s="39">
        <v>3.8969999999999998</v>
      </c>
      <c r="M43" s="39"/>
      <c r="N43" s="39">
        <v>0.78200000000000003</v>
      </c>
      <c r="O43" s="39">
        <v>2.6470789824688241</v>
      </c>
      <c r="P43" s="39">
        <v>0.50575484929842918</v>
      </c>
      <c r="Q43" s="39">
        <v>3.5</v>
      </c>
      <c r="R43" s="39">
        <v>5.8999999999999997E-2</v>
      </c>
      <c r="S43" s="39">
        <v>4.8000000000000001E-2</v>
      </c>
      <c r="T43" s="39">
        <v>41.228925543629487</v>
      </c>
      <c r="U43" s="39">
        <v>10.63</v>
      </c>
      <c r="V43" s="39">
        <v>2.19</v>
      </c>
      <c r="W43" s="39">
        <v>19.899999999999999</v>
      </c>
      <c r="X43" s="39">
        <v>12.303652359256734</v>
      </c>
      <c r="Y43" s="18"/>
      <c r="Z43" s="76">
        <v>51.5</v>
      </c>
      <c r="AA43" s="76">
        <v>14.6</v>
      </c>
      <c r="AB43" s="76">
        <v>8.7999999999999989</v>
      </c>
      <c r="AC43" s="76">
        <v>1.5</v>
      </c>
      <c r="AD43" s="76">
        <v>23.6</v>
      </c>
      <c r="AE43" s="60">
        <f t="shared" si="4"/>
        <v>100</v>
      </c>
      <c r="AF43" s="59"/>
      <c r="AG43" s="64">
        <v>0.214</v>
      </c>
      <c r="AH43" s="64">
        <v>0.13600000000000001</v>
      </c>
      <c r="AI43" s="64">
        <v>8.5999999999999993E-2</v>
      </c>
      <c r="AJ43" s="64">
        <v>0.02</v>
      </c>
      <c r="AK43" s="64">
        <v>0.14699999999999999</v>
      </c>
    </row>
    <row r="44" spans="1:52" ht="20.100000000000001" customHeight="1" x14ac:dyDescent="0.3">
      <c r="A44" s="31">
        <v>5</v>
      </c>
      <c r="B44" s="32" t="s">
        <v>23</v>
      </c>
      <c r="C44" s="32" t="s">
        <v>23</v>
      </c>
      <c r="D44" s="33" t="s">
        <v>24</v>
      </c>
      <c r="E44" s="42">
        <v>45394</v>
      </c>
      <c r="F44" s="34">
        <v>0.625</v>
      </c>
      <c r="G44" s="33" t="s">
        <v>19</v>
      </c>
      <c r="H44" s="35">
        <v>23.3</v>
      </c>
      <c r="I44" s="35">
        <v>8.59</v>
      </c>
      <c r="J44" s="35">
        <v>9.51</v>
      </c>
      <c r="K44" s="35">
        <v>167.4</v>
      </c>
      <c r="L44" s="41">
        <v>1.5269999999999999</v>
      </c>
      <c r="M44" s="41"/>
      <c r="N44" s="41">
        <v>2.8000000000000001E-2</v>
      </c>
      <c r="O44" s="41">
        <v>1.3577461209228088</v>
      </c>
      <c r="P44" s="41" t="s">
        <v>68</v>
      </c>
      <c r="Q44" s="41">
        <v>2.5</v>
      </c>
      <c r="R44" s="41">
        <v>2.5000000000000001E-2</v>
      </c>
      <c r="S44" s="41">
        <v>8.9999999999999993E-3</v>
      </c>
      <c r="T44" s="41">
        <v>13.465682479565089</v>
      </c>
      <c r="U44" s="41">
        <v>5.58</v>
      </c>
      <c r="V44" s="41">
        <v>6.49</v>
      </c>
      <c r="W44" s="41">
        <v>8.1999999999999993</v>
      </c>
      <c r="X44" s="41">
        <v>15.388054287513553</v>
      </c>
      <c r="Y44" s="36"/>
      <c r="Z44" s="76">
        <v>27.800000000000004</v>
      </c>
      <c r="AA44" s="76">
        <v>9</v>
      </c>
      <c r="AB44" s="76">
        <v>17.5</v>
      </c>
      <c r="AC44" s="76">
        <v>2.1999999999999997</v>
      </c>
      <c r="AD44" s="76">
        <v>43.5</v>
      </c>
      <c r="AE44" s="60">
        <f t="shared" si="4"/>
        <v>100</v>
      </c>
      <c r="AF44" s="59"/>
      <c r="AG44" s="64">
        <v>0.16700000000000001</v>
      </c>
      <c r="AH44" s="64">
        <v>7.6999999999999999E-2</v>
      </c>
      <c r="AI44" s="64">
        <v>0.17</v>
      </c>
      <c r="AJ44" s="64">
        <v>3.4000000000000002E-2</v>
      </c>
      <c r="AK44" s="64">
        <v>0.218</v>
      </c>
    </row>
    <row r="45" spans="1:52" ht="20.100000000000001" customHeight="1" x14ac:dyDescent="0.3">
      <c r="A45" s="31">
        <v>6</v>
      </c>
      <c r="B45" s="32" t="s">
        <v>23</v>
      </c>
      <c r="C45" s="32" t="s">
        <v>23</v>
      </c>
      <c r="D45" s="33" t="s">
        <v>25</v>
      </c>
      <c r="E45" s="42">
        <v>45394</v>
      </c>
      <c r="F45" s="34">
        <v>0.63888888888888895</v>
      </c>
      <c r="G45" s="33" t="s">
        <v>19</v>
      </c>
      <c r="H45" s="35">
        <v>20.5</v>
      </c>
      <c r="I45" s="35">
        <v>7.61</v>
      </c>
      <c r="J45" s="35">
        <v>10.02</v>
      </c>
      <c r="K45" s="35">
        <v>279</v>
      </c>
      <c r="L45" s="41">
        <v>2.8879999999999999</v>
      </c>
      <c r="M45" s="41"/>
      <c r="N45" s="41">
        <v>0.128</v>
      </c>
      <c r="O45" s="41">
        <v>2.3599395974240749</v>
      </c>
      <c r="P45" s="41">
        <v>4.16973481937844E-2</v>
      </c>
      <c r="Q45" s="41">
        <v>3.8</v>
      </c>
      <c r="R45" s="41">
        <v>0.13700000000000001</v>
      </c>
      <c r="S45" s="41">
        <v>0.13200000000000001</v>
      </c>
      <c r="T45" s="41">
        <v>24.609506883467702</v>
      </c>
      <c r="U45" s="41">
        <v>6.75</v>
      </c>
      <c r="V45" s="41">
        <v>7.6</v>
      </c>
      <c r="W45" s="41">
        <v>14.7</v>
      </c>
      <c r="X45" s="41">
        <v>11.914577909851953</v>
      </c>
      <c r="Y45" s="36"/>
      <c r="Z45" s="76">
        <v>31.8</v>
      </c>
      <c r="AA45" s="76">
        <v>10.9</v>
      </c>
      <c r="AB45" s="76">
        <v>16.400000000000002</v>
      </c>
      <c r="AC45" s="76">
        <v>2.5</v>
      </c>
      <c r="AD45" s="76">
        <v>38.4</v>
      </c>
      <c r="AE45" s="60">
        <f t="shared" si="4"/>
        <v>100</v>
      </c>
      <c r="AF45" s="59"/>
      <c r="AG45" s="64">
        <v>0.17699999999999999</v>
      </c>
      <c r="AH45" s="64">
        <v>9.4E-2</v>
      </c>
      <c r="AI45" s="64">
        <v>0.156</v>
      </c>
      <c r="AJ45" s="64">
        <v>3.6999999999999998E-2</v>
      </c>
      <c r="AK45" s="64">
        <v>0.20399999999999999</v>
      </c>
    </row>
    <row r="46" spans="1:52" ht="20.100000000000001" customHeight="1" x14ac:dyDescent="0.3">
      <c r="A46" s="31">
        <v>7</v>
      </c>
      <c r="B46" s="32" t="s">
        <v>23</v>
      </c>
      <c r="C46" s="32" t="s">
        <v>23</v>
      </c>
      <c r="D46" s="33" t="s">
        <v>26</v>
      </c>
      <c r="E46" s="42">
        <v>45393</v>
      </c>
      <c r="F46" s="34">
        <v>0.63888888888888895</v>
      </c>
      <c r="G46" s="33" t="s">
        <v>19</v>
      </c>
      <c r="H46" s="43">
        <v>17.5</v>
      </c>
      <c r="I46" s="43">
        <v>7.38</v>
      </c>
      <c r="J46" s="43">
        <v>9.8800000000000008</v>
      </c>
      <c r="K46" s="44">
        <v>267</v>
      </c>
      <c r="L46" s="41">
        <v>3.016</v>
      </c>
      <c r="M46" s="41"/>
      <c r="N46" s="41">
        <v>0.191</v>
      </c>
      <c r="O46" s="41">
        <v>2.4391271227247548</v>
      </c>
      <c r="P46" s="41">
        <v>7.7295428737773897E-2</v>
      </c>
      <c r="Q46" s="41">
        <v>4.3</v>
      </c>
      <c r="R46" s="41">
        <v>0.251</v>
      </c>
      <c r="S46" s="41">
        <v>0.249</v>
      </c>
      <c r="T46" s="41">
        <v>21.663703887468678</v>
      </c>
      <c r="U46" s="41">
        <v>8.2100000000000009</v>
      </c>
      <c r="V46" s="41">
        <v>5.56</v>
      </c>
      <c r="W46" s="41">
        <v>19.2</v>
      </c>
      <c r="X46" s="41">
        <v>10.009981831868686</v>
      </c>
      <c r="Y46" s="36"/>
      <c r="Z46" s="76">
        <v>39.5</v>
      </c>
      <c r="AA46" s="76">
        <v>12.8</v>
      </c>
      <c r="AB46" s="76">
        <v>12.8</v>
      </c>
      <c r="AC46" s="76">
        <v>2</v>
      </c>
      <c r="AD46" s="76">
        <v>32.9</v>
      </c>
      <c r="AE46" s="60">
        <f t="shared" si="4"/>
        <v>100</v>
      </c>
      <c r="AF46" s="59"/>
      <c r="AG46" s="64">
        <v>0.2</v>
      </c>
      <c r="AH46" s="64">
        <v>0.11</v>
      </c>
      <c r="AI46" s="64">
        <v>0.121</v>
      </c>
      <c r="AJ46" s="64">
        <v>2.8000000000000001E-2</v>
      </c>
      <c r="AK46" s="64">
        <v>0.184</v>
      </c>
    </row>
    <row r="47" spans="1:52" ht="20.100000000000001" customHeight="1" x14ac:dyDescent="0.3">
      <c r="A47" s="31">
        <v>8</v>
      </c>
      <c r="B47" s="32" t="s">
        <v>23</v>
      </c>
      <c r="C47" s="32" t="s">
        <v>27</v>
      </c>
      <c r="D47" s="33" t="s">
        <v>28</v>
      </c>
      <c r="E47" s="42">
        <v>45393</v>
      </c>
      <c r="F47" s="34">
        <v>0.65277777777777779</v>
      </c>
      <c r="G47" s="33" t="s">
        <v>19</v>
      </c>
      <c r="H47" s="43">
        <v>15.2</v>
      </c>
      <c r="I47" s="43">
        <v>7.18</v>
      </c>
      <c r="J47" s="43">
        <v>8.57</v>
      </c>
      <c r="K47" s="44">
        <v>447</v>
      </c>
      <c r="L47" s="41">
        <v>10.587</v>
      </c>
      <c r="M47" s="41"/>
      <c r="N47" s="41">
        <v>7.5830000000000002</v>
      </c>
      <c r="O47" s="41">
        <v>0.97586059085562704</v>
      </c>
      <c r="P47" s="41">
        <v>8.6902733014795064E-2</v>
      </c>
      <c r="Q47" s="41">
        <v>13.8</v>
      </c>
      <c r="R47" s="41">
        <v>4.4939999999999998</v>
      </c>
      <c r="S47" s="41">
        <v>4.4489999999999998</v>
      </c>
      <c r="T47" s="41">
        <v>28.874406034046217</v>
      </c>
      <c r="U47" s="41">
        <v>1.58</v>
      </c>
      <c r="V47" s="41">
        <v>-0.43</v>
      </c>
      <c r="W47" s="41">
        <v>29.5</v>
      </c>
      <c r="X47" s="41">
        <v>10.352175185906143</v>
      </c>
      <c r="Y47" s="36"/>
      <c r="Z47" s="76">
        <v>13.700000000000001</v>
      </c>
      <c r="AA47" s="76">
        <v>4.9000000000000004</v>
      </c>
      <c r="AB47" s="76">
        <v>13.600000000000001</v>
      </c>
      <c r="AC47" s="76">
        <v>1.2</v>
      </c>
      <c r="AD47" s="76">
        <v>66.600000000000009</v>
      </c>
      <c r="AE47" s="60">
        <f t="shared" si="4"/>
        <v>100.00000000000001</v>
      </c>
      <c r="AF47" s="59"/>
      <c r="AG47" s="64">
        <v>0.114</v>
      </c>
      <c r="AH47" s="64">
        <v>4.3999999999999997E-2</v>
      </c>
      <c r="AI47" s="64">
        <v>0.20200000000000001</v>
      </c>
      <c r="AJ47" s="64">
        <v>2.4E-2</v>
      </c>
      <c r="AK47" s="64">
        <v>0.22700000000000001</v>
      </c>
    </row>
    <row r="48" spans="1:52" ht="20.100000000000001" customHeight="1" x14ac:dyDescent="0.3">
      <c r="A48" s="31">
        <v>9</v>
      </c>
      <c r="B48" s="32" t="s">
        <v>23</v>
      </c>
      <c r="C48" s="32" t="s">
        <v>27</v>
      </c>
      <c r="D48" s="33" t="s">
        <v>30</v>
      </c>
      <c r="E48" s="42">
        <v>45393</v>
      </c>
      <c r="F48" s="34">
        <v>0.64236111111111105</v>
      </c>
      <c r="G48" s="33" t="s">
        <v>19</v>
      </c>
      <c r="H48" s="43">
        <v>17.600000000000001</v>
      </c>
      <c r="I48" s="43">
        <v>8.07</v>
      </c>
      <c r="J48" s="43">
        <v>12.5</v>
      </c>
      <c r="K48" s="44">
        <v>306</v>
      </c>
      <c r="L48" s="41">
        <v>5.1479999999999997</v>
      </c>
      <c r="M48" s="41"/>
      <c r="N48" s="41">
        <v>0.44400000000000001</v>
      </c>
      <c r="O48" s="41">
        <v>3.8062637015242489</v>
      </c>
      <c r="P48" s="41">
        <v>0.37424985100928226</v>
      </c>
      <c r="Q48" s="41">
        <v>8.3000000000000007</v>
      </c>
      <c r="R48" s="41">
        <v>1.298</v>
      </c>
      <c r="S48" s="41">
        <v>1.2909999999999999</v>
      </c>
      <c r="T48" s="41">
        <v>22.829088136986975</v>
      </c>
      <c r="U48" s="41">
        <v>12.48</v>
      </c>
      <c r="V48" s="41">
        <v>2.62</v>
      </c>
      <c r="W48" s="41" t="s">
        <v>67</v>
      </c>
      <c r="X48" s="41">
        <v>12.076708490286192</v>
      </c>
      <c r="Y48" s="36"/>
      <c r="Z48" s="76">
        <v>54.6</v>
      </c>
      <c r="AA48" s="76">
        <v>18.099999999999998</v>
      </c>
      <c r="AB48" s="76">
        <v>7.3</v>
      </c>
      <c r="AC48" s="76">
        <v>1.4000000000000001</v>
      </c>
      <c r="AD48" s="76">
        <v>18.600000000000001</v>
      </c>
      <c r="AE48" s="60">
        <f t="shared" si="4"/>
        <v>100</v>
      </c>
      <c r="AF48" s="59"/>
      <c r="AG48" s="64">
        <v>0.22800000000000001</v>
      </c>
      <c r="AH48" s="64">
        <v>0.16700000000000001</v>
      </c>
      <c r="AI48" s="64">
        <v>6.7000000000000004E-2</v>
      </c>
      <c r="AJ48" s="64">
        <v>0.02</v>
      </c>
      <c r="AK48" s="64">
        <v>0.12</v>
      </c>
    </row>
    <row r="49" spans="1:37" ht="20.100000000000001" customHeight="1" x14ac:dyDescent="0.3">
      <c r="A49" s="22">
        <v>10</v>
      </c>
      <c r="B49" s="14" t="s">
        <v>31</v>
      </c>
      <c r="C49" s="14" t="s">
        <v>31</v>
      </c>
      <c r="D49" s="15" t="s">
        <v>32</v>
      </c>
      <c r="E49" s="16">
        <v>45394</v>
      </c>
      <c r="F49" s="17">
        <v>0.55902777777777779</v>
      </c>
      <c r="G49" s="15" t="s">
        <v>19</v>
      </c>
      <c r="H49" s="23">
        <v>20.100000000000001</v>
      </c>
      <c r="I49" s="23">
        <v>9.43</v>
      </c>
      <c r="J49" s="23">
        <v>13.8</v>
      </c>
      <c r="K49" s="45">
        <v>159.5</v>
      </c>
      <c r="L49" s="39">
        <v>1.5369999999999999</v>
      </c>
      <c r="M49" s="39"/>
      <c r="N49" s="39">
        <v>0.06</v>
      </c>
      <c r="O49" s="39">
        <v>1.3490559741266328</v>
      </c>
      <c r="P49" s="39" t="s">
        <v>68</v>
      </c>
      <c r="Q49" s="39">
        <v>2.4</v>
      </c>
      <c r="R49" s="39">
        <v>1.9E-2</v>
      </c>
      <c r="S49" s="39">
        <v>7.0000000000000001E-3</v>
      </c>
      <c r="T49" s="39">
        <v>10.187097958523417</v>
      </c>
      <c r="U49" s="39">
        <v>8.51</v>
      </c>
      <c r="V49" s="39">
        <v>8.32</v>
      </c>
      <c r="W49" s="39">
        <v>8.6999999999999993</v>
      </c>
      <c r="X49" s="39">
        <v>13.328055480267331</v>
      </c>
      <c r="Y49" s="18"/>
      <c r="Z49" s="76">
        <v>38.200000000000003</v>
      </c>
      <c r="AA49" s="76">
        <v>14.099999999999998</v>
      </c>
      <c r="AB49" s="76">
        <v>14.000000000000002</v>
      </c>
      <c r="AC49" s="76">
        <v>2.7</v>
      </c>
      <c r="AD49" s="76">
        <v>31</v>
      </c>
      <c r="AE49" s="60">
        <f t="shared" si="4"/>
        <v>100</v>
      </c>
      <c r="AF49" s="59"/>
      <c r="AG49" s="64">
        <v>0.19500000000000001</v>
      </c>
      <c r="AH49" s="64">
        <v>0.12</v>
      </c>
      <c r="AI49" s="64">
        <v>0.127</v>
      </c>
      <c r="AJ49" s="64">
        <v>3.7999999999999999E-2</v>
      </c>
      <c r="AK49" s="64">
        <v>0.18</v>
      </c>
    </row>
    <row r="50" spans="1:37" ht="20.100000000000001" customHeight="1" x14ac:dyDescent="0.3">
      <c r="A50" s="22">
        <v>11</v>
      </c>
      <c r="B50" s="14" t="s">
        <v>31</v>
      </c>
      <c r="C50" s="14" t="s">
        <v>31</v>
      </c>
      <c r="D50" s="15" t="s">
        <v>33</v>
      </c>
      <c r="E50" s="16">
        <v>45394</v>
      </c>
      <c r="F50" s="17">
        <v>0.60416666666666663</v>
      </c>
      <c r="G50" s="15" t="s">
        <v>19</v>
      </c>
      <c r="H50" s="23">
        <v>18.8</v>
      </c>
      <c r="I50" s="23">
        <v>7.93</v>
      </c>
      <c r="J50" s="23">
        <v>10.17</v>
      </c>
      <c r="K50" s="45">
        <v>192.7</v>
      </c>
      <c r="L50" s="39">
        <v>2.169</v>
      </c>
      <c r="M50" s="39"/>
      <c r="N50" s="39">
        <v>2.1999999999999999E-2</v>
      </c>
      <c r="O50" s="39">
        <v>2.0674211944327476</v>
      </c>
      <c r="P50" s="39" t="s">
        <v>68</v>
      </c>
      <c r="Q50" s="39">
        <v>2</v>
      </c>
      <c r="R50" s="39">
        <v>4.7E-2</v>
      </c>
      <c r="S50" s="39">
        <v>4.2999999999999997E-2</v>
      </c>
      <c r="T50" s="39">
        <v>12.831242270508705</v>
      </c>
      <c r="U50" s="39">
        <v>8.24</v>
      </c>
      <c r="V50" s="39">
        <v>6.51</v>
      </c>
      <c r="W50" s="39">
        <v>11.6</v>
      </c>
      <c r="X50" s="39">
        <v>13.545452837707971</v>
      </c>
      <c r="Y50" s="18"/>
      <c r="Z50" s="76">
        <v>38.700000000000003</v>
      </c>
      <c r="AA50" s="76">
        <v>13.3</v>
      </c>
      <c r="AB50" s="76">
        <v>13.600000000000001</v>
      </c>
      <c r="AC50" s="76">
        <v>2.2999999999999998</v>
      </c>
      <c r="AD50" s="76">
        <v>32.1</v>
      </c>
      <c r="AE50" s="60">
        <f t="shared" si="4"/>
        <v>100</v>
      </c>
      <c r="AF50" s="59"/>
      <c r="AG50" s="64">
        <v>0.193</v>
      </c>
      <c r="AH50" s="64">
        <v>0.11700000000000001</v>
      </c>
      <c r="AI50" s="64">
        <v>0.124</v>
      </c>
      <c r="AJ50" s="64">
        <v>3.2000000000000001E-2</v>
      </c>
      <c r="AK50" s="64">
        <v>0.17899999999999999</v>
      </c>
    </row>
    <row r="51" spans="1:37" ht="20.100000000000001" customHeight="1" x14ac:dyDescent="0.3">
      <c r="A51" s="22">
        <v>12</v>
      </c>
      <c r="B51" s="14" t="s">
        <v>31</v>
      </c>
      <c r="C51" s="14" t="s">
        <v>31</v>
      </c>
      <c r="D51" s="15" t="s">
        <v>34</v>
      </c>
      <c r="E51" s="16">
        <v>45394</v>
      </c>
      <c r="F51" s="17">
        <v>0.61111111111111105</v>
      </c>
      <c r="G51" s="15" t="s">
        <v>19</v>
      </c>
      <c r="H51" s="23">
        <v>20.6</v>
      </c>
      <c r="I51" s="23">
        <v>8.49</v>
      </c>
      <c r="J51" s="23">
        <v>11.2</v>
      </c>
      <c r="K51" s="45">
        <v>200.4</v>
      </c>
      <c r="L51" s="39">
        <v>2.4790000000000001</v>
      </c>
      <c r="M51" s="39"/>
      <c r="N51" s="39">
        <v>3.5000000000000003E-2</v>
      </c>
      <c r="O51" s="39">
        <v>2.3482003300928995</v>
      </c>
      <c r="P51" s="39" t="s">
        <v>68</v>
      </c>
      <c r="Q51" s="39">
        <v>2.1</v>
      </c>
      <c r="R51" s="39">
        <v>5.0999999999999997E-2</v>
      </c>
      <c r="S51" s="39">
        <v>4.8000000000000001E-2</v>
      </c>
      <c r="T51" s="39">
        <v>14.247692060289525</v>
      </c>
      <c r="U51" s="39">
        <v>8.6199999999999992</v>
      </c>
      <c r="V51" s="39">
        <v>5.83</v>
      </c>
      <c r="W51" s="39">
        <v>11.2</v>
      </c>
      <c r="X51" s="39">
        <v>14.539856019900043</v>
      </c>
      <c r="Y51" s="18"/>
      <c r="Z51" s="76">
        <v>40.700000000000003</v>
      </c>
      <c r="AA51" s="76">
        <v>13.5</v>
      </c>
      <c r="AB51" s="76">
        <v>12.7</v>
      </c>
      <c r="AC51" s="76">
        <v>2</v>
      </c>
      <c r="AD51" s="76">
        <v>31.1</v>
      </c>
      <c r="AE51" s="60">
        <f t="shared" si="4"/>
        <v>100</v>
      </c>
      <c r="AF51" s="59"/>
      <c r="AG51" s="64">
        <v>0.20100000000000001</v>
      </c>
      <c r="AH51" s="64">
        <v>0.11799999999999999</v>
      </c>
      <c r="AI51" s="64">
        <v>0.11799999999999999</v>
      </c>
      <c r="AJ51" s="64">
        <v>2.8000000000000001E-2</v>
      </c>
      <c r="AK51" s="64">
        <v>0.17599999999999999</v>
      </c>
    </row>
    <row r="52" spans="1:37" ht="20.100000000000001" customHeight="1" x14ac:dyDescent="0.3">
      <c r="A52" s="22">
        <v>13</v>
      </c>
      <c r="B52" s="14" t="s">
        <v>31</v>
      </c>
      <c r="C52" s="14" t="s">
        <v>35</v>
      </c>
      <c r="D52" s="15" t="s">
        <v>36</v>
      </c>
      <c r="E52" s="16">
        <v>45394</v>
      </c>
      <c r="F52" s="17">
        <v>0.59375</v>
      </c>
      <c r="G52" s="15" t="s">
        <v>37</v>
      </c>
      <c r="H52" s="23">
        <v>20</v>
      </c>
      <c r="I52" s="23">
        <v>7.91</v>
      </c>
      <c r="J52" s="23">
        <v>10.9</v>
      </c>
      <c r="K52" s="45">
        <v>264</v>
      </c>
      <c r="L52" s="39">
        <v>3.7250000000000001</v>
      </c>
      <c r="M52" s="39"/>
      <c r="N52" s="39">
        <v>0.246</v>
      </c>
      <c r="O52" s="39">
        <v>3.3700928149145133</v>
      </c>
      <c r="P52" s="39">
        <v>6.9030757429925982E-2</v>
      </c>
      <c r="Q52" s="39">
        <v>2.2000000000000002</v>
      </c>
      <c r="R52" s="39">
        <v>0.106</v>
      </c>
      <c r="S52" s="39">
        <v>0.105</v>
      </c>
      <c r="T52" s="39">
        <v>20.963677081464517</v>
      </c>
      <c r="U52" s="39">
        <v>9.1300000000000008</v>
      </c>
      <c r="V52" s="39">
        <v>4.09</v>
      </c>
      <c r="W52" s="39">
        <v>9.3000000000000007</v>
      </c>
      <c r="X52" s="39">
        <v>15.702781473289019</v>
      </c>
      <c r="Y52" s="18"/>
      <c r="Z52" s="76">
        <v>44.2</v>
      </c>
      <c r="AA52" s="76">
        <v>13.600000000000001</v>
      </c>
      <c r="AB52" s="76">
        <v>10.8</v>
      </c>
      <c r="AC52" s="76">
        <v>1.7000000000000002</v>
      </c>
      <c r="AD52" s="76">
        <v>29.7</v>
      </c>
      <c r="AE52" s="60">
        <f t="shared" si="4"/>
        <v>100.00000000000001</v>
      </c>
      <c r="AF52" s="59"/>
      <c r="AG52" s="64">
        <v>0.20899999999999999</v>
      </c>
      <c r="AH52" s="64">
        <v>0.122</v>
      </c>
      <c r="AI52" s="64">
        <v>0.104</v>
      </c>
      <c r="AJ52" s="64">
        <v>2.4E-2</v>
      </c>
      <c r="AK52" s="64">
        <v>0.17100000000000001</v>
      </c>
    </row>
    <row r="53" spans="1:37" ht="20.100000000000001" customHeight="1" x14ac:dyDescent="0.3">
      <c r="A53" s="22">
        <v>14</v>
      </c>
      <c r="B53" s="14" t="s">
        <v>31</v>
      </c>
      <c r="C53" s="14" t="s">
        <v>5</v>
      </c>
      <c r="D53" s="15" t="s">
        <v>29</v>
      </c>
      <c r="E53" s="16">
        <v>45394</v>
      </c>
      <c r="F53" s="17">
        <v>0.58680555555555558</v>
      </c>
      <c r="G53" s="15" t="s">
        <v>37</v>
      </c>
      <c r="H53" s="23">
        <v>21.3</v>
      </c>
      <c r="I53" s="23">
        <v>7.61</v>
      </c>
      <c r="J53" s="23">
        <v>10.199999999999999</v>
      </c>
      <c r="K53" s="45">
        <v>330</v>
      </c>
      <c r="L53" s="39">
        <v>3.2210000000000001</v>
      </c>
      <c r="M53" s="39"/>
      <c r="N53" s="39">
        <v>0.48799999999999999</v>
      </c>
      <c r="O53" s="39">
        <v>2.409154906701044</v>
      </c>
      <c r="P53" s="39">
        <v>0.20265185356162441</v>
      </c>
      <c r="Q53" s="39">
        <v>2.8</v>
      </c>
      <c r="R53" s="39">
        <v>7.3999999999999996E-2</v>
      </c>
      <c r="S53" s="39">
        <v>7.0000000000000007E-2</v>
      </c>
      <c r="T53" s="39">
        <v>37.782982991834189</v>
      </c>
      <c r="U53" s="39">
        <v>8.94</v>
      </c>
      <c r="V53" s="39">
        <v>4.2699999999999996</v>
      </c>
      <c r="W53" s="39">
        <v>16.5</v>
      </c>
      <c r="X53" s="39">
        <v>12.61424864341576</v>
      </c>
      <c r="Y53" s="18"/>
      <c r="Z53" s="76">
        <v>42.8</v>
      </c>
      <c r="AA53" s="76">
        <v>13.8</v>
      </c>
      <c r="AB53" s="76">
        <v>11.3</v>
      </c>
      <c r="AC53" s="76">
        <v>1.7999999999999998</v>
      </c>
      <c r="AD53" s="76">
        <v>30.3</v>
      </c>
      <c r="AE53" s="60">
        <f t="shared" si="4"/>
        <v>99.999999999999986</v>
      </c>
      <c r="AF53" s="59"/>
      <c r="AG53" s="64">
        <v>0.20499999999999999</v>
      </c>
      <c r="AH53" s="64">
        <v>0.121</v>
      </c>
      <c r="AI53" s="64">
        <v>0.107</v>
      </c>
      <c r="AJ53" s="64">
        <v>2.5999999999999999E-2</v>
      </c>
      <c r="AK53" s="64">
        <v>0.17299999999999999</v>
      </c>
    </row>
    <row r="54" spans="1:37" ht="20.100000000000001" customHeight="1" x14ac:dyDescent="0.3">
      <c r="A54" s="22">
        <v>15</v>
      </c>
      <c r="B54" s="14" t="s">
        <v>31</v>
      </c>
      <c r="C54" s="14" t="s">
        <v>35</v>
      </c>
      <c r="D54" s="15" t="s">
        <v>29</v>
      </c>
      <c r="E54" s="16">
        <v>45394</v>
      </c>
      <c r="F54" s="17">
        <v>0.58333333333333337</v>
      </c>
      <c r="G54" s="15" t="s">
        <v>37</v>
      </c>
      <c r="H54" s="23">
        <v>19.2</v>
      </c>
      <c r="I54" s="23">
        <v>8.1999999999999993</v>
      </c>
      <c r="J54" s="23">
        <v>10.36</v>
      </c>
      <c r="K54" s="45">
        <v>265</v>
      </c>
      <c r="L54" s="39">
        <v>2.9990000000000001</v>
      </c>
      <c r="M54" s="39"/>
      <c r="N54" s="39">
        <v>8.3000000000000004E-2</v>
      </c>
      <c r="O54" s="39">
        <v>2.8600034333719488</v>
      </c>
      <c r="P54" s="39">
        <v>1.7071790625036165E-3</v>
      </c>
      <c r="Q54" s="39">
        <v>2.4</v>
      </c>
      <c r="R54" s="39">
        <v>7.3999999999999996E-2</v>
      </c>
      <c r="S54" s="39">
        <v>7.0999999999999994E-2</v>
      </c>
      <c r="T54" s="39">
        <v>20.981463254273066</v>
      </c>
      <c r="U54" s="39">
        <v>10.39</v>
      </c>
      <c r="V54" s="39">
        <v>5.64</v>
      </c>
      <c r="W54" s="39">
        <v>12.4</v>
      </c>
      <c r="X54" s="39">
        <v>16.465379552633163</v>
      </c>
      <c r="Y54" s="18"/>
      <c r="Z54" s="76">
        <v>47.099999999999994</v>
      </c>
      <c r="AA54" s="76">
        <v>16.100000000000001</v>
      </c>
      <c r="AB54" s="76">
        <v>10.3</v>
      </c>
      <c r="AC54" s="76">
        <v>1.9</v>
      </c>
      <c r="AD54" s="76">
        <v>24.6</v>
      </c>
      <c r="AE54" s="60">
        <f t="shared" si="4"/>
        <v>100</v>
      </c>
      <c r="AF54" s="59"/>
      <c r="AG54" s="64">
        <v>0.216</v>
      </c>
      <c r="AH54" s="64">
        <v>0.14099999999999999</v>
      </c>
      <c r="AI54" s="64">
        <v>9.5000000000000001E-2</v>
      </c>
      <c r="AJ54" s="64">
        <v>2.7E-2</v>
      </c>
      <c r="AK54" s="64">
        <v>0.153</v>
      </c>
    </row>
    <row r="55" spans="1:37" ht="20.100000000000001" customHeight="1" x14ac:dyDescent="0.3">
      <c r="A55" s="31">
        <v>16</v>
      </c>
      <c r="B55" s="32" t="s">
        <v>38</v>
      </c>
      <c r="C55" s="32" t="s">
        <v>38</v>
      </c>
      <c r="D55" s="33" t="s">
        <v>39</v>
      </c>
      <c r="E55" s="42">
        <v>45394</v>
      </c>
      <c r="F55" s="34">
        <v>0.60763888888888895</v>
      </c>
      <c r="G55" s="33" t="s">
        <v>37</v>
      </c>
      <c r="H55" s="43">
        <v>16.7</v>
      </c>
      <c r="I55" s="43">
        <v>7.74</v>
      </c>
      <c r="J55" s="43">
        <v>9.69</v>
      </c>
      <c r="K55" s="44">
        <v>280</v>
      </c>
      <c r="L55" s="41">
        <v>4.0350000000000001</v>
      </c>
      <c r="M55" s="41"/>
      <c r="N55" s="41">
        <v>0.11600000000000001</v>
      </c>
      <c r="O55" s="41">
        <v>3.6370006163330189</v>
      </c>
      <c r="P55" s="41">
        <v>7.1019486261476195E-2</v>
      </c>
      <c r="Q55" s="41">
        <v>3.7</v>
      </c>
      <c r="R55" s="41">
        <v>7.6999999999999999E-2</v>
      </c>
      <c r="S55" s="41">
        <v>7.0999999999999994E-2</v>
      </c>
      <c r="T55" s="41">
        <v>20.656813665762371</v>
      </c>
      <c r="U55" s="41">
        <v>7.92</v>
      </c>
      <c r="V55" s="41">
        <v>4.59</v>
      </c>
      <c r="W55" s="41">
        <v>12.1</v>
      </c>
      <c r="X55" s="41">
        <v>13.006279806017819</v>
      </c>
      <c r="Y55" s="36"/>
      <c r="Z55" s="76">
        <v>39.1</v>
      </c>
      <c r="AA55" s="76">
        <v>12.2</v>
      </c>
      <c r="AB55" s="76">
        <v>12.4</v>
      </c>
      <c r="AC55" s="76">
        <v>1.7999999999999998</v>
      </c>
      <c r="AD55" s="76">
        <v>34.5</v>
      </c>
      <c r="AE55" s="60">
        <f t="shared" si="4"/>
        <v>100</v>
      </c>
      <c r="AF55" s="59"/>
      <c r="AG55" s="64">
        <v>0.19700000000000001</v>
      </c>
      <c r="AH55" s="64">
        <v>0.106</v>
      </c>
      <c r="AI55" s="64">
        <v>0.122</v>
      </c>
      <c r="AJ55" s="64">
        <v>2.5999999999999999E-2</v>
      </c>
      <c r="AK55" s="64">
        <v>0.187</v>
      </c>
    </row>
    <row r="56" spans="1:37" ht="20.100000000000001" customHeight="1" x14ac:dyDescent="0.3">
      <c r="A56" s="31">
        <v>17</v>
      </c>
      <c r="B56" s="32" t="s">
        <v>38</v>
      </c>
      <c r="C56" s="32" t="s">
        <v>38</v>
      </c>
      <c r="D56" s="33" t="s">
        <v>41</v>
      </c>
      <c r="E56" s="42">
        <v>45393</v>
      </c>
      <c r="F56" s="34">
        <v>0.5625</v>
      </c>
      <c r="G56" s="33" t="s">
        <v>37</v>
      </c>
      <c r="H56" s="43">
        <v>20</v>
      </c>
      <c r="I56" s="43">
        <v>7.57</v>
      </c>
      <c r="J56" s="43">
        <v>9.91</v>
      </c>
      <c r="K56" s="44">
        <v>372</v>
      </c>
      <c r="L56" s="41">
        <v>4.7130000000000001</v>
      </c>
      <c r="M56" s="41"/>
      <c r="N56" s="41">
        <v>0.129</v>
      </c>
      <c r="O56" s="41">
        <v>4.3850525263799121</v>
      </c>
      <c r="P56" s="41">
        <v>6.3094173518871088E-2</v>
      </c>
      <c r="Q56" s="41">
        <v>3.7</v>
      </c>
      <c r="R56" s="41">
        <v>8.3000000000000004E-2</v>
      </c>
      <c r="S56" s="41">
        <v>7.5999999999999998E-2</v>
      </c>
      <c r="T56" s="41">
        <v>42.086888752878899</v>
      </c>
      <c r="U56" s="41">
        <v>11.24</v>
      </c>
      <c r="V56" s="41">
        <v>5.97</v>
      </c>
      <c r="W56" s="41">
        <v>17.3</v>
      </c>
      <c r="X56" s="41">
        <v>11.329123160711552</v>
      </c>
      <c r="Y56" s="36"/>
      <c r="Z56" s="76">
        <v>48.699999999999996</v>
      </c>
      <c r="AA56" s="76">
        <v>17.899999999999999</v>
      </c>
      <c r="AB56" s="76">
        <v>9.4</v>
      </c>
      <c r="AC56" s="76">
        <v>2</v>
      </c>
      <c r="AD56" s="76">
        <v>22</v>
      </c>
      <c r="AE56" s="60">
        <f t="shared" si="4"/>
        <v>100</v>
      </c>
      <c r="AF56" s="59"/>
      <c r="AG56" s="64">
        <v>0.222</v>
      </c>
      <c r="AH56" s="64">
        <v>0.157</v>
      </c>
      <c r="AI56" s="64">
        <v>0.09</v>
      </c>
      <c r="AJ56" s="64">
        <v>0.03</v>
      </c>
      <c r="AK56" s="64">
        <v>0.14199999999999999</v>
      </c>
    </row>
    <row r="57" spans="1:37" ht="20.100000000000001" customHeight="1" x14ac:dyDescent="0.3">
      <c r="A57" s="31">
        <v>18</v>
      </c>
      <c r="B57" s="32" t="s">
        <v>38</v>
      </c>
      <c r="C57" s="32" t="s">
        <v>38</v>
      </c>
      <c r="D57" s="33" t="s">
        <v>42</v>
      </c>
      <c r="E57" s="42">
        <v>45393</v>
      </c>
      <c r="F57" s="34">
        <v>0.62847222222222221</v>
      </c>
      <c r="G57" s="33" t="s">
        <v>37</v>
      </c>
      <c r="H57" s="43">
        <v>18.399999999999999</v>
      </c>
      <c r="I57" s="43">
        <v>7.16</v>
      </c>
      <c r="J57" s="43">
        <v>8.81</v>
      </c>
      <c r="K57" s="44">
        <v>393</v>
      </c>
      <c r="L57" s="41">
        <v>5.0999999999999996</v>
      </c>
      <c r="M57" s="41"/>
      <c r="N57" s="41">
        <v>0.374</v>
      </c>
      <c r="O57" s="41">
        <v>4.4413298229600713</v>
      </c>
      <c r="P57" s="41">
        <v>0.15166091643205315</v>
      </c>
      <c r="Q57" s="41">
        <v>4</v>
      </c>
      <c r="R57" s="41">
        <v>6.2E-2</v>
      </c>
      <c r="S57" s="41">
        <v>5.3999999999999999E-2</v>
      </c>
      <c r="T57" s="41">
        <v>46.199351722238532</v>
      </c>
      <c r="U57" s="41">
        <v>11.5</v>
      </c>
      <c r="V57" s="41">
        <v>5.45</v>
      </c>
      <c r="W57" s="41">
        <v>19.100000000000001</v>
      </c>
      <c r="X57" s="41">
        <v>11.436419136503728</v>
      </c>
      <c r="Y57" s="36"/>
      <c r="Z57" s="76">
        <v>50.3</v>
      </c>
      <c r="AA57" s="76">
        <v>17.899999999999999</v>
      </c>
      <c r="AB57" s="76">
        <v>9.3000000000000007</v>
      </c>
      <c r="AC57" s="76">
        <v>1.7999999999999998</v>
      </c>
      <c r="AD57" s="76">
        <v>20.7</v>
      </c>
      <c r="AE57" s="60">
        <f t="shared" si="4"/>
        <v>99.999999999999986</v>
      </c>
      <c r="AF57" s="59"/>
      <c r="AG57" s="64">
        <v>0.22500000000000001</v>
      </c>
      <c r="AH57" s="64">
        <v>0.16</v>
      </c>
      <c r="AI57" s="64">
        <v>8.5000000000000006E-2</v>
      </c>
      <c r="AJ57" s="64">
        <v>2.5999999999999999E-2</v>
      </c>
      <c r="AK57" s="64">
        <v>0.13400000000000001</v>
      </c>
    </row>
    <row r="58" spans="1:37" ht="20.100000000000001" customHeight="1" x14ac:dyDescent="0.3">
      <c r="A58" s="31">
        <v>19</v>
      </c>
      <c r="B58" s="32" t="s">
        <v>38</v>
      </c>
      <c r="C58" s="32" t="s">
        <v>43</v>
      </c>
      <c r="D58" s="33" t="s">
        <v>40</v>
      </c>
      <c r="E58" s="42">
        <v>45393</v>
      </c>
      <c r="F58" s="34">
        <v>0.56597222222222221</v>
      </c>
      <c r="G58" s="33" t="s">
        <v>37</v>
      </c>
      <c r="H58" s="43">
        <v>20.399999999999999</v>
      </c>
      <c r="I58" s="43">
        <v>7.15</v>
      </c>
      <c r="J58" s="43">
        <v>9.94</v>
      </c>
      <c r="K58" s="44">
        <v>427</v>
      </c>
      <c r="L58" s="41">
        <v>4.4729999999999999</v>
      </c>
      <c r="M58" s="41"/>
      <c r="N58" s="41">
        <v>0.26700000000000002</v>
      </c>
      <c r="O58" s="41">
        <v>3.9058742648607598</v>
      </c>
      <c r="P58" s="41">
        <v>7.8217782921411683E-2</v>
      </c>
      <c r="Q58" s="41">
        <v>3.9</v>
      </c>
      <c r="R58" s="41">
        <v>0.02</v>
      </c>
      <c r="S58" s="41">
        <v>7.0000000000000001E-3</v>
      </c>
      <c r="T58" s="41">
        <v>64.491191417810811</v>
      </c>
      <c r="U58" s="41">
        <v>12.27</v>
      </c>
      <c r="V58" s="41">
        <v>6.11</v>
      </c>
      <c r="W58" s="41">
        <v>20.2</v>
      </c>
      <c r="X58" s="41">
        <v>10.396885695613589</v>
      </c>
      <c r="Y58" s="36"/>
      <c r="Z58" s="76">
        <v>51.1</v>
      </c>
      <c r="AA58" s="76">
        <v>19.600000000000001</v>
      </c>
      <c r="AB58" s="76">
        <v>8.4</v>
      </c>
      <c r="AC58" s="76">
        <v>1.7999999999999998</v>
      </c>
      <c r="AD58" s="76">
        <v>19.100000000000001</v>
      </c>
      <c r="AE58" s="60">
        <f t="shared" si="4"/>
        <v>100</v>
      </c>
      <c r="AF58" s="59"/>
      <c r="AG58" s="64">
        <v>0.22900000000000001</v>
      </c>
      <c r="AH58" s="64">
        <v>0.16700000000000001</v>
      </c>
      <c r="AI58" s="64">
        <v>7.8E-2</v>
      </c>
      <c r="AJ58" s="64">
        <v>2.5999999999999999E-2</v>
      </c>
      <c r="AK58" s="64">
        <v>0.125</v>
      </c>
    </row>
    <row r="59" spans="1:37" ht="20.100000000000001" customHeight="1" x14ac:dyDescent="0.3">
      <c r="A59" s="31">
        <v>20</v>
      </c>
      <c r="B59" s="32" t="s">
        <v>38</v>
      </c>
      <c r="C59" s="32" t="s">
        <v>43</v>
      </c>
      <c r="D59" s="33" t="s">
        <v>44</v>
      </c>
      <c r="E59" s="42">
        <v>45393</v>
      </c>
      <c r="F59" s="34">
        <v>0.57291666666666663</v>
      </c>
      <c r="G59" s="33" t="s">
        <v>37</v>
      </c>
      <c r="H59" s="43">
        <v>17.7</v>
      </c>
      <c r="I59" s="43">
        <v>8.4600000000000009</v>
      </c>
      <c r="J59" s="43">
        <v>13.23</v>
      </c>
      <c r="K59" s="44">
        <v>488</v>
      </c>
      <c r="L59" s="41">
        <v>5.1660000000000004</v>
      </c>
      <c r="M59" s="41"/>
      <c r="N59" s="41">
        <v>6.3E-2</v>
      </c>
      <c r="O59" s="41">
        <v>4.9679283032825374</v>
      </c>
      <c r="P59" s="41">
        <v>0.12958430283036404</v>
      </c>
      <c r="Q59" s="41">
        <v>2.9</v>
      </c>
      <c r="R59" s="41">
        <v>4.8000000000000001E-2</v>
      </c>
      <c r="S59" s="41">
        <v>2.3E-2</v>
      </c>
      <c r="T59" s="41">
        <v>53.23904304944535</v>
      </c>
      <c r="U59" s="41">
        <v>10.25</v>
      </c>
      <c r="V59" s="41">
        <v>7.37</v>
      </c>
      <c r="W59" s="41">
        <v>23.4</v>
      </c>
      <c r="X59" s="41">
        <v>10.85344472189681</v>
      </c>
      <c r="Y59" s="36"/>
      <c r="Z59" s="76">
        <v>45.2</v>
      </c>
      <c r="AA59" s="76">
        <v>16.900000000000002</v>
      </c>
      <c r="AB59" s="76">
        <v>11.3</v>
      </c>
      <c r="AC59" s="76">
        <v>2.1</v>
      </c>
      <c r="AD59" s="76">
        <v>24.5</v>
      </c>
      <c r="AE59" s="60">
        <f t="shared" si="4"/>
        <v>100</v>
      </c>
      <c r="AF59" s="59"/>
      <c r="AG59" s="64">
        <v>0.216</v>
      </c>
      <c r="AH59" s="64">
        <v>0.14599999999999999</v>
      </c>
      <c r="AI59" s="64">
        <v>0.10299999999999999</v>
      </c>
      <c r="AJ59" s="64">
        <v>0.03</v>
      </c>
      <c r="AK59" s="64">
        <v>0.154</v>
      </c>
    </row>
    <row r="60" spans="1:37" ht="20.100000000000001" customHeight="1" x14ac:dyDescent="0.3">
      <c r="A60" s="22">
        <v>21</v>
      </c>
      <c r="B60" s="14" t="s">
        <v>45</v>
      </c>
      <c r="C60" s="14" t="s">
        <v>45</v>
      </c>
      <c r="D60" s="15" t="s">
        <v>46</v>
      </c>
      <c r="E60" s="16">
        <v>45393</v>
      </c>
      <c r="F60" s="17">
        <v>0.44097222222222227</v>
      </c>
      <c r="G60" s="15" t="s">
        <v>37</v>
      </c>
      <c r="H60" s="23">
        <v>14.7</v>
      </c>
      <c r="I60" s="23">
        <v>7.64</v>
      </c>
      <c r="J60" s="23">
        <v>10.1</v>
      </c>
      <c r="K60" s="45">
        <v>195</v>
      </c>
      <c r="L60" s="39">
        <v>1.575</v>
      </c>
      <c r="M60" s="39"/>
      <c r="N60" s="39">
        <v>3.9E-2</v>
      </c>
      <c r="O60" s="39">
        <v>1.4978781437023474</v>
      </c>
      <c r="P60" s="39" t="s">
        <v>68</v>
      </c>
      <c r="Q60" s="39">
        <v>1.7</v>
      </c>
      <c r="R60" s="39">
        <v>6.0000000000000001E-3</v>
      </c>
      <c r="S60" s="39">
        <v>2E-3</v>
      </c>
      <c r="T60" s="39">
        <v>11.157679937554409</v>
      </c>
      <c r="U60" s="39">
        <v>4.84</v>
      </c>
      <c r="V60" s="39">
        <v>5.72</v>
      </c>
      <c r="W60" s="39">
        <v>8.6999999999999993</v>
      </c>
      <c r="X60" s="39">
        <v>14.992753436048833</v>
      </c>
      <c r="Y60" s="18"/>
      <c r="Z60" s="76">
        <v>25.1</v>
      </c>
      <c r="AA60" s="76">
        <v>8.2000000000000011</v>
      </c>
      <c r="AB60" s="76">
        <v>16.900000000000002</v>
      </c>
      <c r="AC60" s="76">
        <v>2</v>
      </c>
      <c r="AD60" s="76">
        <v>47.8</v>
      </c>
      <c r="AE60" s="60">
        <f t="shared" si="4"/>
        <v>100</v>
      </c>
      <c r="AF60" s="59"/>
      <c r="AG60" s="64">
        <v>0.16</v>
      </c>
      <c r="AH60" s="64">
        <v>7.1999999999999995E-2</v>
      </c>
      <c r="AI60" s="64">
        <v>0.17699999999999999</v>
      </c>
      <c r="AJ60" s="64">
        <v>3.1E-2</v>
      </c>
      <c r="AK60" s="64">
        <v>0.223</v>
      </c>
    </row>
    <row r="61" spans="1:37" ht="20.100000000000001" customHeight="1" x14ac:dyDescent="0.3">
      <c r="A61" s="22">
        <v>22</v>
      </c>
      <c r="B61" s="14" t="s">
        <v>45</v>
      </c>
      <c r="C61" s="14" t="s">
        <v>45</v>
      </c>
      <c r="D61" s="19" t="s">
        <v>47</v>
      </c>
      <c r="E61" s="16">
        <v>45393</v>
      </c>
      <c r="F61" s="20">
        <v>0.46180555555555558</v>
      </c>
      <c r="G61" s="15" t="s">
        <v>37</v>
      </c>
      <c r="H61" s="23">
        <v>17.3</v>
      </c>
      <c r="I61" s="23">
        <v>7.3</v>
      </c>
      <c r="J61" s="23">
        <v>9.5</v>
      </c>
      <c r="K61" s="45">
        <v>232</v>
      </c>
      <c r="L61" s="40">
        <v>1.9910000000000001</v>
      </c>
      <c r="M61" s="40"/>
      <c r="N61" s="40">
        <v>4.2000000000000003E-2</v>
      </c>
      <c r="O61" s="40">
        <v>1.8417102276897697</v>
      </c>
      <c r="P61" s="39" t="s">
        <v>68</v>
      </c>
      <c r="Q61" s="40">
        <v>2.7</v>
      </c>
      <c r="R61" s="40">
        <v>5.3999999999999999E-2</v>
      </c>
      <c r="S61" s="40">
        <v>5.0999999999999997E-2</v>
      </c>
      <c r="T61" s="40">
        <v>17.228406114095094</v>
      </c>
      <c r="U61" s="40">
        <v>7.46</v>
      </c>
      <c r="V61" s="40">
        <v>3.75</v>
      </c>
      <c r="W61" s="40">
        <v>11.3</v>
      </c>
      <c r="X61" s="40">
        <v>13.044520469711662</v>
      </c>
      <c r="Y61" s="21"/>
      <c r="Z61" s="76">
        <v>37.4</v>
      </c>
      <c r="AA61" s="76">
        <v>11</v>
      </c>
      <c r="AB61" s="76">
        <v>12.7</v>
      </c>
      <c r="AC61" s="76">
        <v>1.6</v>
      </c>
      <c r="AD61" s="76">
        <v>37.299999999999997</v>
      </c>
      <c r="AE61" s="60">
        <f t="shared" si="4"/>
        <v>100</v>
      </c>
      <c r="AF61" s="59"/>
      <c r="AG61" s="64">
        <v>0.19500000000000001</v>
      </c>
      <c r="AH61" s="64">
        <v>9.9000000000000005E-2</v>
      </c>
      <c r="AI61" s="64">
        <v>0.125</v>
      </c>
      <c r="AJ61" s="64">
        <v>2.3E-2</v>
      </c>
      <c r="AK61" s="64">
        <v>0.19600000000000001</v>
      </c>
    </row>
    <row r="62" spans="1:37" ht="20.100000000000001" customHeight="1" x14ac:dyDescent="0.3">
      <c r="A62" s="22">
        <v>23</v>
      </c>
      <c r="B62" s="14" t="s">
        <v>45</v>
      </c>
      <c r="C62" s="14" t="s">
        <v>45</v>
      </c>
      <c r="D62" s="19" t="s">
        <v>29</v>
      </c>
      <c r="E62" s="16">
        <v>45393</v>
      </c>
      <c r="F62" s="20">
        <v>0.47569444444444442</v>
      </c>
      <c r="G62" s="15" t="s">
        <v>37</v>
      </c>
      <c r="H62" s="23">
        <v>17.8</v>
      </c>
      <c r="I62" s="23">
        <v>7.54</v>
      </c>
      <c r="J62" s="23">
        <v>10.7</v>
      </c>
      <c r="K62" s="45">
        <v>237</v>
      </c>
      <c r="L62" s="40">
        <v>2.1120000000000001</v>
      </c>
      <c r="M62" s="40"/>
      <c r="N62" s="40">
        <v>5.7000000000000002E-2</v>
      </c>
      <c r="O62" s="40">
        <v>1.9377533187741629</v>
      </c>
      <c r="P62" s="39" t="s">
        <v>68</v>
      </c>
      <c r="Q62" s="40">
        <v>2.8</v>
      </c>
      <c r="R62" s="40">
        <v>4.8000000000000001E-2</v>
      </c>
      <c r="S62" s="40">
        <v>4.2999999999999997E-2</v>
      </c>
      <c r="T62" s="40">
        <v>18.676808109788333</v>
      </c>
      <c r="U62" s="40">
        <v>7.95</v>
      </c>
      <c r="V62" s="40">
        <v>4.3499999999999996</v>
      </c>
      <c r="W62" s="40">
        <v>12.1</v>
      </c>
      <c r="X62" s="40">
        <v>13.065326733831593</v>
      </c>
      <c r="Y62" s="21"/>
      <c r="Z62" s="76">
        <v>39.300000000000004</v>
      </c>
      <c r="AA62" s="76">
        <v>12.2</v>
      </c>
      <c r="AB62" s="76">
        <v>12.4</v>
      </c>
      <c r="AC62" s="76">
        <v>1.9</v>
      </c>
      <c r="AD62" s="76">
        <v>34.200000000000003</v>
      </c>
      <c r="AE62" s="60">
        <f t="shared" si="4"/>
        <v>100</v>
      </c>
      <c r="AF62" s="59"/>
      <c r="AG62" s="64">
        <v>0.19900000000000001</v>
      </c>
      <c r="AH62" s="64">
        <v>0.109</v>
      </c>
      <c r="AI62" s="64">
        <v>0.121</v>
      </c>
      <c r="AJ62" s="64">
        <v>2.7E-2</v>
      </c>
      <c r="AK62" s="64">
        <v>0.189</v>
      </c>
    </row>
    <row r="63" spans="1:37" ht="20.100000000000001" customHeight="1" thickBot="1" x14ac:dyDescent="0.35">
      <c r="A63" s="46">
        <v>24</v>
      </c>
      <c r="B63" s="47" t="s">
        <v>45</v>
      </c>
      <c r="C63" s="47" t="s">
        <v>45</v>
      </c>
      <c r="D63" s="48" t="s">
        <v>48</v>
      </c>
      <c r="E63" s="49">
        <v>45393</v>
      </c>
      <c r="F63" s="50">
        <v>0.48958333333333331</v>
      </c>
      <c r="G63" s="48" t="s">
        <v>37</v>
      </c>
      <c r="H63" s="51">
        <v>16.899999999999999</v>
      </c>
      <c r="I63" s="51">
        <v>7.29</v>
      </c>
      <c r="J63" s="51">
        <v>8.75</v>
      </c>
      <c r="K63" s="52">
        <v>248</v>
      </c>
      <c r="L63" s="53">
        <v>2.1680000000000001</v>
      </c>
      <c r="M63" s="53"/>
      <c r="N63" s="53">
        <v>6.5000000000000002E-2</v>
      </c>
      <c r="O63" s="53">
        <v>1.9645769962820305</v>
      </c>
      <c r="P63" s="53" t="s">
        <v>68</v>
      </c>
      <c r="Q63" s="53">
        <v>2.7</v>
      </c>
      <c r="R63" s="53">
        <v>3.7999999999999999E-2</v>
      </c>
      <c r="S63" s="53">
        <v>3.3000000000000002E-2</v>
      </c>
      <c r="T63" s="53">
        <v>18.945319130868253</v>
      </c>
      <c r="U63" s="53">
        <v>8.2100000000000009</v>
      </c>
      <c r="V63" s="53">
        <v>4.57</v>
      </c>
      <c r="W63" s="53">
        <v>13.4</v>
      </c>
      <c r="X63" s="53">
        <v>12.926440961420095</v>
      </c>
      <c r="Y63" s="54"/>
      <c r="Z63" s="76">
        <v>39.800000000000004</v>
      </c>
      <c r="AA63" s="76">
        <v>12.5</v>
      </c>
      <c r="AB63" s="76">
        <v>12.4</v>
      </c>
      <c r="AC63" s="76">
        <v>1.9</v>
      </c>
      <c r="AD63" s="76">
        <v>33.4</v>
      </c>
      <c r="AE63" s="60">
        <f t="shared" si="4"/>
        <v>100</v>
      </c>
      <c r="AF63" s="59"/>
      <c r="AG63" s="64">
        <v>0.19600000000000001</v>
      </c>
      <c r="AH63" s="64">
        <v>0.11</v>
      </c>
      <c r="AI63" s="64">
        <v>0.11799999999999999</v>
      </c>
      <c r="AJ63" s="64">
        <v>2.5000000000000001E-2</v>
      </c>
      <c r="AK63" s="64">
        <v>0.183</v>
      </c>
    </row>
    <row r="64" spans="1:37" ht="20.100000000000001" customHeight="1" x14ac:dyDescent="0.3"/>
    <row r="65" spans="1:37" ht="20.100000000000001" customHeight="1" x14ac:dyDescent="0.3"/>
    <row r="66" spans="1:37" ht="20.100000000000001" customHeight="1" x14ac:dyDescent="0.3"/>
    <row r="67" spans="1:37" ht="20.100000000000001" customHeight="1" x14ac:dyDescent="0.3">
      <c r="AJ67" s="65" t="s">
        <v>84</v>
      </c>
    </row>
    <row r="68" spans="1:37" ht="20.100000000000001" customHeight="1" thickBot="1" x14ac:dyDescent="0.35">
      <c r="Z68" t="s">
        <v>87</v>
      </c>
    </row>
    <row r="69" spans="1:37" ht="20.100000000000001" customHeight="1" thickBot="1" x14ac:dyDescent="0.35">
      <c r="A69" s="83" t="s">
        <v>1</v>
      </c>
      <c r="B69" s="85" t="s">
        <v>61</v>
      </c>
      <c r="C69" s="85" t="s">
        <v>62</v>
      </c>
      <c r="D69" s="83" t="s">
        <v>7</v>
      </c>
      <c r="E69" s="87" t="s">
        <v>8</v>
      </c>
      <c r="F69" s="88"/>
      <c r="G69" s="78" t="s">
        <v>9</v>
      </c>
      <c r="H69" s="78"/>
      <c r="I69" s="78"/>
      <c r="J69" s="78"/>
      <c r="K69" s="78"/>
      <c r="L69" s="79" t="s">
        <v>55</v>
      </c>
      <c r="M69" s="80"/>
      <c r="N69" s="80"/>
      <c r="O69" s="80"/>
      <c r="P69" s="80"/>
      <c r="Q69" s="80"/>
      <c r="R69" s="80"/>
      <c r="S69" s="80"/>
      <c r="T69" s="80"/>
      <c r="U69" s="8"/>
      <c r="V69" s="8"/>
      <c r="W69" s="8"/>
      <c r="X69" s="8"/>
      <c r="Y69" s="81" t="s">
        <v>10</v>
      </c>
      <c r="Z69" s="55" t="s">
        <v>85</v>
      </c>
      <c r="AE69">
        <v>100</v>
      </c>
      <c r="AG69" s="55" t="s">
        <v>86</v>
      </c>
    </row>
    <row r="70" spans="1:37" ht="20.100000000000001" customHeight="1" thickBot="1" x14ac:dyDescent="0.35">
      <c r="A70" s="84"/>
      <c r="B70" s="84"/>
      <c r="C70" s="84"/>
      <c r="D70" s="86"/>
      <c r="E70" s="1" t="s">
        <v>0</v>
      </c>
      <c r="F70" s="4" t="s">
        <v>11</v>
      </c>
      <c r="G70" s="4" t="s">
        <v>12</v>
      </c>
      <c r="H70" s="4" t="s">
        <v>13</v>
      </c>
      <c r="I70" s="4" t="s">
        <v>14</v>
      </c>
      <c r="J70" s="4" t="s">
        <v>15</v>
      </c>
      <c r="K70" s="4" t="s">
        <v>16</v>
      </c>
      <c r="L70" s="4" t="s">
        <v>6</v>
      </c>
      <c r="M70" s="4" t="s">
        <v>50</v>
      </c>
      <c r="N70" s="4" t="s">
        <v>2</v>
      </c>
      <c r="O70" s="4" t="s">
        <v>3</v>
      </c>
      <c r="P70" s="4" t="s">
        <v>51</v>
      </c>
      <c r="Q70" s="4" t="s">
        <v>52</v>
      </c>
      <c r="R70" s="4" t="s">
        <v>53</v>
      </c>
      <c r="S70" s="4" t="s">
        <v>54</v>
      </c>
      <c r="T70" s="6" t="s">
        <v>4</v>
      </c>
      <c r="U70" s="9" t="s">
        <v>65</v>
      </c>
      <c r="V70" s="9" t="s">
        <v>66</v>
      </c>
      <c r="W70" s="9" t="s">
        <v>63</v>
      </c>
      <c r="X70" s="9" t="s">
        <v>64</v>
      </c>
      <c r="Y70" s="82"/>
      <c r="Z70" s="55" t="s">
        <v>73</v>
      </c>
      <c r="AA70" s="55" t="s">
        <v>74</v>
      </c>
      <c r="AB70" s="55" t="s">
        <v>75</v>
      </c>
      <c r="AC70" s="55" t="s">
        <v>76</v>
      </c>
      <c r="AD70" s="55" t="s">
        <v>77</v>
      </c>
      <c r="AE70" s="56" t="s">
        <v>78</v>
      </c>
      <c r="AG70" s="55" t="s">
        <v>73</v>
      </c>
      <c r="AH70" s="55" t="s">
        <v>74</v>
      </c>
      <c r="AI70" s="55" t="s">
        <v>75</v>
      </c>
      <c r="AJ70" s="55" t="s">
        <v>76</v>
      </c>
      <c r="AK70" s="55" t="s">
        <v>77</v>
      </c>
    </row>
    <row r="71" spans="1:37" ht="20.100000000000001" customHeight="1" x14ac:dyDescent="0.3">
      <c r="A71" s="30">
        <v>1</v>
      </c>
      <c r="B71" s="25" t="s">
        <v>17</v>
      </c>
      <c r="C71" s="25" t="s">
        <v>17</v>
      </c>
      <c r="D71" s="10" t="s">
        <v>18</v>
      </c>
      <c r="E71" s="11">
        <v>45394</v>
      </c>
      <c r="F71" s="12">
        <v>0.40625</v>
      </c>
      <c r="G71" s="10" t="s">
        <v>19</v>
      </c>
      <c r="H71" s="37">
        <v>13.4</v>
      </c>
      <c r="I71" s="37">
        <v>7.66</v>
      </c>
      <c r="J71" s="37">
        <v>11.37</v>
      </c>
      <c r="K71" s="37">
        <v>200.1</v>
      </c>
      <c r="L71" s="38">
        <v>1.5620000000000001</v>
      </c>
      <c r="M71" s="38"/>
      <c r="N71" s="38">
        <v>2.8000000000000001E-2</v>
      </c>
      <c r="O71" s="38">
        <v>1.5338708615263741</v>
      </c>
      <c r="P71" s="38" t="s">
        <v>68</v>
      </c>
      <c r="Q71" s="38">
        <v>1.2</v>
      </c>
      <c r="R71" s="38">
        <v>1.9E-2</v>
      </c>
      <c r="S71" s="38">
        <v>1.4999999999999999E-2</v>
      </c>
      <c r="T71" s="38">
        <v>21.926092412394119</v>
      </c>
      <c r="U71" s="38">
        <v>6.79</v>
      </c>
      <c r="V71" s="38">
        <v>2.9</v>
      </c>
      <c r="W71" s="38" t="s">
        <v>67</v>
      </c>
      <c r="X71" s="38">
        <v>6.8100892305781313</v>
      </c>
      <c r="Y71" s="13"/>
      <c r="Z71" s="76">
        <v>25.06</v>
      </c>
      <c r="AA71" s="76">
        <v>12.770000000000001</v>
      </c>
      <c r="AB71" s="76">
        <v>18.61</v>
      </c>
      <c r="AC71" s="76">
        <v>2.39</v>
      </c>
      <c r="AD71" s="76">
        <v>41.17</v>
      </c>
      <c r="AE71" s="57">
        <f>SUM(Z71:AD71)</f>
        <v>100</v>
      </c>
      <c r="AG71" s="63">
        <v>3.9E-2</v>
      </c>
      <c r="AH71" s="63">
        <v>1.9699999999999999E-2</v>
      </c>
      <c r="AI71" s="63">
        <v>0.10050000000000001</v>
      </c>
      <c r="AJ71" s="63">
        <v>1.3599999999999999E-2</v>
      </c>
      <c r="AK71" s="63">
        <v>0.10580000000000001</v>
      </c>
    </row>
    <row r="72" spans="1:37" ht="20.100000000000001" customHeight="1" x14ac:dyDescent="0.3">
      <c r="A72" s="22">
        <v>2</v>
      </c>
      <c r="B72" s="14" t="s">
        <v>17</v>
      </c>
      <c r="C72" s="14" t="s">
        <v>17</v>
      </c>
      <c r="D72" s="15" t="s">
        <v>20</v>
      </c>
      <c r="E72" s="16">
        <v>45394</v>
      </c>
      <c r="F72" s="17">
        <v>0.4375</v>
      </c>
      <c r="G72" s="15" t="s">
        <v>19</v>
      </c>
      <c r="H72" s="24">
        <v>17.899999999999999</v>
      </c>
      <c r="I72" s="24">
        <v>7.63</v>
      </c>
      <c r="J72" s="24">
        <v>10.66</v>
      </c>
      <c r="K72" s="24">
        <v>381</v>
      </c>
      <c r="L72" s="39">
        <v>5.1319999999999997</v>
      </c>
      <c r="M72" s="39"/>
      <c r="N72" s="39">
        <v>0.82399999999999995</v>
      </c>
      <c r="O72" s="39">
        <v>3.8056685669511721</v>
      </c>
      <c r="P72" s="39">
        <v>0.75779406996970966</v>
      </c>
      <c r="Q72" s="39">
        <v>3.4</v>
      </c>
      <c r="R72" s="39">
        <v>4.1000000000000002E-2</v>
      </c>
      <c r="S72" s="39">
        <v>2.9000000000000001E-2</v>
      </c>
      <c r="T72" s="39">
        <v>48.553205182927933</v>
      </c>
      <c r="U72" s="39">
        <v>10.94</v>
      </c>
      <c r="V72" s="39">
        <v>0.19</v>
      </c>
      <c r="W72" s="39">
        <v>91.9</v>
      </c>
      <c r="X72" s="39">
        <v>11.530193967408453</v>
      </c>
      <c r="Y72" s="18"/>
      <c r="Z72" s="76">
        <v>51.11</v>
      </c>
      <c r="AA72" s="76">
        <v>17.64</v>
      </c>
      <c r="AB72" s="76">
        <v>8.44</v>
      </c>
      <c r="AC72" s="76">
        <v>3.95</v>
      </c>
      <c r="AD72" s="76">
        <v>18.86</v>
      </c>
      <c r="AE72" s="57">
        <f t="shared" ref="AE72:AE94" si="5">SUM(Z72:AD72)</f>
        <v>100</v>
      </c>
      <c r="AG72" s="63">
        <v>0.1464</v>
      </c>
      <c r="AH72" s="63">
        <v>8.0799999999999997E-2</v>
      </c>
      <c r="AI72" s="63">
        <v>6.8400000000000002E-2</v>
      </c>
      <c r="AJ72" s="63">
        <v>4.6300000000000001E-2</v>
      </c>
      <c r="AK72" s="63">
        <v>5.0099999999999999E-2</v>
      </c>
    </row>
    <row r="73" spans="1:37" ht="20.100000000000001" customHeight="1" x14ac:dyDescent="0.3">
      <c r="A73" s="22">
        <v>3</v>
      </c>
      <c r="B73" s="14" t="s">
        <v>17</v>
      </c>
      <c r="C73" s="14" t="s">
        <v>17</v>
      </c>
      <c r="D73" s="15" t="s">
        <v>21</v>
      </c>
      <c r="E73" s="16">
        <v>45394</v>
      </c>
      <c r="F73" s="17">
        <v>0.4513888888888889</v>
      </c>
      <c r="G73" s="15" t="s">
        <v>19</v>
      </c>
      <c r="H73" s="24">
        <v>19.100000000000001</v>
      </c>
      <c r="I73" s="24">
        <v>7.58</v>
      </c>
      <c r="J73" s="24">
        <v>9.67</v>
      </c>
      <c r="K73" s="24">
        <v>357</v>
      </c>
      <c r="L73" s="39">
        <v>4.3529999999999998</v>
      </c>
      <c r="M73" s="39"/>
      <c r="N73" s="39">
        <v>0.90200000000000002</v>
      </c>
      <c r="O73" s="39">
        <v>2.9836540688462629</v>
      </c>
      <c r="P73" s="39">
        <v>0.5708632001190197</v>
      </c>
      <c r="Q73" s="39">
        <v>3.5</v>
      </c>
      <c r="R73" s="39">
        <v>7.8E-2</v>
      </c>
      <c r="S73" s="39">
        <v>6.9000000000000006E-2</v>
      </c>
      <c r="T73" s="39">
        <v>42.668927928854785</v>
      </c>
      <c r="U73" s="39">
        <v>10.09</v>
      </c>
      <c r="V73" s="39">
        <v>1.5</v>
      </c>
      <c r="W73" s="39">
        <v>25.3</v>
      </c>
      <c r="X73" s="39">
        <v>11.842993595465368</v>
      </c>
      <c r="Y73" s="18"/>
      <c r="Z73" s="76">
        <v>33.979999999999997</v>
      </c>
      <c r="AA73" s="76">
        <v>25.91</v>
      </c>
      <c r="AB73" s="76">
        <v>10.01</v>
      </c>
      <c r="AC73" s="76">
        <v>4</v>
      </c>
      <c r="AD73" s="76">
        <v>26.1</v>
      </c>
      <c r="AE73" s="57">
        <f t="shared" si="5"/>
        <v>100</v>
      </c>
      <c r="AG73" s="63">
        <v>6.4799999999999996E-2</v>
      </c>
      <c r="AH73" s="63">
        <v>5.5399999999999998E-2</v>
      </c>
      <c r="AI73" s="63">
        <v>8.1000000000000003E-2</v>
      </c>
      <c r="AJ73" s="63">
        <v>3.7499999999999999E-2</v>
      </c>
      <c r="AK73" s="63">
        <v>8.1600000000000006E-2</v>
      </c>
    </row>
    <row r="74" spans="1:37" ht="20.100000000000001" customHeight="1" x14ac:dyDescent="0.3">
      <c r="A74" s="22">
        <v>4</v>
      </c>
      <c r="B74" s="14" t="s">
        <v>17</v>
      </c>
      <c r="C74" s="14" t="s">
        <v>17</v>
      </c>
      <c r="D74" s="15" t="s">
        <v>22</v>
      </c>
      <c r="E74" s="16">
        <v>45394</v>
      </c>
      <c r="F74" s="17">
        <v>0.46527777777777773</v>
      </c>
      <c r="G74" s="15" t="s">
        <v>19</v>
      </c>
      <c r="H74" s="24">
        <v>20.399999999999999</v>
      </c>
      <c r="I74" s="24">
        <v>7.35</v>
      </c>
      <c r="J74" s="24">
        <v>9</v>
      </c>
      <c r="K74" s="24">
        <v>348</v>
      </c>
      <c r="L74" s="39">
        <v>3.8969999999999998</v>
      </c>
      <c r="M74" s="39"/>
      <c r="N74" s="39">
        <v>0.78200000000000003</v>
      </c>
      <c r="O74" s="39">
        <v>2.6470789824688241</v>
      </c>
      <c r="P74" s="39">
        <v>0.50575484929842918</v>
      </c>
      <c r="Q74" s="39">
        <v>3.5</v>
      </c>
      <c r="R74" s="39">
        <v>5.8999999999999997E-2</v>
      </c>
      <c r="S74" s="39">
        <v>4.8000000000000001E-2</v>
      </c>
      <c r="T74" s="39">
        <v>41.228925543629487</v>
      </c>
      <c r="U74" s="39">
        <v>10.63</v>
      </c>
      <c r="V74" s="39">
        <v>2.19</v>
      </c>
      <c r="W74" s="39">
        <v>19.899999999999999</v>
      </c>
      <c r="X74" s="39">
        <v>12.303652359256734</v>
      </c>
      <c r="Y74" s="18"/>
      <c r="Z74" s="76">
        <v>49.76</v>
      </c>
      <c r="AA74" s="76">
        <v>18.22</v>
      </c>
      <c r="AB74" s="76">
        <v>9.9699999999999989</v>
      </c>
      <c r="AC74" s="76">
        <v>3.45</v>
      </c>
      <c r="AD74" s="76">
        <v>18.600000000000001</v>
      </c>
      <c r="AE74" s="57">
        <f t="shared" si="5"/>
        <v>100</v>
      </c>
      <c r="AG74" s="63">
        <v>0.13619999999999999</v>
      </c>
      <c r="AH74" s="63">
        <v>7.46E-2</v>
      </c>
      <c r="AI74" s="63">
        <v>6.7799999999999999E-2</v>
      </c>
      <c r="AJ74" s="63">
        <v>3.6900000000000002E-2</v>
      </c>
      <c r="AK74" s="63">
        <v>4.8099999999999997E-2</v>
      </c>
    </row>
    <row r="75" spans="1:37" ht="20.100000000000001" customHeight="1" x14ac:dyDescent="0.3">
      <c r="A75" s="31">
        <v>5</v>
      </c>
      <c r="B75" s="32" t="s">
        <v>23</v>
      </c>
      <c r="C75" s="32" t="s">
        <v>23</v>
      </c>
      <c r="D75" s="33" t="s">
        <v>24</v>
      </c>
      <c r="E75" s="42">
        <v>45394</v>
      </c>
      <c r="F75" s="34">
        <v>0.625</v>
      </c>
      <c r="G75" s="33" t="s">
        <v>19</v>
      </c>
      <c r="H75" s="35">
        <v>23.3</v>
      </c>
      <c r="I75" s="35">
        <v>8.59</v>
      </c>
      <c r="J75" s="35">
        <v>9.51</v>
      </c>
      <c r="K75" s="35">
        <v>167.4</v>
      </c>
      <c r="L75" s="41">
        <v>1.5269999999999999</v>
      </c>
      <c r="M75" s="41"/>
      <c r="N75" s="41">
        <v>2.8000000000000001E-2</v>
      </c>
      <c r="O75" s="41">
        <v>1.3577461209228088</v>
      </c>
      <c r="P75" s="41" t="s">
        <v>68</v>
      </c>
      <c r="Q75" s="41">
        <v>2.5</v>
      </c>
      <c r="R75" s="41">
        <v>2.5000000000000001E-2</v>
      </c>
      <c r="S75" s="41">
        <v>8.9999999999999993E-3</v>
      </c>
      <c r="T75" s="41">
        <v>13.465682479565089</v>
      </c>
      <c r="U75" s="41">
        <v>5.58</v>
      </c>
      <c r="V75" s="41">
        <v>6.49</v>
      </c>
      <c r="W75" s="41">
        <v>8.1999999999999993</v>
      </c>
      <c r="X75" s="41">
        <v>15.388054287513553</v>
      </c>
      <c r="Y75" s="36"/>
      <c r="Z75" s="76">
        <v>18.84</v>
      </c>
      <c r="AA75" s="76">
        <v>10.39</v>
      </c>
      <c r="AB75" s="76">
        <v>25.430000000000003</v>
      </c>
      <c r="AC75" s="76">
        <v>5.16</v>
      </c>
      <c r="AD75" s="76">
        <v>40.18</v>
      </c>
      <c r="AE75" s="57">
        <f t="shared" si="5"/>
        <v>100</v>
      </c>
      <c r="AG75" s="63">
        <v>4.9399999999999999E-2</v>
      </c>
      <c r="AH75" s="63">
        <v>1.38E-2</v>
      </c>
      <c r="AI75" s="63">
        <v>9.8599999999999993E-2</v>
      </c>
      <c r="AJ75" s="63">
        <v>1.7999999999999999E-2</v>
      </c>
      <c r="AK75" s="63">
        <v>5.5500000000000001E-2</v>
      </c>
    </row>
    <row r="76" spans="1:37" ht="20.100000000000001" customHeight="1" x14ac:dyDescent="0.3">
      <c r="A76" s="31">
        <v>6</v>
      </c>
      <c r="B76" s="32" t="s">
        <v>23</v>
      </c>
      <c r="C76" s="32" t="s">
        <v>23</v>
      </c>
      <c r="D76" s="33" t="s">
        <v>25</v>
      </c>
      <c r="E76" s="42">
        <v>45394</v>
      </c>
      <c r="F76" s="34">
        <v>0.63888888888888895</v>
      </c>
      <c r="G76" s="33" t="s">
        <v>19</v>
      </c>
      <c r="H76" s="35">
        <v>20.5</v>
      </c>
      <c r="I76" s="35">
        <v>7.61</v>
      </c>
      <c r="J76" s="35">
        <v>10.02</v>
      </c>
      <c r="K76" s="35">
        <v>279</v>
      </c>
      <c r="L76" s="41">
        <v>2.8879999999999999</v>
      </c>
      <c r="M76" s="41"/>
      <c r="N76" s="41">
        <v>0.128</v>
      </c>
      <c r="O76" s="41">
        <v>2.3599395974240749</v>
      </c>
      <c r="P76" s="41">
        <v>4.16973481937844E-2</v>
      </c>
      <c r="Q76" s="41">
        <v>3.8</v>
      </c>
      <c r="R76" s="41">
        <v>0.13700000000000001</v>
      </c>
      <c r="S76" s="41">
        <v>0.13200000000000001</v>
      </c>
      <c r="T76" s="41">
        <v>24.609506883467702</v>
      </c>
      <c r="U76" s="41">
        <v>6.75</v>
      </c>
      <c r="V76" s="41">
        <v>7.6</v>
      </c>
      <c r="W76" s="41">
        <v>14.7</v>
      </c>
      <c r="X76" s="41">
        <v>11.914577909851953</v>
      </c>
      <c r="Y76" s="36"/>
      <c r="Z76" s="76">
        <v>22.73</v>
      </c>
      <c r="AA76" s="76">
        <v>13.850000000000001</v>
      </c>
      <c r="AB76" s="76">
        <v>24.29</v>
      </c>
      <c r="AC76" s="76">
        <v>6.15</v>
      </c>
      <c r="AD76" s="76">
        <v>32.979999999999997</v>
      </c>
      <c r="AE76" s="57">
        <f t="shared" si="5"/>
        <v>100</v>
      </c>
      <c r="AG76" s="63">
        <v>6.5000000000000002E-2</v>
      </c>
      <c r="AH76" s="63">
        <v>0.02</v>
      </c>
      <c r="AI76" s="63">
        <v>7.8399999999999997E-2</v>
      </c>
      <c r="AJ76" s="63">
        <v>1.32E-2</v>
      </c>
      <c r="AK76" s="63">
        <v>1.46E-2</v>
      </c>
    </row>
    <row r="77" spans="1:37" ht="20.100000000000001" customHeight="1" x14ac:dyDescent="0.3">
      <c r="A77" s="31">
        <v>7</v>
      </c>
      <c r="B77" s="32" t="s">
        <v>23</v>
      </c>
      <c r="C77" s="32" t="s">
        <v>23</v>
      </c>
      <c r="D77" s="33" t="s">
        <v>26</v>
      </c>
      <c r="E77" s="42">
        <v>45393</v>
      </c>
      <c r="F77" s="34">
        <v>0.63888888888888895</v>
      </c>
      <c r="G77" s="33" t="s">
        <v>19</v>
      </c>
      <c r="H77" s="43">
        <v>17.5</v>
      </c>
      <c r="I77" s="43">
        <v>7.38</v>
      </c>
      <c r="J77" s="43">
        <v>9.8800000000000008</v>
      </c>
      <c r="K77" s="44">
        <v>267</v>
      </c>
      <c r="L77" s="41">
        <v>3.016</v>
      </c>
      <c r="M77" s="41"/>
      <c r="N77" s="41">
        <v>0.191</v>
      </c>
      <c r="O77" s="41">
        <v>2.4391271227247548</v>
      </c>
      <c r="P77" s="41">
        <v>7.7295428737773897E-2</v>
      </c>
      <c r="Q77" s="41">
        <v>4.3</v>
      </c>
      <c r="R77" s="41">
        <v>0.251</v>
      </c>
      <c r="S77" s="41">
        <v>0.249</v>
      </c>
      <c r="T77" s="41">
        <v>21.663703887468678</v>
      </c>
      <c r="U77" s="41">
        <v>8.2100000000000009</v>
      </c>
      <c r="V77" s="41">
        <v>5.56</v>
      </c>
      <c r="W77" s="41">
        <v>19.2</v>
      </c>
      <c r="X77" s="41">
        <v>10.009981831868686</v>
      </c>
      <c r="Y77" s="36"/>
      <c r="Z77" s="76">
        <v>27.33</v>
      </c>
      <c r="AA77" s="76">
        <v>19.3</v>
      </c>
      <c r="AB77" s="76">
        <v>24.38</v>
      </c>
      <c r="AC77" s="76">
        <v>3.0700000000000003</v>
      </c>
      <c r="AD77" s="76">
        <v>25.919999999999998</v>
      </c>
      <c r="AE77" s="57">
        <f t="shared" si="5"/>
        <v>99.999999999999986</v>
      </c>
      <c r="AG77" s="63">
        <v>4.0599999999999997E-2</v>
      </c>
      <c r="AH77" s="63">
        <v>2.86E-2</v>
      </c>
      <c r="AI77" s="63">
        <v>9.7699999999999995E-2</v>
      </c>
      <c r="AJ77" s="63">
        <v>1.52E-2</v>
      </c>
      <c r="AK77" s="63">
        <v>7.1900000000000006E-2</v>
      </c>
    </row>
    <row r="78" spans="1:37" ht="20.100000000000001" customHeight="1" x14ac:dyDescent="0.3">
      <c r="A78" s="31">
        <v>8</v>
      </c>
      <c r="B78" s="32" t="s">
        <v>23</v>
      </c>
      <c r="C78" s="32" t="s">
        <v>27</v>
      </c>
      <c r="D78" s="33" t="s">
        <v>28</v>
      </c>
      <c r="E78" s="42">
        <v>45393</v>
      </c>
      <c r="F78" s="34">
        <v>0.65277777777777779</v>
      </c>
      <c r="G78" s="33" t="s">
        <v>19</v>
      </c>
      <c r="H78" s="43">
        <v>15.2</v>
      </c>
      <c r="I78" s="43">
        <v>7.18</v>
      </c>
      <c r="J78" s="43">
        <v>8.57</v>
      </c>
      <c r="K78" s="44">
        <v>447</v>
      </c>
      <c r="L78" s="41">
        <v>10.587</v>
      </c>
      <c r="M78" s="41"/>
      <c r="N78" s="41">
        <v>7.5830000000000002</v>
      </c>
      <c r="O78" s="41">
        <v>0.97586059085562704</v>
      </c>
      <c r="P78" s="41">
        <v>8.6902733014795064E-2</v>
      </c>
      <c r="Q78" s="41">
        <v>13.8</v>
      </c>
      <c r="R78" s="41">
        <v>4.4939999999999998</v>
      </c>
      <c r="S78" s="41">
        <v>4.4489999999999998</v>
      </c>
      <c r="T78" s="41">
        <v>28.874406034046217</v>
      </c>
      <c r="U78" s="41">
        <v>1.58</v>
      </c>
      <c r="V78" s="41">
        <v>-0.43</v>
      </c>
      <c r="W78" s="41">
        <v>29.5</v>
      </c>
      <c r="X78" s="41">
        <v>10.352175185906143</v>
      </c>
      <c r="Y78" s="36"/>
      <c r="Z78" s="76">
        <v>7.35</v>
      </c>
      <c r="AA78" s="76">
        <v>5.09</v>
      </c>
      <c r="AB78" s="76">
        <v>17.39</v>
      </c>
      <c r="AC78" s="76">
        <v>5.77</v>
      </c>
      <c r="AD78" s="76">
        <v>64.400000000000006</v>
      </c>
      <c r="AE78" s="57">
        <f t="shared" si="5"/>
        <v>100</v>
      </c>
      <c r="AG78" s="63">
        <v>3.5999999999999997E-2</v>
      </c>
      <c r="AH78" s="63">
        <v>4.3299999999999998E-2</v>
      </c>
      <c r="AI78" s="63">
        <v>0.12620000000000001</v>
      </c>
      <c r="AJ78" s="63">
        <v>2.5999999999999999E-2</v>
      </c>
      <c r="AK78" s="63">
        <v>0.17519999999999999</v>
      </c>
    </row>
    <row r="79" spans="1:37" ht="20.100000000000001" customHeight="1" x14ac:dyDescent="0.3">
      <c r="A79" s="31">
        <v>9</v>
      </c>
      <c r="B79" s="32" t="s">
        <v>23</v>
      </c>
      <c r="C79" s="32" t="s">
        <v>27</v>
      </c>
      <c r="D79" s="33" t="s">
        <v>30</v>
      </c>
      <c r="E79" s="42">
        <v>45393</v>
      </c>
      <c r="F79" s="34">
        <v>0.64236111111111105</v>
      </c>
      <c r="G79" s="33" t="s">
        <v>19</v>
      </c>
      <c r="H79" s="43">
        <v>17.600000000000001</v>
      </c>
      <c r="I79" s="43">
        <v>8.07</v>
      </c>
      <c r="J79" s="43">
        <v>12.5</v>
      </c>
      <c r="K79" s="44">
        <v>306</v>
      </c>
      <c r="L79" s="41">
        <v>5.1479999999999997</v>
      </c>
      <c r="M79" s="41"/>
      <c r="N79" s="41">
        <v>0.44400000000000001</v>
      </c>
      <c r="O79" s="41">
        <v>3.8062637015242489</v>
      </c>
      <c r="P79" s="41">
        <v>0.37424985100928226</v>
      </c>
      <c r="Q79" s="41">
        <v>8.3000000000000007</v>
      </c>
      <c r="R79" s="41">
        <v>1.298</v>
      </c>
      <c r="S79" s="41">
        <v>1.2909999999999999</v>
      </c>
      <c r="T79" s="41">
        <v>22.829088136986975</v>
      </c>
      <c r="U79" s="41">
        <v>12.48</v>
      </c>
      <c r="V79" s="41">
        <v>2.62</v>
      </c>
      <c r="W79" s="41" t="s">
        <v>67</v>
      </c>
      <c r="X79" s="41">
        <v>12.076708490286192</v>
      </c>
      <c r="Y79" s="36"/>
      <c r="Z79" s="76">
        <v>40.119999999999997</v>
      </c>
      <c r="AA79" s="76">
        <v>31.669999999999998</v>
      </c>
      <c r="AB79" s="76">
        <v>8.6300000000000008</v>
      </c>
      <c r="AC79" s="76">
        <v>4.08</v>
      </c>
      <c r="AD79" s="76">
        <v>15.5</v>
      </c>
      <c r="AE79" s="57">
        <f t="shared" si="5"/>
        <v>99.999999999999986</v>
      </c>
      <c r="AG79" s="63">
        <v>6.7799999999999999E-2</v>
      </c>
      <c r="AH79" s="63">
        <v>4.9299999999999997E-2</v>
      </c>
      <c r="AI79" s="63">
        <v>5.0599999999999999E-2</v>
      </c>
      <c r="AJ79" s="63">
        <v>3.6299999999999999E-2</v>
      </c>
      <c r="AK79" s="63">
        <v>2.35E-2</v>
      </c>
    </row>
    <row r="80" spans="1:37" ht="20.100000000000001" customHeight="1" x14ac:dyDescent="0.3">
      <c r="A80" s="22">
        <v>10</v>
      </c>
      <c r="B80" s="14" t="s">
        <v>31</v>
      </c>
      <c r="C80" s="14" t="s">
        <v>31</v>
      </c>
      <c r="D80" s="15" t="s">
        <v>32</v>
      </c>
      <c r="E80" s="16">
        <v>45394</v>
      </c>
      <c r="F80" s="17">
        <v>0.55902777777777779</v>
      </c>
      <c r="G80" s="15" t="s">
        <v>19</v>
      </c>
      <c r="H80" s="23">
        <v>20.100000000000001</v>
      </c>
      <c r="I80" s="23">
        <v>9.43</v>
      </c>
      <c r="J80" s="23">
        <v>13.8</v>
      </c>
      <c r="K80" s="45">
        <v>159.5</v>
      </c>
      <c r="L80" s="39">
        <v>1.5369999999999999</v>
      </c>
      <c r="M80" s="39"/>
      <c r="N80" s="39">
        <v>0.06</v>
      </c>
      <c r="O80" s="39">
        <v>1.3490559741266328</v>
      </c>
      <c r="P80" s="39" t="s">
        <v>68</v>
      </c>
      <c r="Q80" s="39">
        <v>2.4</v>
      </c>
      <c r="R80" s="39">
        <v>1.9E-2</v>
      </c>
      <c r="S80" s="39">
        <v>7.0000000000000001E-3</v>
      </c>
      <c r="T80" s="39">
        <v>10.187097958523417</v>
      </c>
      <c r="U80" s="39">
        <v>8.51</v>
      </c>
      <c r="V80" s="39">
        <v>8.32</v>
      </c>
      <c r="W80" s="39">
        <v>8.6999999999999993</v>
      </c>
      <c r="X80" s="39">
        <v>13.328055480267331</v>
      </c>
      <c r="Y80" s="18"/>
      <c r="Z80" s="76">
        <v>27.939999999999998</v>
      </c>
      <c r="AA80" s="76">
        <v>19.57</v>
      </c>
      <c r="AB80" s="76">
        <v>20.25</v>
      </c>
      <c r="AC80" s="76">
        <v>8.6499999999999986</v>
      </c>
      <c r="AD80" s="76">
        <v>23.59</v>
      </c>
      <c r="AE80" s="57">
        <f t="shared" si="5"/>
        <v>100</v>
      </c>
      <c r="AG80" s="63">
        <v>3.7100000000000001E-2</v>
      </c>
      <c r="AH80" s="63">
        <v>5.0799999999999998E-2</v>
      </c>
      <c r="AI80" s="63">
        <v>4.8899999999999999E-2</v>
      </c>
      <c r="AJ80" s="63">
        <v>1.77E-2</v>
      </c>
      <c r="AK80" s="63">
        <v>6.6000000000000003E-2</v>
      </c>
    </row>
    <row r="81" spans="1:37" ht="20.100000000000001" customHeight="1" x14ac:dyDescent="0.3">
      <c r="A81" s="22">
        <v>11</v>
      </c>
      <c r="B81" s="14" t="s">
        <v>31</v>
      </c>
      <c r="C81" s="14" t="s">
        <v>31</v>
      </c>
      <c r="D81" s="15" t="s">
        <v>33</v>
      </c>
      <c r="E81" s="16">
        <v>45394</v>
      </c>
      <c r="F81" s="17">
        <v>0.60416666666666663</v>
      </c>
      <c r="G81" s="15" t="s">
        <v>19</v>
      </c>
      <c r="H81" s="23">
        <v>18.8</v>
      </c>
      <c r="I81" s="23">
        <v>7.93</v>
      </c>
      <c r="J81" s="23">
        <v>10.17</v>
      </c>
      <c r="K81" s="45">
        <v>192.7</v>
      </c>
      <c r="L81" s="39">
        <v>2.169</v>
      </c>
      <c r="M81" s="39"/>
      <c r="N81" s="39">
        <v>2.1999999999999999E-2</v>
      </c>
      <c r="O81" s="39">
        <v>2.0674211944327476</v>
      </c>
      <c r="P81" s="39" t="s">
        <v>68</v>
      </c>
      <c r="Q81" s="39">
        <v>2</v>
      </c>
      <c r="R81" s="39">
        <v>4.7E-2</v>
      </c>
      <c r="S81" s="39">
        <v>4.2999999999999997E-2</v>
      </c>
      <c r="T81" s="39">
        <v>12.831242270508705</v>
      </c>
      <c r="U81" s="39">
        <v>8.24</v>
      </c>
      <c r="V81" s="39">
        <v>6.51</v>
      </c>
      <c r="W81" s="39">
        <v>11.6</v>
      </c>
      <c r="X81" s="39">
        <v>13.545452837707971</v>
      </c>
      <c r="Y81" s="18"/>
      <c r="Z81" s="76">
        <v>25.83</v>
      </c>
      <c r="AA81" s="76">
        <v>18.63</v>
      </c>
      <c r="AB81" s="76">
        <v>19.149999999999999</v>
      </c>
      <c r="AC81" s="76">
        <v>4.6500000000000004</v>
      </c>
      <c r="AD81" s="76">
        <v>31.740000000000002</v>
      </c>
      <c r="AE81" s="57">
        <f t="shared" si="5"/>
        <v>100</v>
      </c>
      <c r="AG81" s="63">
        <v>3.7900000000000003E-2</v>
      </c>
      <c r="AH81" s="63">
        <v>1.7000000000000001E-2</v>
      </c>
      <c r="AI81" s="63">
        <v>9.3399999999999997E-2</v>
      </c>
      <c r="AJ81" s="63">
        <v>1.5299999999999999E-2</v>
      </c>
      <c r="AK81" s="63">
        <v>9.1899999999999996E-2</v>
      </c>
    </row>
    <row r="82" spans="1:37" ht="20.100000000000001" customHeight="1" x14ac:dyDescent="0.3">
      <c r="A82" s="22">
        <v>12</v>
      </c>
      <c r="B82" s="14" t="s">
        <v>31</v>
      </c>
      <c r="C82" s="14" t="s">
        <v>31</v>
      </c>
      <c r="D82" s="15" t="s">
        <v>34</v>
      </c>
      <c r="E82" s="16">
        <v>45394</v>
      </c>
      <c r="F82" s="17">
        <v>0.61111111111111105</v>
      </c>
      <c r="G82" s="15" t="s">
        <v>19</v>
      </c>
      <c r="H82" s="23">
        <v>20.6</v>
      </c>
      <c r="I82" s="23">
        <v>8.49</v>
      </c>
      <c r="J82" s="23">
        <v>11.2</v>
      </c>
      <c r="K82" s="45">
        <v>200.4</v>
      </c>
      <c r="L82" s="39">
        <v>2.4790000000000001</v>
      </c>
      <c r="M82" s="39"/>
      <c r="N82" s="39">
        <v>3.5000000000000003E-2</v>
      </c>
      <c r="O82" s="39">
        <v>2.3482003300928995</v>
      </c>
      <c r="P82" s="39" t="s">
        <v>68</v>
      </c>
      <c r="Q82" s="39">
        <v>2.1</v>
      </c>
      <c r="R82" s="39">
        <v>5.0999999999999997E-2</v>
      </c>
      <c r="S82" s="39">
        <v>4.8000000000000001E-2</v>
      </c>
      <c r="T82" s="39">
        <v>14.247692060289525</v>
      </c>
      <c r="U82" s="39">
        <v>8.6199999999999992</v>
      </c>
      <c r="V82" s="39">
        <v>5.83</v>
      </c>
      <c r="W82" s="39">
        <v>11.2</v>
      </c>
      <c r="X82" s="39">
        <v>14.539856019900043</v>
      </c>
      <c r="Y82" s="18"/>
      <c r="Z82" s="76">
        <v>29.24</v>
      </c>
      <c r="AA82" s="76">
        <v>19.25</v>
      </c>
      <c r="AB82" s="76">
        <v>20.95</v>
      </c>
      <c r="AC82" s="76">
        <v>3.7699999999999996</v>
      </c>
      <c r="AD82" s="76">
        <v>26.790000000000003</v>
      </c>
      <c r="AE82" s="57">
        <f t="shared" si="5"/>
        <v>100</v>
      </c>
      <c r="AG82" s="63">
        <v>2.6200000000000001E-2</v>
      </c>
      <c r="AH82" s="63">
        <v>2.0899999999999998E-2</v>
      </c>
      <c r="AI82" s="63">
        <v>9.2100000000000001E-2</v>
      </c>
      <c r="AJ82" s="63">
        <v>1.4200000000000001E-2</v>
      </c>
      <c r="AK82" s="63">
        <v>8.5900000000000004E-2</v>
      </c>
    </row>
    <row r="83" spans="1:37" ht="20.100000000000001" customHeight="1" x14ac:dyDescent="0.3">
      <c r="A83" s="22">
        <v>13</v>
      </c>
      <c r="B83" s="14" t="s">
        <v>31</v>
      </c>
      <c r="C83" s="14" t="s">
        <v>35</v>
      </c>
      <c r="D83" s="15" t="s">
        <v>36</v>
      </c>
      <c r="E83" s="16">
        <v>45394</v>
      </c>
      <c r="F83" s="17">
        <v>0.59375</v>
      </c>
      <c r="G83" s="15" t="s">
        <v>37</v>
      </c>
      <c r="H83" s="23">
        <v>20</v>
      </c>
      <c r="I83" s="23">
        <v>7.91</v>
      </c>
      <c r="J83" s="23">
        <v>10.9</v>
      </c>
      <c r="K83" s="45">
        <v>264</v>
      </c>
      <c r="L83" s="39">
        <v>3.7250000000000001</v>
      </c>
      <c r="M83" s="39"/>
      <c r="N83" s="39">
        <v>0.246</v>
      </c>
      <c r="O83" s="39">
        <v>3.3700928149145133</v>
      </c>
      <c r="P83" s="39">
        <v>6.9030757429925982E-2</v>
      </c>
      <c r="Q83" s="39">
        <v>2.2000000000000002</v>
      </c>
      <c r="R83" s="39">
        <v>0.106</v>
      </c>
      <c r="S83" s="39">
        <v>0.105</v>
      </c>
      <c r="T83" s="39">
        <v>20.963677081464517</v>
      </c>
      <c r="U83" s="39">
        <v>9.1300000000000008</v>
      </c>
      <c r="V83" s="39">
        <v>4.09</v>
      </c>
      <c r="W83" s="39">
        <v>9.3000000000000007</v>
      </c>
      <c r="X83" s="39">
        <v>15.702781473289019</v>
      </c>
      <c r="Y83" s="18"/>
      <c r="Z83" s="76">
        <v>35.730000000000004</v>
      </c>
      <c r="AA83" s="76">
        <v>19.439999999999998</v>
      </c>
      <c r="AB83" s="76">
        <v>14.17</v>
      </c>
      <c r="AC83" s="76">
        <v>4.1099999999999994</v>
      </c>
      <c r="AD83" s="76">
        <v>26.55</v>
      </c>
      <c r="AE83" s="57">
        <f t="shared" si="5"/>
        <v>100</v>
      </c>
      <c r="AG83" s="63">
        <v>3.8300000000000001E-2</v>
      </c>
      <c r="AH83" s="63">
        <v>2.8299999999999999E-2</v>
      </c>
      <c r="AI83" s="63">
        <v>8.6999999999999994E-2</v>
      </c>
      <c r="AJ83" s="63">
        <v>1.47E-2</v>
      </c>
      <c r="AK83" s="63">
        <v>8.1699999999999995E-2</v>
      </c>
    </row>
    <row r="84" spans="1:37" ht="20.100000000000001" customHeight="1" x14ac:dyDescent="0.3">
      <c r="A84" s="22">
        <v>14</v>
      </c>
      <c r="B84" s="14" t="s">
        <v>31</v>
      </c>
      <c r="C84" s="14" t="s">
        <v>5</v>
      </c>
      <c r="D84" s="15" t="s">
        <v>29</v>
      </c>
      <c r="E84" s="16">
        <v>45394</v>
      </c>
      <c r="F84" s="17">
        <v>0.58680555555555558</v>
      </c>
      <c r="G84" s="15" t="s">
        <v>37</v>
      </c>
      <c r="H84" s="23">
        <v>21.3</v>
      </c>
      <c r="I84" s="23">
        <v>7.61</v>
      </c>
      <c r="J84" s="23">
        <v>10.199999999999999</v>
      </c>
      <c r="K84" s="45">
        <v>330</v>
      </c>
      <c r="L84" s="39">
        <v>3.2210000000000001</v>
      </c>
      <c r="M84" s="39"/>
      <c r="N84" s="39">
        <v>0.48799999999999999</v>
      </c>
      <c r="O84" s="39">
        <v>2.409154906701044</v>
      </c>
      <c r="P84" s="39">
        <v>0.20265185356162441</v>
      </c>
      <c r="Q84" s="39">
        <v>2.8</v>
      </c>
      <c r="R84" s="39">
        <v>7.3999999999999996E-2</v>
      </c>
      <c r="S84" s="39">
        <v>7.0000000000000007E-2</v>
      </c>
      <c r="T84" s="39">
        <v>37.782982991834189</v>
      </c>
      <c r="U84" s="39">
        <v>8.94</v>
      </c>
      <c r="V84" s="39">
        <v>4.2699999999999996</v>
      </c>
      <c r="W84" s="39">
        <v>16.5</v>
      </c>
      <c r="X84" s="39">
        <v>12.61424864341576</v>
      </c>
      <c r="Y84" s="18"/>
      <c r="Z84" s="76">
        <v>29.99</v>
      </c>
      <c r="AA84" s="76">
        <v>20.41</v>
      </c>
      <c r="AB84" s="76">
        <v>16.07</v>
      </c>
      <c r="AC84" s="76">
        <v>3.3000000000000003</v>
      </c>
      <c r="AD84" s="76">
        <v>30.23</v>
      </c>
      <c r="AE84" s="57">
        <f t="shared" si="5"/>
        <v>100</v>
      </c>
      <c r="AG84" s="63">
        <v>6.0999999999999999E-2</v>
      </c>
      <c r="AH84" s="63">
        <v>2.92E-2</v>
      </c>
      <c r="AI84" s="63">
        <v>8.8300000000000003E-2</v>
      </c>
      <c r="AJ84" s="63">
        <v>1.29E-2</v>
      </c>
      <c r="AK84" s="63">
        <v>9.9699999999999997E-2</v>
      </c>
    </row>
    <row r="85" spans="1:37" ht="20.100000000000001" customHeight="1" x14ac:dyDescent="0.3">
      <c r="A85" s="22">
        <v>15</v>
      </c>
      <c r="B85" s="14" t="s">
        <v>31</v>
      </c>
      <c r="C85" s="14" t="s">
        <v>35</v>
      </c>
      <c r="D85" s="15" t="s">
        <v>29</v>
      </c>
      <c r="E85" s="16">
        <v>45394</v>
      </c>
      <c r="F85" s="17">
        <v>0.58333333333333337</v>
      </c>
      <c r="G85" s="15" t="s">
        <v>37</v>
      </c>
      <c r="H85" s="23">
        <v>19.2</v>
      </c>
      <c r="I85" s="23">
        <v>8.1999999999999993</v>
      </c>
      <c r="J85" s="23">
        <v>10.36</v>
      </c>
      <c r="K85" s="45">
        <v>265</v>
      </c>
      <c r="L85" s="39">
        <v>2.9990000000000001</v>
      </c>
      <c r="M85" s="39"/>
      <c r="N85" s="39">
        <v>8.3000000000000004E-2</v>
      </c>
      <c r="O85" s="39">
        <v>2.8600034333719488</v>
      </c>
      <c r="P85" s="39">
        <v>1.7071790625036165E-3</v>
      </c>
      <c r="Q85" s="39">
        <v>2.4</v>
      </c>
      <c r="R85" s="39">
        <v>7.3999999999999996E-2</v>
      </c>
      <c r="S85" s="39">
        <v>7.0999999999999994E-2</v>
      </c>
      <c r="T85" s="39">
        <v>20.981463254273066</v>
      </c>
      <c r="U85" s="39">
        <v>10.39</v>
      </c>
      <c r="V85" s="39">
        <v>5.64</v>
      </c>
      <c r="W85" s="39">
        <v>12.4</v>
      </c>
      <c r="X85" s="39">
        <v>16.465379552633163</v>
      </c>
      <c r="Y85" s="18"/>
      <c r="Z85" s="76">
        <v>38.81</v>
      </c>
      <c r="AA85" s="76">
        <v>22.189999999999998</v>
      </c>
      <c r="AB85" s="76">
        <v>14.31</v>
      </c>
      <c r="AC85" s="76">
        <v>5.4</v>
      </c>
      <c r="AD85" s="76">
        <v>19.29</v>
      </c>
      <c r="AE85" s="57">
        <f t="shared" si="5"/>
        <v>100</v>
      </c>
      <c r="AG85" s="63">
        <v>7.3999999999999996E-2</v>
      </c>
      <c r="AH85" s="63">
        <v>5.3800000000000001E-2</v>
      </c>
      <c r="AI85" s="63">
        <v>5.6800000000000003E-2</v>
      </c>
      <c r="AJ85" s="63">
        <v>3.61E-2</v>
      </c>
      <c r="AK85" s="63">
        <v>6.6299999999999998E-2</v>
      </c>
    </row>
    <row r="86" spans="1:37" ht="20.100000000000001" customHeight="1" x14ac:dyDescent="0.3">
      <c r="A86" s="31">
        <v>16</v>
      </c>
      <c r="B86" s="32" t="s">
        <v>38</v>
      </c>
      <c r="C86" s="32" t="s">
        <v>38</v>
      </c>
      <c r="D86" s="33" t="s">
        <v>39</v>
      </c>
      <c r="E86" s="42">
        <v>45394</v>
      </c>
      <c r="F86" s="34">
        <v>0.60763888888888895</v>
      </c>
      <c r="G86" s="33" t="s">
        <v>37</v>
      </c>
      <c r="H86" s="43">
        <v>16.7</v>
      </c>
      <c r="I86" s="43">
        <v>7.74</v>
      </c>
      <c r="J86" s="43">
        <v>9.69</v>
      </c>
      <c r="K86" s="44">
        <v>280</v>
      </c>
      <c r="L86" s="41">
        <v>4.0350000000000001</v>
      </c>
      <c r="M86" s="41"/>
      <c r="N86" s="41">
        <v>0.11600000000000001</v>
      </c>
      <c r="O86" s="41">
        <v>3.6370006163330189</v>
      </c>
      <c r="P86" s="41">
        <v>7.1019486261476195E-2</v>
      </c>
      <c r="Q86" s="41">
        <v>3.7</v>
      </c>
      <c r="R86" s="41">
        <v>7.6999999999999999E-2</v>
      </c>
      <c r="S86" s="41">
        <v>7.0999999999999994E-2</v>
      </c>
      <c r="T86" s="41">
        <v>20.656813665762371</v>
      </c>
      <c r="U86" s="41">
        <v>7.92</v>
      </c>
      <c r="V86" s="41">
        <v>4.59</v>
      </c>
      <c r="W86" s="41">
        <v>12.1</v>
      </c>
      <c r="X86" s="41">
        <v>13.006279806017819</v>
      </c>
      <c r="Y86" s="36"/>
      <c r="Z86" s="76">
        <v>28.43</v>
      </c>
      <c r="AA86" s="76">
        <v>17.72</v>
      </c>
      <c r="AB86" s="76">
        <v>20.95</v>
      </c>
      <c r="AC86" s="76">
        <v>3.77</v>
      </c>
      <c r="AD86" s="76">
        <v>29.13</v>
      </c>
      <c r="AE86" s="57">
        <f t="shared" si="5"/>
        <v>99.999999999999986</v>
      </c>
      <c r="AG86" s="63">
        <v>3.32E-2</v>
      </c>
      <c r="AH86" s="63">
        <v>2.6700000000000002E-2</v>
      </c>
      <c r="AI86" s="63">
        <v>9.0800000000000006E-2</v>
      </c>
      <c r="AJ86" s="63">
        <v>1.8599999999999998E-2</v>
      </c>
      <c r="AK86" s="63">
        <v>7.9100000000000004E-2</v>
      </c>
    </row>
    <row r="87" spans="1:37" ht="20.100000000000001" customHeight="1" x14ac:dyDescent="0.3">
      <c r="A87" s="31">
        <v>17</v>
      </c>
      <c r="B87" s="32" t="s">
        <v>38</v>
      </c>
      <c r="C87" s="32" t="s">
        <v>38</v>
      </c>
      <c r="D87" s="33" t="s">
        <v>41</v>
      </c>
      <c r="E87" s="42">
        <v>45393</v>
      </c>
      <c r="F87" s="34">
        <v>0.5625</v>
      </c>
      <c r="G87" s="33" t="s">
        <v>37</v>
      </c>
      <c r="H87" s="43">
        <v>20</v>
      </c>
      <c r="I87" s="43">
        <v>7.57</v>
      </c>
      <c r="J87" s="43">
        <v>9.91</v>
      </c>
      <c r="K87" s="44">
        <v>372</v>
      </c>
      <c r="L87" s="41">
        <v>4.7130000000000001</v>
      </c>
      <c r="M87" s="41"/>
      <c r="N87" s="41">
        <v>0.129</v>
      </c>
      <c r="O87" s="41">
        <v>4.3850525263799121</v>
      </c>
      <c r="P87" s="41">
        <v>6.3094173518871088E-2</v>
      </c>
      <c r="Q87" s="41">
        <v>3.7</v>
      </c>
      <c r="R87" s="41">
        <v>8.3000000000000004E-2</v>
      </c>
      <c r="S87" s="41">
        <v>7.5999999999999998E-2</v>
      </c>
      <c r="T87" s="41">
        <v>42.086888752878899</v>
      </c>
      <c r="U87" s="41">
        <v>11.24</v>
      </c>
      <c r="V87" s="41">
        <v>5.97</v>
      </c>
      <c r="W87" s="41">
        <v>17.3</v>
      </c>
      <c r="X87" s="41">
        <v>11.329123160711552</v>
      </c>
      <c r="Y87" s="36"/>
      <c r="Z87" s="76">
        <v>32.450000000000003</v>
      </c>
      <c r="AA87" s="76">
        <v>29.32</v>
      </c>
      <c r="AB87" s="76">
        <v>13.43</v>
      </c>
      <c r="AC87" s="76">
        <v>7.03</v>
      </c>
      <c r="AD87" s="76">
        <v>17.77</v>
      </c>
      <c r="AE87" s="57">
        <f t="shared" si="5"/>
        <v>100</v>
      </c>
      <c r="AG87" s="63">
        <v>5.7700000000000001E-2</v>
      </c>
      <c r="AH87" s="63">
        <v>2.52E-2</v>
      </c>
      <c r="AI87" s="63">
        <v>3.56E-2</v>
      </c>
      <c r="AJ87" s="63">
        <v>5.7599999999999998E-2</v>
      </c>
      <c r="AK87" s="63">
        <v>6.0699999999999997E-2</v>
      </c>
    </row>
    <row r="88" spans="1:37" ht="20.100000000000001" customHeight="1" x14ac:dyDescent="0.3">
      <c r="A88" s="31">
        <v>18</v>
      </c>
      <c r="B88" s="32" t="s">
        <v>38</v>
      </c>
      <c r="C88" s="32" t="s">
        <v>38</v>
      </c>
      <c r="D88" s="33" t="s">
        <v>42</v>
      </c>
      <c r="E88" s="42">
        <v>45393</v>
      </c>
      <c r="F88" s="34">
        <v>0.62847222222222221</v>
      </c>
      <c r="G88" s="33" t="s">
        <v>37</v>
      </c>
      <c r="H88" s="43">
        <v>18.399999999999999</v>
      </c>
      <c r="I88" s="43">
        <v>7.16</v>
      </c>
      <c r="J88" s="43">
        <v>8.81</v>
      </c>
      <c r="K88" s="44">
        <v>393</v>
      </c>
      <c r="L88" s="41">
        <v>5.0999999999999996</v>
      </c>
      <c r="M88" s="41"/>
      <c r="N88" s="41">
        <v>0.374</v>
      </c>
      <c r="O88" s="41">
        <v>4.4413298229600713</v>
      </c>
      <c r="P88" s="41">
        <v>0.15166091643205315</v>
      </c>
      <c r="Q88" s="41">
        <v>4</v>
      </c>
      <c r="R88" s="41">
        <v>6.2E-2</v>
      </c>
      <c r="S88" s="41">
        <v>5.3999999999999999E-2</v>
      </c>
      <c r="T88" s="41">
        <v>46.199351722238532</v>
      </c>
      <c r="U88" s="41">
        <v>11.5</v>
      </c>
      <c r="V88" s="41">
        <v>5.45</v>
      </c>
      <c r="W88" s="41">
        <v>19.100000000000001</v>
      </c>
      <c r="X88" s="41">
        <v>11.436419136503728</v>
      </c>
      <c r="Y88" s="36"/>
      <c r="Z88" s="76">
        <v>38.690000000000005</v>
      </c>
      <c r="AA88" s="76">
        <v>28.01</v>
      </c>
      <c r="AB88" s="76">
        <v>13.38</v>
      </c>
      <c r="AC88" s="76">
        <v>5.9700000000000006</v>
      </c>
      <c r="AD88" s="76">
        <v>13.950000000000001</v>
      </c>
      <c r="AE88" s="57">
        <f t="shared" si="5"/>
        <v>100</v>
      </c>
      <c r="AG88" s="63">
        <v>8.0500000000000002E-2</v>
      </c>
      <c r="AH88" s="63">
        <v>4.3099999999999999E-2</v>
      </c>
      <c r="AI88" s="63">
        <v>3.7400000000000003E-2</v>
      </c>
      <c r="AJ88" s="63">
        <v>5.4699999999999999E-2</v>
      </c>
      <c r="AK88" s="63">
        <v>4.8000000000000001E-2</v>
      </c>
    </row>
    <row r="89" spans="1:37" ht="20.100000000000001" customHeight="1" x14ac:dyDescent="0.3">
      <c r="A89" s="31">
        <v>19</v>
      </c>
      <c r="B89" s="32" t="s">
        <v>38</v>
      </c>
      <c r="C89" s="32" t="s">
        <v>43</v>
      </c>
      <c r="D89" s="33" t="s">
        <v>40</v>
      </c>
      <c r="E89" s="42">
        <v>45393</v>
      </c>
      <c r="F89" s="34">
        <v>0.56597222222222221</v>
      </c>
      <c r="G89" s="33" t="s">
        <v>37</v>
      </c>
      <c r="H89" s="43">
        <v>20.399999999999999</v>
      </c>
      <c r="I89" s="43">
        <v>7.15</v>
      </c>
      <c r="J89" s="43">
        <v>9.94</v>
      </c>
      <c r="K89" s="44">
        <v>427</v>
      </c>
      <c r="L89" s="41">
        <v>4.4729999999999999</v>
      </c>
      <c r="M89" s="41"/>
      <c r="N89" s="41">
        <v>0.26700000000000002</v>
      </c>
      <c r="O89" s="41">
        <v>3.9058742648607598</v>
      </c>
      <c r="P89" s="41">
        <v>7.8217782921411683E-2</v>
      </c>
      <c r="Q89" s="41">
        <v>3.9</v>
      </c>
      <c r="R89" s="41">
        <v>0.02</v>
      </c>
      <c r="S89" s="41">
        <v>7.0000000000000001E-3</v>
      </c>
      <c r="T89" s="41">
        <v>64.491191417810811</v>
      </c>
      <c r="U89" s="41">
        <v>12.27</v>
      </c>
      <c r="V89" s="41">
        <v>6.11</v>
      </c>
      <c r="W89" s="41">
        <v>20.2</v>
      </c>
      <c r="X89" s="41">
        <v>10.396885695613589</v>
      </c>
      <c r="Y89" s="36"/>
      <c r="Z89" s="76">
        <v>27.43</v>
      </c>
      <c r="AA89" s="76">
        <v>38.619999999999997</v>
      </c>
      <c r="AB89" s="76">
        <v>12.18</v>
      </c>
      <c r="AC89" s="76">
        <v>6.35</v>
      </c>
      <c r="AD89" s="76">
        <v>15.42</v>
      </c>
      <c r="AE89" s="57">
        <f t="shared" si="5"/>
        <v>99.999999999999986</v>
      </c>
      <c r="AG89" s="63">
        <v>5.7299999999999997E-2</v>
      </c>
      <c r="AH89" s="63">
        <v>1.61E-2</v>
      </c>
      <c r="AI89" s="63">
        <v>2.58E-2</v>
      </c>
      <c r="AJ89" s="63">
        <v>6.6900000000000001E-2</v>
      </c>
      <c r="AK89" s="63">
        <v>5.4300000000000001E-2</v>
      </c>
    </row>
    <row r="90" spans="1:37" ht="20.100000000000001" customHeight="1" x14ac:dyDescent="0.3">
      <c r="A90" s="31">
        <v>20</v>
      </c>
      <c r="B90" s="32" t="s">
        <v>38</v>
      </c>
      <c r="C90" s="32" t="s">
        <v>43</v>
      </c>
      <c r="D90" s="33" t="s">
        <v>44</v>
      </c>
      <c r="E90" s="42">
        <v>45393</v>
      </c>
      <c r="F90" s="34">
        <v>0.57291666666666663</v>
      </c>
      <c r="G90" s="33" t="s">
        <v>37</v>
      </c>
      <c r="H90" s="43">
        <v>17.7</v>
      </c>
      <c r="I90" s="43">
        <v>8.4600000000000009</v>
      </c>
      <c r="J90" s="43">
        <v>13.23</v>
      </c>
      <c r="K90" s="44">
        <v>488</v>
      </c>
      <c r="L90" s="41">
        <v>5.1660000000000004</v>
      </c>
      <c r="M90" s="41"/>
      <c r="N90" s="41">
        <v>6.3E-2</v>
      </c>
      <c r="O90" s="41">
        <v>4.9679283032825374</v>
      </c>
      <c r="P90" s="41">
        <v>0.12958430283036404</v>
      </c>
      <c r="Q90" s="41">
        <v>2.9</v>
      </c>
      <c r="R90" s="41">
        <v>4.8000000000000001E-2</v>
      </c>
      <c r="S90" s="41">
        <v>2.3E-2</v>
      </c>
      <c r="T90" s="41">
        <v>53.23904304944535</v>
      </c>
      <c r="U90" s="41">
        <v>10.25</v>
      </c>
      <c r="V90" s="41">
        <v>7.37</v>
      </c>
      <c r="W90" s="41">
        <v>23.4</v>
      </c>
      <c r="X90" s="41">
        <v>10.85344472189681</v>
      </c>
      <c r="Y90" s="36"/>
      <c r="Z90" s="76">
        <v>33.489999999999995</v>
      </c>
      <c r="AA90" s="76">
        <v>25.55</v>
      </c>
      <c r="AB90" s="76">
        <v>14.87</v>
      </c>
      <c r="AC90" s="76">
        <v>7.25</v>
      </c>
      <c r="AD90" s="76">
        <v>18.84</v>
      </c>
      <c r="AE90" s="57">
        <f t="shared" si="5"/>
        <v>100</v>
      </c>
      <c r="AG90" s="63">
        <v>8.0699999999999994E-2</v>
      </c>
      <c r="AH90" s="63">
        <v>4.1000000000000002E-2</v>
      </c>
      <c r="AI90" s="63">
        <v>2.9499999999999998E-2</v>
      </c>
      <c r="AJ90" s="63">
        <v>6.1800000000000001E-2</v>
      </c>
      <c r="AK90" s="63">
        <v>5.6500000000000002E-2</v>
      </c>
    </row>
    <row r="91" spans="1:37" ht="20.100000000000001" customHeight="1" x14ac:dyDescent="0.3">
      <c r="A91" s="22">
        <v>21</v>
      </c>
      <c r="B91" s="14" t="s">
        <v>45</v>
      </c>
      <c r="C91" s="14" t="s">
        <v>45</v>
      </c>
      <c r="D91" s="15" t="s">
        <v>46</v>
      </c>
      <c r="E91" s="16">
        <v>45393</v>
      </c>
      <c r="F91" s="17">
        <v>0.44097222222222227</v>
      </c>
      <c r="G91" s="15" t="s">
        <v>37</v>
      </c>
      <c r="H91" s="23">
        <v>14.7</v>
      </c>
      <c r="I91" s="23">
        <v>7.64</v>
      </c>
      <c r="J91" s="23">
        <v>10.1</v>
      </c>
      <c r="K91" s="45">
        <v>195</v>
      </c>
      <c r="L91" s="39">
        <v>1.575</v>
      </c>
      <c r="M91" s="39"/>
      <c r="N91" s="39">
        <v>3.9E-2</v>
      </c>
      <c r="O91" s="39">
        <v>1.4978781437023474</v>
      </c>
      <c r="P91" s="39" t="s">
        <v>68</v>
      </c>
      <c r="Q91" s="39">
        <v>1.7</v>
      </c>
      <c r="R91" s="39">
        <v>6.0000000000000001E-3</v>
      </c>
      <c r="S91" s="39">
        <v>2E-3</v>
      </c>
      <c r="T91" s="39">
        <v>11.157679937554409</v>
      </c>
      <c r="U91" s="39">
        <v>4.84</v>
      </c>
      <c r="V91" s="39">
        <v>5.72</v>
      </c>
      <c r="W91" s="39">
        <v>8.6999999999999993</v>
      </c>
      <c r="X91" s="39">
        <v>14.992753436048833</v>
      </c>
      <c r="Y91" s="18"/>
      <c r="Z91" s="76">
        <v>12.13</v>
      </c>
      <c r="AA91" s="76">
        <v>9.91</v>
      </c>
      <c r="AB91" s="76">
        <v>27.639999999999997</v>
      </c>
      <c r="AC91" s="76">
        <v>3.9800000000000004</v>
      </c>
      <c r="AD91" s="76">
        <v>46.34</v>
      </c>
      <c r="AE91" s="57">
        <f t="shared" si="5"/>
        <v>100</v>
      </c>
      <c r="AG91" s="63">
        <v>4.6300000000000001E-2</v>
      </c>
      <c r="AH91" s="63">
        <v>2.1100000000000001E-2</v>
      </c>
      <c r="AI91" s="63">
        <v>9.8000000000000004E-2</v>
      </c>
      <c r="AJ91" s="63">
        <v>1.47E-2</v>
      </c>
      <c r="AK91" s="63">
        <v>7.5300000000000006E-2</v>
      </c>
    </row>
    <row r="92" spans="1:37" ht="20.100000000000001" customHeight="1" x14ac:dyDescent="0.3">
      <c r="A92" s="22">
        <v>22</v>
      </c>
      <c r="B92" s="14" t="s">
        <v>45</v>
      </c>
      <c r="C92" s="14" t="s">
        <v>45</v>
      </c>
      <c r="D92" s="19" t="s">
        <v>47</v>
      </c>
      <c r="E92" s="16">
        <v>45393</v>
      </c>
      <c r="F92" s="20">
        <v>0.46180555555555558</v>
      </c>
      <c r="G92" s="15" t="s">
        <v>37</v>
      </c>
      <c r="H92" s="23">
        <v>17.3</v>
      </c>
      <c r="I92" s="23">
        <v>7.3</v>
      </c>
      <c r="J92" s="23">
        <v>9.5</v>
      </c>
      <c r="K92" s="45">
        <v>232</v>
      </c>
      <c r="L92" s="40">
        <v>1.9910000000000001</v>
      </c>
      <c r="M92" s="40"/>
      <c r="N92" s="40">
        <v>4.2000000000000003E-2</v>
      </c>
      <c r="O92" s="40">
        <v>1.8417102276897697</v>
      </c>
      <c r="P92" s="39" t="s">
        <v>68</v>
      </c>
      <c r="Q92" s="40">
        <v>2.7</v>
      </c>
      <c r="R92" s="40">
        <v>5.3999999999999999E-2</v>
      </c>
      <c r="S92" s="40">
        <v>5.0999999999999997E-2</v>
      </c>
      <c r="T92" s="40">
        <v>17.228406114095094</v>
      </c>
      <c r="U92" s="40">
        <v>7.46</v>
      </c>
      <c r="V92" s="40">
        <v>3.75</v>
      </c>
      <c r="W92" s="40">
        <v>11.3</v>
      </c>
      <c r="X92" s="40">
        <v>13.044520469711662</v>
      </c>
      <c r="Y92" s="21"/>
      <c r="Z92" s="76">
        <v>33.200000000000003</v>
      </c>
      <c r="AA92" s="76">
        <v>13.04</v>
      </c>
      <c r="AB92" s="76">
        <v>16.580000000000002</v>
      </c>
      <c r="AC92" s="76">
        <v>3.7199999999999998</v>
      </c>
      <c r="AD92" s="76">
        <v>33.46</v>
      </c>
      <c r="AE92" s="57">
        <f t="shared" si="5"/>
        <v>100</v>
      </c>
      <c r="AG92" s="63">
        <v>4.8899999999999999E-2</v>
      </c>
      <c r="AH92" s="63">
        <v>2.23E-2</v>
      </c>
      <c r="AI92" s="63">
        <v>9.35E-2</v>
      </c>
      <c r="AJ92" s="63">
        <v>1.78E-2</v>
      </c>
      <c r="AK92" s="63">
        <v>8.1100000000000005E-2</v>
      </c>
    </row>
    <row r="93" spans="1:37" ht="20.100000000000001" customHeight="1" x14ac:dyDescent="0.3">
      <c r="A93" s="22">
        <v>23</v>
      </c>
      <c r="B93" s="14" t="s">
        <v>45</v>
      </c>
      <c r="C93" s="14" t="s">
        <v>45</v>
      </c>
      <c r="D93" s="19" t="s">
        <v>29</v>
      </c>
      <c r="E93" s="16">
        <v>45393</v>
      </c>
      <c r="F93" s="20">
        <v>0.47569444444444442</v>
      </c>
      <c r="G93" s="15" t="s">
        <v>37</v>
      </c>
      <c r="H93" s="23">
        <v>17.8</v>
      </c>
      <c r="I93" s="23">
        <v>7.54</v>
      </c>
      <c r="J93" s="23">
        <v>10.7</v>
      </c>
      <c r="K93" s="45">
        <v>237</v>
      </c>
      <c r="L93" s="40">
        <v>2.1120000000000001</v>
      </c>
      <c r="M93" s="40"/>
      <c r="N93" s="40">
        <v>5.7000000000000002E-2</v>
      </c>
      <c r="O93" s="40">
        <v>1.9377533187741629</v>
      </c>
      <c r="P93" s="39" t="s">
        <v>68</v>
      </c>
      <c r="Q93" s="40">
        <v>2.8</v>
      </c>
      <c r="R93" s="40">
        <v>4.8000000000000001E-2</v>
      </c>
      <c r="S93" s="40">
        <v>4.2999999999999997E-2</v>
      </c>
      <c r="T93" s="40">
        <v>18.676808109788333</v>
      </c>
      <c r="U93" s="40">
        <v>7.95</v>
      </c>
      <c r="V93" s="40">
        <v>4.3499999999999996</v>
      </c>
      <c r="W93" s="40">
        <v>12.1</v>
      </c>
      <c r="X93" s="40">
        <v>13.065326733831593</v>
      </c>
      <c r="Y93" s="21"/>
      <c r="Z93" s="76">
        <v>28.360000000000003</v>
      </c>
      <c r="AA93" s="76">
        <v>17.649999999999999</v>
      </c>
      <c r="AB93" s="76">
        <v>22.470000000000002</v>
      </c>
      <c r="AC93" s="76">
        <v>3.0300000000000002</v>
      </c>
      <c r="AD93" s="76">
        <v>28.49</v>
      </c>
      <c r="AE93" s="57">
        <f t="shared" si="5"/>
        <v>100</v>
      </c>
      <c r="AG93" s="63">
        <v>4.8099999999999997E-2</v>
      </c>
      <c r="AH93" s="63">
        <v>3.1600000000000003E-2</v>
      </c>
      <c r="AI93" s="63">
        <v>9.0499999999999997E-2</v>
      </c>
      <c r="AJ93" s="63">
        <v>1.44E-2</v>
      </c>
      <c r="AK93" s="63">
        <v>8.2799999999999999E-2</v>
      </c>
    </row>
    <row r="94" spans="1:37" ht="20.100000000000001" customHeight="1" thickBot="1" x14ac:dyDescent="0.35">
      <c r="A94" s="46">
        <v>24</v>
      </c>
      <c r="B94" s="47" t="s">
        <v>45</v>
      </c>
      <c r="C94" s="47" t="s">
        <v>45</v>
      </c>
      <c r="D94" s="48" t="s">
        <v>48</v>
      </c>
      <c r="E94" s="49">
        <v>45393</v>
      </c>
      <c r="F94" s="50">
        <v>0.48958333333333331</v>
      </c>
      <c r="G94" s="48" t="s">
        <v>37</v>
      </c>
      <c r="H94" s="51">
        <v>16.899999999999999</v>
      </c>
      <c r="I94" s="51">
        <v>7.29</v>
      </c>
      <c r="J94" s="51">
        <v>8.75</v>
      </c>
      <c r="K94" s="52">
        <v>248</v>
      </c>
      <c r="L94" s="53">
        <v>2.1680000000000001</v>
      </c>
      <c r="M94" s="53"/>
      <c r="N94" s="53">
        <v>6.5000000000000002E-2</v>
      </c>
      <c r="O94" s="53">
        <v>1.9645769962820305</v>
      </c>
      <c r="P94" s="53" t="s">
        <v>68</v>
      </c>
      <c r="Q94" s="53">
        <v>2.7</v>
      </c>
      <c r="R94" s="53">
        <v>3.7999999999999999E-2</v>
      </c>
      <c r="S94" s="53">
        <v>3.3000000000000002E-2</v>
      </c>
      <c r="T94" s="53">
        <v>18.945319130868253</v>
      </c>
      <c r="U94" s="53">
        <v>8.2100000000000009</v>
      </c>
      <c r="V94" s="53">
        <v>4.57</v>
      </c>
      <c r="W94" s="53">
        <v>13.4</v>
      </c>
      <c r="X94" s="53">
        <v>12.926440961420095</v>
      </c>
      <c r="Y94" s="54"/>
      <c r="Z94" s="76">
        <v>31.15</v>
      </c>
      <c r="AA94" s="76">
        <v>17.93</v>
      </c>
      <c r="AB94" s="76">
        <v>20.47</v>
      </c>
      <c r="AC94" s="76">
        <v>3.27</v>
      </c>
      <c r="AD94" s="76">
        <v>27.18</v>
      </c>
      <c r="AE94" s="57">
        <f t="shared" si="5"/>
        <v>100</v>
      </c>
      <c r="AG94" s="63">
        <v>2.8199999999999999E-2</v>
      </c>
      <c r="AH94" s="63">
        <v>2.3400000000000001E-2</v>
      </c>
      <c r="AI94" s="63">
        <v>8.6999999999999994E-2</v>
      </c>
      <c r="AJ94" s="63">
        <v>1.6299999999999999E-2</v>
      </c>
      <c r="AK94" s="63">
        <v>7.51E-2</v>
      </c>
    </row>
    <row r="95" spans="1:37" ht="20.100000000000001" customHeight="1" x14ac:dyDescent="0.3"/>
    <row r="96" spans="1:37" ht="20.100000000000001" customHeight="1" x14ac:dyDescent="0.3"/>
    <row r="97" spans="1:37" ht="20.100000000000001" customHeight="1" x14ac:dyDescent="0.3"/>
    <row r="98" spans="1:37" ht="20.100000000000001" customHeight="1" x14ac:dyDescent="0.3"/>
    <row r="99" spans="1:37" ht="20.100000000000001" customHeight="1" x14ac:dyDescent="0.3">
      <c r="AJ99" s="65" t="s">
        <v>84</v>
      </c>
    </row>
    <row r="100" spans="1:37" ht="20.100000000000001" customHeight="1" thickBot="1" x14ac:dyDescent="0.35">
      <c r="Z100" t="s">
        <v>90</v>
      </c>
    </row>
    <row r="101" spans="1:37" ht="20.100000000000001" customHeight="1" thickBot="1" x14ac:dyDescent="0.35">
      <c r="A101" s="83" t="s">
        <v>1</v>
      </c>
      <c r="B101" s="85" t="s">
        <v>61</v>
      </c>
      <c r="C101" s="85" t="s">
        <v>62</v>
      </c>
      <c r="D101" s="83" t="s">
        <v>7</v>
      </c>
      <c r="E101" s="87" t="s">
        <v>8</v>
      </c>
      <c r="F101" s="88"/>
      <c r="G101" s="78" t="s">
        <v>9</v>
      </c>
      <c r="H101" s="78"/>
      <c r="I101" s="78"/>
      <c r="J101" s="78"/>
      <c r="K101" s="78"/>
      <c r="L101" s="79" t="s">
        <v>55</v>
      </c>
      <c r="M101" s="80"/>
      <c r="N101" s="80"/>
      <c r="O101" s="80"/>
      <c r="P101" s="80"/>
      <c r="Q101" s="80"/>
      <c r="R101" s="80"/>
      <c r="S101" s="80"/>
      <c r="T101" s="80"/>
      <c r="U101" s="8"/>
      <c r="V101" s="8"/>
      <c r="W101" s="8"/>
      <c r="X101" s="8"/>
      <c r="Y101" s="81" t="s">
        <v>10</v>
      </c>
      <c r="Z101" s="55" t="s">
        <v>88</v>
      </c>
      <c r="AE101">
        <v>1</v>
      </c>
      <c r="AG101" s="55" t="s">
        <v>89</v>
      </c>
    </row>
    <row r="102" spans="1:37" ht="20.100000000000001" customHeight="1" thickBot="1" x14ac:dyDescent="0.35">
      <c r="A102" s="84"/>
      <c r="B102" s="84"/>
      <c r="C102" s="84"/>
      <c r="D102" s="86"/>
      <c r="E102" s="1" t="s">
        <v>0</v>
      </c>
      <c r="F102" s="4" t="s">
        <v>11</v>
      </c>
      <c r="G102" s="4" t="s">
        <v>12</v>
      </c>
      <c r="H102" s="4" t="s">
        <v>13</v>
      </c>
      <c r="I102" s="4" t="s">
        <v>14</v>
      </c>
      <c r="J102" s="4" t="s">
        <v>15</v>
      </c>
      <c r="K102" s="4" t="s">
        <v>16</v>
      </c>
      <c r="L102" s="4" t="s">
        <v>6</v>
      </c>
      <c r="M102" s="4" t="s">
        <v>50</v>
      </c>
      <c r="N102" s="4" t="s">
        <v>2</v>
      </c>
      <c r="O102" s="4" t="s">
        <v>3</v>
      </c>
      <c r="P102" s="4" t="s">
        <v>51</v>
      </c>
      <c r="Q102" s="4" t="s">
        <v>52</v>
      </c>
      <c r="R102" s="4" t="s">
        <v>53</v>
      </c>
      <c r="S102" s="4" t="s">
        <v>54</v>
      </c>
      <c r="T102" s="6" t="s">
        <v>4</v>
      </c>
      <c r="U102" s="9" t="s">
        <v>65</v>
      </c>
      <c r="V102" s="9" t="s">
        <v>66</v>
      </c>
      <c r="W102" s="9" t="s">
        <v>63</v>
      </c>
      <c r="X102" s="9" t="s">
        <v>64</v>
      </c>
      <c r="Y102" s="82"/>
      <c r="Z102" s="55" t="s">
        <v>73</v>
      </c>
      <c r="AA102" s="55" t="s">
        <v>74</v>
      </c>
      <c r="AB102" s="55" t="s">
        <v>75</v>
      </c>
      <c r="AC102" s="55" t="s">
        <v>76</v>
      </c>
      <c r="AD102" s="55" t="s">
        <v>77</v>
      </c>
      <c r="AE102" s="56" t="s">
        <v>78</v>
      </c>
      <c r="AG102" s="55" t="s">
        <v>73</v>
      </c>
      <c r="AH102" s="55" t="s">
        <v>74</v>
      </c>
      <c r="AI102" s="55" t="s">
        <v>75</v>
      </c>
      <c r="AJ102" s="55" t="s">
        <v>76</v>
      </c>
      <c r="AK102" s="55" t="s">
        <v>77</v>
      </c>
    </row>
    <row r="103" spans="1:37" ht="20.100000000000001" customHeight="1" x14ac:dyDescent="0.3">
      <c r="A103" s="30">
        <v>1</v>
      </c>
      <c r="B103" s="25" t="s">
        <v>17</v>
      </c>
      <c r="C103" s="25" t="s">
        <v>17</v>
      </c>
      <c r="D103" s="10" t="s">
        <v>18</v>
      </c>
      <c r="E103" s="11">
        <v>45394</v>
      </c>
      <c r="F103" s="12">
        <v>0.40625</v>
      </c>
      <c r="G103" s="10" t="s">
        <v>19</v>
      </c>
      <c r="H103" s="37">
        <v>13.4</v>
      </c>
      <c r="I103" s="37">
        <v>7.66</v>
      </c>
      <c r="J103" s="37">
        <v>11.37</v>
      </c>
      <c r="K103" s="37">
        <v>200.1</v>
      </c>
      <c r="L103" s="38">
        <v>1.5620000000000001</v>
      </c>
      <c r="M103" s="38"/>
      <c r="N103" s="38">
        <v>2.8000000000000001E-2</v>
      </c>
      <c r="O103" s="38">
        <v>1.5338708615263741</v>
      </c>
      <c r="P103" s="38" t="s">
        <v>68</v>
      </c>
      <c r="Q103" s="38">
        <v>1.2</v>
      </c>
      <c r="R103" s="38">
        <v>1.9E-2</v>
      </c>
      <c r="S103" s="38">
        <v>1.4999999999999999E-2</v>
      </c>
      <c r="T103" s="38">
        <v>21.926092412394119</v>
      </c>
      <c r="U103" s="38">
        <v>6.79</v>
      </c>
      <c r="V103" s="38">
        <v>2.9</v>
      </c>
      <c r="W103" s="38" t="s">
        <v>67</v>
      </c>
      <c r="X103" s="38">
        <v>6.8100892305781313</v>
      </c>
      <c r="Y103" s="13"/>
      <c r="Z103" s="76">
        <v>25.52</v>
      </c>
      <c r="AA103" s="76">
        <v>12.29</v>
      </c>
      <c r="AB103" s="76">
        <v>14.71</v>
      </c>
      <c r="AC103" s="76">
        <v>2.5299999999999998</v>
      </c>
      <c r="AD103" s="76">
        <v>44.95</v>
      </c>
      <c r="AE103" s="57">
        <f t="shared" ref="AE103:AE126" si="6">SUM(Z103:AD103)</f>
        <v>100</v>
      </c>
      <c r="AG103" s="63">
        <v>1.09E-2</v>
      </c>
      <c r="AH103" s="63">
        <v>5.0000000000000001E-3</v>
      </c>
      <c r="AI103" s="63">
        <v>3.0000000000000001E-3</v>
      </c>
      <c r="AJ103" s="63">
        <v>1.6999999999999999E-3</v>
      </c>
      <c r="AK103" s="63">
        <v>1.7999999999999999E-2</v>
      </c>
    </row>
    <row r="104" spans="1:37" ht="20.100000000000001" customHeight="1" x14ac:dyDescent="0.3">
      <c r="A104" s="22">
        <v>2</v>
      </c>
      <c r="B104" s="14" t="s">
        <v>17</v>
      </c>
      <c r="C104" s="14" t="s">
        <v>17</v>
      </c>
      <c r="D104" s="15" t="s">
        <v>20</v>
      </c>
      <c r="E104" s="16">
        <v>45394</v>
      </c>
      <c r="F104" s="17">
        <v>0.4375</v>
      </c>
      <c r="G104" s="15" t="s">
        <v>19</v>
      </c>
      <c r="H104" s="24">
        <v>17.899999999999999</v>
      </c>
      <c r="I104" s="24">
        <v>7.63</v>
      </c>
      <c r="J104" s="24">
        <v>10.66</v>
      </c>
      <c r="K104" s="24">
        <v>381</v>
      </c>
      <c r="L104" s="39">
        <v>5.1319999999999997</v>
      </c>
      <c r="M104" s="39"/>
      <c r="N104" s="39">
        <v>0.82399999999999995</v>
      </c>
      <c r="O104" s="39">
        <v>3.8056685669511721</v>
      </c>
      <c r="P104" s="39">
        <v>0.75779406996970966</v>
      </c>
      <c r="Q104" s="39">
        <v>3.4</v>
      </c>
      <c r="R104" s="39">
        <v>4.1000000000000002E-2</v>
      </c>
      <c r="S104" s="39">
        <v>2.9000000000000001E-2</v>
      </c>
      <c r="T104" s="39">
        <v>48.553205182927933</v>
      </c>
      <c r="U104" s="39">
        <v>10.94</v>
      </c>
      <c r="V104" s="39">
        <v>0.19</v>
      </c>
      <c r="W104" s="39">
        <v>91.9</v>
      </c>
      <c r="X104" s="39">
        <v>11.530193967408453</v>
      </c>
      <c r="Y104" s="18"/>
      <c r="Z104" s="76">
        <v>45.1</v>
      </c>
      <c r="AA104" s="76">
        <v>20.27</v>
      </c>
      <c r="AB104" s="76">
        <v>8.14</v>
      </c>
      <c r="AC104" s="76">
        <v>1.63</v>
      </c>
      <c r="AD104" s="76">
        <v>24.86</v>
      </c>
      <c r="AE104" s="57">
        <f t="shared" si="6"/>
        <v>100</v>
      </c>
      <c r="AG104" s="63">
        <v>2.9899999999999999E-2</v>
      </c>
      <c r="AH104" s="63">
        <v>1.35E-2</v>
      </c>
      <c r="AI104" s="63">
        <v>4.4999999999999997E-3</v>
      </c>
      <c r="AJ104" s="63">
        <v>1.5E-3</v>
      </c>
      <c r="AK104" s="63">
        <v>1.8100000000000002E-2</v>
      </c>
    </row>
    <row r="105" spans="1:37" ht="20.100000000000001" customHeight="1" x14ac:dyDescent="0.3">
      <c r="A105" s="22">
        <v>3</v>
      </c>
      <c r="B105" s="14" t="s">
        <v>17</v>
      </c>
      <c r="C105" s="14" t="s">
        <v>17</v>
      </c>
      <c r="D105" s="15" t="s">
        <v>21</v>
      </c>
      <c r="E105" s="16">
        <v>45394</v>
      </c>
      <c r="F105" s="17">
        <v>0.4513888888888889</v>
      </c>
      <c r="G105" s="15" t="s">
        <v>19</v>
      </c>
      <c r="H105" s="24">
        <v>19.100000000000001</v>
      </c>
      <c r="I105" s="24">
        <v>7.58</v>
      </c>
      <c r="J105" s="24">
        <v>9.67</v>
      </c>
      <c r="K105" s="24">
        <v>357</v>
      </c>
      <c r="L105" s="39">
        <v>4.3529999999999998</v>
      </c>
      <c r="M105" s="39"/>
      <c r="N105" s="39">
        <v>0.90200000000000002</v>
      </c>
      <c r="O105" s="39">
        <v>2.9836540688462629</v>
      </c>
      <c r="P105" s="39">
        <v>0.5708632001190197</v>
      </c>
      <c r="Q105" s="39">
        <v>3.5</v>
      </c>
      <c r="R105" s="39">
        <v>7.8E-2</v>
      </c>
      <c r="S105" s="39">
        <v>6.9000000000000006E-2</v>
      </c>
      <c r="T105" s="39">
        <v>42.668927928854785</v>
      </c>
      <c r="U105" s="39">
        <v>10.09</v>
      </c>
      <c r="V105" s="39">
        <v>1.5</v>
      </c>
      <c r="W105" s="39">
        <v>25.3</v>
      </c>
      <c r="X105" s="39">
        <v>11.842993595465368</v>
      </c>
      <c r="Y105" s="18"/>
      <c r="Z105" s="76">
        <v>40.849999999999994</v>
      </c>
      <c r="AA105" s="76">
        <v>19.32</v>
      </c>
      <c r="AB105" s="76">
        <v>9.9699999999999989</v>
      </c>
      <c r="AC105" s="76">
        <v>2.1</v>
      </c>
      <c r="AD105" s="76">
        <v>27.76</v>
      </c>
      <c r="AE105" s="57">
        <f t="shared" si="6"/>
        <v>99.999999999999986</v>
      </c>
      <c r="AG105" s="63">
        <v>2.52E-2</v>
      </c>
      <c r="AH105" s="63">
        <v>1.15E-2</v>
      </c>
      <c r="AI105" s="63">
        <v>4.0000000000000001E-3</v>
      </c>
      <c r="AJ105" s="63">
        <v>1.1999999999999999E-3</v>
      </c>
      <c r="AK105" s="63">
        <v>1.7600000000000001E-2</v>
      </c>
    </row>
    <row r="106" spans="1:37" ht="20.100000000000001" customHeight="1" x14ac:dyDescent="0.3">
      <c r="A106" s="22">
        <v>4</v>
      </c>
      <c r="B106" s="14" t="s">
        <v>17</v>
      </c>
      <c r="C106" s="14" t="s">
        <v>17</v>
      </c>
      <c r="D106" s="15" t="s">
        <v>22</v>
      </c>
      <c r="E106" s="16">
        <v>45394</v>
      </c>
      <c r="F106" s="17">
        <v>0.46527777777777773</v>
      </c>
      <c r="G106" s="15" t="s">
        <v>19</v>
      </c>
      <c r="H106" s="24">
        <v>20.399999999999999</v>
      </c>
      <c r="I106" s="24">
        <v>7.35</v>
      </c>
      <c r="J106" s="24">
        <v>9</v>
      </c>
      <c r="K106" s="24">
        <v>348</v>
      </c>
      <c r="L106" s="39">
        <v>3.8969999999999998</v>
      </c>
      <c r="M106" s="39"/>
      <c r="N106" s="39">
        <v>0.78200000000000003</v>
      </c>
      <c r="O106" s="39">
        <v>2.6470789824688241</v>
      </c>
      <c r="P106" s="39">
        <v>0.50575484929842918</v>
      </c>
      <c r="Q106" s="39">
        <v>3.5</v>
      </c>
      <c r="R106" s="39">
        <v>5.8999999999999997E-2</v>
      </c>
      <c r="S106" s="39">
        <v>4.8000000000000001E-2</v>
      </c>
      <c r="T106" s="39">
        <v>41.228925543629487</v>
      </c>
      <c r="U106" s="39">
        <v>10.63</v>
      </c>
      <c r="V106" s="39">
        <v>2.19</v>
      </c>
      <c r="W106" s="39">
        <v>19.899999999999999</v>
      </c>
      <c r="X106" s="39">
        <v>12.303652359256734</v>
      </c>
      <c r="Y106" s="18"/>
      <c r="Z106" s="76">
        <v>41.83</v>
      </c>
      <c r="AA106" s="76">
        <v>22.03</v>
      </c>
      <c r="AB106" s="76">
        <v>10.190000000000001</v>
      </c>
      <c r="AC106" s="76">
        <v>2.44</v>
      </c>
      <c r="AD106" s="76">
        <v>23.51</v>
      </c>
      <c r="AE106" s="57">
        <f t="shared" si="6"/>
        <v>100</v>
      </c>
      <c r="AG106" s="63">
        <v>2.3400000000000001E-2</v>
      </c>
      <c r="AH106" s="63">
        <v>1.14E-2</v>
      </c>
      <c r="AI106" s="63">
        <v>3.7000000000000002E-3</v>
      </c>
      <c r="AJ106" s="63">
        <v>1.4E-3</v>
      </c>
      <c r="AK106" s="63">
        <v>1.2999999999999999E-2</v>
      </c>
    </row>
    <row r="107" spans="1:37" ht="20.100000000000001" customHeight="1" x14ac:dyDescent="0.3">
      <c r="A107" s="31">
        <v>5</v>
      </c>
      <c r="B107" s="32" t="s">
        <v>23</v>
      </c>
      <c r="C107" s="32" t="s">
        <v>23</v>
      </c>
      <c r="D107" s="33" t="s">
        <v>24</v>
      </c>
      <c r="E107" s="42">
        <v>45394</v>
      </c>
      <c r="F107" s="34">
        <v>0.625</v>
      </c>
      <c r="G107" s="33" t="s">
        <v>19</v>
      </c>
      <c r="H107" s="35">
        <v>23.3</v>
      </c>
      <c r="I107" s="35">
        <v>8.59</v>
      </c>
      <c r="J107" s="35">
        <v>9.51</v>
      </c>
      <c r="K107" s="35">
        <v>167.4</v>
      </c>
      <c r="L107" s="41">
        <v>1.5269999999999999</v>
      </c>
      <c r="M107" s="41"/>
      <c r="N107" s="41">
        <v>2.8000000000000001E-2</v>
      </c>
      <c r="O107" s="41">
        <v>1.3577461209228088</v>
      </c>
      <c r="P107" s="41" t="s">
        <v>68</v>
      </c>
      <c r="Q107" s="41">
        <v>2.5</v>
      </c>
      <c r="R107" s="41">
        <v>2.5000000000000001E-2</v>
      </c>
      <c r="S107" s="41">
        <v>8.9999999999999993E-3</v>
      </c>
      <c r="T107" s="41">
        <v>13.465682479565089</v>
      </c>
      <c r="U107" s="41">
        <v>5.58</v>
      </c>
      <c r="V107" s="41">
        <v>6.49</v>
      </c>
      <c r="W107" s="41">
        <v>8.1999999999999993</v>
      </c>
      <c r="X107" s="41">
        <v>15.388054287513553</v>
      </c>
      <c r="Y107" s="36"/>
      <c r="Z107" s="76">
        <v>19.43</v>
      </c>
      <c r="AA107" s="76">
        <v>10.780000000000001</v>
      </c>
      <c r="AB107" s="76">
        <v>24.08</v>
      </c>
      <c r="AC107" s="76">
        <v>4.95</v>
      </c>
      <c r="AD107" s="76">
        <v>40.760000000000005</v>
      </c>
      <c r="AE107" s="57">
        <f t="shared" si="6"/>
        <v>100</v>
      </c>
      <c r="AG107" s="63">
        <v>1.35E-2</v>
      </c>
      <c r="AH107" s="63">
        <v>3.5999999999999999E-3</v>
      </c>
      <c r="AI107" s="63">
        <v>2.5000000000000001E-3</v>
      </c>
      <c r="AJ107" s="63">
        <v>1E-3</v>
      </c>
      <c r="AK107" s="63">
        <v>1.5699999999999999E-2</v>
      </c>
    </row>
    <row r="108" spans="1:37" ht="20.100000000000001" customHeight="1" x14ac:dyDescent="0.3">
      <c r="A108" s="31">
        <v>6</v>
      </c>
      <c r="B108" s="32" t="s">
        <v>23</v>
      </c>
      <c r="C108" s="32" t="s">
        <v>23</v>
      </c>
      <c r="D108" s="33" t="s">
        <v>25</v>
      </c>
      <c r="E108" s="42">
        <v>45394</v>
      </c>
      <c r="F108" s="34">
        <v>0.63888888888888895</v>
      </c>
      <c r="G108" s="33" t="s">
        <v>19</v>
      </c>
      <c r="H108" s="35">
        <v>20.5</v>
      </c>
      <c r="I108" s="35">
        <v>7.61</v>
      </c>
      <c r="J108" s="35">
        <v>10.02</v>
      </c>
      <c r="K108" s="35">
        <v>279</v>
      </c>
      <c r="L108" s="41">
        <v>2.8879999999999999</v>
      </c>
      <c r="M108" s="41"/>
      <c r="N108" s="41">
        <v>0.128</v>
      </c>
      <c r="O108" s="41">
        <v>2.3599395974240749</v>
      </c>
      <c r="P108" s="41">
        <v>4.16973481937844E-2</v>
      </c>
      <c r="Q108" s="41">
        <v>3.8</v>
      </c>
      <c r="R108" s="41">
        <v>0.13700000000000001</v>
      </c>
      <c r="S108" s="41">
        <v>0.13200000000000001</v>
      </c>
      <c r="T108" s="41">
        <v>24.609506883467702</v>
      </c>
      <c r="U108" s="41">
        <v>6.75</v>
      </c>
      <c r="V108" s="41">
        <v>7.6</v>
      </c>
      <c r="W108" s="41">
        <v>14.7</v>
      </c>
      <c r="X108" s="41">
        <v>11.914577909851953</v>
      </c>
      <c r="Y108" s="36"/>
      <c r="Z108" s="76">
        <v>23.56</v>
      </c>
      <c r="AA108" s="76">
        <v>14.87</v>
      </c>
      <c r="AB108" s="76">
        <v>22.75</v>
      </c>
      <c r="AC108" s="76">
        <v>6.24</v>
      </c>
      <c r="AD108" s="76">
        <v>32.58</v>
      </c>
      <c r="AE108" s="57">
        <f t="shared" si="6"/>
        <v>100</v>
      </c>
      <c r="AG108" s="63">
        <v>7.7000000000000002E-3</v>
      </c>
      <c r="AH108" s="63">
        <v>2.8999999999999998E-3</v>
      </c>
      <c r="AI108" s="63">
        <v>1.9E-3</v>
      </c>
      <c r="AJ108" s="63">
        <v>2E-3</v>
      </c>
      <c r="AK108" s="63">
        <v>9.2999999999999992E-3</v>
      </c>
    </row>
    <row r="109" spans="1:37" ht="20.100000000000001" customHeight="1" x14ac:dyDescent="0.3">
      <c r="A109" s="31">
        <v>7</v>
      </c>
      <c r="B109" s="32" t="s">
        <v>23</v>
      </c>
      <c r="C109" s="32" t="s">
        <v>23</v>
      </c>
      <c r="D109" s="33" t="s">
        <v>26</v>
      </c>
      <c r="E109" s="42">
        <v>45393</v>
      </c>
      <c r="F109" s="34">
        <v>0.63888888888888895</v>
      </c>
      <c r="G109" s="33" t="s">
        <v>19</v>
      </c>
      <c r="H109" s="43">
        <v>17.5</v>
      </c>
      <c r="I109" s="43">
        <v>7.38</v>
      </c>
      <c r="J109" s="43">
        <v>9.8800000000000008</v>
      </c>
      <c r="K109" s="44">
        <v>267</v>
      </c>
      <c r="L109" s="41">
        <v>3.016</v>
      </c>
      <c r="M109" s="41"/>
      <c r="N109" s="41">
        <v>0.191</v>
      </c>
      <c r="O109" s="41">
        <v>2.4391271227247548</v>
      </c>
      <c r="P109" s="41">
        <v>7.7295428737773897E-2</v>
      </c>
      <c r="Q109" s="41">
        <v>4.3</v>
      </c>
      <c r="R109" s="41">
        <v>0.251</v>
      </c>
      <c r="S109" s="41">
        <v>0.249</v>
      </c>
      <c r="T109" s="41">
        <v>21.663703887468678</v>
      </c>
      <c r="U109" s="41">
        <v>8.2100000000000009</v>
      </c>
      <c r="V109" s="41">
        <v>5.56</v>
      </c>
      <c r="W109" s="41">
        <v>19.2</v>
      </c>
      <c r="X109" s="41">
        <v>10.009981831868686</v>
      </c>
      <c r="Y109" s="36"/>
      <c r="Z109" s="76">
        <v>30.259999999999998</v>
      </c>
      <c r="AA109" s="76">
        <v>18.34</v>
      </c>
      <c r="AB109" s="76">
        <v>16.53</v>
      </c>
      <c r="AC109" s="76">
        <v>4.4400000000000004</v>
      </c>
      <c r="AD109" s="76">
        <v>30.43</v>
      </c>
      <c r="AE109" s="57">
        <f t="shared" si="6"/>
        <v>100</v>
      </c>
      <c r="AG109" s="63">
        <v>1.11E-2</v>
      </c>
      <c r="AH109" s="63">
        <v>3.3999999999999998E-3</v>
      </c>
      <c r="AI109" s="63">
        <v>3.8E-3</v>
      </c>
      <c r="AJ109" s="63">
        <v>1.5E-3</v>
      </c>
      <c r="AK109" s="63">
        <v>1.0200000000000001E-2</v>
      </c>
    </row>
    <row r="110" spans="1:37" ht="20.100000000000001" customHeight="1" x14ac:dyDescent="0.3">
      <c r="A110" s="31">
        <v>8</v>
      </c>
      <c r="B110" s="32" t="s">
        <v>23</v>
      </c>
      <c r="C110" s="32" t="s">
        <v>27</v>
      </c>
      <c r="D110" s="33" t="s">
        <v>28</v>
      </c>
      <c r="E110" s="42">
        <v>45393</v>
      </c>
      <c r="F110" s="34">
        <v>0.65277777777777779</v>
      </c>
      <c r="G110" s="33" t="s">
        <v>19</v>
      </c>
      <c r="H110" s="43">
        <v>15.2</v>
      </c>
      <c r="I110" s="43">
        <v>7.18</v>
      </c>
      <c r="J110" s="43">
        <v>8.57</v>
      </c>
      <c r="K110" s="44">
        <v>447</v>
      </c>
      <c r="L110" s="41">
        <v>10.587</v>
      </c>
      <c r="M110" s="41"/>
      <c r="N110" s="41">
        <v>7.5830000000000002</v>
      </c>
      <c r="O110" s="41">
        <v>0.97586059085562704</v>
      </c>
      <c r="P110" s="41">
        <v>8.6902733014795064E-2</v>
      </c>
      <c r="Q110" s="41">
        <v>13.8</v>
      </c>
      <c r="R110" s="41">
        <v>4.4939999999999998</v>
      </c>
      <c r="S110" s="41">
        <v>4.4489999999999998</v>
      </c>
      <c r="T110" s="41">
        <v>28.874406034046217</v>
      </c>
      <c r="U110" s="41">
        <v>1.58</v>
      </c>
      <c r="V110" s="41">
        <v>-0.43</v>
      </c>
      <c r="W110" s="41">
        <v>29.5</v>
      </c>
      <c r="X110" s="41">
        <v>10.352175185906143</v>
      </c>
      <c r="Y110" s="36"/>
      <c r="Z110" s="76">
        <v>3.49</v>
      </c>
      <c r="AA110" s="76">
        <v>1.55</v>
      </c>
      <c r="AB110" s="76">
        <v>14.17</v>
      </c>
      <c r="AC110" s="76">
        <v>0.97</v>
      </c>
      <c r="AD110" s="76">
        <v>79.820000000000007</v>
      </c>
      <c r="AE110" s="57">
        <f t="shared" si="6"/>
        <v>100</v>
      </c>
      <c r="AG110" s="63">
        <v>5.4000000000000003E-3</v>
      </c>
      <c r="AH110" s="63">
        <v>3.5000000000000001E-3</v>
      </c>
      <c r="AI110" s="63">
        <v>8.8000000000000005E-3</v>
      </c>
      <c r="AJ110" s="63">
        <v>2.5999999999999999E-3</v>
      </c>
      <c r="AK110" s="63">
        <v>1.55E-2</v>
      </c>
    </row>
    <row r="111" spans="1:37" ht="20.100000000000001" customHeight="1" x14ac:dyDescent="0.3">
      <c r="A111" s="31">
        <v>9</v>
      </c>
      <c r="B111" s="32" t="s">
        <v>23</v>
      </c>
      <c r="C111" s="32" t="s">
        <v>27</v>
      </c>
      <c r="D111" s="33" t="s">
        <v>30</v>
      </c>
      <c r="E111" s="42">
        <v>45393</v>
      </c>
      <c r="F111" s="34">
        <v>0.64236111111111105</v>
      </c>
      <c r="G111" s="33" t="s">
        <v>19</v>
      </c>
      <c r="H111" s="43">
        <v>17.600000000000001</v>
      </c>
      <c r="I111" s="43">
        <v>8.07</v>
      </c>
      <c r="J111" s="43">
        <v>12.5</v>
      </c>
      <c r="K111" s="44">
        <v>306</v>
      </c>
      <c r="L111" s="41">
        <v>5.1479999999999997</v>
      </c>
      <c r="M111" s="41"/>
      <c r="N111" s="41">
        <v>0.44400000000000001</v>
      </c>
      <c r="O111" s="41">
        <v>3.8062637015242489</v>
      </c>
      <c r="P111" s="41">
        <v>0.37424985100928226</v>
      </c>
      <c r="Q111" s="41">
        <v>8.3000000000000007</v>
      </c>
      <c r="R111" s="41">
        <v>1.298</v>
      </c>
      <c r="S111" s="41">
        <v>1.2909999999999999</v>
      </c>
      <c r="T111" s="41">
        <v>22.829088136986975</v>
      </c>
      <c r="U111" s="41">
        <v>12.48</v>
      </c>
      <c r="V111" s="41">
        <v>2.62</v>
      </c>
      <c r="W111" s="41" t="s">
        <v>67</v>
      </c>
      <c r="X111" s="41">
        <v>12.076708490286192</v>
      </c>
      <c r="Y111" s="36"/>
      <c r="Z111" s="76">
        <v>44.16</v>
      </c>
      <c r="AA111" s="76">
        <v>29.53</v>
      </c>
      <c r="AB111" s="76">
        <v>8.67</v>
      </c>
      <c r="AC111" s="76">
        <v>2.67</v>
      </c>
      <c r="AD111" s="76">
        <v>14.97</v>
      </c>
      <c r="AE111" s="57">
        <f t="shared" si="6"/>
        <v>100</v>
      </c>
      <c r="AG111" s="63">
        <v>1.9300000000000001E-2</v>
      </c>
      <c r="AH111" s="63">
        <v>8.8000000000000005E-3</v>
      </c>
      <c r="AI111" s="63">
        <v>3.7000000000000002E-3</v>
      </c>
      <c r="AJ111" s="63">
        <v>1.8E-3</v>
      </c>
      <c r="AK111" s="63">
        <v>1.12E-2</v>
      </c>
    </row>
    <row r="112" spans="1:37" ht="20.100000000000001" customHeight="1" x14ac:dyDescent="0.3">
      <c r="A112" s="22">
        <v>10</v>
      </c>
      <c r="B112" s="14" t="s">
        <v>31</v>
      </c>
      <c r="C112" s="14" t="s">
        <v>31</v>
      </c>
      <c r="D112" s="15" t="s">
        <v>32</v>
      </c>
      <c r="E112" s="16">
        <v>45394</v>
      </c>
      <c r="F112" s="17">
        <v>0.55902777777777779</v>
      </c>
      <c r="G112" s="15" t="s">
        <v>19</v>
      </c>
      <c r="H112" s="23">
        <v>20.100000000000001</v>
      </c>
      <c r="I112" s="23">
        <v>9.43</v>
      </c>
      <c r="J112" s="23">
        <v>13.8</v>
      </c>
      <c r="K112" s="45">
        <v>159.5</v>
      </c>
      <c r="L112" s="39">
        <v>1.5369999999999999</v>
      </c>
      <c r="M112" s="39"/>
      <c r="N112" s="39">
        <v>0.06</v>
      </c>
      <c r="O112" s="39">
        <v>1.3490559741266328</v>
      </c>
      <c r="P112" s="39" t="s">
        <v>68</v>
      </c>
      <c r="Q112" s="39">
        <v>2.4</v>
      </c>
      <c r="R112" s="39">
        <v>1.9E-2</v>
      </c>
      <c r="S112" s="39">
        <v>7.0000000000000001E-3</v>
      </c>
      <c r="T112" s="39">
        <v>10.187097958523417</v>
      </c>
      <c r="U112" s="39">
        <v>8.51</v>
      </c>
      <c r="V112" s="39">
        <v>8.32</v>
      </c>
      <c r="W112" s="39">
        <v>8.6999999999999993</v>
      </c>
      <c r="X112" s="39">
        <v>13.328055480267331</v>
      </c>
      <c r="Y112" s="18"/>
      <c r="Z112" s="76">
        <v>27.77</v>
      </c>
      <c r="AA112" s="76">
        <v>21.27</v>
      </c>
      <c r="AB112" s="76">
        <v>19.48</v>
      </c>
      <c r="AC112" s="76">
        <v>7.37</v>
      </c>
      <c r="AD112" s="76">
        <v>24.11</v>
      </c>
      <c r="AE112" s="57">
        <f t="shared" si="6"/>
        <v>100</v>
      </c>
      <c r="AG112" s="63">
        <v>7.4000000000000003E-3</v>
      </c>
      <c r="AH112" s="63">
        <v>3.8E-3</v>
      </c>
      <c r="AI112" s="63">
        <v>3.7000000000000002E-3</v>
      </c>
      <c r="AJ112" s="63">
        <v>2.3999999999999998E-3</v>
      </c>
      <c r="AK112" s="63">
        <v>6.4000000000000003E-3</v>
      </c>
    </row>
    <row r="113" spans="1:37" ht="20.100000000000001" customHeight="1" x14ac:dyDescent="0.3">
      <c r="A113" s="22">
        <v>11</v>
      </c>
      <c r="B113" s="14" t="s">
        <v>31</v>
      </c>
      <c r="C113" s="14" t="s">
        <v>31</v>
      </c>
      <c r="D113" s="15" t="s">
        <v>33</v>
      </c>
      <c r="E113" s="16">
        <v>45394</v>
      </c>
      <c r="F113" s="17">
        <v>0.60416666666666663</v>
      </c>
      <c r="G113" s="15" t="s">
        <v>19</v>
      </c>
      <c r="H113" s="23">
        <v>18.8</v>
      </c>
      <c r="I113" s="23">
        <v>7.93</v>
      </c>
      <c r="J113" s="23">
        <v>10.17</v>
      </c>
      <c r="K113" s="45">
        <v>192.7</v>
      </c>
      <c r="L113" s="39">
        <v>2.169</v>
      </c>
      <c r="M113" s="39"/>
      <c r="N113" s="39">
        <v>2.1999999999999999E-2</v>
      </c>
      <c r="O113" s="39">
        <v>2.0674211944327476</v>
      </c>
      <c r="P113" s="39" t="s">
        <v>68</v>
      </c>
      <c r="Q113" s="39">
        <v>2</v>
      </c>
      <c r="R113" s="39">
        <v>4.7E-2</v>
      </c>
      <c r="S113" s="39">
        <v>4.2999999999999997E-2</v>
      </c>
      <c r="T113" s="39">
        <v>12.831242270508705</v>
      </c>
      <c r="U113" s="39">
        <v>8.24</v>
      </c>
      <c r="V113" s="39">
        <v>6.51</v>
      </c>
      <c r="W113" s="39">
        <v>11.6</v>
      </c>
      <c r="X113" s="39">
        <v>13.545452837707971</v>
      </c>
      <c r="Y113" s="18"/>
      <c r="Z113" s="76">
        <v>29.28</v>
      </c>
      <c r="AA113" s="76">
        <v>19.16</v>
      </c>
      <c r="AB113" s="76">
        <v>17.78</v>
      </c>
      <c r="AC113" s="76">
        <v>5.28</v>
      </c>
      <c r="AD113" s="76">
        <v>28.499999999999996</v>
      </c>
      <c r="AE113" s="57">
        <f t="shared" si="6"/>
        <v>100</v>
      </c>
      <c r="AG113" s="63">
        <v>8.8999999999999999E-3</v>
      </c>
      <c r="AH113" s="63">
        <v>3.2000000000000002E-3</v>
      </c>
      <c r="AI113" s="63">
        <v>2.7000000000000001E-3</v>
      </c>
      <c r="AJ113" s="63">
        <v>1.6999999999999999E-3</v>
      </c>
      <c r="AK113" s="63">
        <v>8.2000000000000007E-3</v>
      </c>
    </row>
    <row r="114" spans="1:37" ht="20.100000000000001" customHeight="1" x14ac:dyDescent="0.3">
      <c r="A114" s="22">
        <v>12</v>
      </c>
      <c r="B114" s="14" t="s">
        <v>31</v>
      </c>
      <c r="C114" s="14" t="s">
        <v>31</v>
      </c>
      <c r="D114" s="15" t="s">
        <v>34</v>
      </c>
      <c r="E114" s="16">
        <v>45394</v>
      </c>
      <c r="F114" s="17">
        <v>0.61111111111111105</v>
      </c>
      <c r="G114" s="15" t="s">
        <v>19</v>
      </c>
      <c r="H114" s="23">
        <v>20.6</v>
      </c>
      <c r="I114" s="23">
        <v>8.49</v>
      </c>
      <c r="J114" s="23">
        <v>11.2</v>
      </c>
      <c r="K114" s="45">
        <v>200.4</v>
      </c>
      <c r="L114" s="39">
        <v>2.4790000000000001</v>
      </c>
      <c r="M114" s="39"/>
      <c r="N114" s="39">
        <v>3.5000000000000003E-2</v>
      </c>
      <c r="O114" s="39">
        <v>2.3482003300928995</v>
      </c>
      <c r="P114" s="39" t="s">
        <v>68</v>
      </c>
      <c r="Q114" s="39">
        <v>2.1</v>
      </c>
      <c r="R114" s="39">
        <v>5.0999999999999997E-2</v>
      </c>
      <c r="S114" s="39">
        <v>4.8000000000000001E-2</v>
      </c>
      <c r="T114" s="39">
        <v>14.247692060289525</v>
      </c>
      <c r="U114" s="39">
        <v>8.6199999999999992</v>
      </c>
      <c r="V114" s="39">
        <v>5.83</v>
      </c>
      <c r="W114" s="39">
        <v>11.2</v>
      </c>
      <c r="X114" s="39">
        <v>14.539856019900043</v>
      </c>
      <c r="Y114" s="18"/>
      <c r="Z114" s="76">
        <v>31.16</v>
      </c>
      <c r="AA114" s="76">
        <v>19.689999999999998</v>
      </c>
      <c r="AB114" s="76">
        <v>16.36</v>
      </c>
      <c r="AC114" s="76">
        <v>4.71</v>
      </c>
      <c r="AD114" s="76">
        <v>28.08</v>
      </c>
      <c r="AE114" s="57">
        <f t="shared" si="6"/>
        <v>99.999999999999986</v>
      </c>
      <c r="AG114" s="63">
        <v>1.0699999999999999E-2</v>
      </c>
      <c r="AH114" s="63">
        <v>4.8999999999999998E-3</v>
      </c>
      <c r="AI114" s="63">
        <v>3.2000000000000002E-3</v>
      </c>
      <c r="AJ114" s="63">
        <v>1.5E-3</v>
      </c>
      <c r="AK114" s="63">
        <v>9.4999999999999998E-3</v>
      </c>
    </row>
    <row r="115" spans="1:37" ht="20.100000000000001" customHeight="1" x14ac:dyDescent="0.3">
      <c r="A115" s="22">
        <v>13</v>
      </c>
      <c r="B115" s="14" t="s">
        <v>31</v>
      </c>
      <c r="C115" s="14" t="s">
        <v>35</v>
      </c>
      <c r="D115" s="15" t="s">
        <v>36</v>
      </c>
      <c r="E115" s="16">
        <v>45394</v>
      </c>
      <c r="F115" s="17">
        <v>0.59375</v>
      </c>
      <c r="G115" s="15" t="s">
        <v>37</v>
      </c>
      <c r="H115" s="23">
        <v>20</v>
      </c>
      <c r="I115" s="23">
        <v>7.91</v>
      </c>
      <c r="J115" s="23">
        <v>10.9</v>
      </c>
      <c r="K115" s="45">
        <v>264</v>
      </c>
      <c r="L115" s="39">
        <v>3.7250000000000001</v>
      </c>
      <c r="M115" s="39"/>
      <c r="N115" s="39">
        <v>0.246</v>
      </c>
      <c r="O115" s="39">
        <v>3.3700928149145133</v>
      </c>
      <c r="P115" s="39">
        <v>6.9030757429925982E-2</v>
      </c>
      <c r="Q115" s="39">
        <v>2.2000000000000002</v>
      </c>
      <c r="R115" s="39">
        <v>0.106</v>
      </c>
      <c r="S115" s="39">
        <v>0.105</v>
      </c>
      <c r="T115" s="39">
        <v>20.963677081464517</v>
      </c>
      <c r="U115" s="39">
        <v>9.1300000000000008</v>
      </c>
      <c r="V115" s="39">
        <v>4.09</v>
      </c>
      <c r="W115" s="39">
        <v>9.3000000000000007</v>
      </c>
      <c r="X115" s="39">
        <v>15.702781473289019</v>
      </c>
      <c r="Y115" s="18"/>
      <c r="Z115" s="76">
        <v>34.760000000000005</v>
      </c>
      <c r="AA115" s="76">
        <v>19.45</v>
      </c>
      <c r="AB115" s="76">
        <v>13.66</v>
      </c>
      <c r="AC115" s="76">
        <v>3.4299999999999997</v>
      </c>
      <c r="AD115" s="76">
        <v>28.7</v>
      </c>
      <c r="AE115" s="57">
        <f t="shared" si="6"/>
        <v>100.00000000000001</v>
      </c>
      <c r="AG115" s="63">
        <v>1.6E-2</v>
      </c>
      <c r="AH115" s="63">
        <v>7.7999999999999996E-3</v>
      </c>
      <c r="AI115" s="63">
        <v>3.8E-3</v>
      </c>
      <c r="AJ115" s="63">
        <v>1.1000000000000001E-3</v>
      </c>
      <c r="AK115" s="63">
        <v>1.2800000000000001E-2</v>
      </c>
    </row>
    <row r="116" spans="1:37" ht="20.100000000000001" customHeight="1" x14ac:dyDescent="0.3">
      <c r="A116" s="22">
        <v>14</v>
      </c>
      <c r="B116" s="14" t="s">
        <v>31</v>
      </c>
      <c r="C116" s="14" t="s">
        <v>5</v>
      </c>
      <c r="D116" s="15" t="s">
        <v>29</v>
      </c>
      <c r="E116" s="16">
        <v>45394</v>
      </c>
      <c r="F116" s="17">
        <v>0.58680555555555558</v>
      </c>
      <c r="G116" s="15" t="s">
        <v>37</v>
      </c>
      <c r="H116" s="23">
        <v>21.3</v>
      </c>
      <c r="I116" s="23">
        <v>7.61</v>
      </c>
      <c r="J116" s="23">
        <v>10.199999999999999</v>
      </c>
      <c r="K116" s="45">
        <v>330</v>
      </c>
      <c r="L116" s="39">
        <v>3.2210000000000001</v>
      </c>
      <c r="M116" s="39"/>
      <c r="N116" s="39">
        <v>0.48799999999999999</v>
      </c>
      <c r="O116" s="39">
        <v>2.409154906701044</v>
      </c>
      <c r="P116" s="39">
        <v>0.20265185356162441</v>
      </c>
      <c r="Q116" s="39">
        <v>2.8</v>
      </c>
      <c r="R116" s="39">
        <v>7.3999999999999996E-2</v>
      </c>
      <c r="S116" s="39">
        <v>7.0000000000000007E-2</v>
      </c>
      <c r="T116" s="39">
        <v>37.782982991834189</v>
      </c>
      <c r="U116" s="39">
        <v>8.94</v>
      </c>
      <c r="V116" s="39">
        <v>4.2699999999999996</v>
      </c>
      <c r="W116" s="39">
        <v>16.5</v>
      </c>
      <c r="X116" s="39">
        <v>12.61424864341576</v>
      </c>
      <c r="Y116" s="18"/>
      <c r="Z116" s="76">
        <v>33.950000000000003</v>
      </c>
      <c r="AA116" s="76">
        <v>19.13</v>
      </c>
      <c r="AB116" s="76">
        <v>14.069999999999999</v>
      </c>
      <c r="AC116" s="76">
        <v>3.53</v>
      </c>
      <c r="AD116" s="76">
        <v>29.32</v>
      </c>
      <c r="AE116" s="57">
        <f t="shared" si="6"/>
        <v>100</v>
      </c>
      <c r="AG116" s="63">
        <v>1.52E-2</v>
      </c>
      <c r="AH116" s="63">
        <v>6.8999999999999999E-3</v>
      </c>
      <c r="AI116" s="63">
        <v>3.8999999999999998E-3</v>
      </c>
      <c r="AJ116" s="63">
        <v>1.1999999999999999E-3</v>
      </c>
      <c r="AK116" s="63">
        <v>1.2500000000000001E-2</v>
      </c>
    </row>
    <row r="117" spans="1:37" ht="20.100000000000001" customHeight="1" x14ac:dyDescent="0.3">
      <c r="A117" s="22">
        <v>15</v>
      </c>
      <c r="B117" s="14" t="s">
        <v>31</v>
      </c>
      <c r="C117" s="14" t="s">
        <v>35</v>
      </c>
      <c r="D117" s="15" t="s">
        <v>29</v>
      </c>
      <c r="E117" s="16">
        <v>45394</v>
      </c>
      <c r="F117" s="17">
        <v>0.58333333333333337</v>
      </c>
      <c r="G117" s="15" t="s">
        <v>37</v>
      </c>
      <c r="H117" s="23">
        <v>19.2</v>
      </c>
      <c r="I117" s="23">
        <v>8.1999999999999993</v>
      </c>
      <c r="J117" s="23">
        <v>10.36</v>
      </c>
      <c r="K117" s="45">
        <v>265</v>
      </c>
      <c r="L117" s="39">
        <v>2.9990000000000001</v>
      </c>
      <c r="M117" s="39"/>
      <c r="N117" s="39">
        <v>8.3000000000000004E-2</v>
      </c>
      <c r="O117" s="39">
        <v>2.8600034333719488</v>
      </c>
      <c r="P117" s="39">
        <v>1.7071790625036165E-3</v>
      </c>
      <c r="Q117" s="39">
        <v>2.4</v>
      </c>
      <c r="R117" s="39">
        <v>7.3999999999999996E-2</v>
      </c>
      <c r="S117" s="39">
        <v>7.0999999999999994E-2</v>
      </c>
      <c r="T117" s="39">
        <v>20.981463254273066</v>
      </c>
      <c r="U117" s="39">
        <v>10.39</v>
      </c>
      <c r="V117" s="39">
        <v>5.64</v>
      </c>
      <c r="W117" s="39">
        <v>12.4</v>
      </c>
      <c r="X117" s="39">
        <v>16.465379552633163</v>
      </c>
      <c r="Y117" s="18"/>
      <c r="Z117" s="76">
        <v>36.01</v>
      </c>
      <c r="AA117" s="76">
        <v>25.95</v>
      </c>
      <c r="AB117" s="76">
        <v>13.700000000000001</v>
      </c>
      <c r="AC117" s="76">
        <v>4.8</v>
      </c>
      <c r="AD117" s="76">
        <v>19.54</v>
      </c>
      <c r="AE117" s="57">
        <f t="shared" si="6"/>
        <v>100</v>
      </c>
      <c r="AG117" s="63">
        <v>1.2999999999999999E-2</v>
      </c>
      <c r="AH117" s="63">
        <v>5.4000000000000003E-3</v>
      </c>
      <c r="AI117" s="63">
        <v>3.0999999999999999E-3</v>
      </c>
      <c r="AJ117" s="63">
        <v>1.1000000000000001E-3</v>
      </c>
      <c r="AK117" s="63">
        <v>8.8999999999999999E-3</v>
      </c>
    </row>
    <row r="118" spans="1:37" ht="20.100000000000001" customHeight="1" x14ac:dyDescent="0.3">
      <c r="A118" s="31">
        <v>16</v>
      </c>
      <c r="B118" s="32" t="s">
        <v>38</v>
      </c>
      <c r="C118" s="32" t="s">
        <v>38</v>
      </c>
      <c r="D118" s="33" t="s">
        <v>39</v>
      </c>
      <c r="E118" s="42">
        <v>45394</v>
      </c>
      <c r="F118" s="34">
        <v>0.60763888888888895</v>
      </c>
      <c r="G118" s="33" t="s">
        <v>37</v>
      </c>
      <c r="H118" s="43">
        <v>16.7</v>
      </c>
      <c r="I118" s="43">
        <v>7.74</v>
      </c>
      <c r="J118" s="43">
        <v>9.69</v>
      </c>
      <c r="K118" s="44">
        <v>280</v>
      </c>
      <c r="L118" s="41">
        <v>4.0350000000000001</v>
      </c>
      <c r="M118" s="41"/>
      <c r="N118" s="41">
        <v>0.11600000000000001</v>
      </c>
      <c r="O118" s="41">
        <v>3.6370006163330189</v>
      </c>
      <c r="P118" s="41">
        <v>7.1019486261476195E-2</v>
      </c>
      <c r="Q118" s="41">
        <v>3.7</v>
      </c>
      <c r="R118" s="41">
        <v>7.6999999999999999E-2</v>
      </c>
      <c r="S118" s="41">
        <v>7.0999999999999994E-2</v>
      </c>
      <c r="T118" s="41">
        <v>20.656813665762371</v>
      </c>
      <c r="U118" s="41">
        <v>7.92</v>
      </c>
      <c r="V118" s="41">
        <v>4.59</v>
      </c>
      <c r="W118" s="41">
        <v>12.1</v>
      </c>
      <c r="X118" s="41">
        <v>13.006279806017819</v>
      </c>
      <c r="Y118" s="36"/>
      <c r="Z118" s="76">
        <v>30.349999999999998</v>
      </c>
      <c r="AA118" s="76">
        <v>16.79</v>
      </c>
      <c r="AB118" s="76">
        <v>15.58</v>
      </c>
      <c r="AC118" s="76">
        <v>3.65</v>
      </c>
      <c r="AD118" s="76">
        <v>33.629999999999995</v>
      </c>
      <c r="AE118" s="57">
        <f t="shared" si="6"/>
        <v>100</v>
      </c>
      <c r="AG118" s="63">
        <v>1.4E-2</v>
      </c>
      <c r="AH118" s="63">
        <v>3.0000000000000001E-3</v>
      </c>
      <c r="AI118" s="63">
        <v>4.5999999999999999E-3</v>
      </c>
      <c r="AJ118" s="63">
        <v>1.2999999999999999E-3</v>
      </c>
      <c r="AK118" s="63">
        <v>1.3599999999999999E-2</v>
      </c>
    </row>
    <row r="119" spans="1:37" ht="20.100000000000001" customHeight="1" x14ac:dyDescent="0.3">
      <c r="A119" s="31">
        <v>17</v>
      </c>
      <c r="B119" s="32" t="s">
        <v>38</v>
      </c>
      <c r="C119" s="32" t="s">
        <v>38</v>
      </c>
      <c r="D119" s="33" t="s">
        <v>41</v>
      </c>
      <c r="E119" s="42">
        <v>45393</v>
      </c>
      <c r="F119" s="34">
        <v>0.5625</v>
      </c>
      <c r="G119" s="33" t="s">
        <v>37</v>
      </c>
      <c r="H119" s="43">
        <v>20</v>
      </c>
      <c r="I119" s="43">
        <v>7.57</v>
      </c>
      <c r="J119" s="43">
        <v>9.91</v>
      </c>
      <c r="K119" s="44">
        <v>372</v>
      </c>
      <c r="L119" s="41">
        <v>4.7130000000000001</v>
      </c>
      <c r="M119" s="41"/>
      <c r="N119" s="41">
        <v>0.129</v>
      </c>
      <c r="O119" s="41">
        <v>4.3850525263799121</v>
      </c>
      <c r="P119" s="41">
        <v>6.3094173518871088E-2</v>
      </c>
      <c r="Q119" s="41">
        <v>3.7</v>
      </c>
      <c r="R119" s="41">
        <v>8.3000000000000004E-2</v>
      </c>
      <c r="S119" s="41">
        <v>7.5999999999999998E-2</v>
      </c>
      <c r="T119" s="41">
        <v>42.086888752878899</v>
      </c>
      <c r="U119" s="41">
        <v>11.24</v>
      </c>
      <c r="V119" s="41">
        <v>5.97</v>
      </c>
      <c r="W119" s="41">
        <v>17.3</v>
      </c>
      <c r="X119" s="41">
        <v>11.329123160711552</v>
      </c>
      <c r="Y119" s="36"/>
      <c r="Z119" s="76">
        <v>36.99</v>
      </c>
      <c r="AA119" s="76">
        <v>29.28</v>
      </c>
      <c r="AB119" s="76">
        <v>12.629999999999999</v>
      </c>
      <c r="AC119" s="76">
        <v>5.1400000000000006</v>
      </c>
      <c r="AD119" s="76">
        <v>15.959999999999999</v>
      </c>
      <c r="AE119" s="57">
        <f t="shared" si="6"/>
        <v>100</v>
      </c>
      <c r="AG119" s="63">
        <v>1.41E-2</v>
      </c>
      <c r="AH119" s="63">
        <v>7.7000000000000002E-3</v>
      </c>
      <c r="AI119" s="63">
        <v>3.5000000000000001E-3</v>
      </c>
      <c r="AJ119" s="63">
        <v>1.6999999999999999E-3</v>
      </c>
      <c r="AK119" s="63">
        <v>6.6E-3</v>
      </c>
    </row>
    <row r="120" spans="1:37" ht="20.100000000000001" customHeight="1" x14ac:dyDescent="0.3">
      <c r="A120" s="31">
        <v>18</v>
      </c>
      <c r="B120" s="32" t="s">
        <v>38</v>
      </c>
      <c r="C120" s="32" t="s">
        <v>38</v>
      </c>
      <c r="D120" s="33" t="s">
        <v>42</v>
      </c>
      <c r="E120" s="42">
        <v>45393</v>
      </c>
      <c r="F120" s="34">
        <v>0.62847222222222221</v>
      </c>
      <c r="G120" s="33" t="s">
        <v>37</v>
      </c>
      <c r="H120" s="43">
        <v>18.399999999999999</v>
      </c>
      <c r="I120" s="43">
        <v>7.16</v>
      </c>
      <c r="J120" s="43">
        <v>8.81</v>
      </c>
      <c r="K120" s="44">
        <v>393</v>
      </c>
      <c r="L120" s="41">
        <v>5.0999999999999996</v>
      </c>
      <c r="M120" s="41"/>
      <c r="N120" s="41">
        <v>0.374</v>
      </c>
      <c r="O120" s="41">
        <v>4.4413298229600713</v>
      </c>
      <c r="P120" s="41">
        <v>0.15166091643205315</v>
      </c>
      <c r="Q120" s="41">
        <v>4</v>
      </c>
      <c r="R120" s="41">
        <v>6.2E-2</v>
      </c>
      <c r="S120" s="41">
        <v>5.3999999999999999E-2</v>
      </c>
      <c r="T120" s="41">
        <v>46.199351722238532</v>
      </c>
      <c r="U120" s="41">
        <v>11.5</v>
      </c>
      <c r="V120" s="41">
        <v>5.45</v>
      </c>
      <c r="W120" s="41">
        <v>19.100000000000001</v>
      </c>
      <c r="X120" s="41">
        <v>11.436419136503728</v>
      </c>
      <c r="Y120" s="36"/>
      <c r="Z120" s="76">
        <v>38.17</v>
      </c>
      <c r="AA120" s="76">
        <v>29.64</v>
      </c>
      <c r="AB120" s="76">
        <v>11.89</v>
      </c>
      <c r="AC120" s="76">
        <v>4.67</v>
      </c>
      <c r="AD120" s="76">
        <v>15.629999999999999</v>
      </c>
      <c r="AE120" s="57">
        <f t="shared" si="6"/>
        <v>100</v>
      </c>
      <c r="AG120" s="63">
        <v>1.47E-2</v>
      </c>
      <c r="AH120" s="63">
        <v>7.9000000000000008E-3</v>
      </c>
      <c r="AI120" s="63">
        <v>3.3999999999999998E-3</v>
      </c>
      <c r="AJ120" s="63">
        <v>1.6999999999999999E-3</v>
      </c>
      <c r="AK120" s="63">
        <v>7.0000000000000001E-3</v>
      </c>
    </row>
    <row r="121" spans="1:37" ht="20.100000000000001" customHeight="1" x14ac:dyDescent="0.3">
      <c r="A121" s="31">
        <v>19</v>
      </c>
      <c r="B121" s="32" t="s">
        <v>38</v>
      </c>
      <c r="C121" s="32" t="s">
        <v>43</v>
      </c>
      <c r="D121" s="33" t="s">
        <v>40</v>
      </c>
      <c r="E121" s="42">
        <v>45393</v>
      </c>
      <c r="F121" s="34">
        <v>0.56597222222222221</v>
      </c>
      <c r="G121" s="33" t="s">
        <v>37</v>
      </c>
      <c r="H121" s="43">
        <v>20.399999999999999</v>
      </c>
      <c r="I121" s="43">
        <v>7.15</v>
      </c>
      <c r="J121" s="43">
        <v>9.94</v>
      </c>
      <c r="K121" s="44">
        <v>427</v>
      </c>
      <c r="L121" s="41">
        <v>4.4729999999999999</v>
      </c>
      <c r="M121" s="41"/>
      <c r="N121" s="41">
        <v>0.26700000000000002</v>
      </c>
      <c r="O121" s="41">
        <v>3.9058742648607598</v>
      </c>
      <c r="P121" s="41">
        <v>7.8217782921411683E-2</v>
      </c>
      <c r="Q121" s="41">
        <v>3.9</v>
      </c>
      <c r="R121" s="41">
        <v>0.02</v>
      </c>
      <c r="S121" s="41">
        <v>7.0000000000000001E-3</v>
      </c>
      <c r="T121" s="41">
        <v>64.491191417810811</v>
      </c>
      <c r="U121" s="41">
        <v>12.27</v>
      </c>
      <c r="V121" s="41">
        <v>6.11</v>
      </c>
      <c r="W121" s="41">
        <v>20.2</v>
      </c>
      <c r="X121" s="41">
        <v>10.396885695613589</v>
      </c>
      <c r="Y121" s="36"/>
      <c r="Z121" s="76">
        <v>36.4</v>
      </c>
      <c r="AA121" s="76">
        <v>33.29</v>
      </c>
      <c r="AB121" s="76">
        <v>11.42</v>
      </c>
      <c r="AC121" s="76">
        <v>5.13</v>
      </c>
      <c r="AD121" s="76">
        <v>13.76</v>
      </c>
      <c r="AE121" s="57">
        <f t="shared" si="6"/>
        <v>100</v>
      </c>
      <c r="AG121" s="63">
        <v>1.6500000000000001E-2</v>
      </c>
      <c r="AH121" s="63">
        <v>0.01</v>
      </c>
      <c r="AI121" s="63">
        <v>3.5000000000000001E-3</v>
      </c>
      <c r="AJ121" s="63">
        <v>2.0999999999999999E-3</v>
      </c>
      <c r="AK121" s="63">
        <v>5.1999999999999998E-3</v>
      </c>
    </row>
    <row r="122" spans="1:37" ht="20.100000000000001" customHeight="1" x14ac:dyDescent="0.3">
      <c r="A122" s="31">
        <v>20</v>
      </c>
      <c r="B122" s="32" t="s">
        <v>38</v>
      </c>
      <c r="C122" s="32" t="s">
        <v>43</v>
      </c>
      <c r="D122" s="33" t="s">
        <v>44</v>
      </c>
      <c r="E122" s="42">
        <v>45393</v>
      </c>
      <c r="F122" s="34">
        <v>0.57291666666666663</v>
      </c>
      <c r="G122" s="33" t="s">
        <v>37</v>
      </c>
      <c r="H122" s="43">
        <v>17.7</v>
      </c>
      <c r="I122" s="43">
        <v>8.4600000000000009</v>
      </c>
      <c r="J122" s="43">
        <v>13.23</v>
      </c>
      <c r="K122" s="44">
        <v>488</v>
      </c>
      <c r="L122" s="41">
        <v>5.1660000000000004</v>
      </c>
      <c r="M122" s="41"/>
      <c r="N122" s="41">
        <v>6.3E-2</v>
      </c>
      <c r="O122" s="41">
        <v>4.9679283032825374</v>
      </c>
      <c r="P122" s="41">
        <v>0.12958430283036404</v>
      </c>
      <c r="Q122" s="41">
        <v>2.9</v>
      </c>
      <c r="R122" s="41">
        <v>4.8000000000000001E-2</v>
      </c>
      <c r="S122" s="41">
        <v>2.3E-2</v>
      </c>
      <c r="T122" s="41">
        <v>53.23904304944535</v>
      </c>
      <c r="U122" s="41">
        <v>10.25</v>
      </c>
      <c r="V122" s="41">
        <v>7.37</v>
      </c>
      <c r="W122" s="41">
        <v>23.4</v>
      </c>
      <c r="X122" s="41">
        <v>10.85344472189681</v>
      </c>
      <c r="Y122" s="36"/>
      <c r="Z122" s="76">
        <v>33.01</v>
      </c>
      <c r="AA122" s="76">
        <v>27.169999999999998</v>
      </c>
      <c r="AB122" s="76">
        <v>15.32</v>
      </c>
      <c r="AC122" s="76">
        <v>6.5500000000000007</v>
      </c>
      <c r="AD122" s="76">
        <v>17.95</v>
      </c>
      <c r="AE122" s="57">
        <f t="shared" si="6"/>
        <v>100</v>
      </c>
      <c r="AG122" s="63">
        <v>1.0500000000000001E-2</v>
      </c>
      <c r="AH122" s="63">
        <v>5.0000000000000001E-3</v>
      </c>
      <c r="AI122" s="63">
        <v>4.3E-3</v>
      </c>
      <c r="AJ122" s="63">
        <v>1.8E-3</v>
      </c>
      <c r="AK122" s="63">
        <v>6.3E-3</v>
      </c>
    </row>
    <row r="123" spans="1:37" ht="20.100000000000001" customHeight="1" x14ac:dyDescent="0.3">
      <c r="A123" s="22">
        <v>21</v>
      </c>
      <c r="B123" s="14" t="s">
        <v>45</v>
      </c>
      <c r="C123" s="14" t="s">
        <v>45</v>
      </c>
      <c r="D123" s="15" t="s">
        <v>46</v>
      </c>
      <c r="E123" s="16">
        <v>45393</v>
      </c>
      <c r="F123" s="17">
        <v>0.44097222222222227</v>
      </c>
      <c r="G123" s="15" t="s">
        <v>37</v>
      </c>
      <c r="H123" s="23">
        <v>14.7</v>
      </c>
      <c r="I123" s="23">
        <v>7.64</v>
      </c>
      <c r="J123" s="23">
        <v>10.1</v>
      </c>
      <c r="K123" s="45">
        <v>195</v>
      </c>
      <c r="L123" s="39">
        <v>1.575</v>
      </c>
      <c r="M123" s="39"/>
      <c r="N123" s="39">
        <v>3.9E-2</v>
      </c>
      <c r="O123" s="39">
        <v>1.4978781437023474</v>
      </c>
      <c r="P123" s="39" t="s">
        <v>68</v>
      </c>
      <c r="Q123" s="39">
        <v>1.7</v>
      </c>
      <c r="R123" s="39">
        <v>6.0000000000000001E-3</v>
      </c>
      <c r="S123" s="39">
        <v>2E-3</v>
      </c>
      <c r="T123" s="39">
        <v>11.157679937554409</v>
      </c>
      <c r="U123" s="39">
        <v>4.84</v>
      </c>
      <c r="V123" s="39">
        <v>5.72</v>
      </c>
      <c r="W123" s="39">
        <v>8.6999999999999993</v>
      </c>
      <c r="X123" s="39">
        <v>14.992753436048833</v>
      </c>
      <c r="Y123" s="18"/>
      <c r="Z123" s="76">
        <v>15.079999999999998</v>
      </c>
      <c r="AA123" s="76">
        <v>8.06</v>
      </c>
      <c r="AB123" s="76">
        <v>24.43</v>
      </c>
      <c r="AC123" s="76">
        <v>4.26</v>
      </c>
      <c r="AD123" s="76">
        <v>48.17</v>
      </c>
      <c r="AE123" s="57">
        <f t="shared" si="6"/>
        <v>100</v>
      </c>
      <c r="AG123" s="63">
        <v>1.0500000000000001E-2</v>
      </c>
      <c r="AH123" s="63">
        <v>5.1999999999999998E-3</v>
      </c>
      <c r="AI123" s="63">
        <v>4.4999999999999997E-3</v>
      </c>
      <c r="AJ123" s="63">
        <v>1.4E-3</v>
      </c>
      <c r="AK123" s="63">
        <v>1.7299999999999999E-2</v>
      </c>
    </row>
    <row r="124" spans="1:37" ht="20.100000000000001" customHeight="1" x14ac:dyDescent="0.3">
      <c r="A124" s="22">
        <v>22</v>
      </c>
      <c r="B124" s="14" t="s">
        <v>45</v>
      </c>
      <c r="C124" s="14" t="s">
        <v>45</v>
      </c>
      <c r="D124" s="19" t="s">
        <v>47</v>
      </c>
      <c r="E124" s="16">
        <v>45393</v>
      </c>
      <c r="F124" s="20">
        <v>0.46180555555555558</v>
      </c>
      <c r="G124" s="15" t="s">
        <v>37</v>
      </c>
      <c r="H124" s="23">
        <v>17.3</v>
      </c>
      <c r="I124" s="23">
        <v>7.3</v>
      </c>
      <c r="J124" s="23">
        <v>9.5</v>
      </c>
      <c r="K124" s="45">
        <v>232</v>
      </c>
      <c r="L124" s="40">
        <v>1.9910000000000001</v>
      </c>
      <c r="M124" s="40"/>
      <c r="N124" s="40">
        <v>4.2000000000000003E-2</v>
      </c>
      <c r="O124" s="40">
        <v>1.8417102276897697</v>
      </c>
      <c r="P124" s="39" t="s">
        <v>68</v>
      </c>
      <c r="Q124" s="40">
        <v>2.7</v>
      </c>
      <c r="R124" s="40">
        <v>5.3999999999999999E-2</v>
      </c>
      <c r="S124" s="40">
        <v>5.0999999999999997E-2</v>
      </c>
      <c r="T124" s="40">
        <v>17.228406114095094</v>
      </c>
      <c r="U124" s="40">
        <v>7.46</v>
      </c>
      <c r="V124" s="40">
        <v>3.75</v>
      </c>
      <c r="W124" s="40">
        <v>11.3</v>
      </c>
      <c r="X124" s="40">
        <v>13.044520469711662</v>
      </c>
      <c r="Y124" s="21"/>
      <c r="Z124" s="76">
        <v>28.95</v>
      </c>
      <c r="AA124" s="76">
        <v>14.84</v>
      </c>
      <c r="AB124" s="76">
        <v>15.010000000000002</v>
      </c>
      <c r="AC124" s="76">
        <v>3.06</v>
      </c>
      <c r="AD124" s="76">
        <v>38.14</v>
      </c>
      <c r="AE124" s="57">
        <f t="shared" si="6"/>
        <v>100</v>
      </c>
      <c r="AG124" s="63">
        <v>1.5299999999999999E-2</v>
      </c>
      <c r="AH124" s="63">
        <v>2.8E-3</v>
      </c>
      <c r="AI124" s="63">
        <v>4.0000000000000001E-3</v>
      </c>
      <c r="AJ124" s="63">
        <v>1.4E-3</v>
      </c>
      <c r="AK124" s="63">
        <v>1.61E-2</v>
      </c>
    </row>
    <row r="125" spans="1:37" ht="20.100000000000001" customHeight="1" x14ac:dyDescent="0.3">
      <c r="A125" s="22">
        <v>23</v>
      </c>
      <c r="B125" s="14" t="s">
        <v>45</v>
      </c>
      <c r="C125" s="14" t="s">
        <v>45</v>
      </c>
      <c r="D125" s="19" t="s">
        <v>29</v>
      </c>
      <c r="E125" s="16">
        <v>45393</v>
      </c>
      <c r="F125" s="20">
        <v>0.47569444444444442</v>
      </c>
      <c r="G125" s="15" t="s">
        <v>37</v>
      </c>
      <c r="H125" s="23">
        <v>17.8</v>
      </c>
      <c r="I125" s="23">
        <v>7.54</v>
      </c>
      <c r="J125" s="23">
        <v>10.7</v>
      </c>
      <c r="K125" s="45">
        <v>237</v>
      </c>
      <c r="L125" s="40">
        <v>2.1120000000000001</v>
      </c>
      <c r="M125" s="40"/>
      <c r="N125" s="40">
        <v>5.7000000000000002E-2</v>
      </c>
      <c r="O125" s="40">
        <v>1.9377533187741629</v>
      </c>
      <c r="P125" s="39" t="s">
        <v>68</v>
      </c>
      <c r="Q125" s="40">
        <v>2.8</v>
      </c>
      <c r="R125" s="40">
        <v>4.8000000000000001E-2</v>
      </c>
      <c r="S125" s="40">
        <v>4.2999999999999997E-2</v>
      </c>
      <c r="T125" s="40">
        <v>18.676808109788333</v>
      </c>
      <c r="U125" s="40">
        <v>7.95</v>
      </c>
      <c r="V125" s="40">
        <v>4.3499999999999996</v>
      </c>
      <c r="W125" s="40">
        <v>12.1</v>
      </c>
      <c r="X125" s="40">
        <v>13.065326733831593</v>
      </c>
      <c r="Y125" s="21"/>
      <c r="Z125" s="76">
        <v>30.67</v>
      </c>
      <c r="AA125" s="76">
        <v>16.66</v>
      </c>
      <c r="AB125" s="76">
        <v>15.22</v>
      </c>
      <c r="AC125" s="76">
        <v>3.49</v>
      </c>
      <c r="AD125" s="76">
        <v>33.96</v>
      </c>
      <c r="AE125" s="57">
        <f t="shared" si="6"/>
        <v>100</v>
      </c>
      <c r="AG125" s="63">
        <v>1.46E-2</v>
      </c>
      <c r="AH125" s="63">
        <v>3.0999999999999999E-3</v>
      </c>
      <c r="AI125" s="63">
        <v>4.5999999999999999E-3</v>
      </c>
      <c r="AJ125" s="63">
        <v>1.2999999999999999E-3</v>
      </c>
      <c r="AK125" s="63">
        <v>1.4E-2</v>
      </c>
    </row>
    <row r="126" spans="1:37" ht="20.100000000000001" customHeight="1" thickBot="1" x14ac:dyDescent="0.35">
      <c r="A126" s="46">
        <v>24</v>
      </c>
      <c r="B126" s="47" t="s">
        <v>45</v>
      </c>
      <c r="C126" s="47" t="s">
        <v>45</v>
      </c>
      <c r="D126" s="48" t="s">
        <v>48</v>
      </c>
      <c r="E126" s="49">
        <v>45393</v>
      </c>
      <c r="F126" s="50">
        <v>0.48958333333333331</v>
      </c>
      <c r="G126" s="48" t="s">
        <v>37</v>
      </c>
      <c r="H126" s="51">
        <v>16.899999999999999</v>
      </c>
      <c r="I126" s="51">
        <v>7.29</v>
      </c>
      <c r="J126" s="51">
        <v>8.75</v>
      </c>
      <c r="K126" s="52">
        <v>248</v>
      </c>
      <c r="L126" s="53">
        <v>2.1680000000000001</v>
      </c>
      <c r="M126" s="53"/>
      <c r="N126" s="53">
        <v>6.5000000000000002E-2</v>
      </c>
      <c r="O126" s="53">
        <v>1.9645769962820305</v>
      </c>
      <c r="P126" s="53" t="s">
        <v>68</v>
      </c>
      <c r="Q126" s="53">
        <v>2.7</v>
      </c>
      <c r="R126" s="53">
        <v>3.7999999999999999E-2</v>
      </c>
      <c r="S126" s="53">
        <v>3.3000000000000002E-2</v>
      </c>
      <c r="T126" s="53">
        <v>18.945319130868253</v>
      </c>
      <c r="U126" s="53">
        <v>8.2100000000000009</v>
      </c>
      <c r="V126" s="53">
        <v>4.57</v>
      </c>
      <c r="W126" s="53">
        <v>13.4</v>
      </c>
      <c r="X126" s="53">
        <v>12.926440961420095</v>
      </c>
      <c r="Y126" s="54"/>
      <c r="Z126" s="76">
        <v>31.319999999999997</v>
      </c>
      <c r="AA126" s="76">
        <v>17.5</v>
      </c>
      <c r="AB126" s="76">
        <v>15.229999999999999</v>
      </c>
      <c r="AC126" s="76">
        <v>3.6700000000000004</v>
      </c>
      <c r="AD126" s="76">
        <v>32.28</v>
      </c>
      <c r="AE126" s="57">
        <f t="shared" si="6"/>
        <v>100</v>
      </c>
      <c r="AG126" s="63">
        <v>1.3599999999999999E-2</v>
      </c>
      <c r="AH126" s="63">
        <v>3.7000000000000002E-3</v>
      </c>
      <c r="AI126" s="63">
        <v>4.4999999999999997E-3</v>
      </c>
      <c r="AJ126" s="63">
        <v>1.2999999999999999E-3</v>
      </c>
      <c r="AK126" s="63">
        <v>1.2200000000000001E-2</v>
      </c>
    </row>
    <row r="127" spans="1:37" ht="20.100000000000001" customHeight="1" x14ac:dyDescent="0.3"/>
    <row r="128" spans="1:37" ht="20.100000000000001" customHeight="1" x14ac:dyDescent="0.3"/>
    <row r="129" spans="1:42" ht="20.100000000000001" customHeight="1" x14ac:dyDescent="0.3"/>
    <row r="130" spans="1:42" ht="20.100000000000001" customHeight="1" x14ac:dyDescent="0.3"/>
    <row r="131" spans="1:42" ht="20.100000000000001" customHeight="1" x14ac:dyDescent="0.3"/>
    <row r="132" spans="1:42" ht="20.100000000000001" customHeight="1" x14ac:dyDescent="0.3"/>
    <row r="133" spans="1:42" ht="20.100000000000001" customHeight="1" x14ac:dyDescent="0.3"/>
    <row r="134" spans="1:42" ht="20.100000000000001" customHeight="1" x14ac:dyDescent="0.3"/>
    <row r="135" spans="1:42" ht="20.100000000000001" customHeight="1" thickBot="1" x14ac:dyDescent="0.35">
      <c r="Z135" t="s">
        <v>165</v>
      </c>
    </row>
    <row r="136" spans="1:42" ht="20.100000000000001" customHeight="1" thickBot="1" x14ac:dyDescent="0.35">
      <c r="A136" s="83" t="s">
        <v>1</v>
      </c>
      <c r="B136" s="85" t="s">
        <v>61</v>
      </c>
      <c r="C136" s="85" t="s">
        <v>62</v>
      </c>
      <c r="D136" s="83" t="s">
        <v>7</v>
      </c>
      <c r="E136" s="87" t="s">
        <v>8</v>
      </c>
      <c r="F136" s="88"/>
      <c r="G136" s="78" t="s">
        <v>9</v>
      </c>
      <c r="H136" s="78"/>
      <c r="I136" s="78"/>
      <c r="J136" s="78"/>
      <c r="K136" s="78"/>
      <c r="L136" s="79" t="s">
        <v>55</v>
      </c>
      <c r="M136" s="80"/>
      <c r="N136" s="80"/>
      <c r="O136" s="80"/>
      <c r="P136" s="80"/>
      <c r="Q136" s="80"/>
      <c r="R136" s="80"/>
      <c r="S136" s="80"/>
      <c r="T136" s="80"/>
      <c r="U136" s="8"/>
      <c r="V136" s="8"/>
      <c r="W136" s="8"/>
      <c r="X136" s="8"/>
      <c r="Y136" s="81" t="s">
        <v>10</v>
      </c>
      <c r="Z136" s="55" t="s">
        <v>166</v>
      </c>
      <c r="AF136" s="55" t="s">
        <v>167</v>
      </c>
      <c r="AL136" s="55" t="s">
        <v>168</v>
      </c>
    </row>
    <row r="137" spans="1:42" ht="20.100000000000001" customHeight="1" thickBot="1" x14ac:dyDescent="0.35">
      <c r="A137" s="84"/>
      <c r="B137" s="84"/>
      <c r="C137" s="84"/>
      <c r="D137" s="86"/>
      <c r="E137" s="1" t="s">
        <v>0</v>
      </c>
      <c r="F137" s="4" t="s">
        <v>11</v>
      </c>
      <c r="G137" s="4" t="s">
        <v>12</v>
      </c>
      <c r="H137" s="4" t="s">
        <v>13</v>
      </c>
      <c r="I137" s="4" t="s">
        <v>14</v>
      </c>
      <c r="J137" s="4" t="s">
        <v>15</v>
      </c>
      <c r="K137" s="4" t="s">
        <v>16</v>
      </c>
      <c r="L137" s="4" t="s">
        <v>6</v>
      </c>
      <c r="M137" s="4" t="s">
        <v>50</v>
      </c>
      <c r="N137" s="4" t="s">
        <v>2</v>
      </c>
      <c r="O137" s="4" t="s">
        <v>3</v>
      </c>
      <c r="P137" s="4" t="s">
        <v>51</v>
      </c>
      <c r="Q137" s="4" t="s">
        <v>52</v>
      </c>
      <c r="R137" s="4" t="s">
        <v>53</v>
      </c>
      <c r="S137" s="4" t="s">
        <v>54</v>
      </c>
      <c r="T137" s="6" t="s">
        <v>4</v>
      </c>
      <c r="U137" s="9" t="s">
        <v>65</v>
      </c>
      <c r="V137" s="9" t="s">
        <v>66</v>
      </c>
      <c r="W137" s="9" t="s">
        <v>63</v>
      </c>
      <c r="X137" s="9" t="s">
        <v>64</v>
      </c>
      <c r="Y137" s="82"/>
      <c r="Z137" s="55" t="s">
        <v>73</v>
      </c>
      <c r="AA137" s="55" t="s">
        <v>74</v>
      </c>
      <c r="AB137" s="55" t="s">
        <v>75</v>
      </c>
      <c r="AC137" s="55" t="s">
        <v>76</v>
      </c>
      <c r="AD137" s="55" t="s">
        <v>77</v>
      </c>
      <c r="AF137" s="55" t="s">
        <v>73</v>
      </c>
      <c r="AG137" s="55" t="s">
        <v>74</v>
      </c>
      <c r="AH137" s="55" t="s">
        <v>75</v>
      </c>
      <c r="AI137" s="55" t="s">
        <v>76</v>
      </c>
      <c r="AJ137" s="55" t="s">
        <v>77</v>
      </c>
      <c r="AL137" s="55" t="s">
        <v>73</v>
      </c>
      <c r="AM137" s="55" t="s">
        <v>74</v>
      </c>
      <c r="AN137" s="55" t="s">
        <v>75</v>
      </c>
      <c r="AO137" s="55" t="s">
        <v>76</v>
      </c>
      <c r="AP137" s="55" t="s">
        <v>77</v>
      </c>
    </row>
    <row r="138" spans="1:42" ht="20.100000000000001" customHeight="1" x14ac:dyDescent="0.3">
      <c r="A138" s="30">
        <v>1</v>
      </c>
      <c r="B138" s="25" t="s">
        <v>17</v>
      </c>
      <c r="C138" s="25" t="s">
        <v>17</v>
      </c>
      <c r="D138" s="10" t="s">
        <v>18</v>
      </c>
      <c r="E138" s="11">
        <v>45394</v>
      </c>
      <c r="F138" s="12">
        <v>0.40625</v>
      </c>
      <c r="G138" s="10" t="s">
        <v>19</v>
      </c>
      <c r="H138" s="37">
        <v>13.4</v>
      </c>
      <c r="I138" s="37">
        <v>7.66</v>
      </c>
      <c r="J138" s="37">
        <v>11.37</v>
      </c>
      <c r="K138" s="37">
        <v>200.1</v>
      </c>
      <c r="L138" s="38">
        <v>1.5620000000000001</v>
      </c>
      <c r="M138" s="38"/>
      <c r="N138" s="38">
        <v>2.8000000000000001E-2</v>
      </c>
      <c r="O138" s="38">
        <v>1.5338708615263741</v>
      </c>
      <c r="P138" s="38" t="s">
        <v>68</v>
      </c>
      <c r="Q138" s="38">
        <v>1.2</v>
      </c>
      <c r="R138" s="38">
        <v>1.9E-2</v>
      </c>
      <c r="S138" s="38">
        <v>1.4999999999999999E-2</v>
      </c>
      <c r="T138" s="38">
        <v>21.926092412394119</v>
      </c>
      <c r="U138" s="38">
        <v>6.79</v>
      </c>
      <c r="V138" s="38">
        <v>2.9</v>
      </c>
      <c r="W138" s="38" t="s">
        <v>67</v>
      </c>
      <c r="X138" s="38">
        <v>6.8100892305781313</v>
      </c>
      <c r="Y138" s="13"/>
      <c r="Z138" s="63">
        <f>Z10/AG10</f>
        <v>1.1321342925659474</v>
      </c>
      <c r="AA138" s="63">
        <f t="shared" ref="AA138:AD138" si="7">AA10/AH10</f>
        <v>0.10495867768595042</v>
      </c>
      <c r="AB138" s="63">
        <f t="shared" si="7"/>
        <v>0.15982142857142856</v>
      </c>
      <c r="AC138" s="63">
        <f t="shared" si="7"/>
        <v>0.24374999999999999</v>
      </c>
      <c r="AD138" s="63">
        <f t="shared" si="7"/>
        <v>1.477245508982036</v>
      </c>
      <c r="AE138" s="63"/>
      <c r="AF138" s="63">
        <f>Z10/AN10</f>
        <v>1.8838786911412611</v>
      </c>
      <c r="AG138" s="63">
        <f t="shared" ref="AG138:AJ138" si="8">AA10/AO10</f>
        <v>9.9451840250587301E-2</v>
      </c>
      <c r="AH138" s="63">
        <f t="shared" si="8"/>
        <v>9.6184846856528755E-2</v>
      </c>
      <c r="AI138" s="63">
        <f t="shared" si="8"/>
        <v>0.16317991631799164</v>
      </c>
      <c r="AJ138" s="63">
        <f t="shared" si="8"/>
        <v>1.198445470002429</v>
      </c>
      <c r="AK138" s="63"/>
      <c r="AL138" s="63">
        <f>Z10/AU10</f>
        <v>1.849921630094044</v>
      </c>
      <c r="AM138" s="63">
        <f t="shared" ref="AM138:AP138" si="9">AA10/AV10</f>
        <v>0.10333604556550041</v>
      </c>
      <c r="AN138" s="63">
        <f t="shared" si="9"/>
        <v>0.12168592794017674</v>
      </c>
      <c r="AO138" s="63">
        <f t="shared" si="9"/>
        <v>0.15415019762845852</v>
      </c>
      <c r="AP138" s="63">
        <f t="shared" si="9"/>
        <v>1.0976640711902113</v>
      </c>
    </row>
    <row r="139" spans="1:42" ht="20.100000000000001" customHeight="1" x14ac:dyDescent="0.3">
      <c r="A139" s="22">
        <v>2</v>
      </c>
      <c r="B139" s="14" t="s">
        <v>17</v>
      </c>
      <c r="C139" s="14" t="s">
        <v>17</v>
      </c>
      <c r="D139" s="15" t="s">
        <v>20</v>
      </c>
      <c r="E139" s="16">
        <v>45394</v>
      </c>
      <c r="F139" s="17">
        <v>0.4375</v>
      </c>
      <c r="G139" s="15" t="s">
        <v>19</v>
      </c>
      <c r="H139" s="24">
        <v>17.899999999999999</v>
      </c>
      <c r="I139" s="24">
        <v>7.63</v>
      </c>
      <c r="J139" s="24">
        <v>10.66</v>
      </c>
      <c r="K139" s="24">
        <v>381</v>
      </c>
      <c r="L139" s="39">
        <v>5.1319999999999997</v>
      </c>
      <c r="M139" s="39"/>
      <c r="N139" s="39">
        <v>0.82399999999999995</v>
      </c>
      <c r="O139" s="39">
        <v>3.8056685669511721</v>
      </c>
      <c r="P139" s="39">
        <v>0.75779406996970966</v>
      </c>
      <c r="Q139" s="39">
        <v>3.4</v>
      </c>
      <c r="R139" s="39">
        <v>4.1000000000000002E-2</v>
      </c>
      <c r="S139" s="39">
        <v>2.9000000000000001E-2</v>
      </c>
      <c r="T139" s="39">
        <v>48.553205182927933</v>
      </c>
      <c r="U139" s="39">
        <v>10.94</v>
      </c>
      <c r="V139" s="39">
        <v>0.19</v>
      </c>
      <c r="W139" s="39">
        <v>91.9</v>
      </c>
      <c r="X139" s="39">
        <v>11.530193967408453</v>
      </c>
      <c r="Y139" s="18"/>
      <c r="Z139" s="63">
        <f t="shared" ref="Z139:Z161" si="10">Z11/AG11</f>
        <v>1.7020408163265304</v>
      </c>
      <c r="AA139" s="63">
        <f t="shared" ref="AA139:AA161" si="11">AA11/AH11</f>
        <v>0.11250000000000002</v>
      </c>
      <c r="AB139" s="63">
        <f t="shared" ref="AB139:AB161" si="12">AB11/AI11</f>
        <v>9.8701298701298706E-2</v>
      </c>
      <c r="AC139" s="63">
        <f t="shared" ref="AC139:AC161" si="13">AC11/AJ11</f>
        <v>0.1076923076923077</v>
      </c>
      <c r="AD139" s="63">
        <f t="shared" ref="AD139:AD161" si="14">AD11/AK11</f>
        <v>0.25286343612334805</v>
      </c>
      <c r="AE139" s="63"/>
      <c r="AF139" s="63">
        <f t="shared" ref="AF139:AF161" si="15">Z11/AN11</f>
        <v>1.7949520641753081</v>
      </c>
      <c r="AG139" s="63">
        <f t="shared" ref="AG139:AG161" si="16">AA11/AO11</f>
        <v>9.1836734693877556E-2</v>
      </c>
      <c r="AH139" s="63">
        <f t="shared" ref="AH139:AH161" si="17">AB11/AP11</f>
        <v>9.004739336492891E-2</v>
      </c>
      <c r="AI139" s="63">
        <f t="shared" ref="AI139:AI161" si="18">AC11/AQ11</f>
        <v>3.5443037974683546E-2</v>
      </c>
      <c r="AJ139" s="63">
        <f t="shared" ref="AJ139:AJ161" si="19">AD11/AR11</f>
        <v>0.30434782608695654</v>
      </c>
      <c r="AK139" s="63"/>
      <c r="AL139" s="63">
        <f t="shared" ref="AL139:AL161" si="20">Z11/AU11</f>
        <v>2.0341463414634147</v>
      </c>
      <c r="AM139" s="63">
        <f t="shared" ref="AM139:AM161" si="21">AA11/AV11</f>
        <v>7.9921065614208198E-2</v>
      </c>
      <c r="AN139" s="63">
        <f t="shared" ref="AN139:AN161" si="22">AB11/AW11</f>
        <v>9.3366093366093361E-2</v>
      </c>
      <c r="AO139" s="63">
        <f t="shared" ref="AO139:AO161" si="23">AC11/AX11</f>
        <v>8.5889570552147257E-2</v>
      </c>
      <c r="AP139" s="63">
        <f t="shared" ref="AP139:AP161" si="24">AD11/AY11</f>
        <v>0.23089300080450526</v>
      </c>
    </row>
    <row r="140" spans="1:42" ht="20.100000000000001" customHeight="1" x14ac:dyDescent="0.3">
      <c r="A140" s="22">
        <v>3</v>
      </c>
      <c r="B140" s="14" t="s">
        <v>17</v>
      </c>
      <c r="C140" s="14" t="s">
        <v>17</v>
      </c>
      <c r="D140" s="15" t="s">
        <v>21</v>
      </c>
      <c r="E140" s="16">
        <v>45394</v>
      </c>
      <c r="F140" s="17">
        <v>0.4513888888888889</v>
      </c>
      <c r="G140" s="15" t="s">
        <v>19</v>
      </c>
      <c r="H140" s="24">
        <v>19.100000000000001</v>
      </c>
      <c r="I140" s="24">
        <v>7.58</v>
      </c>
      <c r="J140" s="24">
        <v>9.67</v>
      </c>
      <c r="K140" s="24">
        <v>357</v>
      </c>
      <c r="L140" s="39">
        <v>4.3529999999999998</v>
      </c>
      <c r="M140" s="39"/>
      <c r="N140" s="39">
        <v>0.90200000000000002</v>
      </c>
      <c r="O140" s="39">
        <v>2.9836540688462629</v>
      </c>
      <c r="P140" s="39">
        <v>0.5708632001190197</v>
      </c>
      <c r="Q140" s="39">
        <v>3.5</v>
      </c>
      <c r="R140" s="39">
        <v>7.8E-2</v>
      </c>
      <c r="S140" s="39">
        <v>6.9000000000000006E-2</v>
      </c>
      <c r="T140" s="39">
        <v>42.668927928854785</v>
      </c>
      <c r="U140" s="39">
        <v>10.09</v>
      </c>
      <c r="V140" s="39">
        <v>1.5</v>
      </c>
      <c r="W140" s="39">
        <v>25.3</v>
      </c>
      <c r="X140" s="39">
        <v>11.842993595465368</v>
      </c>
      <c r="Y140" s="18"/>
      <c r="Z140" s="63">
        <f t="shared" si="10"/>
        <v>1.6607645875251509</v>
      </c>
      <c r="AA140" s="63">
        <f t="shared" si="11"/>
        <v>0.16214285714285712</v>
      </c>
      <c r="AB140" s="63">
        <f t="shared" si="12"/>
        <v>8.352941176470588E-2</v>
      </c>
      <c r="AC140" s="63">
        <f t="shared" si="13"/>
        <v>0.36428571428571427</v>
      </c>
      <c r="AD140" s="63">
        <f t="shared" si="14"/>
        <v>0.52916666666666667</v>
      </c>
      <c r="AE140" s="63"/>
      <c r="AF140" s="63">
        <f t="shared" si="15"/>
        <v>2.4290759270158921</v>
      </c>
      <c r="AG140" s="63">
        <f t="shared" si="16"/>
        <v>8.7610961018911623E-2</v>
      </c>
      <c r="AH140" s="63">
        <f t="shared" si="17"/>
        <v>7.0929070929070928E-2</v>
      </c>
      <c r="AI140" s="63">
        <f t="shared" si="18"/>
        <v>0.1275</v>
      </c>
      <c r="AJ140" s="63">
        <f t="shared" si="19"/>
        <v>0.53524904214559388</v>
      </c>
      <c r="AK140" s="63"/>
      <c r="AL140" s="63">
        <f t="shared" si="20"/>
        <v>2.0205630354957163</v>
      </c>
      <c r="AM140" s="63">
        <f t="shared" si="21"/>
        <v>0.11749482401656315</v>
      </c>
      <c r="AN140" s="63">
        <f t="shared" si="22"/>
        <v>7.1213640922768315E-2</v>
      </c>
      <c r="AO140" s="63">
        <f t="shared" si="23"/>
        <v>0.24285714285714285</v>
      </c>
      <c r="AP140" s="63">
        <f t="shared" si="24"/>
        <v>0.50324207492795392</v>
      </c>
    </row>
    <row r="141" spans="1:42" ht="20.100000000000001" customHeight="1" x14ac:dyDescent="0.3">
      <c r="A141" s="22">
        <v>4</v>
      </c>
      <c r="B141" s="14" t="s">
        <v>17</v>
      </c>
      <c r="C141" s="14" t="s">
        <v>17</v>
      </c>
      <c r="D141" s="15" t="s">
        <v>22</v>
      </c>
      <c r="E141" s="16">
        <v>45394</v>
      </c>
      <c r="F141" s="17">
        <v>0.46527777777777773</v>
      </c>
      <c r="G141" s="15" t="s">
        <v>19</v>
      </c>
      <c r="H141" s="24">
        <v>20.399999999999999</v>
      </c>
      <c r="I141" s="24">
        <v>7.35</v>
      </c>
      <c r="J141" s="24">
        <v>9</v>
      </c>
      <c r="K141" s="24">
        <v>348</v>
      </c>
      <c r="L141" s="39">
        <v>3.8969999999999998</v>
      </c>
      <c r="M141" s="39"/>
      <c r="N141" s="39">
        <v>0.78200000000000003</v>
      </c>
      <c r="O141" s="39">
        <v>2.6470789824688241</v>
      </c>
      <c r="P141" s="39">
        <v>0.50575484929842918</v>
      </c>
      <c r="Q141" s="39">
        <v>3.5</v>
      </c>
      <c r="R141" s="39">
        <v>5.8999999999999997E-2</v>
      </c>
      <c r="S141" s="39">
        <v>4.8000000000000001E-2</v>
      </c>
      <c r="T141" s="39">
        <v>41.228925543629487</v>
      </c>
      <c r="U141" s="39">
        <v>10.63</v>
      </c>
      <c r="V141" s="39">
        <v>2.19</v>
      </c>
      <c r="W141" s="39">
        <v>19.899999999999999</v>
      </c>
      <c r="X141" s="39">
        <v>12.303652359256734</v>
      </c>
      <c r="Y141" s="18"/>
      <c r="Z141" s="63">
        <f t="shared" si="10"/>
        <v>1.4974757281553399</v>
      </c>
      <c r="AA141" s="63">
        <f t="shared" si="11"/>
        <v>0.36164383561643837</v>
      </c>
      <c r="AB141" s="63">
        <f t="shared" si="12"/>
        <v>0.14204545454545456</v>
      </c>
      <c r="AC141" s="63">
        <f t="shared" si="13"/>
        <v>0.11333333333333334</v>
      </c>
      <c r="AD141" s="63">
        <f t="shared" si="14"/>
        <v>0.68559322033898296</v>
      </c>
      <c r="AE141" s="63"/>
      <c r="AF141" s="63">
        <f t="shared" si="15"/>
        <v>1.54983922829582</v>
      </c>
      <c r="AG141" s="63">
        <f t="shared" si="16"/>
        <v>0.28979143798024154</v>
      </c>
      <c r="AH141" s="63">
        <f t="shared" si="17"/>
        <v>0.12537612838515549</v>
      </c>
      <c r="AI141" s="63">
        <f t="shared" si="18"/>
        <v>4.9275362318840582E-2</v>
      </c>
      <c r="AJ141" s="63">
        <f t="shared" si="19"/>
        <v>0.86989247311827944</v>
      </c>
      <c r="AK141" s="63"/>
      <c r="AL141" s="63">
        <f t="shared" si="20"/>
        <v>1.8436528807076262</v>
      </c>
      <c r="AM141" s="63">
        <f t="shared" si="21"/>
        <v>0.23967317294598275</v>
      </c>
      <c r="AN141" s="63">
        <f t="shared" si="22"/>
        <v>0.1226692836113837</v>
      </c>
      <c r="AO141" s="63">
        <f t="shared" si="23"/>
        <v>6.9672131147540992E-2</v>
      </c>
      <c r="AP141" s="63">
        <f t="shared" si="24"/>
        <v>0.68821777966822628</v>
      </c>
    </row>
    <row r="142" spans="1:42" ht="20.100000000000001" customHeight="1" x14ac:dyDescent="0.3">
      <c r="A142" s="31">
        <v>5</v>
      </c>
      <c r="B142" s="32" t="s">
        <v>23</v>
      </c>
      <c r="C142" s="32" t="s">
        <v>23</v>
      </c>
      <c r="D142" s="33" t="s">
        <v>24</v>
      </c>
      <c r="E142" s="42">
        <v>45394</v>
      </c>
      <c r="F142" s="34">
        <v>0.625</v>
      </c>
      <c r="G142" s="33" t="s">
        <v>19</v>
      </c>
      <c r="H142" s="35">
        <v>23.3</v>
      </c>
      <c r="I142" s="35">
        <v>8.59</v>
      </c>
      <c r="J142" s="35">
        <v>9.51</v>
      </c>
      <c r="K142" s="35">
        <v>167.4</v>
      </c>
      <c r="L142" s="41">
        <v>1.5269999999999999</v>
      </c>
      <c r="M142" s="41"/>
      <c r="N142" s="41">
        <v>2.8000000000000001E-2</v>
      </c>
      <c r="O142" s="41">
        <v>1.3577461209228088</v>
      </c>
      <c r="P142" s="41" t="s">
        <v>68</v>
      </c>
      <c r="Q142" s="41">
        <v>2.5</v>
      </c>
      <c r="R142" s="41">
        <v>2.5000000000000001E-2</v>
      </c>
      <c r="S142" s="41">
        <v>8.9999999999999993E-3</v>
      </c>
      <c r="T142" s="41">
        <v>13.465682479565089</v>
      </c>
      <c r="U142" s="41">
        <v>5.58</v>
      </c>
      <c r="V142" s="41">
        <v>6.49</v>
      </c>
      <c r="W142" s="41">
        <v>8.1999999999999993</v>
      </c>
      <c r="X142" s="41">
        <v>15.388054287513553</v>
      </c>
      <c r="Y142" s="36"/>
      <c r="Z142" s="63">
        <f t="shared" si="10"/>
        <v>0.79928057553956822</v>
      </c>
      <c r="AA142" s="63">
        <f t="shared" si="11"/>
        <v>0.79444444444444451</v>
      </c>
      <c r="AB142" s="63">
        <f t="shared" si="12"/>
        <v>1.0902857142857141</v>
      </c>
      <c r="AC142" s="63">
        <f t="shared" si="13"/>
        <v>1.2136363636363638</v>
      </c>
      <c r="AD142" s="63">
        <f t="shared" si="14"/>
        <v>1.1236781609195403</v>
      </c>
      <c r="AE142" s="63"/>
      <c r="AF142" s="63">
        <f t="shared" si="15"/>
        <v>1.1794055201698512</v>
      </c>
      <c r="AG142" s="63">
        <f t="shared" si="16"/>
        <v>0.68816169393647741</v>
      </c>
      <c r="AH142" s="63">
        <f t="shared" si="17"/>
        <v>0.75029492725127789</v>
      </c>
      <c r="AI142" s="63">
        <f t="shared" si="18"/>
        <v>0.5174418604651162</v>
      </c>
      <c r="AJ142" s="63">
        <f t="shared" si="19"/>
        <v>1.2165256346441016</v>
      </c>
      <c r="AK142" s="63"/>
      <c r="AL142" s="63">
        <f t="shared" si="20"/>
        <v>1.143592382913021</v>
      </c>
      <c r="AM142" s="63">
        <f t="shared" si="21"/>
        <v>0.66326530612244894</v>
      </c>
      <c r="AN142" s="63">
        <f t="shared" si="22"/>
        <v>0.79235880398671099</v>
      </c>
      <c r="AO142" s="63">
        <f t="shared" si="23"/>
        <v>0.53939393939393931</v>
      </c>
      <c r="AP142" s="63">
        <f t="shared" si="24"/>
        <v>1.1992149165848871</v>
      </c>
    </row>
    <row r="143" spans="1:42" ht="20.100000000000001" customHeight="1" x14ac:dyDescent="0.3">
      <c r="A143" s="31">
        <v>6</v>
      </c>
      <c r="B143" s="32" t="s">
        <v>23</v>
      </c>
      <c r="C143" s="32" t="s">
        <v>23</v>
      </c>
      <c r="D143" s="33" t="s">
        <v>25</v>
      </c>
      <c r="E143" s="42">
        <v>45394</v>
      </c>
      <c r="F143" s="34">
        <v>0.63888888888888895</v>
      </c>
      <c r="G143" s="33" t="s">
        <v>19</v>
      </c>
      <c r="H143" s="35">
        <v>20.5</v>
      </c>
      <c r="I143" s="35">
        <v>7.61</v>
      </c>
      <c r="J143" s="35">
        <v>10.02</v>
      </c>
      <c r="K143" s="35">
        <v>279</v>
      </c>
      <c r="L143" s="41">
        <v>2.8879999999999999</v>
      </c>
      <c r="M143" s="41"/>
      <c r="N143" s="41">
        <v>0.128</v>
      </c>
      <c r="O143" s="41">
        <v>2.3599395974240749</v>
      </c>
      <c r="P143" s="41">
        <v>4.16973481937844E-2</v>
      </c>
      <c r="Q143" s="41">
        <v>3.8</v>
      </c>
      <c r="R143" s="41">
        <v>0.13700000000000001</v>
      </c>
      <c r="S143" s="41">
        <v>0.13200000000000001</v>
      </c>
      <c r="T143" s="41">
        <v>24.609506883467702</v>
      </c>
      <c r="U143" s="41">
        <v>6.75</v>
      </c>
      <c r="V143" s="41">
        <v>7.6</v>
      </c>
      <c r="W143" s="41">
        <v>14.7</v>
      </c>
      <c r="X143" s="41">
        <v>11.914577909851953</v>
      </c>
      <c r="Y143" s="36"/>
      <c r="Z143" s="63">
        <f t="shared" si="10"/>
        <v>0.78930817610062898</v>
      </c>
      <c r="AA143" s="63">
        <f t="shared" si="11"/>
        <v>1.1018348623853211</v>
      </c>
      <c r="AB143" s="63">
        <f t="shared" si="12"/>
        <v>1.5530487804878046</v>
      </c>
      <c r="AC143" s="63">
        <f t="shared" si="13"/>
        <v>1.4039999999999999</v>
      </c>
      <c r="AD143" s="63">
        <f t="shared" si="14"/>
        <v>0.88307291666666665</v>
      </c>
      <c r="AE143" s="63"/>
      <c r="AF143" s="63">
        <f t="shared" si="15"/>
        <v>1.1042674879014518</v>
      </c>
      <c r="AG143" s="63">
        <f t="shared" si="16"/>
        <v>0.8671480144404331</v>
      </c>
      <c r="AH143" s="63">
        <f t="shared" si="17"/>
        <v>1.0485796624125154</v>
      </c>
      <c r="AI143" s="63">
        <f t="shared" si="18"/>
        <v>0.57073170731707312</v>
      </c>
      <c r="AJ143" s="63">
        <f t="shared" si="19"/>
        <v>1.028198908429351</v>
      </c>
      <c r="AK143" s="63"/>
      <c r="AL143" s="63">
        <f t="shared" si="20"/>
        <v>1.0653650254668932</v>
      </c>
      <c r="AM143" s="63">
        <f t="shared" si="21"/>
        <v>0.80766644250168129</v>
      </c>
      <c r="AN143" s="63">
        <f t="shared" si="22"/>
        <v>1.1195604395604395</v>
      </c>
      <c r="AO143" s="63">
        <f t="shared" si="23"/>
        <v>0.5625</v>
      </c>
      <c r="AP143" s="63">
        <f t="shared" si="24"/>
        <v>1.0408225905463473</v>
      </c>
    </row>
    <row r="144" spans="1:42" ht="20.100000000000001" customHeight="1" x14ac:dyDescent="0.3">
      <c r="A144" s="31">
        <v>7</v>
      </c>
      <c r="B144" s="32" t="s">
        <v>23</v>
      </c>
      <c r="C144" s="32" t="s">
        <v>23</v>
      </c>
      <c r="D144" s="33" t="s">
        <v>26</v>
      </c>
      <c r="E144" s="42">
        <v>45393</v>
      </c>
      <c r="F144" s="34">
        <v>0.63888888888888895</v>
      </c>
      <c r="G144" s="33" t="s">
        <v>19</v>
      </c>
      <c r="H144" s="43">
        <v>17.5</v>
      </c>
      <c r="I144" s="43">
        <v>7.38</v>
      </c>
      <c r="J144" s="43">
        <v>9.8800000000000008</v>
      </c>
      <c r="K144" s="44">
        <v>267</v>
      </c>
      <c r="L144" s="41">
        <v>3.016</v>
      </c>
      <c r="M144" s="41"/>
      <c r="N144" s="41">
        <v>0.191</v>
      </c>
      <c r="O144" s="41">
        <v>2.4391271227247548</v>
      </c>
      <c r="P144" s="41">
        <v>7.7295428737773897E-2</v>
      </c>
      <c r="Q144" s="41">
        <v>4.3</v>
      </c>
      <c r="R144" s="41">
        <v>0.251</v>
      </c>
      <c r="S144" s="41">
        <v>0.249</v>
      </c>
      <c r="T144" s="41">
        <v>21.663703887468678</v>
      </c>
      <c r="U144" s="41">
        <v>8.2100000000000009</v>
      </c>
      <c r="V144" s="41">
        <v>5.56</v>
      </c>
      <c r="W144" s="41">
        <v>19.2</v>
      </c>
      <c r="X144" s="41">
        <v>10.009981831868686</v>
      </c>
      <c r="Y144" s="36"/>
      <c r="Z144" s="63">
        <f t="shared" si="10"/>
        <v>0.84607594936708863</v>
      </c>
      <c r="AA144" s="63">
        <f t="shared" si="11"/>
        <v>1.1289062499999998</v>
      </c>
      <c r="AB144" s="63">
        <f t="shared" si="12"/>
        <v>1.0328124999999999</v>
      </c>
      <c r="AC144" s="63">
        <f t="shared" si="13"/>
        <v>1.04</v>
      </c>
      <c r="AD144" s="63">
        <f t="shared" si="14"/>
        <v>1.1194528875379939</v>
      </c>
      <c r="AE144" s="63"/>
      <c r="AF144" s="63">
        <f t="shared" si="15"/>
        <v>1.2228320526893526</v>
      </c>
      <c r="AG144" s="63">
        <f t="shared" si="16"/>
        <v>0.74870466321243512</v>
      </c>
      <c r="AH144" s="63">
        <f t="shared" si="17"/>
        <v>0.54224774405250209</v>
      </c>
      <c r="AI144" s="63">
        <f t="shared" si="18"/>
        <v>0.67752442996742668</v>
      </c>
      <c r="AJ144" s="63">
        <f t="shared" si="19"/>
        <v>1.4209104938271606</v>
      </c>
      <c r="AK144" s="63"/>
      <c r="AL144" s="63">
        <f t="shared" si="20"/>
        <v>1.1044282881692005</v>
      </c>
      <c r="AM144" s="63">
        <f t="shared" si="21"/>
        <v>0.78789531079607411</v>
      </c>
      <c r="AN144" s="63">
        <f t="shared" si="22"/>
        <v>0.79975801572897764</v>
      </c>
      <c r="AO144" s="63">
        <f t="shared" si="23"/>
        <v>0.46846846846846846</v>
      </c>
      <c r="AP144" s="63">
        <f t="shared" si="24"/>
        <v>1.2103187643772593</v>
      </c>
    </row>
    <row r="145" spans="1:42" ht="20.100000000000001" customHeight="1" x14ac:dyDescent="0.3">
      <c r="A145" s="31">
        <v>8</v>
      </c>
      <c r="B145" s="32" t="s">
        <v>23</v>
      </c>
      <c r="C145" s="32" t="s">
        <v>27</v>
      </c>
      <c r="D145" s="33" t="s">
        <v>28</v>
      </c>
      <c r="E145" s="42">
        <v>45393</v>
      </c>
      <c r="F145" s="34">
        <v>0.65277777777777779</v>
      </c>
      <c r="G145" s="33" t="s">
        <v>19</v>
      </c>
      <c r="H145" s="43">
        <v>15.2</v>
      </c>
      <c r="I145" s="43">
        <v>7.18</v>
      </c>
      <c r="J145" s="43">
        <v>8.57</v>
      </c>
      <c r="K145" s="44">
        <v>447</v>
      </c>
      <c r="L145" s="41">
        <v>10.587</v>
      </c>
      <c r="M145" s="41"/>
      <c r="N145" s="41">
        <v>7.5830000000000002</v>
      </c>
      <c r="O145" s="41">
        <v>0.97586059085562704</v>
      </c>
      <c r="P145" s="41">
        <v>8.6902733014795064E-2</v>
      </c>
      <c r="Q145" s="41">
        <v>13.8</v>
      </c>
      <c r="R145" s="41">
        <v>4.4939999999999998</v>
      </c>
      <c r="S145" s="41">
        <v>4.4489999999999998</v>
      </c>
      <c r="T145" s="41">
        <v>28.874406034046217</v>
      </c>
      <c r="U145" s="41">
        <v>1.58</v>
      </c>
      <c r="V145" s="41">
        <v>-0.43</v>
      </c>
      <c r="W145" s="41">
        <v>29.5</v>
      </c>
      <c r="X145" s="41">
        <v>10.352175185906143</v>
      </c>
      <c r="Y145" s="36"/>
      <c r="Z145" s="63">
        <f t="shared" si="10"/>
        <v>6.2350364963503644</v>
      </c>
      <c r="AA145" s="63">
        <f t="shared" si="11"/>
        <v>0.39591836734693875</v>
      </c>
      <c r="AB145" s="63">
        <f t="shared" si="12"/>
        <v>5.6617647058823523E-2</v>
      </c>
      <c r="AC145" s="63">
        <f t="shared" si="13"/>
        <v>0.18333333333333335</v>
      </c>
      <c r="AD145" s="63">
        <f t="shared" si="14"/>
        <v>0.1749249249249249</v>
      </c>
      <c r="AE145" s="63"/>
      <c r="AF145" s="63">
        <f t="shared" si="15"/>
        <v>11.621768707482994</v>
      </c>
      <c r="AG145" s="63">
        <f t="shared" si="16"/>
        <v>0.38113948919449903</v>
      </c>
      <c r="AH145" s="63">
        <f t="shared" si="17"/>
        <v>4.4278320874065552E-2</v>
      </c>
      <c r="AI145" s="63">
        <f t="shared" si="18"/>
        <v>3.8128249566724441E-2</v>
      </c>
      <c r="AJ145" s="63">
        <f t="shared" si="19"/>
        <v>0.18090062111801242</v>
      </c>
      <c r="AK145" s="63"/>
      <c r="AL145" s="63">
        <f t="shared" si="20"/>
        <v>24.4756446991404</v>
      </c>
      <c r="AM145" s="63">
        <f t="shared" si="21"/>
        <v>1.2516129032258063</v>
      </c>
      <c r="AN145" s="63">
        <f t="shared" si="22"/>
        <v>5.4340155257586453E-2</v>
      </c>
      <c r="AO145" s="63">
        <f t="shared" si="23"/>
        <v>0.22680412371134021</v>
      </c>
      <c r="AP145" s="63">
        <f t="shared" si="24"/>
        <v>0.14595339513906289</v>
      </c>
    </row>
    <row r="146" spans="1:42" ht="20.100000000000001" customHeight="1" x14ac:dyDescent="0.3">
      <c r="A146" s="31">
        <v>9</v>
      </c>
      <c r="B146" s="32" t="s">
        <v>23</v>
      </c>
      <c r="C146" s="32" t="s">
        <v>27</v>
      </c>
      <c r="D146" s="33" t="s">
        <v>30</v>
      </c>
      <c r="E146" s="42">
        <v>45393</v>
      </c>
      <c r="F146" s="34">
        <v>0.64236111111111105</v>
      </c>
      <c r="G146" s="33" t="s">
        <v>19</v>
      </c>
      <c r="H146" s="43">
        <v>17.600000000000001</v>
      </c>
      <c r="I146" s="43">
        <v>8.07</v>
      </c>
      <c r="J146" s="43">
        <v>12.5</v>
      </c>
      <c r="K146" s="44">
        <v>306</v>
      </c>
      <c r="L146" s="41">
        <v>5.1479999999999997</v>
      </c>
      <c r="M146" s="41"/>
      <c r="N146" s="41">
        <v>0.44400000000000001</v>
      </c>
      <c r="O146" s="41">
        <v>3.8062637015242489</v>
      </c>
      <c r="P146" s="41">
        <v>0.37424985100928226</v>
      </c>
      <c r="Q146" s="41">
        <v>8.3000000000000007</v>
      </c>
      <c r="R146" s="41">
        <v>1.298</v>
      </c>
      <c r="S146" s="41">
        <v>1.2909999999999999</v>
      </c>
      <c r="T146" s="41">
        <v>22.829088136986975</v>
      </c>
      <c r="U146" s="41">
        <v>12.48</v>
      </c>
      <c r="V146" s="41">
        <v>2.62</v>
      </c>
      <c r="W146" s="41" t="s">
        <v>67</v>
      </c>
      <c r="X146" s="41">
        <v>12.076708490286192</v>
      </c>
      <c r="Y146" s="36"/>
      <c r="Z146" s="63">
        <f t="shared" si="10"/>
        <v>1.5009157509157509</v>
      </c>
      <c r="AA146" s="63">
        <f t="shared" si="11"/>
        <v>0.41049723756906081</v>
      </c>
      <c r="AB146" s="63">
        <f t="shared" si="12"/>
        <v>0.17260273972602741</v>
      </c>
      <c r="AC146" s="63">
        <f t="shared" si="13"/>
        <v>0.31428571428571428</v>
      </c>
      <c r="AD146" s="63">
        <f t="shared" si="14"/>
        <v>0.47956989247311826</v>
      </c>
      <c r="AE146" s="63"/>
      <c r="AF146" s="63">
        <f t="shared" si="15"/>
        <v>2.0426221335992025</v>
      </c>
      <c r="AG146" s="63">
        <f t="shared" si="16"/>
        <v>0.23460688348594885</v>
      </c>
      <c r="AH146" s="63">
        <f t="shared" si="17"/>
        <v>0.14600231749710313</v>
      </c>
      <c r="AI146" s="63">
        <f t="shared" si="18"/>
        <v>0.10784313725490197</v>
      </c>
      <c r="AJ146" s="63">
        <f t="shared" si="19"/>
        <v>0.5754838709677419</v>
      </c>
      <c r="AK146" s="63"/>
      <c r="AL146" s="63">
        <f t="shared" si="20"/>
        <v>1.8557518115942031</v>
      </c>
      <c r="AM146" s="63">
        <f t="shared" si="21"/>
        <v>0.25160853369454789</v>
      </c>
      <c r="AN146" s="63">
        <f t="shared" si="22"/>
        <v>0.1453287197231834</v>
      </c>
      <c r="AO146" s="63">
        <f t="shared" si="23"/>
        <v>0.16479400749063672</v>
      </c>
      <c r="AP146" s="63">
        <f t="shared" si="24"/>
        <v>0.5958583834335337</v>
      </c>
    </row>
    <row r="147" spans="1:42" ht="20.100000000000001" customHeight="1" x14ac:dyDescent="0.3">
      <c r="A147" s="22">
        <v>10</v>
      </c>
      <c r="B147" s="14" t="s">
        <v>31</v>
      </c>
      <c r="C147" s="14" t="s">
        <v>31</v>
      </c>
      <c r="D147" s="15" t="s">
        <v>32</v>
      </c>
      <c r="E147" s="16">
        <v>45394</v>
      </c>
      <c r="F147" s="17">
        <v>0.55902777777777779</v>
      </c>
      <c r="G147" s="15" t="s">
        <v>19</v>
      </c>
      <c r="H147" s="23">
        <v>20.100000000000001</v>
      </c>
      <c r="I147" s="23">
        <v>9.43</v>
      </c>
      <c r="J147" s="23">
        <v>13.8</v>
      </c>
      <c r="K147" s="45">
        <v>159.5</v>
      </c>
      <c r="L147" s="39">
        <v>1.5369999999999999</v>
      </c>
      <c r="M147" s="39"/>
      <c r="N147" s="39">
        <v>0.06</v>
      </c>
      <c r="O147" s="39">
        <v>1.3490559741266328</v>
      </c>
      <c r="P147" s="39" t="s">
        <v>68</v>
      </c>
      <c r="Q147" s="39">
        <v>2.4</v>
      </c>
      <c r="R147" s="39">
        <v>1.9E-2</v>
      </c>
      <c r="S147" s="39">
        <v>7.0000000000000001E-3</v>
      </c>
      <c r="T147" s="39">
        <v>10.187097958523417</v>
      </c>
      <c r="U147" s="39">
        <v>8.51</v>
      </c>
      <c r="V147" s="39">
        <v>8.32</v>
      </c>
      <c r="W147" s="39">
        <v>8.6999999999999993</v>
      </c>
      <c r="X147" s="39">
        <v>13.328055480267331</v>
      </c>
      <c r="Y147" s="18"/>
      <c r="Z147" s="63">
        <f t="shared" si="10"/>
        <v>0.61518324607329833</v>
      </c>
      <c r="AA147" s="63">
        <f t="shared" si="11"/>
        <v>1.6290780141843972</v>
      </c>
      <c r="AB147" s="63">
        <f t="shared" si="12"/>
        <v>1.627142857142857</v>
      </c>
      <c r="AC147" s="63">
        <f t="shared" si="13"/>
        <v>2.0037037037037035</v>
      </c>
      <c r="AD147" s="63">
        <f t="shared" si="14"/>
        <v>0.81741935483870964</v>
      </c>
      <c r="AE147" s="63"/>
      <c r="AF147" s="63">
        <f t="shared" si="15"/>
        <v>0.84108804581245533</v>
      </c>
      <c r="AG147" s="63">
        <f t="shared" si="16"/>
        <v>1.1737353091466529</v>
      </c>
      <c r="AH147" s="63">
        <f t="shared" si="17"/>
        <v>1.1249382716049383</v>
      </c>
      <c r="AI147" s="63">
        <f t="shared" si="18"/>
        <v>0.62543352601156077</v>
      </c>
      <c r="AJ147" s="63">
        <f t="shared" si="19"/>
        <v>1.0741839762611276</v>
      </c>
      <c r="AK147" s="63"/>
      <c r="AL147" s="63">
        <f t="shared" si="20"/>
        <v>0.84623694634497659</v>
      </c>
      <c r="AM147" s="63">
        <f t="shared" si="21"/>
        <v>1.0799247766807709</v>
      </c>
      <c r="AN147" s="63">
        <f t="shared" si="22"/>
        <v>1.1694045174537988</v>
      </c>
      <c r="AO147" s="63">
        <f t="shared" si="23"/>
        <v>0.73405698778833106</v>
      </c>
      <c r="AP147" s="63">
        <f t="shared" si="24"/>
        <v>1.0510161758606387</v>
      </c>
    </row>
    <row r="148" spans="1:42" ht="20.100000000000001" customHeight="1" x14ac:dyDescent="0.3">
      <c r="A148" s="22">
        <v>11</v>
      </c>
      <c r="B148" s="14" t="s">
        <v>31</v>
      </c>
      <c r="C148" s="14" t="s">
        <v>31</v>
      </c>
      <c r="D148" s="15" t="s">
        <v>33</v>
      </c>
      <c r="E148" s="16">
        <v>45394</v>
      </c>
      <c r="F148" s="17">
        <v>0.60416666666666663</v>
      </c>
      <c r="G148" s="15" t="s">
        <v>19</v>
      </c>
      <c r="H148" s="23">
        <v>18.8</v>
      </c>
      <c r="I148" s="23">
        <v>7.93</v>
      </c>
      <c r="J148" s="23">
        <v>10.17</v>
      </c>
      <c r="K148" s="45">
        <v>192.7</v>
      </c>
      <c r="L148" s="39">
        <v>2.169</v>
      </c>
      <c r="M148" s="39"/>
      <c r="N148" s="39">
        <v>2.1999999999999999E-2</v>
      </c>
      <c r="O148" s="39">
        <v>2.0674211944327476</v>
      </c>
      <c r="P148" s="39" t="s">
        <v>68</v>
      </c>
      <c r="Q148" s="39">
        <v>2</v>
      </c>
      <c r="R148" s="39">
        <v>4.7E-2</v>
      </c>
      <c r="S148" s="39">
        <v>4.2999999999999997E-2</v>
      </c>
      <c r="T148" s="39">
        <v>12.831242270508705</v>
      </c>
      <c r="U148" s="39">
        <v>8.24</v>
      </c>
      <c r="V148" s="39">
        <v>6.51</v>
      </c>
      <c r="W148" s="39">
        <v>11.6</v>
      </c>
      <c r="X148" s="39">
        <v>13.545452837707971</v>
      </c>
      <c r="Y148" s="18"/>
      <c r="Z148" s="63">
        <f t="shared" si="10"/>
        <v>0.74651162790697667</v>
      </c>
      <c r="AA148" s="63">
        <f t="shared" si="11"/>
        <v>1.343609022556391</v>
      </c>
      <c r="AB148" s="63">
        <f t="shared" si="12"/>
        <v>1.3595588235294116</v>
      </c>
      <c r="AC148" s="63">
        <f t="shared" si="13"/>
        <v>1.1782608695652175</v>
      </c>
      <c r="AD148" s="63">
        <f t="shared" si="14"/>
        <v>0.9981308411214953</v>
      </c>
      <c r="AE148" s="63"/>
      <c r="AF148" s="63">
        <f t="shared" si="15"/>
        <v>1.118466898954704</v>
      </c>
      <c r="AG148" s="63">
        <f t="shared" si="16"/>
        <v>0.95920558239398834</v>
      </c>
      <c r="AH148" s="63">
        <f t="shared" si="17"/>
        <v>0.96553524804177548</v>
      </c>
      <c r="AI148" s="63">
        <f t="shared" si="18"/>
        <v>0.58279569892473115</v>
      </c>
      <c r="AJ148" s="63">
        <f t="shared" si="19"/>
        <v>1.0094517958412097</v>
      </c>
      <c r="AK148" s="63"/>
      <c r="AL148" s="63">
        <f t="shared" si="20"/>
        <v>0.9866803278688524</v>
      </c>
      <c r="AM148" s="63">
        <f t="shared" si="21"/>
        <v>0.93267223382045938</v>
      </c>
      <c r="AN148" s="63">
        <f t="shared" si="22"/>
        <v>1.0399325084364452</v>
      </c>
      <c r="AO148" s="63">
        <f t="shared" si="23"/>
        <v>0.51325757575757569</v>
      </c>
      <c r="AP148" s="63">
        <f t="shared" si="24"/>
        <v>1.1242105263157895</v>
      </c>
    </row>
    <row r="149" spans="1:42" ht="20.100000000000001" customHeight="1" x14ac:dyDescent="0.3">
      <c r="A149" s="22">
        <v>12</v>
      </c>
      <c r="B149" s="14" t="s">
        <v>31</v>
      </c>
      <c r="C149" s="14" t="s">
        <v>31</v>
      </c>
      <c r="D149" s="15" t="s">
        <v>34</v>
      </c>
      <c r="E149" s="16">
        <v>45394</v>
      </c>
      <c r="F149" s="17">
        <v>0.61111111111111105</v>
      </c>
      <c r="G149" s="15" t="s">
        <v>19</v>
      </c>
      <c r="H149" s="23">
        <v>20.6</v>
      </c>
      <c r="I149" s="23">
        <v>8.49</v>
      </c>
      <c r="J149" s="23">
        <v>11.2</v>
      </c>
      <c r="K149" s="45">
        <v>200.4</v>
      </c>
      <c r="L149" s="39">
        <v>2.4790000000000001</v>
      </c>
      <c r="M149" s="39"/>
      <c r="N149" s="39">
        <v>3.5000000000000003E-2</v>
      </c>
      <c r="O149" s="39">
        <v>2.3482003300928995</v>
      </c>
      <c r="P149" s="39" t="s">
        <v>68</v>
      </c>
      <c r="Q149" s="39">
        <v>2.1</v>
      </c>
      <c r="R149" s="39">
        <v>5.0999999999999997E-2</v>
      </c>
      <c r="S149" s="39">
        <v>4.8000000000000001E-2</v>
      </c>
      <c r="T149" s="39">
        <v>14.247692060289525</v>
      </c>
      <c r="U149" s="39">
        <v>8.6199999999999992</v>
      </c>
      <c r="V149" s="39">
        <v>5.83</v>
      </c>
      <c r="W149" s="39">
        <v>11.2</v>
      </c>
      <c r="X149" s="39">
        <v>14.539856019900043</v>
      </c>
      <c r="Y149" s="18"/>
      <c r="Z149" s="63">
        <f t="shared" si="10"/>
        <v>0.72702702702702693</v>
      </c>
      <c r="AA149" s="63">
        <f t="shared" si="11"/>
        <v>1.4</v>
      </c>
      <c r="AB149" s="63">
        <f t="shared" si="12"/>
        <v>1.0330708661417323</v>
      </c>
      <c r="AC149" s="63">
        <f t="shared" si="13"/>
        <v>1.1950000000000001</v>
      </c>
      <c r="AD149" s="63">
        <f t="shared" si="14"/>
        <v>1.157556270096463</v>
      </c>
      <c r="AE149" s="63"/>
      <c r="AF149" s="63">
        <f t="shared" si="15"/>
        <v>1.0119699042407662</v>
      </c>
      <c r="AG149" s="63">
        <f t="shared" si="16"/>
        <v>0.9818181818181817</v>
      </c>
      <c r="AH149" s="63">
        <f t="shared" si="17"/>
        <v>0.62625298329355605</v>
      </c>
      <c r="AI149" s="63">
        <f t="shared" si="18"/>
        <v>0.63395225464190996</v>
      </c>
      <c r="AJ149" s="63">
        <f t="shared" si="19"/>
        <v>1.3437849944008957</v>
      </c>
      <c r="AK149" s="63"/>
      <c r="AL149" s="63">
        <f t="shared" si="20"/>
        <v>0.94961489088575091</v>
      </c>
      <c r="AM149" s="63">
        <f t="shared" si="21"/>
        <v>0.95987811071609963</v>
      </c>
      <c r="AN149" s="63">
        <f t="shared" si="22"/>
        <v>0.80195599022004893</v>
      </c>
      <c r="AO149" s="63">
        <f t="shared" si="23"/>
        <v>0.50743099787685775</v>
      </c>
      <c r="AP149" s="63">
        <f t="shared" si="24"/>
        <v>1.2820512820512822</v>
      </c>
    </row>
    <row r="150" spans="1:42" ht="20.100000000000001" customHeight="1" x14ac:dyDescent="0.3">
      <c r="A150" s="22">
        <v>13</v>
      </c>
      <c r="B150" s="14" t="s">
        <v>31</v>
      </c>
      <c r="C150" s="14" t="s">
        <v>35</v>
      </c>
      <c r="D150" s="15" t="s">
        <v>36</v>
      </c>
      <c r="E150" s="16">
        <v>45394</v>
      </c>
      <c r="F150" s="17">
        <v>0.59375</v>
      </c>
      <c r="G150" s="15" t="s">
        <v>37</v>
      </c>
      <c r="H150" s="23">
        <v>20</v>
      </c>
      <c r="I150" s="23">
        <v>7.91</v>
      </c>
      <c r="J150" s="23">
        <v>10.9</v>
      </c>
      <c r="K150" s="45">
        <v>264</v>
      </c>
      <c r="L150" s="39">
        <v>3.7250000000000001</v>
      </c>
      <c r="M150" s="39"/>
      <c r="N150" s="39">
        <v>0.246</v>
      </c>
      <c r="O150" s="39">
        <v>3.3700928149145133</v>
      </c>
      <c r="P150" s="39">
        <v>6.9030757429925982E-2</v>
      </c>
      <c r="Q150" s="39">
        <v>2.2000000000000002</v>
      </c>
      <c r="R150" s="39">
        <v>0.106</v>
      </c>
      <c r="S150" s="39">
        <v>0.105</v>
      </c>
      <c r="T150" s="39">
        <v>20.963677081464517</v>
      </c>
      <c r="U150" s="39">
        <v>9.1300000000000008</v>
      </c>
      <c r="V150" s="39">
        <v>4.09</v>
      </c>
      <c r="W150" s="39">
        <v>9.3000000000000007</v>
      </c>
      <c r="X150" s="39">
        <v>15.702781473289019</v>
      </c>
      <c r="Y150" s="18"/>
      <c r="Z150" s="63">
        <f t="shared" si="10"/>
        <v>0.87420814479638009</v>
      </c>
      <c r="AA150" s="63">
        <f t="shared" si="11"/>
        <v>1.1110294117647057</v>
      </c>
      <c r="AB150" s="63">
        <f t="shared" si="12"/>
        <v>0.41296296296296292</v>
      </c>
      <c r="AC150" s="63">
        <f t="shared" si="13"/>
        <v>0.62352941176470589</v>
      </c>
      <c r="AD150" s="63">
        <f t="shared" si="14"/>
        <v>1.3713804713804714</v>
      </c>
      <c r="AE150" s="63"/>
      <c r="AF150" s="63">
        <f t="shared" si="15"/>
        <v>1.0814441645675901</v>
      </c>
      <c r="AG150" s="63">
        <f t="shared" si="16"/>
        <v>0.77726337448559679</v>
      </c>
      <c r="AH150" s="63">
        <f t="shared" si="17"/>
        <v>0.31474947071277348</v>
      </c>
      <c r="AI150" s="63">
        <f t="shared" si="18"/>
        <v>0.2579075425790755</v>
      </c>
      <c r="AJ150" s="63">
        <f t="shared" si="19"/>
        <v>1.5340866290018831</v>
      </c>
      <c r="AK150" s="63"/>
      <c r="AL150" s="63">
        <f t="shared" si="20"/>
        <v>1.1116225546605292</v>
      </c>
      <c r="AM150" s="63">
        <f t="shared" si="21"/>
        <v>0.77686375321336765</v>
      </c>
      <c r="AN150" s="63">
        <f t="shared" si="22"/>
        <v>0.32650073206442165</v>
      </c>
      <c r="AO150" s="63">
        <f t="shared" si="23"/>
        <v>0.30903790087463562</v>
      </c>
      <c r="AP150" s="63">
        <f t="shared" si="24"/>
        <v>1.419163763066202</v>
      </c>
    </row>
    <row r="151" spans="1:42" ht="20.100000000000001" customHeight="1" x14ac:dyDescent="0.3">
      <c r="A151" s="22">
        <v>14</v>
      </c>
      <c r="B151" s="14" t="s">
        <v>31</v>
      </c>
      <c r="C151" s="14" t="s">
        <v>5</v>
      </c>
      <c r="D151" s="15" t="s">
        <v>29</v>
      </c>
      <c r="E151" s="16">
        <v>45394</v>
      </c>
      <c r="F151" s="17">
        <v>0.58680555555555558</v>
      </c>
      <c r="G151" s="15" t="s">
        <v>37</v>
      </c>
      <c r="H151" s="23">
        <v>21.3</v>
      </c>
      <c r="I151" s="23">
        <v>7.61</v>
      </c>
      <c r="J151" s="23">
        <v>10.199999999999999</v>
      </c>
      <c r="K151" s="45">
        <v>330</v>
      </c>
      <c r="L151" s="39">
        <v>3.2210000000000001</v>
      </c>
      <c r="M151" s="39"/>
      <c r="N151" s="39">
        <v>0.48799999999999999</v>
      </c>
      <c r="O151" s="39">
        <v>2.409154906701044</v>
      </c>
      <c r="P151" s="39">
        <v>0.20265185356162441</v>
      </c>
      <c r="Q151" s="39">
        <v>2.8</v>
      </c>
      <c r="R151" s="39">
        <v>7.3999999999999996E-2</v>
      </c>
      <c r="S151" s="39">
        <v>7.0000000000000007E-2</v>
      </c>
      <c r="T151" s="39">
        <v>37.782982991834189</v>
      </c>
      <c r="U151" s="39">
        <v>8.94</v>
      </c>
      <c r="V151" s="39">
        <v>4.2699999999999996</v>
      </c>
      <c r="W151" s="39">
        <v>16.5</v>
      </c>
      <c r="X151" s="39">
        <v>12.61424864341576</v>
      </c>
      <c r="Y151" s="18"/>
      <c r="Z151" s="63">
        <f t="shared" si="10"/>
        <v>0.78224299065420555</v>
      </c>
      <c r="AA151" s="63">
        <f t="shared" si="11"/>
        <v>1.2818840579710145</v>
      </c>
      <c r="AB151" s="63">
        <f t="shared" si="12"/>
        <v>0.38230088495575221</v>
      </c>
      <c r="AC151" s="63">
        <f t="shared" si="13"/>
        <v>0.69444444444444453</v>
      </c>
      <c r="AD151" s="63">
        <f t="shared" si="14"/>
        <v>1.4277227722772277</v>
      </c>
      <c r="AE151" s="63"/>
      <c r="AF151" s="63">
        <f t="shared" si="15"/>
        <v>1.1163721240413471</v>
      </c>
      <c r="AG151" s="63">
        <f t="shared" si="16"/>
        <v>0.86673199412052926</v>
      </c>
      <c r="AH151" s="63">
        <f t="shared" si="17"/>
        <v>0.26882389545737401</v>
      </c>
      <c r="AI151" s="63">
        <f t="shared" si="18"/>
        <v>0.37878787878787878</v>
      </c>
      <c r="AJ151" s="63">
        <f t="shared" si="19"/>
        <v>1.4310287793582532</v>
      </c>
      <c r="AK151" s="63"/>
      <c r="AL151" s="63">
        <f t="shared" si="20"/>
        <v>0.98615611192930763</v>
      </c>
      <c r="AM151" s="63">
        <f t="shared" si="21"/>
        <v>0.92472556194458977</v>
      </c>
      <c r="AN151" s="63">
        <f t="shared" si="22"/>
        <v>0.30703624733475487</v>
      </c>
      <c r="AO151" s="63">
        <f t="shared" si="23"/>
        <v>0.3541076487252125</v>
      </c>
      <c r="AP151" s="63">
        <f t="shared" si="24"/>
        <v>1.4754433833560709</v>
      </c>
    </row>
    <row r="152" spans="1:42" ht="20.100000000000001" customHeight="1" x14ac:dyDescent="0.3">
      <c r="A152" s="22">
        <v>15</v>
      </c>
      <c r="B152" s="14" t="s">
        <v>31</v>
      </c>
      <c r="C152" s="14" t="s">
        <v>35</v>
      </c>
      <c r="D152" s="15" t="s">
        <v>29</v>
      </c>
      <c r="E152" s="16">
        <v>45394</v>
      </c>
      <c r="F152" s="17">
        <v>0.58333333333333337</v>
      </c>
      <c r="G152" s="15" t="s">
        <v>37</v>
      </c>
      <c r="H152" s="23">
        <v>19.2</v>
      </c>
      <c r="I152" s="23">
        <v>8.1999999999999993</v>
      </c>
      <c r="J152" s="23">
        <v>10.36</v>
      </c>
      <c r="K152" s="45">
        <v>265</v>
      </c>
      <c r="L152" s="39">
        <v>2.9990000000000001</v>
      </c>
      <c r="M152" s="39"/>
      <c r="N152" s="39">
        <v>8.3000000000000004E-2</v>
      </c>
      <c r="O152" s="39">
        <v>2.8600034333719488</v>
      </c>
      <c r="P152" s="39">
        <v>1.7071790625036165E-3</v>
      </c>
      <c r="Q152" s="39">
        <v>2.4</v>
      </c>
      <c r="R152" s="39">
        <v>7.3999999999999996E-2</v>
      </c>
      <c r="S152" s="39">
        <v>7.0999999999999994E-2</v>
      </c>
      <c r="T152" s="39">
        <v>20.981463254273066</v>
      </c>
      <c r="U152" s="39">
        <v>10.39</v>
      </c>
      <c r="V152" s="39">
        <v>5.64</v>
      </c>
      <c r="W152" s="39">
        <v>12.4</v>
      </c>
      <c r="X152" s="39">
        <v>16.465379552633163</v>
      </c>
      <c r="Y152" s="18"/>
      <c r="Z152" s="63">
        <f t="shared" si="10"/>
        <v>0.63290870488322726</v>
      </c>
      <c r="AA152" s="63">
        <f t="shared" si="11"/>
        <v>1.7732919254658384</v>
      </c>
      <c r="AB152" s="63">
        <f t="shared" si="12"/>
        <v>0.96893203883495138</v>
      </c>
      <c r="AC152" s="63">
        <f t="shared" si="13"/>
        <v>1.2684210526315791</v>
      </c>
      <c r="AD152" s="63">
        <f t="shared" si="14"/>
        <v>1.1890243902439024</v>
      </c>
      <c r="AE152" s="63"/>
      <c r="AF152" s="63">
        <f t="shared" si="15"/>
        <v>0.76810100489564537</v>
      </c>
      <c r="AG152" s="63">
        <f t="shared" si="16"/>
        <v>1.2866155926092837</v>
      </c>
      <c r="AH152" s="63">
        <f t="shared" si="17"/>
        <v>0.69741439552760309</v>
      </c>
      <c r="AI152" s="63">
        <f t="shared" si="18"/>
        <v>0.4462962962962963</v>
      </c>
      <c r="AJ152" s="63">
        <f t="shared" si="19"/>
        <v>1.516329704510109</v>
      </c>
      <c r="AK152" s="63"/>
      <c r="AL152" s="63">
        <f t="shared" si="20"/>
        <v>0.82782560399888916</v>
      </c>
      <c r="AM152" s="63">
        <f t="shared" si="21"/>
        <v>1.1001926782273603</v>
      </c>
      <c r="AN152" s="63">
        <f t="shared" si="22"/>
        <v>0.72846715328467149</v>
      </c>
      <c r="AO152" s="63">
        <f t="shared" si="23"/>
        <v>0.50208333333333344</v>
      </c>
      <c r="AP152" s="63">
        <f t="shared" si="24"/>
        <v>1.4969293756397135</v>
      </c>
    </row>
    <row r="153" spans="1:42" ht="20.100000000000001" customHeight="1" x14ac:dyDescent="0.3">
      <c r="A153" s="31">
        <v>16</v>
      </c>
      <c r="B153" s="32" t="s">
        <v>38</v>
      </c>
      <c r="C153" s="32" t="s">
        <v>38</v>
      </c>
      <c r="D153" s="33" t="s">
        <v>39</v>
      </c>
      <c r="E153" s="42">
        <v>45394</v>
      </c>
      <c r="F153" s="34">
        <v>0.60763888888888895</v>
      </c>
      <c r="G153" s="33" t="s">
        <v>37</v>
      </c>
      <c r="H153" s="43">
        <v>16.7</v>
      </c>
      <c r="I153" s="43">
        <v>7.74</v>
      </c>
      <c r="J153" s="43">
        <v>9.69</v>
      </c>
      <c r="K153" s="44">
        <v>280</v>
      </c>
      <c r="L153" s="41">
        <v>4.0350000000000001</v>
      </c>
      <c r="M153" s="41"/>
      <c r="N153" s="41">
        <v>0.11600000000000001</v>
      </c>
      <c r="O153" s="41">
        <v>3.6370006163330189</v>
      </c>
      <c r="P153" s="41">
        <v>7.1019486261476195E-2</v>
      </c>
      <c r="Q153" s="41">
        <v>3.7</v>
      </c>
      <c r="R153" s="41">
        <v>7.6999999999999999E-2</v>
      </c>
      <c r="S153" s="41">
        <v>7.0999999999999994E-2</v>
      </c>
      <c r="T153" s="41">
        <v>20.656813665762371</v>
      </c>
      <c r="U153" s="41">
        <v>7.92</v>
      </c>
      <c r="V153" s="41">
        <v>4.59</v>
      </c>
      <c r="W153" s="41">
        <v>12.1</v>
      </c>
      <c r="X153" s="41">
        <v>13.006279806017819</v>
      </c>
      <c r="Y153" s="36"/>
      <c r="Z153" s="63">
        <f t="shared" si="10"/>
        <v>0.8324808184143222</v>
      </c>
      <c r="AA153" s="63">
        <f t="shared" si="11"/>
        <v>1.0114754098360657</v>
      </c>
      <c r="AB153" s="63">
        <f t="shared" si="12"/>
        <v>0.6112903225806452</v>
      </c>
      <c r="AC153" s="63">
        <f t="shared" si="13"/>
        <v>0.71111111111111125</v>
      </c>
      <c r="AD153" s="63">
        <f t="shared" si="14"/>
        <v>1.3405797101449275</v>
      </c>
      <c r="AE153" s="63"/>
      <c r="AF153" s="63">
        <f t="shared" si="15"/>
        <v>1.1449173408371438</v>
      </c>
      <c r="AG153" s="63">
        <f t="shared" si="16"/>
        <v>0.69638826185101588</v>
      </c>
      <c r="AH153" s="63">
        <f t="shared" si="17"/>
        <v>0.36181384248210025</v>
      </c>
      <c r="AI153" s="63">
        <f t="shared" si="18"/>
        <v>0.33952254641909813</v>
      </c>
      <c r="AJ153" s="63">
        <f t="shared" si="19"/>
        <v>1.5877102643323036</v>
      </c>
      <c r="AK153" s="63"/>
      <c r="AL153" s="63">
        <f t="shared" si="20"/>
        <v>1.0724876441515649</v>
      </c>
      <c r="AM153" s="63">
        <f t="shared" si="21"/>
        <v>0.73496128648004766</v>
      </c>
      <c r="AN153" s="63">
        <f t="shared" si="22"/>
        <v>0.48652118100128372</v>
      </c>
      <c r="AO153" s="63">
        <f t="shared" si="23"/>
        <v>0.35068493150684932</v>
      </c>
      <c r="AP153" s="63">
        <f t="shared" si="24"/>
        <v>1.3752601843592034</v>
      </c>
    </row>
    <row r="154" spans="1:42" ht="20.100000000000001" customHeight="1" x14ac:dyDescent="0.3">
      <c r="A154" s="31">
        <v>17</v>
      </c>
      <c r="B154" s="32" t="s">
        <v>38</v>
      </c>
      <c r="C154" s="32" t="s">
        <v>38</v>
      </c>
      <c r="D154" s="33" t="s">
        <v>41</v>
      </c>
      <c r="E154" s="42">
        <v>45393</v>
      </c>
      <c r="F154" s="34">
        <v>0.5625</v>
      </c>
      <c r="G154" s="33" t="s">
        <v>37</v>
      </c>
      <c r="H154" s="43">
        <v>20</v>
      </c>
      <c r="I154" s="43">
        <v>7.57</v>
      </c>
      <c r="J154" s="43">
        <v>9.91</v>
      </c>
      <c r="K154" s="44">
        <v>372</v>
      </c>
      <c r="L154" s="41">
        <v>4.7130000000000001</v>
      </c>
      <c r="M154" s="41"/>
      <c r="N154" s="41">
        <v>0.129</v>
      </c>
      <c r="O154" s="41">
        <v>4.3850525263799121</v>
      </c>
      <c r="P154" s="41">
        <v>6.3094173518871088E-2</v>
      </c>
      <c r="Q154" s="41">
        <v>3.7</v>
      </c>
      <c r="R154" s="41">
        <v>8.3000000000000004E-2</v>
      </c>
      <c r="S154" s="41">
        <v>7.5999999999999998E-2</v>
      </c>
      <c r="T154" s="41">
        <v>42.086888752878899</v>
      </c>
      <c r="U154" s="41">
        <v>11.24</v>
      </c>
      <c r="V154" s="41">
        <v>5.97</v>
      </c>
      <c r="W154" s="41">
        <v>17.3</v>
      </c>
      <c r="X154" s="41">
        <v>11.329123160711552</v>
      </c>
      <c r="Y154" s="36"/>
      <c r="Z154" s="63">
        <f t="shared" si="10"/>
        <v>0.63634496919917871</v>
      </c>
      <c r="AA154" s="63">
        <f t="shared" si="11"/>
        <v>1.8100558659217878</v>
      </c>
      <c r="AB154" s="63">
        <f t="shared" si="12"/>
        <v>1.1191489361702127</v>
      </c>
      <c r="AC154" s="63">
        <f t="shared" si="13"/>
        <v>1.4550000000000001</v>
      </c>
      <c r="AD154" s="63">
        <f t="shared" si="14"/>
        <v>1.0536363636363637</v>
      </c>
      <c r="AE154" s="63"/>
      <c r="AF154" s="63">
        <f t="shared" si="15"/>
        <v>0.95500770416024638</v>
      </c>
      <c r="AG154" s="63">
        <f t="shared" si="16"/>
        <v>1.1050477489768076</v>
      </c>
      <c r="AH154" s="63">
        <f t="shared" si="17"/>
        <v>0.7833209233060312</v>
      </c>
      <c r="AI154" s="63">
        <f t="shared" si="18"/>
        <v>0.41394025604551921</v>
      </c>
      <c r="AJ154" s="63">
        <f t="shared" si="19"/>
        <v>1.3044456949915588</v>
      </c>
      <c r="AK154" s="63"/>
      <c r="AL154" s="63">
        <f t="shared" si="20"/>
        <v>0.83779399837793989</v>
      </c>
      <c r="AM154" s="63">
        <f t="shared" si="21"/>
        <v>1.1065573770491803</v>
      </c>
      <c r="AN154" s="63">
        <f t="shared" si="22"/>
        <v>0.83293745051464774</v>
      </c>
      <c r="AO154" s="63">
        <f t="shared" si="23"/>
        <v>0.56614785992217898</v>
      </c>
      <c r="AP154" s="63">
        <f t="shared" si="24"/>
        <v>1.4523809523809526</v>
      </c>
    </row>
    <row r="155" spans="1:42" ht="20.100000000000001" customHeight="1" x14ac:dyDescent="0.3">
      <c r="A155" s="31">
        <v>18</v>
      </c>
      <c r="B155" s="32" t="s">
        <v>38</v>
      </c>
      <c r="C155" s="32" t="s">
        <v>38</v>
      </c>
      <c r="D155" s="33" t="s">
        <v>42</v>
      </c>
      <c r="E155" s="42">
        <v>45393</v>
      </c>
      <c r="F155" s="34">
        <v>0.62847222222222221</v>
      </c>
      <c r="G155" s="33" t="s">
        <v>37</v>
      </c>
      <c r="H155" s="43">
        <v>18.399999999999999</v>
      </c>
      <c r="I155" s="43">
        <v>7.16</v>
      </c>
      <c r="J155" s="43">
        <v>8.81</v>
      </c>
      <c r="K155" s="44">
        <v>393</v>
      </c>
      <c r="L155" s="41">
        <v>5.0999999999999996</v>
      </c>
      <c r="M155" s="41"/>
      <c r="N155" s="41">
        <v>0.374</v>
      </c>
      <c r="O155" s="41">
        <v>4.4413298229600713</v>
      </c>
      <c r="P155" s="41">
        <v>0.15166091643205315</v>
      </c>
      <c r="Q155" s="41">
        <v>4</v>
      </c>
      <c r="R155" s="41">
        <v>6.2E-2</v>
      </c>
      <c r="S155" s="41">
        <v>5.3999999999999999E-2</v>
      </c>
      <c r="T155" s="41">
        <v>46.199351722238532</v>
      </c>
      <c r="U155" s="41">
        <v>11.5</v>
      </c>
      <c r="V155" s="41">
        <v>5.45</v>
      </c>
      <c r="W155" s="41">
        <v>19.100000000000001</v>
      </c>
      <c r="X155" s="41">
        <v>11.436419136503728</v>
      </c>
      <c r="Y155" s="36"/>
      <c r="Z155" s="63">
        <f t="shared" si="10"/>
        <v>0.63439363817097416</v>
      </c>
      <c r="AA155" s="63">
        <f t="shared" si="11"/>
        <v>1.8446927374301678</v>
      </c>
      <c r="AB155" s="63">
        <f t="shared" si="12"/>
        <v>0.80537634408602143</v>
      </c>
      <c r="AC155" s="63">
        <f t="shared" si="13"/>
        <v>1.3555555555555556</v>
      </c>
      <c r="AD155" s="63">
        <f t="shared" si="14"/>
        <v>1.2144927536231884</v>
      </c>
      <c r="AE155" s="63"/>
      <c r="AF155" s="63">
        <f t="shared" si="15"/>
        <v>0.82476092013440161</v>
      </c>
      <c r="AG155" s="63">
        <f t="shared" si="16"/>
        <v>1.1788646911817209</v>
      </c>
      <c r="AH155" s="63">
        <f t="shared" si="17"/>
        <v>0.55979073243647237</v>
      </c>
      <c r="AI155" s="63">
        <f t="shared" si="18"/>
        <v>0.40871021775544386</v>
      </c>
      <c r="AJ155" s="63">
        <f t="shared" si="19"/>
        <v>1.8021505376344085</v>
      </c>
      <c r="AK155" s="63"/>
      <c r="AL155" s="63">
        <f t="shared" si="20"/>
        <v>0.83599685616976682</v>
      </c>
      <c r="AM155" s="63">
        <f t="shared" si="21"/>
        <v>1.1140350877192984</v>
      </c>
      <c r="AN155" s="63">
        <f t="shared" si="22"/>
        <v>0.62994112699747684</v>
      </c>
      <c r="AO155" s="63">
        <f t="shared" si="23"/>
        <v>0.5224839400428265</v>
      </c>
      <c r="AP155" s="63">
        <f t="shared" si="24"/>
        <v>1.6084452975047987</v>
      </c>
    </row>
    <row r="156" spans="1:42" ht="20.100000000000001" customHeight="1" x14ac:dyDescent="0.3">
      <c r="A156" s="31">
        <v>19</v>
      </c>
      <c r="B156" s="32" t="s">
        <v>38</v>
      </c>
      <c r="C156" s="32" t="s">
        <v>43</v>
      </c>
      <c r="D156" s="33" t="s">
        <v>40</v>
      </c>
      <c r="E156" s="42">
        <v>45393</v>
      </c>
      <c r="F156" s="34">
        <v>0.56597222222222221</v>
      </c>
      <c r="G156" s="33" t="s">
        <v>37</v>
      </c>
      <c r="H156" s="43">
        <v>20.399999999999999</v>
      </c>
      <c r="I156" s="43">
        <v>7.15</v>
      </c>
      <c r="J156" s="43">
        <v>9.94</v>
      </c>
      <c r="K156" s="44">
        <v>427</v>
      </c>
      <c r="L156" s="41">
        <v>4.4729999999999999</v>
      </c>
      <c r="M156" s="41"/>
      <c r="N156" s="41">
        <v>0.26700000000000002</v>
      </c>
      <c r="O156" s="41">
        <v>3.9058742648607598</v>
      </c>
      <c r="P156" s="41">
        <v>7.8217782921411683E-2</v>
      </c>
      <c r="Q156" s="41">
        <v>3.9</v>
      </c>
      <c r="R156" s="41">
        <v>0.02</v>
      </c>
      <c r="S156" s="41">
        <v>7.0000000000000001E-3</v>
      </c>
      <c r="T156" s="41">
        <v>64.491191417810811</v>
      </c>
      <c r="U156" s="41">
        <v>12.27</v>
      </c>
      <c r="V156" s="41">
        <v>6.11</v>
      </c>
      <c r="W156" s="41">
        <v>20.2</v>
      </c>
      <c r="X156" s="41">
        <v>10.396885695613589</v>
      </c>
      <c r="Y156" s="36"/>
      <c r="Z156" s="63">
        <f t="shared" si="10"/>
        <v>0.61682974559686887</v>
      </c>
      <c r="AA156" s="63">
        <f t="shared" si="11"/>
        <v>1.9290816326530611</v>
      </c>
      <c r="AB156" s="63">
        <f t="shared" si="12"/>
        <v>1.1309523809523809</v>
      </c>
      <c r="AC156" s="63">
        <f t="shared" si="13"/>
        <v>1.8333333333333335</v>
      </c>
      <c r="AD156" s="63">
        <f t="shared" si="14"/>
        <v>0.93560209424083773</v>
      </c>
      <c r="AE156" s="63"/>
      <c r="AF156" s="63">
        <f t="shared" si="15"/>
        <v>1.1491068173532628</v>
      </c>
      <c r="AG156" s="63">
        <f t="shared" si="16"/>
        <v>0.97902641118591416</v>
      </c>
      <c r="AH156" s="63">
        <f t="shared" si="17"/>
        <v>0.77996715927750415</v>
      </c>
      <c r="AI156" s="63">
        <f t="shared" si="18"/>
        <v>0.51968503937007871</v>
      </c>
      <c r="AJ156" s="63">
        <f t="shared" si="19"/>
        <v>1.1588845654993516</v>
      </c>
      <c r="AK156" s="63"/>
      <c r="AL156" s="63">
        <f t="shared" si="20"/>
        <v>0.86593406593406597</v>
      </c>
      <c r="AM156" s="63">
        <f t="shared" si="21"/>
        <v>1.1357765094623011</v>
      </c>
      <c r="AN156" s="63">
        <f t="shared" si="22"/>
        <v>0.8318739054290718</v>
      </c>
      <c r="AO156" s="63">
        <f t="shared" si="23"/>
        <v>0.64327485380116955</v>
      </c>
      <c r="AP156" s="63">
        <f t="shared" si="24"/>
        <v>1.2986918604651163</v>
      </c>
    </row>
    <row r="157" spans="1:42" ht="20.100000000000001" customHeight="1" x14ac:dyDescent="0.3">
      <c r="A157" s="31">
        <v>20</v>
      </c>
      <c r="B157" s="32" t="s">
        <v>38</v>
      </c>
      <c r="C157" s="32" t="s">
        <v>43</v>
      </c>
      <c r="D157" s="33" t="s">
        <v>44</v>
      </c>
      <c r="E157" s="42">
        <v>45393</v>
      </c>
      <c r="F157" s="34">
        <v>0.57291666666666663</v>
      </c>
      <c r="G157" s="33" t="s">
        <v>37</v>
      </c>
      <c r="H157" s="43">
        <v>17.7</v>
      </c>
      <c r="I157" s="43">
        <v>8.4600000000000009</v>
      </c>
      <c r="J157" s="43">
        <v>13.23</v>
      </c>
      <c r="K157" s="44">
        <v>488</v>
      </c>
      <c r="L157" s="41">
        <v>5.1660000000000004</v>
      </c>
      <c r="M157" s="41"/>
      <c r="N157" s="41">
        <v>6.3E-2</v>
      </c>
      <c r="O157" s="41">
        <v>4.9679283032825374</v>
      </c>
      <c r="P157" s="41">
        <v>0.12958430283036404</v>
      </c>
      <c r="Q157" s="41">
        <v>2.9</v>
      </c>
      <c r="R157" s="41">
        <v>4.8000000000000001E-2</v>
      </c>
      <c r="S157" s="41">
        <v>2.3E-2</v>
      </c>
      <c r="T157" s="41">
        <v>53.23904304944535</v>
      </c>
      <c r="U157" s="41">
        <v>10.25</v>
      </c>
      <c r="V157" s="41">
        <v>7.37</v>
      </c>
      <c r="W157" s="41">
        <v>23.4</v>
      </c>
      <c r="X157" s="41">
        <v>10.85344472189681</v>
      </c>
      <c r="Y157" s="36"/>
      <c r="Z157" s="63">
        <f t="shared" si="10"/>
        <v>0.59933628318584065</v>
      </c>
      <c r="AA157" s="63">
        <f t="shared" si="11"/>
        <v>1.7591715976331359</v>
      </c>
      <c r="AB157" s="63">
        <f t="shared" si="12"/>
        <v>1.4398230088495574</v>
      </c>
      <c r="AC157" s="63">
        <f t="shared" si="13"/>
        <v>2.2428571428571429</v>
      </c>
      <c r="AD157" s="63">
        <f t="shared" si="14"/>
        <v>0.90612244897959182</v>
      </c>
      <c r="AE157" s="63"/>
      <c r="AF157" s="63">
        <f t="shared" si="15"/>
        <v>0.80889817856076451</v>
      </c>
      <c r="AG157" s="63">
        <f t="shared" si="16"/>
        <v>1.163600782778865</v>
      </c>
      <c r="AH157" s="63">
        <f t="shared" si="17"/>
        <v>1.0941492938802959</v>
      </c>
      <c r="AI157" s="63">
        <f t="shared" si="18"/>
        <v>0.64965517241379311</v>
      </c>
      <c r="AJ157" s="63">
        <f t="shared" si="19"/>
        <v>1.1783439490445859</v>
      </c>
      <c r="AK157" s="63"/>
      <c r="AL157" s="63">
        <f t="shared" si="20"/>
        <v>0.82066040593759471</v>
      </c>
      <c r="AM157" s="63">
        <f t="shared" si="21"/>
        <v>1.0942215679057785</v>
      </c>
      <c r="AN157" s="63">
        <f t="shared" si="22"/>
        <v>1.0620104438642297</v>
      </c>
      <c r="AO157" s="63">
        <f t="shared" si="23"/>
        <v>0.71908396946564879</v>
      </c>
      <c r="AP157" s="63">
        <f t="shared" si="24"/>
        <v>1.2367688022284122</v>
      </c>
    </row>
    <row r="158" spans="1:42" ht="20.100000000000001" customHeight="1" x14ac:dyDescent="0.3">
      <c r="A158" s="22">
        <v>21</v>
      </c>
      <c r="B158" s="14" t="s">
        <v>45</v>
      </c>
      <c r="C158" s="14" t="s">
        <v>45</v>
      </c>
      <c r="D158" s="15" t="s">
        <v>46</v>
      </c>
      <c r="E158" s="16">
        <v>45393</v>
      </c>
      <c r="F158" s="17">
        <v>0.44097222222222227</v>
      </c>
      <c r="G158" s="15" t="s">
        <v>37</v>
      </c>
      <c r="H158" s="23">
        <v>14.7</v>
      </c>
      <c r="I158" s="23">
        <v>7.64</v>
      </c>
      <c r="J158" s="23">
        <v>10.1</v>
      </c>
      <c r="K158" s="45">
        <v>195</v>
      </c>
      <c r="L158" s="39">
        <v>1.575</v>
      </c>
      <c r="M158" s="39"/>
      <c r="N158" s="39">
        <v>3.9E-2</v>
      </c>
      <c r="O158" s="39">
        <v>1.4978781437023474</v>
      </c>
      <c r="P158" s="39" t="s">
        <v>68</v>
      </c>
      <c r="Q158" s="39">
        <v>1.7</v>
      </c>
      <c r="R158" s="39">
        <v>6.0000000000000001E-3</v>
      </c>
      <c r="S158" s="39">
        <v>2E-3</v>
      </c>
      <c r="T158" s="39">
        <v>11.157679937554409</v>
      </c>
      <c r="U158" s="39">
        <v>4.84</v>
      </c>
      <c r="V158" s="39">
        <v>5.72</v>
      </c>
      <c r="W158" s="39">
        <v>8.6999999999999993</v>
      </c>
      <c r="X158" s="39">
        <v>14.992753436048833</v>
      </c>
      <c r="Y158" s="18"/>
      <c r="Z158" s="63">
        <f t="shared" si="10"/>
        <v>0.34741035856573704</v>
      </c>
      <c r="AA158" s="63">
        <f t="shared" si="11"/>
        <v>1.3243902439024389</v>
      </c>
      <c r="AB158" s="63">
        <f t="shared" si="12"/>
        <v>0.7467455621301774</v>
      </c>
      <c r="AC158" s="63">
        <f t="shared" si="13"/>
        <v>0.8</v>
      </c>
      <c r="AD158" s="63">
        <f t="shared" si="14"/>
        <v>1.384937238493724</v>
      </c>
      <c r="AE158" s="63"/>
      <c r="AF158" s="63">
        <f t="shared" si="15"/>
        <v>0.71887881286067601</v>
      </c>
      <c r="AG158" s="63">
        <f t="shared" si="16"/>
        <v>1.0958627648839556</v>
      </c>
      <c r="AH158" s="63">
        <f t="shared" si="17"/>
        <v>0.45658465991316932</v>
      </c>
      <c r="AI158" s="63">
        <f t="shared" si="18"/>
        <v>0.40201005025125625</v>
      </c>
      <c r="AJ158" s="63">
        <f t="shared" si="19"/>
        <v>1.4285714285714286</v>
      </c>
      <c r="AK158" s="63"/>
      <c r="AL158" s="63">
        <f t="shared" si="20"/>
        <v>0.57824933687002666</v>
      </c>
      <c r="AM158" s="63">
        <f t="shared" si="21"/>
        <v>1.347394540942928</v>
      </c>
      <c r="AN158" s="63">
        <f t="shared" si="22"/>
        <v>0.51657797789602944</v>
      </c>
      <c r="AO158" s="63">
        <f t="shared" si="23"/>
        <v>0.37558685446009393</v>
      </c>
      <c r="AP158" s="63">
        <f t="shared" si="24"/>
        <v>1.3742993564459207</v>
      </c>
    </row>
    <row r="159" spans="1:42" ht="20.100000000000001" customHeight="1" x14ac:dyDescent="0.3">
      <c r="A159" s="22">
        <v>22</v>
      </c>
      <c r="B159" s="14" t="s">
        <v>45</v>
      </c>
      <c r="C159" s="14" t="s">
        <v>45</v>
      </c>
      <c r="D159" s="19" t="s">
        <v>47</v>
      </c>
      <c r="E159" s="16">
        <v>45393</v>
      </c>
      <c r="F159" s="20">
        <v>0.46180555555555558</v>
      </c>
      <c r="G159" s="15" t="s">
        <v>37</v>
      </c>
      <c r="H159" s="23">
        <v>17.3</v>
      </c>
      <c r="I159" s="23">
        <v>7.3</v>
      </c>
      <c r="J159" s="23">
        <v>9.5</v>
      </c>
      <c r="K159" s="45">
        <v>232</v>
      </c>
      <c r="L159" s="40">
        <v>1.9910000000000001</v>
      </c>
      <c r="M159" s="40"/>
      <c r="N159" s="40">
        <v>4.2000000000000003E-2</v>
      </c>
      <c r="O159" s="40">
        <v>1.8417102276897697</v>
      </c>
      <c r="P159" s="39" t="s">
        <v>68</v>
      </c>
      <c r="Q159" s="40">
        <v>2.7</v>
      </c>
      <c r="R159" s="40">
        <v>5.3999999999999999E-2</v>
      </c>
      <c r="S159" s="40">
        <v>5.0999999999999997E-2</v>
      </c>
      <c r="T159" s="40">
        <v>17.228406114095094</v>
      </c>
      <c r="U159" s="40">
        <v>7.46</v>
      </c>
      <c r="V159" s="40">
        <v>3.75</v>
      </c>
      <c r="W159" s="40">
        <v>11.3</v>
      </c>
      <c r="X159" s="40">
        <v>13.044520469711662</v>
      </c>
      <c r="Y159" s="21"/>
      <c r="Z159" s="63">
        <f t="shared" si="10"/>
        <v>1.191711229946524</v>
      </c>
      <c r="AA159" s="63">
        <f t="shared" si="11"/>
        <v>0.24727272727272728</v>
      </c>
      <c r="AB159" s="63">
        <f t="shared" si="12"/>
        <v>0.2724409448818898</v>
      </c>
      <c r="AC159" s="63">
        <f t="shared" si="13"/>
        <v>0.80625000000000002</v>
      </c>
      <c r="AD159" s="63">
        <f t="shared" si="14"/>
        <v>1.2857908847184987</v>
      </c>
      <c r="AE159" s="63"/>
      <c r="AF159" s="63">
        <f t="shared" si="15"/>
        <v>1.3424698795180723</v>
      </c>
      <c r="AG159" s="63">
        <f t="shared" si="16"/>
        <v>0.20858895705521474</v>
      </c>
      <c r="AH159" s="63">
        <f t="shared" si="17"/>
        <v>0.20868516284680336</v>
      </c>
      <c r="AI159" s="63">
        <f t="shared" si="18"/>
        <v>0.34677419354838712</v>
      </c>
      <c r="AJ159" s="63">
        <f t="shared" si="19"/>
        <v>1.4333532576210399</v>
      </c>
      <c r="AK159" s="63"/>
      <c r="AL159" s="63">
        <f t="shared" si="20"/>
        <v>1.5395509499136442</v>
      </c>
      <c r="AM159" s="63">
        <f t="shared" si="21"/>
        <v>0.18328840970350405</v>
      </c>
      <c r="AN159" s="63">
        <f t="shared" si="22"/>
        <v>0.23051299133910724</v>
      </c>
      <c r="AO159" s="63">
        <f t="shared" si="23"/>
        <v>0.42156862745098039</v>
      </c>
      <c r="AP159" s="63">
        <f t="shared" si="24"/>
        <v>1.2574724698479287</v>
      </c>
    </row>
    <row r="160" spans="1:42" ht="20.100000000000001" customHeight="1" x14ac:dyDescent="0.3">
      <c r="A160" s="22">
        <v>23</v>
      </c>
      <c r="B160" s="14" t="s">
        <v>45</v>
      </c>
      <c r="C160" s="14" t="s">
        <v>45</v>
      </c>
      <c r="D160" s="19" t="s">
        <v>29</v>
      </c>
      <c r="E160" s="16">
        <v>45393</v>
      </c>
      <c r="F160" s="20">
        <v>0.47569444444444442</v>
      </c>
      <c r="G160" s="15" t="s">
        <v>37</v>
      </c>
      <c r="H160" s="23">
        <v>17.8</v>
      </c>
      <c r="I160" s="23">
        <v>7.54</v>
      </c>
      <c r="J160" s="23">
        <v>10.7</v>
      </c>
      <c r="K160" s="45">
        <v>237</v>
      </c>
      <c r="L160" s="40">
        <v>2.1120000000000001</v>
      </c>
      <c r="M160" s="40"/>
      <c r="N160" s="40">
        <v>5.7000000000000002E-2</v>
      </c>
      <c r="O160" s="40">
        <v>1.9377533187741629</v>
      </c>
      <c r="P160" s="39" t="s">
        <v>68</v>
      </c>
      <c r="Q160" s="40">
        <v>2.8</v>
      </c>
      <c r="R160" s="40">
        <v>4.8000000000000001E-2</v>
      </c>
      <c r="S160" s="40">
        <v>4.2999999999999997E-2</v>
      </c>
      <c r="T160" s="40">
        <v>18.676808109788333</v>
      </c>
      <c r="U160" s="40">
        <v>7.95</v>
      </c>
      <c r="V160" s="40">
        <v>4.3499999999999996</v>
      </c>
      <c r="W160" s="40">
        <v>12.1</v>
      </c>
      <c r="X160" s="40">
        <v>13.065326733831593</v>
      </c>
      <c r="Y160" s="21"/>
      <c r="Z160" s="63">
        <f t="shared" si="10"/>
        <v>0.93358778625954186</v>
      </c>
      <c r="AA160" s="63">
        <f t="shared" si="11"/>
        <v>0.82950819672131149</v>
      </c>
      <c r="AB160" s="63">
        <f t="shared" si="12"/>
        <v>0.6596774193548387</v>
      </c>
      <c r="AC160" s="63">
        <f t="shared" si="13"/>
        <v>0.43157894736842106</v>
      </c>
      <c r="AD160" s="63">
        <f t="shared" si="14"/>
        <v>1.2921052631578946</v>
      </c>
      <c r="AE160" s="63"/>
      <c r="AF160" s="63">
        <f t="shared" si="15"/>
        <v>1.2937235543018333</v>
      </c>
      <c r="AG160" s="63">
        <f t="shared" si="16"/>
        <v>0.57337110481586406</v>
      </c>
      <c r="AH160" s="63">
        <f t="shared" si="17"/>
        <v>0.36404094348019578</v>
      </c>
      <c r="AI160" s="63">
        <f t="shared" si="18"/>
        <v>0.27062706270627057</v>
      </c>
      <c r="AJ160" s="63">
        <f t="shared" si="19"/>
        <v>1.5510705510705511</v>
      </c>
      <c r="AK160" s="63"/>
      <c r="AL160" s="63">
        <f t="shared" si="20"/>
        <v>1.1962830127160089</v>
      </c>
      <c r="AM160" s="63">
        <f t="shared" si="21"/>
        <v>0.60744297719087625</v>
      </c>
      <c r="AN160" s="63">
        <f t="shared" si="22"/>
        <v>0.53745072273324568</v>
      </c>
      <c r="AO160" s="63">
        <f t="shared" si="23"/>
        <v>0.23495702005730656</v>
      </c>
      <c r="AP160" s="63">
        <f t="shared" si="24"/>
        <v>1.3012367491166077</v>
      </c>
    </row>
    <row r="161" spans="1:42" ht="20.100000000000001" customHeight="1" thickBot="1" x14ac:dyDescent="0.35">
      <c r="A161" s="46">
        <v>24</v>
      </c>
      <c r="B161" s="47" t="s">
        <v>45</v>
      </c>
      <c r="C161" s="47" t="s">
        <v>45</v>
      </c>
      <c r="D161" s="48" t="s">
        <v>48</v>
      </c>
      <c r="E161" s="49">
        <v>45393</v>
      </c>
      <c r="F161" s="50">
        <v>0.48958333333333331</v>
      </c>
      <c r="G161" s="48" t="s">
        <v>37</v>
      </c>
      <c r="H161" s="51">
        <v>16.899999999999999</v>
      </c>
      <c r="I161" s="51">
        <v>7.29</v>
      </c>
      <c r="J161" s="51">
        <v>8.75</v>
      </c>
      <c r="K161" s="52">
        <v>248</v>
      </c>
      <c r="L161" s="53">
        <v>2.1680000000000001</v>
      </c>
      <c r="M161" s="53"/>
      <c r="N161" s="53">
        <v>6.5000000000000002E-2</v>
      </c>
      <c r="O161" s="53">
        <v>1.9645769962820305</v>
      </c>
      <c r="P161" s="53" t="s">
        <v>68</v>
      </c>
      <c r="Q161" s="53">
        <v>2.7</v>
      </c>
      <c r="R161" s="53">
        <v>3.7999999999999999E-2</v>
      </c>
      <c r="S161" s="53">
        <v>3.3000000000000002E-2</v>
      </c>
      <c r="T161" s="53">
        <v>18.945319130868253</v>
      </c>
      <c r="U161" s="53">
        <v>8.2100000000000009</v>
      </c>
      <c r="V161" s="53">
        <v>4.57</v>
      </c>
      <c r="W161" s="53">
        <v>13.4</v>
      </c>
      <c r="X161" s="53">
        <v>12.926440961420095</v>
      </c>
      <c r="Y161" s="54"/>
      <c r="Z161" s="63">
        <f t="shared" si="10"/>
        <v>0.88442211055276376</v>
      </c>
      <c r="AA161" s="63">
        <f t="shared" si="11"/>
        <v>1.0072000000000001</v>
      </c>
      <c r="AB161" s="63">
        <f t="shared" si="12"/>
        <v>0.56048387096774188</v>
      </c>
      <c r="AC161" s="63">
        <f t="shared" si="13"/>
        <v>0.75263157894736843</v>
      </c>
      <c r="AD161" s="63">
        <f t="shared" si="14"/>
        <v>1.3122754491017965</v>
      </c>
      <c r="AE161" s="63"/>
      <c r="AF161" s="63">
        <f t="shared" si="15"/>
        <v>1.130016051364366</v>
      </c>
      <c r="AG161" s="63">
        <f t="shared" si="16"/>
        <v>0.70217512548800898</v>
      </c>
      <c r="AH161" s="63">
        <f t="shared" si="17"/>
        <v>0.33952125061064975</v>
      </c>
      <c r="AI161" s="63">
        <f t="shared" si="18"/>
        <v>0.43730886850152906</v>
      </c>
      <c r="AJ161" s="63">
        <f t="shared" si="19"/>
        <v>1.6125827814569536</v>
      </c>
      <c r="AK161" s="63"/>
      <c r="AL161" s="63">
        <f t="shared" si="20"/>
        <v>1.1238825031928483</v>
      </c>
      <c r="AM161" s="63">
        <f t="shared" si="21"/>
        <v>0.71942857142857142</v>
      </c>
      <c r="AN161" s="63">
        <f t="shared" si="22"/>
        <v>0.45633617859487857</v>
      </c>
      <c r="AO161" s="63">
        <f t="shared" si="23"/>
        <v>0.38964577656675742</v>
      </c>
      <c r="AP161" s="63">
        <f t="shared" si="24"/>
        <v>1.3578066914498139</v>
      </c>
    </row>
    <row r="162" spans="1:42" ht="20.100000000000001" customHeight="1" x14ac:dyDescent="0.3"/>
    <row r="163" spans="1:42" ht="20.100000000000001" customHeight="1" x14ac:dyDescent="0.3"/>
    <row r="164" spans="1:42" ht="20.100000000000001" customHeight="1" x14ac:dyDescent="0.3"/>
    <row r="165" spans="1:42" ht="20.100000000000001" customHeight="1" x14ac:dyDescent="0.3"/>
    <row r="166" spans="1:42" ht="20.100000000000001" customHeight="1" x14ac:dyDescent="0.3"/>
    <row r="167" spans="1:42" ht="20.100000000000001" customHeight="1" thickBot="1" x14ac:dyDescent="0.35">
      <c r="Z167" t="s">
        <v>165</v>
      </c>
    </row>
    <row r="168" spans="1:42" ht="20.100000000000001" customHeight="1" thickBot="1" x14ac:dyDescent="0.35">
      <c r="A168" s="83" t="s">
        <v>1</v>
      </c>
      <c r="B168" s="85" t="s">
        <v>61</v>
      </c>
      <c r="C168" s="85" t="s">
        <v>62</v>
      </c>
      <c r="D168" s="83" t="s">
        <v>7</v>
      </c>
      <c r="E168" s="87" t="s">
        <v>8</v>
      </c>
      <c r="F168" s="88"/>
      <c r="G168" s="78" t="s">
        <v>9</v>
      </c>
      <c r="H168" s="78"/>
      <c r="I168" s="78"/>
      <c r="J168" s="78"/>
      <c r="K168" s="78"/>
      <c r="L168" s="79" t="s">
        <v>55</v>
      </c>
      <c r="M168" s="80"/>
      <c r="N168" s="80"/>
      <c r="O168" s="80"/>
      <c r="P168" s="80"/>
      <c r="Q168" s="80"/>
      <c r="R168" s="80"/>
      <c r="S168" s="80"/>
      <c r="T168" s="80"/>
      <c r="U168" s="8"/>
      <c r="V168" s="8"/>
      <c r="W168" s="8"/>
      <c r="X168" s="8"/>
      <c r="Y168" s="81" t="s">
        <v>10</v>
      </c>
      <c r="Z168" s="55" t="s">
        <v>169</v>
      </c>
      <c r="AF168" s="55" t="s">
        <v>170</v>
      </c>
      <c r="AL168" s="55" t="s">
        <v>171</v>
      </c>
    </row>
    <row r="169" spans="1:42" ht="20.100000000000001" customHeight="1" thickBot="1" x14ac:dyDescent="0.35">
      <c r="A169" s="84"/>
      <c r="B169" s="84"/>
      <c r="C169" s="84"/>
      <c r="D169" s="86"/>
      <c r="E169" s="1" t="s">
        <v>0</v>
      </c>
      <c r="F169" s="4" t="s">
        <v>11</v>
      </c>
      <c r="G169" s="4" t="s">
        <v>12</v>
      </c>
      <c r="H169" s="4" t="s">
        <v>13</v>
      </c>
      <c r="I169" s="4" t="s">
        <v>14</v>
      </c>
      <c r="J169" s="4" t="s">
        <v>15</v>
      </c>
      <c r="K169" s="4" t="s">
        <v>16</v>
      </c>
      <c r="L169" s="4" t="s">
        <v>6</v>
      </c>
      <c r="M169" s="4" t="s">
        <v>50</v>
      </c>
      <c r="N169" s="4" t="s">
        <v>2</v>
      </c>
      <c r="O169" s="4" t="s">
        <v>3</v>
      </c>
      <c r="P169" s="4" t="s">
        <v>51</v>
      </c>
      <c r="Q169" s="4" t="s">
        <v>52</v>
      </c>
      <c r="R169" s="4" t="s">
        <v>53</v>
      </c>
      <c r="S169" s="4" t="s">
        <v>54</v>
      </c>
      <c r="T169" s="6" t="s">
        <v>4</v>
      </c>
      <c r="U169" s="9" t="s">
        <v>65</v>
      </c>
      <c r="V169" s="9" t="s">
        <v>66</v>
      </c>
      <c r="W169" s="9" t="s">
        <v>63</v>
      </c>
      <c r="X169" s="9" t="s">
        <v>64</v>
      </c>
      <c r="Y169" s="82"/>
      <c r="Z169" s="55" t="s">
        <v>73</v>
      </c>
      <c r="AA169" s="55" t="s">
        <v>74</v>
      </c>
      <c r="AB169" s="55" t="s">
        <v>75</v>
      </c>
      <c r="AC169" s="55" t="s">
        <v>76</v>
      </c>
      <c r="AD169" s="55" t="s">
        <v>77</v>
      </c>
      <c r="AF169" s="55" t="s">
        <v>73</v>
      </c>
      <c r="AG169" s="55" t="s">
        <v>74</v>
      </c>
      <c r="AH169" s="55" t="s">
        <v>75</v>
      </c>
      <c r="AI169" s="55" t="s">
        <v>76</v>
      </c>
      <c r="AJ169" s="55" t="s">
        <v>77</v>
      </c>
      <c r="AL169" s="55" t="s">
        <v>73</v>
      </c>
      <c r="AM169" s="55" t="s">
        <v>74</v>
      </c>
      <c r="AN169" s="55" t="s">
        <v>75</v>
      </c>
      <c r="AO169" s="55" t="s">
        <v>76</v>
      </c>
      <c r="AP169" s="55" t="s">
        <v>77</v>
      </c>
    </row>
    <row r="170" spans="1:42" ht="20.100000000000001" customHeight="1" x14ac:dyDescent="0.3">
      <c r="A170" s="30">
        <v>1</v>
      </c>
      <c r="B170" s="25" t="s">
        <v>17</v>
      </c>
      <c r="C170" s="25" t="s">
        <v>17</v>
      </c>
      <c r="D170" s="10" t="s">
        <v>18</v>
      </c>
      <c r="E170" s="11">
        <v>45394</v>
      </c>
      <c r="F170" s="12">
        <v>0.40625</v>
      </c>
      <c r="G170" s="10" t="s">
        <v>19</v>
      </c>
      <c r="H170" s="37">
        <v>13.4</v>
      </c>
      <c r="I170" s="37">
        <v>7.66</v>
      </c>
      <c r="J170" s="37">
        <v>11.37</v>
      </c>
      <c r="K170" s="37">
        <v>200.1</v>
      </c>
      <c r="L170" s="38">
        <v>1.5620000000000001</v>
      </c>
      <c r="M170" s="38"/>
      <c r="N170" s="38">
        <v>2.8000000000000001E-2</v>
      </c>
      <c r="O170" s="38">
        <v>1.5338708615263741</v>
      </c>
      <c r="P170" s="38" t="s">
        <v>68</v>
      </c>
      <c r="Q170" s="38">
        <v>1.2</v>
      </c>
      <c r="R170" s="38">
        <v>1.9E-2</v>
      </c>
      <c r="S170" s="38">
        <v>1.4999999999999999E-2</v>
      </c>
      <c r="T170" s="38">
        <v>21.926092412394119</v>
      </c>
      <c r="U170" s="38">
        <v>6.79</v>
      </c>
      <c r="V170" s="38">
        <v>2.9</v>
      </c>
      <c r="W170" s="38" t="s">
        <v>67</v>
      </c>
      <c r="X170" s="38">
        <v>6.8100892305781313</v>
      </c>
      <c r="Y170" s="13"/>
      <c r="Z170" s="63">
        <f>AG10/AN10</f>
        <v>1.6640063846767756</v>
      </c>
      <c r="AA170" s="63">
        <f t="shared" ref="AA170:AD170" si="25">AH10/AO10</f>
        <v>0.94753328112764279</v>
      </c>
      <c r="AB170" s="63">
        <f t="shared" si="25"/>
        <v>0.60182697474476099</v>
      </c>
      <c r="AC170" s="63">
        <f t="shared" si="25"/>
        <v>0.66945606694560666</v>
      </c>
      <c r="AD170" s="63">
        <f t="shared" si="25"/>
        <v>0.81127034248239005</v>
      </c>
      <c r="AE170" s="63"/>
      <c r="AF170" s="63">
        <f>AG10/AU10</f>
        <v>1.6340125391849529</v>
      </c>
      <c r="AG170" s="63">
        <f t="shared" ref="AG170:AJ170" si="26">AH10/AV10</f>
        <v>0.98454027664768107</v>
      </c>
      <c r="AH170" s="63">
        <f t="shared" si="26"/>
        <v>0.76138681169272604</v>
      </c>
      <c r="AI170" s="63">
        <f t="shared" si="26"/>
        <v>0.63241106719367601</v>
      </c>
      <c r="AJ170" s="63">
        <f t="shared" si="26"/>
        <v>0.743047830923248</v>
      </c>
      <c r="AK170" s="63"/>
      <c r="AL170" s="63">
        <f>AN10/AU10</f>
        <v>0.98197492163009403</v>
      </c>
      <c r="AM170" s="63">
        <f t="shared" ref="AM170:AP170" si="27">AO10/AV10</f>
        <v>1.0390561432058587</v>
      </c>
      <c r="AN170" s="63">
        <f t="shared" si="27"/>
        <v>1.2651257647858598</v>
      </c>
      <c r="AO170" s="63">
        <f t="shared" si="27"/>
        <v>0.94466403162055346</v>
      </c>
      <c r="AP170" s="63">
        <f t="shared" si="27"/>
        <v>0.91590656284760841</v>
      </c>
    </row>
    <row r="171" spans="1:42" ht="20.100000000000001" customHeight="1" x14ac:dyDescent="0.3">
      <c r="A171" s="22">
        <v>2</v>
      </c>
      <c r="B171" s="14" t="s">
        <v>17</v>
      </c>
      <c r="C171" s="14" t="s">
        <v>17</v>
      </c>
      <c r="D171" s="15" t="s">
        <v>20</v>
      </c>
      <c r="E171" s="16">
        <v>45394</v>
      </c>
      <c r="F171" s="17">
        <v>0.4375</v>
      </c>
      <c r="G171" s="15" t="s">
        <v>19</v>
      </c>
      <c r="H171" s="24">
        <v>17.899999999999999</v>
      </c>
      <c r="I171" s="24">
        <v>7.63</v>
      </c>
      <c r="J171" s="24">
        <v>10.66</v>
      </c>
      <c r="K171" s="24">
        <v>381</v>
      </c>
      <c r="L171" s="39">
        <v>5.1319999999999997</v>
      </c>
      <c r="M171" s="39"/>
      <c r="N171" s="39">
        <v>0.82399999999999995</v>
      </c>
      <c r="O171" s="39">
        <v>3.8056685669511721</v>
      </c>
      <c r="P171" s="39">
        <v>0.75779406996970966</v>
      </c>
      <c r="Q171" s="39">
        <v>3.4</v>
      </c>
      <c r="R171" s="39">
        <v>4.1000000000000002E-2</v>
      </c>
      <c r="S171" s="39">
        <v>2.9000000000000001E-2</v>
      </c>
      <c r="T171" s="39">
        <v>48.553205182927933</v>
      </c>
      <c r="U171" s="39">
        <v>10.94</v>
      </c>
      <c r="V171" s="39">
        <v>0.19</v>
      </c>
      <c r="W171" s="39">
        <v>91.9</v>
      </c>
      <c r="X171" s="39">
        <v>11.530193967408453</v>
      </c>
      <c r="Y171" s="18"/>
      <c r="Z171" s="63">
        <f t="shared" ref="Z171:Z193" si="28">AG11/AN11</f>
        <v>1.0545881432205049</v>
      </c>
      <c r="AA171" s="63">
        <f t="shared" ref="AA171:AA193" si="29">AH11/AO11</f>
        <v>0.81632653061224481</v>
      </c>
      <c r="AB171" s="63">
        <f t="shared" ref="AB171:AB193" si="30">AI11/AP11</f>
        <v>0.91232227488151663</v>
      </c>
      <c r="AC171" s="63">
        <f t="shared" ref="AC171:AC193" si="31">AJ11/AQ11</f>
        <v>0.32911392405063289</v>
      </c>
      <c r="AD171" s="63">
        <f t="shared" ref="AD171:AD193" si="32">AK11/AR11</f>
        <v>1.2036055143160127</v>
      </c>
      <c r="AE171" s="63"/>
      <c r="AF171" s="63">
        <f t="shared" ref="AF171:AF193" si="33">AG11/AU11</f>
        <v>1.1951219512195124</v>
      </c>
      <c r="AG171" s="63">
        <f t="shared" ref="AG171:AG193" si="34">AH11/AV11</f>
        <v>0.71040947212629502</v>
      </c>
      <c r="AH171" s="63">
        <f t="shared" ref="AH171:AH193" si="35">AI11/AW11</f>
        <v>0.94594594594594594</v>
      </c>
      <c r="AI171" s="63">
        <f t="shared" ref="AI171:AI193" si="36">AJ11/AX11</f>
        <v>0.79754601226993871</v>
      </c>
      <c r="AJ171" s="63">
        <f t="shared" ref="AJ171:AJ193" si="37">AK11/AY11</f>
        <v>0.91311343523732902</v>
      </c>
      <c r="AK171" s="63"/>
      <c r="AL171" s="63">
        <f t="shared" ref="AL171:AL193" si="38">AN11/AU11</f>
        <v>1.133259423503326</v>
      </c>
      <c r="AM171" s="63">
        <f t="shared" ref="AM171:AM193" si="39">AO11/AV11</f>
        <v>0.87025160335471141</v>
      </c>
      <c r="AN171" s="63">
        <f t="shared" ref="AN171:AN193" si="40">AP11/AW11</f>
        <v>1.0368550368550367</v>
      </c>
      <c r="AO171" s="63">
        <f t="shared" ref="AO171:AO193" si="41">AQ11/AX11</f>
        <v>2.423312883435583</v>
      </c>
      <c r="AP171" s="63">
        <f t="shared" ref="AP171:AP193" si="42">AR11/AY11</f>
        <v>0.75864843121480285</v>
      </c>
    </row>
    <row r="172" spans="1:42" ht="20.100000000000001" customHeight="1" x14ac:dyDescent="0.3">
      <c r="A172" s="22">
        <v>3</v>
      </c>
      <c r="B172" s="14" t="s">
        <v>17</v>
      </c>
      <c r="C172" s="14" t="s">
        <v>17</v>
      </c>
      <c r="D172" s="15" t="s">
        <v>21</v>
      </c>
      <c r="E172" s="16">
        <v>45394</v>
      </c>
      <c r="F172" s="17">
        <v>0.4513888888888889</v>
      </c>
      <c r="G172" s="15" t="s">
        <v>19</v>
      </c>
      <c r="H172" s="24">
        <v>19.100000000000001</v>
      </c>
      <c r="I172" s="24">
        <v>7.58</v>
      </c>
      <c r="J172" s="24">
        <v>9.67</v>
      </c>
      <c r="K172" s="24">
        <v>357</v>
      </c>
      <c r="L172" s="39">
        <v>4.3529999999999998</v>
      </c>
      <c r="M172" s="39"/>
      <c r="N172" s="39">
        <v>0.90200000000000002</v>
      </c>
      <c r="O172" s="39">
        <v>2.9836540688462629</v>
      </c>
      <c r="P172" s="39">
        <v>0.5708632001190197</v>
      </c>
      <c r="Q172" s="39">
        <v>3.5</v>
      </c>
      <c r="R172" s="39">
        <v>7.8E-2</v>
      </c>
      <c r="S172" s="39">
        <v>6.9000000000000006E-2</v>
      </c>
      <c r="T172" s="39">
        <v>42.668927928854785</v>
      </c>
      <c r="U172" s="39">
        <v>10.09</v>
      </c>
      <c r="V172" s="39">
        <v>1.5</v>
      </c>
      <c r="W172" s="39">
        <v>25.3</v>
      </c>
      <c r="X172" s="39">
        <v>11.842993595465368</v>
      </c>
      <c r="Y172" s="18"/>
      <c r="Z172" s="63">
        <f t="shared" si="28"/>
        <v>1.46262507357269</v>
      </c>
      <c r="AA172" s="63">
        <f t="shared" si="29"/>
        <v>0.54033191817830961</v>
      </c>
      <c r="AB172" s="63">
        <f t="shared" si="30"/>
        <v>0.84915084915084915</v>
      </c>
      <c r="AC172" s="63">
        <f t="shared" si="31"/>
        <v>0.35000000000000003</v>
      </c>
      <c r="AD172" s="63">
        <f t="shared" si="32"/>
        <v>1.0114942528735633</v>
      </c>
      <c r="AE172" s="63"/>
      <c r="AF172" s="63">
        <f t="shared" si="33"/>
        <v>1.2166462668298657</v>
      </c>
      <c r="AG172" s="63">
        <f t="shared" si="34"/>
        <v>0.7246376811594204</v>
      </c>
      <c r="AH172" s="63">
        <f t="shared" si="35"/>
        <v>0.85255767301905727</v>
      </c>
      <c r="AI172" s="63">
        <f t="shared" si="36"/>
        <v>0.66666666666666674</v>
      </c>
      <c r="AJ172" s="63">
        <f t="shared" si="37"/>
        <v>0.95100864553314124</v>
      </c>
      <c r="AK172" s="63"/>
      <c r="AL172" s="63">
        <f t="shared" si="38"/>
        <v>0.83182374541003679</v>
      </c>
      <c r="AM172" s="63">
        <f t="shared" si="39"/>
        <v>1.3410973084886129</v>
      </c>
      <c r="AN172" s="63">
        <f t="shared" si="40"/>
        <v>1.0040120361083251</v>
      </c>
      <c r="AO172" s="63">
        <f t="shared" si="41"/>
        <v>1.9047619047619047</v>
      </c>
      <c r="AP172" s="63">
        <f t="shared" si="42"/>
        <v>0.94020172910662825</v>
      </c>
    </row>
    <row r="173" spans="1:42" ht="20.100000000000001" customHeight="1" x14ac:dyDescent="0.3">
      <c r="A173" s="22">
        <v>4</v>
      </c>
      <c r="B173" s="14" t="s">
        <v>17</v>
      </c>
      <c r="C173" s="14" t="s">
        <v>17</v>
      </c>
      <c r="D173" s="15" t="s">
        <v>22</v>
      </c>
      <c r="E173" s="16">
        <v>45394</v>
      </c>
      <c r="F173" s="17">
        <v>0.46527777777777773</v>
      </c>
      <c r="G173" s="15" t="s">
        <v>19</v>
      </c>
      <c r="H173" s="24">
        <v>20.399999999999999</v>
      </c>
      <c r="I173" s="24">
        <v>7.35</v>
      </c>
      <c r="J173" s="24">
        <v>9</v>
      </c>
      <c r="K173" s="24">
        <v>348</v>
      </c>
      <c r="L173" s="39">
        <v>3.8969999999999998</v>
      </c>
      <c r="M173" s="39"/>
      <c r="N173" s="39">
        <v>0.78200000000000003</v>
      </c>
      <c r="O173" s="39">
        <v>2.6470789824688241</v>
      </c>
      <c r="P173" s="39">
        <v>0.50575484929842918</v>
      </c>
      <c r="Q173" s="39">
        <v>3.5</v>
      </c>
      <c r="R173" s="39">
        <v>5.8999999999999997E-2</v>
      </c>
      <c r="S173" s="39">
        <v>4.8000000000000001E-2</v>
      </c>
      <c r="T173" s="39">
        <v>41.228925543629487</v>
      </c>
      <c r="U173" s="39">
        <v>10.63</v>
      </c>
      <c r="V173" s="39">
        <v>2.19</v>
      </c>
      <c r="W173" s="39">
        <v>19.899999999999999</v>
      </c>
      <c r="X173" s="39">
        <v>12.303652359256734</v>
      </c>
      <c r="Y173" s="18"/>
      <c r="Z173" s="63">
        <f t="shared" si="28"/>
        <v>1.034967845659164</v>
      </c>
      <c r="AA173" s="63">
        <f t="shared" si="29"/>
        <v>0.80131723380900111</v>
      </c>
      <c r="AB173" s="63">
        <f t="shared" si="30"/>
        <v>0.88264794383149447</v>
      </c>
      <c r="AC173" s="63">
        <f t="shared" si="31"/>
        <v>0.43478260869565216</v>
      </c>
      <c r="AD173" s="63">
        <f t="shared" si="32"/>
        <v>1.2688172043010753</v>
      </c>
      <c r="AE173" s="63"/>
      <c r="AF173" s="63">
        <f t="shared" si="33"/>
        <v>1.2311737987090605</v>
      </c>
      <c r="AG173" s="63">
        <f t="shared" si="34"/>
        <v>0.66273263731275533</v>
      </c>
      <c r="AH173" s="63">
        <f t="shared" si="35"/>
        <v>0.86359175662414112</v>
      </c>
      <c r="AI173" s="63">
        <f t="shared" si="36"/>
        <v>0.61475409836065575</v>
      </c>
      <c r="AJ173" s="63">
        <f t="shared" si="37"/>
        <v>1.0038281582305402</v>
      </c>
      <c r="AK173" s="63"/>
      <c r="AL173" s="63">
        <f t="shared" si="38"/>
        <v>1.1895768587138418</v>
      </c>
      <c r="AM173" s="63">
        <f t="shared" si="39"/>
        <v>0.82705401724920558</v>
      </c>
      <c r="AN173" s="63">
        <f t="shared" si="40"/>
        <v>0.97841020608439622</v>
      </c>
      <c r="AO173" s="63">
        <f t="shared" si="41"/>
        <v>1.4139344262295084</v>
      </c>
      <c r="AP173" s="63">
        <f t="shared" si="42"/>
        <v>0.79115270097830714</v>
      </c>
    </row>
    <row r="174" spans="1:42" ht="20.100000000000001" customHeight="1" x14ac:dyDescent="0.3">
      <c r="A174" s="31">
        <v>5</v>
      </c>
      <c r="B174" s="32" t="s">
        <v>23</v>
      </c>
      <c r="C174" s="32" t="s">
        <v>23</v>
      </c>
      <c r="D174" s="33" t="s">
        <v>24</v>
      </c>
      <c r="E174" s="42">
        <v>45394</v>
      </c>
      <c r="F174" s="34">
        <v>0.625</v>
      </c>
      <c r="G174" s="33" t="s">
        <v>19</v>
      </c>
      <c r="H174" s="35">
        <v>23.3</v>
      </c>
      <c r="I174" s="35">
        <v>8.59</v>
      </c>
      <c r="J174" s="35">
        <v>9.51</v>
      </c>
      <c r="K174" s="35">
        <v>167.4</v>
      </c>
      <c r="L174" s="41">
        <v>1.5269999999999999</v>
      </c>
      <c r="M174" s="41"/>
      <c r="N174" s="41">
        <v>2.8000000000000001E-2</v>
      </c>
      <c r="O174" s="41">
        <v>1.3577461209228088</v>
      </c>
      <c r="P174" s="41" t="s">
        <v>68</v>
      </c>
      <c r="Q174" s="41">
        <v>2.5</v>
      </c>
      <c r="R174" s="41">
        <v>2.5000000000000001E-2</v>
      </c>
      <c r="S174" s="41">
        <v>8.9999999999999993E-3</v>
      </c>
      <c r="T174" s="41">
        <v>13.465682479565089</v>
      </c>
      <c r="U174" s="41">
        <v>5.58</v>
      </c>
      <c r="V174" s="41">
        <v>6.49</v>
      </c>
      <c r="W174" s="41">
        <v>8.1999999999999993</v>
      </c>
      <c r="X174" s="41">
        <v>15.388054287513553</v>
      </c>
      <c r="Y174" s="36"/>
      <c r="Z174" s="63">
        <f t="shared" si="28"/>
        <v>1.4755838641188963</v>
      </c>
      <c r="AA174" s="63">
        <f t="shared" si="29"/>
        <v>0.86621751684311832</v>
      </c>
      <c r="AB174" s="63">
        <f t="shared" si="30"/>
        <v>0.68816358631537544</v>
      </c>
      <c r="AC174" s="63">
        <f t="shared" si="31"/>
        <v>0.42635658914728675</v>
      </c>
      <c r="AD174" s="63">
        <f t="shared" si="32"/>
        <v>1.0826281732205076</v>
      </c>
      <c r="AE174" s="63"/>
      <c r="AF174" s="63">
        <f t="shared" si="33"/>
        <v>1.4307771487390635</v>
      </c>
      <c r="AG174" s="63">
        <f t="shared" si="34"/>
        <v>0.83487940630797763</v>
      </c>
      <c r="AH174" s="63">
        <f t="shared" si="35"/>
        <v>0.7267441860465117</v>
      </c>
      <c r="AI174" s="63">
        <f t="shared" si="36"/>
        <v>0.44444444444444436</v>
      </c>
      <c r="AJ174" s="63">
        <f t="shared" si="37"/>
        <v>1.0672227674190382</v>
      </c>
      <c r="AK174" s="63"/>
      <c r="AL174" s="63">
        <f t="shared" si="38"/>
        <v>0.96963458569222849</v>
      </c>
      <c r="AM174" s="63">
        <f t="shared" si="39"/>
        <v>0.96382189239332094</v>
      </c>
      <c r="AN174" s="63">
        <f t="shared" si="40"/>
        <v>1.0560631229235882</v>
      </c>
      <c r="AO174" s="63">
        <f t="shared" si="41"/>
        <v>1.0424242424242425</v>
      </c>
      <c r="AP174" s="63">
        <f t="shared" si="42"/>
        <v>0.98577036310107935</v>
      </c>
    </row>
    <row r="175" spans="1:42" ht="20.100000000000001" customHeight="1" x14ac:dyDescent="0.3">
      <c r="A175" s="31">
        <v>6</v>
      </c>
      <c r="B175" s="32" t="s">
        <v>23</v>
      </c>
      <c r="C175" s="32" t="s">
        <v>23</v>
      </c>
      <c r="D175" s="33" t="s">
        <v>25</v>
      </c>
      <c r="E175" s="42">
        <v>45394</v>
      </c>
      <c r="F175" s="34">
        <v>0.63888888888888895</v>
      </c>
      <c r="G175" s="33" t="s">
        <v>19</v>
      </c>
      <c r="H175" s="35">
        <v>20.5</v>
      </c>
      <c r="I175" s="35">
        <v>7.61</v>
      </c>
      <c r="J175" s="35">
        <v>10.02</v>
      </c>
      <c r="K175" s="35">
        <v>279</v>
      </c>
      <c r="L175" s="41">
        <v>2.8879999999999999</v>
      </c>
      <c r="M175" s="41"/>
      <c r="N175" s="41">
        <v>0.128</v>
      </c>
      <c r="O175" s="41">
        <v>2.3599395974240749</v>
      </c>
      <c r="P175" s="41">
        <v>4.16973481937844E-2</v>
      </c>
      <c r="Q175" s="41">
        <v>3.8</v>
      </c>
      <c r="R175" s="41">
        <v>0.13700000000000001</v>
      </c>
      <c r="S175" s="41">
        <v>0.13200000000000001</v>
      </c>
      <c r="T175" s="41">
        <v>24.609506883467702</v>
      </c>
      <c r="U175" s="41">
        <v>6.75</v>
      </c>
      <c r="V175" s="41">
        <v>7.6</v>
      </c>
      <c r="W175" s="41">
        <v>14.7</v>
      </c>
      <c r="X175" s="41">
        <v>11.914577909851953</v>
      </c>
      <c r="Y175" s="36"/>
      <c r="Z175" s="63">
        <f t="shared" si="28"/>
        <v>1.3990321161460624</v>
      </c>
      <c r="AA175" s="63">
        <f t="shared" si="29"/>
        <v>0.78700361010830322</v>
      </c>
      <c r="AB175" s="63">
        <f t="shared" si="30"/>
        <v>0.67517496912309605</v>
      </c>
      <c r="AC175" s="63">
        <f t="shared" si="31"/>
        <v>0.4065040650406504</v>
      </c>
      <c r="AD175" s="63">
        <f t="shared" si="32"/>
        <v>1.1643420254699819</v>
      </c>
      <c r="AE175" s="63"/>
      <c r="AF175" s="63">
        <f t="shared" si="33"/>
        <v>1.3497453310696097</v>
      </c>
      <c r="AG175" s="63">
        <f t="shared" si="34"/>
        <v>0.73301950235373237</v>
      </c>
      <c r="AH175" s="63">
        <f t="shared" si="35"/>
        <v>0.72087912087912098</v>
      </c>
      <c r="AI175" s="63">
        <f t="shared" si="36"/>
        <v>0.40064102564102561</v>
      </c>
      <c r="AJ175" s="63">
        <f t="shared" si="37"/>
        <v>1.1786372007366483</v>
      </c>
      <c r="AK175" s="63"/>
      <c r="AL175" s="63">
        <f t="shared" si="38"/>
        <v>0.96477079796264864</v>
      </c>
      <c r="AM175" s="63">
        <f t="shared" si="39"/>
        <v>0.93140551445864173</v>
      </c>
      <c r="AN175" s="63">
        <f t="shared" si="40"/>
        <v>1.0676923076923077</v>
      </c>
      <c r="AO175" s="63">
        <f t="shared" si="41"/>
        <v>0.98557692307692313</v>
      </c>
      <c r="AP175" s="63">
        <f t="shared" si="42"/>
        <v>1.0122774708410067</v>
      </c>
    </row>
    <row r="176" spans="1:42" ht="20.100000000000001" customHeight="1" x14ac:dyDescent="0.3">
      <c r="A176" s="31">
        <v>7</v>
      </c>
      <c r="B176" s="32" t="s">
        <v>23</v>
      </c>
      <c r="C176" s="32" t="s">
        <v>23</v>
      </c>
      <c r="D176" s="33" t="s">
        <v>26</v>
      </c>
      <c r="E176" s="42">
        <v>45393</v>
      </c>
      <c r="F176" s="34">
        <v>0.63888888888888895</v>
      </c>
      <c r="G176" s="33" t="s">
        <v>19</v>
      </c>
      <c r="H176" s="43">
        <v>17.5</v>
      </c>
      <c r="I176" s="43">
        <v>7.38</v>
      </c>
      <c r="J176" s="43">
        <v>9.8800000000000008</v>
      </c>
      <c r="K176" s="44">
        <v>267</v>
      </c>
      <c r="L176" s="41">
        <v>3.016</v>
      </c>
      <c r="M176" s="41"/>
      <c r="N176" s="41">
        <v>0.191</v>
      </c>
      <c r="O176" s="41">
        <v>2.4391271227247548</v>
      </c>
      <c r="P176" s="41">
        <v>7.7295428737773897E-2</v>
      </c>
      <c r="Q176" s="41">
        <v>4.3</v>
      </c>
      <c r="R176" s="41">
        <v>0.251</v>
      </c>
      <c r="S176" s="41">
        <v>0.249</v>
      </c>
      <c r="T176" s="41">
        <v>21.663703887468678</v>
      </c>
      <c r="U176" s="41">
        <v>8.2100000000000009</v>
      </c>
      <c r="V176" s="41">
        <v>5.56</v>
      </c>
      <c r="W176" s="41">
        <v>19.2</v>
      </c>
      <c r="X176" s="41">
        <v>10.009981831868686</v>
      </c>
      <c r="Y176" s="36"/>
      <c r="Z176" s="63">
        <f t="shared" si="28"/>
        <v>1.4452982070984268</v>
      </c>
      <c r="AA176" s="63">
        <f t="shared" si="29"/>
        <v>0.66321243523316065</v>
      </c>
      <c r="AB176" s="63">
        <f t="shared" si="30"/>
        <v>0.52502050861361782</v>
      </c>
      <c r="AC176" s="63">
        <f t="shared" si="31"/>
        <v>0.65146579804560256</v>
      </c>
      <c r="AD176" s="63">
        <f t="shared" si="32"/>
        <v>1.2692901234567902</v>
      </c>
      <c r="AE176" s="63"/>
      <c r="AF176" s="63">
        <f t="shared" si="33"/>
        <v>1.3053536021150034</v>
      </c>
      <c r="AG176" s="63">
        <f t="shared" si="34"/>
        <v>0.69792802617230099</v>
      </c>
      <c r="AH176" s="63">
        <f t="shared" si="35"/>
        <v>0.77434966727162735</v>
      </c>
      <c r="AI176" s="63">
        <f t="shared" si="36"/>
        <v>0.4504504504504504</v>
      </c>
      <c r="AJ176" s="63">
        <f t="shared" si="37"/>
        <v>1.0811698981268485</v>
      </c>
      <c r="AK176" s="63"/>
      <c r="AL176" s="63">
        <f t="shared" si="38"/>
        <v>0.90317250495703905</v>
      </c>
      <c r="AM176" s="63">
        <f t="shared" si="39"/>
        <v>1.0523446019629226</v>
      </c>
      <c r="AN176" s="63">
        <f t="shared" si="40"/>
        <v>1.4748941318814275</v>
      </c>
      <c r="AO176" s="63">
        <f t="shared" si="41"/>
        <v>0.69144144144144148</v>
      </c>
      <c r="AP176" s="63">
        <f t="shared" si="42"/>
        <v>0.85179099572790007</v>
      </c>
    </row>
    <row r="177" spans="1:42" ht="20.100000000000001" customHeight="1" x14ac:dyDescent="0.3">
      <c r="A177" s="31">
        <v>8</v>
      </c>
      <c r="B177" s="32" t="s">
        <v>23</v>
      </c>
      <c r="C177" s="32" t="s">
        <v>27</v>
      </c>
      <c r="D177" s="33" t="s">
        <v>28</v>
      </c>
      <c r="E177" s="42">
        <v>45393</v>
      </c>
      <c r="F177" s="34">
        <v>0.65277777777777779</v>
      </c>
      <c r="G177" s="33" t="s">
        <v>19</v>
      </c>
      <c r="H177" s="43">
        <v>15.2</v>
      </c>
      <c r="I177" s="43">
        <v>7.18</v>
      </c>
      <c r="J177" s="43">
        <v>8.57</v>
      </c>
      <c r="K177" s="44">
        <v>447</v>
      </c>
      <c r="L177" s="41">
        <v>10.587</v>
      </c>
      <c r="M177" s="41"/>
      <c r="N177" s="41">
        <v>7.5830000000000002</v>
      </c>
      <c r="O177" s="41">
        <v>0.97586059085562704</v>
      </c>
      <c r="P177" s="41">
        <v>8.6902733014795064E-2</v>
      </c>
      <c r="Q177" s="41">
        <v>13.8</v>
      </c>
      <c r="R177" s="41">
        <v>4.4939999999999998</v>
      </c>
      <c r="S177" s="41">
        <v>4.4489999999999998</v>
      </c>
      <c r="T177" s="41">
        <v>28.874406034046217</v>
      </c>
      <c r="U177" s="41">
        <v>1.58</v>
      </c>
      <c r="V177" s="41">
        <v>-0.43</v>
      </c>
      <c r="W177" s="41">
        <v>29.5</v>
      </c>
      <c r="X177" s="41">
        <v>10.352175185906143</v>
      </c>
      <c r="Y177" s="36"/>
      <c r="Z177" s="63">
        <f t="shared" si="28"/>
        <v>1.8639455782312928</v>
      </c>
      <c r="AA177" s="63">
        <f t="shared" si="29"/>
        <v>0.9626719056974461</v>
      </c>
      <c r="AB177" s="63">
        <f t="shared" si="30"/>
        <v>0.78205865439907996</v>
      </c>
      <c r="AC177" s="63">
        <f t="shared" si="31"/>
        <v>0.20797227036395149</v>
      </c>
      <c r="AD177" s="63">
        <f t="shared" si="32"/>
        <v>1.0341614906832299</v>
      </c>
      <c r="AE177" s="63"/>
      <c r="AF177" s="63">
        <f t="shared" si="33"/>
        <v>3.9255014326647566</v>
      </c>
      <c r="AG177" s="63">
        <f t="shared" si="34"/>
        <v>3.1612903225806455</v>
      </c>
      <c r="AH177" s="63">
        <f t="shared" si="35"/>
        <v>0.95977417078334515</v>
      </c>
      <c r="AI177" s="63">
        <f t="shared" si="36"/>
        <v>1.2371134020618557</v>
      </c>
      <c r="AJ177" s="63">
        <f t="shared" si="37"/>
        <v>0.83437734903532956</v>
      </c>
      <c r="AK177" s="63"/>
      <c r="AL177" s="63">
        <f t="shared" si="38"/>
        <v>2.1060171919770769</v>
      </c>
      <c r="AM177" s="63">
        <f t="shared" si="39"/>
        <v>3.2838709677419353</v>
      </c>
      <c r="AN177" s="63">
        <f t="shared" si="40"/>
        <v>1.227240649258998</v>
      </c>
      <c r="AO177" s="63">
        <f t="shared" si="41"/>
        <v>5.948453608247422</v>
      </c>
      <c r="AP177" s="63">
        <f t="shared" si="42"/>
        <v>0.80681533450263088</v>
      </c>
    </row>
    <row r="178" spans="1:42" ht="20.100000000000001" customHeight="1" x14ac:dyDescent="0.3">
      <c r="A178" s="31">
        <v>9</v>
      </c>
      <c r="B178" s="32" t="s">
        <v>23</v>
      </c>
      <c r="C178" s="32" t="s">
        <v>27</v>
      </c>
      <c r="D178" s="33" t="s">
        <v>30</v>
      </c>
      <c r="E178" s="42">
        <v>45393</v>
      </c>
      <c r="F178" s="34">
        <v>0.64236111111111105</v>
      </c>
      <c r="G178" s="33" t="s">
        <v>19</v>
      </c>
      <c r="H178" s="43">
        <v>17.600000000000001</v>
      </c>
      <c r="I178" s="43">
        <v>8.07</v>
      </c>
      <c r="J178" s="43">
        <v>12.5</v>
      </c>
      <c r="K178" s="44">
        <v>306</v>
      </c>
      <c r="L178" s="41">
        <v>5.1479999999999997</v>
      </c>
      <c r="M178" s="41"/>
      <c r="N178" s="41">
        <v>0.44400000000000001</v>
      </c>
      <c r="O178" s="41">
        <v>3.8062637015242489</v>
      </c>
      <c r="P178" s="41">
        <v>0.37424985100928226</v>
      </c>
      <c r="Q178" s="41">
        <v>8.3000000000000007</v>
      </c>
      <c r="R178" s="41">
        <v>1.298</v>
      </c>
      <c r="S178" s="41">
        <v>1.2909999999999999</v>
      </c>
      <c r="T178" s="41">
        <v>22.829088136986975</v>
      </c>
      <c r="U178" s="41">
        <v>12.48</v>
      </c>
      <c r="V178" s="41">
        <v>2.62</v>
      </c>
      <c r="W178" s="41" t="s">
        <v>67</v>
      </c>
      <c r="X178" s="41">
        <v>12.076708490286192</v>
      </c>
      <c r="Y178" s="36"/>
      <c r="Z178" s="63">
        <f t="shared" si="28"/>
        <v>1.3609172482552345</v>
      </c>
      <c r="AA178" s="63">
        <f t="shared" si="29"/>
        <v>0.571518787496053</v>
      </c>
      <c r="AB178" s="63">
        <f t="shared" si="30"/>
        <v>0.84588644264194657</v>
      </c>
      <c r="AC178" s="63">
        <f t="shared" si="31"/>
        <v>0.34313725490196079</v>
      </c>
      <c r="AD178" s="63">
        <f t="shared" si="32"/>
        <v>1.2000000000000002</v>
      </c>
      <c r="AE178" s="63"/>
      <c r="AF178" s="63">
        <f t="shared" si="33"/>
        <v>1.236413043478261</v>
      </c>
      <c r="AG178" s="63">
        <f t="shared" si="34"/>
        <v>0.61293599729089054</v>
      </c>
      <c r="AH178" s="63">
        <f t="shared" si="35"/>
        <v>0.84198385236447515</v>
      </c>
      <c r="AI178" s="63">
        <f t="shared" si="36"/>
        <v>0.52434456928838957</v>
      </c>
      <c r="AJ178" s="63">
        <f t="shared" si="37"/>
        <v>1.2424849699398799</v>
      </c>
      <c r="AK178" s="63"/>
      <c r="AL178" s="63">
        <f t="shared" si="38"/>
        <v>0.90851449275362317</v>
      </c>
      <c r="AM178" s="63">
        <f t="shared" si="39"/>
        <v>1.0724686759227904</v>
      </c>
      <c r="AN178" s="63">
        <f t="shared" si="40"/>
        <v>0.99538638985005778</v>
      </c>
      <c r="AO178" s="63">
        <f t="shared" si="41"/>
        <v>1.5280898876404494</v>
      </c>
      <c r="AP178" s="63">
        <f t="shared" si="42"/>
        <v>1.0354041416165665</v>
      </c>
    </row>
    <row r="179" spans="1:42" ht="20.100000000000001" customHeight="1" x14ac:dyDescent="0.3">
      <c r="A179" s="22">
        <v>10</v>
      </c>
      <c r="B179" s="14" t="s">
        <v>31</v>
      </c>
      <c r="C179" s="14" t="s">
        <v>31</v>
      </c>
      <c r="D179" s="15" t="s">
        <v>32</v>
      </c>
      <c r="E179" s="16">
        <v>45394</v>
      </c>
      <c r="F179" s="17">
        <v>0.55902777777777779</v>
      </c>
      <c r="G179" s="15" t="s">
        <v>19</v>
      </c>
      <c r="H179" s="23">
        <v>20.100000000000001</v>
      </c>
      <c r="I179" s="23">
        <v>9.43</v>
      </c>
      <c r="J179" s="23">
        <v>13.8</v>
      </c>
      <c r="K179" s="45">
        <v>159.5</v>
      </c>
      <c r="L179" s="39">
        <v>1.5369999999999999</v>
      </c>
      <c r="M179" s="39"/>
      <c r="N179" s="39">
        <v>0.06</v>
      </c>
      <c r="O179" s="39">
        <v>1.3490559741266328</v>
      </c>
      <c r="P179" s="39" t="s">
        <v>68</v>
      </c>
      <c r="Q179" s="39">
        <v>2.4</v>
      </c>
      <c r="R179" s="39">
        <v>1.9E-2</v>
      </c>
      <c r="S179" s="39">
        <v>7.0000000000000001E-3</v>
      </c>
      <c r="T179" s="39">
        <v>10.187097958523417</v>
      </c>
      <c r="U179" s="39">
        <v>8.51</v>
      </c>
      <c r="V179" s="39">
        <v>8.32</v>
      </c>
      <c r="W179" s="39">
        <v>8.6999999999999993</v>
      </c>
      <c r="X179" s="39">
        <v>13.328055480267331</v>
      </c>
      <c r="Y179" s="18"/>
      <c r="Z179" s="63">
        <f t="shared" si="28"/>
        <v>1.3672154617036509</v>
      </c>
      <c r="AA179" s="63">
        <f t="shared" si="29"/>
        <v>0.72049054675523749</v>
      </c>
      <c r="AB179" s="63">
        <f t="shared" si="30"/>
        <v>0.6913580246913581</v>
      </c>
      <c r="AC179" s="63">
        <f t="shared" si="31"/>
        <v>0.31213872832369949</v>
      </c>
      <c r="AD179" s="63">
        <f t="shared" si="32"/>
        <v>1.3141161509114032</v>
      </c>
      <c r="AE179" s="63"/>
      <c r="AF179" s="63">
        <f t="shared" si="33"/>
        <v>1.3755851638458769</v>
      </c>
      <c r="AG179" s="63">
        <f t="shared" si="34"/>
        <v>0.66290550070521848</v>
      </c>
      <c r="AH179" s="63">
        <f t="shared" si="35"/>
        <v>0.7186858316221767</v>
      </c>
      <c r="AI179" s="63">
        <f t="shared" si="36"/>
        <v>0.36635006784260515</v>
      </c>
      <c r="AJ179" s="63">
        <f t="shared" si="37"/>
        <v>1.2857735379510578</v>
      </c>
      <c r="AK179" s="63"/>
      <c r="AL179" s="63">
        <f t="shared" si="38"/>
        <v>1.0061217140799423</v>
      </c>
      <c r="AM179" s="63">
        <f t="shared" si="39"/>
        <v>0.92007522331922897</v>
      </c>
      <c r="AN179" s="63">
        <f t="shared" si="40"/>
        <v>1.0395277207392197</v>
      </c>
      <c r="AO179" s="63">
        <f t="shared" si="41"/>
        <v>1.1736770691994571</v>
      </c>
      <c r="AP179" s="63">
        <f t="shared" si="42"/>
        <v>0.97843218581501457</v>
      </c>
    </row>
    <row r="180" spans="1:42" ht="20.100000000000001" customHeight="1" x14ac:dyDescent="0.3">
      <c r="A180" s="22">
        <v>11</v>
      </c>
      <c r="B180" s="14" t="s">
        <v>31</v>
      </c>
      <c r="C180" s="14" t="s">
        <v>31</v>
      </c>
      <c r="D180" s="15" t="s">
        <v>33</v>
      </c>
      <c r="E180" s="16">
        <v>45394</v>
      </c>
      <c r="F180" s="17">
        <v>0.60416666666666663</v>
      </c>
      <c r="G180" s="15" t="s">
        <v>19</v>
      </c>
      <c r="H180" s="23">
        <v>18.8</v>
      </c>
      <c r="I180" s="23">
        <v>7.93</v>
      </c>
      <c r="J180" s="23">
        <v>10.17</v>
      </c>
      <c r="K180" s="45">
        <v>192.7</v>
      </c>
      <c r="L180" s="39">
        <v>2.169</v>
      </c>
      <c r="M180" s="39"/>
      <c r="N180" s="39">
        <v>2.1999999999999999E-2</v>
      </c>
      <c r="O180" s="39">
        <v>2.0674211944327476</v>
      </c>
      <c r="P180" s="39" t="s">
        <v>68</v>
      </c>
      <c r="Q180" s="39">
        <v>2</v>
      </c>
      <c r="R180" s="39">
        <v>4.7E-2</v>
      </c>
      <c r="S180" s="39">
        <v>4.2999999999999997E-2</v>
      </c>
      <c r="T180" s="39">
        <v>12.831242270508705</v>
      </c>
      <c r="U180" s="39">
        <v>8.24</v>
      </c>
      <c r="V180" s="39">
        <v>6.51</v>
      </c>
      <c r="W180" s="39">
        <v>11.6</v>
      </c>
      <c r="X180" s="39">
        <v>13.545452837707971</v>
      </c>
      <c r="Y180" s="18"/>
      <c r="Z180" s="63">
        <f t="shared" si="28"/>
        <v>1.4982578397212545</v>
      </c>
      <c r="AA180" s="63">
        <f t="shared" si="29"/>
        <v>0.71390230810520672</v>
      </c>
      <c r="AB180" s="63">
        <f t="shared" si="30"/>
        <v>0.71018276762402099</v>
      </c>
      <c r="AC180" s="63">
        <f t="shared" si="31"/>
        <v>0.49462365591397844</v>
      </c>
      <c r="AD180" s="63">
        <f t="shared" si="32"/>
        <v>1.0113421550094517</v>
      </c>
      <c r="AE180" s="63"/>
      <c r="AF180" s="63">
        <f t="shared" si="33"/>
        <v>1.3217213114754098</v>
      </c>
      <c r="AG180" s="63">
        <f t="shared" si="34"/>
        <v>0.69415448851774531</v>
      </c>
      <c r="AH180" s="63">
        <f t="shared" si="35"/>
        <v>0.7649043869516311</v>
      </c>
      <c r="AI180" s="63">
        <f t="shared" si="36"/>
        <v>0.43560606060606055</v>
      </c>
      <c r="AJ180" s="63">
        <f t="shared" si="37"/>
        <v>1.1263157894736844</v>
      </c>
      <c r="AK180" s="63"/>
      <c r="AL180" s="63">
        <f t="shared" si="38"/>
        <v>0.88217213114754089</v>
      </c>
      <c r="AM180" s="63">
        <f t="shared" si="39"/>
        <v>0.97233820459290177</v>
      </c>
      <c r="AN180" s="63">
        <f t="shared" si="40"/>
        <v>1.0770528683914509</v>
      </c>
      <c r="AO180" s="63">
        <f t="shared" si="41"/>
        <v>0.88068181818181823</v>
      </c>
      <c r="AP180" s="63">
        <f t="shared" si="42"/>
        <v>1.1136842105263161</v>
      </c>
    </row>
    <row r="181" spans="1:42" ht="20.100000000000001" customHeight="1" x14ac:dyDescent="0.3">
      <c r="A181" s="22">
        <v>12</v>
      </c>
      <c r="B181" s="14" t="s">
        <v>31</v>
      </c>
      <c r="C181" s="14" t="s">
        <v>31</v>
      </c>
      <c r="D181" s="15" t="s">
        <v>34</v>
      </c>
      <c r="E181" s="16">
        <v>45394</v>
      </c>
      <c r="F181" s="17">
        <v>0.61111111111111105</v>
      </c>
      <c r="G181" s="15" t="s">
        <v>19</v>
      </c>
      <c r="H181" s="23">
        <v>20.6</v>
      </c>
      <c r="I181" s="23">
        <v>8.49</v>
      </c>
      <c r="J181" s="23">
        <v>11.2</v>
      </c>
      <c r="K181" s="45">
        <v>200.4</v>
      </c>
      <c r="L181" s="39">
        <v>2.4790000000000001</v>
      </c>
      <c r="M181" s="39"/>
      <c r="N181" s="39">
        <v>3.5000000000000003E-2</v>
      </c>
      <c r="O181" s="39">
        <v>2.3482003300928995</v>
      </c>
      <c r="P181" s="39" t="s">
        <v>68</v>
      </c>
      <c r="Q181" s="39">
        <v>2.1</v>
      </c>
      <c r="R181" s="39">
        <v>5.0999999999999997E-2</v>
      </c>
      <c r="S181" s="39">
        <v>4.8000000000000001E-2</v>
      </c>
      <c r="T181" s="39">
        <v>14.247692060289525</v>
      </c>
      <c r="U181" s="39">
        <v>8.6199999999999992</v>
      </c>
      <c r="V181" s="39">
        <v>5.83</v>
      </c>
      <c r="W181" s="39">
        <v>11.2</v>
      </c>
      <c r="X181" s="39">
        <v>14.539856019900043</v>
      </c>
      <c r="Y181" s="18"/>
      <c r="Z181" s="63">
        <f t="shared" si="28"/>
        <v>1.3919288645690837</v>
      </c>
      <c r="AA181" s="63">
        <f t="shared" si="29"/>
        <v>0.70129870129870131</v>
      </c>
      <c r="AB181" s="63">
        <f t="shared" si="30"/>
        <v>0.60620525059665875</v>
      </c>
      <c r="AC181" s="63">
        <f t="shared" si="31"/>
        <v>0.5305039787798409</v>
      </c>
      <c r="AD181" s="63">
        <f t="shared" si="32"/>
        <v>1.1608809257185517</v>
      </c>
      <c r="AE181" s="63"/>
      <c r="AF181" s="63">
        <f t="shared" si="33"/>
        <v>1.3061617458279846</v>
      </c>
      <c r="AG181" s="63">
        <f t="shared" si="34"/>
        <v>0.6856272219400712</v>
      </c>
      <c r="AH181" s="63">
        <f t="shared" si="35"/>
        <v>0.77628361858190709</v>
      </c>
      <c r="AI181" s="63">
        <f t="shared" si="36"/>
        <v>0.42462845010615713</v>
      </c>
      <c r="AJ181" s="63">
        <f t="shared" si="37"/>
        <v>1.1075498575498577</v>
      </c>
      <c r="AK181" s="63"/>
      <c r="AL181" s="63">
        <f t="shared" si="38"/>
        <v>0.93838254172015401</v>
      </c>
      <c r="AM181" s="63">
        <f t="shared" si="39"/>
        <v>0.97765363128491634</v>
      </c>
      <c r="AN181" s="63">
        <f t="shared" si="40"/>
        <v>1.2805623471882641</v>
      </c>
      <c r="AO181" s="63">
        <f t="shared" si="41"/>
        <v>0.80042462845010609</v>
      </c>
      <c r="AP181" s="63">
        <f t="shared" si="42"/>
        <v>0.95405982905982922</v>
      </c>
    </row>
    <row r="182" spans="1:42" ht="20.100000000000001" customHeight="1" x14ac:dyDescent="0.3">
      <c r="A182" s="22">
        <v>13</v>
      </c>
      <c r="B182" s="14" t="s">
        <v>31</v>
      </c>
      <c r="C182" s="14" t="s">
        <v>35</v>
      </c>
      <c r="D182" s="15" t="s">
        <v>36</v>
      </c>
      <c r="E182" s="16">
        <v>45394</v>
      </c>
      <c r="F182" s="17">
        <v>0.59375</v>
      </c>
      <c r="G182" s="15" t="s">
        <v>37</v>
      </c>
      <c r="H182" s="23">
        <v>20</v>
      </c>
      <c r="I182" s="23">
        <v>7.91</v>
      </c>
      <c r="J182" s="23">
        <v>10.9</v>
      </c>
      <c r="K182" s="45">
        <v>264</v>
      </c>
      <c r="L182" s="39">
        <v>3.7250000000000001</v>
      </c>
      <c r="M182" s="39"/>
      <c r="N182" s="39">
        <v>0.246</v>
      </c>
      <c r="O182" s="39">
        <v>3.3700928149145133</v>
      </c>
      <c r="P182" s="39">
        <v>6.9030757429925982E-2</v>
      </c>
      <c r="Q182" s="39">
        <v>2.2000000000000002</v>
      </c>
      <c r="R182" s="39">
        <v>0.106</v>
      </c>
      <c r="S182" s="39">
        <v>0.105</v>
      </c>
      <c r="T182" s="39">
        <v>20.963677081464517</v>
      </c>
      <c r="U182" s="39">
        <v>9.1300000000000008</v>
      </c>
      <c r="V182" s="39">
        <v>4.09</v>
      </c>
      <c r="W182" s="39">
        <v>9.3000000000000007</v>
      </c>
      <c r="X182" s="39">
        <v>15.702781473289019</v>
      </c>
      <c r="Y182" s="18"/>
      <c r="Z182" s="63">
        <f t="shared" si="28"/>
        <v>1.2370556954939826</v>
      </c>
      <c r="AA182" s="63">
        <f t="shared" si="29"/>
        <v>0.69958847736625529</v>
      </c>
      <c r="AB182" s="63">
        <f t="shared" si="30"/>
        <v>0.7621736062103035</v>
      </c>
      <c r="AC182" s="63">
        <f t="shared" si="31"/>
        <v>0.41362530413625315</v>
      </c>
      <c r="AD182" s="63">
        <f t="shared" si="32"/>
        <v>1.1186440677966101</v>
      </c>
      <c r="AE182" s="63"/>
      <c r="AF182" s="63">
        <f t="shared" si="33"/>
        <v>1.2715765247410815</v>
      </c>
      <c r="AG182" s="63">
        <f t="shared" si="34"/>
        <v>0.69922879177377906</v>
      </c>
      <c r="AH182" s="63">
        <f t="shared" si="35"/>
        <v>0.79062957540263545</v>
      </c>
      <c r="AI182" s="63">
        <f t="shared" si="36"/>
        <v>0.49562682215743448</v>
      </c>
      <c r="AJ182" s="63">
        <f t="shared" si="37"/>
        <v>1.0348432055749128</v>
      </c>
      <c r="AK182" s="63"/>
      <c r="AL182" s="63">
        <f t="shared" si="38"/>
        <v>1.0279056386651324</v>
      </c>
      <c r="AM182" s="63">
        <f t="shared" si="39"/>
        <v>0.99948586118251925</v>
      </c>
      <c r="AN182" s="63">
        <f t="shared" si="40"/>
        <v>1.0373352855051243</v>
      </c>
      <c r="AO182" s="63">
        <f t="shared" si="41"/>
        <v>1.1982507288629738</v>
      </c>
      <c r="AP182" s="63">
        <f t="shared" si="42"/>
        <v>0.92508710801393734</v>
      </c>
    </row>
    <row r="183" spans="1:42" ht="20.100000000000001" customHeight="1" x14ac:dyDescent="0.3">
      <c r="A183" s="22">
        <v>14</v>
      </c>
      <c r="B183" s="14" t="s">
        <v>31</v>
      </c>
      <c r="C183" s="14" t="s">
        <v>5</v>
      </c>
      <c r="D183" s="15" t="s">
        <v>29</v>
      </c>
      <c r="E183" s="16">
        <v>45394</v>
      </c>
      <c r="F183" s="17">
        <v>0.58680555555555558</v>
      </c>
      <c r="G183" s="15" t="s">
        <v>37</v>
      </c>
      <c r="H183" s="23">
        <v>21.3</v>
      </c>
      <c r="I183" s="23">
        <v>7.61</v>
      </c>
      <c r="J183" s="23">
        <v>10.199999999999999</v>
      </c>
      <c r="K183" s="45">
        <v>330</v>
      </c>
      <c r="L183" s="39">
        <v>3.2210000000000001</v>
      </c>
      <c r="M183" s="39"/>
      <c r="N183" s="39">
        <v>0.48799999999999999</v>
      </c>
      <c r="O183" s="39">
        <v>2.409154906701044</v>
      </c>
      <c r="P183" s="39">
        <v>0.20265185356162441</v>
      </c>
      <c r="Q183" s="39">
        <v>2.8</v>
      </c>
      <c r="R183" s="39">
        <v>7.3999999999999996E-2</v>
      </c>
      <c r="S183" s="39">
        <v>7.0000000000000007E-2</v>
      </c>
      <c r="T183" s="39">
        <v>37.782982991834189</v>
      </c>
      <c r="U183" s="39">
        <v>8.94</v>
      </c>
      <c r="V183" s="39">
        <v>4.2699999999999996</v>
      </c>
      <c r="W183" s="39">
        <v>16.5</v>
      </c>
      <c r="X183" s="39">
        <v>12.61424864341576</v>
      </c>
      <c r="Y183" s="18"/>
      <c r="Z183" s="63">
        <f t="shared" si="28"/>
        <v>1.4271423807935979</v>
      </c>
      <c r="AA183" s="63">
        <f t="shared" si="29"/>
        <v>0.6761391474767271</v>
      </c>
      <c r="AB183" s="63">
        <f t="shared" si="30"/>
        <v>0.70317361543248291</v>
      </c>
      <c r="AC183" s="63">
        <f t="shared" si="31"/>
        <v>0.5454545454545453</v>
      </c>
      <c r="AD183" s="63">
        <f t="shared" si="32"/>
        <v>1.0023155805491233</v>
      </c>
      <c r="AE183" s="63"/>
      <c r="AF183" s="63">
        <f t="shared" si="33"/>
        <v>1.2606774668630336</v>
      </c>
      <c r="AG183" s="63">
        <f t="shared" si="34"/>
        <v>0.72138003136434925</v>
      </c>
      <c r="AH183" s="63">
        <f t="shared" si="35"/>
        <v>0.80312722103766898</v>
      </c>
      <c r="AI183" s="63">
        <f t="shared" si="36"/>
        <v>0.50991501416430596</v>
      </c>
      <c r="AJ183" s="63">
        <f t="shared" si="37"/>
        <v>1.033424283765348</v>
      </c>
      <c r="AK183" s="63"/>
      <c r="AL183" s="63">
        <f t="shared" si="38"/>
        <v>0.88335787923416775</v>
      </c>
      <c r="AM183" s="63">
        <f t="shared" si="39"/>
        <v>1.0669106116048093</v>
      </c>
      <c r="AN183" s="63">
        <f t="shared" si="40"/>
        <v>1.1421464108031274</v>
      </c>
      <c r="AO183" s="63">
        <f t="shared" si="41"/>
        <v>0.93484419263456109</v>
      </c>
      <c r="AP183" s="63">
        <f t="shared" si="42"/>
        <v>1.0310368349249659</v>
      </c>
    </row>
    <row r="184" spans="1:42" ht="20.100000000000001" customHeight="1" x14ac:dyDescent="0.3">
      <c r="A184" s="22">
        <v>15</v>
      </c>
      <c r="B184" s="14" t="s">
        <v>31</v>
      </c>
      <c r="C184" s="14" t="s">
        <v>35</v>
      </c>
      <c r="D184" s="15" t="s">
        <v>29</v>
      </c>
      <c r="E184" s="16">
        <v>45394</v>
      </c>
      <c r="F184" s="17">
        <v>0.58333333333333337</v>
      </c>
      <c r="G184" s="15" t="s">
        <v>37</v>
      </c>
      <c r="H184" s="23">
        <v>19.2</v>
      </c>
      <c r="I184" s="23">
        <v>8.1999999999999993</v>
      </c>
      <c r="J184" s="23">
        <v>10.36</v>
      </c>
      <c r="K184" s="45">
        <v>265</v>
      </c>
      <c r="L184" s="39">
        <v>2.9990000000000001</v>
      </c>
      <c r="M184" s="39"/>
      <c r="N184" s="39">
        <v>8.3000000000000004E-2</v>
      </c>
      <c r="O184" s="39">
        <v>2.8600034333719488</v>
      </c>
      <c r="P184" s="39">
        <v>1.7071790625036165E-3</v>
      </c>
      <c r="Q184" s="39">
        <v>2.4</v>
      </c>
      <c r="R184" s="39">
        <v>7.3999999999999996E-2</v>
      </c>
      <c r="S184" s="39">
        <v>7.0999999999999994E-2</v>
      </c>
      <c r="T184" s="39">
        <v>20.981463254273066</v>
      </c>
      <c r="U184" s="39">
        <v>10.39</v>
      </c>
      <c r="V184" s="39">
        <v>5.64</v>
      </c>
      <c r="W184" s="39">
        <v>12.4</v>
      </c>
      <c r="X184" s="39">
        <v>16.465379552633163</v>
      </c>
      <c r="Y184" s="18"/>
      <c r="Z184" s="63">
        <f t="shared" si="28"/>
        <v>1.2136047410461219</v>
      </c>
      <c r="AA184" s="63">
        <f t="shared" si="29"/>
        <v>0.72555205047318627</v>
      </c>
      <c r="AB184" s="63">
        <f t="shared" si="30"/>
        <v>0.71977638015373868</v>
      </c>
      <c r="AC184" s="63">
        <f t="shared" si="31"/>
        <v>0.3518518518518518</v>
      </c>
      <c r="AD184" s="63">
        <f t="shared" si="32"/>
        <v>1.2752721617418352</v>
      </c>
      <c r="AE184" s="63"/>
      <c r="AF184" s="63">
        <f t="shared" si="33"/>
        <v>1.3079700083310191</v>
      </c>
      <c r="AG184" s="63">
        <f t="shared" si="34"/>
        <v>0.62042389210019278</v>
      </c>
      <c r="AH184" s="63">
        <f t="shared" si="35"/>
        <v>0.75182481751824815</v>
      </c>
      <c r="AI184" s="63">
        <f t="shared" si="36"/>
        <v>0.39583333333333331</v>
      </c>
      <c r="AJ184" s="63">
        <f t="shared" si="37"/>
        <v>1.2589559877175027</v>
      </c>
      <c r="AK184" s="63"/>
      <c r="AL184" s="63">
        <f t="shared" si="38"/>
        <v>1.0777561788392114</v>
      </c>
      <c r="AM184" s="63">
        <f t="shared" si="39"/>
        <v>0.85510597302504809</v>
      </c>
      <c r="AN184" s="63">
        <f t="shared" si="40"/>
        <v>1.0445255474452555</v>
      </c>
      <c r="AO184" s="63">
        <f t="shared" si="41"/>
        <v>1.1250000000000002</v>
      </c>
      <c r="AP184" s="63">
        <f t="shared" si="42"/>
        <v>0.98720573183213922</v>
      </c>
    </row>
    <row r="185" spans="1:42" ht="20.100000000000001" customHeight="1" x14ac:dyDescent="0.3">
      <c r="A185" s="31">
        <v>16</v>
      </c>
      <c r="B185" s="32" t="s">
        <v>38</v>
      </c>
      <c r="C185" s="32" t="s">
        <v>38</v>
      </c>
      <c r="D185" s="33" t="s">
        <v>39</v>
      </c>
      <c r="E185" s="42">
        <v>45394</v>
      </c>
      <c r="F185" s="34">
        <v>0.60763888888888895</v>
      </c>
      <c r="G185" s="33" t="s">
        <v>37</v>
      </c>
      <c r="H185" s="43">
        <v>16.7</v>
      </c>
      <c r="I185" s="43">
        <v>7.74</v>
      </c>
      <c r="J185" s="43">
        <v>9.69</v>
      </c>
      <c r="K185" s="44">
        <v>280</v>
      </c>
      <c r="L185" s="41">
        <v>4.0350000000000001</v>
      </c>
      <c r="M185" s="41"/>
      <c r="N185" s="41">
        <v>0.11600000000000001</v>
      </c>
      <c r="O185" s="41">
        <v>3.6370006163330189</v>
      </c>
      <c r="P185" s="41">
        <v>7.1019486261476195E-2</v>
      </c>
      <c r="Q185" s="41">
        <v>3.7</v>
      </c>
      <c r="R185" s="41">
        <v>7.6999999999999999E-2</v>
      </c>
      <c r="S185" s="41">
        <v>7.0999999999999994E-2</v>
      </c>
      <c r="T185" s="41">
        <v>20.656813665762371</v>
      </c>
      <c r="U185" s="41">
        <v>7.92</v>
      </c>
      <c r="V185" s="41">
        <v>4.59</v>
      </c>
      <c r="W185" s="41">
        <v>12.1</v>
      </c>
      <c r="X185" s="41">
        <v>13.006279806017819</v>
      </c>
      <c r="Y185" s="36"/>
      <c r="Z185" s="63">
        <f t="shared" si="28"/>
        <v>1.3753077734787198</v>
      </c>
      <c r="AA185" s="63">
        <f t="shared" si="29"/>
        <v>0.68848758465011284</v>
      </c>
      <c r="AB185" s="63">
        <f t="shared" si="30"/>
        <v>0.59188544152744638</v>
      </c>
      <c r="AC185" s="63">
        <f t="shared" si="31"/>
        <v>0.47745358090185669</v>
      </c>
      <c r="AD185" s="63">
        <f t="shared" si="32"/>
        <v>1.184346035015448</v>
      </c>
      <c r="AE185" s="63"/>
      <c r="AF185" s="63">
        <f t="shared" si="33"/>
        <v>1.2883031301482704</v>
      </c>
      <c r="AG185" s="63">
        <f t="shared" si="34"/>
        <v>0.72662298987492557</v>
      </c>
      <c r="AH185" s="63">
        <f t="shared" si="35"/>
        <v>0.79589216944801033</v>
      </c>
      <c r="AI185" s="63">
        <f t="shared" si="36"/>
        <v>0.49315068493150682</v>
      </c>
      <c r="AJ185" s="63">
        <f t="shared" si="37"/>
        <v>1.0258697591436219</v>
      </c>
      <c r="AK185" s="63"/>
      <c r="AL185" s="63">
        <f t="shared" si="38"/>
        <v>0.93673805601317961</v>
      </c>
      <c r="AM185" s="63">
        <f t="shared" si="39"/>
        <v>1.0553901131625967</v>
      </c>
      <c r="AN185" s="63">
        <f t="shared" si="40"/>
        <v>1.3446726572528882</v>
      </c>
      <c r="AO185" s="63">
        <f t="shared" si="41"/>
        <v>1.0328767123287672</v>
      </c>
      <c r="AP185" s="63">
        <f t="shared" si="42"/>
        <v>0.86619090098126683</v>
      </c>
    </row>
    <row r="186" spans="1:42" ht="20.100000000000001" customHeight="1" x14ac:dyDescent="0.3">
      <c r="A186" s="31">
        <v>17</v>
      </c>
      <c r="B186" s="32" t="s">
        <v>38</v>
      </c>
      <c r="C186" s="32" t="s">
        <v>38</v>
      </c>
      <c r="D186" s="33" t="s">
        <v>41</v>
      </c>
      <c r="E186" s="42">
        <v>45393</v>
      </c>
      <c r="F186" s="34">
        <v>0.5625</v>
      </c>
      <c r="G186" s="33" t="s">
        <v>37</v>
      </c>
      <c r="H186" s="43">
        <v>20</v>
      </c>
      <c r="I186" s="43">
        <v>7.57</v>
      </c>
      <c r="J186" s="43">
        <v>9.91</v>
      </c>
      <c r="K186" s="44">
        <v>372</v>
      </c>
      <c r="L186" s="41">
        <v>4.7130000000000001</v>
      </c>
      <c r="M186" s="41"/>
      <c r="N186" s="41">
        <v>0.129</v>
      </c>
      <c r="O186" s="41">
        <v>4.3850525263799121</v>
      </c>
      <c r="P186" s="41">
        <v>6.3094173518871088E-2</v>
      </c>
      <c r="Q186" s="41">
        <v>3.7</v>
      </c>
      <c r="R186" s="41">
        <v>8.3000000000000004E-2</v>
      </c>
      <c r="S186" s="41">
        <v>7.5999999999999998E-2</v>
      </c>
      <c r="T186" s="41">
        <v>42.086888752878899</v>
      </c>
      <c r="U186" s="41">
        <v>11.24</v>
      </c>
      <c r="V186" s="41">
        <v>5.97</v>
      </c>
      <c r="W186" s="41">
        <v>17.3</v>
      </c>
      <c r="X186" s="41">
        <v>11.329123160711552</v>
      </c>
      <c r="Y186" s="36"/>
      <c r="Z186" s="63">
        <f t="shared" si="28"/>
        <v>1.5007704160246531</v>
      </c>
      <c r="AA186" s="63">
        <f t="shared" si="29"/>
        <v>0.61050477489768074</v>
      </c>
      <c r="AB186" s="63">
        <f t="shared" si="30"/>
        <v>0.69992553983618766</v>
      </c>
      <c r="AC186" s="63">
        <f t="shared" si="31"/>
        <v>0.28449502133712656</v>
      </c>
      <c r="AD186" s="63">
        <f t="shared" si="32"/>
        <v>1.2380416432189083</v>
      </c>
      <c r="AE186" s="63"/>
      <c r="AF186" s="63">
        <f t="shared" si="33"/>
        <v>1.3165720464990536</v>
      </c>
      <c r="AG186" s="63">
        <f t="shared" si="34"/>
        <v>0.61133879781420752</v>
      </c>
      <c r="AH186" s="63">
        <f t="shared" si="35"/>
        <v>0.74425969912905787</v>
      </c>
      <c r="AI186" s="63">
        <f t="shared" si="36"/>
        <v>0.3891050583657587</v>
      </c>
      <c r="AJ186" s="63">
        <f t="shared" si="37"/>
        <v>1.3784461152882206</v>
      </c>
      <c r="AK186" s="63"/>
      <c r="AL186" s="63">
        <f t="shared" si="38"/>
        <v>0.87726412543930798</v>
      </c>
      <c r="AM186" s="63">
        <f t="shared" si="39"/>
        <v>1.0013661202185793</v>
      </c>
      <c r="AN186" s="63">
        <f t="shared" si="40"/>
        <v>1.0633412509897071</v>
      </c>
      <c r="AO186" s="63">
        <f t="shared" si="41"/>
        <v>1.3677042801556418</v>
      </c>
      <c r="AP186" s="63">
        <f t="shared" si="42"/>
        <v>1.1134085213032583</v>
      </c>
    </row>
    <row r="187" spans="1:42" ht="20.100000000000001" customHeight="1" x14ac:dyDescent="0.3">
      <c r="A187" s="31">
        <v>18</v>
      </c>
      <c r="B187" s="32" t="s">
        <v>38</v>
      </c>
      <c r="C187" s="32" t="s">
        <v>38</v>
      </c>
      <c r="D187" s="33" t="s">
        <v>42</v>
      </c>
      <c r="E187" s="42">
        <v>45393</v>
      </c>
      <c r="F187" s="34">
        <v>0.62847222222222221</v>
      </c>
      <c r="G187" s="33" t="s">
        <v>37</v>
      </c>
      <c r="H187" s="43">
        <v>18.399999999999999</v>
      </c>
      <c r="I187" s="43">
        <v>7.16</v>
      </c>
      <c r="J187" s="43">
        <v>8.81</v>
      </c>
      <c r="K187" s="44">
        <v>393</v>
      </c>
      <c r="L187" s="41">
        <v>5.0999999999999996</v>
      </c>
      <c r="M187" s="41"/>
      <c r="N187" s="41">
        <v>0.374</v>
      </c>
      <c r="O187" s="41">
        <v>4.4413298229600713</v>
      </c>
      <c r="P187" s="41">
        <v>0.15166091643205315</v>
      </c>
      <c r="Q187" s="41">
        <v>4</v>
      </c>
      <c r="R187" s="41">
        <v>6.2E-2</v>
      </c>
      <c r="S187" s="41">
        <v>5.3999999999999999E-2</v>
      </c>
      <c r="T187" s="41">
        <v>46.199351722238532</v>
      </c>
      <c r="U187" s="41">
        <v>11.5</v>
      </c>
      <c r="V187" s="41">
        <v>5.45</v>
      </c>
      <c r="W187" s="41">
        <v>19.100000000000001</v>
      </c>
      <c r="X187" s="41">
        <v>11.436419136503728</v>
      </c>
      <c r="Y187" s="36"/>
      <c r="Z187" s="63">
        <f t="shared" si="28"/>
        <v>1.3000775394158695</v>
      </c>
      <c r="AA187" s="63">
        <f t="shared" si="29"/>
        <v>0.63905747947161717</v>
      </c>
      <c r="AB187" s="63">
        <f t="shared" si="30"/>
        <v>0.69506726457399104</v>
      </c>
      <c r="AC187" s="63">
        <f t="shared" si="31"/>
        <v>0.30150753768844213</v>
      </c>
      <c r="AD187" s="63">
        <f t="shared" si="32"/>
        <v>1.4838709677419353</v>
      </c>
      <c r="AE187" s="63"/>
      <c r="AF187" s="63">
        <f t="shared" si="33"/>
        <v>1.3177888394026722</v>
      </c>
      <c r="AG187" s="63">
        <f t="shared" si="34"/>
        <v>0.60391363022941968</v>
      </c>
      <c r="AH187" s="63">
        <f t="shared" si="35"/>
        <v>0.78216989066442388</v>
      </c>
      <c r="AI187" s="63">
        <f t="shared" si="36"/>
        <v>0.38543897216274087</v>
      </c>
      <c r="AJ187" s="63">
        <f t="shared" si="37"/>
        <v>1.324376199616123</v>
      </c>
      <c r="AK187" s="63"/>
      <c r="AL187" s="63">
        <f t="shared" si="38"/>
        <v>1.0136232643437255</v>
      </c>
      <c r="AM187" s="63">
        <f t="shared" si="39"/>
        <v>0.94500674763832659</v>
      </c>
      <c r="AN187" s="63">
        <f t="shared" si="40"/>
        <v>1.1253153910849454</v>
      </c>
      <c r="AO187" s="63">
        <f t="shared" si="41"/>
        <v>1.2783725910064241</v>
      </c>
      <c r="AP187" s="63">
        <f t="shared" si="42"/>
        <v>0.89251439539347421</v>
      </c>
    </row>
    <row r="188" spans="1:42" ht="20.100000000000001" customHeight="1" x14ac:dyDescent="0.3">
      <c r="A188" s="31">
        <v>19</v>
      </c>
      <c r="B188" s="32" t="s">
        <v>38</v>
      </c>
      <c r="C188" s="32" t="s">
        <v>43</v>
      </c>
      <c r="D188" s="33" t="s">
        <v>40</v>
      </c>
      <c r="E188" s="42">
        <v>45393</v>
      </c>
      <c r="F188" s="34">
        <v>0.56597222222222221</v>
      </c>
      <c r="G188" s="33" t="s">
        <v>37</v>
      </c>
      <c r="H188" s="43">
        <v>20.399999999999999</v>
      </c>
      <c r="I188" s="43">
        <v>7.15</v>
      </c>
      <c r="J188" s="43">
        <v>9.94</v>
      </c>
      <c r="K188" s="44">
        <v>427</v>
      </c>
      <c r="L188" s="41">
        <v>4.4729999999999999</v>
      </c>
      <c r="M188" s="41"/>
      <c r="N188" s="41">
        <v>0.26700000000000002</v>
      </c>
      <c r="O188" s="41">
        <v>3.9058742648607598</v>
      </c>
      <c r="P188" s="41">
        <v>7.8217782921411683E-2</v>
      </c>
      <c r="Q188" s="41">
        <v>3.9</v>
      </c>
      <c r="R188" s="41">
        <v>0.02</v>
      </c>
      <c r="S188" s="41">
        <v>7.0000000000000001E-3</v>
      </c>
      <c r="T188" s="41">
        <v>64.491191417810811</v>
      </c>
      <c r="U188" s="41">
        <v>12.27</v>
      </c>
      <c r="V188" s="41">
        <v>6.11</v>
      </c>
      <c r="W188" s="41">
        <v>20.2</v>
      </c>
      <c r="X188" s="41">
        <v>10.396885695613589</v>
      </c>
      <c r="Y188" s="36"/>
      <c r="Z188" s="63">
        <f t="shared" si="28"/>
        <v>1.8629238060517681</v>
      </c>
      <c r="AA188" s="63">
        <f t="shared" si="29"/>
        <v>0.50750906266183327</v>
      </c>
      <c r="AB188" s="63">
        <f t="shared" si="30"/>
        <v>0.68965517241379315</v>
      </c>
      <c r="AC188" s="63">
        <f t="shared" si="31"/>
        <v>0.28346456692913385</v>
      </c>
      <c r="AD188" s="63">
        <f t="shared" si="32"/>
        <v>1.2386511024643321</v>
      </c>
      <c r="AE188" s="63"/>
      <c r="AF188" s="63">
        <f t="shared" si="33"/>
        <v>1.403846153846154</v>
      </c>
      <c r="AG188" s="63">
        <f t="shared" si="34"/>
        <v>0.58876539501351766</v>
      </c>
      <c r="AH188" s="63">
        <f t="shared" si="35"/>
        <v>0.73555166374781089</v>
      </c>
      <c r="AI188" s="63">
        <f t="shared" si="36"/>
        <v>0.35087719298245612</v>
      </c>
      <c r="AJ188" s="63">
        <f t="shared" si="37"/>
        <v>1.3880813953488373</v>
      </c>
      <c r="AK188" s="63"/>
      <c r="AL188" s="63">
        <f t="shared" si="38"/>
        <v>0.75357142857142856</v>
      </c>
      <c r="AM188" s="63">
        <f t="shared" si="39"/>
        <v>1.1601081405827576</v>
      </c>
      <c r="AN188" s="63">
        <f t="shared" si="40"/>
        <v>1.0665499124343256</v>
      </c>
      <c r="AO188" s="63">
        <f t="shared" si="41"/>
        <v>1.2378167641325535</v>
      </c>
      <c r="AP188" s="63">
        <f t="shared" si="42"/>
        <v>1.120639534883721</v>
      </c>
    </row>
    <row r="189" spans="1:42" ht="20.100000000000001" customHeight="1" x14ac:dyDescent="0.3">
      <c r="A189" s="31">
        <v>20</v>
      </c>
      <c r="B189" s="32" t="s">
        <v>38</v>
      </c>
      <c r="C189" s="32" t="s">
        <v>43</v>
      </c>
      <c r="D189" s="33" t="s">
        <v>44</v>
      </c>
      <c r="E189" s="42">
        <v>45393</v>
      </c>
      <c r="F189" s="34">
        <v>0.57291666666666663</v>
      </c>
      <c r="G189" s="33" t="s">
        <v>37</v>
      </c>
      <c r="H189" s="43">
        <v>17.7</v>
      </c>
      <c r="I189" s="43">
        <v>8.4600000000000009</v>
      </c>
      <c r="J189" s="43">
        <v>13.23</v>
      </c>
      <c r="K189" s="44">
        <v>488</v>
      </c>
      <c r="L189" s="41">
        <v>5.1660000000000004</v>
      </c>
      <c r="M189" s="41"/>
      <c r="N189" s="41">
        <v>6.3E-2</v>
      </c>
      <c r="O189" s="41">
        <v>4.9679283032825374</v>
      </c>
      <c r="P189" s="41">
        <v>0.12958430283036404</v>
      </c>
      <c r="Q189" s="41">
        <v>2.9</v>
      </c>
      <c r="R189" s="41">
        <v>4.8000000000000001E-2</v>
      </c>
      <c r="S189" s="41">
        <v>2.3E-2</v>
      </c>
      <c r="T189" s="41">
        <v>53.23904304944535</v>
      </c>
      <c r="U189" s="41">
        <v>10.25</v>
      </c>
      <c r="V189" s="41">
        <v>7.37</v>
      </c>
      <c r="W189" s="41">
        <v>23.4</v>
      </c>
      <c r="X189" s="41">
        <v>10.85344472189681</v>
      </c>
      <c r="Y189" s="36"/>
      <c r="Z189" s="63">
        <f t="shared" si="28"/>
        <v>1.3496566139146016</v>
      </c>
      <c r="AA189" s="63">
        <f t="shared" si="29"/>
        <v>0.66144814090019577</v>
      </c>
      <c r="AB189" s="63">
        <f t="shared" si="30"/>
        <v>0.7599193006052456</v>
      </c>
      <c r="AC189" s="63">
        <f t="shared" si="31"/>
        <v>0.28965517241379313</v>
      </c>
      <c r="AD189" s="63">
        <f t="shared" si="32"/>
        <v>1.3004246284501062</v>
      </c>
      <c r="AE189" s="63"/>
      <c r="AF189" s="63">
        <f t="shared" si="33"/>
        <v>1.3692820357467437</v>
      </c>
      <c r="AG189" s="63">
        <f t="shared" si="34"/>
        <v>0.62200956937799057</v>
      </c>
      <c r="AH189" s="63">
        <f t="shared" si="35"/>
        <v>0.73759791122715412</v>
      </c>
      <c r="AI189" s="63">
        <f t="shared" si="36"/>
        <v>0.32061068702290074</v>
      </c>
      <c r="AJ189" s="63">
        <f t="shared" si="37"/>
        <v>1.3649025069637883</v>
      </c>
      <c r="AK189" s="63"/>
      <c r="AL189" s="63">
        <f t="shared" si="38"/>
        <v>1.0145410481672219</v>
      </c>
      <c r="AM189" s="63">
        <f t="shared" si="39"/>
        <v>0.94037541405962466</v>
      </c>
      <c r="AN189" s="63">
        <f t="shared" si="40"/>
        <v>0.97062663185378584</v>
      </c>
      <c r="AO189" s="63">
        <f t="shared" si="41"/>
        <v>1.1068702290076335</v>
      </c>
      <c r="AP189" s="63">
        <f t="shared" si="42"/>
        <v>1.0495821727019499</v>
      </c>
    </row>
    <row r="190" spans="1:42" ht="20.100000000000001" customHeight="1" x14ac:dyDescent="0.3">
      <c r="A190" s="22">
        <v>21</v>
      </c>
      <c r="B190" s="14" t="s">
        <v>45</v>
      </c>
      <c r="C190" s="14" t="s">
        <v>45</v>
      </c>
      <c r="D190" s="15" t="s">
        <v>46</v>
      </c>
      <c r="E190" s="16">
        <v>45393</v>
      </c>
      <c r="F190" s="17">
        <v>0.44097222222222227</v>
      </c>
      <c r="G190" s="15" t="s">
        <v>37</v>
      </c>
      <c r="H190" s="23">
        <v>14.7</v>
      </c>
      <c r="I190" s="23">
        <v>7.64</v>
      </c>
      <c r="J190" s="23">
        <v>10.1</v>
      </c>
      <c r="K190" s="45">
        <v>195</v>
      </c>
      <c r="L190" s="39">
        <v>1.575</v>
      </c>
      <c r="M190" s="39"/>
      <c r="N190" s="39">
        <v>3.9E-2</v>
      </c>
      <c r="O190" s="39">
        <v>1.4978781437023474</v>
      </c>
      <c r="P190" s="39" t="s">
        <v>68</v>
      </c>
      <c r="Q190" s="39">
        <v>1.7</v>
      </c>
      <c r="R190" s="39">
        <v>6.0000000000000001E-3</v>
      </c>
      <c r="S190" s="39">
        <v>2E-3</v>
      </c>
      <c r="T190" s="39">
        <v>11.157679937554409</v>
      </c>
      <c r="U190" s="39">
        <v>4.84</v>
      </c>
      <c r="V190" s="39">
        <v>5.72</v>
      </c>
      <c r="W190" s="39">
        <v>8.6999999999999993</v>
      </c>
      <c r="X190" s="39">
        <v>14.992753436048833</v>
      </c>
      <c r="Y190" s="18"/>
      <c r="Z190" s="63">
        <f t="shared" si="28"/>
        <v>2.0692497938994228</v>
      </c>
      <c r="AA190" s="63">
        <f t="shared" si="29"/>
        <v>0.82744702320887997</v>
      </c>
      <c r="AB190" s="63">
        <f t="shared" si="30"/>
        <v>0.61143270622286561</v>
      </c>
      <c r="AC190" s="63">
        <f t="shared" si="31"/>
        <v>0.50251256281407031</v>
      </c>
      <c r="AD190" s="63">
        <f t="shared" si="32"/>
        <v>1.0315062580923606</v>
      </c>
      <c r="AE190" s="63"/>
      <c r="AF190" s="63">
        <f t="shared" si="33"/>
        <v>1.664456233421751</v>
      </c>
      <c r="AG190" s="63">
        <f t="shared" si="34"/>
        <v>1.0173697270471465</v>
      </c>
      <c r="AH190" s="63">
        <f t="shared" si="35"/>
        <v>0.69177241097011877</v>
      </c>
      <c r="AI190" s="63">
        <f t="shared" si="36"/>
        <v>0.46948356807511737</v>
      </c>
      <c r="AJ190" s="63">
        <f t="shared" si="37"/>
        <v>0.9923188706663898</v>
      </c>
      <c r="AK190" s="63"/>
      <c r="AL190" s="63">
        <f t="shared" si="38"/>
        <v>0.80437665782493384</v>
      </c>
      <c r="AM190" s="63">
        <f t="shared" si="39"/>
        <v>1.2295285359801489</v>
      </c>
      <c r="AN190" s="63">
        <f t="shared" si="40"/>
        <v>1.1313958248055669</v>
      </c>
      <c r="AO190" s="63">
        <f t="shared" si="41"/>
        <v>0.93427230046948373</v>
      </c>
      <c r="AP190" s="63">
        <f t="shared" si="42"/>
        <v>0.96200954951214457</v>
      </c>
    </row>
    <row r="191" spans="1:42" ht="20.100000000000001" customHeight="1" x14ac:dyDescent="0.3">
      <c r="A191" s="22">
        <v>22</v>
      </c>
      <c r="B191" s="14" t="s">
        <v>45</v>
      </c>
      <c r="C191" s="14" t="s">
        <v>45</v>
      </c>
      <c r="D191" s="19" t="s">
        <v>47</v>
      </c>
      <c r="E191" s="16">
        <v>45393</v>
      </c>
      <c r="F191" s="20">
        <v>0.46180555555555558</v>
      </c>
      <c r="G191" s="15" t="s">
        <v>37</v>
      </c>
      <c r="H191" s="23">
        <v>17.3</v>
      </c>
      <c r="I191" s="23">
        <v>7.3</v>
      </c>
      <c r="J191" s="23">
        <v>9.5</v>
      </c>
      <c r="K191" s="45">
        <v>232</v>
      </c>
      <c r="L191" s="40">
        <v>1.9910000000000001</v>
      </c>
      <c r="M191" s="40"/>
      <c r="N191" s="40">
        <v>4.2000000000000003E-2</v>
      </c>
      <c r="O191" s="40">
        <v>1.8417102276897697</v>
      </c>
      <c r="P191" s="39" t="s">
        <v>68</v>
      </c>
      <c r="Q191" s="40">
        <v>2.7</v>
      </c>
      <c r="R191" s="40">
        <v>5.3999999999999999E-2</v>
      </c>
      <c r="S191" s="40">
        <v>5.0999999999999997E-2</v>
      </c>
      <c r="T191" s="40">
        <v>17.228406114095094</v>
      </c>
      <c r="U191" s="40">
        <v>7.46</v>
      </c>
      <c r="V191" s="40">
        <v>3.75</v>
      </c>
      <c r="W191" s="40">
        <v>11.3</v>
      </c>
      <c r="X191" s="40">
        <v>13.044520469711662</v>
      </c>
      <c r="Y191" s="21"/>
      <c r="Z191" s="63">
        <f t="shared" si="28"/>
        <v>1.1265060240963853</v>
      </c>
      <c r="AA191" s="63">
        <f t="shared" si="29"/>
        <v>0.84355828220858897</v>
      </c>
      <c r="AB191" s="63">
        <f t="shared" si="30"/>
        <v>0.76598311218335335</v>
      </c>
      <c r="AC191" s="63">
        <f t="shared" si="31"/>
        <v>0.43010752688172049</v>
      </c>
      <c r="AD191" s="63">
        <f t="shared" si="32"/>
        <v>1.1147638971906753</v>
      </c>
      <c r="AE191" s="63"/>
      <c r="AF191" s="63">
        <f t="shared" si="33"/>
        <v>1.2918825561312608</v>
      </c>
      <c r="AG191" s="63">
        <f t="shared" si="34"/>
        <v>0.74123989218328845</v>
      </c>
      <c r="AH191" s="63">
        <f t="shared" si="35"/>
        <v>0.8461025982678213</v>
      </c>
      <c r="AI191" s="63">
        <f t="shared" si="36"/>
        <v>0.52287581699346408</v>
      </c>
      <c r="AJ191" s="63">
        <f t="shared" si="37"/>
        <v>0.97797587834294697</v>
      </c>
      <c r="AK191" s="63"/>
      <c r="AL191" s="63">
        <f t="shared" si="38"/>
        <v>1.1468048359240071</v>
      </c>
      <c r="AM191" s="63">
        <f t="shared" si="39"/>
        <v>0.87870619946091644</v>
      </c>
      <c r="AN191" s="63">
        <f t="shared" si="40"/>
        <v>1.1045969353764158</v>
      </c>
      <c r="AO191" s="63">
        <f t="shared" si="41"/>
        <v>1.2156862745098038</v>
      </c>
      <c r="AP191" s="63">
        <f t="shared" si="42"/>
        <v>0.87729417933927634</v>
      </c>
    </row>
    <row r="192" spans="1:42" ht="20.100000000000001" customHeight="1" x14ac:dyDescent="0.3">
      <c r="A192" s="22">
        <v>23</v>
      </c>
      <c r="B192" s="14" t="s">
        <v>45</v>
      </c>
      <c r="C192" s="14" t="s">
        <v>45</v>
      </c>
      <c r="D192" s="19" t="s">
        <v>29</v>
      </c>
      <c r="E192" s="16">
        <v>45393</v>
      </c>
      <c r="F192" s="20">
        <v>0.47569444444444442</v>
      </c>
      <c r="G192" s="15" t="s">
        <v>37</v>
      </c>
      <c r="H192" s="23">
        <v>17.8</v>
      </c>
      <c r="I192" s="23">
        <v>7.54</v>
      </c>
      <c r="J192" s="23">
        <v>10.7</v>
      </c>
      <c r="K192" s="45">
        <v>237</v>
      </c>
      <c r="L192" s="40">
        <v>2.1120000000000001</v>
      </c>
      <c r="M192" s="40"/>
      <c r="N192" s="40">
        <v>5.7000000000000002E-2</v>
      </c>
      <c r="O192" s="40">
        <v>1.9377533187741629</v>
      </c>
      <c r="P192" s="39" t="s">
        <v>68</v>
      </c>
      <c r="Q192" s="40">
        <v>2.8</v>
      </c>
      <c r="R192" s="40">
        <v>4.8000000000000001E-2</v>
      </c>
      <c r="S192" s="40">
        <v>4.2999999999999997E-2</v>
      </c>
      <c r="T192" s="40">
        <v>18.676808109788333</v>
      </c>
      <c r="U192" s="40">
        <v>7.95</v>
      </c>
      <c r="V192" s="40">
        <v>4.3499999999999996</v>
      </c>
      <c r="W192" s="40">
        <v>12.1</v>
      </c>
      <c r="X192" s="40">
        <v>13.065326733831593</v>
      </c>
      <c r="Y192" s="21"/>
      <c r="Z192" s="63">
        <f t="shared" si="28"/>
        <v>1.3857545839210155</v>
      </c>
      <c r="AA192" s="63">
        <f t="shared" si="29"/>
        <v>0.69121813031161472</v>
      </c>
      <c r="AB192" s="63">
        <f t="shared" si="30"/>
        <v>0.55184690698709382</v>
      </c>
      <c r="AC192" s="63">
        <f t="shared" si="31"/>
        <v>0.62706270627062699</v>
      </c>
      <c r="AD192" s="63">
        <f t="shared" si="32"/>
        <v>1.2004212004212005</v>
      </c>
      <c r="AE192" s="63"/>
      <c r="AF192" s="63">
        <f t="shared" si="33"/>
        <v>1.2813824584284317</v>
      </c>
      <c r="AG192" s="63">
        <f t="shared" si="34"/>
        <v>0.73229291716686673</v>
      </c>
      <c r="AH192" s="63">
        <f t="shared" si="35"/>
        <v>0.81471747700394215</v>
      </c>
      <c r="AI192" s="63">
        <f t="shared" si="36"/>
        <v>0.54441260744985664</v>
      </c>
      <c r="AJ192" s="63">
        <f t="shared" si="37"/>
        <v>1.0070671378091873</v>
      </c>
      <c r="AK192" s="63"/>
      <c r="AL192" s="63">
        <f t="shared" si="38"/>
        <v>0.92468209977176397</v>
      </c>
      <c r="AM192" s="63">
        <f t="shared" si="39"/>
        <v>1.059423769507803</v>
      </c>
      <c r="AN192" s="63">
        <f t="shared" si="40"/>
        <v>1.4763469119579502</v>
      </c>
      <c r="AO192" s="63">
        <f t="shared" si="41"/>
        <v>0.86819484240687683</v>
      </c>
      <c r="AP192" s="63">
        <f t="shared" si="42"/>
        <v>0.83892815076560656</v>
      </c>
    </row>
    <row r="193" spans="1:42" ht="20.100000000000001" customHeight="1" thickBot="1" x14ac:dyDescent="0.35">
      <c r="A193" s="46">
        <v>24</v>
      </c>
      <c r="B193" s="47" t="s">
        <v>45</v>
      </c>
      <c r="C193" s="47" t="s">
        <v>45</v>
      </c>
      <c r="D193" s="48" t="s">
        <v>48</v>
      </c>
      <c r="E193" s="49">
        <v>45393</v>
      </c>
      <c r="F193" s="50">
        <v>0.48958333333333331</v>
      </c>
      <c r="G193" s="48" t="s">
        <v>37</v>
      </c>
      <c r="H193" s="51">
        <v>16.899999999999999</v>
      </c>
      <c r="I193" s="51">
        <v>7.29</v>
      </c>
      <c r="J193" s="51">
        <v>8.75</v>
      </c>
      <c r="K193" s="52">
        <v>248</v>
      </c>
      <c r="L193" s="53">
        <v>2.1680000000000001</v>
      </c>
      <c r="M193" s="53"/>
      <c r="N193" s="53">
        <v>6.5000000000000002E-2</v>
      </c>
      <c r="O193" s="53">
        <v>1.9645769962820305</v>
      </c>
      <c r="P193" s="53" t="s">
        <v>68</v>
      </c>
      <c r="Q193" s="53">
        <v>2.7</v>
      </c>
      <c r="R193" s="53">
        <v>3.7999999999999999E-2</v>
      </c>
      <c r="S193" s="53">
        <v>3.3000000000000002E-2</v>
      </c>
      <c r="T193" s="53">
        <v>18.945319130868253</v>
      </c>
      <c r="U193" s="53">
        <v>8.2100000000000009</v>
      </c>
      <c r="V193" s="53">
        <v>4.57</v>
      </c>
      <c r="W193" s="53">
        <v>13.4</v>
      </c>
      <c r="X193" s="53">
        <v>12.926440961420095</v>
      </c>
      <c r="Y193" s="54"/>
      <c r="Z193" s="63">
        <f t="shared" si="28"/>
        <v>1.2776886035313004</v>
      </c>
      <c r="AA193" s="63">
        <f t="shared" si="29"/>
        <v>0.69715560513106523</v>
      </c>
      <c r="AB193" s="63">
        <f t="shared" si="30"/>
        <v>0.60576453346360537</v>
      </c>
      <c r="AC193" s="63">
        <f t="shared" si="31"/>
        <v>0.58103975535168195</v>
      </c>
      <c r="AD193" s="63">
        <f t="shared" si="32"/>
        <v>1.2288447387785135</v>
      </c>
      <c r="AE193" s="63"/>
      <c r="AF193" s="63">
        <f t="shared" si="33"/>
        <v>1.2707535121328228</v>
      </c>
      <c r="AG193" s="63">
        <f t="shared" si="34"/>
        <v>0.7142857142857143</v>
      </c>
      <c r="AH193" s="63">
        <f t="shared" si="35"/>
        <v>0.81418253447143807</v>
      </c>
      <c r="AI193" s="63">
        <f t="shared" si="36"/>
        <v>0.51771117166212521</v>
      </c>
      <c r="AJ193" s="63">
        <f t="shared" si="37"/>
        <v>1.0346964064436182</v>
      </c>
      <c r="AK193" s="63"/>
      <c r="AL193" s="63">
        <f t="shared" si="38"/>
        <v>0.99457215836526192</v>
      </c>
      <c r="AM193" s="63">
        <f t="shared" si="39"/>
        <v>1.0245714285714285</v>
      </c>
      <c r="AN193" s="63">
        <f t="shared" si="40"/>
        <v>1.3440577806959948</v>
      </c>
      <c r="AO193" s="63">
        <f t="shared" si="41"/>
        <v>0.89100817438692093</v>
      </c>
      <c r="AP193" s="63">
        <f t="shared" si="42"/>
        <v>0.84200743494423791</v>
      </c>
    </row>
    <row r="194" spans="1:42" ht="20.100000000000001" customHeight="1" x14ac:dyDescent="0.3"/>
    <row r="195" spans="1:42" ht="20.100000000000001" customHeight="1" x14ac:dyDescent="0.3"/>
    <row r="196" spans="1:42" ht="20.100000000000001" customHeight="1" x14ac:dyDescent="0.3"/>
    <row r="197" spans="1:42" ht="20.100000000000001" customHeight="1" x14ac:dyDescent="0.3"/>
    <row r="198" spans="1:42" ht="20.100000000000001" customHeight="1" x14ac:dyDescent="0.3"/>
    <row r="199" spans="1:42" ht="20.100000000000001" customHeight="1" x14ac:dyDescent="0.3"/>
    <row r="200" spans="1:42" ht="20.100000000000001" customHeight="1" x14ac:dyDescent="0.3"/>
    <row r="201" spans="1:42" ht="20.100000000000001" customHeight="1" x14ac:dyDescent="0.3"/>
    <row r="202" spans="1:42" ht="20.100000000000001" customHeight="1" x14ac:dyDescent="0.3"/>
    <row r="203" spans="1:42" ht="20.100000000000001" customHeight="1" x14ac:dyDescent="0.3"/>
    <row r="204" spans="1:42" ht="20.100000000000001" customHeight="1" x14ac:dyDescent="0.3"/>
    <row r="205" spans="1:42" ht="20.100000000000001" customHeight="1" x14ac:dyDescent="0.3"/>
    <row r="206" spans="1:42" ht="20.100000000000001" customHeight="1" x14ac:dyDescent="0.3"/>
    <row r="207" spans="1:42" ht="20.100000000000001" customHeight="1" x14ac:dyDescent="0.3"/>
    <row r="208" spans="1:42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</sheetData>
  <mergeCells count="49">
    <mergeCell ref="G136:K136"/>
    <mergeCell ref="L136:T136"/>
    <mergeCell ref="Y136:Y137"/>
    <mergeCell ref="A136:A137"/>
    <mergeCell ref="B136:B137"/>
    <mergeCell ref="C136:C137"/>
    <mergeCell ref="D136:D137"/>
    <mergeCell ref="E136:F136"/>
    <mergeCell ref="G101:K101"/>
    <mergeCell ref="L101:T101"/>
    <mergeCell ref="Y101:Y102"/>
    <mergeCell ref="A101:A102"/>
    <mergeCell ref="B101:B102"/>
    <mergeCell ref="C101:C102"/>
    <mergeCell ref="D101:D102"/>
    <mergeCell ref="E101:F101"/>
    <mergeCell ref="G38:K38"/>
    <mergeCell ref="L38:T38"/>
    <mergeCell ref="Y38:Y39"/>
    <mergeCell ref="A69:A70"/>
    <mergeCell ref="B69:B70"/>
    <mergeCell ref="C69:C70"/>
    <mergeCell ref="D69:D70"/>
    <mergeCell ref="E69:F69"/>
    <mergeCell ref="G69:K69"/>
    <mergeCell ref="L69:T69"/>
    <mergeCell ref="Y69:Y70"/>
    <mergeCell ref="A38:A39"/>
    <mergeCell ref="B38:B39"/>
    <mergeCell ref="C38:C39"/>
    <mergeCell ref="D38:D39"/>
    <mergeCell ref="E38:F38"/>
    <mergeCell ref="Y8:Y9"/>
    <mergeCell ref="L8:T8"/>
    <mergeCell ref="A6:K6"/>
    <mergeCell ref="A8:A9"/>
    <mergeCell ref="C8:C9"/>
    <mergeCell ref="D8:D9"/>
    <mergeCell ref="E8:F8"/>
    <mergeCell ref="G8:K8"/>
    <mergeCell ref="B8:B9"/>
    <mergeCell ref="G168:K168"/>
    <mergeCell ref="L168:T168"/>
    <mergeCell ref="Y168:Y169"/>
    <mergeCell ref="A168:A169"/>
    <mergeCell ref="B168:B169"/>
    <mergeCell ref="C168:C169"/>
    <mergeCell ref="D168:D169"/>
    <mergeCell ref="E168:F168"/>
  </mergeCells>
  <phoneticPr fontId="1" type="noConversion"/>
  <conditionalFormatting sqref="Z10:AD33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{B9F9BABB-2E6F-4C3E-BA70-2F27FC9231F9}</x14:id>
        </ext>
      </extLst>
    </cfRule>
  </conditionalFormatting>
  <conditionalFormatting sqref="Z40:AD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{2DCF387A-EA67-4064-BF43-7C2E4980C5C1}</x14:id>
        </ext>
      </extLst>
    </cfRule>
  </conditionalFormatting>
  <conditionalFormatting sqref="Z71:AD9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{F1C3F62B-BD5B-47E2-862F-0A85BBBCB787}</x14:id>
        </ext>
      </extLst>
    </cfRule>
  </conditionalFormatting>
  <conditionalFormatting sqref="AG10:AK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{001AB601-B339-49ED-B546-072E087D6908}</x14:id>
        </ext>
      </extLst>
    </cfRule>
  </conditionalFormatting>
  <conditionalFormatting sqref="AG40:AK63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{770DE7D5-E9F5-402B-8C7F-7397F7B42555}</x14:id>
        </ext>
      </extLst>
    </cfRule>
  </conditionalFormatting>
  <conditionalFormatting sqref="AG71:AK9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{6CE6B400-37DA-4B27-ABE0-B58592214F33}</x14:id>
        </ext>
      </extLst>
    </cfRule>
  </conditionalFormatting>
  <conditionalFormatting sqref="AG103:AK1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{55DC8F79-93C9-4D48-AF22-501CB45CA298}</x14:id>
        </ext>
      </extLst>
    </cfRule>
  </conditionalFormatting>
  <conditionalFormatting sqref="AN10:AR3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{656B35C1-2B16-4EBA-950D-CC5A382785BA}</x14:id>
        </ext>
      </extLst>
    </cfRule>
  </conditionalFormatting>
  <conditionalFormatting sqref="AU10:AY3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{AA88E527-937F-4474-BC7C-96EF62693FE1}</x14:id>
        </ext>
      </extLst>
    </cfRule>
  </conditionalFormatting>
  <conditionalFormatting sqref="Z103:AD12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{A27FD494-0E70-4E7A-AC1A-90495DF1364B}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9BABB-2E6F-4C3E-BA70-2F27FC923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Z10:AD33</xm:sqref>
        </x14:conditionalFormatting>
        <x14:conditionalFormatting xmlns:xm="http://schemas.microsoft.com/office/excel/2006/main">
          <x14:cfRule type="dataBar" id="{2DCF387A-EA67-4064-BF43-7C2E4980C5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Z40:AD63</xm:sqref>
        </x14:conditionalFormatting>
        <x14:conditionalFormatting xmlns:xm="http://schemas.microsoft.com/office/excel/2006/main">
          <x14:cfRule type="dataBar" id="{F1C3F62B-BD5B-47E2-862F-0A85BBBCB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Z71:AD94</xm:sqref>
        </x14:conditionalFormatting>
        <x14:conditionalFormatting xmlns:xm="http://schemas.microsoft.com/office/excel/2006/main">
          <x14:cfRule type="dataBar" id="{001AB601-B339-49ED-B546-072E087D69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AG10:AK33</xm:sqref>
        </x14:conditionalFormatting>
        <x14:conditionalFormatting xmlns:xm="http://schemas.microsoft.com/office/excel/2006/main">
          <x14:cfRule type="dataBar" id="{770DE7D5-E9F5-402B-8C7F-7397F7B425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AG40:AK63</xm:sqref>
        </x14:conditionalFormatting>
        <x14:conditionalFormatting xmlns:xm="http://schemas.microsoft.com/office/excel/2006/main">
          <x14:cfRule type="dataBar" id="{6CE6B400-37DA-4B27-ABE0-B58592214F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AG71:AK94</xm:sqref>
        </x14:conditionalFormatting>
        <x14:conditionalFormatting xmlns:xm="http://schemas.microsoft.com/office/excel/2006/main">
          <x14:cfRule type="dataBar" id="{55DC8F79-93C9-4D48-AF22-501CB45CA2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AG103:AK126</xm:sqref>
        </x14:conditionalFormatting>
        <x14:conditionalFormatting xmlns:xm="http://schemas.microsoft.com/office/excel/2006/main">
          <x14:cfRule type="dataBar" id="{656B35C1-2B16-4EBA-950D-CC5A38278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AN10:AR33</xm:sqref>
        </x14:conditionalFormatting>
        <x14:conditionalFormatting xmlns:xm="http://schemas.microsoft.com/office/excel/2006/main">
          <x14:cfRule type="dataBar" id="{AA88E527-937F-4474-BC7C-96EF62693FE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AU10:AY33</xm:sqref>
        </x14:conditionalFormatting>
        <x14:conditionalFormatting xmlns:xm="http://schemas.microsoft.com/office/excel/2006/main">
          <x14:cfRule type="dataBar" id="{A27FD494-0E70-4E7A-AC1A-90495DF136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Z103:AD126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8"/>
  <sheetViews>
    <sheetView topLeftCell="A97" workbookViewId="0">
      <selection activeCell="C105" sqref="C105:C128"/>
    </sheetView>
  </sheetViews>
  <sheetFormatPr defaultRowHeight="16.5" x14ac:dyDescent="0.3"/>
  <cols>
    <col min="1" max="1" width="81.625" bestFit="1" customWidth="1"/>
    <col min="2" max="9" width="6.5" bestFit="1" customWidth="1"/>
    <col min="10" max="10" width="7.5" bestFit="1" customWidth="1"/>
  </cols>
  <sheetData>
    <row r="2" spans="1:10" x14ac:dyDescent="0.3">
      <c r="A2" t="s">
        <v>176</v>
      </c>
    </row>
    <row r="3" spans="1:10" x14ac:dyDescent="0.3">
      <c r="A3" t="s">
        <v>177</v>
      </c>
    </row>
    <row r="4" spans="1:10" x14ac:dyDescent="0.3">
      <c r="A4" t="s">
        <v>176</v>
      </c>
    </row>
    <row r="6" spans="1:10" x14ac:dyDescent="0.3">
      <c r="A6" t="s">
        <v>175</v>
      </c>
    </row>
    <row r="8" spans="1:10" x14ac:dyDescent="0.3">
      <c r="B8" t="s">
        <v>815</v>
      </c>
      <c r="C8" t="s">
        <v>816</v>
      </c>
      <c r="D8" s="74">
        <v>2.5000000000000001E-2</v>
      </c>
      <c r="E8" s="75">
        <v>0.05</v>
      </c>
      <c r="F8" s="75">
        <v>0.25</v>
      </c>
      <c r="G8" s="75">
        <v>0.5</v>
      </c>
      <c r="H8" s="75">
        <v>0.75</v>
      </c>
      <c r="I8" s="75">
        <v>0.95</v>
      </c>
      <c r="J8" s="74">
        <v>0.97499999999999998</v>
      </c>
    </row>
    <row r="9" spans="1:10" x14ac:dyDescent="0.3">
      <c r="A9" t="s">
        <v>695</v>
      </c>
      <c r="B9">
        <v>0.112</v>
      </c>
      <c r="C9">
        <v>7.8E-2</v>
      </c>
      <c r="D9">
        <v>8.0000000000000002E-3</v>
      </c>
      <c r="E9">
        <v>1.4E-2</v>
      </c>
      <c r="F9">
        <v>5.2999999999999999E-2</v>
      </c>
      <c r="G9">
        <v>9.7000000000000003E-2</v>
      </c>
      <c r="H9">
        <v>0.156</v>
      </c>
      <c r="I9">
        <v>0.26100000000000001</v>
      </c>
      <c r="J9">
        <v>0.30399999999999999</v>
      </c>
    </row>
    <row r="10" spans="1:10" x14ac:dyDescent="0.3">
      <c r="A10" t="s">
        <v>696</v>
      </c>
      <c r="B10">
        <v>7.6999999999999999E-2</v>
      </c>
      <c r="C10">
        <v>8.1000000000000003E-2</v>
      </c>
      <c r="D10">
        <v>2E-3</v>
      </c>
      <c r="E10">
        <v>4.0000000000000001E-3</v>
      </c>
      <c r="F10">
        <v>0.02</v>
      </c>
      <c r="G10">
        <v>5.0999999999999997E-2</v>
      </c>
      <c r="H10">
        <v>0.106</v>
      </c>
      <c r="I10">
        <v>0.24299999999999999</v>
      </c>
      <c r="J10">
        <v>0.30299999999999999</v>
      </c>
    </row>
    <row r="11" spans="1:10" x14ac:dyDescent="0.3">
      <c r="A11" t="s">
        <v>697</v>
      </c>
      <c r="B11">
        <v>8.5000000000000006E-2</v>
      </c>
      <c r="C11">
        <v>8.5000000000000006E-2</v>
      </c>
      <c r="D11">
        <v>2E-3</v>
      </c>
      <c r="E11">
        <v>5.0000000000000001E-3</v>
      </c>
      <c r="F11">
        <v>2.4E-2</v>
      </c>
      <c r="G11">
        <v>5.5E-2</v>
      </c>
      <c r="H11">
        <v>0.11899999999999999</v>
      </c>
      <c r="I11">
        <v>0.26900000000000002</v>
      </c>
      <c r="J11">
        <v>0.318</v>
      </c>
    </row>
    <row r="12" spans="1:10" x14ac:dyDescent="0.3">
      <c r="A12" t="s">
        <v>698</v>
      </c>
      <c r="B12">
        <v>8.7999999999999995E-2</v>
      </c>
      <c r="C12">
        <v>8.5999999999999993E-2</v>
      </c>
      <c r="D12">
        <v>2E-3</v>
      </c>
      <c r="E12">
        <v>5.0000000000000001E-3</v>
      </c>
      <c r="F12">
        <v>2.5000000000000001E-2</v>
      </c>
      <c r="G12">
        <v>0.06</v>
      </c>
      <c r="H12">
        <v>0.123</v>
      </c>
      <c r="I12">
        <v>0.26900000000000002</v>
      </c>
      <c r="J12">
        <v>0.32200000000000001</v>
      </c>
    </row>
    <row r="13" spans="1:10" x14ac:dyDescent="0.3">
      <c r="A13" t="s">
        <v>699</v>
      </c>
      <c r="B13">
        <v>0.17499999999999999</v>
      </c>
      <c r="C13">
        <v>0.17</v>
      </c>
      <c r="D13">
        <v>3.0000000000000001E-3</v>
      </c>
      <c r="E13">
        <v>6.0000000000000001E-3</v>
      </c>
      <c r="F13">
        <v>3.6999999999999998E-2</v>
      </c>
      <c r="G13">
        <v>0.113</v>
      </c>
      <c r="H13">
        <v>0.27100000000000002</v>
      </c>
      <c r="I13">
        <v>0.52300000000000002</v>
      </c>
      <c r="J13">
        <v>0.59099999999999997</v>
      </c>
    </row>
    <row r="14" spans="1:10" x14ac:dyDescent="0.3">
      <c r="A14" t="s">
        <v>700</v>
      </c>
      <c r="B14">
        <v>0.16400000000000001</v>
      </c>
      <c r="C14">
        <v>0.156</v>
      </c>
      <c r="D14">
        <v>3.0000000000000001E-3</v>
      </c>
      <c r="E14">
        <v>5.0000000000000001E-3</v>
      </c>
      <c r="F14">
        <v>3.5999999999999997E-2</v>
      </c>
      <c r="G14">
        <v>0.11</v>
      </c>
      <c r="H14">
        <v>0.255</v>
      </c>
      <c r="I14">
        <v>0.47899999999999998</v>
      </c>
      <c r="J14">
        <v>0.54600000000000004</v>
      </c>
    </row>
    <row r="15" spans="1:10" x14ac:dyDescent="0.3">
      <c r="A15" t="s">
        <v>701</v>
      </c>
      <c r="B15">
        <v>0.128</v>
      </c>
      <c r="C15">
        <v>0.121</v>
      </c>
      <c r="D15">
        <v>3.0000000000000001E-3</v>
      </c>
      <c r="E15">
        <v>6.0000000000000001E-3</v>
      </c>
      <c r="F15">
        <v>3.5000000000000003E-2</v>
      </c>
      <c r="G15">
        <v>8.7999999999999995E-2</v>
      </c>
      <c r="H15">
        <v>0.187</v>
      </c>
      <c r="I15">
        <v>0.375</v>
      </c>
      <c r="J15">
        <v>0.435</v>
      </c>
    </row>
    <row r="16" spans="1:10" x14ac:dyDescent="0.3">
      <c r="A16" t="s">
        <v>702</v>
      </c>
      <c r="B16">
        <v>0.13600000000000001</v>
      </c>
      <c r="C16">
        <v>0.20200000000000001</v>
      </c>
      <c r="D16">
        <v>2E-3</v>
      </c>
      <c r="E16">
        <v>3.0000000000000001E-3</v>
      </c>
      <c r="F16">
        <v>1.9E-2</v>
      </c>
      <c r="G16">
        <v>5.3999999999999999E-2</v>
      </c>
      <c r="H16">
        <v>0.14299999999999999</v>
      </c>
      <c r="I16">
        <v>0.68400000000000005</v>
      </c>
      <c r="J16">
        <v>0.77200000000000002</v>
      </c>
    </row>
    <row r="17" spans="1:10" x14ac:dyDescent="0.3">
      <c r="A17" t="s">
        <v>703</v>
      </c>
      <c r="B17">
        <v>7.2999999999999995E-2</v>
      </c>
      <c r="C17">
        <v>6.7000000000000004E-2</v>
      </c>
      <c r="D17">
        <v>3.0000000000000001E-3</v>
      </c>
      <c r="E17">
        <v>5.0000000000000001E-3</v>
      </c>
      <c r="F17">
        <v>2.1000000000000001E-2</v>
      </c>
      <c r="G17">
        <v>5.1999999999999998E-2</v>
      </c>
      <c r="H17">
        <v>0.105</v>
      </c>
      <c r="I17">
        <v>0.20899999999999999</v>
      </c>
      <c r="J17">
        <v>0.248</v>
      </c>
    </row>
    <row r="18" spans="1:10" x14ac:dyDescent="0.3">
      <c r="A18" t="s">
        <v>704</v>
      </c>
      <c r="B18">
        <v>0.14000000000000001</v>
      </c>
      <c r="C18">
        <v>0.127</v>
      </c>
      <c r="D18">
        <v>3.0000000000000001E-3</v>
      </c>
      <c r="E18">
        <v>6.0000000000000001E-3</v>
      </c>
      <c r="F18">
        <v>3.5999999999999997E-2</v>
      </c>
      <c r="G18">
        <v>0.10100000000000001</v>
      </c>
      <c r="H18">
        <v>0.216</v>
      </c>
      <c r="I18">
        <v>0.39300000000000002</v>
      </c>
      <c r="J18">
        <v>0.44900000000000001</v>
      </c>
    </row>
    <row r="19" spans="1:10" x14ac:dyDescent="0.3">
      <c r="A19" t="s">
        <v>705</v>
      </c>
      <c r="B19">
        <v>0.13600000000000001</v>
      </c>
      <c r="C19">
        <v>0.124</v>
      </c>
      <c r="D19">
        <v>3.0000000000000001E-3</v>
      </c>
      <c r="E19">
        <v>6.0000000000000001E-3</v>
      </c>
      <c r="F19">
        <v>3.5999999999999997E-2</v>
      </c>
      <c r="G19">
        <v>9.8000000000000004E-2</v>
      </c>
      <c r="H19">
        <v>0.20300000000000001</v>
      </c>
      <c r="I19">
        <v>0.38400000000000001</v>
      </c>
      <c r="J19">
        <v>0.44800000000000001</v>
      </c>
    </row>
    <row r="20" spans="1:10" x14ac:dyDescent="0.3">
      <c r="A20" t="s">
        <v>706</v>
      </c>
      <c r="B20">
        <v>0.125</v>
      </c>
      <c r="C20">
        <v>0.11799999999999999</v>
      </c>
      <c r="D20">
        <v>3.0000000000000001E-3</v>
      </c>
      <c r="E20">
        <v>6.0000000000000001E-3</v>
      </c>
      <c r="F20">
        <v>3.2000000000000001E-2</v>
      </c>
      <c r="G20">
        <v>8.7999999999999995E-2</v>
      </c>
      <c r="H20">
        <v>0.187</v>
      </c>
      <c r="I20">
        <v>0.372</v>
      </c>
      <c r="J20">
        <v>0.42499999999999999</v>
      </c>
    </row>
    <row r="21" spans="1:10" x14ac:dyDescent="0.3">
      <c r="A21" t="s">
        <v>707</v>
      </c>
      <c r="B21">
        <v>0.107</v>
      </c>
      <c r="C21">
        <v>0.104</v>
      </c>
      <c r="D21">
        <v>3.0000000000000001E-3</v>
      </c>
      <c r="E21">
        <v>6.0000000000000001E-3</v>
      </c>
      <c r="F21">
        <v>2.9000000000000001E-2</v>
      </c>
      <c r="G21">
        <v>7.3999999999999996E-2</v>
      </c>
      <c r="H21">
        <v>0.155</v>
      </c>
      <c r="I21">
        <v>0.32400000000000001</v>
      </c>
      <c r="J21">
        <v>0.38</v>
      </c>
    </row>
    <row r="22" spans="1:10" x14ac:dyDescent="0.3">
      <c r="A22" t="s">
        <v>708</v>
      </c>
      <c r="B22">
        <v>0.112</v>
      </c>
      <c r="C22">
        <v>0.107</v>
      </c>
      <c r="D22">
        <v>3.0000000000000001E-3</v>
      </c>
      <c r="E22">
        <v>5.0000000000000001E-3</v>
      </c>
      <c r="F22">
        <v>0.03</v>
      </c>
      <c r="G22">
        <v>7.8E-2</v>
      </c>
      <c r="H22">
        <v>0.161</v>
      </c>
      <c r="I22">
        <v>0.33200000000000002</v>
      </c>
      <c r="J22">
        <v>0.38400000000000001</v>
      </c>
    </row>
    <row r="23" spans="1:10" x14ac:dyDescent="0.3">
      <c r="A23" t="s">
        <v>709</v>
      </c>
      <c r="B23">
        <v>0.10199999999999999</v>
      </c>
      <c r="C23">
        <v>9.5000000000000001E-2</v>
      </c>
      <c r="D23">
        <v>3.0000000000000001E-3</v>
      </c>
      <c r="E23">
        <v>5.0000000000000001E-3</v>
      </c>
      <c r="F23">
        <v>2.9000000000000001E-2</v>
      </c>
      <c r="G23">
        <v>7.1999999999999995E-2</v>
      </c>
      <c r="H23">
        <v>0.14899999999999999</v>
      </c>
      <c r="I23">
        <v>0.29399999999999998</v>
      </c>
      <c r="J23">
        <v>0.34599999999999997</v>
      </c>
    </row>
    <row r="24" spans="1:10" x14ac:dyDescent="0.3">
      <c r="A24" t="s">
        <v>710</v>
      </c>
      <c r="B24">
        <v>0.124</v>
      </c>
      <c r="C24">
        <v>0.122</v>
      </c>
      <c r="D24">
        <v>3.0000000000000001E-3</v>
      </c>
      <c r="E24">
        <v>6.0000000000000001E-3</v>
      </c>
      <c r="F24">
        <v>3.2000000000000001E-2</v>
      </c>
      <c r="G24">
        <v>8.1000000000000003E-2</v>
      </c>
      <c r="H24">
        <v>0.182</v>
      </c>
      <c r="I24">
        <v>0.373</v>
      </c>
      <c r="J24">
        <v>0.44400000000000001</v>
      </c>
    </row>
    <row r="25" spans="1:10" x14ac:dyDescent="0.3">
      <c r="A25" t="s">
        <v>711</v>
      </c>
      <c r="B25">
        <v>9.4E-2</v>
      </c>
      <c r="C25">
        <v>0.09</v>
      </c>
      <c r="D25">
        <v>3.0000000000000001E-3</v>
      </c>
      <c r="E25">
        <v>5.0000000000000001E-3</v>
      </c>
      <c r="F25">
        <v>2.7E-2</v>
      </c>
      <c r="G25">
        <v>6.6000000000000003E-2</v>
      </c>
      <c r="H25">
        <v>0.13500000000000001</v>
      </c>
      <c r="I25">
        <v>0.27500000000000002</v>
      </c>
      <c r="J25">
        <v>0.33700000000000002</v>
      </c>
    </row>
    <row r="26" spans="1:10" x14ac:dyDescent="0.3">
      <c r="A26" t="s">
        <v>712</v>
      </c>
      <c r="B26">
        <v>9.1999999999999998E-2</v>
      </c>
      <c r="C26">
        <v>8.5000000000000006E-2</v>
      </c>
      <c r="D26">
        <v>3.0000000000000001E-3</v>
      </c>
      <c r="E26">
        <v>6.0000000000000001E-3</v>
      </c>
      <c r="F26">
        <v>2.7E-2</v>
      </c>
      <c r="G26">
        <v>6.7000000000000004E-2</v>
      </c>
      <c r="H26">
        <v>0.13300000000000001</v>
      </c>
      <c r="I26">
        <v>0.26600000000000001</v>
      </c>
      <c r="J26">
        <v>0.316</v>
      </c>
    </row>
    <row r="27" spans="1:10" x14ac:dyDescent="0.3">
      <c r="A27" t="s">
        <v>713</v>
      </c>
      <c r="B27">
        <v>8.4000000000000005E-2</v>
      </c>
      <c r="C27">
        <v>7.8E-2</v>
      </c>
      <c r="D27">
        <v>3.0000000000000001E-3</v>
      </c>
      <c r="E27">
        <v>5.0000000000000001E-3</v>
      </c>
      <c r="F27">
        <v>2.5000000000000001E-2</v>
      </c>
      <c r="G27">
        <v>0.06</v>
      </c>
      <c r="H27">
        <v>0.11899999999999999</v>
      </c>
      <c r="I27">
        <v>0.24199999999999999</v>
      </c>
      <c r="J27">
        <v>0.28699999999999998</v>
      </c>
    </row>
    <row r="28" spans="1:10" x14ac:dyDescent="0.3">
      <c r="A28" t="s">
        <v>714</v>
      </c>
      <c r="B28">
        <v>0.113</v>
      </c>
      <c r="C28">
        <v>0.10299999999999999</v>
      </c>
      <c r="D28">
        <v>3.0000000000000001E-3</v>
      </c>
      <c r="E28">
        <v>6.0000000000000001E-3</v>
      </c>
      <c r="F28">
        <v>0.03</v>
      </c>
      <c r="G28">
        <v>8.2000000000000003E-2</v>
      </c>
      <c r="H28">
        <v>0.16600000000000001</v>
      </c>
      <c r="I28">
        <v>0.31900000000000001</v>
      </c>
      <c r="J28">
        <v>0.377</v>
      </c>
    </row>
    <row r="29" spans="1:10" x14ac:dyDescent="0.3">
      <c r="A29" t="s">
        <v>715</v>
      </c>
      <c r="B29">
        <v>0.16900000000000001</v>
      </c>
      <c r="C29">
        <v>0.17699999999999999</v>
      </c>
      <c r="D29">
        <v>2E-3</v>
      </c>
      <c r="E29">
        <v>5.0000000000000001E-3</v>
      </c>
      <c r="F29">
        <v>3.1E-2</v>
      </c>
      <c r="G29">
        <v>0.1</v>
      </c>
      <c r="H29">
        <v>0.26100000000000001</v>
      </c>
      <c r="I29">
        <v>0.55400000000000005</v>
      </c>
      <c r="J29">
        <v>0.627</v>
      </c>
    </row>
    <row r="30" spans="1:10" x14ac:dyDescent="0.3">
      <c r="A30" t="s">
        <v>716</v>
      </c>
      <c r="B30">
        <v>0.127</v>
      </c>
      <c r="C30">
        <v>0.125</v>
      </c>
      <c r="D30">
        <v>3.0000000000000001E-3</v>
      </c>
      <c r="E30">
        <v>5.0000000000000001E-3</v>
      </c>
      <c r="F30">
        <v>0.03</v>
      </c>
      <c r="G30">
        <v>8.4000000000000005E-2</v>
      </c>
      <c r="H30">
        <v>0.186</v>
      </c>
      <c r="I30">
        <v>0.39200000000000002</v>
      </c>
      <c r="J30">
        <v>0.45800000000000002</v>
      </c>
    </row>
    <row r="31" spans="1:10" x14ac:dyDescent="0.3">
      <c r="A31" t="s">
        <v>717</v>
      </c>
      <c r="B31">
        <v>0.124</v>
      </c>
      <c r="C31">
        <v>0.121</v>
      </c>
      <c r="D31">
        <v>3.0000000000000001E-3</v>
      </c>
      <c r="E31">
        <v>5.0000000000000001E-3</v>
      </c>
      <c r="F31">
        <v>3.1E-2</v>
      </c>
      <c r="G31">
        <v>8.4000000000000005E-2</v>
      </c>
      <c r="H31">
        <v>0.18</v>
      </c>
      <c r="I31">
        <v>0.38100000000000001</v>
      </c>
      <c r="J31">
        <v>0.433</v>
      </c>
    </row>
    <row r="32" spans="1:10" x14ac:dyDescent="0.3">
      <c r="A32" t="s">
        <v>718</v>
      </c>
      <c r="B32">
        <v>0.124</v>
      </c>
      <c r="C32">
        <v>0.11799999999999999</v>
      </c>
      <c r="D32">
        <v>3.0000000000000001E-3</v>
      </c>
      <c r="E32">
        <v>6.0000000000000001E-3</v>
      </c>
      <c r="F32">
        <v>3.2000000000000001E-2</v>
      </c>
      <c r="G32">
        <v>8.3000000000000004E-2</v>
      </c>
      <c r="H32">
        <v>0.18</v>
      </c>
      <c r="I32">
        <v>0.372</v>
      </c>
      <c r="J32">
        <v>0.42</v>
      </c>
    </row>
    <row r="33" spans="1:10" x14ac:dyDescent="0.3">
      <c r="A33" t="s">
        <v>719</v>
      </c>
      <c r="B33">
        <v>0.121</v>
      </c>
      <c r="C33">
        <v>6.9000000000000006E-2</v>
      </c>
      <c r="D33">
        <v>0.02</v>
      </c>
      <c r="E33">
        <v>2.9000000000000001E-2</v>
      </c>
      <c r="F33">
        <v>7.0000000000000007E-2</v>
      </c>
      <c r="G33">
        <v>0.112</v>
      </c>
      <c r="H33">
        <v>0.16200000000000001</v>
      </c>
      <c r="I33">
        <v>0.246</v>
      </c>
      <c r="J33">
        <v>0.27700000000000002</v>
      </c>
    </row>
    <row r="34" spans="1:10" x14ac:dyDescent="0.3">
      <c r="A34" t="s">
        <v>720</v>
      </c>
      <c r="B34">
        <v>0.14399999999999999</v>
      </c>
      <c r="C34">
        <v>0.14499999999999999</v>
      </c>
      <c r="D34">
        <v>4.0000000000000001E-3</v>
      </c>
      <c r="E34">
        <v>8.0000000000000002E-3</v>
      </c>
      <c r="F34">
        <v>3.4000000000000002E-2</v>
      </c>
      <c r="G34">
        <v>9.0999999999999998E-2</v>
      </c>
      <c r="H34">
        <v>0.214</v>
      </c>
      <c r="I34">
        <v>0.44500000000000001</v>
      </c>
      <c r="J34">
        <v>0.53100000000000003</v>
      </c>
    </row>
    <row r="35" spans="1:10" x14ac:dyDescent="0.3">
      <c r="A35" t="s">
        <v>721</v>
      </c>
      <c r="B35">
        <v>0.14000000000000001</v>
      </c>
      <c r="C35">
        <v>0.13400000000000001</v>
      </c>
      <c r="D35">
        <v>5.0000000000000001E-3</v>
      </c>
      <c r="E35">
        <v>8.0000000000000002E-3</v>
      </c>
      <c r="F35">
        <v>3.6999999999999998E-2</v>
      </c>
      <c r="G35">
        <v>9.1999999999999998E-2</v>
      </c>
      <c r="H35">
        <v>0.21</v>
      </c>
      <c r="I35">
        <v>0.41099999999999998</v>
      </c>
      <c r="J35">
        <v>0.47799999999999998</v>
      </c>
    </row>
    <row r="36" spans="1:10" x14ac:dyDescent="0.3">
      <c r="A36" t="s">
        <v>722</v>
      </c>
      <c r="B36">
        <v>0.14599999999999999</v>
      </c>
      <c r="C36">
        <v>0.13600000000000001</v>
      </c>
      <c r="D36">
        <v>5.0000000000000001E-3</v>
      </c>
      <c r="E36">
        <v>8.0000000000000002E-3</v>
      </c>
      <c r="F36">
        <v>3.7999999999999999E-2</v>
      </c>
      <c r="G36">
        <v>0.10299999999999999</v>
      </c>
      <c r="H36">
        <v>0.219</v>
      </c>
      <c r="I36">
        <v>0.42599999999999999</v>
      </c>
      <c r="J36">
        <v>0.48899999999999999</v>
      </c>
    </row>
    <row r="37" spans="1:10" x14ac:dyDescent="0.3">
      <c r="A37" t="s">
        <v>723</v>
      </c>
      <c r="B37">
        <v>0.09</v>
      </c>
      <c r="C37">
        <v>7.6999999999999999E-2</v>
      </c>
      <c r="D37">
        <v>6.0000000000000001E-3</v>
      </c>
      <c r="E37">
        <v>8.9999999999999993E-3</v>
      </c>
      <c r="F37">
        <v>3.2000000000000001E-2</v>
      </c>
      <c r="G37">
        <v>6.9000000000000006E-2</v>
      </c>
      <c r="H37">
        <v>0.127</v>
      </c>
      <c r="I37">
        <v>0.23799999999999999</v>
      </c>
      <c r="J37">
        <v>0.27900000000000003</v>
      </c>
    </row>
    <row r="38" spans="1:10" x14ac:dyDescent="0.3">
      <c r="A38" t="s">
        <v>724</v>
      </c>
      <c r="B38">
        <v>0.109</v>
      </c>
      <c r="C38">
        <v>9.4E-2</v>
      </c>
      <c r="D38">
        <v>6.0000000000000001E-3</v>
      </c>
      <c r="E38">
        <v>0.01</v>
      </c>
      <c r="F38">
        <v>3.6999999999999998E-2</v>
      </c>
      <c r="G38">
        <v>8.1000000000000003E-2</v>
      </c>
      <c r="H38">
        <v>0.157</v>
      </c>
      <c r="I38">
        <v>0.29299999999999998</v>
      </c>
      <c r="J38">
        <v>0.34499999999999997</v>
      </c>
    </row>
    <row r="39" spans="1:10" x14ac:dyDescent="0.3">
      <c r="A39" t="s">
        <v>725</v>
      </c>
      <c r="B39">
        <v>0.128</v>
      </c>
      <c r="C39">
        <v>0.11</v>
      </c>
      <c r="D39">
        <v>7.0000000000000001E-3</v>
      </c>
      <c r="E39">
        <v>0.01</v>
      </c>
      <c r="F39">
        <v>4.2000000000000003E-2</v>
      </c>
      <c r="G39">
        <v>9.7000000000000003E-2</v>
      </c>
      <c r="H39">
        <v>0.188</v>
      </c>
      <c r="I39">
        <v>0.34100000000000003</v>
      </c>
      <c r="J39">
        <v>0.40300000000000002</v>
      </c>
    </row>
    <row r="40" spans="1:10" x14ac:dyDescent="0.3">
      <c r="A40" t="s">
        <v>726</v>
      </c>
      <c r="B40">
        <v>4.9000000000000002E-2</v>
      </c>
      <c r="C40">
        <v>4.3999999999999997E-2</v>
      </c>
      <c r="D40">
        <v>3.0000000000000001E-3</v>
      </c>
      <c r="E40">
        <v>5.0000000000000001E-3</v>
      </c>
      <c r="F40">
        <v>1.7000000000000001E-2</v>
      </c>
      <c r="G40">
        <v>3.5999999999999997E-2</v>
      </c>
      <c r="H40">
        <v>6.7000000000000004E-2</v>
      </c>
      <c r="I40">
        <v>0.13900000000000001</v>
      </c>
      <c r="J40">
        <v>0.16700000000000001</v>
      </c>
    </row>
    <row r="41" spans="1:10" x14ac:dyDescent="0.3">
      <c r="A41" t="s">
        <v>727</v>
      </c>
      <c r="B41">
        <v>0.18099999999999999</v>
      </c>
      <c r="C41">
        <v>0.16700000000000001</v>
      </c>
      <c r="D41">
        <v>4.0000000000000001E-3</v>
      </c>
      <c r="E41">
        <v>8.0000000000000002E-3</v>
      </c>
      <c r="F41">
        <v>0.04</v>
      </c>
      <c r="G41">
        <v>0.13</v>
      </c>
      <c r="H41">
        <v>0.28899999999999998</v>
      </c>
      <c r="I41">
        <v>0.51700000000000002</v>
      </c>
      <c r="J41">
        <v>0.58099999999999996</v>
      </c>
    </row>
    <row r="42" spans="1:10" x14ac:dyDescent="0.3">
      <c r="A42" t="s">
        <v>728</v>
      </c>
      <c r="B42">
        <v>0.14099999999999999</v>
      </c>
      <c r="C42">
        <v>0.12</v>
      </c>
      <c r="D42">
        <v>7.0000000000000001E-3</v>
      </c>
      <c r="E42">
        <v>1.0999999999999999E-2</v>
      </c>
      <c r="F42">
        <v>4.5999999999999999E-2</v>
      </c>
      <c r="G42">
        <v>0.109</v>
      </c>
      <c r="H42">
        <v>0.20499999999999999</v>
      </c>
      <c r="I42">
        <v>0.378</v>
      </c>
      <c r="J42">
        <v>0.435</v>
      </c>
    </row>
    <row r="43" spans="1:10" x14ac:dyDescent="0.3">
      <c r="A43" t="s">
        <v>729</v>
      </c>
      <c r="B43">
        <v>0.13300000000000001</v>
      </c>
      <c r="C43">
        <v>0.11700000000000001</v>
      </c>
      <c r="D43">
        <v>7.0000000000000001E-3</v>
      </c>
      <c r="E43">
        <v>1.0999999999999999E-2</v>
      </c>
      <c r="F43">
        <v>4.2000000000000003E-2</v>
      </c>
      <c r="G43">
        <v>9.9000000000000005E-2</v>
      </c>
      <c r="H43">
        <v>0.19900000000000001</v>
      </c>
      <c r="I43">
        <v>0.35499999999999998</v>
      </c>
      <c r="J43">
        <v>0.42399999999999999</v>
      </c>
    </row>
    <row r="44" spans="1:10" x14ac:dyDescent="0.3">
      <c r="A44" t="s">
        <v>730</v>
      </c>
      <c r="B44">
        <v>0.13500000000000001</v>
      </c>
      <c r="C44">
        <v>0.11799999999999999</v>
      </c>
      <c r="D44">
        <v>7.0000000000000001E-3</v>
      </c>
      <c r="E44">
        <v>1.0999999999999999E-2</v>
      </c>
      <c r="F44">
        <v>4.2000000000000003E-2</v>
      </c>
      <c r="G44">
        <v>0.1</v>
      </c>
      <c r="H44">
        <v>0.19900000000000001</v>
      </c>
      <c r="I44">
        <v>0.36599999999999999</v>
      </c>
      <c r="J44">
        <v>0.43</v>
      </c>
    </row>
    <row r="45" spans="1:10" x14ac:dyDescent="0.3">
      <c r="A45" t="s">
        <v>731</v>
      </c>
      <c r="B45">
        <v>0.13600000000000001</v>
      </c>
      <c r="C45">
        <v>0.122</v>
      </c>
      <c r="D45">
        <v>5.0000000000000001E-3</v>
      </c>
      <c r="E45">
        <v>8.0000000000000002E-3</v>
      </c>
      <c r="F45">
        <v>0.04</v>
      </c>
      <c r="G45">
        <v>9.9000000000000005E-2</v>
      </c>
      <c r="H45">
        <v>0.20200000000000001</v>
      </c>
      <c r="I45">
        <v>0.38100000000000001</v>
      </c>
      <c r="J45">
        <v>0.434</v>
      </c>
    </row>
    <row r="46" spans="1:10" x14ac:dyDescent="0.3">
      <c r="A46" t="s">
        <v>732</v>
      </c>
      <c r="B46">
        <v>0.13800000000000001</v>
      </c>
      <c r="C46">
        <v>0.121</v>
      </c>
      <c r="D46">
        <v>6.0000000000000001E-3</v>
      </c>
      <c r="E46">
        <v>0.01</v>
      </c>
      <c r="F46">
        <v>4.2999999999999997E-2</v>
      </c>
      <c r="G46">
        <v>0.10299999999999999</v>
      </c>
      <c r="H46">
        <v>0.20200000000000001</v>
      </c>
      <c r="I46">
        <v>0.372</v>
      </c>
      <c r="J46">
        <v>0.438</v>
      </c>
    </row>
    <row r="47" spans="1:10" x14ac:dyDescent="0.3">
      <c r="A47" t="s">
        <v>733</v>
      </c>
      <c r="B47">
        <v>0.161</v>
      </c>
      <c r="C47">
        <v>0.14099999999999999</v>
      </c>
      <c r="D47">
        <v>5.0000000000000001E-3</v>
      </c>
      <c r="E47">
        <v>8.0000000000000002E-3</v>
      </c>
      <c r="F47">
        <v>4.5999999999999999E-2</v>
      </c>
      <c r="G47">
        <v>0.122</v>
      </c>
      <c r="H47">
        <v>0.24299999999999999</v>
      </c>
      <c r="I47">
        <v>0.438</v>
      </c>
      <c r="J47">
        <v>0.49099999999999999</v>
      </c>
    </row>
    <row r="48" spans="1:10" x14ac:dyDescent="0.3">
      <c r="A48" t="s">
        <v>734</v>
      </c>
      <c r="B48">
        <v>0.122</v>
      </c>
      <c r="C48">
        <v>0.106</v>
      </c>
      <c r="D48">
        <v>6.0000000000000001E-3</v>
      </c>
      <c r="E48">
        <v>0.01</v>
      </c>
      <c r="F48">
        <v>4.1000000000000002E-2</v>
      </c>
      <c r="G48">
        <v>0.09</v>
      </c>
      <c r="H48">
        <v>0.17699999999999999</v>
      </c>
      <c r="I48">
        <v>0.32900000000000001</v>
      </c>
      <c r="J48">
        <v>0.38900000000000001</v>
      </c>
    </row>
    <row r="49" spans="1:10" x14ac:dyDescent="0.3">
      <c r="A49" t="s">
        <v>735</v>
      </c>
      <c r="B49">
        <v>0.17899999999999999</v>
      </c>
      <c r="C49">
        <v>0.157</v>
      </c>
      <c r="D49">
        <v>5.0000000000000001E-3</v>
      </c>
      <c r="E49">
        <v>0.01</v>
      </c>
      <c r="F49">
        <v>4.8000000000000001E-2</v>
      </c>
      <c r="G49">
        <v>0.13700000000000001</v>
      </c>
      <c r="H49">
        <v>0.27700000000000002</v>
      </c>
      <c r="I49">
        <v>0.48</v>
      </c>
      <c r="J49">
        <v>0.54300000000000004</v>
      </c>
    </row>
    <row r="50" spans="1:10" x14ac:dyDescent="0.3">
      <c r="A50" t="s">
        <v>736</v>
      </c>
      <c r="B50">
        <v>0.17899999999999999</v>
      </c>
      <c r="C50">
        <v>0.16</v>
      </c>
      <c r="D50">
        <v>5.0000000000000001E-3</v>
      </c>
      <c r="E50">
        <v>0.01</v>
      </c>
      <c r="F50">
        <v>4.9000000000000002E-2</v>
      </c>
      <c r="G50">
        <v>0.13200000000000001</v>
      </c>
      <c r="H50">
        <v>0.27300000000000002</v>
      </c>
      <c r="I50">
        <v>0.496</v>
      </c>
      <c r="J50">
        <v>0.57199999999999995</v>
      </c>
    </row>
    <row r="51" spans="1:10" x14ac:dyDescent="0.3">
      <c r="A51" t="s">
        <v>737</v>
      </c>
      <c r="B51">
        <v>0.19600000000000001</v>
      </c>
      <c r="C51">
        <v>0.16700000000000001</v>
      </c>
      <c r="D51">
        <v>5.0000000000000001E-3</v>
      </c>
      <c r="E51">
        <v>8.9999999999999993E-3</v>
      </c>
      <c r="F51">
        <v>0.05</v>
      </c>
      <c r="G51">
        <v>0.151</v>
      </c>
      <c r="H51">
        <v>0.308</v>
      </c>
      <c r="I51">
        <v>0.52</v>
      </c>
      <c r="J51">
        <v>0.56899999999999995</v>
      </c>
    </row>
    <row r="52" spans="1:10" x14ac:dyDescent="0.3">
      <c r="A52" t="s">
        <v>738</v>
      </c>
      <c r="B52">
        <v>0.16900000000000001</v>
      </c>
      <c r="C52">
        <v>0.14599999999999999</v>
      </c>
      <c r="D52">
        <v>6.0000000000000001E-3</v>
      </c>
      <c r="E52">
        <v>0.01</v>
      </c>
      <c r="F52">
        <v>4.9000000000000002E-2</v>
      </c>
      <c r="G52">
        <v>0.129</v>
      </c>
      <c r="H52">
        <v>0.255</v>
      </c>
      <c r="I52">
        <v>0.45400000000000001</v>
      </c>
      <c r="J52">
        <v>0.52900000000000003</v>
      </c>
    </row>
    <row r="53" spans="1:10" x14ac:dyDescent="0.3">
      <c r="A53" t="s">
        <v>739</v>
      </c>
      <c r="B53">
        <v>8.2000000000000003E-2</v>
      </c>
      <c r="C53">
        <v>7.1999999999999995E-2</v>
      </c>
      <c r="D53">
        <v>5.0000000000000001E-3</v>
      </c>
      <c r="E53">
        <v>8.0000000000000002E-3</v>
      </c>
      <c r="F53">
        <v>0.03</v>
      </c>
      <c r="G53">
        <v>6.2E-2</v>
      </c>
      <c r="H53">
        <v>0.11600000000000001</v>
      </c>
      <c r="I53">
        <v>0.219</v>
      </c>
      <c r="J53">
        <v>0.26300000000000001</v>
      </c>
    </row>
    <row r="54" spans="1:10" x14ac:dyDescent="0.3">
      <c r="A54" t="s">
        <v>740</v>
      </c>
      <c r="B54">
        <v>0.11</v>
      </c>
      <c r="C54">
        <v>9.9000000000000005E-2</v>
      </c>
      <c r="D54">
        <v>6.0000000000000001E-3</v>
      </c>
      <c r="E54">
        <v>8.9999999999999993E-3</v>
      </c>
      <c r="F54">
        <v>3.5999999999999997E-2</v>
      </c>
      <c r="G54">
        <v>8.1000000000000003E-2</v>
      </c>
      <c r="H54">
        <v>0.155</v>
      </c>
      <c r="I54">
        <v>0.31</v>
      </c>
      <c r="J54">
        <v>0.35799999999999998</v>
      </c>
    </row>
    <row r="55" spans="1:10" x14ac:dyDescent="0.3">
      <c r="A55" t="s">
        <v>741</v>
      </c>
      <c r="B55">
        <v>0.122</v>
      </c>
      <c r="C55">
        <v>0.109</v>
      </c>
      <c r="D55">
        <v>5.0000000000000001E-3</v>
      </c>
      <c r="E55">
        <v>8.9999999999999993E-3</v>
      </c>
      <c r="F55">
        <v>3.9E-2</v>
      </c>
      <c r="G55">
        <v>9.1999999999999998E-2</v>
      </c>
      <c r="H55">
        <v>0.17499999999999999</v>
      </c>
      <c r="I55">
        <v>0.34100000000000003</v>
      </c>
      <c r="J55">
        <v>0.40500000000000003</v>
      </c>
    </row>
    <row r="56" spans="1:10" x14ac:dyDescent="0.3">
      <c r="A56" t="s">
        <v>742</v>
      </c>
      <c r="B56">
        <v>0.126</v>
      </c>
      <c r="C56">
        <v>0.11</v>
      </c>
      <c r="D56">
        <v>6.0000000000000001E-3</v>
      </c>
      <c r="E56">
        <v>8.9999999999999993E-3</v>
      </c>
      <c r="F56">
        <v>4.1000000000000002E-2</v>
      </c>
      <c r="G56">
        <v>9.6000000000000002E-2</v>
      </c>
      <c r="H56">
        <v>0.188</v>
      </c>
      <c r="I56">
        <v>0.33600000000000002</v>
      </c>
      <c r="J56">
        <v>0.39900000000000002</v>
      </c>
    </row>
    <row r="57" spans="1:10" x14ac:dyDescent="0.3">
      <c r="A57" t="s">
        <v>743</v>
      </c>
      <c r="B57">
        <v>1.6E-2</v>
      </c>
      <c r="C57">
        <v>1.4E-2</v>
      </c>
      <c r="D57">
        <v>0</v>
      </c>
      <c r="E57">
        <v>1E-3</v>
      </c>
      <c r="F57">
        <v>6.0000000000000001E-3</v>
      </c>
      <c r="G57">
        <v>1.2E-2</v>
      </c>
      <c r="H57">
        <v>2.1999999999999999E-2</v>
      </c>
      <c r="I57">
        <v>4.2000000000000003E-2</v>
      </c>
      <c r="J57">
        <v>5.0999999999999997E-2</v>
      </c>
    </row>
    <row r="58" spans="1:10" x14ac:dyDescent="0.3">
      <c r="A58" t="s">
        <v>744</v>
      </c>
      <c r="B58">
        <v>1.2999999999999999E-2</v>
      </c>
      <c r="C58">
        <v>1.7999999999999999E-2</v>
      </c>
      <c r="D58">
        <v>0</v>
      </c>
      <c r="E58">
        <v>0</v>
      </c>
      <c r="F58">
        <v>2E-3</v>
      </c>
      <c r="G58">
        <v>6.0000000000000001E-3</v>
      </c>
      <c r="H58">
        <v>1.6E-2</v>
      </c>
      <c r="I58">
        <v>0.05</v>
      </c>
      <c r="J58">
        <v>6.5000000000000002E-2</v>
      </c>
    </row>
    <row r="59" spans="1:10" x14ac:dyDescent="0.3">
      <c r="A59" t="s">
        <v>745</v>
      </c>
      <c r="B59">
        <v>1.4E-2</v>
      </c>
      <c r="C59">
        <v>1.9E-2</v>
      </c>
      <c r="D59">
        <v>0</v>
      </c>
      <c r="E59">
        <v>0</v>
      </c>
      <c r="F59">
        <v>2E-3</v>
      </c>
      <c r="G59">
        <v>7.0000000000000001E-3</v>
      </c>
      <c r="H59">
        <v>1.9E-2</v>
      </c>
      <c r="I59">
        <v>5.1999999999999998E-2</v>
      </c>
      <c r="J59">
        <v>6.6000000000000003E-2</v>
      </c>
    </row>
    <row r="60" spans="1:10" x14ac:dyDescent="0.3">
      <c r="A60" t="s">
        <v>746</v>
      </c>
      <c r="B60">
        <v>1.4999999999999999E-2</v>
      </c>
      <c r="C60">
        <v>0.02</v>
      </c>
      <c r="D60">
        <v>0</v>
      </c>
      <c r="E60">
        <v>0</v>
      </c>
      <c r="F60">
        <v>3.0000000000000001E-3</v>
      </c>
      <c r="G60">
        <v>8.0000000000000002E-3</v>
      </c>
      <c r="H60">
        <v>1.7999999999999999E-2</v>
      </c>
      <c r="I60">
        <v>5.6000000000000001E-2</v>
      </c>
      <c r="J60">
        <v>7.2999999999999995E-2</v>
      </c>
    </row>
    <row r="61" spans="1:10" x14ac:dyDescent="0.3">
      <c r="A61" t="s">
        <v>747</v>
      </c>
      <c r="B61">
        <v>2.1999999999999999E-2</v>
      </c>
      <c r="C61">
        <v>3.4000000000000002E-2</v>
      </c>
      <c r="D61">
        <v>0</v>
      </c>
      <c r="E61">
        <v>0</v>
      </c>
      <c r="F61">
        <v>3.0000000000000001E-3</v>
      </c>
      <c r="G61">
        <v>0.01</v>
      </c>
      <c r="H61">
        <v>2.7E-2</v>
      </c>
      <c r="I61">
        <v>8.5999999999999993E-2</v>
      </c>
      <c r="J61">
        <v>0.11700000000000001</v>
      </c>
    </row>
    <row r="62" spans="1:10" x14ac:dyDescent="0.3">
      <c r="A62" t="s">
        <v>748</v>
      </c>
      <c r="B62">
        <v>2.5000000000000001E-2</v>
      </c>
      <c r="C62">
        <v>3.6999999999999998E-2</v>
      </c>
      <c r="D62">
        <v>0</v>
      </c>
      <c r="E62">
        <v>0</v>
      </c>
      <c r="F62">
        <v>3.0000000000000001E-3</v>
      </c>
      <c r="G62">
        <v>0.01</v>
      </c>
      <c r="H62">
        <v>0.03</v>
      </c>
      <c r="I62">
        <v>0.104</v>
      </c>
      <c r="J62">
        <v>0.128</v>
      </c>
    </row>
    <row r="63" spans="1:10" x14ac:dyDescent="0.3">
      <c r="A63" t="s">
        <v>749</v>
      </c>
      <c r="B63">
        <v>0.02</v>
      </c>
      <c r="C63">
        <v>2.8000000000000001E-2</v>
      </c>
      <c r="D63">
        <v>0</v>
      </c>
      <c r="E63">
        <v>0</v>
      </c>
      <c r="F63">
        <v>3.0000000000000001E-3</v>
      </c>
      <c r="G63">
        <v>0.01</v>
      </c>
      <c r="H63">
        <v>2.5999999999999999E-2</v>
      </c>
      <c r="I63">
        <v>8.2000000000000003E-2</v>
      </c>
      <c r="J63">
        <v>0.10299999999999999</v>
      </c>
    </row>
    <row r="64" spans="1:10" x14ac:dyDescent="0.3">
      <c r="A64" t="s">
        <v>750</v>
      </c>
      <c r="B64">
        <v>1.2E-2</v>
      </c>
      <c r="C64">
        <v>2.4E-2</v>
      </c>
      <c r="D64">
        <v>0</v>
      </c>
      <c r="E64">
        <v>0</v>
      </c>
      <c r="F64">
        <v>2E-3</v>
      </c>
      <c r="G64">
        <v>5.0000000000000001E-3</v>
      </c>
      <c r="H64">
        <v>1.2999999999999999E-2</v>
      </c>
      <c r="I64">
        <v>4.7E-2</v>
      </c>
      <c r="J64">
        <v>6.5000000000000002E-2</v>
      </c>
    </row>
    <row r="65" spans="1:10" x14ac:dyDescent="0.3">
      <c r="A65" t="s">
        <v>751</v>
      </c>
      <c r="B65">
        <v>1.4E-2</v>
      </c>
      <c r="C65">
        <v>0.02</v>
      </c>
      <c r="D65">
        <v>0</v>
      </c>
      <c r="E65">
        <v>0</v>
      </c>
      <c r="F65">
        <v>2E-3</v>
      </c>
      <c r="G65">
        <v>7.0000000000000001E-3</v>
      </c>
      <c r="H65">
        <v>1.7999999999999999E-2</v>
      </c>
      <c r="I65">
        <v>5.1999999999999998E-2</v>
      </c>
      <c r="J65">
        <v>7.3999999999999996E-2</v>
      </c>
    </row>
    <row r="66" spans="1:10" x14ac:dyDescent="0.3">
      <c r="A66" t="s">
        <v>752</v>
      </c>
      <c r="B66">
        <v>2.7E-2</v>
      </c>
      <c r="C66">
        <v>3.7999999999999999E-2</v>
      </c>
      <c r="D66">
        <v>0</v>
      </c>
      <c r="E66">
        <v>0</v>
      </c>
      <c r="F66">
        <v>3.0000000000000001E-3</v>
      </c>
      <c r="G66">
        <v>1.2E-2</v>
      </c>
      <c r="H66">
        <v>3.4000000000000002E-2</v>
      </c>
      <c r="I66">
        <v>0.10199999999999999</v>
      </c>
      <c r="J66">
        <v>0.13400000000000001</v>
      </c>
    </row>
    <row r="67" spans="1:10" x14ac:dyDescent="0.3">
      <c r="A67" t="s">
        <v>753</v>
      </c>
      <c r="B67">
        <v>2.3E-2</v>
      </c>
      <c r="C67">
        <v>3.2000000000000001E-2</v>
      </c>
      <c r="D67">
        <v>0</v>
      </c>
      <c r="E67">
        <v>0</v>
      </c>
      <c r="F67">
        <v>3.0000000000000001E-3</v>
      </c>
      <c r="G67">
        <v>0.01</v>
      </c>
      <c r="H67">
        <v>2.9000000000000001E-2</v>
      </c>
      <c r="I67">
        <v>8.8999999999999996E-2</v>
      </c>
      <c r="J67">
        <v>0.11799999999999999</v>
      </c>
    </row>
    <row r="68" spans="1:10" x14ac:dyDescent="0.3">
      <c r="A68" t="s">
        <v>754</v>
      </c>
      <c r="B68">
        <v>0.02</v>
      </c>
      <c r="C68">
        <v>2.8000000000000001E-2</v>
      </c>
      <c r="D68">
        <v>0</v>
      </c>
      <c r="E68">
        <v>0</v>
      </c>
      <c r="F68">
        <v>3.0000000000000001E-3</v>
      </c>
      <c r="G68">
        <v>8.9999999999999993E-3</v>
      </c>
      <c r="H68">
        <v>2.5000000000000001E-2</v>
      </c>
      <c r="I68">
        <v>7.9000000000000001E-2</v>
      </c>
      <c r="J68">
        <v>9.9000000000000005E-2</v>
      </c>
    </row>
    <row r="69" spans="1:10" x14ac:dyDescent="0.3">
      <c r="A69" t="s">
        <v>755</v>
      </c>
      <c r="B69">
        <v>1.7000000000000001E-2</v>
      </c>
      <c r="C69">
        <v>2.4E-2</v>
      </c>
      <c r="D69">
        <v>0</v>
      </c>
      <c r="E69">
        <v>0</v>
      </c>
      <c r="F69">
        <v>3.0000000000000001E-3</v>
      </c>
      <c r="G69">
        <v>8.9999999999999993E-3</v>
      </c>
      <c r="H69">
        <v>2.1999999999999999E-2</v>
      </c>
      <c r="I69">
        <v>6.4000000000000001E-2</v>
      </c>
      <c r="J69">
        <v>8.5000000000000006E-2</v>
      </c>
    </row>
    <row r="70" spans="1:10" x14ac:dyDescent="0.3">
      <c r="A70" t="s">
        <v>756</v>
      </c>
      <c r="B70">
        <v>1.7999999999999999E-2</v>
      </c>
      <c r="C70">
        <v>2.5999999999999999E-2</v>
      </c>
      <c r="D70">
        <v>0</v>
      </c>
      <c r="E70">
        <v>0</v>
      </c>
      <c r="F70">
        <v>3.0000000000000001E-3</v>
      </c>
      <c r="G70">
        <v>8.9999999999999993E-3</v>
      </c>
      <c r="H70">
        <v>2.1999999999999999E-2</v>
      </c>
      <c r="I70">
        <v>7.0999999999999994E-2</v>
      </c>
      <c r="J70">
        <v>9.1999999999999998E-2</v>
      </c>
    </row>
    <row r="71" spans="1:10" x14ac:dyDescent="0.3">
      <c r="A71" t="s">
        <v>757</v>
      </c>
      <c r="B71">
        <v>1.9E-2</v>
      </c>
      <c r="C71">
        <v>2.7E-2</v>
      </c>
      <c r="D71">
        <v>0</v>
      </c>
      <c r="E71">
        <v>0</v>
      </c>
      <c r="F71">
        <v>3.0000000000000001E-3</v>
      </c>
      <c r="G71">
        <v>8.9999999999999993E-3</v>
      </c>
      <c r="H71">
        <v>2.5000000000000001E-2</v>
      </c>
      <c r="I71">
        <v>7.5999999999999998E-2</v>
      </c>
      <c r="J71">
        <v>9.4E-2</v>
      </c>
    </row>
    <row r="72" spans="1:10" x14ac:dyDescent="0.3">
      <c r="A72" t="s">
        <v>758</v>
      </c>
      <c r="B72">
        <v>1.7999999999999999E-2</v>
      </c>
      <c r="C72">
        <v>2.5999999999999999E-2</v>
      </c>
      <c r="D72">
        <v>0</v>
      </c>
      <c r="E72">
        <v>0</v>
      </c>
      <c r="F72">
        <v>3.0000000000000001E-3</v>
      </c>
      <c r="G72">
        <v>8.9999999999999993E-3</v>
      </c>
      <c r="H72">
        <v>2.3E-2</v>
      </c>
      <c r="I72">
        <v>7.1999999999999995E-2</v>
      </c>
      <c r="J72">
        <v>9.0999999999999998E-2</v>
      </c>
    </row>
    <row r="73" spans="1:10" x14ac:dyDescent="0.3">
      <c r="A73" t="s">
        <v>759</v>
      </c>
      <c r="B73">
        <v>0.02</v>
      </c>
      <c r="C73">
        <v>0.03</v>
      </c>
      <c r="D73">
        <v>0</v>
      </c>
      <c r="E73">
        <v>0</v>
      </c>
      <c r="F73">
        <v>3.0000000000000001E-3</v>
      </c>
      <c r="G73">
        <v>8.9999999999999993E-3</v>
      </c>
      <c r="H73">
        <v>2.4E-2</v>
      </c>
      <c r="I73">
        <v>7.8E-2</v>
      </c>
      <c r="J73">
        <v>0.10100000000000001</v>
      </c>
    </row>
    <row r="74" spans="1:10" x14ac:dyDescent="0.3">
      <c r="A74" t="s">
        <v>760</v>
      </c>
      <c r="B74">
        <v>1.7999999999999999E-2</v>
      </c>
      <c r="C74">
        <v>2.5999999999999999E-2</v>
      </c>
      <c r="D74">
        <v>0</v>
      </c>
      <c r="E74">
        <v>0</v>
      </c>
      <c r="F74">
        <v>3.0000000000000001E-3</v>
      </c>
      <c r="G74">
        <v>8.9999999999999993E-3</v>
      </c>
      <c r="H74">
        <v>2.3E-2</v>
      </c>
      <c r="I74">
        <v>7.0999999999999994E-2</v>
      </c>
      <c r="J74">
        <v>9.6000000000000002E-2</v>
      </c>
    </row>
    <row r="75" spans="1:10" x14ac:dyDescent="0.3">
      <c r="A75" t="s">
        <v>761</v>
      </c>
      <c r="B75">
        <v>1.7999999999999999E-2</v>
      </c>
      <c r="C75">
        <v>2.5999999999999999E-2</v>
      </c>
      <c r="D75">
        <v>0</v>
      </c>
      <c r="E75">
        <v>0</v>
      </c>
      <c r="F75">
        <v>3.0000000000000001E-3</v>
      </c>
      <c r="G75">
        <v>8.0000000000000002E-3</v>
      </c>
      <c r="H75">
        <v>2.3E-2</v>
      </c>
      <c r="I75">
        <v>6.9000000000000006E-2</v>
      </c>
      <c r="J75">
        <v>9.0999999999999998E-2</v>
      </c>
    </row>
    <row r="76" spans="1:10" x14ac:dyDescent="0.3">
      <c r="A76" t="s">
        <v>762</v>
      </c>
      <c r="B76">
        <v>2.1000000000000001E-2</v>
      </c>
      <c r="C76">
        <v>0.03</v>
      </c>
      <c r="D76">
        <v>0</v>
      </c>
      <c r="E76">
        <v>0</v>
      </c>
      <c r="F76">
        <v>3.0000000000000001E-3</v>
      </c>
      <c r="G76">
        <v>0.01</v>
      </c>
      <c r="H76">
        <v>2.7E-2</v>
      </c>
      <c r="I76">
        <v>8.3000000000000004E-2</v>
      </c>
      <c r="J76">
        <v>0.106</v>
      </c>
    </row>
    <row r="77" spans="1:10" x14ac:dyDescent="0.3">
      <c r="A77" t="s">
        <v>763</v>
      </c>
      <c r="B77">
        <v>0.02</v>
      </c>
      <c r="C77">
        <v>3.1E-2</v>
      </c>
      <c r="D77">
        <v>0</v>
      </c>
      <c r="E77">
        <v>0</v>
      </c>
      <c r="F77">
        <v>3.0000000000000001E-3</v>
      </c>
      <c r="G77">
        <v>8.9999999999999993E-3</v>
      </c>
      <c r="H77">
        <v>2.4E-2</v>
      </c>
      <c r="I77">
        <v>8.3000000000000004E-2</v>
      </c>
      <c r="J77">
        <v>0.11600000000000001</v>
      </c>
    </row>
    <row r="78" spans="1:10" x14ac:dyDescent="0.3">
      <c r="A78" t="s">
        <v>764</v>
      </c>
      <c r="B78">
        <v>1.6E-2</v>
      </c>
      <c r="C78">
        <v>2.3E-2</v>
      </c>
      <c r="D78">
        <v>0</v>
      </c>
      <c r="E78">
        <v>0</v>
      </c>
      <c r="F78">
        <v>3.0000000000000001E-3</v>
      </c>
      <c r="G78">
        <v>8.0000000000000002E-3</v>
      </c>
      <c r="H78">
        <v>0.02</v>
      </c>
      <c r="I78">
        <v>0.06</v>
      </c>
      <c r="J78">
        <v>8.3000000000000004E-2</v>
      </c>
    </row>
    <row r="79" spans="1:10" x14ac:dyDescent="0.3">
      <c r="A79" t="s">
        <v>765</v>
      </c>
      <c r="B79">
        <v>1.9E-2</v>
      </c>
      <c r="C79">
        <v>2.7E-2</v>
      </c>
      <c r="D79">
        <v>0</v>
      </c>
      <c r="E79">
        <v>0</v>
      </c>
      <c r="F79">
        <v>3.0000000000000001E-3</v>
      </c>
      <c r="G79">
        <v>8.9999999999999993E-3</v>
      </c>
      <c r="H79">
        <v>2.3E-2</v>
      </c>
      <c r="I79">
        <v>6.9000000000000006E-2</v>
      </c>
      <c r="J79">
        <v>9.4E-2</v>
      </c>
    </row>
    <row r="80" spans="1:10" x14ac:dyDescent="0.3">
      <c r="A80" t="s">
        <v>766</v>
      </c>
      <c r="B80">
        <v>1.9E-2</v>
      </c>
      <c r="C80">
        <v>2.5000000000000001E-2</v>
      </c>
      <c r="D80">
        <v>0</v>
      </c>
      <c r="E80">
        <v>0</v>
      </c>
      <c r="F80">
        <v>3.0000000000000001E-3</v>
      </c>
      <c r="G80">
        <v>8.9999999999999993E-3</v>
      </c>
      <c r="H80">
        <v>2.4E-2</v>
      </c>
      <c r="I80">
        <v>7.0000000000000007E-2</v>
      </c>
      <c r="J80">
        <v>8.7999999999999995E-2</v>
      </c>
    </row>
    <row r="81" spans="1:10" x14ac:dyDescent="0.3">
      <c r="A81" t="s">
        <v>767</v>
      </c>
      <c r="B81">
        <v>0.41699999999999998</v>
      </c>
      <c r="C81">
        <v>0.122</v>
      </c>
      <c r="D81">
        <v>0.187</v>
      </c>
      <c r="E81">
        <v>0.218</v>
      </c>
      <c r="F81">
        <v>0.33</v>
      </c>
      <c r="G81">
        <v>0.41399999999999998</v>
      </c>
      <c r="H81">
        <v>0.50600000000000001</v>
      </c>
      <c r="I81">
        <v>0.622</v>
      </c>
      <c r="J81">
        <v>0.65200000000000002</v>
      </c>
    </row>
    <row r="82" spans="1:10" x14ac:dyDescent="0.3">
      <c r="A82" t="s">
        <v>768</v>
      </c>
      <c r="B82">
        <v>0.53900000000000003</v>
      </c>
      <c r="C82">
        <v>0.22800000000000001</v>
      </c>
      <c r="D82">
        <v>7.5999999999999998E-2</v>
      </c>
      <c r="E82">
        <v>0.114</v>
      </c>
      <c r="F82">
        <v>0.38</v>
      </c>
      <c r="G82">
        <v>0.56899999999999995</v>
      </c>
      <c r="H82">
        <v>0.71</v>
      </c>
      <c r="I82">
        <v>0.879</v>
      </c>
      <c r="J82">
        <v>0.91200000000000003</v>
      </c>
    </row>
    <row r="83" spans="1:10" x14ac:dyDescent="0.3">
      <c r="A83" t="s">
        <v>769</v>
      </c>
      <c r="B83">
        <v>0.497</v>
      </c>
      <c r="C83">
        <v>0.217</v>
      </c>
      <c r="D83">
        <v>7.4999999999999997E-2</v>
      </c>
      <c r="E83">
        <v>0.115</v>
      </c>
      <c r="F83">
        <v>0.34100000000000003</v>
      </c>
      <c r="G83">
        <v>0.50900000000000001</v>
      </c>
      <c r="H83">
        <v>0.66300000000000003</v>
      </c>
      <c r="I83">
        <v>0.83</v>
      </c>
      <c r="J83">
        <v>0.871</v>
      </c>
    </row>
    <row r="84" spans="1:10" x14ac:dyDescent="0.3">
      <c r="A84" t="s">
        <v>770</v>
      </c>
      <c r="B84">
        <v>0.51500000000000001</v>
      </c>
      <c r="C84">
        <v>0.214</v>
      </c>
      <c r="D84">
        <v>7.8E-2</v>
      </c>
      <c r="E84">
        <v>0.123</v>
      </c>
      <c r="F84">
        <v>0.36299999999999999</v>
      </c>
      <c r="G84">
        <v>0.53500000000000003</v>
      </c>
      <c r="H84">
        <v>0.67300000000000004</v>
      </c>
      <c r="I84">
        <v>0.84399999999999997</v>
      </c>
      <c r="J84">
        <v>0.879</v>
      </c>
    </row>
    <row r="85" spans="1:10" x14ac:dyDescent="0.3">
      <c r="A85" t="s">
        <v>771</v>
      </c>
      <c r="B85">
        <v>0.27800000000000002</v>
      </c>
      <c r="C85">
        <v>0.16700000000000001</v>
      </c>
      <c r="D85">
        <v>4.1000000000000002E-2</v>
      </c>
      <c r="E85">
        <v>5.5E-2</v>
      </c>
      <c r="F85">
        <v>0.153</v>
      </c>
      <c r="G85">
        <v>0.255</v>
      </c>
      <c r="H85">
        <v>0.37</v>
      </c>
      <c r="I85">
        <v>0.59099999999999997</v>
      </c>
      <c r="J85">
        <v>0.69599999999999995</v>
      </c>
    </row>
    <row r="86" spans="1:10" x14ac:dyDescent="0.3">
      <c r="A86" t="s">
        <v>772</v>
      </c>
      <c r="B86">
        <v>0.318</v>
      </c>
      <c r="C86">
        <v>0.17699999999999999</v>
      </c>
      <c r="D86">
        <v>4.3999999999999997E-2</v>
      </c>
      <c r="E86">
        <v>6.6000000000000003E-2</v>
      </c>
      <c r="F86">
        <v>0.183</v>
      </c>
      <c r="G86">
        <v>0.29899999999999999</v>
      </c>
      <c r="H86">
        <v>0.42299999999999999</v>
      </c>
      <c r="I86">
        <v>0.64700000000000002</v>
      </c>
      <c r="J86">
        <v>0.72299999999999998</v>
      </c>
    </row>
    <row r="87" spans="1:10" x14ac:dyDescent="0.3">
      <c r="A87" t="s">
        <v>773</v>
      </c>
      <c r="B87">
        <v>0.39500000000000002</v>
      </c>
      <c r="C87">
        <v>0.2</v>
      </c>
      <c r="D87">
        <v>5.6000000000000001E-2</v>
      </c>
      <c r="E87">
        <v>8.6999999999999994E-2</v>
      </c>
      <c r="F87">
        <v>0.24299999999999999</v>
      </c>
      <c r="G87">
        <v>0.38600000000000001</v>
      </c>
      <c r="H87">
        <v>0.53100000000000003</v>
      </c>
      <c r="I87">
        <v>0.74399999999999999</v>
      </c>
      <c r="J87">
        <v>0.81499999999999995</v>
      </c>
    </row>
    <row r="88" spans="1:10" x14ac:dyDescent="0.3">
      <c r="A88" t="s">
        <v>774</v>
      </c>
      <c r="B88">
        <v>0.13700000000000001</v>
      </c>
      <c r="C88">
        <v>0.114</v>
      </c>
      <c r="D88">
        <v>1.7000000000000001E-2</v>
      </c>
      <c r="E88">
        <v>2.4E-2</v>
      </c>
      <c r="F88">
        <v>6.2E-2</v>
      </c>
      <c r="G88">
        <v>0.111</v>
      </c>
      <c r="H88">
        <v>0.17799999999999999</v>
      </c>
      <c r="I88">
        <v>0.33</v>
      </c>
      <c r="J88">
        <v>0.42899999999999999</v>
      </c>
    </row>
    <row r="89" spans="1:10" x14ac:dyDescent="0.3">
      <c r="A89" t="s">
        <v>775</v>
      </c>
      <c r="B89">
        <v>0.54600000000000004</v>
      </c>
      <c r="C89">
        <v>0.22800000000000001</v>
      </c>
      <c r="D89">
        <v>8.2000000000000003E-2</v>
      </c>
      <c r="E89">
        <v>0.125</v>
      </c>
      <c r="F89">
        <v>0.379</v>
      </c>
      <c r="G89">
        <v>0.57999999999999996</v>
      </c>
      <c r="H89">
        <v>0.72799999999999998</v>
      </c>
      <c r="I89">
        <v>0.86799999999999999</v>
      </c>
      <c r="J89">
        <v>0.90500000000000003</v>
      </c>
    </row>
    <row r="90" spans="1:10" x14ac:dyDescent="0.3">
      <c r="A90" t="s">
        <v>776</v>
      </c>
      <c r="B90">
        <v>0.38200000000000001</v>
      </c>
      <c r="C90">
        <v>0.19500000000000001</v>
      </c>
      <c r="D90">
        <v>6.2E-2</v>
      </c>
      <c r="E90">
        <v>8.5000000000000006E-2</v>
      </c>
      <c r="F90">
        <v>0.23100000000000001</v>
      </c>
      <c r="G90">
        <v>0.375</v>
      </c>
      <c r="H90">
        <v>0.51400000000000001</v>
      </c>
      <c r="I90">
        <v>0.73199999999999998</v>
      </c>
      <c r="J90">
        <v>0.80500000000000005</v>
      </c>
    </row>
    <row r="91" spans="1:10" x14ac:dyDescent="0.3">
      <c r="A91" t="s">
        <v>777</v>
      </c>
      <c r="B91">
        <v>0.38800000000000001</v>
      </c>
      <c r="C91">
        <v>0.193</v>
      </c>
      <c r="D91">
        <v>6.2E-2</v>
      </c>
      <c r="E91">
        <v>8.4000000000000005E-2</v>
      </c>
      <c r="F91">
        <v>0.24</v>
      </c>
      <c r="G91">
        <v>0.38100000000000001</v>
      </c>
      <c r="H91">
        <v>0.51800000000000002</v>
      </c>
      <c r="I91">
        <v>0.72099999999999997</v>
      </c>
      <c r="J91">
        <v>0.79200000000000004</v>
      </c>
    </row>
    <row r="92" spans="1:10" x14ac:dyDescent="0.3">
      <c r="A92" t="s">
        <v>778</v>
      </c>
      <c r="B92">
        <v>0.40799999999999997</v>
      </c>
      <c r="C92">
        <v>0.20100000000000001</v>
      </c>
      <c r="D92">
        <v>5.8999999999999997E-2</v>
      </c>
      <c r="E92">
        <v>9.0999999999999998E-2</v>
      </c>
      <c r="F92">
        <v>0.25700000000000001</v>
      </c>
      <c r="G92">
        <v>0.40100000000000002</v>
      </c>
      <c r="H92">
        <v>0.54300000000000004</v>
      </c>
      <c r="I92">
        <v>0.76</v>
      </c>
      <c r="J92">
        <v>0.82499999999999996</v>
      </c>
    </row>
    <row r="93" spans="1:10" x14ac:dyDescent="0.3">
      <c r="A93" t="s">
        <v>779</v>
      </c>
      <c r="B93">
        <v>0.442</v>
      </c>
      <c r="C93">
        <v>0.20899999999999999</v>
      </c>
      <c r="D93">
        <v>6.3E-2</v>
      </c>
      <c r="E93">
        <v>9.8000000000000004E-2</v>
      </c>
      <c r="F93">
        <v>0.28699999999999998</v>
      </c>
      <c r="G93">
        <v>0.443</v>
      </c>
      <c r="H93">
        <v>0.58899999999999997</v>
      </c>
      <c r="I93">
        <v>0.79200000000000004</v>
      </c>
      <c r="J93">
        <v>0.84599999999999997</v>
      </c>
    </row>
    <row r="94" spans="1:10" x14ac:dyDescent="0.3">
      <c r="A94" t="s">
        <v>780</v>
      </c>
      <c r="B94">
        <v>0.42799999999999999</v>
      </c>
      <c r="C94">
        <v>0.20499999999999999</v>
      </c>
      <c r="D94">
        <v>7.0999999999999994E-2</v>
      </c>
      <c r="E94">
        <v>0.1</v>
      </c>
      <c r="F94">
        <v>0.27100000000000002</v>
      </c>
      <c r="G94">
        <v>0.42599999999999999</v>
      </c>
      <c r="H94">
        <v>0.57099999999999995</v>
      </c>
      <c r="I94">
        <v>0.78200000000000003</v>
      </c>
      <c r="J94">
        <v>0.83099999999999996</v>
      </c>
    </row>
    <row r="95" spans="1:10" x14ac:dyDescent="0.3">
      <c r="A95" t="s">
        <v>781</v>
      </c>
      <c r="B95">
        <v>0.47099999999999997</v>
      </c>
      <c r="C95">
        <v>0.216</v>
      </c>
      <c r="D95">
        <v>6.9000000000000006E-2</v>
      </c>
      <c r="E95">
        <v>0.104</v>
      </c>
      <c r="F95">
        <v>0.311</v>
      </c>
      <c r="G95">
        <v>0.47499999999999998</v>
      </c>
      <c r="H95">
        <v>0.63200000000000001</v>
      </c>
      <c r="I95">
        <v>0.81699999999999995</v>
      </c>
      <c r="J95">
        <v>0.871</v>
      </c>
    </row>
    <row r="96" spans="1:10" x14ac:dyDescent="0.3">
      <c r="A96" t="s">
        <v>782</v>
      </c>
      <c r="B96">
        <v>0.39</v>
      </c>
      <c r="C96">
        <v>0.19700000000000001</v>
      </c>
      <c r="D96">
        <v>6.0999999999999999E-2</v>
      </c>
      <c r="E96">
        <v>8.6999999999999994E-2</v>
      </c>
      <c r="F96">
        <v>0.23599999999999999</v>
      </c>
      <c r="G96">
        <v>0.378</v>
      </c>
      <c r="H96">
        <v>0.52800000000000002</v>
      </c>
      <c r="I96">
        <v>0.73799999999999999</v>
      </c>
      <c r="J96">
        <v>0.80700000000000005</v>
      </c>
    </row>
    <row r="97" spans="1:10" x14ac:dyDescent="0.3">
      <c r="A97" t="s">
        <v>783</v>
      </c>
      <c r="B97">
        <v>0.48699999999999999</v>
      </c>
      <c r="C97">
        <v>0.222</v>
      </c>
      <c r="D97">
        <v>7.5999999999999998E-2</v>
      </c>
      <c r="E97">
        <v>0.111</v>
      </c>
      <c r="F97">
        <v>0.32</v>
      </c>
      <c r="G97">
        <v>0.496</v>
      </c>
      <c r="H97">
        <v>0.65600000000000003</v>
      </c>
      <c r="I97">
        <v>0.84099999999999997</v>
      </c>
      <c r="J97">
        <v>0.88300000000000001</v>
      </c>
    </row>
    <row r="98" spans="1:10" x14ac:dyDescent="0.3">
      <c r="A98" t="s">
        <v>784</v>
      </c>
      <c r="B98">
        <v>0.503</v>
      </c>
      <c r="C98">
        <v>0.22500000000000001</v>
      </c>
      <c r="D98">
        <v>7.6999999999999999E-2</v>
      </c>
      <c r="E98">
        <v>0.112</v>
      </c>
      <c r="F98">
        <v>0.33300000000000002</v>
      </c>
      <c r="G98">
        <v>0.52400000000000002</v>
      </c>
      <c r="H98">
        <v>0.68</v>
      </c>
      <c r="I98">
        <v>0.84599999999999997</v>
      </c>
      <c r="J98">
        <v>0.88500000000000001</v>
      </c>
    </row>
    <row r="99" spans="1:10" x14ac:dyDescent="0.3">
      <c r="A99" t="s">
        <v>785</v>
      </c>
      <c r="B99">
        <v>0.51100000000000001</v>
      </c>
      <c r="C99">
        <v>0.22900000000000001</v>
      </c>
      <c r="D99">
        <v>7.0000000000000007E-2</v>
      </c>
      <c r="E99">
        <v>0.115</v>
      </c>
      <c r="F99">
        <v>0.33600000000000002</v>
      </c>
      <c r="G99">
        <v>0.53800000000000003</v>
      </c>
      <c r="H99">
        <v>0.68899999999999995</v>
      </c>
      <c r="I99">
        <v>0.86</v>
      </c>
      <c r="J99">
        <v>0.89800000000000002</v>
      </c>
    </row>
    <row r="100" spans="1:10" x14ac:dyDescent="0.3">
      <c r="A100" t="s">
        <v>786</v>
      </c>
      <c r="B100">
        <v>0.45200000000000001</v>
      </c>
      <c r="C100">
        <v>0.216</v>
      </c>
      <c r="D100">
        <v>6.9000000000000006E-2</v>
      </c>
      <c r="E100">
        <v>0.108</v>
      </c>
      <c r="F100">
        <v>0.28000000000000003</v>
      </c>
      <c r="G100">
        <v>0.45700000000000002</v>
      </c>
      <c r="H100">
        <v>0.61499999999999999</v>
      </c>
      <c r="I100">
        <v>0.81</v>
      </c>
      <c r="J100">
        <v>0.85499999999999998</v>
      </c>
    </row>
    <row r="101" spans="1:10" x14ac:dyDescent="0.3">
      <c r="A101" t="s">
        <v>787</v>
      </c>
      <c r="B101">
        <v>0.25</v>
      </c>
      <c r="C101">
        <v>0.16</v>
      </c>
      <c r="D101">
        <v>3.4000000000000002E-2</v>
      </c>
      <c r="E101">
        <v>4.8000000000000001E-2</v>
      </c>
      <c r="F101">
        <v>0.13</v>
      </c>
      <c r="G101">
        <v>0.222</v>
      </c>
      <c r="H101">
        <v>0.33300000000000002</v>
      </c>
      <c r="I101">
        <v>0.56899999999999995</v>
      </c>
      <c r="J101">
        <v>0.65600000000000003</v>
      </c>
    </row>
    <row r="102" spans="1:10" x14ac:dyDescent="0.3">
      <c r="A102" t="s">
        <v>788</v>
      </c>
      <c r="B102">
        <v>0.374</v>
      </c>
      <c r="C102">
        <v>0.19500000000000001</v>
      </c>
      <c r="D102">
        <v>5.0999999999999997E-2</v>
      </c>
      <c r="E102">
        <v>7.9000000000000001E-2</v>
      </c>
      <c r="F102">
        <v>0.22500000000000001</v>
      </c>
      <c r="G102">
        <v>0.36199999999999999</v>
      </c>
      <c r="H102">
        <v>0.503</v>
      </c>
      <c r="I102">
        <v>0.72899999999999998</v>
      </c>
      <c r="J102">
        <v>0.78500000000000003</v>
      </c>
    </row>
    <row r="103" spans="1:10" x14ac:dyDescent="0.3">
      <c r="A103" t="s">
        <v>789</v>
      </c>
      <c r="B103">
        <v>0.39300000000000002</v>
      </c>
      <c r="C103">
        <v>0.19900000000000001</v>
      </c>
      <c r="D103">
        <v>5.8999999999999997E-2</v>
      </c>
      <c r="E103">
        <v>8.5999999999999993E-2</v>
      </c>
      <c r="F103">
        <v>0.23899999999999999</v>
      </c>
      <c r="G103">
        <v>0.38200000000000001</v>
      </c>
      <c r="H103">
        <v>0.53</v>
      </c>
      <c r="I103">
        <v>0.745</v>
      </c>
      <c r="J103">
        <v>0.81499999999999995</v>
      </c>
    </row>
    <row r="104" spans="1:10" x14ac:dyDescent="0.3">
      <c r="A104" t="s">
        <v>790</v>
      </c>
      <c r="B104">
        <v>0.39800000000000002</v>
      </c>
      <c r="C104">
        <v>0.19600000000000001</v>
      </c>
      <c r="D104">
        <v>0.06</v>
      </c>
      <c r="E104">
        <v>9.2999999999999999E-2</v>
      </c>
      <c r="F104">
        <v>0.249</v>
      </c>
      <c r="G104">
        <v>0.39</v>
      </c>
      <c r="H104">
        <v>0.52900000000000003</v>
      </c>
      <c r="I104">
        <v>0.748</v>
      </c>
      <c r="J104">
        <v>0.81100000000000005</v>
      </c>
    </row>
    <row r="105" spans="1:10" x14ac:dyDescent="0.3">
      <c r="A105" t="s">
        <v>791</v>
      </c>
      <c r="B105">
        <v>0.33300000000000002</v>
      </c>
      <c r="C105">
        <v>0.112</v>
      </c>
      <c r="D105">
        <v>0.113</v>
      </c>
      <c r="E105">
        <v>0.14699999999999999</v>
      </c>
      <c r="F105">
        <v>0.25900000000000001</v>
      </c>
      <c r="G105">
        <v>0.33100000000000002</v>
      </c>
      <c r="H105">
        <v>0.40899999999999997</v>
      </c>
      <c r="I105">
        <v>0.51800000000000002</v>
      </c>
      <c r="J105">
        <v>0.54800000000000004</v>
      </c>
    </row>
    <row r="106" spans="1:10" x14ac:dyDescent="0.3">
      <c r="A106" t="s">
        <v>792</v>
      </c>
      <c r="B106">
        <v>0.22700000000000001</v>
      </c>
      <c r="C106">
        <v>0.15</v>
      </c>
      <c r="D106">
        <v>1.7999999999999999E-2</v>
      </c>
      <c r="E106">
        <v>0.03</v>
      </c>
      <c r="F106">
        <v>0.104</v>
      </c>
      <c r="G106">
        <v>0.20399999999999999</v>
      </c>
      <c r="H106">
        <v>0.32100000000000001</v>
      </c>
      <c r="I106">
        <v>0.499</v>
      </c>
      <c r="J106">
        <v>0.55900000000000005</v>
      </c>
    </row>
    <row r="107" spans="1:10" x14ac:dyDescent="0.3">
      <c r="A107" t="s">
        <v>793</v>
      </c>
      <c r="B107">
        <v>0.26400000000000001</v>
      </c>
      <c r="C107">
        <v>0.16300000000000001</v>
      </c>
      <c r="D107">
        <v>2.5999999999999999E-2</v>
      </c>
      <c r="E107">
        <v>4.1000000000000002E-2</v>
      </c>
      <c r="F107">
        <v>0.13400000000000001</v>
      </c>
      <c r="G107">
        <v>0.24199999999999999</v>
      </c>
      <c r="H107">
        <v>0.371</v>
      </c>
      <c r="I107">
        <v>0.56299999999999994</v>
      </c>
      <c r="J107">
        <v>0.61799999999999999</v>
      </c>
    </row>
    <row r="108" spans="1:10" x14ac:dyDescent="0.3">
      <c r="A108" t="s">
        <v>794</v>
      </c>
      <c r="B108">
        <v>0.23699999999999999</v>
      </c>
      <c r="C108">
        <v>0.14699999999999999</v>
      </c>
      <c r="D108">
        <v>2.4E-2</v>
      </c>
      <c r="E108">
        <v>3.6999999999999998E-2</v>
      </c>
      <c r="F108">
        <v>0.11600000000000001</v>
      </c>
      <c r="G108">
        <v>0.22</v>
      </c>
      <c r="H108">
        <v>0.33</v>
      </c>
      <c r="I108">
        <v>0.50600000000000001</v>
      </c>
      <c r="J108">
        <v>0.55700000000000005</v>
      </c>
    </row>
    <row r="109" spans="1:10" x14ac:dyDescent="0.3">
      <c r="A109" t="s">
        <v>795</v>
      </c>
      <c r="B109">
        <v>0.435</v>
      </c>
      <c r="C109">
        <v>0.218</v>
      </c>
      <c r="D109">
        <v>4.4999999999999998E-2</v>
      </c>
      <c r="E109">
        <v>7.2999999999999995E-2</v>
      </c>
      <c r="F109">
        <v>0.26300000000000001</v>
      </c>
      <c r="G109">
        <v>0.45200000000000001</v>
      </c>
      <c r="H109">
        <v>0.60599999999999998</v>
      </c>
      <c r="I109">
        <v>0.77300000000000002</v>
      </c>
      <c r="J109">
        <v>0.82699999999999996</v>
      </c>
    </row>
    <row r="110" spans="1:10" x14ac:dyDescent="0.3">
      <c r="A110" t="s">
        <v>796</v>
      </c>
      <c r="B110">
        <v>0.38400000000000001</v>
      </c>
      <c r="C110">
        <v>0.20399999999999999</v>
      </c>
      <c r="D110">
        <v>3.6999999999999998E-2</v>
      </c>
      <c r="E110">
        <v>6.2E-2</v>
      </c>
      <c r="F110">
        <v>0.221</v>
      </c>
      <c r="G110">
        <v>0.379</v>
      </c>
      <c r="H110">
        <v>0.53100000000000003</v>
      </c>
      <c r="I110">
        <v>0.73399999999999999</v>
      </c>
      <c r="J110">
        <v>0.79600000000000004</v>
      </c>
    </row>
    <row r="111" spans="1:10" x14ac:dyDescent="0.3">
      <c r="A111" t="s">
        <v>797</v>
      </c>
      <c r="B111">
        <v>0.32900000000000001</v>
      </c>
      <c r="C111">
        <v>0.184</v>
      </c>
      <c r="D111">
        <v>3.4000000000000002E-2</v>
      </c>
      <c r="E111">
        <v>5.3999999999999999E-2</v>
      </c>
      <c r="F111">
        <v>0.18099999999999999</v>
      </c>
      <c r="G111">
        <v>0.31900000000000001</v>
      </c>
      <c r="H111">
        <v>0.45500000000000002</v>
      </c>
      <c r="I111">
        <v>0.65100000000000002</v>
      </c>
      <c r="J111">
        <v>0.73099999999999998</v>
      </c>
    </row>
    <row r="112" spans="1:10" x14ac:dyDescent="0.3">
      <c r="A112" t="s">
        <v>798</v>
      </c>
      <c r="B112">
        <v>0.66600000000000004</v>
      </c>
      <c r="C112">
        <v>0.22700000000000001</v>
      </c>
      <c r="D112">
        <v>4.5999999999999999E-2</v>
      </c>
      <c r="E112">
        <v>0.10100000000000001</v>
      </c>
      <c r="F112">
        <v>0.60299999999999998</v>
      </c>
      <c r="G112">
        <v>0.72699999999999998</v>
      </c>
      <c r="H112">
        <v>0.81899999999999995</v>
      </c>
      <c r="I112">
        <v>0.91500000000000004</v>
      </c>
      <c r="J112">
        <v>0.93100000000000005</v>
      </c>
    </row>
    <row r="113" spans="1:10" x14ac:dyDescent="0.3">
      <c r="A113" t="s">
        <v>799</v>
      </c>
      <c r="B113">
        <v>0.186</v>
      </c>
      <c r="C113">
        <v>0.12</v>
      </c>
      <c r="D113">
        <v>1.9E-2</v>
      </c>
      <c r="E113">
        <v>2.9000000000000001E-2</v>
      </c>
      <c r="F113">
        <v>9.0999999999999998E-2</v>
      </c>
      <c r="G113">
        <v>0.16500000000000001</v>
      </c>
      <c r="H113">
        <v>0.26</v>
      </c>
      <c r="I113">
        <v>0.41099999999999998</v>
      </c>
      <c r="J113">
        <v>0.45800000000000002</v>
      </c>
    </row>
    <row r="114" spans="1:10" x14ac:dyDescent="0.3">
      <c r="A114" t="s">
        <v>800</v>
      </c>
      <c r="B114">
        <v>0.31</v>
      </c>
      <c r="C114">
        <v>0.18</v>
      </c>
      <c r="D114">
        <v>2.9000000000000001E-2</v>
      </c>
      <c r="E114">
        <v>4.7E-2</v>
      </c>
      <c r="F114">
        <v>0.16900000000000001</v>
      </c>
      <c r="G114">
        <v>0.29499999999999998</v>
      </c>
      <c r="H114">
        <v>0.43099999999999999</v>
      </c>
      <c r="I114">
        <v>0.64200000000000002</v>
      </c>
      <c r="J114">
        <v>0.7</v>
      </c>
    </row>
    <row r="115" spans="1:10" x14ac:dyDescent="0.3">
      <c r="A115" t="s">
        <v>801</v>
      </c>
      <c r="B115">
        <v>0.32100000000000001</v>
      </c>
      <c r="C115">
        <v>0.17899999999999999</v>
      </c>
      <c r="D115">
        <v>3.3000000000000002E-2</v>
      </c>
      <c r="E115">
        <v>5.1999999999999998E-2</v>
      </c>
      <c r="F115">
        <v>0.18099999999999999</v>
      </c>
      <c r="G115">
        <v>0.308</v>
      </c>
      <c r="H115">
        <v>0.443</v>
      </c>
      <c r="I115">
        <v>0.63600000000000001</v>
      </c>
      <c r="J115">
        <v>0.69599999999999995</v>
      </c>
    </row>
    <row r="116" spans="1:10" x14ac:dyDescent="0.3">
      <c r="A116" t="s">
        <v>802</v>
      </c>
      <c r="B116">
        <v>0.311</v>
      </c>
      <c r="C116">
        <v>0.17599999999999999</v>
      </c>
      <c r="D116">
        <v>3.1E-2</v>
      </c>
      <c r="E116">
        <v>4.9000000000000002E-2</v>
      </c>
      <c r="F116">
        <v>0.17</v>
      </c>
      <c r="G116">
        <v>0.30099999999999999</v>
      </c>
      <c r="H116">
        <v>0.433</v>
      </c>
      <c r="I116">
        <v>0.62</v>
      </c>
      <c r="J116">
        <v>0.69299999999999995</v>
      </c>
    </row>
    <row r="117" spans="1:10" x14ac:dyDescent="0.3">
      <c r="A117" t="s">
        <v>803</v>
      </c>
      <c r="B117">
        <v>0.29699999999999999</v>
      </c>
      <c r="C117">
        <v>0.17100000000000001</v>
      </c>
      <c r="D117">
        <v>0.03</v>
      </c>
      <c r="E117">
        <v>4.8000000000000001E-2</v>
      </c>
      <c r="F117">
        <v>0.16</v>
      </c>
      <c r="G117">
        <v>0.28399999999999997</v>
      </c>
      <c r="H117">
        <v>0.41299999999999998</v>
      </c>
      <c r="I117">
        <v>0.60199999999999998</v>
      </c>
      <c r="J117">
        <v>0.66200000000000003</v>
      </c>
    </row>
    <row r="118" spans="1:10" x14ac:dyDescent="0.3">
      <c r="A118" t="s">
        <v>804</v>
      </c>
      <c r="B118">
        <v>0.30299999999999999</v>
      </c>
      <c r="C118">
        <v>0.17299999999999999</v>
      </c>
      <c r="D118">
        <v>0.03</v>
      </c>
      <c r="E118">
        <v>0.05</v>
      </c>
      <c r="F118">
        <v>0.16400000000000001</v>
      </c>
      <c r="G118">
        <v>0.28999999999999998</v>
      </c>
      <c r="H118">
        <v>0.42099999999999999</v>
      </c>
      <c r="I118">
        <v>0.61399999999999999</v>
      </c>
      <c r="J118">
        <v>0.67400000000000004</v>
      </c>
    </row>
    <row r="119" spans="1:10" x14ac:dyDescent="0.3">
      <c r="A119" t="s">
        <v>805</v>
      </c>
      <c r="B119">
        <v>0.246</v>
      </c>
      <c r="C119">
        <v>0.153</v>
      </c>
      <c r="D119">
        <v>2.5000000000000001E-2</v>
      </c>
      <c r="E119">
        <v>3.9E-2</v>
      </c>
      <c r="F119">
        <v>0.125</v>
      </c>
      <c r="G119">
        <v>0.22700000000000001</v>
      </c>
      <c r="H119">
        <v>0.34799999999999998</v>
      </c>
      <c r="I119">
        <v>0.51900000000000002</v>
      </c>
      <c r="J119">
        <v>0.57999999999999996</v>
      </c>
    </row>
    <row r="120" spans="1:10" x14ac:dyDescent="0.3">
      <c r="A120" t="s">
        <v>806</v>
      </c>
      <c r="B120">
        <v>0.34499999999999997</v>
      </c>
      <c r="C120">
        <v>0.187</v>
      </c>
      <c r="D120">
        <v>3.6999999999999998E-2</v>
      </c>
      <c r="E120">
        <v>5.7000000000000002E-2</v>
      </c>
      <c r="F120">
        <v>0.19700000000000001</v>
      </c>
      <c r="G120">
        <v>0.33900000000000002</v>
      </c>
      <c r="H120">
        <v>0.48</v>
      </c>
      <c r="I120">
        <v>0.67</v>
      </c>
      <c r="J120">
        <v>0.72899999999999998</v>
      </c>
    </row>
    <row r="121" spans="1:10" x14ac:dyDescent="0.3">
      <c r="A121" t="s">
        <v>807</v>
      </c>
      <c r="B121">
        <v>0.22</v>
      </c>
      <c r="C121">
        <v>0.14199999999999999</v>
      </c>
      <c r="D121">
        <v>2.4E-2</v>
      </c>
      <c r="E121">
        <v>3.5000000000000003E-2</v>
      </c>
      <c r="F121">
        <v>0.107</v>
      </c>
      <c r="G121">
        <v>0.192</v>
      </c>
      <c r="H121">
        <v>0.31</v>
      </c>
      <c r="I121">
        <v>0.48499999999999999</v>
      </c>
      <c r="J121">
        <v>0.54700000000000004</v>
      </c>
    </row>
    <row r="122" spans="1:10" x14ac:dyDescent="0.3">
      <c r="A122" t="s">
        <v>808</v>
      </c>
      <c r="B122">
        <v>0.20699999999999999</v>
      </c>
      <c r="C122">
        <v>0.13400000000000001</v>
      </c>
      <c r="D122">
        <v>2.1000000000000001E-2</v>
      </c>
      <c r="E122">
        <v>3.3000000000000002E-2</v>
      </c>
      <c r="F122">
        <v>0.10199999999999999</v>
      </c>
      <c r="G122">
        <v>0.189</v>
      </c>
      <c r="H122">
        <v>0.29099999999999998</v>
      </c>
      <c r="I122">
        <v>0.44600000000000001</v>
      </c>
      <c r="J122">
        <v>0.51100000000000001</v>
      </c>
    </row>
    <row r="123" spans="1:10" x14ac:dyDescent="0.3">
      <c r="A123" t="s">
        <v>809</v>
      </c>
      <c r="B123">
        <v>0.191</v>
      </c>
      <c r="C123">
        <v>0.125</v>
      </c>
      <c r="D123">
        <v>2.1000000000000001E-2</v>
      </c>
      <c r="E123">
        <v>3.1E-2</v>
      </c>
      <c r="F123">
        <v>9.2999999999999999E-2</v>
      </c>
      <c r="G123">
        <v>0.17</v>
      </c>
      <c r="H123">
        <v>0.26900000000000002</v>
      </c>
      <c r="I123">
        <v>0.42499999999999999</v>
      </c>
      <c r="J123">
        <v>0.48199999999999998</v>
      </c>
    </row>
    <row r="124" spans="1:10" x14ac:dyDescent="0.3">
      <c r="A124" t="s">
        <v>810</v>
      </c>
      <c r="B124">
        <v>0.245</v>
      </c>
      <c r="C124">
        <v>0.154</v>
      </c>
      <c r="D124">
        <v>2.5999999999999999E-2</v>
      </c>
      <c r="E124">
        <v>0.04</v>
      </c>
      <c r="F124">
        <v>0.123</v>
      </c>
      <c r="G124">
        <v>0.223</v>
      </c>
      <c r="H124">
        <v>0.34100000000000003</v>
      </c>
      <c r="I124">
        <v>0.53300000000000003</v>
      </c>
      <c r="J124">
        <v>0.59499999999999997</v>
      </c>
    </row>
    <row r="125" spans="1:10" x14ac:dyDescent="0.3">
      <c r="A125" t="s">
        <v>811</v>
      </c>
      <c r="B125">
        <v>0.47799999999999998</v>
      </c>
      <c r="C125">
        <v>0.223</v>
      </c>
      <c r="D125">
        <v>4.7E-2</v>
      </c>
      <c r="E125">
        <v>7.8E-2</v>
      </c>
      <c r="F125">
        <v>0.314</v>
      </c>
      <c r="G125">
        <v>0.502</v>
      </c>
      <c r="H125">
        <v>0.64800000000000002</v>
      </c>
      <c r="I125">
        <v>0.81799999999999995</v>
      </c>
      <c r="J125">
        <v>0.85599999999999998</v>
      </c>
    </row>
    <row r="126" spans="1:10" x14ac:dyDescent="0.3">
      <c r="A126" t="s">
        <v>812</v>
      </c>
      <c r="B126">
        <v>0.373</v>
      </c>
      <c r="C126">
        <v>0.19600000000000001</v>
      </c>
      <c r="D126">
        <v>4.1000000000000002E-2</v>
      </c>
      <c r="E126">
        <v>6.3E-2</v>
      </c>
      <c r="F126">
        <v>0.22500000000000001</v>
      </c>
      <c r="G126">
        <v>0.36899999999999999</v>
      </c>
      <c r="H126">
        <v>0.50900000000000001</v>
      </c>
      <c r="I126">
        <v>0.70599999999999996</v>
      </c>
      <c r="J126">
        <v>0.76600000000000001</v>
      </c>
    </row>
    <row r="127" spans="1:10" x14ac:dyDescent="0.3">
      <c r="A127" t="s">
        <v>813</v>
      </c>
      <c r="B127">
        <v>0.34200000000000003</v>
      </c>
      <c r="C127">
        <v>0.189</v>
      </c>
      <c r="D127">
        <v>3.5999999999999997E-2</v>
      </c>
      <c r="E127">
        <v>5.7000000000000002E-2</v>
      </c>
      <c r="F127">
        <v>0.192</v>
      </c>
      <c r="G127">
        <v>0.33500000000000002</v>
      </c>
      <c r="H127">
        <v>0.47499999999999998</v>
      </c>
      <c r="I127">
        <v>0.66400000000000003</v>
      </c>
      <c r="J127">
        <v>0.74</v>
      </c>
    </row>
    <row r="128" spans="1:10" x14ac:dyDescent="0.3">
      <c r="A128" t="s">
        <v>814</v>
      </c>
      <c r="B128">
        <v>0.33400000000000002</v>
      </c>
      <c r="C128">
        <v>0.183</v>
      </c>
      <c r="D128">
        <v>3.7999999999999999E-2</v>
      </c>
      <c r="E128">
        <v>5.8000000000000003E-2</v>
      </c>
      <c r="F128">
        <v>0.19</v>
      </c>
      <c r="G128">
        <v>0.33100000000000002</v>
      </c>
      <c r="H128">
        <v>0.45900000000000002</v>
      </c>
      <c r="I128">
        <v>0.64700000000000002</v>
      </c>
      <c r="J128">
        <v>0.72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41"/>
  <sheetViews>
    <sheetView workbookViewId="0"/>
  </sheetViews>
  <sheetFormatPr defaultRowHeight="16.5" x14ac:dyDescent="0.3"/>
  <sheetData>
    <row r="2" spans="1:1" x14ac:dyDescent="0.3">
      <c r="A2" t="s">
        <v>427</v>
      </c>
    </row>
    <row r="3" spans="1:1" x14ac:dyDescent="0.3">
      <c r="A3" t="s">
        <v>694</v>
      </c>
    </row>
    <row r="4" spans="1:1" x14ac:dyDescent="0.3">
      <c r="A4" t="s">
        <v>427</v>
      </c>
    </row>
    <row r="6" spans="1:1" x14ac:dyDescent="0.3">
      <c r="A6" t="s">
        <v>693</v>
      </c>
    </row>
    <row r="9" spans="1:1" x14ac:dyDescent="0.3">
      <c r="A9" t="s">
        <v>692</v>
      </c>
    </row>
    <row r="11" spans="1:1" x14ac:dyDescent="0.3">
      <c r="A11" t="s">
        <v>690</v>
      </c>
    </row>
    <row r="12" spans="1:1" x14ac:dyDescent="0.3">
      <c r="A12" t="s">
        <v>691</v>
      </c>
    </row>
    <row r="14" spans="1:1" x14ac:dyDescent="0.3">
      <c r="A14" t="s">
        <v>690</v>
      </c>
    </row>
    <row r="15" spans="1:1" x14ac:dyDescent="0.3">
      <c r="A15" t="s">
        <v>689</v>
      </c>
    </row>
    <row r="18" spans="1:1" x14ac:dyDescent="0.3">
      <c r="A18" t="s">
        <v>688</v>
      </c>
    </row>
    <row r="20" spans="1:1" x14ac:dyDescent="0.3">
      <c r="A20" t="s">
        <v>687</v>
      </c>
    </row>
    <row r="21" spans="1:1" x14ac:dyDescent="0.3">
      <c r="A21" t="s">
        <v>686</v>
      </c>
    </row>
    <row r="22" spans="1:1" x14ac:dyDescent="0.3">
      <c r="A22" t="s">
        <v>685</v>
      </c>
    </row>
    <row r="23" spans="1:1" x14ac:dyDescent="0.3">
      <c r="A23" t="s">
        <v>684</v>
      </c>
    </row>
    <row r="24" spans="1:1" x14ac:dyDescent="0.3">
      <c r="A24" t="s">
        <v>683</v>
      </c>
    </row>
    <row r="25" spans="1:1" x14ac:dyDescent="0.3">
      <c r="A25" t="s">
        <v>682</v>
      </c>
    </row>
    <row r="26" spans="1:1" x14ac:dyDescent="0.3">
      <c r="A26" t="s">
        <v>681</v>
      </c>
    </row>
    <row r="27" spans="1:1" x14ac:dyDescent="0.3">
      <c r="A27" t="s">
        <v>680</v>
      </c>
    </row>
    <row r="28" spans="1:1" x14ac:dyDescent="0.3">
      <c r="A28" t="s">
        <v>679</v>
      </c>
    </row>
    <row r="29" spans="1:1" x14ac:dyDescent="0.3">
      <c r="A29" t="s">
        <v>678</v>
      </c>
    </row>
    <row r="30" spans="1:1" x14ac:dyDescent="0.3">
      <c r="A30" t="s">
        <v>677</v>
      </c>
    </row>
    <row r="33" spans="1:1" x14ac:dyDescent="0.3">
      <c r="A33" t="s">
        <v>676</v>
      </c>
    </row>
    <row r="35" spans="1:1" x14ac:dyDescent="0.3">
      <c r="A35" t="s">
        <v>675</v>
      </c>
    </row>
    <row r="36" spans="1:1" x14ac:dyDescent="0.3">
      <c r="A36" t="s">
        <v>674</v>
      </c>
    </row>
    <row r="37" spans="1:1" x14ac:dyDescent="0.3">
      <c r="A37" t="s">
        <v>673</v>
      </c>
    </row>
    <row r="38" spans="1:1" x14ac:dyDescent="0.3">
      <c r="A38" t="s">
        <v>672</v>
      </c>
    </row>
    <row r="39" spans="1:1" x14ac:dyDescent="0.3">
      <c r="A39" t="s">
        <v>671</v>
      </c>
    </row>
    <row r="40" spans="1:1" x14ac:dyDescent="0.3">
      <c r="A40" t="s">
        <v>670</v>
      </c>
    </row>
    <row r="41" spans="1:1" x14ac:dyDescent="0.3">
      <c r="A41" t="s">
        <v>669</v>
      </c>
    </row>
    <row r="42" spans="1:1" x14ac:dyDescent="0.3">
      <c r="A42" t="s">
        <v>668</v>
      </c>
    </row>
    <row r="43" spans="1:1" x14ac:dyDescent="0.3">
      <c r="A43" t="s">
        <v>667</v>
      </c>
    </row>
    <row r="44" spans="1:1" x14ac:dyDescent="0.3">
      <c r="A44" t="s">
        <v>666</v>
      </c>
    </row>
    <row r="45" spans="1:1" x14ac:dyDescent="0.3">
      <c r="A45" t="s">
        <v>665</v>
      </c>
    </row>
    <row r="46" spans="1:1" x14ac:dyDescent="0.3">
      <c r="A46" t="s">
        <v>664</v>
      </c>
    </row>
    <row r="47" spans="1:1" x14ac:dyDescent="0.3">
      <c r="A47" t="s">
        <v>663</v>
      </c>
    </row>
    <row r="48" spans="1:1" x14ac:dyDescent="0.3">
      <c r="A48" t="s">
        <v>662</v>
      </c>
    </row>
    <row r="49" spans="1:1" x14ac:dyDescent="0.3">
      <c r="A49" t="s">
        <v>661</v>
      </c>
    </row>
    <row r="50" spans="1:1" x14ac:dyDescent="0.3">
      <c r="A50" t="s">
        <v>660</v>
      </c>
    </row>
    <row r="51" spans="1:1" x14ac:dyDescent="0.3">
      <c r="A51" t="s">
        <v>659</v>
      </c>
    </row>
    <row r="52" spans="1:1" x14ac:dyDescent="0.3">
      <c r="A52" t="s">
        <v>658</v>
      </c>
    </row>
    <row r="53" spans="1:1" x14ac:dyDescent="0.3">
      <c r="A53" t="s">
        <v>657</v>
      </c>
    </row>
    <row r="54" spans="1:1" x14ac:dyDescent="0.3">
      <c r="A54" t="s">
        <v>656</v>
      </c>
    </row>
    <row r="55" spans="1:1" x14ac:dyDescent="0.3">
      <c r="A55" t="s">
        <v>655</v>
      </c>
    </row>
    <row r="56" spans="1:1" x14ac:dyDescent="0.3">
      <c r="A56" t="s">
        <v>654</v>
      </c>
    </row>
    <row r="57" spans="1:1" x14ac:dyDescent="0.3">
      <c r="A57" t="s">
        <v>653</v>
      </c>
    </row>
    <row r="58" spans="1:1" x14ac:dyDescent="0.3">
      <c r="A58" t="s">
        <v>652</v>
      </c>
    </row>
    <row r="59" spans="1:1" x14ac:dyDescent="0.3">
      <c r="A59" t="s">
        <v>651</v>
      </c>
    </row>
    <row r="60" spans="1:1" x14ac:dyDescent="0.3">
      <c r="A60" t="s">
        <v>650</v>
      </c>
    </row>
    <row r="61" spans="1:1" x14ac:dyDescent="0.3">
      <c r="A61" t="s">
        <v>649</v>
      </c>
    </row>
    <row r="62" spans="1:1" x14ac:dyDescent="0.3">
      <c r="A62" t="s">
        <v>648</v>
      </c>
    </row>
    <row r="63" spans="1:1" x14ac:dyDescent="0.3">
      <c r="A63" t="s">
        <v>647</v>
      </c>
    </row>
    <row r="64" spans="1:1" x14ac:dyDescent="0.3">
      <c r="A64" t="s">
        <v>646</v>
      </c>
    </row>
    <row r="65" spans="1:1" x14ac:dyDescent="0.3">
      <c r="A65" t="s">
        <v>645</v>
      </c>
    </row>
    <row r="66" spans="1:1" x14ac:dyDescent="0.3">
      <c r="A66" t="s">
        <v>644</v>
      </c>
    </row>
    <row r="67" spans="1:1" x14ac:dyDescent="0.3">
      <c r="A67" t="s">
        <v>643</v>
      </c>
    </row>
    <row r="68" spans="1:1" x14ac:dyDescent="0.3">
      <c r="A68" t="s">
        <v>642</v>
      </c>
    </row>
    <row r="69" spans="1:1" x14ac:dyDescent="0.3">
      <c r="A69" t="s">
        <v>641</v>
      </c>
    </row>
    <row r="70" spans="1:1" x14ac:dyDescent="0.3">
      <c r="A70" t="s">
        <v>640</v>
      </c>
    </row>
    <row r="71" spans="1:1" x14ac:dyDescent="0.3">
      <c r="A71" t="s">
        <v>639</v>
      </c>
    </row>
    <row r="72" spans="1:1" x14ac:dyDescent="0.3">
      <c r="A72" t="s">
        <v>638</v>
      </c>
    </row>
    <row r="73" spans="1:1" x14ac:dyDescent="0.3">
      <c r="A73" t="s">
        <v>637</v>
      </c>
    </row>
    <row r="74" spans="1:1" x14ac:dyDescent="0.3">
      <c r="A74" t="s">
        <v>636</v>
      </c>
    </row>
    <row r="75" spans="1:1" x14ac:dyDescent="0.3">
      <c r="A75" t="s">
        <v>635</v>
      </c>
    </row>
    <row r="76" spans="1:1" x14ac:dyDescent="0.3">
      <c r="A76" t="s">
        <v>634</v>
      </c>
    </row>
    <row r="77" spans="1:1" x14ac:dyDescent="0.3">
      <c r="A77" t="s">
        <v>633</v>
      </c>
    </row>
    <row r="78" spans="1:1" x14ac:dyDescent="0.3">
      <c r="A78" t="s">
        <v>632</v>
      </c>
    </row>
    <row r="79" spans="1:1" x14ac:dyDescent="0.3">
      <c r="A79" t="s">
        <v>631</v>
      </c>
    </row>
    <row r="80" spans="1:1" x14ac:dyDescent="0.3">
      <c r="A80" t="s">
        <v>630</v>
      </c>
    </row>
    <row r="81" spans="1:1" x14ac:dyDescent="0.3">
      <c r="A81" t="s">
        <v>629</v>
      </c>
    </row>
    <row r="82" spans="1:1" x14ac:dyDescent="0.3">
      <c r="A82" t="s">
        <v>628</v>
      </c>
    </row>
    <row r="83" spans="1:1" x14ac:dyDescent="0.3">
      <c r="A83" t="s">
        <v>627</v>
      </c>
    </row>
    <row r="84" spans="1:1" x14ac:dyDescent="0.3">
      <c r="A84" t="s">
        <v>626</v>
      </c>
    </row>
    <row r="85" spans="1:1" x14ac:dyDescent="0.3">
      <c r="A85" t="s">
        <v>625</v>
      </c>
    </row>
    <row r="86" spans="1:1" x14ac:dyDescent="0.3">
      <c r="A86" t="s">
        <v>624</v>
      </c>
    </row>
    <row r="87" spans="1:1" x14ac:dyDescent="0.3">
      <c r="A87" t="s">
        <v>623</v>
      </c>
    </row>
    <row r="88" spans="1:1" x14ac:dyDescent="0.3">
      <c r="A88" t="s">
        <v>622</v>
      </c>
    </row>
    <row r="89" spans="1:1" x14ac:dyDescent="0.3">
      <c r="A89" t="s">
        <v>621</v>
      </c>
    </row>
    <row r="90" spans="1:1" x14ac:dyDescent="0.3">
      <c r="A90" t="s">
        <v>620</v>
      </c>
    </row>
    <row r="91" spans="1:1" x14ac:dyDescent="0.3">
      <c r="A91" t="s">
        <v>619</v>
      </c>
    </row>
    <row r="92" spans="1:1" x14ac:dyDescent="0.3">
      <c r="A92" t="s">
        <v>618</v>
      </c>
    </row>
    <row r="93" spans="1:1" x14ac:dyDescent="0.3">
      <c r="A93" t="s">
        <v>617</v>
      </c>
    </row>
    <row r="94" spans="1:1" x14ac:dyDescent="0.3">
      <c r="A94" t="s">
        <v>616</v>
      </c>
    </row>
    <row r="95" spans="1:1" x14ac:dyDescent="0.3">
      <c r="A95" t="s">
        <v>615</v>
      </c>
    </row>
    <row r="96" spans="1:1" x14ac:dyDescent="0.3">
      <c r="A96" t="s">
        <v>614</v>
      </c>
    </row>
    <row r="97" spans="1:1" x14ac:dyDescent="0.3">
      <c r="A97" t="s">
        <v>613</v>
      </c>
    </row>
    <row r="98" spans="1:1" x14ac:dyDescent="0.3">
      <c r="A98" t="s">
        <v>612</v>
      </c>
    </row>
    <row r="99" spans="1:1" x14ac:dyDescent="0.3">
      <c r="A99" t="s">
        <v>611</v>
      </c>
    </row>
    <row r="100" spans="1:1" x14ac:dyDescent="0.3">
      <c r="A100" t="s">
        <v>610</v>
      </c>
    </row>
    <row r="101" spans="1:1" x14ac:dyDescent="0.3">
      <c r="A101" t="s">
        <v>609</v>
      </c>
    </row>
    <row r="102" spans="1:1" x14ac:dyDescent="0.3">
      <c r="A102" t="s">
        <v>608</v>
      </c>
    </row>
    <row r="103" spans="1:1" x14ac:dyDescent="0.3">
      <c r="A103" t="s">
        <v>607</v>
      </c>
    </row>
    <row r="104" spans="1:1" x14ac:dyDescent="0.3">
      <c r="A104" t="s">
        <v>606</v>
      </c>
    </row>
    <row r="105" spans="1:1" x14ac:dyDescent="0.3">
      <c r="A105" t="s">
        <v>605</v>
      </c>
    </row>
    <row r="106" spans="1:1" x14ac:dyDescent="0.3">
      <c r="A106" t="s">
        <v>604</v>
      </c>
    </row>
    <row r="107" spans="1:1" x14ac:dyDescent="0.3">
      <c r="A107" t="s">
        <v>603</v>
      </c>
    </row>
    <row r="108" spans="1:1" x14ac:dyDescent="0.3">
      <c r="A108" t="s">
        <v>602</v>
      </c>
    </row>
    <row r="109" spans="1:1" x14ac:dyDescent="0.3">
      <c r="A109" t="s">
        <v>601</v>
      </c>
    </row>
    <row r="110" spans="1:1" x14ac:dyDescent="0.3">
      <c r="A110" t="s">
        <v>600</v>
      </c>
    </row>
    <row r="111" spans="1:1" x14ac:dyDescent="0.3">
      <c r="A111" t="s">
        <v>599</v>
      </c>
    </row>
    <row r="112" spans="1:1" x14ac:dyDescent="0.3">
      <c r="A112" t="s">
        <v>598</v>
      </c>
    </row>
    <row r="113" spans="1:1" x14ac:dyDescent="0.3">
      <c r="A113" t="s">
        <v>597</v>
      </c>
    </row>
    <row r="114" spans="1:1" x14ac:dyDescent="0.3">
      <c r="A114" t="s">
        <v>596</v>
      </c>
    </row>
    <row r="115" spans="1:1" x14ac:dyDescent="0.3">
      <c r="A115" t="s">
        <v>595</v>
      </c>
    </row>
    <row r="116" spans="1:1" x14ac:dyDescent="0.3">
      <c r="A116" t="s">
        <v>594</v>
      </c>
    </row>
    <row r="117" spans="1:1" x14ac:dyDescent="0.3">
      <c r="A117" t="s">
        <v>593</v>
      </c>
    </row>
    <row r="118" spans="1:1" x14ac:dyDescent="0.3">
      <c r="A118" t="s">
        <v>592</v>
      </c>
    </row>
    <row r="119" spans="1:1" x14ac:dyDescent="0.3">
      <c r="A119" t="s">
        <v>591</v>
      </c>
    </row>
    <row r="120" spans="1:1" x14ac:dyDescent="0.3">
      <c r="A120" t="s">
        <v>590</v>
      </c>
    </row>
    <row r="121" spans="1:1" x14ac:dyDescent="0.3">
      <c r="A121" t="s">
        <v>589</v>
      </c>
    </row>
    <row r="122" spans="1:1" x14ac:dyDescent="0.3">
      <c r="A122" t="s">
        <v>588</v>
      </c>
    </row>
    <row r="123" spans="1:1" x14ac:dyDescent="0.3">
      <c r="A123" t="s">
        <v>587</v>
      </c>
    </row>
    <row r="124" spans="1:1" x14ac:dyDescent="0.3">
      <c r="A124" t="s">
        <v>586</v>
      </c>
    </row>
    <row r="125" spans="1:1" x14ac:dyDescent="0.3">
      <c r="A125" t="s">
        <v>585</v>
      </c>
    </row>
    <row r="126" spans="1:1" x14ac:dyDescent="0.3">
      <c r="A126" t="s">
        <v>584</v>
      </c>
    </row>
    <row r="127" spans="1:1" x14ac:dyDescent="0.3">
      <c r="A127" t="s">
        <v>583</v>
      </c>
    </row>
    <row r="128" spans="1:1" x14ac:dyDescent="0.3">
      <c r="A128" t="s">
        <v>582</v>
      </c>
    </row>
    <row r="129" spans="1:1" x14ac:dyDescent="0.3">
      <c r="A129" t="s">
        <v>581</v>
      </c>
    </row>
    <row r="130" spans="1:1" x14ac:dyDescent="0.3">
      <c r="A130" t="s">
        <v>580</v>
      </c>
    </row>
    <row r="131" spans="1:1" x14ac:dyDescent="0.3">
      <c r="A131" t="s">
        <v>579</v>
      </c>
    </row>
    <row r="132" spans="1:1" x14ac:dyDescent="0.3">
      <c r="A132" t="s">
        <v>578</v>
      </c>
    </row>
    <row r="133" spans="1:1" x14ac:dyDescent="0.3">
      <c r="A133" t="s">
        <v>577</v>
      </c>
    </row>
    <row r="134" spans="1:1" x14ac:dyDescent="0.3">
      <c r="A134" t="s">
        <v>576</v>
      </c>
    </row>
    <row r="135" spans="1:1" x14ac:dyDescent="0.3">
      <c r="A135" t="s">
        <v>575</v>
      </c>
    </row>
    <row r="136" spans="1:1" x14ac:dyDescent="0.3">
      <c r="A136" t="s">
        <v>574</v>
      </c>
    </row>
    <row r="137" spans="1:1" x14ac:dyDescent="0.3">
      <c r="A137" t="s">
        <v>573</v>
      </c>
    </row>
    <row r="138" spans="1:1" x14ac:dyDescent="0.3">
      <c r="A138" t="s">
        <v>572</v>
      </c>
    </row>
    <row r="139" spans="1:1" x14ac:dyDescent="0.3">
      <c r="A139" t="s">
        <v>571</v>
      </c>
    </row>
    <row r="140" spans="1:1" x14ac:dyDescent="0.3">
      <c r="A140" t="s">
        <v>570</v>
      </c>
    </row>
    <row r="141" spans="1:1" x14ac:dyDescent="0.3">
      <c r="A141" t="s">
        <v>569</v>
      </c>
    </row>
    <row r="142" spans="1:1" x14ac:dyDescent="0.3">
      <c r="A142" t="s">
        <v>568</v>
      </c>
    </row>
    <row r="143" spans="1:1" x14ac:dyDescent="0.3">
      <c r="A143" t="s">
        <v>567</v>
      </c>
    </row>
    <row r="144" spans="1:1" x14ac:dyDescent="0.3">
      <c r="A144" t="s">
        <v>566</v>
      </c>
    </row>
    <row r="145" spans="1:1" x14ac:dyDescent="0.3">
      <c r="A145" t="s">
        <v>565</v>
      </c>
    </row>
    <row r="146" spans="1:1" x14ac:dyDescent="0.3">
      <c r="A146" t="s">
        <v>564</v>
      </c>
    </row>
    <row r="147" spans="1:1" x14ac:dyDescent="0.3">
      <c r="A147" t="s">
        <v>563</v>
      </c>
    </row>
    <row r="148" spans="1:1" x14ac:dyDescent="0.3">
      <c r="A148" t="s">
        <v>562</v>
      </c>
    </row>
    <row r="149" spans="1:1" x14ac:dyDescent="0.3">
      <c r="A149" t="s">
        <v>561</v>
      </c>
    </row>
    <row r="150" spans="1:1" x14ac:dyDescent="0.3">
      <c r="A150" t="s">
        <v>560</v>
      </c>
    </row>
    <row r="151" spans="1:1" x14ac:dyDescent="0.3">
      <c r="A151" t="s">
        <v>559</v>
      </c>
    </row>
    <row r="152" spans="1:1" x14ac:dyDescent="0.3">
      <c r="A152" t="s">
        <v>558</v>
      </c>
    </row>
    <row r="153" spans="1:1" x14ac:dyDescent="0.3">
      <c r="A153" t="s">
        <v>557</v>
      </c>
    </row>
    <row r="154" spans="1:1" x14ac:dyDescent="0.3">
      <c r="A154" t="s">
        <v>556</v>
      </c>
    </row>
    <row r="155" spans="1:1" x14ac:dyDescent="0.3">
      <c r="A155" t="s">
        <v>555</v>
      </c>
    </row>
    <row r="156" spans="1:1" x14ac:dyDescent="0.3">
      <c r="A156" t="s">
        <v>554</v>
      </c>
    </row>
    <row r="157" spans="1:1" x14ac:dyDescent="0.3">
      <c r="A157" t="s">
        <v>553</v>
      </c>
    </row>
    <row r="158" spans="1:1" x14ac:dyDescent="0.3">
      <c r="A158" t="s">
        <v>552</v>
      </c>
    </row>
    <row r="159" spans="1:1" x14ac:dyDescent="0.3">
      <c r="A159" t="s">
        <v>551</v>
      </c>
    </row>
    <row r="160" spans="1:1" x14ac:dyDescent="0.3">
      <c r="A160" t="s">
        <v>550</v>
      </c>
    </row>
    <row r="161" spans="1:1" x14ac:dyDescent="0.3">
      <c r="A161" t="s">
        <v>549</v>
      </c>
    </row>
    <row r="162" spans="1:1" x14ac:dyDescent="0.3">
      <c r="A162" t="s">
        <v>548</v>
      </c>
    </row>
    <row r="163" spans="1:1" x14ac:dyDescent="0.3">
      <c r="A163" t="s">
        <v>547</v>
      </c>
    </row>
    <row r="164" spans="1:1" x14ac:dyDescent="0.3">
      <c r="A164" t="s">
        <v>546</v>
      </c>
    </row>
    <row r="165" spans="1:1" x14ac:dyDescent="0.3">
      <c r="A165" t="s">
        <v>545</v>
      </c>
    </row>
    <row r="166" spans="1:1" x14ac:dyDescent="0.3">
      <c r="A166" t="s">
        <v>544</v>
      </c>
    </row>
    <row r="167" spans="1:1" x14ac:dyDescent="0.3">
      <c r="A167" t="s">
        <v>543</v>
      </c>
    </row>
    <row r="168" spans="1:1" x14ac:dyDescent="0.3">
      <c r="A168" t="s">
        <v>542</v>
      </c>
    </row>
    <row r="169" spans="1:1" x14ac:dyDescent="0.3">
      <c r="A169" t="s">
        <v>541</v>
      </c>
    </row>
    <row r="170" spans="1:1" x14ac:dyDescent="0.3">
      <c r="A170" t="s">
        <v>540</v>
      </c>
    </row>
    <row r="171" spans="1:1" x14ac:dyDescent="0.3">
      <c r="A171" t="s">
        <v>539</v>
      </c>
    </row>
    <row r="172" spans="1:1" x14ac:dyDescent="0.3">
      <c r="A172" t="s">
        <v>538</v>
      </c>
    </row>
    <row r="173" spans="1:1" x14ac:dyDescent="0.3">
      <c r="A173" t="s">
        <v>537</v>
      </c>
    </row>
    <row r="174" spans="1:1" x14ac:dyDescent="0.3">
      <c r="A174" t="s">
        <v>536</v>
      </c>
    </row>
    <row r="175" spans="1:1" x14ac:dyDescent="0.3">
      <c r="A175" t="s">
        <v>535</v>
      </c>
    </row>
    <row r="176" spans="1:1" x14ac:dyDescent="0.3">
      <c r="A176" t="s">
        <v>534</v>
      </c>
    </row>
    <row r="177" spans="1:1" x14ac:dyDescent="0.3">
      <c r="A177" t="s">
        <v>533</v>
      </c>
    </row>
    <row r="178" spans="1:1" x14ac:dyDescent="0.3">
      <c r="A178" t="s">
        <v>532</v>
      </c>
    </row>
    <row r="179" spans="1:1" x14ac:dyDescent="0.3">
      <c r="A179" t="s">
        <v>531</v>
      </c>
    </row>
    <row r="180" spans="1:1" x14ac:dyDescent="0.3">
      <c r="A180" t="s">
        <v>530</v>
      </c>
    </row>
    <row r="181" spans="1:1" x14ac:dyDescent="0.3">
      <c r="A181" t="s">
        <v>529</v>
      </c>
    </row>
    <row r="182" spans="1:1" x14ac:dyDescent="0.3">
      <c r="A182" t="s">
        <v>528</v>
      </c>
    </row>
    <row r="183" spans="1:1" x14ac:dyDescent="0.3">
      <c r="A183" t="s">
        <v>527</v>
      </c>
    </row>
    <row r="184" spans="1:1" x14ac:dyDescent="0.3">
      <c r="A184" t="s">
        <v>526</v>
      </c>
    </row>
    <row r="185" spans="1:1" x14ac:dyDescent="0.3">
      <c r="A185" t="s">
        <v>525</v>
      </c>
    </row>
    <row r="186" spans="1:1" x14ac:dyDescent="0.3">
      <c r="A186" t="s">
        <v>524</v>
      </c>
    </row>
    <row r="187" spans="1:1" x14ac:dyDescent="0.3">
      <c r="A187" t="s">
        <v>523</v>
      </c>
    </row>
    <row r="188" spans="1:1" x14ac:dyDescent="0.3">
      <c r="A188" t="s">
        <v>522</v>
      </c>
    </row>
    <row r="189" spans="1:1" x14ac:dyDescent="0.3">
      <c r="A189" t="s">
        <v>521</v>
      </c>
    </row>
    <row r="190" spans="1:1" x14ac:dyDescent="0.3">
      <c r="A190" t="s">
        <v>520</v>
      </c>
    </row>
    <row r="191" spans="1:1" x14ac:dyDescent="0.3">
      <c r="A191" t="s">
        <v>519</v>
      </c>
    </row>
    <row r="192" spans="1:1" x14ac:dyDescent="0.3">
      <c r="A192" t="s">
        <v>518</v>
      </c>
    </row>
    <row r="193" spans="1:1" x14ac:dyDescent="0.3">
      <c r="A193" t="s">
        <v>517</v>
      </c>
    </row>
    <row r="194" spans="1:1" x14ac:dyDescent="0.3">
      <c r="A194" t="s">
        <v>516</v>
      </c>
    </row>
    <row r="195" spans="1:1" x14ac:dyDescent="0.3">
      <c r="A195" t="s">
        <v>515</v>
      </c>
    </row>
    <row r="196" spans="1:1" x14ac:dyDescent="0.3">
      <c r="A196" t="s">
        <v>514</v>
      </c>
    </row>
    <row r="197" spans="1:1" x14ac:dyDescent="0.3">
      <c r="A197" t="s">
        <v>513</v>
      </c>
    </row>
    <row r="198" spans="1:1" x14ac:dyDescent="0.3">
      <c r="A198" t="s">
        <v>512</v>
      </c>
    </row>
    <row r="199" spans="1:1" x14ac:dyDescent="0.3">
      <c r="A199" t="s">
        <v>511</v>
      </c>
    </row>
    <row r="200" spans="1:1" x14ac:dyDescent="0.3">
      <c r="A200" t="s">
        <v>510</v>
      </c>
    </row>
    <row r="201" spans="1:1" x14ac:dyDescent="0.3">
      <c r="A201" t="s">
        <v>509</v>
      </c>
    </row>
    <row r="202" spans="1:1" x14ac:dyDescent="0.3">
      <c r="A202" t="s">
        <v>508</v>
      </c>
    </row>
    <row r="203" spans="1:1" x14ac:dyDescent="0.3">
      <c r="A203" t="s">
        <v>507</v>
      </c>
    </row>
    <row r="204" spans="1:1" x14ac:dyDescent="0.3">
      <c r="A204" t="s">
        <v>506</v>
      </c>
    </row>
    <row r="205" spans="1:1" x14ac:dyDescent="0.3">
      <c r="A205" t="s">
        <v>505</v>
      </c>
    </row>
    <row r="206" spans="1:1" x14ac:dyDescent="0.3">
      <c r="A206" t="s">
        <v>504</v>
      </c>
    </row>
    <row r="207" spans="1:1" x14ac:dyDescent="0.3">
      <c r="A207" t="s">
        <v>503</v>
      </c>
    </row>
    <row r="208" spans="1:1" x14ac:dyDescent="0.3">
      <c r="A208" t="s">
        <v>502</v>
      </c>
    </row>
    <row r="209" spans="1:1" x14ac:dyDescent="0.3">
      <c r="A209" t="s">
        <v>501</v>
      </c>
    </row>
    <row r="210" spans="1:1" x14ac:dyDescent="0.3">
      <c r="A210" t="s">
        <v>500</v>
      </c>
    </row>
    <row r="211" spans="1:1" x14ac:dyDescent="0.3">
      <c r="A211" t="s">
        <v>499</v>
      </c>
    </row>
    <row r="212" spans="1:1" x14ac:dyDescent="0.3">
      <c r="A212" t="s">
        <v>498</v>
      </c>
    </row>
    <row r="213" spans="1:1" x14ac:dyDescent="0.3">
      <c r="A213" t="s">
        <v>497</v>
      </c>
    </row>
    <row r="214" spans="1:1" x14ac:dyDescent="0.3">
      <c r="A214" t="s">
        <v>496</v>
      </c>
    </row>
    <row r="215" spans="1:1" x14ac:dyDescent="0.3">
      <c r="A215" t="s">
        <v>495</v>
      </c>
    </row>
    <row r="216" spans="1:1" x14ac:dyDescent="0.3">
      <c r="A216" t="s">
        <v>494</v>
      </c>
    </row>
    <row r="217" spans="1:1" x14ac:dyDescent="0.3">
      <c r="A217" t="s">
        <v>493</v>
      </c>
    </row>
    <row r="218" spans="1:1" x14ac:dyDescent="0.3">
      <c r="A218" t="s">
        <v>492</v>
      </c>
    </row>
    <row r="219" spans="1:1" x14ac:dyDescent="0.3">
      <c r="A219" t="s">
        <v>491</v>
      </c>
    </row>
    <row r="220" spans="1:1" x14ac:dyDescent="0.3">
      <c r="A220" t="s">
        <v>490</v>
      </c>
    </row>
    <row r="221" spans="1:1" x14ac:dyDescent="0.3">
      <c r="A221" t="s">
        <v>489</v>
      </c>
    </row>
    <row r="222" spans="1:1" x14ac:dyDescent="0.3">
      <c r="A222" t="s">
        <v>488</v>
      </c>
    </row>
    <row r="223" spans="1:1" x14ac:dyDescent="0.3">
      <c r="A223" t="s">
        <v>487</v>
      </c>
    </row>
    <row r="224" spans="1:1" x14ac:dyDescent="0.3">
      <c r="A224" t="s">
        <v>486</v>
      </c>
    </row>
    <row r="225" spans="1:1" x14ac:dyDescent="0.3">
      <c r="A225" t="s">
        <v>485</v>
      </c>
    </row>
    <row r="226" spans="1:1" x14ac:dyDescent="0.3">
      <c r="A226" t="s">
        <v>484</v>
      </c>
    </row>
    <row r="227" spans="1:1" x14ac:dyDescent="0.3">
      <c r="A227" t="s">
        <v>483</v>
      </c>
    </row>
    <row r="228" spans="1:1" x14ac:dyDescent="0.3">
      <c r="A228" t="s">
        <v>482</v>
      </c>
    </row>
    <row r="229" spans="1:1" x14ac:dyDescent="0.3">
      <c r="A229" t="s">
        <v>481</v>
      </c>
    </row>
    <row r="230" spans="1:1" x14ac:dyDescent="0.3">
      <c r="A230" t="s">
        <v>480</v>
      </c>
    </row>
    <row r="231" spans="1:1" x14ac:dyDescent="0.3">
      <c r="A231" t="s">
        <v>479</v>
      </c>
    </row>
    <row r="232" spans="1:1" x14ac:dyDescent="0.3">
      <c r="A232" t="s">
        <v>478</v>
      </c>
    </row>
    <row r="233" spans="1:1" x14ac:dyDescent="0.3">
      <c r="A233" t="s">
        <v>477</v>
      </c>
    </row>
    <row r="234" spans="1:1" x14ac:dyDescent="0.3">
      <c r="A234" t="s">
        <v>476</v>
      </c>
    </row>
    <row r="235" spans="1:1" x14ac:dyDescent="0.3">
      <c r="A235" t="s">
        <v>475</v>
      </c>
    </row>
    <row r="236" spans="1:1" x14ac:dyDescent="0.3">
      <c r="A236" t="s">
        <v>474</v>
      </c>
    </row>
    <row r="237" spans="1:1" x14ac:dyDescent="0.3">
      <c r="A237" t="s">
        <v>473</v>
      </c>
    </row>
    <row r="238" spans="1:1" x14ac:dyDescent="0.3">
      <c r="A238" t="s">
        <v>472</v>
      </c>
    </row>
    <row r="239" spans="1:1" x14ac:dyDescent="0.3">
      <c r="A239" t="s">
        <v>471</v>
      </c>
    </row>
    <row r="240" spans="1:1" x14ac:dyDescent="0.3">
      <c r="A240" t="s">
        <v>470</v>
      </c>
    </row>
    <row r="241" spans="1:1" x14ac:dyDescent="0.3">
      <c r="A241" t="s">
        <v>469</v>
      </c>
    </row>
    <row r="242" spans="1:1" x14ac:dyDescent="0.3">
      <c r="A242" t="s">
        <v>468</v>
      </c>
    </row>
    <row r="243" spans="1:1" x14ac:dyDescent="0.3">
      <c r="A243" t="s">
        <v>467</v>
      </c>
    </row>
    <row r="244" spans="1:1" x14ac:dyDescent="0.3">
      <c r="A244" t="s">
        <v>466</v>
      </c>
    </row>
    <row r="245" spans="1:1" x14ac:dyDescent="0.3">
      <c r="A245" t="s">
        <v>465</v>
      </c>
    </row>
    <row r="246" spans="1:1" x14ac:dyDescent="0.3">
      <c r="A246" t="s">
        <v>464</v>
      </c>
    </row>
    <row r="247" spans="1:1" x14ac:dyDescent="0.3">
      <c r="A247" t="s">
        <v>463</v>
      </c>
    </row>
    <row r="248" spans="1:1" x14ac:dyDescent="0.3">
      <c r="A248" t="s">
        <v>462</v>
      </c>
    </row>
    <row r="249" spans="1:1" x14ac:dyDescent="0.3">
      <c r="A249" t="s">
        <v>461</v>
      </c>
    </row>
    <row r="250" spans="1:1" x14ac:dyDescent="0.3">
      <c r="A250" t="s">
        <v>460</v>
      </c>
    </row>
    <row r="251" spans="1:1" x14ac:dyDescent="0.3">
      <c r="A251" t="s">
        <v>459</v>
      </c>
    </row>
    <row r="252" spans="1:1" x14ac:dyDescent="0.3">
      <c r="A252" t="s">
        <v>458</v>
      </c>
    </row>
    <row r="253" spans="1:1" x14ac:dyDescent="0.3">
      <c r="A253" t="s">
        <v>457</v>
      </c>
    </row>
    <row r="254" spans="1:1" x14ac:dyDescent="0.3">
      <c r="A254" t="s">
        <v>456</v>
      </c>
    </row>
    <row r="255" spans="1:1" x14ac:dyDescent="0.3">
      <c r="A255" t="s">
        <v>455</v>
      </c>
    </row>
    <row r="256" spans="1:1" x14ac:dyDescent="0.3">
      <c r="A256" t="s">
        <v>454</v>
      </c>
    </row>
    <row r="257" spans="1:1" x14ac:dyDescent="0.3">
      <c r="A257" t="s">
        <v>453</v>
      </c>
    </row>
    <row r="258" spans="1:1" x14ac:dyDescent="0.3">
      <c r="A258" t="s">
        <v>452</v>
      </c>
    </row>
    <row r="259" spans="1:1" x14ac:dyDescent="0.3">
      <c r="A259" t="s">
        <v>451</v>
      </c>
    </row>
    <row r="260" spans="1:1" x14ac:dyDescent="0.3">
      <c r="A260" t="s">
        <v>450</v>
      </c>
    </row>
    <row r="261" spans="1:1" x14ac:dyDescent="0.3">
      <c r="A261" t="s">
        <v>449</v>
      </c>
    </row>
    <row r="262" spans="1:1" x14ac:dyDescent="0.3">
      <c r="A262" t="s">
        <v>448</v>
      </c>
    </row>
    <row r="263" spans="1:1" x14ac:dyDescent="0.3">
      <c r="A263" t="s">
        <v>447</v>
      </c>
    </row>
    <row r="264" spans="1:1" x14ac:dyDescent="0.3">
      <c r="A264" t="s">
        <v>446</v>
      </c>
    </row>
    <row r="265" spans="1:1" x14ac:dyDescent="0.3">
      <c r="A265" t="s">
        <v>445</v>
      </c>
    </row>
    <row r="266" spans="1:1" x14ac:dyDescent="0.3">
      <c r="A266" t="s">
        <v>444</v>
      </c>
    </row>
    <row r="267" spans="1:1" x14ac:dyDescent="0.3">
      <c r="A267" t="s">
        <v>443</v>
      </c>
    </row>
    <row r="268" spans="1:1" x14ac:dyDescent="0.3">
      <c r="A268" t="s">
        <v>442</v>
      </c>
    </row>
    <row r="269" spans="1:1" x14ac:dyDescent="0.3">
      <c r="A269" t="s">
        <v>441</v>
      </c>
    </row>
    <row r="270" spans="1:1" x14ac:dyDescent="0.3">
      <c r="A270" t="s">
        <v>440</v>
      </c>
    </row>
    <row r="271" spans="1:1" x14ac:dyDescent="0.3">
      <c r="A271" t="s">
        <v>439</v>
      </c>
    </row>
    <row r="272" spans="1:1" x14ac:dyDescent="0.3">
      <c r="A272" t="s">
        <v>438</v>
      </c>
    </row>
    <row r="273" spans="1:1" x14ac:dyDescent="0.3">
      <c r="A273" t="s">
        <v>437</v>
      </c>
    </row>
    <row r="274" spans="1:1" x14ac:dyDescent="0.3">
      <c r="A274" t="s">
        <v>436</v>
      </c>
    </row>
    <row r="275" spans="1:1" x14ac:dyDescent="0.3">
      <c r="A275" t="s">
        <v>435</v>
      </c>
    </row>
    <row r="276" spans="1:1" x14ac:dyDescent="0.3">
      <c r="A276" t="s">
        <v>434</v>
      </c>
    </row>
    <row r="277" spans="1:1" x14ac:dyDescent="0.3">
      <c r="A277" t="s">
        <v>433</v>
      </c>
    </row>
    <row r="278" spans="1:1" x14ac:dyDescent="0.3">
      <c r="A278" t="s">
        <v>432</v>
      </c>
    </row>
    <row r="279" spans="1:1" x14ac:dyDescent="0.3">
      <c r="A279" t="s">
        <v>431</v>
      </c>
    </row>
    <row r="280" spans="1:1" x14ac:dyDescent="0.3">
      <c r="A280" t="s">
        <v>430</v>
      </c>
    </row>
    <row r="281" spans="1:1" x14ac:dyDescent="0.3">
      <c r="A281" t="s">
        <v>429</v>
      </c>
    </row>
    <row r="283" spans="1:1" x14ac:dyDescent="0.3">
      <c r="A283" t="s">
        <v>427</v>
      </c>
    </row>
    <row r="284" spans="1:1" x14ac:dyDescent="0.3">
      <c r="A284" t="s">
        <v>428</v>
      </c>
    </row>
    <row r="285" spans="1:1" x14ac:dyDescent="0.3">
      <c r="A285" t="s">
        <v>427</v>
      </c>
    </row>
    <row r="287" spans="1:1" x14ac:dyDescent="0.3">
      <c r="A287" t="s">
        <v>426</v>
      </c>
    </row>
    <row r="288" spans="1:1" x14ac:dyDescent="0.3">
      <c r="A288" t="s">
        <v>425</v>
      </c>
    </row>
    <row r="289" spans="1:1" x14ac:dyDescent="0.3">
      <c r="A289">
        <v>246</v>
      </c>
    </row>
    <row r="290" spans="1:1" x14ac:dyDescent="0.3">
      <c r="A290" t="s">
        <v>424</v>
      </c>
    </row>
    <row r="293" spans="1:1" x14ac:dyDescent="0.3">
      <c r="A293" t="s">
        <v>423</v>
      </c>
    </row>
    <row r="294" spans="1:1" x14ac:dyDescent="0.3">
      <c r="A294" t="s">
        <v>422</v>
      </c>
    </row>
    <row r="297" spans="1:1" x14ac:dyDescent="0.3">
      <c r="A297" t="s">
        <v>421</v>
      </c>
    </row>
    <row r="299" spans="1:1" x14ac:dyDescent="0.3">
      <c r="A299" t="s">
        <v>420</v>
      </c>
    </row>
    <row r="300" spans="1:1" x14ac:dyDescent="0.3">
      <c r="A300" t="s">
        <v>419</v>
      </c>
    </row>
    <row r="301" spans="1:1" x14ac:dyDescent="0.3">
      <c r="A301" t="s">
        <v>418</v>
      </c>
    </row>
    <row r="302" spans="1:1" x14ac:dyDescent="0.3">
      <c r="A302" t="s">
        <v>417</v>
      </c>
    </row>
    <row r="303" spans="1:1" x14ac:dyDescent="0.3">
      <c r="A303" t="s">
        <v>416</v>
      </c>
    </row>
    <row r="304" spans="1:1" x14ac:dyDescent="0.3">
      <c r="A304" t="s">
        <v>415</v>
      </c>
    </row>
    <row r="305" spans="1:1" x14ac:dyDescent="0.3">
      <c r="A305" t="s">
        <v>414</v>
      </c>
    </row>
    <row r="306" spans="1:1" x14ac:dyDescent="0.3">
      <c r="A306" t="s">
        <v>413</v>
      </c>
    </row>
    <row r="307" spans="1:1" x14ac:dyDescent="0.3">
      <c r="A307" t="s">
        <v>412</v>
      </c>
    </row>
    <row r="308" spans="1:1" x14ac:dyDescent="0.3">
      <c r="A308" t="s">
        <v>411</v>
      </c>
    </row>
    <row r="309" spans="1:1" x14ac:dyDescent="0.3">
      <c r="A309" t="s">
        <v>410</v>
      </c>
    </row>
    <row r="310" spans="1:1" x14ac:dyDescent="0.3">
      <c r="A310" t="s">
        <v>409</v>
      </c>
    </row>
    <row r="311" spans="1:1" x14ac:dyDescent="0.3">
      <c r="A311" t="s">
        <v>408</v>
      </c>
    </row>
    <row r="312" spans="1:1" x14ac:dyDescent="0.3">
      <c r="A312" t="s">
        <v>407</v>
      </c>
    </row>
    <row r="313" spans="1:1" x14ac:dyDescent="0.3">
      <c r="A313" t="s">
        <v>406</v>
      </c>
    </row>
    <row r="314" spans="1:1" x14ac:dyDescent="0.3">
      <c r="A314" t="s">
        <v>405</v>
      </c>
    </row>
    <row r="315" spans="1:1" x14ac:dyDescent="0.3">
      <c r="A315" t="s">
        <v>404</v>
      </c>
    </row>
    <row r="316" spans="1:1" x14ac:dyDescent="0.3">
      <c r="A316" t="s">
        <v>403</v>
      </c>
    </row>
    <row r="317" spans="1:1" x14ac:dyDescent="0.3">
      <c r="A317" t="s">
        <v>402</v>
      </c>
    </row>
    <row r="318" spans="1:1" x14ac:dyDescent="0.3">
      <c r="A318" t="s">
        <v>401</v>
      </c>
    </row>
    <row r="319" spans="1:1" x14ac:dyDescent="0.3">
      <c r="A319" t="s">
        <v>400</v>
      </c>
    </row>
    <row r="320" spans="1:1" x14ac:dyDescent="0.3">
      <c r="A320" t="s">
        <v>399</v>
      </c>
    </row>
    <row r="321" spans="1:1" x14ac:dyDescent="0.3">
      <c r="A321" t="s">
        <v>398</v>
      </c>
    </row>
    <row r="322" spans="1:1" x14ac:dyDescent="0.3">
      <c r="A322" t="s">
        <v>397</v>
      </c>
    </row>
    <row r="323" spans="1:1" x14ac:dyDescent="0.3">
      <c r="A323" t="s">
        <v>396</v>
      </c>
    </row>
    <row r="324" spans="1:1" x14ac:dyDescent="0.3">
      <c r="A324" t="s">
        <v>395</v>
      </c>
    </row>
    <row r="325" spans="1:1" x14ac:dyDescent="0.3">
      <c r="A325" t="s">
        <v>394</v>
      </c>
    </row>
    <row r="326" spans="1:1" x14ac:dyDescent="0.3">
      <c r="A326" t="s">
        <v>393</v>
      </c>
    </row>
    <row r="327" spans="1:1" x14ac:dyDescent="0.3">
      <c r="A327" t="s">
        <v>392</v>
      </c>
    </row>
    <row r="328" spans="1:1" x14ac:dyDescent="0.3">
      <c r="A328" t="s">
        <v>391</v>
      </c>
    </row>
    <row r="329" spans="1:1" x14ac:dyDescent="0.3">
      <c r="A329" t="s">
        <v>390</v>
      </c>
    </row>
    <row r="330" spans="1:1" x14ac:dyDescent="0.3">
      <c r="A330" t="s">
        <v>389</v>
      </c>
    </row>
    <row r="331" spans="1:1" x14ac:dyDescent="0.3">
      <c r="A331" t="s">
        <v>388</v>
      </c>
    </row>
    <row r="332" spans="1:1" x14ac:dyDescent="0.3">
      <c r="A332" t="s">
        <v>387</v>
      </c>
    </row>
    <row r="333" spans="1:1" x14ac:dyDescent="0.3">
      <c r="A333" t="s">
        <v>386</v>
      </c>
    </row>
    <row r="334" spans="1:1" x14ac:dyDescent="0.3">
      <c r="A334" t="s">
        <v>385</v>
      </c>
    </row>
    <row r="335" spans="1:1" x14ac:dyDescent="0.3">
      <c r="A335" t="s">
        <v>384</v>
      </c>
    </row>
    <row r="336" spans="1:1" x14ac:dyDescent="0.3">
      <c r="A336" t="s">
        <v>383</v>
      </c>
    </row>
    <row r="337" spans="1:1" x14ac:dyDescent="0.3">
      <c r="A337" t="s">
        <v>382</v>
      </c>
    </row>
    <row r="338" spans="1:1" x14ac:dyDescent="0.3">
      <c r="A338" t="s">
        <v>381</v>
      </c>
    </row>
    <row r="339" spans="1:1" x14ac:dyDescent="0.3">
      <c r="A339" t="s">
        <v>380</v>
      </c>
    </row>
    <row r="340" spans="1:1" x14ac:dyDescent="0.3">
      <c r="A340" t="s">
        <v>379</v>
      </c>
    </row>
    <row r="341" spans="1:1" x14ac:dyDescent="0.3">
      <c r="A341" t="s">
        <v>378</v>
      </c>
    </row>
    <row r="342" spans="1:1" x14ac:dyDescent="0.3">
      <c r="A342" t="s">
        <v>377</v>
      </c>
    </row>
    <row r="343" spans="1:1" x14ac:dyDescent="0.3">
      <c r="A343" t="s">
        <v>376</v>
      </c>
    </row>
    <row r="344" spans="1:1" x14ac:dyDescent="0.3">
      <c r="A344" t="s">
        <v>375</v>
      </c>
    </row>
    <row r="345" spans="1:1" x14ac:dyDescent="0.3">
      <c r="A345" t="s">
        <v>374</v>
      </c>
    </row>
    <row r="346" spans="1:1" x14ac:dyDescent="0.3">
      <c r="A346" t="s">
        <v>373</v>
      </c>
    </row>
    <row r="347" spans="1:1" x14ac:dyDescent="0.3">
      <c r="A347" t="s">
        <v>372</v>
      </c>
    </row>
    <row r="348" spans="1:1" x14ac:dyDescent="0.3">
      <c r="A348" t="s">
        <v>371</v>
      </c>
    </row>
    <row r="349" spans="1:1" x14ac:dyDescent="0.3">
      <c r="A349" t="s">
        <v>370</v>
      </c>
    </row>
    <row r="350" spans="1:1" x14ac:dyDescent="0.3">
      <c r="A350" t="s">
        <v>369</v>
      </c>
    </row>
    <row r="351" spans="1:1" x14ac:dyDescent="0.3">
      <c r="A351" t="s">
        <v>368</v>
      </c>
    </row>
    <row r="352" spans="1:1" x14ac:dyDescent="0.3">
      <c r="A352" t="s">
        <v>367</v>
      </c>
    </row>
    <row r="353" spans="1:1" x14ac:dyDescent="0.3">
      <c r="A353" t="s">
        <v>366</v>
      </c>
    </row>
    <row r="354" spans="1:1" x14ac:dyDescent="0.3">
      <c r="A354" t="s">
        <v>365</v>
      </c>
    </row>
    <row r="355" spans="1:1" x14ac:dyDescent="0.3">
      <c r="A355" t="s">
        <v>364</v>
      </c>
    </row>
    <row r="356" spans="1:1" x14ac:dyDescent="0.3">
      <c r="A356" t="s">
        <v>363</v>
      </c>
    </row>
    <row r="357" spans="1:1" x14ac:dyDescent="0.3">
      <c r="A357" t="s">
        <v>362</v>
      </c>
    </row>
    <row r="358" spans="1:1" x14ac:dyDescent="0.3">
      <c r="A358" t="s">
        <v>361</v>
      </c>
    </row>
    <row r="359" spans="1:1" x14ac:dyDescent="0.3">
      <c r="A359" t="s">
        <v>360</v>
      </c>
    </row>
    <row r="360" spans="1:1" x14ac:dyDescent="0.3">
      <c r="A360" t="s">
        <v>359</v>
      </c>
    </row>
    <row r="361" spans="1:1" x14ac:dyDescent="0.3">
      <c r="A361" t="s">
        <v>358</v>
      </c>
    </row>
    <row r="362" spans="1:1" x14ac:dyDescent="0.3">
      <c r="A362" t="s">
        <v>357</v>
      </c>
    </row>
    <row r="363" spans="1:1" x14ac:dyDescent="0.3">
      <c r="A363" t="s">
        <v>356</v>
      </c>
    </row>
    <row r="364" spans="1:1" x14ac:dyDescent="0.3">
      <c r="A364" t="s">
        <v>355</v>
      </c>
    </row>
    <row r="365" spans="1:1" x14ac:dyDescent="0.3">
      <c r="A365" t="s">
        <v>354</v>
      </c>
    </row>
    <row r="366" spans="1:1" x14ac:dyDescent="0.3">
      <c r="A366" t="s">
        <v>353</v>
      </c>
    </row>
    <row r="367" spans="1:1" x14ac:dyDescent="0.3">
      <c r="A367" t="s">
        <v>352</v>
      </c>
    </row>
    <row r="368" spans="1:1" x14ac:dyDescent="0.3">
      <c r="A368" t="s">
        <v>351</v>
      </c>
    </row>
    <row r="369" spans="1:1" x14ac:dyDescent="0.3">
      <c r="A369" t="s">
        <v>350</v>
      </c>
    </row>
    <row r="370" spans="1:1" x14ac:dyDescent="0.3">
      <c r="A370" t="s">
        <v>349</v>
      </c>
    </row>
    <row r="371" spans="1:1" x14ac:dyDescent="0.3">
      <c r="A371" t="s">
        <v>348</v>
      </c>
    </row>
    <row r="372" spans="1:1" x14ac:dyDescent="0.3">
      <c r="A372" t="s">
        <v>347</v>
      </c>
    </row>
    <row r="373" spans="1:1" x14ac:dyDescent="0.3">
      <c r="A373" t="s">
        <v>346</v>
      </c>
    </row>
    <row r="374" spans="1:1" x14ac:dyDescent="0.3">
      <c r="A374" t="s">
        <v>345</v>
      </c>
    </row>
    <row r="375" spans="1:1" x14ac:dyDescent="0.3">
      <c r="A375" t="s">
        <v>344</v>
      </c>
    </row>
    <row r="376" spans="1:1" x14ac:dyDescent="0.3">
      <c r="A376" t="s">
        <v>343</v>
      </c>
    </row>
    <row r="377" spans="1:1" x14ac:dyDescent="0.3">
      <c r="A377" t="s">
        <v>342</v>
      </c>
    </row>
    <row r="378" spans="1:1" x14ac:dyDescent="0.3">
      <c r="A378" t="s">
        <v>341</v>
      </c>
    </row>
    <row r="379" spans="1:1" x14ac:dyDescent="0.3">
      <c r="A379" t="s">
        <v>340</v>
      </c>
    </row>
    <row r="380" spans="1:1" x14ac:dyDescent="0.3">
      <c r="A380" t="s">
        <v>339</v>
      </c>
    </row>
    <row r="381" spans="1:1" x14ac:dyDescent="0.3">
      <c r="A381" t="s">
        <v>338</v>
      </c>
    </row>
    <row r="382" spans="1:1" x14ac:dyDescent="0.3">
      <c r="A382" t="s">
        <v>337</v>
      </c>
    </row>
    <row r="383" spans="1:1" x14ac:dyDescent="0.3">
      <c r="A383" t="s">
        <v>336</v>
      </c>
    </row>
    <row r="384" spans="1:1" x14ac:dyDescent="0.3">
      <c r="A384" t="s">
        <v>335</v>
      </c>
    </row>
    <row r="385" spans="1:1" x14ac:dyDescent="0.3">
      <c r="A385" t="s">
        <v>334</v>
      </c>
    </row>
    <row r="386" spans="1:1" x14ac:dyDescent="0.3">
      <c r="A386" t="s">
        <v>333</v>
      </c>
    </row>
    <row r="387" spans="1:1" x14ac:dyDescent="0.3">
      <c r="A387" t="s">
        <v>332</v>
      </c>
    </row>
    <row r="388" spans="1:1" x14ac:dyDescent="0.3">
      <c r="A388" t="s">
        <v>331</v>
      </c>
    </row>
    <row r="389" spans="1:1" x14ac:dyDescent="0.3">
      <c r="A389" t="s">
        <v>330</v>
      </c>
    </row>
    <row r="390" spans="1:1" x14ac:dyDescent="0.3">
      <c r="A390" t="s">
        <v>329</v>
      </c>
    </row>
    <row r="391" spans="1:1" x14ac:dyDescent="0.3">
      <c r="A391" t="s">
        <v>328</v>
      </c>
    </row>
    <row r="392" spans="1:1" x14ac:dyDescent="0.3">
      <c r="A392" t="s">
        <v>327</v>
      </c>
    </row>
    <row r="393" spans="1:1" x14ac:dyDescent="0.3">
      <c r="A393" t="s">
        <v>326</v>
      </c>
    </row>
    <row r="394" spans="1:1" x14ac:dyDescent="0.3">
      <c r="A394" t="s">
        <v>325</v>
      </c>
    </row>
    <row r="395" spans="1:1" x14ac:dyDescent="0.3">
      <c r="A395" t="s">
        <v>324</v>
      </c>
    </row>
    <row r="396" spans="1:1" x14ac:dyDescent="0.3">
      <c r="A396" t="s">
        <v>323</v>
      </c>
    </row>
    <row r="397" spans="1:1" x14ac:dyDescent="0.3">
      <c r="A397" t="s">
        <v>322</v>
      </c>
    </row>
    <row r="398" spans="1:1" x14ac:dyDescent="0.3">
      <c r="A398" t="s">
        <v>321</v>
      </c>
    </row>
    <row r="399" spans="1:1" x14ac:dyDescent="0.3">
      <c r="A399" t="s">
        <v>320</v>
      </c>
    </row>
    <row r="400" spans="1:1" x14ac:dyDescent="0.3">
      <c r="A400" t="s">
        <v>319</v>
      </c>
    </row>
    <row r="401" spans="1:1" x14ac:dyDescent="0.3">
      <c r="A401" t="s">
        <v>318</v>
      </c>
    </row>
    <row r="402" spans="1:1" x14ac:dyDescent="0.3">
      <c r="A402" t="s">
        <v>317</v>
      </c>
    </row>
    <row r="403" spans="1:1" x14ac:dyDescent="0.3">
      <c r="A403" t="s">
        <v>316</v>
      </c>
    </row>
    <row r="404" spans="1:1" x14ac:dyDescent="0.3">
      <c r="A404" t="s">
        <v>315</v>
      </c>
    </row>
    <row r="405" spans="1:1" x14ac:dyDescent="0.3">
      <c r="A405" t="s">
        <v>314</v>
      </c>
    </row>
    <row r="406" spans="1:1" x14ac:dyDescent="0.3">
      <c r="A406" t="s">
        <v>313</v>
      </c>
    </row>
    <row r="407" spans="1:1" x14ac:dyDescent="0.3">
      <c r="A407" t="s">
        <v>312</v>
      </c>
    </row>
    <row r="408" spans="1:1" x14ac:dyDescent="0.3">
      <c r="A408" t="s">
        <v>311</v>
      </c>
    </row>
    <row r="409" spans="1:1" x14ac:dyDescent="0.3">
      <c r="A409" t="s">
        <v>310</v>
      </c>
    </row>
    <row r="410" spans="1:1" x14ac:dyDescent="0.3">
      <c r="A410" t="s">
        <v>309</v>
      </c>
    </row>
    <row r="411" spans="1:1" x14ac:dyDescent="0.3">
      <c r="A411" t="s">
        <v>308</v>
      </c>
    </row>
    <row r="412" spans="1:1" x14ac:dyDescent="0.3">
      <c r="A412" t="s">
        <v>307</v>
      </c>
    </row>
    <row r="413" spans="1:1" x14ac:dyDescent="0.3">
      <c r="A413" t="s">
        <v>306</v>
      </c>
    </row>
    <row r="414" spans="1:1" x14ac:dyDescent="0.3">
      <c r="A414" t="s">
        <v>305</v>
      </c>
    </row>
    <row r="415" spans="1:1" x14ac:dyDescent="0.3">
      <c r="A415" t="s">
        <v>304</v>
      </c>
    </row>
    <row r="416" spans="1:1" x14ac:dyDescent="0.3">
      <c r="A416" t="s">
        <v>303</v>
      </c>
    </row>
    <row r="417" spans="1:1" x14ac:dyDescent="0.3">
      <c r="A417" t="s">
        <v>302</v>
      </c>
    </row>
    <row r="418" spans="1:1" x14ac:dyDescent="0.3">
      <c r="A418" t="s">
        <v>301</v>
      </c>
    </row>
    <row r="419" spans="1:1" x14ac:dyDescent="0.3">
      <c r="A419" t="s">
        <v>300</v>
      </c>
    </row>
    <row r="420" spans="1:1" x14ac:dyDescent="0.3">
      <c r="A420" t="s">
        <v>299</v>
      </c>
    </row>
    <row r="421" spans="1:1" x14ac:dyDescent="0.3">
      <c r="A421" t="s">
        <v>298</v>
      </c>
    </row>
    <row r="422" spans="1:1" x14ac:dyDescent="0.3">
      <c r="A422" t="s">
        <v>297</v>
      </c>
    </row>
    <row r="423" spans="1:1" x14ac:dyDescent="0.3">
      <c r="A423" t="s">
        <v>296</v>
      </c>
    </row>
    <row r="424" spans="1:1" x14ac:dyDescent="0.3">
      <c r="A424" t="s">
        <v>295</v>
      </c>
    </row>
    <row r="425" spans="1:1" x14ac:dyDescent="0.3">
      <c r="A425" t="s">
        <v>294</v>
      </c>
    </row>
    <row r="426" spans="1:1" x14ac:dyDescent="0.3">
      <c r="A426" t="s">
        <v>293</v>
      </c>
    </row>
    <row r="427" spans="1:1" x14ac:dyDescent="0.3">
      <c r="A427" t="s">
        <v>292</v>
      </c>
    </row>
    <row r="428" spans="1:1" x14ac:dyDescent="0.3">
      <c r="A428" t="s">
        <v>291</v>
      </c>
    </row>
    <row r="429" spans="1:1" x14ac:dyDescent="0.3">
      <c r="A429" t="s">
        <v>290</v>
      </c>
    </row>
    <row r="430" spans="1:1" x14ac:dyDescent="0.3">
      <c r="A430" t="s">
        <v>289</v>
      </c>
    </row>
    <row r="431" spans="1:1" x14ac:dyDescent="0.3">
      <c r="A431" t="s">
        <v>288</v>
      </c>
    </row>
    <row r="432" spans="1:1" x14ac:dyDescent="0.3">
      <c r="A432" t="s">
        <v>287</v>
      </c>
    </row>
    <row r="433" spans="1:1" x14ac:dyDescent="0.3">
      <c r="A433" t="s">
        <v>286</v>
      </c>
    </row>
    <row r="434" spans="1:1" x14ac:dyDescent="0.3">
      <c r="A434" t="s">
        <v>285</v>
      </c>
    </row>
    <row r="435" spans="1:1" x14ac:dyDescent="0.3">
      <c r="A435" t="s">
        <v>284</v>
      </c>
    </row>
    <row r="436" spans="1:1" x14ac:dyDescent="0.3">
      <c r="A436" t="s">
        <v>283</v>
      </c>
    </row>
    <row r="437" spans="1:1" x14ac:dyDescent="0.3">
      <c r="A437" t="s">
        <v>282</v>
      </c>
    </row>
    <row r="438" spans="1:1" x14ac:dyDescent="0.3">
      <c r="A438" t="s">
        <v>281</v>
      </c>
    </row>
    <row r="439" spans="1:1" x14ac:dyDescent="0.3">
      <c r="A439" t="s">
        <v>280</v>
      </c>
    </row>
    <row r="440" spans="1:1" x14ac:dyDescent="0.3">
      <c r="A440" t="s">
        <v>279</v>
      </c>
    </row>
    <row r="441" spans="1:1" x14ac:dyDescent="0.3">
      <c r="A441" t="s">
        <v>278</v>
      </c>
    </row>
    <row r="442" spans="1:1" x14ac:dyDescent="0.3">
      <c r="A442" t="s">
        <v>277</v>
      </c>
    </row>
    <row r="443" spans="1:1" x14ac:dyDescent="0.3">
      <c r="A443" t="s">
        <v>276</v>
      </c>
    </row>
    <row r="444" spans="1:1" x14ac:dyDescent="0.3">
      <c r="A444" t="s">
        <v>275</v>
      </c>
    </row>
    <row r="445" spans="1:1" x14ac:dyDescent="0.3">
      <c r="A445" t="s">
        <v>274</v>
      </c>
    </row>
    <row r="446" spans="1:1" x14ac:dyDescent="0.3">
      <c r="A446" t="s">
        <v>273</v>
      </c>
    </row>
    <row r="447" spans="1:1" x14ac:dyDescent="0.3">
      <c r="A447" t="s">
        <v>272</v>
      </c>
    </row>
    <row r="448" spans="1:1" x14ac:dyDescent="0.3">
      <c r="A448" t="s">
        <v>271</v>
      </c>
    </row>
    <row r="449" spans="1:1" x14ac:dyDescent="0.3">
      <c r="A449" t="s">
        <v>270</v>
      </c>
    </row>
    <row r="450" spans="1:1" x14ac:dyDescent="0.3">
      <c r="A450" t="s">
        <v>269</v>
      </c>
    </row>
    <row r="451" spans="1:1" x14ac:dyDescent="0.3">
      <c r="A451" t="s">
        <v>268</v>
      </c>
    </row>
    <row r="452" spans="1:1" x14ac:dyDescent="0.3">
      <c r="A452" t="s">
        <v>267</v>
      </c>
    </row>
    <row r="453" spans="1:1" x14ac:dyDescent="0.3">
      <c r="A453" t="s">
        <v>266</v>
      </c>
    </row>
    <row r="454" spans="1:1" x14ac:dyDescent="0.3">
      <c r="A454" t="s">
        <v>265</v>
      </c>
    </row>
    <row r="455" spans="1:1" x14ac:dyDescent="0.3">
      <c r="A455" t="s">
        <v>264</v>
      </c>
    </row>
    <row r="456" spans="1:1" x14ac:dyDescent="0.3">
      <c r="A456" t="s">
        <v>263</v>
      </c>
    </row>
    <row r="457" spans="1:1" x14ac:dyDescent="0.3">
      <c r="A457" t="s">
        <v>262</v>
      </c>
    </row>
    <row r="458" spans="1:1" x14ac:dyDescent="0.3">
      <c r="A458" t="s">
        <v>261</v>
      </c>
    </row>
    <row r="459" spans="1:1" x14ac:dyDescent="0.3">
      <c r="A459" t="s">
        <v>260</v>
      </c>
    </row>
    <row r="460" spans="1:1" x14ac:dyDescent="0.3">
      <c r="A460" t="s">
        <v>259</v>
      </c>
    </row>
    <row r="461" spans="1:1" x14ac:dyDescent="0.3">
      <c r="A461" t="s">
        <v>258</v>
      </c>
    </row>
    <row r="462" spans="1:1" x14ac:dyDescent="0.3">
      <c r="A462" t="s">
        <v>257</v>
      </c>
    </row>
    <row r="463" spans="1:1" x14ac:dyDescent="0.3">
      <c r="A463" t="s">
        <v>256</v>
      </c>
    </row>
    <row r="464" spans="1:1" x14ac:dyDescent="0.3">
      <c r="A464" t="s">
        <v>255</v>
      </c>
    </row>
    <row r="465" spans="1:1" x14ac:dyDescent="0.3">
      <c r="A465" t="s">
        <v>254</v>
      </c>
    </row>
    <row r="466" spans="1:1" x14ac:dyDescent="0.3">
      <c r="A466" t="s">
        <v>253</v>
      </c>
    </row>
    <row r="467" spans="1:1" x14ac:dyDescent="0.3">
      <c r="A467" t="s">
        <v>252</v>
      </c>
    </row>
    <row r="468" spans="1:1" x14ac:dyDescent="0.3">
      <c r="A468" t="s">
        <v>251</v>
      </c>
    </row>
    <row r="469" spans="1:1" x14ac:dyDescent="0.3">
      <c r="A469" t="s">
        <v>250</v>
      </c>
    </row>
    <row r="470" spans="1:1" x14ac:dyDescent="0.3">
      <c r="A470" t="s">
        <v>249</v>
      </c>
    </row>
    <row r="471" spans="1:1" x14ac:dyDescent="0.3">
      <c r="A471" t="s">
        <v>248</v>
      </c>
    </row>
    <row r="472" spans="1:1" x14ac:dyDescent="0.3">
      <c r="A472" t="s">
        <v>247</v>
      </c>
    </row>
    <row r="473" spans="1:1" x14ac:dyDescent="0.3">
      <c r="A473" t="s">
        <v>246</v>
      </c>
    </row>
    <row r="474" spans="1:1" x14ac:dyDescent="0.3">
      <c r="A474" t="s">
        <v>245</v>
      </c>
    </row>
    <row r="475" spans="1:1" x14ac:dyDescent="0.3">
      <c r="A475" t="s">
        <v>244</v>
      </c>
    </row>
    <row r="476" spans="1:1" x14ac:dyDescent="0.3">
      <c r="A476" t="s">
        <v>243</v>
      </c>
    </row>
    <row r="477" spans="1:1" x14ac:dyDescent="0.3">
      <c r="A477" t="s">
        <v>242</v>
      </c>
    </row>
    <row r="478" spans="1:1" x14ac:dyDescent="0.3">
      <c r="A478" t="s">
        <v>241</v>
      </c>
    </row>
    <row r="479" spans="1:1" x14ac:dyDescent="0.3">
      <c r="A479" t="s">
        <v>240</v>
      </c>
    </row>
    <row r="480" spans="1:1" x14ac:dyDescent="0.3">
      <c r="A480" t="s">
        <v>239</v>
      </c>
    </row>
    <row r="481" spans="1:1" x14ac:dyDescent="0.3">
      <c r="A481" t="s">
        <v>238</v>
      </c>
    </row>
    <row r="482" spans="1:1" x14ac:dyDescent="0.3">
      <c r="A482" t="s">
        <v>237</v>
      </c>
    </row>
    <row r="483" spans="1:1" x14ac:dyDescent="0.3">
      <c r="A483" t="s">
        <v>236</v>
      </c>
    </row>
    <row r="484" spans="1:1" x14ac:dyDescent="0.3">
      <c r="A484" t="s">
        <v>235</v>
      </c>
    </row>
    <row r="485" spans="1:1" x14ac:dyDescent="0.3">
      <c r="A485" t="s">
        <v>234</v>
      </c>
    </row>
    <row r="486" spans="1:1" x14ac:dyDescent="0.3">
      <c r="A486" t="s">
        <v>233</v>
      </c>
    </row>
    <row r="487" spans="1:1" x14ac:dyDescent="0.3">
      <c r="A487" t="s">
        <v>232</v>
      </c>
    </row>
    <row r="488" spans="1:1" x14ac:dyDescent="0.3">
      <c r="A488" t="s">
        <v>231</v>
      </c>
    </row>
    <row r="489" spans="1:1" x14ac:dyDescent="0.3">
      <c r="A489" t="s">
        <v>230</v>
      </c>
    </row>
    <row r="490" spans="1:1" x14ac:dyDescent="0.3">
      <c r="A490" t="s">
        <v>229</v>
      </c>
    </row>
    <row r="491" spans="1:1" x14ac:dyDescent="0.3">
      <c r="A491" t="s">
        <v>228</v>
      </c>
    </row>
    <row r="492" spans="1:1" x14ac:dyDescent="0.3">
      <c r="A492" t="s">
        <v>227</v>
      </c>
    </row>
    <row r="493" spans="1:1" x14ac:dyDescent="0.3">
      <c r="A493" t="s">
        <v>226</v>
      </c>
    </row>
    <row r="494" spans="1:1" x14ac:dyDescent="0.3">
      <c r="A494" t="s">
        <v>225</v>
      </c>
    </row>
    <row r="495" spans="1:1" x14ac:dyDescent="0.3">
      <c r="A495" t="s">
        <v>224</v>
      </c>
    </row>
    <row r="496" spans="1:1" x14ac:dyDescent="0.3">
      <c r="A496" t="s">
        <v>223</v>
      </c>
    </row>
    <row r="497" spans="1:1" x14ac:dyDescent="0.3">
      <c r="A497" t="s">
        <v>222</v>
      </c>
    </row>
    <row r="498" spans="1:1" x14ac:dyDescent="0.3">
      <c r="A498" t="s">
        <v>221</v>
      </c>
    </row>
    <row r="499" spans="1:1" x14ac:dyDescent="0.3">
      <c r="A499" t="s">
        <v>220</v>
      </c>
    </row>
    <row r="500" spans="1:1" x14ac:dyDescent="0.3">
      <c r="A500" t="s">
        <v>219</v>
      </c>
    </row>
    <row r="501" spans="1:1" x14ac:dyDescent="0.3">
      <c r="A501" t="s">
        <v>218</v>
      </c>
    </row>
    <row r="502" spans="1:1" x14ac:dyDescent="0.3">
      <c r="A502" t="s">
        <v>217</v>
      </c>
    </row>
    <row r="503" spans="1:1" x14ac:dyDescent="0.3">
      <c r="A503" t="s">
        <v>216</v>
      </c>
    </row>
    <row r="504" spans="1:1" x14ac:dyDescent="0.3">
      <c r="A504" t="s">
        <v>215</v>
      </c>
    </row>
    <row r="505" spans="1:1" x14ac:dyDescent="0.3">
      <c r="A505" t="s">
        <v>214</v>
      </c>
    </row>
    <row r="506" spans="1:1" x14ac:dyDescent="0.3">
      <c r="A506" t="s">
        <v>213</v>
      </c>
    </row>
    <row r="507" spans="1:1" x14ac:dyDescent="0.3">
      <c r="A507" t="s">
        <v>212</v>
      </c>
    </row>
    <row r="508" spans="1:1" x14ac:dyDescent="0.3">
      <c r="A508" t="s">
        <v>211</v>
      </c>
    </row>
    <row r="509" spans="1:1" x14ac:dyDescent="0.3">
      <c r="A509" t="s">
        <v>210</v>
      </c>
    </row>
    <row r="510" spans="1:1" x14ac:dyDescent="0.3">
      <c r="A510" t="s">
        <v>209</v>
      </c>
    </row>
    <row r="511" spans="1:1" x14ac:dyDescent="0.3">
      <c r="A511" t="s">
        <v>208</v>
      </c>
    </row>
    <row r="512" spans="1:1" x14ac:dyDescent="0.3">
      <c r="A512" t="s">
        <v>207</v>
      </c>
    </row>
    <row r="513" spans="1:1" x14ac:dyDescent="0.3">
      <c r="A513" t="s">
        <v>206</v>
      </c>
    </row>
    <row r="514" spans="1:1" x14ac:dyDescent="0.3">
      <c r="A514" t="s">
        <v>205</v>
      </c>
    </row>
    <row r="515" spans="1:1" x14ac:dyDescent="0.3">
      <c r="A515" t="s">
        <v>204</v>
      </c>
    </row>
    <row r="516" spans="1:1" x14ac:dyDescent="0.3">
      <c r="A516" t="s">
        <v>203</v>
      </c>
    </row>
    <row r="517" spans="1:1" x14ac:dyDescent="0.3">
      <c r="A517" t="s">
        <v>202</v>
      </c>
    </row>
    <row r="518" spans="1:1" x14ac:dyDescent="0.3">
      <c r="A518" t="s">
        <v>201</v>
      </c>
    </row>
    <row r="519" spans="1:1" x14ac:dyDescent="0.3">
      <c r="A519" t="s">
        <v>200</v>
      </c>
    </row>
    <row r="520" spans="1:1" x14ac:dyDescent="0.3">
      <c r="A520" t="s">
        <v>199</v>
      </c>
    </row>
    <row r="521" spans="1:1" x14ac:dyDescent="0.3">
      <c r="A521" t="s">
        <v>198</v>
      </c>
    </row>
    <row r="522" spans="1:1" x14ac:dyDescent="0.3">
      <c r="A522" t="s">
        <v>197</v>
      </c>
    </row>
    <row r="523" spans="1:1" x14ac:dyDescent="0.3">
      <c r="A523" t="s">
        <v>196</v>
      </c>
    </row>
    <row r="524" spans="1:1" x14ac:dyDescent="0.3">
      <c r="A524" t="s">
        <v>195</v>
      </c>
    </row>
    <row r="525" spans="1:1" x14ac:dyDescent="0.3">
      <c r="A525" t="s">
        <v>194</v>
      </c>
    </row>
    <row r="526" spans="1:1" x14ac:dyDescent="0.3">
      <c r="A526" t="s">
        <v>193</v>
      </c>
    </row>
    <row r="527" spans="1:1" x14ac:dyDescent="0.3">
      <c r="A527" t="s">
        <v>192</v>
      </c>
    </row>
    <row r="528" spans="1:1" x14ac:dyDescent="0.3">
      <c r="A528" t="s">
        <v>191</v>
      </c>
    </row>
    <row r="529" spans="1:1" x14ac:dyDescent="0.3">
      <c r="A529" t="s">
        <v>190</v>
      </c>
    </row>
    <row r="530" spans="1:1" x14ac:dyDescent="0.3">
      <c r="A530" t="s">
        <v>189</v>
      </c>
    </row>
    <row r="531" spans="1:1" x14ac:dyDescent="0.3">
      <c r="A531" t="s">
        <v>188</v>
      </c>
    </row>
    <row r="532" spans="1:1" x14ac:dyDescent="0.3">
      <c r="A532" t="s">
        <v>187</v>
      </c>
    </row>
    <row r="533" spans="1:1" x14ac:dyDescent="0.3">
      <c r="A533" t="s">
        <v>186</v>
      </c>
    </row>
    <row r="534" spans="1:1" x14ac:dyDescent="0.3">
      <c r="A534" t="s">
        <v>185</v>
      </c>
    </row>
    <row r="535" spans="1:1" x14ac:dyDescent="0.3">
      <c r="A535" t="s">
        <v>184</v>
      </c>
    </row>
    <row r="536" spans="1:1" x14ac:dyDescent="0.3">
      <c r="A536" t="s">
        <v>183</v>
      </c>
    </row>
    <row r="537" spans="1:1" x14ac:dyDescent="0.3">
      <c r="A537" t="s">
        <v>182</v>
      </c>
    </row>
    <row r="538" spans="1:1" x14ac:dyDescent="0.3">
      <c r="A538" t="s">
        <v>181</v>
      </c>
    </row>
    <row r="539" spans="1:1" x14ac:dyDescent="0.3">
      <c r="A539" t="s">
        <v>180</v>
      </c>
    </row>
    <row r="540" spans="1:1" x14ac:dyDescent="0.3">
      <c r="A540" t="s">
        <v>179</v>
      </c>
    </row>
    <row r="541" spans="1:1" x14ac:dyDescent="0.3">
      <c r="A541" t="s">
        <v>178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7" sqref="D17:E18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112</v>
      </c>
      <c r="B2" s="69" t="s">
        <v>101</v>
      </c>
      <c r="C2" s="69" t="s">
        <v>111</v>
      </c>
      <c r="D2" s="68">
        <v>16.52</v>
      </c>
      <c r="E2" s="68">
        <v>5.16</v>
      </c>
      <c r="G2" s="67"/>
    </row>
    <row r="3" spans="1:16" ht="20.100000000000001" customHeight="1" x14ac:dyDescent="0.35">
      <c r="A3" s="70" t="s">
        <v>110</v>
      </c>
      <c r="B3" s="69" t="s">
        <v>94</v>
      </c>
      <c r="C3" s="69" t="s">
        <v>109</v>
      </c>
      <c r="D3" s="68">
        <v>15.92</v>
      </c>
      <c r="E3" s="68">
        <v>-0.37</v>
      </c>
      <c r="F3" s="67"/>
      <c r="G3" s="67"/>
    </row>
    <row r="4" spans="1:16" ht="20.100000000000001" customHeight="1" x14ac:dyDescent="0.35">
      <c r="A4" s="70" t="s">
        <v>108</v>
      </c>
      <c r="B4" s="69"/>
      <c r="C4" s="69" t="s">
        <v>107</v>
      </c>
      <c r="D4" s="68">
        <v>15.17</v>
      </c>
      <c r="E4" s="68">
        <v>-3.82</v>
      </c>
      <c r="F4" s="67"/>
      <c r="G4" s="67"/>
    </row>
    <row r="5" spans="1:16" ht="20.100000000000001" customHeight="1" x14ac:dyDescent="0.35">
      <c r="A5" s="70" t="s">
        <v>106</v>
      </c>
      <c r="B5" s="69"/>
      <c r="C5" s="69" t="s">
        <v>105</v>
      </c>
      <c r="D5" s="68">
        <v>14.62</v>
      </c>
      <c r="E5" s="68">
        <v>0.65</v>
      </c>
      <c r="F5" s="67"/>
      <c r="G5" s="67"/>
    </row>
    <row r="6" spans="1:16" ht="20.100000000000001" customHeight="1" x14ac:dyDescent="0.35">
      <c r="A6" s="70" t="s">
        <v>102</v>
      </c>
      <c r="B6" s="69" t="s">
        <v>101</v>
      </c>
      <c r="C6" s="69" t="s">
        <v>100</v>
      </c>
      <c r="D6" s="68">
        <v>14.07</v>
      </c>
      <c r="E6" s="68">
        <v>3.84</v>
      </c>
      <c r="G6" s="67"/>
    </row>
    <row r="7" spans="1:16" ht="20.100000000000001" customHeight="1" x14ac:dyDescent="0.35">
      <c r="A7" s="70" t="s">
        <v>104</v>
      </c>
      <c r="B7" s="69" t="s">
        <v>98</v>
      </c>
      <c r="C7" s="69" t="s">
        <v>103</v>
      </c>
      <c r="D7" s="68">
        <v>13.38</v>
      </c>
      <c r="E7" s="68">
        <v>4.66</v>
      </c>
      <c r="G7" s="67"/>
    </row>
    <row r="8" spans="1:16" ht="20.100000000000001" customHeight="1" x14ac:dyDescent="0.35">
      <c r="A8" s="70" t="s">
        <v>102</v>
      </c>
      <c r="B8" s="69" t="s">
        <v>101</v>
      </c>
      <c r="C8" s="69" t="s">
        <v>100</v>
      </c>
      <c r="D8" s="68">
        <v>12.44</v>
      </c>
      <c r="E8" s="68">
        <v>3.65</v>
      </c>
      <c r="F8" s="67"/>
      <c r="G8" s="67"/>
    </row>
    <row r="9" spans="1:16" ht="20.100000000000001" customHeight="1" x14ac:dyDescent="0.35">
      <c r="A9" s="70" t="s">
        <v>102</v>
      </c>
      <c r="B9" s="69" t="s">
        <v>101</v>
      </c>
      <c r="C9" s="69" t="s">
        <v>100</v>
      </c>
      <c r="D9" s="68">
        <v>12.27</v>
      </c>
      <c r="E9" s="68">
        <v>4.01</v>
      </c>
      <c r="F9" s="67"/>
      <c r="G9" s="67"/>
    </row>
    <row r="10" spans="1:16" ht="20.100000000000001" customHeight="1" x14ac:dyDescent="0.35">
      <c r="A10" s="70" t="s">
        <v>99</v>
      </c>
      <c r="B10" s="69" t="s">
        <v>98</v>
      </c>
      <c r="C10" s="69" t="s">
        <v>97</v>
      </c>
      <c r="D10" s="68">
        <v>12.15</v>
      </c>
      <c r="E10" s="68">
        <v>-0.53</v>
      </c>
      <c r="F10" s="67"/>
      <c r="G10" s="67"/>
    </row>
    <row r="11" spans="1:16" ht="20.100000000000001" customHeight="1" x14ac:dyDescent="0.35">
      <c r="A11" s="70" t="s">
        <v>95</v>
      </c>
      <c r="B11" s="69"/>
      <c r="C11" s="69" t="s">
        <v>96</v>
      </c>
      <c r="D11" s="68">
        <v>12.14</v>
      </c>
      <c r="E11" s="68">
        <v>1.42</v>
      </c>
      <c r="F11" s="67"/>
      <c r="G11" s="67"/>
    </row>
    <row r="12" spans="1:16" ht="20.100000000000001" customHeight="1" x14ac:dyDescent="0.35">
      <c r="A12" s="70" t="s">
        <v>95</v>
      </c>
      <c r="B12" s="69" t="s">
        <v>94</v>
      </c>
      <c r="C12" s="69" t="s">
        <v>93</v>
      </c>
      <c r="D12" s="68">
        <v>10.89</v>
      </c>
      <c r="E12" s="68">
        <v>1.05</v>
      </c>
      <c r="F12" s="67"/>
      <c r="G12" s="67"/>
    </row>
    <row r="13" spans="1:16" ht="20.100000000000001" customHeight="1" x14ac:dyDescent="0.35">
      <c r="A13" s="70" t="s">
        <v>92</v>
      </c>
      <c r="B13" s="69"/>
      <c r="C13" s="69" t="s">
        <v>91</v>
      </c>
      <c r="D13" s="68">
        <v>10.72</v>
      </c>
      <c r="E13" s="68">
        <v>3.81</v>
      </c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 t="s">
        <v>80</v>
      </c>
      <c r="D17" s="68">
        <f>AVERAGE(D2:D13)</f>
        <v>13.3575</v>
      </c>
      <c r="E17" s="68">
        <f>AVERAGE(E2:E13)</f>
        <v>1.9608333333333334</v>
      </c>
      <c r="F17" s="67"/>
      <c r="G17" s="67"/>
    </row>
    <row r="18" spans="1:7" ht="20.100000000000001" customHeight="1" x14ac:dyDescent="0.35">
      <c r="A18" s="70"/>
      <c r="B18" s="69"/>
      <c r="C18" s="69" t="s">
        <v>81</v>
      </c>
      <c r="D18" s="68">
        <f>_xlfn.STDEV.S(D2:D13)</f>
        <v>1.9060865429174276</v>
      </c>
      <c r="E18" s="68">
        <f>_xlfn.STDEV.S(E2:E13)</f>
        <v>2.6869836360882551</v>
      </c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>
    <sortState ref="A2:E22">
      <sortCondition descending="1" ref="D1:D22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5" sqref="D15:E16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106</v>
      </c>
      <c r="B2" s="69" t="s">
        <v>133</v>
      </c>
      <c r="C2" s="69" t="s">
        <v>132</v>
      </c>
      <c r="D2" s="68">
        <v>17.66</v>
      </c>
      <c r="E2" s="68">
        <v>10.89</v>
      </c>
      <c r="G2" s="67"/>
    </row>
    <row r="3" spans="1:16" ht="20.100000000000001" customHeight="1" x14ac:dyDescent="0.35">
      <c r="A3" s="70" t="s">
        <v>106</v>
      </c>
      <c r="B3" s="69" t="s">
        <v>133</v>
      </c>
      <c r="C3" s="69" t="s">
        <v>132</v>
      </c>
      <c r="D3" s="68">
        <v>18.170000000000002</v>
      </c>
      <c r="E3" s="68">
        <v>9.27</v>
      </c>
      <c r="F3" s="67"/>
      <c r="G3" s="67"/>
    </row>
    <row r="4" spans="1:16" ht="20.100000000000001" customHeight="1" x14ac:dyDescent="0.35">
      <c r="A4" s="70" t="s">
        <v>131</v>
      </c>
      <c r="B4" s="69"/>
      <c r="C4" s="69" t="s">
        <v>130</v>
      </c>
      <c r="D4" s="68">
        <v>15.309999999999999</v>
      </c>
      <c r="E4" s="68">
        <v>3.085</v>
      </c>
      <c r="F4" s="67"/>
      <c r="G4" s="67"/>
    </row>
    <row r="5" spans="1:16" ht="20.100000000000001" customHeight="1" x14ac:dyDescent="0.35">
      <c r="A5" s="70" t="s">
        <v>129</v>
      </c>
      <c r="B5" s="69"/>
      <c r="C5" s="69" t="s">
        <v>128</v>
      </c>
      <c r="D5" s="68">
        <v>19.239999999999998</v>
      </c>
      <c r="E5" s="68">
        <v>8.4600000000000009</v>
      </c>
      <c r="F5" s="67"/>
      <c r="G5" s="67"/>
    </row>
    <row r="6" spans="1:16" ht="20.100000000000001" customHeight="1" x14ac:dyDescent="0.35">
      <c r="A6" s="70" t="s">
        <v>127</v>
      </c>
      <c r="B6" s="69"/>
      <c r="C6" s="69" t="s">
        <v>126</v>
      </c>
      <c r="D6" s="68">
        <v>20.925000000000001</v>
      </c>
      <c r="E6" s="68">
        <v>5.27</v>
      </c>
      <c r="G6" s="67"/>
    </row>
    <row r="7" spans="1:16" ht="20.100000000000001" customHeight="1" x14ac:dyDescent="0.35">
      <c r="A7" s="70" t="s">
        <v>125</v>
      </c>
      <c r="B7" s="69"/>
      <c r="C7" s="69" t="s">
        <v>124</v>
      </c>
      <c r="D7" s="68">
        <v>24.47</v>
      </c>
      <c r="E7" s="68">
        <v>-0.67</v>
      </c>
      <c r="G7" s="67"/>
    </row>
    <row r="8" spans="1:16" ht="20.100000000000001" customHeight="1" x14ac:dyDescent="0.35">
      <c r="A8" s="70" t="s">
        <v>123</v>
      </c>
      <c r="B8" s="69"/>
      <c r="C8" s="69" t="s">
        <v>122</v>
      </c>
      <c r="D8" s="68">
        <v>24.39</v>
      </c>
      <c r="E8" s="68">
        <v>1.3149999999999999</v>
      </c>
      <c r="F8" s="67"/>
      <c r="G8" s="67"/>
    </row>
    <row r="9" spans="1:16" ht="20.100000000000001" customHeight="1" x14ac:dyDescent="0.35">
      <c r="A9" s="70" t="s">
        <v>121</v>
      </c>
      <c r="B9" s="69"/>
      <c r="C9" s="69" t="s">
        <v>120</v>
      </c>
      <c r="D9" s="68">
        <v>18.195</v>
      </c>
      <c r="E9" s="68">
        <v>4.7449999999999992</v>
      </c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 t="s">
        <v>80</v>
      </c>
      <c r="D15" s="68">
        <f>AVERAGE(D2:D9)</f>
        <v>19.794999999999998</v>
      </c>
      <c r="E15" s="68">
        <f>AVERAGE(E2:E9)</f>
        <v>5.2956249999999994</v>
      </c>
      <c r="F15" s="67"/>
      <c r="G15" s="67"/>
    </row>
    <row r="16" spans="1:16" ht="20.100000000000001" customHeight="1" x14ac:dyDescent="0.35">
      <c r="A16" s="70"/>
      <c r="B16" s="69"/>
      <c r="C16" s="69" t="s">
        <v>81</v>
      </c>
      <c r="D16" s="68">
        <f>_xlfn.STDEV.S(D2:D9)</f>
        <v>3.2607766384274761</v>
      </c>
      <c r="E16" s="68">
        <f>_xlfn.STDEV.S(E2:E9)</f>
        <v>4.0307872658009201</v>
      </c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8" sqref="D8:E9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138</v>
      </c>
      <c r="B2" s="69" t="s">
        <v>135</v>
      </c>
      <c r="C2" s="69" t="s">
        <v>137</v>
      </c>
      <c r="D2" s="68">
        <v>0.63</v>
      </c>
      <c r="E2" s="68">
        <v>10.72</v>
      </c>
      <c r="G2" s="67"/>
    </row>
    <row r="3" spans="1:16" ht="20.100000000000001" customHeight="1" x14ac:dyDescent="0.35">
      <c r="A3" s="70" t="s">
        <v>136</v>
      </c>
      <c r="B3" s="69" t="s">
        <v>135</v>
      </c>
      <c r="C3" s="69" t="s">
        <v>134</v>
      </c>
      <c r="D3" s="68">
        <v>1.1000000000000001</v>
      </c>
      <c r="E3" s="68">
        <v>18.05</v>
      </c>
      <c r="F3" s="67"/>
      <c r="G3" s="67"/>
    </row>
    <row r="4" spans="1:16" ht="20.100000000000001" customHeight="1" x14ac:dyDescent="0.35">
      <c r="A4" s="70"/>
      <c r="B4" s="69"/>
      <c r="C4" s="69"/>
      <c r="D4" s="68"/>
      <c r="E4" s="68"/>
      <c r="F4" s="67"/>
      <c r="G4" s="67"/>
    </row>
    <row r="5" spans="1:16" ht="20.100000000000001" customHeight="1" x14ac:dyDescent="0.35">
      <c r="A5" s="70"/>
      <c r="B5" s="69"/>
      <c r="C5" s="69"/>
      <c r="D5" s="68"/>
      <c r="E5" s="68"/>
      <c r="F5" s="67"/>
      <c r="G5" s="67"/>
    </row>
    <row r="6" spans="1:16" ht="20.100000000000001" customHeight="1" x14ac:dyDescent="0.35">
      <c r="A6" s="70"/>
      <c r="B6" s="69"/>
      <c r="C6" s="69"/>
      <c r="D6" s="68"/>
      <c r="E6" s="68"/>
      <c r="G6" s="67"/>
    </row>
    <row r="7" spans="1:16" ht="20.100000000000001" customHeight="1" x14ac:dyDescent="0.35">
      <c r="A7" s="70"/>
      <c r="B7" s="69"/>
      <c r="C7" s="69"/>
      <c r="D7" s="68"/>
      <c r="E7" s="68"/>
      <c r="G7" s="67"/>
    </row>
    <row r="8" spans="1:16" ht="20.100000000000001" customHeight="1" x14ac:dyDescent="0.35">
      <c r="A8" s="70"/>
      <c r="B8" s="69"/>
      <c r="C8" s="69" t="s">
        <v>80</v>
      </c>
      <c r="D8" s="68">
        <f>AVERAGE(D2:D3)</f>
        <v>0.86499999999999999</v>
      </c>
      <c r="E8" s="68">
        <f>AVERAGE(E2:E3)</f>
        <v>14.385000000000002</v>
      </c>
      <c r="F8" s="67"/>
      <c r="G8" s="67"/>
    </row>
    <row r="9" spans="1:16" ht="20.100000000000001" customHeight="1" x14ac:dyDescent="0.35">
      <c r="A9" s="70"/>
      <c r="B9" s="69"/>
      <c r="C9" s="69" t="s">
        <v>81</v>
      </c>
      <c r="D9" s="68">
        <f>_xlfn.STDEV.S(D2:D3)</f>
        <v>0.3323401871576776</v>
      </c>
      <c r="E9" s="68">
        <f>_xlfn.STDEV.S(E2:E3)</f>
        <v>5.1830927060973853</v>
      </c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6" sqref="D6:E7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143</v>
      </c>
      <c r="B2" s="69"/>
      <c r="C2" s="69" t="s">
        <v>142</v>
      </c>
      <c r="D2" s="68">
        <v>3.25</v>
      </c>
      <c r="E2" s="68">
        <v>40.020000000000003</v>
      </c>
      <c r="G2" s="67"/>
    </row>
    <row r="3" spans="1:16" ht="20.100000000000001" customHeight="1" x14ac:dyDescent="0.35">
      <c r="A3" s="70" t="s">
        <v>141</v>
      </c>
      <c r="B3" s="69"/>
      <c r="C3" s="69" t="s">
        <v>139</v>
      </c>
      <c r="D3" s="68">
        <v>1.75</v>
      </c>
      <c r="E3" s="68">
        <v>45.94</v>
      </c>
      <c r="F3" s="67"/>
      <c r="G3" s="67"/>
    </row>
    <row r="4" spans="1:16" ht="20.100000000000001" customHeight="1" x14ac:dyDescent="0.35">
      <c r="A4" s="70" t="s">
        <v>140</v>
      </c>
      <c r="B4" s="69"/>
      <c r="C4" s="69" t="s">
        <v>139</v>
      </c>
      <c r="D4" s="68">
        <v>0.13</v>
      </c>
      <c r="E4" s="68">
        <v>51.47</v>
      </c>
      <c r="F4" s="67"/>
      <c r="G4" s="67"/>
    </row>
    <row r="5" spans="1:16" ht="20.100000000000001" customHeight="1" x14ac:dyDescent="0.35">
      <c r="A5" s="70"/>
      <c r="B5" s="69"/>
      <c r="C5" s="69"/>
      <c r="D5" s="68"/>
      <c r="E5" s="68"/>
      <c r="F5" s="67"/>
      <c r="G5" s="67"/>
    </row>
    <row r="6" spans="1:16" ht="20.100000000000001" customHeight="1" x14ac:dyDescent="0.35">
      <c r="A6" s="70"/>
      <c r="B6" s="69"/>
      <c r="C6" s="69" t="s">
        <v>80</v>
      </c>
      <c r="D6" s="68">
        <f>AVERAGE(D2:D4)</f>
        <v>1.71</v>
      </c>
      <c r="E6" s="68">
        <f>AVERAGE(E2:E4)</f>
        <v>45.81</v>
      </c>
      <c r="G6" s="67"/>
    </row>
    <row r="7" spans="1:16" ht="20.100000000000001" customHeight="1" x14ac:dyDescent="0.35">
      <c r="A7" s="70"/>
      <c r="B7" s="69"/>
      <c r="C7" s="69" t="s">
        <v>81</v>
      </c>
      <c r="D7" s="68">
        <f>_xlfn.STDEV.S(D2:D4)</f>
        <v>1.5603845679831623</v>
      </c>
      <c r="E7" s="68">
        <f>_xlfn.STDEV.S(E2:E4)</f>
        <v>5.7261068798966068</v>
      </c>
      <c r="G7" s="67"/>
    </row>
    <row r="8" spans="1:16" ht="20.100000000000001" customHeight="1" x14ac:dyDescent="0.35">
      <c r="A8" s="70"/>
      <c r="B8" s="69"/>
      <c r="C8" s="69"/>
      <c r="D8" s="68"/>
      <c r="E8" s="68"/>
      <c r="F8" s="67"/>
      <c r="G8" s="67"/>
    </row>
    <row r="9" spans="1:16" ht="20.100000000000001" customHeight="1" x14ac:dyDescent="0.35">
      <c r="A9" s="70"/>
      <c r="B9" s="69"/>
      <c r="C9" s="69"/>
      <c r="D9" s="68"/>
      <c r="E9" s="68"/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zoomScale="85" zoomScaleNormal="85" workbookViewId="0">
      <selection activeCell="F26" sqref="F26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164</v>
      </c>
      <c r="B2" s="69"/>
      <c r="C2" s="69" t="s">
        <v>163</v>
      </c>
      <c r="D2" s="68">
        <v>1.4100000000000001</v>
      </c>
      <c r="E2" s="68">
        <v>8.9700000000000006</v>
      </c>
      <c r="G2" s="67"/>
    </row>
    <row r="3" spans="1:16" ht="20.100000000000001" customHeight="1" x14ac:dyDescent="0.35">
      <c r="A3" s="70" t="s">
        <v>162</v>
      </c>
      <c r="B3" s="69"/>
      <c r="C3" s="69" t="s">
        <v>161</v>
      </c>
      <c r="D3" s="68">
        <v>3.76</v>
      </c>
      <c r="E3" s="68">
        <v>8.43</v>
      </c>
      <c r="F3" s="67"/>
      <c r="G3" s="67"/>
    </row>
    <row r="4" spans="1:16" ht="20.100000000000001" customHeight="1" x14ac:dyDescent="0.35">
      <c r="A4" s="70" t="s">
        <v>160</v>
      </c>
      <c r="B4" s="69" t="s">
        <v>133</v>
      </c>
      <c r="C4" s="69" t="s">
        <v>159</v>
      </c>
      <c r="D4" s="68">
        <v>1.75</v>
      </c>
      <c r="E4" s="68">
        <v>7.65</v>
      </c>
      <c r="F4" s="67"/>
      <c r="G4" s="67"/>
    </row>
    <row r="5" spans="1:16" ht="20.100000000000001" customHeight="1" x14ac:dyDescent="0.35">
      <c r="A5" s="70" t="s">
        <v>158</v>
      </c>
      <c r="B5" s="69"/>
      <c r="C5" s="69" t="s">
        <v>157</v>
      </c>
      <c r="D5" s="68">
        <v>0.53</v>
      </c>
      <c r="E5" s="68">
        <v>7.29</v>
      </c>
      <c r="F5" s="67"/>
      <c r="G5" s="67"/>
    </row>
    <row r="6" spans="1:16" ht="20.100000000000001" customHeight="1" x14ac:dyDescent="0.35">
      <c r="A6" s="70" t="s">
        <v>156</v>
      </c>
      <c r="B6" s="69"/>
      <c r="C6" s="69" t="s">
        <v>155</v>
      </c>
      <c r="D6" s="68">
        <v>1.665</v>
      </c>
      <c r="E6" s="68">
        <v>4.1099999999999994</v>
      </c>
      <c r="F6" s="67"/>
      <c r="G6" s="67"/>
    </row>
    <row r="7" spans="1:16" ht="20.100000000000001" customHeight="1" x14ac:dyDescent="0.35">
      <c r="A7" s="70" t="s">
        <v>154</v>
      </c>
      <c r="B7" s="69" t="s">
        <v>94</v>
      </c>
      <c r="C7" s="69" t="s">
        <v>153</v>
      </c>
      <c r="D7" s="68">
        <v>4.34</v>
      </c>
      <c r="E7" s="68">
        <v>0.88</v>
      </c>
      <c r="F7" s="67"/>
      <c r="G7" s="67"/>
    </row>
    <row r="8" spans="1:16" ht="20.100000000000001" customHeight="1" x14ac:dyDescent="0.35">
      <c r="A8" s="70" t="s">
        <v>152</v>
      </c>
      <c r="B8" s="69" t="s">
        <v>145</v>
      </c>
      <c r="C8" s="69" t="s">
        <v>151</v>
      </c>
      <c r="D8" s="68">
        <v>2.98</v>
      </c>
      <c r="E8" s="68">
        <v>0.23</v>
      </c>
      <c r="F8" s="67"/>
      <c r="G8" s="67"/>
    </row>
    <row r="9" spans="1:16" ht="20.100000000000001" customHeight="1" x14ac:dyDescent="0.35">
      <c r="A9" s="70" t="s">
        <v>150</v>
      </c>
      <c r="B9" s="69" t="s">
        <v>145</v>
      </c>
      <c r="C9" s="69" t="s">
        <v>149</v>
      </c>
      <c r="D9" s="68">
        <v>0.92</v>
      </c>
      <c r="E9" s="68">
        <v>0.08</v>
      </c>
      <c r="F9" s="67"/>
      <c r="G9" s="67"/>
    </row>
    <row r="10" spans="1:16" ht="20.100000000000001" customHeight="1" x14ac:dyDescent="0.35">
      <c r="A10" s="70" t="s">
        <v>148</v>
      </c>
      <c r="B10" s="69" t="s">
        <v>145</v>
      </c>
      <c r="C10" s="69" t="s">
        <v>147</v>
      </c>
      <c r="D10" s="68">
        <v>2.36</v>
      </c>
      <c r="E10" s="68">
        <v>-0.6</v>
      </c>
      <c r="F10" s="67"/>
      <c r="G10" s="67"/>
    </row>
    <row r="11" spans="1:16" ht="20.100000000000001" customHeight="1" x14ac:dyDescent="0.35">
      <c r="A11" s="70" t="s">
        <v>146</v>
      </c>
      <c r="B11" s="69" t="s">
        <v>145</v>
      </c>
      <c r="C11" s="69" t="s">
        <v>144</v>
      </c>
      <c r="D11" s="68">
        <v>1.86</v>
      </c>
      <c r="E11" s="68">
        <v>-1.83</v>
      </c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 t="s">
        <v>80</v>
      </c>
      <c r="D14" s="68">
        <f>AVERAGE(D2:D11)</f>
        <v>2.1574999999999998</v>
      </c>
      <c r="F14" s="68">
        <f>AVERAGE(E2:E11)</f>
        <v>3.5209999999999995</v>
      </c>
      <c r="G14" s="67"/>
    </row>
    <row r="15" spans="1:16" ht="20.100000000000001" customHeight="1" x14ac:dyDescent="0.35">
      <c r="A15" s="70"/>
      <c r="B15" s="69"/>
      <c r="C15" s="69" t="s">
        <v>81</v>
      </c>
      <c r="D15" s="68">
        <f>_xlfn.STDEV.S(D2:D11)</f>
        <v>1.2149468438303519</v>
      </c>
      <c r="E15" s="68">
        <f>_xlfn.STDEV.S(E2:E11)</f>
        <v>4.2249614067928354</v>
      </c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</sheetData>
  <autoFilter ref="A1:E19">
    <sortState ref="A2:E19">
      <sortCondition descending="1" ref="E1:E19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4월</vt:lpstr>
      <vt:lpstr>summary_statistics_MixSIAR</vt:lpstr>
      <vt:lpstr>diagnostics_MixSIAR</vt:lpstr>
      <vt:lpstr>오염원(하수)</vt:lpstr>
      <vt:lpstr>오염원(퇴비)</vt:lpstr>
      <vt:lpstr>오염원(비료)</vt:lpstr>
      <vt:lpstr>오염원(강우)</vt:lpstr>
      <vt:lpstr>오염원(토양_산림 CASE3)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Nier</cp:lastModifiedBy>
  <cp:lastPrinted>2026-04-16T05:28:16Z</cp:lastPrinted>
  <dcterms:created xsi:type="dcterms:W3CDTF">2018-05-02T05:09:56Z</dcterms:created>
  <dcterms:modified xsi:type="dcterms:W3CDTF">2026-04-22T01:08:23Z</dcterms:modified>
</cp:coreProperties>
</file>