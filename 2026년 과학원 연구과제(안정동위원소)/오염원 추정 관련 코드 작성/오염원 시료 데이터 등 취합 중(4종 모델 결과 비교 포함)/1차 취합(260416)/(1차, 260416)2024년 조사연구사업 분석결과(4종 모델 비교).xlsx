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EMMTE, MixSIAR 비교\"/>
    </mc:Choice>
  </mc:AlternateContent>
  <bookViews>
    <workbookView xWindow="-120" yWindow="-120" windowWidth="29040" windowHeight="15720" tabRatio="737" firstSheet="4" activeTab="4"/>
  </bookViews>
  <sheets>
    <sheet name="4월" sheetId="37" r:id="rId1"/>
    <sheet name="6월" sheetId="42" r:id="rId2"/>
    <sheet name="8월" sheetId="43" r:id="rId3"/>
    <sheet name="10월" sheetId="48" r:id="rId4"/>
    <sheet name="9월 19일_기여율 결과 포함" sheetId="44" r:id="rId5"/>
    <sheet name="summary_statistics_MixSIAR_0919" sheetId="71" r:id="rId6"/>
    <sheet name="diagnostics_MixSIAR_0919(long)" sheetId="72" r:id="rId7"/>
    <sheet name="9월 20일 A" sheetId="45" r:id="rId8"/>
    <sheet name="9월 20일 P" sheetId="46" r:id="rId9"/>
    <sheet name="9월 23일_기여율 결과 포함" sheetId="47" r:id="rId10"/>
    <sheet name="summary_statistics_MixSIAR_0923" sheetId="69" r:id="rId11"/>
    <sheet name="diagnostics_MixSIAR_0923(long)" sheetId="70" r:id="rId12"/>
    <sheet name="오염원(하수)" sheetId="55" r:id="rId13"/>
    <sheet name="오염원(퇴비)" sheetId="56" r:id="rId14"/>
    <sheet name="오염원(비료)" sheetId="57" r:id="rId15"/>
    <sheet name="오염원(강우)" sheetId="58" r:id="rId16"/>
    <sheet name="오염원(토양_산림)" sheetId="59" r:id="rId17"/>
  </sheets>
  <definedNames>
    <definedName name="_xlnm._FilterDatabase" localSheetId="15" hidden="1">'오염원(강우)'!$A$1:$E$22</definedName>
    <definedName name="_xlnm._FilterDatabase" localSheetId="14" hidden="1">'오염원(비료)'!$A$1:$E$22</definedName>
    <definedName name="_xlnm._FilterDatabase" localSheetId="16" hidden="1">'오염원(토양_산림)'!$A$1:$E$19</definedName>
    <definedName name="_xlnm._FilterDatabase" localSheetId="13" hidden="1">'오염원(퇴비)'!$A$1:$E$22</definedName>
    <definedName name="_xlnm._FilterDatabase" localSheetId="12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2" i="47" l="1"/>
  <c r="AE61" i="47"/>
  <c r="AE60" i="47"/>
  <c r="AE59" i="47"/>
  <c r="AE58" i="47"/>
  <c r="AE57" i="47"/>
  <c r="AE56" i="47"/>
  <c r="AE55" i="47"/>
  <c r="AE54" i="47"/>
  <c r="AE53" i="47"/>
  <c r="AE52" i="47"/>
  <c r="AE51" i="47"/>
  <c r="AE50" i="47"/>
  <c r="AE49" i="47"/>
  <c r="AE48" i="47"/>
  <c r="AE47" i="47"/>
  <c r="AE46" i="47"/>
  <c r="AE45" i="47"/>
  <c r="AE44" i="47"/>
  <c r="AE43" i="47"/>
  <c r="AE42" i="47"/>
  <c r="AE41" i="47"/>
  <c r="AE40" i="47"/>
  <c r="AE39" i="47"/>
  <c r="AE62" i="44"/>
  <c r="AE61" i="44"/>
  <c r="AE60" i="44"/>
  <c r="AE59" i="44"/>
  <c r="AE58" i="44"/>
  <c r="AE57" i="44"/>
  <c r="AE56" i="44"/>
  <c r="AE55" i="44"/>
  <c r="AE54" i="44"/>
  <c r="AE53" i="44"/>
  <c r="AE52" i="44"/>
  <c r="AE51" i="44"/>
  <c r="AE50" i="44"/>
  <c r="AE49" i="44"/>
  <c r="AE48" i="44"/>
  <c r="AE47" i="44"/>
  <c r="AE46" i="44"/>
  <c r="AE45" i="44"/>
  <c r="AE44" i="44"/>
  <c r="AE43" i="44"/>
  <c r="AE42" i="44"/>
  <c r="AE41" i="44"/>
  <c r="AE40" i="44"/>
  <c r="AE39" i="44"/>
  <c r="AP162" i="47"/>
  <c r="AP163" i="47"/>
  <c r="AP164" i="47"/>
  <c r="AP165" i="47"/>
  <c r="AP166" i="47"/>
  <c r="AP167" i="47"/>
  <c r="AP168" i="47"/>
  <c r="AP169" i="47"/>
  <c r="AP170" i="47"/>
  <c r="AP171" i="47"/>
  <c r="AP172" i="47"/>
  <c r="AP173" i="47"/>
  <c r="AP174" i="47"/>
  <c r="AP175" i="47"/>
  <c r="AP176" i="47"/>
  <c r="AP177" i="47"/>
  <c r="AP178" i="47"/>
  <c r="AP179" i="47"/>
  <c r="AP180" i="47"/>
  <c r="AP181" i="47"/>
  <c r="AP182" i="47"/>
  <c r="AP183" i="47"/>
  <c r="AP184" i="47"/>
  <c r="AO162" i="47"/>
  <c r="AO163" i="47"/>
  <c r="AO164" i="47"/>
  <c r="AO165" i="47"/>
  <c r="AO166" i="47"/>
  <c r="AO167" i="47"/>
  <c r="AO168" i="47"/>
  <c r="AO169" i="47"/>
  <c r="AO170" i="47"/>
  <c r="AO171" i="47"/>
  <c r="AO172" i="47"/>
  <c r="AO173" i="47"/>
  <c r="AO174" i="47"/>
  <c r="AO175" i="47"/>
  <c r="AO176" i="47"/>
  <c r="AO177" i="47"/>
  <c r="AO178" i="47"/>
  <c r="AO179" i="47"/>
  <c r="AO180" i="47"/>
  <c r="AO181" i="47"/>
  <c r="AO182" i="47"/>
  <c r="AO183" i="47"/>
  <c r="AO184" i="47"/>
  <c r="AN162" i="47"/>
  <c r="AN163" i="47"/>
  <c r="AN164" i="47"/>
  <c r="AN165" i="47"/>
  <c r="AN166" i="47"/>
  <c r="AN167" i="47"/>
  <c r="AN168" i="47"/>
  <c r="AN169" i="47"/>
  <c r="AN170" i="47"/>
  <c r="AN171" i="47"/>
  <c r="AN172" i="47"/>
  <c r="AN173" i="47"/>
  <c r="AN174" i="47"/>
  <c r="AN175" i="47"/>
  <c r="AN176" i="47"/>
  <c r="AN177" i="47"/>
  <c r="AN178" i="47"/>
  <c r="AN179" i="47"/>
  <c r="AN180" i="47"/>
  <c r="AN181" i="47"/>
  <c r="AN182" i="47"/>
  <c r="AN183" i="47"/>
  <c r="AN184" i="47"/>
  <c r="AM162" i="47"/>
  <c r="AM163" i="47"/>
  <c r="AM164" i="47"/>
  <c r="AM165" i="47"/>
  <c r="AM166" i="47"/>
  <c r="AM167" i="47"/>
  <c r="AM168" i="47"/>
  <c r="AM169" i="47"/>
  <c r="AM170" i="47"/>
  <c r="AM171" i="47"/>
  <c r="AM172" i="47"/>
  <c r="AM173" i="47"/>
  <c r="AM174" i="47"/>
  <c r="AM175" i="47"/>
  <c r="AM176" i="47"/>
  <c r="AM177" i="47"/>
  <c r="AM178" i="47"/>
  <c r="AM179" i="47"/>
  <c r="AM180" i="47"/>
  <c r="AM181" i="47"/>
  <c r="AM182" i="47"/>
  <c r="AM183" i="47"/>
  <c r="AM184" i="47"/>
  <c r="AL162" i="47"/>
  <c r="AL163" i="47"/>
  <c r="AL164" i="47"/>
  <c r="AL165" i="47"/>
  <c r="AL166" i="47"/>
  <c r="AL167" i="47"/>
  <c r="AL168" i="47"/>
  <c r="AL169" i="47"/>
  <c r="AL170" i="47"/>
  <c r="AL171" i="47"/>
  <c r="AL172" i="47"/>
  <c r="AL173" i="47"/>
  <c r="AL174" i="47"/>
  <c r="AL175" i="47"/>
  <c r="AL176" i="47"/>
  <c r="AL177" i="47"/>
  <c r="AL178" i="47"/>
  <c r="AL179" i="47"/>
  <c r="AL180" i="47"/>
  <c r="AL181" i="47"/>
  <c r="AL182" i="47"/>
  <c r="AL183" i="47"/>
  <c r="AL184" i="47"/>
  <c r="AM161" i="47"/>
  <c r="AN161" i="47"/>
  <c r="AO161" i="47"/>
  <c r="AP161" i="47"/>
  <c r="AL161" i="47"/>
  <c r="AJ162" i="47"/>
  <c r="AJ163" i="47"/>
  <c r="AJ164" i="47"/>
  <c r="AJ165" i="47"/>
  <c r="AJ166" i="47"/>
  <c r="AJ167" i="47"/>
  <c r="AJ168" i="47"/>
  <c r="AJ169" i="47"/>
  <c r="AJ170" i="47"/>
  <c r="AJ171" i="47"/>
  <c r="AJ172" i="47"/>
  <c r="AJ173" i="47"/>
  <c r="AJ174" i="47"/>
  <c r="AJ175" i="47"/>
  <c r="AJ176" i="47"/>
  <c r="AJ177" i="47"/>
  <c r="AJ178" i="47"/>
  <c r="AJ179" i="47"/>
  <c r="AJ180" i="47"/>
  <c r="AJ181" i="47"/>
  <c r="AJ182" i="47"/>
  <c r="AJ183" i="47"/>
  <c r="AJ184" i="47"/>
  <c r="AI162" i="47"/>
  <c r="AI163" i="47"/>
  <c r="AI164" i="47"/>
  <c r="AI165" i="47"/>
  <c r="AI166" i="47"/>
  <c r="AI167" i="47"/>
  <c r="AI168" i="47"/>
  <c r="AI169" i="47"/>
  <c r="AI170" i="47"/>
  <c r="AI171" i="47"/>
  <c r="AI172" i="47"/>
  <c r="AI173" i="47"/>
  <c r="AI174" i="47"/>
  <c r="AI175" i="47"/>
  <c r="AI176" i="47"/>
  <c r="AI177" i="47"/>
  <c r="AI178" i="47"/>
  <c r="AI179" i="47"/>
  <c r="AI180" i="47"/>
  <c r="AI181" i="47"/>
  <c r="AI182" i="47"/>
  <c r="AI183" i="47"/>
  <c r="AI184" i="47"/>
  <c r="AH162" i="47"/>
  <c r="AH163" i="47"/>
  <c r="AH164" i="47"/>
  <c r="AH165" i="47"/>
  <c r="AH166" i="47"/>
  <c r="AH167" i="47"/>
  <c r="AH168" i="47"/>
  <c r="AH169" i="47"/>
  <c r="AH170" i="47"/>
  <c r="AH171" i="47"/>
  <c r="AH172" i="47"/>
  <c r="AH173" i="47"/>
  <c r="AH174" i="47"/>
  <c r="AH175" i="47"/>
  <c r="AH176" i="47"/>
  <c r="AH177" i="47"/>
  <c r="AH178" i="47"/>
  <c r="AH179" i="47"/>
  <c r="AH180" i="47"/>
  <c r="AH181" i="47"/>
  <c r="AH182" i="47"/>
  <c r="AH183" i="47"/>
  <c r="AH184" i="47"/>
  <c r="AG162" i="47"/>
  <c r="AG163" i="47"/>
  <c r="AG164" i="47"/>
  <c r="AG165" i="47"/>
  <c r="AG166" i="47"/>
  <c r="AG167" i="47"/>
  <c r="AG168" i="47"/>
  <c r="AG169" i="47"/>
  <c r="AG170" i="47"/>
  <c r="AG171" i="47"/>
  <c r="AG172" i="47"/>
  <c r="AG173" i="47"/>
  <c r="AG174" i="47"/>
  <c r="AG175" i="47"/>
  <c r="AG176" i="47"/>
  <c r="AG177" i="47"/>
  <c r="AG178" i="47"/>
  <c r="AG179" i="47"/>
  <c r="AG180" i="47"/>
  <c r="AG181" i="47"/>
  <c r="AG182" i="47"/>
  <c r="AG183" i="47"/>
  <c r="AG184" i="47"/>
  <c r="AG161" i="47"/>
  <c r="AH161" i="47"/>
  <c r="AI161" i="47"/>
  <c r="AJ161" i="47"/>
  <c r="AF162" i="47"/>
  <c r="AF163" i="47"/>
  <c r="AF164" i="47"/>
  <c r="AF165" i="47"/>
  <c r="AF166" i="47"/>
  <c r="AF167" i="47"/>
  <c r="AF168" i="47"/>
  <c r="AF169" i="47"/>
  <c r="AF170" i="47"/>
  <c r="AF171" i="47"/>
  <c r="AF172" i="47"/>
  <c r="AF173" i="47"/>
  <c r="AF174" i="47"/>
  <c r="AF175" i="47"/>
  <c r="AF176" i="47"/>
  <c r="AF177" i="47"/>
  <c r="AF178" i="47"/>
  <c r="AF179" i="47"/>
  <c r="AF180" i="47"/>
  <c r="AF181" i="47"/>
  <c r="AF182" i="47"/>
  <c r="AF183" i="47"/>
  <c r="AF184" i="47"/>
  <c r="AF161" i="47"/>
  <c r="AD162" i="47"/>
  <c r="AD163" i="47"/>
  <c r="AD164" i="47"/>
  <c r="AD165" i="47"/>
  <c r="AD166" i="47"/>
  <c r="AD167" i="47"/>
  <c r="AD168" i="47"/>
  <c r="AD169" i="47"/>
  <c r="AD170" i="47"/>
  <c r="AD171" i="47"/>
  <c r="AD172" i="47"/>
  <c r="AD173" i="47"/>
  <c r="AD174" i="47"/>
  <c r="AD175" i="47"/>
  <c r="AD176" i="47"/>
  <c r="AD177" i="47"/>
  <c r="AD178" i="47"/>
  <c r="AD179" i="47"/>
  <c r="AD180" i="47"/>
  <c r="AD181" i="47"/>
  <c r="AD182" i="47"/>
  <c r="AD183" i="47"/>
  <c r="AD184" i="47"/>
  <c r="AC162" i="47"/>
  <c r="AC163" i="47"/>
  <c r="AC164" i="47"/>
  <c r="AC165" i="47"/>
  <c r="AC166" i="47"/>
  <c r="AC167" i="47"/>
  <c r="AC168" i="47"/>
  <c r="AC169" i="47"/>
  <c r="AC170" i="47"/>
  <c r="AC171" i="47"/>
  <c r="AC172" i="47"/>
  <c r="AC173" i="47"/>
  <c r="AC174" i="47"/>
  <c r="AC175" i="47"/>
  <c r="AC176" i="47"/>
  <c r="AC177" i="47"/>
  <c r="AC178" i="47"/>
  <c r="AC179" i="47"/>
  <c r="AC180" i="47"/>
  <c r="AC181" i="47"/>
  <c r="AC182" i="47"/>
  <c r="AC183" i="47"/>
  <c r="AC184" i="47"/>
  <c r="AB162" i="47"/>
  <c r="AB163" i="47"/>
  <c r="AB164" i="47"/>
  <c r="AB165" i="47"/>
  <c r="AB166" i="47"/>
  <c r="AB167" i="47"/>
  <c r="AB168" i="47"/>
  <c r="AB169" i="47"/>
  <c r="AB170" i="47"/>
  <c r="AB171" i="47"/>
  <c r="AB172" i="47"/>
  <c r="AB173" i="47"/>
  <c r="AB174" i="47"/>
  <c r="AB175" i="47"/>
  <c r="AB176" i="47"/>
  <c r="AB177" i="47"/>
  <c r="AB178" i="47"/>
  <c r="AB179" i="47"/>
  <c r="AB180" i="47"/>
  <c r="AB181" i="47"/>
  <c r="AB182" i="47"/>
  <c r="AB183" i="47"/>
  <c r="AB184" i="47"/>
  <c r="AA162" i="47"/>
  <c r="AA163" i="47"/>
  <c r="AA164" i="47"/>
  <c r="AA165" i="47"/>
  <c r="AA166" i="47"/>
  <c r="AA167" i="47"/>
  <c r="AA168" i="47"/>
  <c r="AA169" i="47"/>
  <c r="AA170" i="47"/>
  <c r="AA171" i="47"/>
  <c r="AA172" i="47"/>
  <c r="AA173" i="47"/>
  <c r="AA174" i="47"/>
  <c r="AA175" i="47"/>
  <c r="AA176" i="47"/>
  <c r="AA177" i="47"/>
  <c r="AA178" i="47"/>
  <c r="AA179" i="47"/>
  <c r="AA180" i="47"/>
  <c r="AA181" i="47"/>
  <c r="AA182" i="47"/>
  <c r="AA183" i="47"/>
  <c r="AA184" i="47"/>
  <c r="Z162" i="47"/>
  <c r="Z163" i="47"/>
  <c r="Z164" i="47"/>
  <c r="Z165" i="47"/>
  <c r="Z166" i="47"/>
  <c r="Z167" i="47"/>
  <c r="Z168" i="47"/>
  <c r="Z169" i="47"/>
  <c r="Z170" i="47"/>
  <c r="Z171" i="47"/>
  <c r="Z172" i="47"/>
  <c r="Z173" i="47"/>
  <c r="Z174" i="47"/>
  <c r="Z175" i="47"/>
  <c r="Z176" i="47"/>
  <c r="Z177" i="47"/>
  <c r="Z178" i="47"/>
  <c r="Z179" i="47"/>
  <c r="Z180" i="47"/>
  <c r="Z181" i="47"/>
  <c r="Z182" i="47"/>
  <c r="Z183" i="47"/>
  <c r="Z184" i="47"/>
  <c r="AA161" i="47"/>
  <c r="AB161" i="47"/>
  <c r="AC161" i="47"/>
  <c r="AD161" i="47"/>
  <c r="Z161" i="47"/>
  <c r="AP132" i="47"/>
  <c r="AP133" i="47"/>
  <c r="AP134" i="47"/>
  <c r="AP135" i="47"/>
  <c r="AP136" i="47"/>
  <c r="AP137" i="47"/>
  <c r="AP138" i="47"/>
  <c r="AP139" i="47"/>
  <c r="AP140" i="47"/>
  <c r="AP141" i="47"/>
  <c r="AP142" i="47"/>
  <c r="AP143" i="47"/>
  <c r="AP144" i="47"/>
  <c r="AP145" i="47"/>
  <c r="AP146" i="47"/>
  <c r="AP147" i="47"/>
  <c r="AP148" i="47"/>
  <c r="AP149" i="47"/>
  <c r="AP150" i="47"/>
  <c r="AP151" i="47"/>
  <c r="AP152" i="47"/>
  <c r="AP153" i="47"/>
  <c r="AP154" i="47"/>
  <c r="AO132" i="47"/>
  <c r="AO133" i="47"/>
  <c r="AO134" i="47"/>
  <c r="AO135" i="47"/>
  <c r="AO136" i="47"/>
  <c r="AO137" i="47"/>
  <c r="AO138" i="47"/>
  <c r="AO139" i="47"/>
  <c r="AO140" i="47"/>
  <c r="AO141" i="47"/>
  <c r="AO142" i="47"/>
  <c r="AO143" i="47"/>
  <c r="AO144" i="47"/>
  <c r="AO145" i="47"/>
  <c r="AO146" i="47"/>
  <c r="AO147" i="47"/>
  <c r="AO148" i="47"/>
  <c r="AO149" i="47"/>
  <c r="AO150" i="47"/>
  <c r="AO151" i="47"/>
  <c r="AO152" i="47"/>
  <c r="AO153" i="47"/>
  <c r="AO154" i="47"/>
  <c r="AN132" i="47"/>
  <c r="AN133" i="47"/>
  <c r="AN134" i="47"/>
  <c r="AN135" i="47"/>
  <c r="AN136" i="47"/>
  <c r="AN137" i="47"/>
  <c r="AN138" i="47"/>
  <c r="AN139" i="47"/>
  <c r="AN140" i="47"/>
  <c r="AN141" i="47"/>
  <c r="AN142" i="47"/>
  <c r="AN143" i="47"/>
  <c r="AN144" i="47"/>
  <c r="AN145" i="47"/>
  <c r="AN146" i="47"/>
  <c r="AN147" i="47"/>
  <c r="AN148" i="47"/>
  <c r="AN149" i="47"/>
  <c r="AN150" i="47"/>
  <c r="AN151" i="47"/>
  <c r="AN152" i="47"/>
  <c r="AN153" i="47"/>
  <c r="AN154" i="47"/>
  <c r="AM132" i="47"/>
  <c r="AM133" i="47"/>
  <c r="AM134" i="47"/>
  <c r="AM135" i="47"/>
  <c r="AM136" i="47"/>
  <c r="AM137" i="47"/>
  <c r="AM138" i="47"/>
  <c r="AM139" i="47"/>
  <c r="AM140" i="47"/>
  <c r="AM141" i="47"/>
  <c r="AM142" i="47"/>
  <c r="AM143" i="47"/>
  <c r="AM144" i="47"/>
  <c r="AM145" i="47"/>
  <c r="AM146" i="47"/>
  <c r="AM147" i="47"/>
  <c r="AM148" i="47"/>
  <c r="AM149" i="47"/>
  <c r="AM150" i="47"/>
  <c r="AM151" i="47"/>
  <c r="AM152" i="47"/>
  <c r="AM153" i="47"/>
  <c r="AM154" i="47"/>
  <c r="AL132" i="47"/>
  <c r="AL133" i="47"/>
  <c r="AL134" i="47"/>
  <c r="AL135" i="47"/>
  <c r="AL136" i="47"/>
  <c r="AL137" i="47"/>
  <c r="AL138" i="47"/>
  <c r="AL139" i="47"/>
  <c r="AL140" i="47"/>
  <c r="AL141" i="47"/>
  <c r="AL142" i="47"/>
  <c r="AL143" i="47"/>
  <c r="AL144" i="47"/>
  <c r="AL145" i="47"/>
  <c r="AL146" i="47"/>
  <c r="AL147" i="47"/>
  <c r="AL148" i="47"/>
  <c r="AL149" i="47"/>
  <c r="AL150" i="47"/>
  <c r="AL151" i="47"/>
  <c r="AL152" i="47"/>
  <c r="AL153" i="47"/>
  <c r="AL154" i="47"/>
  <c r="AM131" i="47"/>
  <c r="AN131" i="47"/>
  <c r="AO131" i="47"/>
  <c r="AP131" i="47"/>
  <c r="AL131" i="47"/>
  <c r="AJ132" i="47"/>
  <c r="AJ133" i="47"/>
  <c r="AJ134" i="47"/>
  <c r="AJ135" i="47"/>
  <c r="AJ136" i="47"/>
  <c r="AJ137" i="47"/>
  <c r="AJ138" i="47"/>
  <c r="AJ139" i="47"/>
  <c r="AJ140" i="47"/>
  <c r="AJ141" i="47"/>
  <c r="AJ142" i="47"/>
  <c r="AJ143" i="47"/>
  <c r="AJ144" i="47"/>
  <c r="AJ145" i="47"/>
  <c r="AJ146" i="47"/>
  <c r="AJ147" i="47"/>
  <c r="AJ148" i="47"/>
  <c r="AJ149" i="47"/>
  <c r="AJ150" i="47"/>
  <c r="AJ151" i="47"/>
  <c r="AJ152" i="47"/>
  <c r="AJ153" i="47"/>
  <c r="AJ154" i="47"/>
  <c r="AI132" i="47"/>
  <c r="AI133" i="47"/>
  <c r="AI134" i="47"/>
  <c r="AI135" i="47"/>
  <c r="AI136" i="47"/>
  <c r="AI137" i="47"/>
  <c r="AI138" i="47"/>
  <c r="AI139" i="47"/>
  <c r="AI140" i="47"/>
  <c r="AI141" i="47"/>
  <c r="AI142" i="47"/>
  <c r="AI143" i="47"/>
  <c r="AI144" i="47"/>
  <c r="AI145" i="47"/>
  <c r="AI146" i="47"/>
  <c r="AI147" i="47"/>
  <c r="AI148" i="47"/>
  <c r="AI149" i="47"/>
  <c r="AI150" i="47"/>
  <c r="AI151" i="47"/>
  <c r="AI152" i="47"/>
  <c r="AI153" i="47"/>
  <c r="AI154" i="47"/>
  <c r="AH132" i="47"/>
  <c r="AH133" i="47"/>
  <c r="AH134" i="47"/>
  <c r="AH135" i="47"/>
  <c r="AH136" i="47"/>
  <c r="AH137" i="47"/>
  <c r="AH138" i="47"/>
  <c r="AH139" i="47"/>
  <c r="AH140" i="47"/>
  <c r="AH141" i="47"/>
  <c r="AH142" i="47"/>
  <c r="AH143" i="47"/>
  <c r="AH144" i="47"/>
  <c r="AH145" i="47"/>
  <c r="AH146" i="47"/>
  <c r="AH147" i="47"/>
  <c r="AH148" i="47"/>
  <c r="AH149" i="47"/>
  <c r="AH150" i="47"/>
  <c r="AH151" i="47"/>
  <c r="AH152" i="47"/>
  <c r="AH153" i="47"/>
  <c r="AH154" i="47"/>
  <c r="AG132" i="47"/>
  <c r="AG133" i="47"/>
  <c r="AG134" i="47"/>
  <c r="AG135" i="47"/>
  <c r="AG136" i="47"/>
  <c r="AG137" i="47"/>
  <c r="AG138" i="47"/>
  <c r="AG139" i="47"/>
  <c r="AG140" i="47"/>
  <c r="AG141" i="47"/>
  <c r="AG142" i="47"/>
  <c r="AG143" i="47"/>
  <c r="AG144" i="47"/>
  <c r="AG145" i="47"/>
  <c r="AG146" i="47"/>
  <c r="AG147" i="47"/>
  <c r="AG148" i="47"/>
  <c r="AG149" i="47"/>
  <c r="AG150" i="47"/>
  <c r="AG151" i="47"/>
  <c r="AG152" i="47"/>
  <c r="AG153" i="47"/>
  <c r="AG154" i="47"/>
  <c r="AF132" i="47"/>
  <c r="AF133" i="47"/>
  <c r="AF134" i="47"/>
  <c r="AF135" i="47"/>
  <c r="AF136" i="47"/>
  <c r="AF137" i="47"/>
  <c r="AF138" i="47"/>
  <c r="AF139" i="47"/>
  <c r="AF140" i="47"/>
  <c r="AF141" i="47"/>
  <c r="AF142" i="47"/>
  <c r="AF143" i="47"/>
  <c r="AF144" i="47"/>
  <c r="AF145" i="47"/>
  <c r="AF146" i="47"/>
  <c r="AF147" i="47"/>
  <c r="AF148" i="47"/>
  <c r="AF149" i="47"/>
  <c r="AF150" i="47"/>
  <c r="AF151" i="47"/>
  <c r="AF152" i="47"/>
  <c r="AF153" i="47"/>
  <c r="AF154" i="47"/>
  <c r="AG131" i="47"/>
  <c r="AH131" i="47"/>
  <c r="AI131" i="47"/>
  <c r="AJ131" i="47"/>
  <c r="AF131" i="47"/>
  <c r="AD132" i="47"/>
  <c r="AD133" i="47"/>
  <c r="AD134" i="47"/>
  <c r="AD135" i="47"/>
  <c r="AD136" i="47"/>
  <c r="AD137" i="47"/>
  <c r="AD138" i="47"/>
  <c r="AD139" i="47"/>
  <c r="AD140" i="47"/>
  <c r="AD141" i="47"/>
  <c r="AD142" i="47"/>
  <c r="AD143" i="47"/>
  <c r="AD144" i="47"/>
  <c r="AD145" i="47"/>
  <c r="AD146" i="47"/>
  <c r="AD147" i="47"/>
  <c r="AD148" i="47"/>
  <c r="AD149" i="47"/>
  <c r="AD150" i="47"/>
  <c r="AD151" i="47"/>
  <c r="AD152" i="47"/>
  <c r="AD153" i="47"/>
  <c r="AD154" i="47"/>
  <c r="AC132" i="47"/>
  <c r="AC133" i="47"/>
  <c r="AC134" i="47"/>
  <c r="AC135" i="47"/>
  <c r="AC136" i="47"/>
  <c r="AC137" i="47"/>
  <c r="AC138" i="47"/>
  <c r="AC139" i="47"/>
  <c r="AC140" i="47"/>
  <c r="AC141" i="47"/>
  <c r="AC142" i="47"/>
  <c r="AC143" i="47"/>
  <c r="AC144" i="47"/>
  <c r="AC145" i="47"/>
  <c r="AC146" i="47"/>
  <c r="AC147" i="47"/>
  <c r="AC148" i="47"/>
  <c r="AC149" i="47"/>
  <c r="AC150" i="47"/>
  <c r="AC151" i="47"/>
  <c r="AC152" i="47"/>
  <c r="AC153" i="47"/>
  <c r="AC154" i="47"/>
  <c r="AB132" i="47"/>
  <c r="AB133" i="47"/>
  <c r="AB134" i="47"/>
  <c r="AB135" i="47"/>
  <c r="AB136" i="47"/>
  <c r="AB137" i="47"/>
  <c r="AB138" i="47"/>
  <c r="AB139" i="47"/>
  <c r="AB140" i="47"/>
  <c r="AB141" i="47"/>
  <c r="AB142" i="47"/>
  <c r="AB143" i="47"/>
  <c r="AB144" i="47"/>
  <c r="AB145" i="47"/>
  <c r="AB146" i="47"/>
  <c r="AB147" i="47"/>
  <c r="AB148" i="47"/>
  <c r="AB149" i="47"/>
  <c r="AB150" i="47"/>
  <c r="AB151" i="47"/>
  <c r="AB152" i="47"/>
  <c r="AB153" i="47"/>
  <c r="AB154" i="47"/>
  <c r="AA132" i="47"/>
  <c r="AA133" i="47"/>
  <c r="AA134" i="47"/>
  <c r="AA135" i="47"/>
  <c r="AA136" i="47"/>
  <c r="AA137" i="47"/>
  <c r="AA138" i="47"/>
  <c r="AA139" i="47"/>
  <c r="AA140" i="47"/>
  <c r="AA141" i="47"/>
  <c r="AA142" i="47"/>
  <c r="AA143" i="47"/>
  <c r="AA144" i="47"/>
  <c r="AA145" i="47"/>
  <c r="AA146" i="47"/>
  <c r="AA147" i="47"/>
  <c r="AA148" i="47"/>
  <c r="AA149" i="47"/>
  <c r="AA150" i="47"/>
  <c r="AA151" i="47"/>
  <c r="AA152" i="47"/>
  <c r="AA153" i="47"/>
  <c r="AA154" i="47"/>
  <c r="Z132" i="47"/>
  <c r="Z133" i="47"/>
  <c r="Z134" i="47"/>
  <c r="Z135" i="47"/>
  <c r="Z136" i="47"/>
  <c r="Z137" i="47"/>
  <c r="Z138" i="47"/>
  <c r="Z139" i="47"/>
  <c r="Z140" i="47"/>
  <c r="Z141" i="47"/>
  <c r="Z142" i="47"/>
  <c r="Z143" i="47"/>
  <c r="Z144" i="47"/>
  <c r="Z145" i="47"/>
  <c r="Z146" i="47"/>
  <c r="Z147" i="47"/>
  <c r="Z148" i="47"/>
  <c r="Z149" i="47"/>
  <c r="Z150" i="47"/>
  <c r="Z151" i="47"/>
  <c r="Z152" i="47"/>
  <c r="Z153" i="47"/>
  <c r="Z154" i="47"/>
  <c r="AA131" i="47"/>
  <c r="AB131" i="47"/>
  <c r="AC131" i="47"/>
  <c r="AD131" i="47"/>
  <c r="Z131" i="47"/>
  <c r="AP161" i="44"/>
  <c r="AP162" i="44"/>
  <c r="AP163" i="44"/>
  <c r="AP164" i="44"/>
  <c r="AP165" i="44"/>
  <c r="AP166" i="44"/>
  <c r="AP167" i="44"/>
  <c r="AP168" i="44"/>
  <c r="AP169" i="44"/>
  <c r="AP170" i="44"/>
  <c r="AP171" i="44"/>
  <c r="AP172" i="44"/>
  <c r="AP173" i="44"/>
  <c r="AP174" i="44"/>
  <c r="AP175" i="44"/>
  <c r="AP176" i="44"/>
  <c r="AP177" i="44"/>
  <c r="AP178" i="44"/>
  <c r="AP179" i="44"/>
  <c r="AP180" i="44"/>
  <c r="AP181" i="44"/>
  <c r="AP182" i="44"/>
  <c r="AP183" i="44"/>
  <c r="AO161" i="44"/>
  <c r="AO162" i="44"/>
  <c r="AO163" i="44"/>
  <c r="AO164" i="44"/>
  <c r="AO165" i="44"/>
  <c r="AO166" i="44"/>
  <c r="AO167" i="44"/>
  <c r="AO168" i="44"/>
  <c r="AO169" i="44"/>
  <c r="AO170" i="44"/>
  <c r="AO171" i="44"/>
  <c r="AO172" i="44"/>
  <c r="AO173" i="44"/>
  <c r="AO174" i="44"/>
  <c r="AO175" i="44"/>
  <c r="AO176" i="44"/>
  <c r="AO177" i="44"/>
  <c r="AO178" i="44"/>
  <c r="AO179" i="44"/>
  <c r="AO180" i="44"/>
  <c r="AO181" i="44"/>
  <c r="AO182" i="44"/>
  <c r="AO183" i="44"/>
  <c r="AN161" i="44"/>
  <c r="AN162" i="44"/>
  <c r="AN163" i="44"/>
  <c r="AN164" i="44"/>
  <c r="AN165" i="44"/>
  <c r="AN166" i="44"/>
  <c r="AN167" i="44"/>
  <c r="AN168" i="44"/>
  <c r="AN169" i="44"/>
  <c r="AN170" i="44"/>
  <c r="AN171" i="44"/>
  <c r="AN172" i="44"/>
  <c r="AN173" i="44"/>
  <c r="AN174" i="44"/>
  <c r="AN175" i="44"/>
  <c r="AN176" i="44"/>
  <c r="AN177" i="44"/>
  <c r="AN178" i="44"/>
  <c r="AN179" i="44"/>
  <c r="AN180" i="44"/>
  <c r="AN181" i="44"/>
  <c r="AN182" i="44"/>
  <c r="AN183" i="44"/>
  <c r="AM161" i="44"/>
  <c r="AM162" i="44"/>
  <c r="AM163" i="44"/>
  <c r="AM164" i="44"/>
  <c r="AM165" i="44"/>
  <c r="AM166" i="44"/>
  <c r="AM167" i="44"/>
  <c r="AM168" i="44"/>
  <c r="AM169" i="44"/>
  <c r="AM170" i="44"/>
  <c r="AM171" i="44"/>
  <c r="AM172" i="44"/>
  <c r="AM173" i="44"/>
  <c r="AM174" i="44"/>
  <c r="AM175" i="44"/>
  <c r="AM176" i="44"/>
  <c r="AM177" i="44"/>
  <c r="AM178" i="44"/>
  <c r="AM179" i="44"/>
  <c r="AM180" i="44"/>
  <c r="AM181" i="44"/>
  <c r="AM182" i="44"/>
  <c r="AM183" i="44"/>
  <c r="AL161" i="44"/>
  <c r="AL162" i="44"/>
  <c r="AL163" i="44"/>
  <c r="AL164" i="44"/>
  <c r="AL165" i="44"/>
  <c r="AL166" i="44"/>
  <c r="AL167" i="44"/>
  <c r="AL168" i="44"/>
  <c r="AL169" i="44"/>
  <c r="AL170" i="44"/>
  <c r="AL171" i="44"/>
  <c r="AL172" i="44"/>
  <c r="AL173" i="44"/>
  <c r="AL174" i="44"/>
  <c r="AL175" i="44"/>
  <c r="AL176" i="44"/>
  <c r="AL177" i="44"/>
  <c r="AL178" i="44"/>
  <c r="AL179" i="44"/>
  <c r="AL180" i="44"/>
  <c r="AL181" i="44"/>
  <c r="AL182" i="44"/>
  <c r="AL183" i="44"/>
  <c r="AM160" i="44"/>
  <c r="AN160" i="44"/>
  <c r="AO160" i="44"/>
  <c r="AP160" i="44"/>
  <c r="AL160" i="44"/>
  <c r="AJ161" i="44"/>
  <c r="AJ162" i="44"/>
  <c r="AJ163" i="44"/>
  <c r="AJ164" i="44"/>
  <c r="AJ165" i="44"/>
  <c r="AJ166" i="44"/>
  <c r="AJ167" i="44"/>
  <c r="AJ168" i="44"/>
  <c r="AJ169" i="44"/>
  <c r="AJ170" i="44"/>
  <c r="AJ171" i="44"/>
  <c r="AJ172" i="44"/>
  <c r="AJ173" i="44"/>
  <c r="AJ174" i="44"/>
  <c r="AJ175" i="44"/>
  <c r="AJ176" i="44"/>
  <c r="AJ177" i="44"/>
  <c r="AJ178" i="44"/>
  <c r="AJ179" i="44"/>
  <c r="AJ180" i="44"/>
  <c r="AJ181" i="44"/>
  <c r="AJ182" i="44"/>
  <c r="AJ183" i="44"/>
  <c r="AI161" i="44"/>
  <c r="AI162" i="44"/>
  <c r="AI163" i="44"/>
  <c r="AI164" i="44"/>
  <c r="AI165" i="44"/>
  <c r="AI166" i="44"/>
  <c r="AI167" i="44"/>
  <c r="AI168" i="44"/>
  <c r="AI169" i="44"/>
  <c r="AI170" i="44"/>
  <c r="AI171" i="44"/>
  <c r="AI172" i="44"/>
  <c r="AI173" i="44"/>
  <c r="AI174" i="44"/>
  <c r="AI175" i="44"/>
  <c r="AI176" i="44"/>
  <c r="AI177" i="44"/>
  <c r="AI178" i="44"/>
  <c r="AI179" i="44"/>
  <c r="AI180" i="44"/>
  <c r="AI181" i="44"/>
  <c r="AI182" i="44"/>
  <c r="AI183" i="44"/>
  <c r="AH161" i="44"/>
  <c r="AH162" i="44"/>
  <c r="AH163" i="44"/>
  <c r="AH164" i="44"/>
  <c r="AH165" i="44"/>
  <c r="AH166" i="44"/>
  <c r="AH167" i="44"/>
  <c r="AH168" i="44"/>
  <c r="AH169" i="44"/>
  <c r="AH170" i="44"/>
  <c r="AH171" i="44"/>
  <c r="AH172" i="44"/>
  <c r="AH173" i="44"/>
  <c r="AH174" i="44"/>
  <c r="AH175" i="44"/>
  <c r="AH176" i="44"/>
  <c r="AH177" i="44"/>
  <c r="AH178" i="44"/>
  <c r="AH179" i="44"/>
  <c r="AH180" i="44"/>
  <c r="AH181" i="44"/>
  <c r="AH182" i="44"/>
  <c r="AH183" i="44"/>
  <c r="AG161" i="44"/>
  <c r="AG162" i="44"/>
  <c r="AG163" i="44"/>
  <c r="AG164" i="44"/>
  <c r="AG165" i="44"/>
  <c r="AG166" i="44"/>
  <c r="AG167" i="44"/>
  <c r="AG168" i="44"/>
  <c r="AG169" i="44"/>
  <c r="AG170" i="44"/>
  <c r="AG171" i="44"/>
  <c r="AG172" i="44"/>
  <c r="AG173" i="44"/>
  <c r="AG174" i="44"/>
  <c r="AG175" i="44"/>
  <c r="AG176" i="44"/>
  <c r="AG177" i="44"/>
  <c r="AG178" i="44"/>
  <c r="AG179" i="44"/>
  <c r="AG180" i="44"/>
  <c r="AG181" i="44"/>
  <c r="AG182" i="44"/>
  <c r="AG183" i="44"/>
  <c r="AF161" i="44"/>
  <c r="AF162" i="44"/>
  <c r="AF163" i="44"/>
  <c r="AF164" i="44"/>
  <c r="AF165" i="44"/>
  <c r="AF166" i="44"/>
  <c r="AF167" i="44"/>
  <c r="AF168" i="44"/>
  <c r="AF169" i="44"/>
  <c r="AF170" i="44"/>
  <c r="AF171" i="44"/>
  <c r="AF172" i="44"/>
  <c r="AF173" i="44"/>
  <c r="AF174" i="44"/>
  <c r="AF175" i="44"/>
  <c r="AF176" i="44"/>
  <c r="AF177" i="44"/>
  <c r="AF178" i="44"/>
  <c r="AF179" i="44"/>
  <c r="AF180" i="44"/>
  <c r="AF181" i="44"/>
  <c r="AF182" i="44"/>
  <c r="AF183" i="44"/>
  <c r="AG160" i="44"/>
  <c r="AH160" i="44"/>
  <c r="AI160" i="44"/>
  <c r="AJ160" i="44"/>
  <c r="AF160" i="44"/>
  <c r="AD161" i="44"/>
  <c r="AD162" i="44"/>
  <c r="AD163" i="44"/>
  <c r="AD164" i="44"/>
  <c r="AD165" i="44"/>
  <c r="AD166" i="44"/>
  <c r="AD167" i="44"/>
  <c r="AD168" i="44"/>
  <c r="AD169" i="44"/>
  <c r="AD170" i="44"/>
  <c r="AD171" i="44"/>
  <c r="AD172" i="44"/>
  <c r="AD173" i="44"/>
  <c r="AD174" i="44"/>
  <c r="AD175" i="44"/>
  <c r="AD176" i="44"/>
  <c r="AD177" i="44"/>
  <c r="AD178" i="44"/>
  <c r="AD179" i="44"/>
  <c r="AD180" i="44"/>
  <c r="AD181" i="44"/>
  <c r="AD182" i="44"/>
  <c r="AD183" i="44"/>
  <c r="AC161" i="44"/>
  <c r="AC162" i="44"/>
  <c r="AC163" i="44"/>
  <c r="AC164" i="44"/>
  <c r="AC165" i="44"/>
  <c r="AC166" i="44"/>
  <c r="AC167" i="44"/>
  <c r="AC168" i="44"/>
  <c r="AC169" i="44"/>
  <c r="AC170" i="44"/>
  <c r="AC171" i="44"/>
  <c r="AC172" i="44"/>
  <c r="AC173" i="44"/>
  <c r="AC174" i="44"/>
  <c r="AC175" i="44"/>
  <c r="AC176" i="44"/>
  <c r="AC177" i="44"/>
  <c r="AC178" i="44"/>
  <c r="AC179" i="44"/>
  <c r="AC180" i="44"/>
  <c r="AC181" i="44"/>
  <c r="AC182" i="44"/>
  <c r="AC183" i="44"/>
  <c r="AB161" i="44"/>
  <c r="AB162" i="44"/>
  <c r="AB163" i="44"/>
  <c r="AB164" i="44"/>
  <c r="AB165" i="44"/>
  <c r="AB166" i="44"/>
  <c r="AB167" i="44"/>
  <c r="AB168" i="44"/>
  <c r="AB169" i="44"/>
  <c r="AB170" i="44"/>
  <c r="AB171" i="44"/>
  <c r="AB172" i="44"/>
  <c r="AB173" i="44"/>
  <c r="AB174" i="44"/>
  <c r="AB175" i="44"/>
  <c r="AB176" i="44"/>
  <c r="AB177" i="44"/>
  <c r="AB178" i="44"/>
  <c r="AB179" i="44"/>
  <c r="AB180" i="44"/>
  <c r="AB181" i="44"/>
  <c r="AB182" i="44"/>
  <c r="AB183" i="44"/>
  <c r="AA161" i="44"/>
  <c r="AA162" i="44"/>
  <c r="AA163" i="44"/>
  <c r="AA164" i="44"/>
  <c r="AA165" i="44"/>
  <c r="AA166" i="44"/>
  <c r="AA167" i="44"/>
  <c r="AA168" i="44"/>
  <c r="AA169" i="44"/>
  <c r="AA170" i="44"/>
  <c r="AA171" i="44"/>
  <c r="AA172" i="44"/>
  <c r="AA173" i="44"/>
  <c r="AA174" i="44"/>
  <c r="AA175" i="44"/>
  <c r="AA176" i="44"/>
  <c r="AA177" i="44"/>
  <c r="AA178" i="44"/>
  <c r="AA179" i="44"/>
  <c r="AA180" i="44"/>
  <c r="AA181" i="44"/>
  <c r="AA182" i="44"/>
  <c r="AA183" i="44"/>
  <c r="AA160" i="44"/>
  <c r="AB160" i="44"/>
  <c r="AC160" i="44"/>
  <c r="AD160" i="44"/>
  <c r="Z161" i="44"/>
  <c r="Z162" i="44"/>
  <c r="Z163" i="44"/>
  <c r="Z164" i="44"/>
  <c r="Z165" i="44"/>
  <c r="Z166" i="44"/>
  <c r="Z167" i="44"/>
  <c r="Z168" i="44"/>
  <c r="Z169" i="44"/>
  <c r="Z170" i="44"/>
  <c r="Z171" i="44"/>
  <c r="Z172" i="44"/>
  <c r="Z173" i="44"/>
  <c r="Z174" i="44"/>
  <c r="Z175" i="44"/>
  <c r="Z176" i="44"/>
  <c r="Z177" i="44"/>
  <c r="Z178" i="44"/>
  <c r="Z179" i="44"/>
  <c r="Z180" i="44"/>
  <c r="Z181" i="44"/>
  <c r="Z182" i="44"/>
  <c r="Z183" i="44"/>
  <c r="Z160" i="44"/>
  <c r="AP131" i="44"/>
  <c r="AP132" i="44"/>
  <c r="AP133" i="44"/>
  <c r="AP134" i="44"/>
  <c r="AP135" i="44"/>
  <c r="AP136" i="44"/>
  <c r="AP137" i="44"/>
  <c r="AP138" i="44"/>
  <c r="AP139" i="44"/>
  <c r="AP140" i="44"/>
  <c r="AP141" i="44"/>
  <c r="AP142" i="44"/>
  <c r="AP143" i="44"/>
  <c r="AP144" i="44"/>
  <c r="AP145" i="44"/>
  <c r="AP146" i="44"/>
  <c r="AP147" i="44"/>
  <c r="AP148" i="44"/>
  <c r="AP149" i="44"/>
  <c r="AP150" i="44"/>
  <c r="AP151" i="44"/>
  <c r="AP152" i="44"/>
  <c r="AP153" i="44"/>
  <c r="AO131" i="44"/>
  <c r="AO132" i="44"/>
  <c r="AO133" i="44"/>
  <c r="AO134" i="44"/>
  <c r="AO135" i="44"/>
  <c r="AO136" i="44"/>
  <c r="AO137" i="44"/>
  <c r="AO138" i="44"/>
  <c r="AO139" i="44"/>
  <c r="AO140" i="44"/>
  <c r="AO141" i="44"/>
  <c r="AO142" i="44"/>
  <c r="AO143" i="44"/>
  <c r="AO144" i="44"/>
  <c r="AO145" i="44"/>
  <c r="AO146" i="44"/>
  <c r="AO147" i="44"/>
  <c r="AO148" i="44"/>
  <c r="AO149" i="44"/>
  <c r="AO150" i="44"/>
  <c r="AO151" i="44"/>
  <c r="AO152" i="44"/>
  <c r="AO153" i="44"/>
  <c r="AN131" i="44"/>
  <c r="AN132" i="44"/>
  <c r="AN133" i="44"/>
  <c r="AN134" i="44"/>
  <c r="AN135" i="44"/>
  <c r="AN136" i="44"/>
  <c r="AN137" i="44"/>
  <c r="AN138" i="44"/>
  <c r="AN139" i="44"/>
  <c r="AN140" i="44"/>
  <c r="AN141" i="44"/>
  <c r="AN142" i="44"/>
  <c r="AN143" i="44"/>
  <c r="AN144" i="44"/>
  <c r="AN145" i="44"/>
  <c r="AN146" i="44"/>
  <c r="AN147" i="44"/>
  <c r="AN148" i="44"/>
  <c r="AN149" i="44"/>
  <c r="AN150" i="44"/>
  <c r="AN151" i="44"/>
  <c r="AN152" i="44"/>
  <c r="AN153" i="44"/>
  <c r="AM131" i="44"/>
  <c r="AM132" i="44"/>
  <c r="AM133" i="44"/>
  <c r="AM134" i="44"/>
  <c r="AM135" i="44"/>
  <c r="AM136" i="44"/>
  <c r="AM137" i="44"/>
  <c r="AM138" i="44"/>
  <c r="AM139" i="44"/>
  <c r="AM140" i="44"/>
  <c r="AM141" i="44"/>
  <c r="AM142" i="44"/>
  <c r="AM143" i="44"/>
  <c r="AM144" i="44"/>
  <c r="AM145" i="44"/>
  <c r="AM146" i="44"/>
  <c r="AM147" i="44"/>
  <c r="AM148" i="44"/>
  <c r="AM149" i="44"/>
  <c r="AM150" i="44"/>
  <c r="AM151" i="44"/>
  <c r="AM152" i="44"/>
  <c r="AM153" i="44"/>
  <c r="AL131" i="44"/>
  <c r="AL132" i="44"/>
  <c r="AL133" i="44"/>
  <c r="AL134" i="44"/>
  <c r="AL135" i="44"/>
  <c r="AL136" i="44"/>
  <c r="AL137" i="44"/>
  <c r="AL138" i="44"/>
  <c r="AL139" i="44"/>
  <c r="AL140" i="44"/>
  <c r="AL141" i="44"/>
  <c r="AL142" i="44"/>
  <c r="AL143" i="44"/>
  <c r="AL144" i="44"/>
  <c r="AL145" i="44"/>
  <c r="AL146" i="44"/>
  <c r="AL147" i="44"/>
  <c r="AL148" i="44"/>
  <c r="AL149" i="44"/>
  <c r="AL150" i="44"/>
  <c r="AL151" i="44"/>
  <c r="AL152" i="44"/>
  <c r="AL153" i="44"/>
  <c r="AM130" i="44"/>
  <c r="AN130" i="44"/>
  <c r="AO130" i="44"/>
  <c r="AP130" i="44"/>
  <c r="AL130" i="44"/>
  <c r="AJ131" i="44"/>
  <c r="AJ132" i="44"/>
  <c r="AJ133" i="44"/>
  <c r="AJ134" i="44"/>
  <c r="AJ135" i="44"/>
  <c r="AJ136" i="44"/>
  <c r="AJ137" i="44"/>
  <c r="AJ138" i="44"/>
  <c r="AJ139" i="44"/>
  <c r="AJ140" i="44"/>
  <c r="AJ141" i="44"/>
  <c r="AJ142" i="44"/>
  <c r="AJ143" i="44"/>
  <c r="AJ144" i="44"/>
  <c r="AJ145" i="44"/>
  <c r="AJ146" i="44"/>
  <c r="AJ147" i="44"/>
  <c r="AJ148" i="44"/>
  <c r="AJ149" i="44"/>
  <c r="AJ150" i="44"/>
  <c r="AJ151" i="44"/>
  <c r="AJ152" i="44"/>
  <c r="AJ153" i="44"/>
  <c r="AI131" i="44"/>
  <c r="AI132" i="44"/>
  <c r="AI133" i="44"/>
  <c r="AI134" i="44"/>
  <c r="AI135" i="44"/>
  <c r="AI136" i="44"/>
  <c r="AI137" i="44"/>
  <c r="AI138" i="44"/>
  <c r="AI139" i="44"/>
  <c r="AI140" i="44"/>
  <c r="AI141" i="44"/>
  <c r="AI142" i="44"/>
  <c r="AI143" i="44"/>
  <c r="AI144" i="44"/>
  <c r="AI145" i="44"/>
  <c r="AI146" i="44"/>
  <c r="AI147" i="44"/>
  <c r="AI148" i="44"/>
  <c r="AI149" i="44"/>
  <c r="AI150" i="44"/>
  <c r="AI151" i="44"/>
  <c r="AI152" i="44"/>
  <c r="AI153" i="44"/>
  <c r="AH131" i="44"/>
  <c r="AH132" i="44"/>
  <c r="AH133" i="44"/>
  <c r="AH134" i="44"/>
  <c r="AH135" i="44"/>
  <c r="AH136" i="44"/>
  <c r="AH137" i="44"/>
  <c r="AH138" i="44"/>
  <c r="AH139" i="44"/>
  <c r="AH140" i="44"/>
  <c r="AH141" i="44"/>
  <c r="AH142" i="44"/>
  <c r="AH143" i="44"/>
  <c r="AH144" i="44"/>
  <c r="AH145" i="44"/>
  <c r="AH146" i="44"/>
  <c r="AH147" i="44"/>
  <c r="AH148" i="44"/>
  <c r="AH149" i="44"/>
  <c r="AH150" i="44"/>
  <c r="AH151" i="44"/>
  <c r="AH152" i="44"/>
  <c r="AH153" i="44"/>
  <c r="AG131" i="44"/>
  <c r="AG132" i="44"/>
  <c r="AG133" i="44"/>
  <c r="AG134" i="44"/>
  <c r="AG135" i="44"/>
  <c r="AG136" i="44"/>
  <c r="AG137" i="44"/>
  <c r="AG138" i="44"/>
  <c r="AG139" i="44"/>
  <c r="AG140" i="44"/>
  <c r="AG141" i="44"/>
  <c r="AG142" i="44"/>
  <c r="AG143" i="44"/>
  <c r="AG144" i="44"/>
  <c r="AG145" i="44"/>
  <c r="AG146" i="44"/>
  <c r="AG147" i="44"/>
  <c r="AG148" i="44"/>
  <c r="AG149" i="44"/>
  <c r="AG150" i="44"/>
  <c r="AG151" i="44"/>
  <c r="AG152" i="44"/>
  <c r="AG153" i="44"/>
  <c r="AF131" i="44"/>
  <c r="AF132" i="44"/>
  <c r="AF133" i="44"/>
  <c r="AF134" i="44"/>
  <c r="AF135" i="44"/>
  <c r="AF136" i="44"/>
  <c r="AF137" i="44"/>
  <c r="AF138" i="44"/>
  <c r="AF139" i="44"/>
  <c r="AF140" i="44"/>
  <c r="AF141" i="44"/>
  <c r="AF142" i="44"/>
  <c r="AF143" i="44"/>
  <c r="AF144" i="44"/>
  <c r="AF145" i="44"/>
  <c r="AF146" i="44"/>
  <c r="AF147" i="44"/>
  <c r="AF148" i="44"/>
  <c r="AF149" i="44"/>
  <c r="AF150" i="44"/>
  <c r="AF151" i="44"/>
  <c r="AF152" i="44"/>
  <c r="AF153" i="44"/>
  <c r="AG130" i="44"/>
  <c r="AH130" i="44"/>
  <c r="AI130" i="44"/>
  <c r="AJ130" i="44"/>
  <c r="AF130" i="44"/>
  <c r="AD131" i="44"/>
  <c r="AD132" i="44"/>
  <c r="AD133" i="44"/>
  <c r="AD134" i="44"/>
  <c r="AD135" i="44"/>
  <c r="AD136" i="44"/>
  <c r="AD137" i="44"/>
  <c r="AD138" i="44"/>
  <c r="AD139" i="44"/>
  <c r="AD140" i="44"/>
  <c r="AD141" i="44"/>
  <c r="AD142" i="44"/>
  <c r="AD143" i="44"/>
  <c r="AD144" i="44"/>
  <c r="AD145" i="44"/>
  <c r="AD146" i="44"/>
  <c r="AD147" i="44"/>
  <c r="AD148" i="44"/>
  <c r="AD149" i="44"/>
  <c r="AD150" i="44"/>
  <c r="AD151" i="44"/>
  <c r="AD152" i="44"/>
  <c r="AD153" i="44"/>
  <c r="AC131" i="44"/>
  <c r="AC132" i="44"/>
  <c r="AC133" i="44"/>
  <c r="AC134" i="44"/>
  <c r="AC135" i="44"/>
  <c r="AC136" i="44"/>
  <c r="AC137" i="44"/>
  <c r="AC138" i="44"/>
  <c r="AC139" i="44"/>
  <c r="AC140" i="44"/>
  <c r="AC141" i="44"/>
  <c r="AC142" i="44"/>
  <c r="AC143" i="44"/>
  <c r="AC144" i="44"/>
  <c r="AC145" i="44"/>
  <c r="AC146" i="44"/>
  <c r="AC147" i="44"/>
  <c r="AC148" i="44"/>
  <c r="AC149" i="44"/>
  <c r="AC150" i="44"/>
  <c r="AC151" i="44"/>
  <c r="AC152" i="44"/>
  <c r="AC153" i="44"/>
  <c r="AB131" i="44"/>
  <c r="AB132" i="44"/>
  <c r="AB133" i="44"/>
  <c r="AB134" i="44"/>
  <c r="AB135" i="44"/>
  <c r="AB136" i="44"/>
  <c r="AB137" i="44"/>
  <c r="AB138" i="44"/>
  <c r="AB139" i="44"/>
  <c r="AB140" i="44"/>
  <c r="AB141" i="44"/>
  <c r="AB142" i="44"/>
  <c r="AB143" i="44"/>
  <c r="AB144" i="44"/>
  <c r="AB145" i="44"/>
  <c r="AB146" i="44"/>
  <c r="AB147" i="44"/>
  <c r="AB148" i="44"/>
  <c r="AB149" i="44"/>
  <c r="AB150" i="44"/>
  <c r="AB151" i="44"/>
  <c r="AB152" i="44"/>
  <c r="AB153" i="44"/>
  <c r="AA131" i="44"/>
  <c r="AA132" i="44"/>
  <c r="AA133" i="44"/>
  <c r="AA134" i="44"/>
  <c r="AA135" i="44"/>
  <c r="AA136" i="44"/>
  <c r="AA137" i="44"/>
  <c r="AA138" i="44"/>
  <c r="AA139" i="44"/>
  <c r="AA140" i="44"/>
  <c r="AA141" i="44"/>
  <c r="AA142" i="44"/>
  <c r="AA143" i="44"/>
  <c r="AA144" i="44"/>
  <c r="AA145" i="44"/>
  <c r="AA146" i="44"/>
  <c r="AA147" i="44"/>
  <c r="AA148" i="44"/>
  <c r="AA149" i="44"/>
  <c r="AA150" i="44"/>
  <c r="AA151" i="44"/>
  <c r="AA152" i="44"/>
  <c r="AA153" i="44"/>
  <c r="Z131" i="44"/>
  <c r="Z132" i="44"/>
  <c r="Z133" i="44"/>
  <c r="Z134" i="44"/>
  <c r="Z135" i="44"/>
  <c r="Z136" i="44"/>
  <c r="Z137" i="44"/>
  <c r="Z138" i="44"/>
  <c r="Z139" i="44"/>
  <c r="Z140" i="44"/>
  <c r="Z141" i="44"/>
  <c r="Z142" i="44"/>
  <c r="Z143" i="44"/>
  <c r="Z144" i="44"/>
  <c r="Z145" i="44"/>
  <c r="Z146" i="44"/>
  <c r="Z147" i="44"/>
  <c r="Z148" i="44"/>
  <c r="Z149" i="44"/>
  <c r="Z150" i="44"/>
  <c r="Z151" i="44"/>
  <c r="Z152" i="44"/>
  <c r="Z153" i="44"/>
  <c r="AA130" i="44"/>
  <c r="AB130" i="44"/>
  <c r="AC130" i="44"/>
  <c r="AD130" i="44"/>
  <c r="Z130" i="44"/>
  <c r="AE124" i="47"/>
  <c r="AE123" i="47"/>
  <c r="AE122" i="47"/>
  <c r="AE121" i="47"/>
  <c r="AE120" i="47"/>
  <c r="AE119" i="47"/>
  <c r="AE118" i="47"/>
  <c r="AE117" i="47"/>
  <c r="AE116" i="47"/>
  <c r="AE115" i="47"/>
  <c r="AE114" i="47"/>
  <c r="AE113" i="47"/>
  <c r="AE112" i="47"/>
  <c r="AE111" i="47"/>
  <c r="AE110" i="47"/>
  <c r="AE109" i="47"/>
  <c r="AE108" i="47"/>
  <c r="AE107" i="47"/>
  <c r="AE106" i="47"/>
  <c r="AE105" i="47"/>
  <c r="AE104" i="47"/>
  <c r="AE103" i="47"/>
  <c r="AE102" i="47"/>
  <c r="AE101" i="47"/>
  <c r="AE94" i="47"/>
  <c r="AE93" i="47"/>
  <c r="AE92" i="47"/>
  <c r="AE91" i="47"/>
  <c r="AE90" i="47"/>
  <c r="AE89" i="47"/>
  <c r="AE88" i="47"/>
  <c r="AE87" i="47"/>
  <c r="AE86" i="47"/>
  <c r="AE85" i="47"/>
  <c r="AE84" i="47"/>
  <c r="AE83" i="47"/>
  <c r="AE82" i="47"/>
  <c r="AE81" i="47"/>
  <c r="AE80" i="47"/>
  <c r="AE79" i="47"/>
  <c r="AE78" i="47"/>
  <c r="AE77" i="47"/>
  <c r="AE76" i="47"/>
  <c r="AE75" i="47"/>
  <c r="AE74" i="47"/>
  <c r="AE73" i="47"/>
  <c r="AE72" i="47"/>
  <c r="AE71" i="47"/>
  <c r="AE123" i="44"/>
  <c r="AE122" i="44"/>
  <c r="AE121" i="44"/>
  <c r="AE120" i="44"/>
  <c r="AE119" i="44"/>
  <c r="AE118" i="44"/>
  <c r="AE117" i="44"/>
  <c r="AE116" i="44"/>
  <c r="AE115" i="44"/>
  <c r="AE114" i="44"/>
  <c r="AE113" i="44"/>
  <c r="AE112" i="44"/>
  <c r="AE111" i="44"/>
  <c r="AE110" i="44"/>
  <c r="AE109" i="44"/>
  <c r="AE108" i="44"/>
  <c r="AE107" i="44"/>
  <c r="AE106" i="44"/>
  <c r="AE105" i="44"/>
  <c r="AE104" i="44"/>
  <c r="AE103" i="44"/>
  <c r="AE102" i="44"/>
  <c r="AE101" i="44"/>
  <c r="AE100" i="44"/>
  <c r="AE93" i="44"/>
  <c r="AE92" i="44"/>
  <c r="AE91" i="44"/>
  <c r="AE90" i="44"/>
  <c r="AE89" i="44"/>
  <c r="AE88" i="44"/>
  <c r="AE87" i="44"/>
  <c r="AE86" i="44"/>
  <c r="AE85" i="44"/>
  <c r="AE84" i="44"/>
  <c r="AE83" i="44"/>
  <c r="AE82" i="44"/>
  <c r="AE81" i="44"/>
  <c r="AE80" i="44"/>
  <c r="AE79" i="44"/>
  <c r="AE78" i="44"/>
  <c r="AE77" i="44"/>
  <c r="AE76" i="44"/>
  <c r="AE75" i="44"/>
  <c r="AE74" i="44"/>
  <c r="AE73" i="44"/>
  <c r="AE72" i="44"/>
  <c r="AE71" i="44"/>
  <c r="AE70" i="44"/>
  <c r="AL9" i="44"/>
  <c r="AL10" i="44"/>
  <c r="AL11" i="44"/>
  <c r="AL12" i="44"/>
  <c r="AL13" i="44"/>
  <c r="AL14" i="44"/>
  <c r="AL15" i="44"/>
  <c r="AL16" i="44"/>
  <c r="AL17" i="44"/>
  <c r="AL18" i="44"/>
  <c r="AL19" i="44"/>
  <c r="AL20" i="44"/>
  <c r="AL21" i="44"/>
  <c r="AL22" i="44"/>
  <c r="AL23" i="44"/>
  <c r="AL24" i="44"/>
  <c r="AL25" i="44"/>
  <c r="AL26" i="44"/>
  <c r="AL27" i="44"/>
  <c r="AL28" i="44"/>
  <c r="AL29" i="44"/>
  <c r="AL30" i="44"/>
  <c r="AL31" i="44"/>
  <c r="AL32" i="44"/>
  <c r="AZ10" i="47"/>
  <c r="AZ11" i="47"/>
  <c r="AZ12" i="47"/>
  <c r="AZ13" i="47"/>
  <c r="AZ14" i="47"/>
  <c r="AZ15" i="47"/>
  <c r="AZ16" i="47"/>
  <c r="AZ17" i="47"/>
  <c r="AZ18" i="47"/>
  <c r="AZ19" i="47"/>
  <c r="AZ20" i="47"/>
  <c r="AZ21" i="47"/>
  <c r="AZ22" i="47"/>
  <c r="AZ23" i="47"/>
  <c r="AZ24" i="47"/>
  <c r="AZ25" i="47"/>
  <c r="AZ26" i="47"/>
  <c r="AZ27" i="47"/>
  <c r="AZ28" i="47"/>
  <c r="AZ29" i="47"/>
  <c r="AZ30" i="47"/>
  <c r="AZ31" i="47"/>
  <c r="AZ32" i="47"/>
  <c r="AZ9" i="47"/>
  <c r="AZ9" i="44"/>
  <c r="AZ10" i="44"/>
  <c r="AZ11" i="44"/>
  <c r="AZ12" i="44"/>
  <c r="AZ13" i="44"/>
  <c r="AZ14" i="44"/>
  <c r="AZ15" i="44"/>
  <c r="AZ16" i="44"/>
  <c r="AZ17" i="44"/>
  <c r="AZ18" i="44"/>
  <c r="AZ19" i="44"/>
  <c r="AZ20" i="44"/>
  <c r="AZ21" i="44"/>
  <c r="AZ22" i="44"/>
  <c r="AZ23" i="44"/>
  <c r="AZ24" i="44"/>
  <c r="AZ25" i="44"/>
  <c r="AZ26" i="44"/>
  <c r="AZ27" i="44"/>
  <c r="AZ28" i="44"/>
  <c r="AZ29" i="44"/>
  <c r="AZ30" i="44"/>
  <c r="AZ31" i="44"/>
  <c r="AZ32" i="44"/>
  <c r="AS10" i="47"/>
  <c r="AS11" i="47"/>
  <c r="AS12" i="47"/>
  <c r="AS13" i="47"/>
  <c r="AS14" i="47"/>
  <c r="AS15" i="47"/>
  <c r="AS16" i="47"/>
  <c r="AS17" i="47"/>
  <c r="AS18" i="47"/>
  <c r="AS19" i="47"/>
  <c r="AS20" i="47"/>
  <c r="AS21" i="47"/>
  <c r="AS22" i="47"/>
  <c r="AS23" i="47"/>
  <c r="AS24" i="47"/>
  <c r="AS25" i="47"/>
  <c r="AS26" i="47"/>
  <c r="AS27" i="47"/>
  <c r="AS28" i="47"/>
  <c r="AS29" i="47"/>
  <c r="AS30" i="47"/>
  <c r="AS31" i="47"/>
  <c r="AS32" i="47"/>
  <c r="AS9" i="47"/>
  <c r="AS10" i="44"/>
  <c r="AS11" i="44"/>
  <c r="AS12" i="44"/>
  <c r="AS13" i="44"/>
  <c r="AS14" i="44"/>
  <c r="AS15" i="44"/>
  <c r="AS16" i="44"/>
  <c r="AS17" i="44"/>
  <c r="AS18" i="44"/>
  <c r="AS19" i="44"/>
  <c r="AS20" i="44"/>
  <c r="AS21" i="44"/>
  <c r="AS22" i="44"/>
  <c r="AS23" i="44"/>
  <c r="AS24" i="44"/>
  <c r="AS25" i="44"/>
  <c r="AS26" i="44"/>
  <c r="AS27" i="44"/>
  <c r="AS28" i="44"/>
  <c r="AS29" i="44"/>
  <c r="AS30" i="44"/>
  <c r="AS31" i="44"/>
  <c r="AS32" i="44"/>
  <c r="AS9" i="44"/>
  <c r="E12" i="59"/>
  <c r="D12" i="59"/>
  <c r="E11" i="59"/>
  <c r="D11" i="59"/>
  <c r="E7" i="58"/>
  <c r="D7" i="58"/>
  <c r="E6" i="58"/>
  <c r="D6" i="58"/>
  <c r="E9" i="57"/>
  <c r="D9" i="57"/>
  <c r="E8" i="57"/>
  <c r="D8" i="57"/>
  <c r="E16" i="56"/>
  <c r="D16" i="56"/>
  <c r="E15" i="56"/>
  <c r="D15" i="56"/>
  <c r="E17" i="55"/>
  <c r="D17" i="55"/>
  <c r="AE10" i="44"/>
  <c r="AE11" i="44"/>
  <c r="AE12" i="44"/>
  <c r="AE13" i="44"/>
  <c r="AE14" i="44"/>
  <c r="AE15" i="44"/>
  <c r="AE16" i="44"/>
  <c r="AE17" i="44"/>
  <c r="AE18" i="44"/>
  <c r="AE19" i="44"/>
  <c r="AE20" i="44"/>
  <c r="AE21" i="44"/>
  <c r="AE22" i="44"/>
  <c r="AE23" i="44"/>
  <c r="AE24" i="44"/>
  <c r="AE25" i="44"/>
  <c r="AE26" i="44"/>
  <c r="AE27" i="44"/>
  <c r="AE28" i="44"/>
  <c r="AE29" i="44"/>
  <c r="AE30" i="44"/>
  <c r="AE31" i="44"/>
  <c r="AE32" i="44"/>
  <c r="AE9" i="44"/>
  <c r="AE10" i="47" l="1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29" i="47"/>
  <c r="AE30" i="47"/>
  <c r="AE31" i="47"/>
  <c r="AE32" i="47"/>
  <c r="AE9" i="47"/>
  <c r="AL10" i="47" l="1"/>
  <c r="AL11" i="47"/>
  <c r="AL12" i="47"/>
  <c r="AL13" i="47"/>
  <c r="AL14" i="47"/>
  <c r="AL15" i="47"/>
  <c r="AL16" i="47"/>
  <c r="AL17" i="47"/>
  <c r="AL18" i="47"/>
  <c r="AL19" i="47"/>
  <c r="AL20" i="47"/>
  <c r="AL21" i="47"/>
  <c r="AL22" i="47"/>
  <c r="AL23" i="47"/>
  <c r="AL24" i="47"/>
  <c r="AL25" i="47"/>
  <c r="AL26" i="47"/>
  <c r="AL27" i="47"/>
  <c r="AL28" i="47"/>
  <c r="AL29" i="47"/>
  <c r="AL30" i="47"/>
  <c r="AL31" i="47"/>
  <c r="AL32" i="47"/>
  <c r="AL9" i="47"/>
  <c r="E16" i="55"/>
  <c r="D16" i="55"/>
</calcChain>
</file>

<file path=xl/sharedStrings.xml><?xml version="1.0" encoding="utf-8"?>
<sst xmlns="http://schemas.openxmlformats.org/spreadsheetml/2006/main" count="4049" uniqueCount="1356">
  <si>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</si>
  <si>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</si>
  <si>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</si>
  <si>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</si>
  <si>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</si>
  <si>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</si>
  <si>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</si>
  <si>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</si>
  <si>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</si>
  <si>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</si>
  <si>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</si>
  <si>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</si>
  <si>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</si>
  <si>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</si>
  <si>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</si>
  <si>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</si>
  <si>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</si>
  <si>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</si>
  <si>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</si>
  <si>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</si>
  <si>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</si>
  <si>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</si>
  <si>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</si>
  <si>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</si>
  <si>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</si>
  <si>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</si>
  <si>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</si>
  <si>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</si>
  <si>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</si>
  <si>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</si>
  <si>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</si>
  <si>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</si>
  <si>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</si>
  <si>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</si>
  <si>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</si>
  <si>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</si>
  <si>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</si>
  <si>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</si>
  <si>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</si>
  <si>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</si>
  <si>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</si>
  <si>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</si>
  <si>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</si>
  <si>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</si>
  <si>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</si>
  <si>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</si>
  <si>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</si>
  <si>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</si>
  <si>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</si>
  <si>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</si>
  <si>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</si>
  <si>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</si>
  <si>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</si>
  <si>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</si>
  <si>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</si>
  <si>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</si>
  <si>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</si>
  <si>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</si>
  <si>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</si>
  <si>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</si>
  <si>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</si>
  <si>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</si>
  <si>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</si>
  <si>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</si>
  <si>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r>
      <t>Cl</t>
    </r>
    <r>
      <rPr>
        <b/>
        <vertAlign val="superscript"/>
        <sz val="12"/>
        <color rgb="FFFF0000"/>
        <rFont val="휴먼명조"/>
        <family val="3"/>
        <charset val="129"/>
      </rPr>
      <t>-</t>
    </r>
    <phoneticPr fontId="2" type="noConversion"/>
  </si>
  <si>
    <t>2024년 조사연구사업 6월</t>
    <phoneticPr fontId="1" type="noConversion"/>
  </si>
  <si>
    <t>n.a.</t>
  </si>
  <si>
    <t>2024년 조사연구사업 8월</t>
    <phoneticPr fontId="1" type="noConversion"/>
  </si>
  <si>
    <t>복암제 앞</t>
    <phoneticPr fontId="1" type="noConversion"/>
  </si>
  <si>
    <t>덕례교</t>
    <phoneticPr fontId="1" type="noConversion"/>
  </si>
  <si>
    <t>2024년 조사연구사업 10월</t>
    <phoneticPr fontId="1" type="noConversion"/>
  </si>
  <si>
    <t>2024년 조사연구사업 9월 강우기(전)</t>
    <phoneticPr fontId="1" type="noConversion"/>
  </si>
  <si>
    <t>2024년 조사연구사업 9월 강우기(중-오전)</t>
    <phoneticPr fontId="1" type="noConversion"/>
  </si>
  <si>
    <t>2024년 조사연구사업 9월 강우기(중-오후)</t>
    <phoneticPr fontId="1" type="noConversion"/>
  </si>
  <si>
    <t>2024년 조사연구사업 9월 강우기(후)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</si>
  <si>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</si>
  <si>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</si>
  <si>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</si>
  <si>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</si>
  <si>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</si>
  <si>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비</t>
  </si>
  <si>
    <t>흐림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</si>
  <si>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</si>
  <si>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</si>
  <si>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</si>
  <si>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</si>
  <si>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</si>
  <si>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</si>
  <si>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</si>
  <si>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</si>
  <si>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</si>
  <si>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</si>
  <si>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</si>
  <si>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</si>
  <si>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</si>
  <si>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</si>
  <si>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</si>
  <si>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</si>
  <si>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</si>
  <si>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</si>
  <si>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</si>
  <si>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</si>
  <si>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</si>
  <si>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</si>
  <si>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</si>
  <si>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</si>
  <si>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</si>
  <si>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</si>
  <si>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</si>
  <si>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</si>
  <si>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</si>
  <si>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</si>
  <si>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</si>
  <si>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</si>
  <si>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</si>
  <si>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</si>
  <si>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</si>
  <si>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</si>
  <si>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</si>
  <si>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</si>
  <si>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</si>
  <si>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</si>
  <si>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</si>
  <si>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</si>
  <si>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t>n.a.</t>
    <phoneticPr fontId="1" type="noConversion"/>
  </si>
  <si>
    <r>
      <t>NH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</si>
  <si>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3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</si>
  <si>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2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</si>
  <si>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PO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-P</t>
    </r>
    <phoneticPr fontId="2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</si>
  <si>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</si>
  <si>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</si>
  <si>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B</t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</si>
  <si>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18</t>
    </r>
    <r>
      <rPr>
        <b/>
        <sz val="12"/>
        <color theme="1"/>
        <rFont val="휴먼명조"/>
        <family val="3"/>
        <charset val="129"/>
      </rPr>
      <t>O</t>
    </r>
    <phoneticPr fontId="2" type="noConversion"/>
  </si>
  <si>
    <t>비</t>
    <phoneticPr fontId="1" type="noConversion"/>
  </si>
  <si>
    <t>흐림</t>
    <phoneticPr fontId="1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</si>
  <si>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</si>
  <si>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</si>
  <si>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</si>
  <si>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</si>
  <si>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</si>
  <si>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4" type="noConversion"/>
  </si>
  <si>
    <t>하천명</t>
    <phoneticPr fontId="44" type="noConversion"/>
  </si>
  <si>
    <t>채수지점</t>
    <phoneticPr fontId="4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</si>
  <si>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</si>
  <si>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</si>
  <si>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</si>
  <si>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</si>
  <si>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</si>
  <si>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</si>
  <si>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</si>
  <si>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</si>
  <si>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</si>
  <si>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</si>
  <si>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</si>
  <si>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</si>
  <si>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</si>
  <si>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</si>
  <si>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</si>
  <si>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</si>
  <si>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</si>
  <si>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</si>
  <si>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</si>
  <si>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</si>
  <si>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</si>
  <si>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</si>
  <si>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</si>
  <si>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</si>
  <si>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</si>
  <si>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</si>
  <si>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</si>
  <si>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</si>
  <si>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</si>
  <si>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</si>
  <si>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</si>
  <si>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</si>
  <si>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</si>
  <si>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</si>
  <si>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</si>
  <si>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</si>
  <si>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</si>
  <si>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</si>
  <si>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</si>
  <si>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</si>
  <si>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p.n24.soil</t>
  </si>
  <si>
    <t>p.n23.soil</t>
  </si>
  <si>
    <t>p.n22.soil</t>
  </si>
  <si>
    <t>p.n21.soil</t>
  </si>
  <si>
    <t>p.n20.soil</t>
  </si>
  <si>
    <t>p.n19.soil</t>
  </si>
  <si>
    <t>p.n18.soil</t>
  </si>
  <si>
    <t>p.n17.soil</t>
  </si>
  <si>
    <t>p.n16.soil</t>
  </si>
  <si>
    <t>p.n15.soil</t>
  </si>
  <si>
    <t>p.n14.soil</t>
  </si>
  <si>
    <t>p.n13.soil</t>
  </si>
  <si>
    <t>p.n12.soil</t>
  </si>
  <si>
    <t>p.n11.soil</t>
  </si>
  <si>
    <t>p.n10.soil</t>
  </si>
  <si>
    <t>p.n09.soil</t>
  </si>
  <si>
    <t>p.n08.soil</t>
  </si>
  <si>
    <t>p.n07.soil</t>
  </si>
  <si>
    <t>p.n06.soil</t>
  </si>
  <si>
    <t>p.n05.soil</t>
  </si>
  <si>
    <t>p.n04.soil</t>
  </si>
  <si>
    <t>p.n03.soil</t>
  </si>
  <si>
    <t>p.n02.soil</t>
  </si>
  <si>
    <t>p.n01.soil</t>
  </si>
  <si>
    <t>p.n24.sewage</t>
  </si>
  <si>
    <t>p.n23.sewage</t>
  </si>
  <si>
    <t>p.n22.sewage</t>
  </si>
  <si>
    <t>p.n21.sewage</t>
  </si>
  <si>
    <t>p.n20.sewage</t>
  </si>
  <si>
    <t>p.n19.sewage</t>
  </si>
  <si>
    <t>p.n18.sewage</t>
  </si>
  <si>
    <t>p.n17.sewage</t>
  </si>
  <si>
    <t>p.n16.sewage</t>
  </si>
  <si>
    <t>p.n15.sewage</t>
  </si>
  <si>
    <t>p.n14.sewage</t>
  </si>
  <si>
    <t>p.n13.sewage</t>
  </si>
  <si>
    <t>p.n12.sewage</t>
  </si>
  <si>
    <t>p.n11.sewage</t>
  </si>
  <si>
    <t>p.n10.sewage</t>
  </si>
  <si>
    <t>p.n09.sewage</t>
  </si>
  <si>
    <t>p.n08.sewage</t>
  </si>
  <si>
    <t>p.n07.sewage</t>
  </si>
  <si>
    <t>p.n06.sewage</t>
  </si>
  <si>
    <t>p.n05.sewage</t>
  </si>
  <si>
    <t>p.n04.sewage</t>
  </si>
  <si>
    <t>p.n03.sewage</t>
  </si>
  <si>
    <t>p.n02.sewage</t>
  </si>
  <si>
    <t>p.n01.sewage</t>
  </si>
  <si>
    <t>p.n24.rain</t>
  </si>
  <si>
    <t>p.n23.rain</t>
  </si>
  <si>
    <t>p.n22.rain</t>
  </si>
  <si>
    <t>p.n21.rain</t>
  </si>
  <si>
    <t>p.n20.rain</t>
  </si>
  <si>
    <t>p.n19.rain</t>
  </si>
  <si>
    <t>p.n18.rain</t>
  </si>
  <si>
    <t>p.n17.rain</t>
  </si>
  <si>
    <t>p.n16.rain</t>
  </si>
  <si>
    <t>p.n15.rain</t>
  </si>
  <si>
    <t>p.n14.rain</t>
  </si>
  <si>
    <t>p.n13.rain</t>
  </si>
  <si>
    <t>p.n12.rain</t>
  </si>
  <si>
    <t>p.n11.rain</t>
  </si>
  <si>
    <t>p.n10.rain</t>
  </si>
  <si>
    <t>p.n09.rain</t>
  </si>
  <si>
    <t>p.n08.rain</t>
  </si>
  <si>
    <t>p.n07.rain</t>
  </si>
  <si>
    <t>p.n06.rain</t>
  </si>
  <si>
    <t>p.n05.rain</t>
  </si>
  <si>
    <t>p.n04.rain</t>
  </si>
  <si>
    <t>p.n03.rain</t>
  </si>
  <si>
    <t>p.n02.rain</t>
  </si>
  <si>
    <t>p.n01.rain</t>
  </si>
  <si>
    <t>p.n24.manure</t>
  </si>
  <si>
    <t>p.n23.manure</t>
  </si>
  <si>
    <t>p.n22.manure</t>
  </si>
  <si>
    <t>p.n21.manure</t>
  </si>
  <si>
    <t>p.n20.manure</t>
  </si>
  <si>
    <t>p.n19.manure</t>
  </si>
  <si>
    <t>p.n18.manure</t>
  </si>
  <si>
    <t>p.n17.manure</t>
  </si>
  <si>
    <t>p.n16.manure</t>
  </si>
  <si>
    <t>p.n15.manure</t>
  </si>
  <si>
    <t>p.n14.manure</t>
  </si>
  <si>
    <t>p.n13.manure</t>
  </si>
  <si>
    <t>p.n12.manure</t>
  </si>
  <si>
    <t>p.n11.manure</t>
  </si>
  <si>
    <t>p.n10.manure</t>
  </si>
  <si>
    <t>p.n09.manure</t>
  </si>
  <si>
    <t>p.n08.manure</t>
  </si>
  <si>
    <t>p.n07.manure</t>
  </si>
  <si>
    <t>p.n06.manure</t>
  </si>
  <si>
    <t>p.n05.manure</t>
  </si>
  <si>
    <t>p.n04.manure</t>
  </si>
  <si>
    <t>p.n03.manure</t>
  </si>
  <si>
    <t>p.n02.manure</t>
  </si>
  <si>
    <t>p.n01.manure</t>
  </si>
  <si>
    <t>p.n24.fertilizer</t>
  </si>
  <si>
    <t>p.n23.fertilizer</t>
  </si>
  <si>
    <t>p.n22.fertilizer</t>
  </si>
  <si>
    <t>p.n21.fertilizer</t>
  </si>
  <si>
    <t>p.n20.fertilizer</t>
  </si>
  <si>
    <t>p.n19.fertilizer</t>
  </si>
  <si>
    <t>p.n18.fertilizer</t>
  </si>
  <si>
    <t>p.n17.fertilizer</t>
  </si>
  <si>
    <t>p.n16.fertilizer</t>
  </si>
  <si>
    <t>p.n15.fertilizer</t>
  </si>
  <si>
    <t>p.n14.fertilizer</t>
  </si>
  <si>
    <t>p.n13.fertilizer</t>
  </si>
  <si>
    <t>p.n12.fertilizer</t>
  </si>
  <si>
    <t>p.n11.fertilizer</t>
  </si>
  <si>
    <t>p.n10.fertilizer</t>
  </si>
  <si>
    <t>p.n09.fertilizer</t>
  </si>
  <si>
    <t>p.n08.fertilizer</t>
  </si>
  <si>
    <t>p.n07.fertilizer</t>
  </si>
  <si>
    <t>p.n06.fertilizer</t>
  </si>
  <si>
    <t>p.n05.fertilizer</t>
  </si>
  <si>
    <t>p.n04.fertilizer</t>
  </si>
  <si>
    <t>p.n03.fertilizer</t>
  </si>
  <si>
    <t>p.n02.fertilizer</t>
  </si>
  <si>
    <t>p.n01.fertilizer</t>
  </si>
  <si>
    <t>SD</t>
    <phoneticPr fontId="1" type="noConversion"/>
  </si>
  <si>
    <t>Mean</t>
    <phoneticPr fontId="1" type="noConversion"/>
  </si>
  <si>
    <t>#################################################################</t>
  </si>
  <si>
    <t># Summary Statistics</t>
  </si>
  <si>
    <t xml:space="preserve">               chain1 chain2 chain3</t>
  </si>
  <si>
    <t>And here are the Geweke diagnostics for all variables: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</si>
  <si>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</si>
  <si>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</si>
  <si>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</si>
  <si>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</si>
  <si>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</si>
  <si>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</si>
  <si>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ilr.fac1[1,4]         NaN        NaN</t>
  </si>
  <si>
    <t>ilr.fac1[1,3]         NaN        NaN</t>
  </si>
  <si>
    <t>ilr.fac1[1,2]         NaN        NaN</t>
  </si>
  <si>
    <t>ilr.fac1[1,1]         NaN        NaN</t>
  </si>
  <si>
    <t xml:space="preserve">               Point est. Upper C.I.</t>
  </si>
  <si>
    <t>And here are the Gelman diagnostics for all variables:</t>
  </si>
  <si>
    <t xml:space="preserve">             Point est. Upper C.I.</t>
  </si>
  <si>
    <t>The worst variables are:</t>
  </si>
  <si>
    <t xml:space="preserve">                      </t>
  </si>
  <si>
    <t>Generally the Gelman diagnostic should be &lt; 1.05</t>
  </si>
  <si>
    <t># Gelman-Rubin Diagnostic</t>
  </si>
  <si>
    <t>TOTAL</t>
    <phoneticPr fontId="1" type="noConversion"/>
  </si>
  <si>
    <t>Result_EMMTE (%)</t>
    <phoneticPr fontId="1" type="noConversion"/>
  </si>
  <si>
    <t>run="long"</t>
    <phoneticPr fontId="1" type="noConversion"/>
  </si>
  <si>
    <t>모델 수렴도 재확보</t>
    <phoneticPr fontId="1" type="noConversion"/>
  </si>
  <si>
    <t>DIC = 192.2272</t>
  </si>
  <si>
    <t>p.global[5]    -1.547  0.679 -0.070</t>
  </si>
  <si>
    <t>p.global[4]    -0.156  0.038 -0.562</t>
  </si>
  <si>
    <t>p.global[3]    -0.743 -0.277 -1.045</t>
  </si>
  <si>
    <t>p.global[2]    -0.179  0.017 -0.671</t>
  </si>
  <si>
    <t>p.global[1]     1.877 -0.966  0.660</t>
  </si>
  <si>
    <t>p.fac1[9,5]    -1.975 -1.035 -0.932</t>
  </si>
  <si>
    <t>p.fac1[9,4]     0.693  0.978  0.615</t>
  </si>
  <si>
    <t>p.fac1[9,3]     0.308  0.176 -2.788</t>
  </si>
  <si>
    <t>p.fac1[9,2]     0.306  1.192 -0.305</t>
  </si>
  <si>
    <t>p.fac1[9,1]     1.530 -0.338  0.822</t>
  </si>
  <si>
    <t>p.fac1[8,5]    -0.479  1.334  0.305</t>
  </si>
  <si>
    <t>p.fac1[8,4]     0.062 -0.148 -0.144</t>
  </si>
  <si>
    <t>p.fac1[8,3]    -0.022 -1.095 -0.073</t>
  </si>
  <si>
    <t>p.fac1[8,2]    -0.151 -0.123  0.048</t>
  </si>
  <si>
    <t>p.fac1[8,1]     0.935 -3.371 -0.369</t>
  </si>
  <si>
    <t>p.fac1[7,5]     0.531 -0.241  0.076</t>
  </si>
  <si>
    <t>p.fac1[7,4]    -0.162 -0.009  0.283</t>
  </si>
  <si>
    <t>p.fac1[7,3]    -0.272  0.973 -1.666</t>
  </si>
  <si>
    <t>p.fac1[7,2]    -2.374 -0.268  0.131</t>
  </si>
  <si>
    <t>p.fac1[7,1]     0.704  0.315 -0.493</t>
  </si>
  <si>
    <t>p.fac1[6,5]     0.563  1.557  0.557</t>
  </si>
  <si>
    <t>p.fac1[6,4]    -0.086 -0.512 -0.460</t>
  </si>
  <si>
    <t>p.fac1[6,3]    -0.058 -0.844 -0.551</t>
  </si>
  <si>
    <t>p.fac1[6,2]    -1.418 -1.191 -0.511</t>
  </si>
  <si>
    <t>p.fac1[6,1]     0.104 -0.978  0.114</t>
  </si>
  <si>
    <t>p.fac1[5,5]    -0.126  0.333  0.342</t>
  </si>
  <si>
    <t>p.fac1[5,4]     0.607  1.395  0.895</t>
  </si>
  <si>
    <t>p.fac1[5,3]    -1.869 -0.350 -2.726</t>
  </si>
  <si>
    <t>p.fac1[5,2]    -2.215  0.106  0.066</t>
  </si>
  <si>
    <t>p.fac1[5,1]     0.283 -1.137 -1.066</t>
  </si>
  <si>
    <t>p.fac1[4,5]    -2.847  2.140  0.749</t>
  </si>
  <si>
    <t>p.fac1[4,4]     1.456 -0.741 -0.313</t>
  </si>
  <si>
    <t>p.fac1[4,3]    -0.214 -1.166 -0.305</t>
  </si>
  <si>
    <t>p.fac1[4,2]    -1.079  0.385  0.056</t>
  </si>
  <si>
    <t>p.fac1[4,1]     2.503 -2.030 -0.642</t>
  </si>
  <si>
    <t>p.fac1[3,5]    -2.040  0.463 -0.149</t>
  </si>
  <si>
    <t>p.fac1[3,4]    -1.225  1.238 -0.263</t>
  </si>
  <si>
    <t>p.fac1[3,3]    -0.068  0.426 -1.202</t>
  </si>
  <si>
    <t>p.fac1[3,2]     0.409 -1.212  0.271</t>
  </si>
  <si>
    <t>p.fac1[3,1]     2.562 -0.985  0.336</t>
  </si>
  <si>
    <t>p.fac1[24,5]   -0.557  0.545  0.339</t>
  </si>
  <si>
    <t>p.fac1[24,4]   -0.507 -0.408 -0.401</t>
  </si>
  <si>
    <t>p.fac1[24,3]   -1.278  0.540 -2.239</t>
  </si>
  <si>
    <t>p.fac1[24,2]   -0.537  0.076  0.604</t>
  </si>
  <si>
    <t>p.fac1[24,1]    1.386 -0.291 -0.378</t>
  </si>
  <si>
    <t>p.fac1[23,5]   -0.554  0.527 -0.416</t>
  </si>
  <si>
    <t>p.fac1[23,4]   -1.522 -0.060  0.126</t>
  </si>
  <si>
    <t>p.fac1[23,3]   -1.794  0.867 -1.114</t>
  </si>
  <si>
    <t>p.fac1[23,2]   -2.356 -0.269 -0.310</t>
  </si>
  <si>
    <t>p.fac1[23,1]    1.568 -0.699  0.449</t>
  </si>
  <si>
    <t>p.fac1[22,5]   -2.291 -0.829  0.199</t>
  </si>
  <si>
    <t>p.fac1[22,4]    0.864  0.039 -0.523</t>
  </si>
  <si>
    <t>p.fac1[22,3]   -0.924  0.260 -2.268</t>
  </si>
  <si>
    <t>p.fac1[22,2]    0.000  0.909 -0.547</t>
  </si>
  <si>
    <t>p.fac1[22,1]    1.567  0.453  0.389</t>
  </si>
  <si>
    <t>p.fac1[21,5]   -1.787  1.002 -1.056</t>
  </si>
  <si>
    <t>p.fac1[21,4]    1.492 -0.621  0.548</t>
  </si>
  <si>
    <t>p.fac1[21,3]   -0.447 -1.696  0.694</t>
  </si>
  <si>
    <t>p.fac1[21,2]    0.664  0.068 -0.125</t>
  </si>
  <si>
    <t>p.fac1[21,1]    1.032 -0.622  0.841</t>
  </si>
  <si>
    <t>p.fac1[20,5]   -0.543  1.935 -0.066</t>
  </si>
  <si>
    <t>p.fac1[20,4]   -0.204 -3.444 -0.351</t>
  </si>
  <si>
    <t>p.fac1[20,3]    0.389  0.046 -0.270</t>
  </si>
  <si>
    <t>p.fac1[20,2]   -0.315  0.658 -0.014</t>
  </si>
  <si>
    <t>p.fac1[20,1]    1.363  0.125  0.833</t>
  </si>
  <si>
    <t>p.fac1[2,5]    -0.712 -0.201 -0.591</t>
  </si>
  <si>
    <t>p.fac1[2,4]    -0.485  0.830 -0.300</t>
  </si>
  <si>
    <t>p.fac1[2,3]     0.612 -1.365 -1.006</t>
  </si>
  <si>
    <t>p.fac1[2,2]    -1.539 -0.582  0.036</t>
  </si>
  <si>
    <t>p.fac1[2,1]     1.391 -0.136  0.842</t>
  </si>
  <si>
    <t>p.fac1[19,5]   -2.216  2.070 -0.204</t>
  </si>
  <si>
    <t>p.fac1[19,4]    0.495 -1.635 -0.788</t>
  </si>
  <si>
    <t>p.fac1[19,3]    0.791 -1.024 -0.706</t>
  </si>
  <si>
    <t>p.fac1[19,2]    0.888 -1.294  0.085</t>
  </si>
  <si>
    <t>p.fac1[19,1]    1.673 -0.053  1.570</t>
  </si>
  <si>
    <t>p.fac1[18,5]   -2.241  0.288  0.150</t>
  </si>
  <si>
    <t>p.fac1[18,4]    0.069  0.123 -0.333</t>
  </si>
  <si>
    <t>p.fac1[18,3]   -0.475  0.082 -0.231</t>
  </si>
  <si>
    <t>p.fac1[18,2]    0.511 -1.032 -0.833</t>
  </si>
  <si>
    <t>p.fac1[18,1]    1.350 -0.029  0.784</t>
  </si>
  <si>
    <t>p.fac1[17,5]   -0.793  0.022 -0.963</t>
  </si>
  <si>
    <t>p.fac1[17,4]    0.417 -0.603  0.431</t>
  </si>
  <si>
    <t>p.fac1[17,3]    0.931 -1.216 -1.900</t>
  </si>
  <si>
    <t>p.fac1[17,2]   -0.823  0.853 -1.085</t>
  </si>
  <si>
    <t>p.fac1[17,1]    1.084  0.230  1.768</t>
  </si>
  <si>
    <t>p.fac1[16,5]   -0.142  0.523 -0.383</t>
  </si>
  <si>
    <t>p.fac1[16,4]   -0.313  0.604 -0.698</t>
  </si>
  <si>
    <t>p.fac1[16,3]   -0.635 -0.847 -0.590</t>
  </si>
  <si>
    <t>p.fac1[16,2]   -0.408 -0.198 -0.596</t>
  </si>
  <si>
    <t>p.fac1[16,1]    0.879 -1.430  1.567</t>
  </si>
  <si>
    <t>p.fac1[15,5]    0.025  0.480  0.299</t>
  </si>
  <si>
    <t>p.fac1[15,4]   -0.347 -0.023 -0.722</t>
  </si>
  <si>
    <t>p.fac1[15,3]   -1.261 -0.524 -0.199</t>
  </si>
  <si>
    <t>p.fac1[15,2]    0.398  0.042 -1.151</t>
  </si>
  <si>
    <t>p.fac1[15,1]    0.414 -0.882  1.323</t>
  </si>
  <si>
    <t>p.fac1[14,5]   -1.012  1.451 -0.602</t>
  </si>
  <si>
    <t>p.fac1[14,4]    0.126 -1.030  1.392</t>
  </si>
  <si>
    <t>p.fac1[14,3]   -1.058 -2.700 -1.704</t>
  </si>
  <si>
    <t>p.fac1[14,2]   -0.577 -0.835  0.041</t>
  </si>
  <si>
    <t>p.fac1[14,1]    1.674 -0.356 -0.255</t>
  </si>
  <si>
    <t>p.fac1[13,5]   -0.769 -0.432  0.036</t>
  </si>
  <si>
    <t>p.fac1[13,4]   -0.397  1.163  0.109</t>
  </si>
  <si>
    <t>p.fac1[13,3]   -1.355 -0.732 -0.994</t>
  </si>
  <si>
    <t>p.fac1[13,2]   -0.558 -0.647 -0.580</t>
  </si>
  <si>
    <t>p.fac1[13,1]    2.461 -0.565  0.237</t>
  </si>
  <si>
    <t>p.fac1[12,5]   -0.346  0.204  0.440</t>
  </si>
  <si>
    <t>p.fac1[12,4]    0.269  1.028 -0.192</t>
  </si>
  <si>
    <t>p.fac1[12,3]   -1.034  0.753 -2.404</t>
  </si>
  <si>
    <t>p.fac1[12,2]   -0.192  0.031 -1.261</t>
  </si>
  <si>
    <t>p.fac1[12,1]    0.458 -1.396  0.255</t>
  </si>
  <si>
    <t>p.fac1[11,5]    0.165 -0.028  1.474</t>
  </si>
  <si>
    <t>p.fac1[11,4]   -2.924  0.097 -2.240</t>
  </si>
  <si>
    <t>p.fac1[11,3]    0.176 -0.672 -0.949</t>
  </si>
  <si>
    <t>p.fac1[11,2]   -0.443  0.977 -0.066</t>
  </si>
  <si>
    <t>p.fac1[11,1]    1.346 -0.339  0.153</t>
  </si>
  <si>
    <t>p.fac1[10,5]   -0.165  0.130 -1.096</t>
  </si>
  <si>
    <t>p.fac1[10,4]   -3.301 -0.091 -1.271</t>
  </si>
  <si>
    <t>p.fac1[10,3]    0.298  0.755 -1.093</t>
  </si>
  <si>
    <t>p.fac1[10,2]    0.971  0.097  0.676</t>
  </si>
  <si>
    <t>p.fac1[10,1]    1.015 -0.275  2.074</t>
  </si>
  <si>
    <t>p.fac1[1,5]    -1.547  0.679 -0.070</t>
  </si>
  <si>
    <t>p.fac1[1,4]    -0.156  0.038 -0.562</t>
  </si>
  <si>
    <t>p.fac1[1,3]    -0.743 -0.277 -1.045</t>
  </si>
  <si>
    <t>p.fac1[1,2]    -0.179  0.017 -0.671</t>
  </si>
  <si>
    <t>p.fac1[1,1]     1.877 -0.966  0.660</t>
  </si>
  <si>
    <t>loglik[9]      -1.107 -0.972  0.711</t>
  </si>
  <si>
    <t>loglik[8]      -0.578 -0.449 -0.711</t>
  </si>
  <si>
    <t>loglik[7]      -1.692 -1.490 -0.255</t>
  </si>
  <si>
    <t>loglik[6]      -0.617 -0.902 -1.642</t>
  </si>
  <si>
    <t>loglik[5]       1.250 -1.009 -1.334</t>
  </si>
  <si>
    <t>loglik[4]      -0.995 -0.088  0.928</t>
  </si>
  <si>
    <t>loglik[3]       0.872 -0.248 -0.250</t>
  </si>
  <si>
    <t>loglik[24]     -0.091 -0.743  0.460</t>
  </si>
  <si>
    <t>loglik[23]      1.931 -0.203  0.728</t>
  </si>
  <si>
    <t>loglik[22]      0.408 -0.538  0.863</t>
  </si>
  <si>
    <t>loglik[21]     -1.848  0.516  0.674</t>
  </si>
  <si>
    <t>loglik[20]     -0.517 -0.683 -0.204</t>
  </si>
  <si>
    <t>loglik[2]       0.187  0.067 -0.342</t>
  </si>
  <si>
    <t>loglik[19]      0.738 -1.060  0.207</t>
  </si>
  <si>
    <t>loglik[18]      0.263 -0.184  0.575</t>
  </si>
  <si>
    <t>loglik[17]     -0.091 -0.303  1.400</t>
  </si>
  <si>
    <t>loglik[16]     -0.435  0.956  1.530</t>
  </si>
  <si>
    <t>loglik[15]     -0.851 -0.294 -1.609</t>
  </si>
  <si>
    <t>loglik[14]     -1.588  0.848  2.920</t>
  </si>
  <si>
    <t>loglik[13]     -0.972  2.604  0.437</t>
  </si>
  <si>
    <t>loglik[12]     -0.005  0.075  2.549</t>
  </si>
  <si>
    <t>loglik[11]      0.819  1.081  1.564</t>
  </si>
  <si>
    <t>loglik[10]      0.435  0.772  0.951</t>
  </si>
  <si>
    <t>loglik[1]      -0.313  1.066  0.831</t>
  </si>
  <si>
    <t>ilr.fac1[9,4]   0.831  0.974  0.056</t>
  </si>
  <si>
    <t>ilr.fac1[9,3]  -0.278 -0.376 -3.754</t>
  </si>
  <si>
    <t>ilr.fac1[9,2]  -2.213  1.114  0.844</t>
  </si>
  <si>
    <t>ilr.fac1[9,1]  -0.563 -0.815  1.219</t>
  </si>
  <si>
    <t>ilr.fac1[8,4]  -0.216 -1.096 -0.098</t>
  </si>
  <si>
    <t>ilr.fac1[8,3]   0.462 -0.389 -0.988</t>
  </si>
  <si>
    <t>ilr.fac1[8,2]  -0.723 -0.981 -1.767</t>
  </si>
  <si>
    <t>ilr.fac1[8,1]  -0.013 -0.073  0.338</t>
  </si>
  <si>
    <t>ilr.fac1[7,4]  -1.537  1.722 -1.046</t>
  </si>
  <si>
    <t>ilr.fac1[7,3]   0.108  1.634 -1.824</t>
  </si>
  <si>
    <t>ilr.fac1[7,2]  -1.176 -1.383  0.007</t>
  </si>
  <si>
    <t>ilr.fac1[7,1]   1.528  1.319  0.194</t>
  </si>
  <si>
    <t>ilr.fac1[6,4]  -1.609 -1.906  0.167</t>
  </si>
  <si>
    <t>ilr.fac1[6,3]  -0.371 -0.495  1.635</t>
  </si>
  <si>
    <t>ilr.fac1[6,2]  -0.752 -1.409  0.255</t>
  </si>
  <si>
    <t>ilr.fac1[6,1]  -2.402  0.971 -1.074</t>
  </si>
  <si>
    <t>ilr.fac1[5,4]  -2.571  0.089 -0.220</t>
  </si>
  <si>
    <t>ilr.fac1[5,3]  -2.481 -0.956 -1.370</t>
  </si>
  <si>
    <t>ilr.fac1[5,2]   0.676 -0.740  0.849</t>
  </si>
  <si>
    <t>ilr.fac1[5,1]  -0.300 -2.299 -1.178</t>
  </si>
  <si>
    <t>ilr.fac1[4,4]   2.637 -2.113 -0.535</t>
  </si>
  <si>
    <t>ilr.fac1[4,3]  -1.519 -0.286 -0.660</t>
  </si>
  <si>
    <t>ilr.fac1[4,2]   0.124 -1.131 -3.630</t>
  </si>
  <si>
    <t>ilr.fac1[4,1]   1.580 -1.943 -0.721</t>
  </si>
  <si>
    <t>ilr.fac1[3,4]   1.552  0.009 -0.436</t>
  </si>
  <si>
    <t>ilr.fac1[3,3]   1.394 -2.181 -0.206</t>
  </si>
  <si>
    <t>ilr.fac1[3,2]  -0.119 -0.059  1.632</t>
  </si>
  <si>
    <t>ilr.fac1[3,1]  -0.605 -0.021  0.298</t>
  </si>
  <si>
    <t>ilr.fac1[24,4] -1.045  0.089 -0.498</t>
  </si>
  <si>
    <t>ilr.fac1[24,3]  0.495  0.434 -1.235</t>
  </si>
  <si>
    <t>ilr.fac1[24,2]  1.423 -1.052  1.220</t>
  </si>
  <si>
    <t>ilr.fac1[24,1]  0.859 -0.291 -0.588</t>
  </si>
  <si>
    <t>ilr.fac1[23,4] -1.034  0.258  0.252</t>
  </si>
  <si>
    <t>ilr.fac1[23,3] -0.224 -0.492 -0.652</t>
  </si>
  <si>
    <t>ilr.fac1[23,2]  0.676 -0.803 -1.239</t>
  </si>
  <si>
    <t>ilr.fac1[23,1]  1.175 -0.069 -0.314</t>
  </si>
  <si>
    <t>ilr.fac1[22,4]  1.460  1.386 -0.711</t>
  </si>
  <si>
    <t>ilr.fac1[22,3] -0.955  1.298 -0.364</t>
  </si>
  <si>
    <t>ilr.fac1[22,2]  0.594 -0.537 -0.164</t>
  </si>
  <si>
    <t>ilr.fac1[22,1]  0.278  0.238 -1.085</t>
  </si>
  <si>
    <t>ilr.fac1[21,4]  0.697 -0.547  1.696</t>
  </si>
  <si>
    <t>ilr.fac1[21,3] -2.491  0.483  0.534</t>
  </si>
  <si>
    <t>ilr.fac1[21,2] -0.110  0.300 -1.233</t>
  </si>
  <si>
    <t>ilr.fac1[21,1] -0.708 -0.560  1.241</t>
  </si>
  <si>
    <t>ilr.fac1[20,4]  0.298 -0.842  0.339</t>
  </si>
  <si>
    <t>ilr.fac1[20,3]  0.312  2.430 -0.185</t>
  </si>
  <si>
    <t>ilr.fac1[20,2] -0.783  0.123 -0.481</t>
  </si>
  <si>
    <t>ilr.fac1[20,1] -0.101 -1.178 -0.512</t>
  </si>
  <si>
    <t>ilr.fac1[2,4]  -0.054  0.459  0.181</t>
  </si>
  <si>
    <t>ilr.fac1[2,3]   0.297 -0.545  0.471</t>
  </si>
  <si>
    <t>ilr.fac1[2,2]  -1.645 -0.649 -0.851</t>
  </si>
  <si>
    <t>ilr.fac1[2,1]   0.644  0.076 -0.071</t>
  </si>
  <si>
    <t>ilr.fac1[19,4]  1.195 -1.874 -0.132</t>
  </si>
  <si>
    <t>ilr.fac1[19,3]  0.331  0.721  0.040</t>
  </si>
  <si>
    <t>ilr.fac1[19,2] -1.843 -0.209  0.387</t>
  </si>
  <si>
    <t>ilr.fac1[19,1]  0.084  0.008  0.403</t>
  </si>
  <si>
    <t>ilr.fac1[18,4]  0.936  0.408  0.312</t>
  </si>
  <si>
    <t>ilr.fac1[18,3]  0.807 -0.194  0.798</t>
  </si>
  <si>
    <t>ilr.fac1[18,2] -0.045 -0.140 -0.157</t>
  </si>
  <si>
    <t>ilr.fac1[18,1] -2.156  0.675  0.664</t>
  </si>
  <si>
    <t>ilr.fac1[17,4]  0.481 -0.253  0.846</t>
  </si>
  <si>
    <t>ilr.fac1[17,3] -0.196  1.497 -0.621</t>
  </si>
  <si>
    <t>ilr.fac1[17,2] -1.505 -0.693 -0.502</t>
  </si>
  <si>
    <t>ilr.fac1[17,1] -0.346  0.841  2.302</t>
  </si>
  <si>
    <t>ilr.fac1[16,4] -1.106 -0.088  0.418</t>
  </si>
  <si>
    <t>ilr.fac1[16,3] -0.373 -0.624 -0.095</t>
  </si>
  <si>
    <t>ilr.fac1[16,2] -0.252  0.015  0.388</t>
  </si>
  <si>
    <t>ilr.fac1[16,1] -0.891  0.239  0.137</t>
  </si>
  <si>
    <t>ilr.fac1[15,4] -1.342  0.120  0.390</t>
  </si>
  <si>
    <t>ilr.fac1[15,3] -0.050 -0.104  0.333</t>
  </si>
  <si>
    <t>ilr.fac1[15,2] -0.301  0.748 -2.202</t>
  </si>
  <si>
    <t>ilr.fac1[15,1] -1.738 -1.237  1.284</t>
  </si>
  <si>
    <t>ilr.fac1[14,4]  0.351 -0.842  0.320</t>
  </si>
  <si>
    <t>ilr.fac1[14,3]  0.592  0.750 -1.239</t>
  </si>
  <si>
    <t>ilr.fac1[14,2] -0.941  1.153  0.356</t>
  </si>
  <si>
    <t>ilr.fac1[14,1] -0.008  0.174 -1.286</t>
  </si>
  <si>
    <t>ilr.fac1[13,4] -0.335  0.132 -0.280</t>
  </si>
  <si>
    <t>ilr.fac1[13,3]  0.103 -2.525 -0.568</t>
  </si>
  <si>
    <t>ilr.fac1[13,2]  2.282 -0.176 -0.386</t>
  </si>
  <si>
    <t>ilr.fac1[13,1] -0.753  1.495  0.614</t>
  </si>
  <si>
    <t>ilr.fac1[12,4] -0.613 -0.083 -0.158</t>
  </si>
  <si>
    <t>ilr.fac1[12,3] -0.215 -1.439 -0.371</t>
  </si>
  <si>
    <t>ilr.fac1[12,2] -1.404 -0.501 -1.468</t>
  </si>
  <si>
    <t>ilr.fac1[12,1] -0.491  0.804  1.399</t>
  </si>
  <si>
    <t>ilr.fac1[11,4] -0.908  0.271 -1.085</t>
  </si>
  <si>
    <t>ilr.fac1[11,3]  3.255 -0.096  1.762</t>
  </si>
  <si>
    <t>ilr.fac1[11,2]  0.474  1.906  1.380</t>
  </si>
  <si>
    <t>ilr.fac1[11,1] -0.206 -0.772 -0.220</t>
  </si>
  <si>
    <t>ilr.fac1[10,4] -0.441  0.246  0.916</t>
  </si>
  <si>
    <t>ilr.fac1[10,3]  1.654 -0.444  1.087</t>
  </si>
  <si>
    <t>ilr.fac1[10,2] -0.643 -0.359  1.659</t>
  </si>
  <si>
    <t>ilr.fac1[10,1] -2.129 -0.298  0.541</t>
  </si>
  <si>
    <t>deviance        0.441 -0.331 -0.345</t>
  </si>
  <si>
    <t>Geweke      24      12      13</t>
  </si>
  <si>
    <t>p.global[5]     1.0008834  1.0030808</t>
  </si>
  <si>
    <t>p.global[4]     1.0000430  1.0002659</t>
  </si>
  <si>
    <t>p.global[3]     1.0348239  1.0369860</t>
  </si>
  <si>
    <t>p.global[2]     1.0010631  1.0016091</t>
  </si>
  <si>
    <t>p.global[1]     1.0016464  1.0043896</t>
  </si>
  <si>
    <t>p.fac1[9,5]     1.0005282  1.0013588</t>
  </si>
  <si>
    <t>p.fac1[9,4]     0.9999681  0.9999946</t>
  </si>
  <si>
    <t>p.fac1[9,3]     1.0454520  1.0491249</t>
  </si>
  <si>
    <t>p.fac1[9,2]     1.0012146  1.0022608</t>
  </si>
  <si>
    <t>p.fac1[9,1]     1.0004507  1.0015694</t>
  </si>
  <si>
    <t>p.fac1[8,5]     0.9999008  1.0007788</t>
  </si>
  <si>
    <t>p.fac1[8,4]     0.9995927  0.9996537</t>
  </si>
  <si>
    <t>p.fac1[8,3]     1.0188449  1.0236386</t>
  </si>
  <si>
    <t>p.fac1[8,2]     0.9997581  1.0000125</t>
  </si>
  <si>
    <t>p.fac1[8,1]     1.0006277  1.0024707</t>
  </si>
  <si>
    <t>p.fac1[7,5]     1.0003800  1.0010715</t>
  </si>
  <si>
    <t>p.fac1[7,4]     0.9997046  1.0000009</t>
  </si>
  <si>
    <t>p.fac1[7,3]     1.0224981  1.0239193</t>
  </si>
  <si>
    <t>p.fac1[7,2]     0.9998032  1.0001740</t>
  </si>
  <si>
    <t>p.fac1[7,1]     1.0001539  1.0002981</t>
  </si>
  <si>
    <t>p.fac1[6,5]     1.0000713  1.0009552</t>
  </si>
  <si>
    <t>p.fac1[6,4]     0.9999390  1.0005591</t>
  </si>
  <si>
    <t>p.fac1[6,3]     1.0267160  1.0298457</t>
  </si>
  <si>
    <t>p.fac1[6,2]     1.0000739  1.0006597</t>
  </si>
  <si>
    <t>p.fac1[6,1]     0.9996866  1.0001566</t>
  </si>
  <si>
    <t>p.fac1[5,5]     1.0005159  1.0027721</t>
  </si>
  <si>
    <t>p.fac1[5,4]     1.0037141  1.0053415</t>
  </si>
  <si>
    <t>p.fac1[5,3]     1.0060375  1.0072133</t>
  </si>
  <si>
    <t>p.fac1[5,2]     1.0052503  1.0061404</t>
  </si>
  <si>
    <t>p.fac1[5,1]     1.0005056  1.0021491</t>
  </si>
  <si>
    <t>p.fac1[4,5]     1.0003771  1.0023737</t>
  </si>
  <si>
    <t>p.fac1[4,4]     1.0000446  1.0007786</t>
  </si>
  <si>
    <t>p.fac1[4,3]     1.0402681  1.0458584</t>
  </si>
  <si>
    <t>p.fac1[4,2]     1.0011902  1.0034504</t>
  </si>
  <si>
    <t>p.fac1[4,1]     1.0020203  1.0039875</t>
  </si>
  <si>
    <t>p.fac1[3,5]     1.0001068  1.0015289</t>
  </si>
  <si>
    <t>p.fac1[3,4]     1.0000801  1.0003418</t>
  </si>
  <si>
    <t>p.fac1[3,3]     1.0216995  1.0229967</t>
  </si>
  <si>
    <t>p.fac1[3,2]     1.0000855  1.0001613</t>
  </si>
  <si>
    <t>p.fac1[3,1]     1.0003839  1.0021316</t>
  </si>
  <si>
    <t>p.fac1[24,5]    1.0004541  1.0026520</t>
  </si>
  <si>
    <t>p.fac1[24,4]    1.0013677  1.0033172</t>
  </si>
  <si>
    <t>p.fac1[24,3]    1.0252001  1.0273196</t>
  </si>
  <si>
    <t>p.fac1[24,2]    1.0059093  1.0146361</t>
  </si>
  <si>
    <t>p.fac1[24,1]    1.0016183  1.0046183</t>
  </si>
  <si>
    <t>p.fac1[23,5]    0.9998115  0.9999594</t>
  </si>
  <si>
    <t>p.fac1[23,4]    1.0006237  1.0009180</t>
  </si>
  <si>
    <t>p.fac1[23,3]    1.0241029  1.0247255</t>
  </si>
  <si>
    <t>p.fac1[23,2]    1.0019227  1.0021704</t>
  </si>
  <si>
    <t>p.fac1[23,1]    1.0003734  1.0011790</t>
  </si>
  <si>
    <t>p.fac1[22,5]    0.9998284  1.0003928</t>
  </si>
  <si>
    <t>p.fac1[22,4]    1.0002351  1.0006866</t>
  </si>
  <si>
    <t>p.fac1[22,3]    1.0017542  1.0029799</t>
  </si>
  <si>
    <t>p.fac1[22,2]    1.0055142  1.0099013</t>
  </si>
  <si>
    <t>p.fac1[22,1]    0.9998719  1.0003264</t>
  </si>
  <si>
    <t>p.fac1[21,5]    0.9999528  1.0006498</t>
  </si>
  <si>
    <t>p.fac1[21,4]    1.0000350  1.0005028</t>
  </si>
  <si>
    <t>p.fac1[21,3]    1.0063207  1.0070202</t>
  </si>
  <si>
    <t>p.fac1[21,2]    1.0005868  1.0020325</t>
  </si>
  <si>
    <t>p.fac1[21,1]    1.0001056  1.0006478</t>
  </si>
  <si>
    <t>p.fac1[20,5]    1.0008005  1.0039695</t>
  </si>
  <si>
    <t>p.fac1[20,4]    1.0007317  1.0035421</t>
  </si>
  <si>
    <t>p.fac1[20,3]    1.0134556  1.0137492</t>
  </si>
  <si>
    <t>p.fac1[20,2]    0.9998097  0.9998658</t>
  </si>
  <si>
    <t>p.fac1[20,1]    1.0004312  1.0016271</t>
  </si>
  <si>
    <t>p.fac1[2,5]     1.0010720  1.0036492</t>
  </si>
  <si>
    <t>p.fac1[2,4]     1.0016937  1.0028580</t>
  </si>
  <si>
    <t>p.fac1[2,3]     1.0706784  1.0724350</t>
  </si>
  <si>
    <t>p.fac1[2,2]     1.0051199  1.0092795</t>
  </si>
  <si>
    <t>p.fac1[2,1]     1.0002133  1.0009889</t>
  </si>
  <si>
    <t>p.fac1[19,5]    0.9999032  1.0006656</t>
  </si>
  <si>
    <t>p.fac1[19,4]    1.0003787  1.0012118</t>
  </si>
  <si>
    <t>p.fac1[19,3]    1.0253835  1.0270698</t>
  </si>
  <si>
    <t>p.fac1[19,2]    1.0021411  1.0030306</t>
  </si>
  <si>
    <t>p.fac1[19,1]    1.0004769  1.0018650</t>
  </si>
  <si>
    <t>p.fac1[18,5]    1.0004684  1.0025173</t>
  </si>
  <si>
    <t>p.fac1[18,4]    1.0008357  1.0025804</t>
  </si>
  <si>
    <t>p.fac1[18,3]    1.0025143  1.0035079</t>
  </si>
  <si>
    <t>p.fac1[18,2]    1.0016102  1.0024956</t>
  </si>
  <si>
    <t>p.fac1[18,1]    1.0008871  1.0021765</t>
  </si>
  <si>
    <t>p.fac1[17,5]    1.0002578  1.0013855</t>
  </si>
  <si>
    <t>p.fac1[17,4]    0.9996067  0.9998016</t>
  </si>
  <si>
    <t>p.fac1[17,3]    1.0217086  1.0226048</t>
  </si>
  <si>
    <t>p.fac1[17,2]    0.9997138  1.0001404</t>
  </si>
  <si>
    <t>p.fac1[17,1]    1.0017785  1.0070991</t>
  </si>
  <si>
    <t>p.fac1[16,5]    1.0000746  1.0004273</t>
  </si>
  <si>
    <t>p.fac1[16,4]    1.0004254  1.0018030</t>
  </si>
  <si>
    <t>p.fac1[16,3]    1.0249786  1.0287906</t>
  </si>
  <si>
    <t>p.fac1[16,2]    1.0007139  1.0016763</t>
  </si>
  <si>
    <t>p.fac1[16,1]    1.0046163  1.0093991</t>
  </si>
  <si>
    <t>p.fac1[15,5]    0.9997693  1.0001022</t>
  </si>
  <si>
    <t>p.fac1[15,4]    1.0002404  1.0014117</t>
  </si>
  <si>
    <t>p.fac1[15,3]    1.0142235  1.0155764</t>
  </si>
  <si>
    <t>p.fac1[15,2]    1.0045185  1.0108600</t>
  </si>
  <si>
    <t>p.fac1[15,1]    1.0008259  1.0013670</t>
  </si>
  <si>
    <t>p.fac1[14,5]    1.0012329  1.0058408</t>
  </si>
  <si>
    <t>p.fac1[14,4]    1.0013197  1.0053759</t>
  </si>
  <si>
    <t>p.fac1[14,3]    1.0011918  1.0021012</t>
  </si>
  <si>
    <t>p.fac1[14,2]    0.9999067  1.0006259</t>
  </si>
  <si>
    <t>p.fac1[14,1]    1.0002448  1.0013790</t>
  </si>
  <si>
    <t>p.fac1[13,5]    1.0002251  1.0020530</t>
  </si>
  <si>
    <t>p.fac1[13,4]    1.0007389  1.0039226</t>
  </si>
  <si>
    <t>p.fac1[13,3]    1.0158543  1.0175268</t>
  </si>
  <si>
    <t>p.fac1[13,2]    0.9999065  1.0008566</t>
  </si>
  <si>
    <t>p.fac1[13,1]    1.0019297  1.0046479</t>
  </si>
  <si>
    <t>p.fac1[12,5]    0.9995309  0.9995326</t>
  </si>
  <si>
    <t>p.fac1[12,4]    1.0014921  1.0033366</t>
  </si>
  <si>
    <t>p.fac1[12,3]    1.0191525  1.0199356</t>
  </si>
  <si>
    <t>p.fac1[12,2]    0.9997605  1.0001399</t>
  </si>
  <si>
    <t>p.fac1[12,1]    0.9999062  1.0008832</t>
  </si>
  <si>
    <t>p.fac1[11,5]    0.9996218  0.9998792</t>
  </si>
  <si>
    <t>p.fac1[11,4]    1.0009753  1.0031018</t>
  </si>
  <si>
    <t>p.fac1[11,3]    1.0217543  1.0217653</t>
  </si>
  <si>
    <t>p.fac1[11,2]    1.0006068  1.0008866</t>
  </si>
  <si>
    <t>p.fac1[11,1]    1.0002893  1.0019543</t>
  </si>
  <si>
    <t>p.fac1[10,5]    1.0002735  1.0010152</t>
  </si>
  <si>
    <t>p.fac1[10,4]    1.0010614  1.0034833</t>
  </si>
  <si>
    <t>p.fac1[10,3]    1.0235615  1.0280507</t>
  </si>
  <si>
    <t>p.fac1[10,2]    1.0003233  1.0010283</t>
  </si>
  <si>
    <t>p.fac1[10,1]    1.0013422  1.0037896</t>
  </si>
  <si>
    <t>p.fac1[1,5]     1.0008834  1.0030808</t>
  </si>
  <si>
    <t>p.fac1[1,4]     1.0000430  1.0002659</t>
  </si>
  <si>
    <t>p.fac1[1,3]     1.0348239  1.0369860</t>
  </si>
  <si>
    <t>p.fac1[1,2]     1.0010631  1.0016091</t>
  </si>
  <si>
    <t>p.fac1[1,1]     1.0016464  1.0043896</t>
  </si>
  <si>
    <t>loglik[9]       1.0006526  1.0016527</t>
  </si>
  <si>
    <t>loglik[8]       0.9998616  1.0000599</t>
  </si>
  <si>
    <t>loglik[7]       1.0006074  1.0020880</t>
  </si>
  <si>
    <t>loglik[6]       1.0014780  1.0021092</t>
  </si>
  <si>
    <t>loglik[5]       0.9995716  0.9996654</t>
  </si>
  <si>
    <t>loglik[4]       1.0028631  1.0032220</t>
  </si>
  <si>
    <t>loglik[3]       1.0016403  1.0029247</t>
  </si>
  <si>
    <t>loglik[24]      0.9997575  1.0003544</t>
  </si>
  <si>
    <t>loglik[23]      0.9996534  0.9999772</t>
  </si>
  <si>
    <t>loglik[22]      1.0018992  1.0027519</t>
  </si>
  <si>
    <t>loglik[21]      1.0003854  1.0008112</t>
  </si>
  <si>
    <t>loglik[20]      1.0007031  1.0023115</t>
  </si>
  <si>
    <t>loglik[2]       1.0079888  1.0144192</t>
  </si>
  <si>
    <t>loglik[19]      1.0013067  1.0035778</t>
  </si>
  <si>
    <t>loglik[18]      0.9998892  1.0000671</t>
  </si>
  <si>
    <t>loglik[17]      1.0011146  1.0013961</t>
  </si>
  <si>
    <t>loglik[16]      1.0000113  1.0008986</t>
  </si>
  <si>
    <t>loglik[15]      1.0003865  1.0019165</t>
  </si>
  <si>
    <t>loglik[14]      1.0008735  1.0025715</t>
  </si>
  <si>
    <t>loglik[13]      1.0015159  1.0020939</t>
  </si>
  <si>
    <t>loglik[12]      1.0008291  1.0036786</t>
  </si>
  <si>
    <t>loglik[11]      1.0025503  1.0062359</t>
  </si>
  <si>
    <t>loglik[10]      1.0014870  1.0020106</t>
  </si>
  <si>
    <t>loglik[1]       1.0007424  1.0026791</t>
  </si>
  <si>
    <t>ilr.fac1[9,4]   1.0006651  1.0021313</t>
  </si>
  <si>
    <t>ilr.fac1[9,3]   1.0007279  1.0017499</t>
  </si>
  <si>
    <t>ilr.fac1[9,2]   1.0009664  1.0034142</t>
  </si>
  <si>
    <t>ilr.fac1[9,1]   1.0002172  1.0011418</t>
  </si>
  <si>
    <t>ilr.fac1[8,4]   1.0002574  1.0004817</t>
  </si>
  <si>
    <t>ilr.fac1[8,3]   0.9997917  1.0000379</t>
  </si>
  <si>
    <t>ilr.fac1[8,2]   1.0009810  1.0047225</t>
  </si>
  <si>
    <t>ilr.fac1[8,1]   0.9999795  1.0008391</t>
  </si>
  <si>
    <t>ilr.fac1[7,4]   1.0020867  1.0034713</t>
  </si>
  <si>
    <t>ilr.fac1[7,3]   1.0001173  1.0003298</t>
  </si>
  <si>
    <t>ilr.fac1[7,2]   1.0001371  1.0003809</t>
  </si>
  <si>
    <t>ilr.fac1[7,1]   0.9996538  0.9996759</t>
  </si>
  <si>
    <t>ilr.fac1[6,4]   1.0007070  1.0025164</t>
  </si>
  <si>
    <t>ilr.fac1[6,3]   1.0003402  1.0024547</t>
  </si>
  <si>
    <t>ilr.fac1[6,2]   0.9996069  0.9998583</t>
  </si>
  <si>
    <t>ilr.fac1[6,1]   1.0008776  1.0043518</t>
  </si>
  <si>
    <t>ilr.fac1[5,4]   0.9998001  1.0006054</t>
  </si>
  <si>
    <t>ilr.fac1[5,3]   0.9998395  1.0001011</t>
  </si>
  <si>
    <t>ilr.fac1[5,2]   0.9997399  1.0000127</t>
  </si>
  <si>
    <t>ilr.fac1[5,1]   0.9999665  1.0008995</t>
  </si>
  <si>
    <t>ilr.fac1[4,4]   1.0001300  1.0009879</t>
  </si>
  <si>
    <t>ilr.fac1[4,3]   1.0014427  1.0052849</t>
  </si>
  <si>
    <t>ilr.fac1[4,2]   1.0001289  1.0008429</t>
  </si>
  <si>
    <t>ilr.fac1[4,1]   0.9997080  1.0001120</t>
  </si>
  <si>
    <t>ilr.fac1[3,4]   0.9999820  1.0011897</t>
  </si>
  <si>
    <t>ilr.fac1[3,3]   0.9999830  1.0009612</t>
  </si>
  <si>
    <t>ilr.fac1[3,2]   0.9998453  1.0007029</t>
  </si>
  <si>
    <t>ilr.fac1[3,1]   0.9999771  1.0005125</t>
  </si>
  <si>
    <t>ilr.fac1[24,4]  0.9999452  1.0007888</t>
  </si>
  <si>
    <t>ilr.fac1[24,3]  1.0023054  1.0094249</t>
  </si>
  <si>
    <t>ilr.fac1[24,2]  0.9997221  1.0002514</t>
  </si>
  <si>
    <t>ilr.fac1[24,1]  1.0014869  1.0050073</t>
  </si>
  <si>
    <t>ilr.fac1[23,4]  1.0002286  1.0003559</t>
  </si>
  <si>
    <t>ilr.fac1[23,3]  0.9999085  0.9999825</t>
  </si>
  <si>
    <t>ilr.fac1[23,2]  1.0000186  1.0013315</t>
  </si>
  <si>
    <t>ilr.fac1[23,1]  1.0002182  1.0020060</t>
  </si>
  <si>
    <t>ilr.fac1[22,4]  0.9999249  1.0000379</t>
  </si>
  <si>
    <t>ilr.fac1[22,3]  1.0000672  1.0010574</t>
  </si>
  <si>
    <t>ilr.fac1[22,2]  1.0020888  1.0045549</t>
  </si>
  <si>
    <t>ilr.fac1[22,1]  1.0010202  1.0049005</t>
  </si>
  <si>
    <t>ilr.fac1[21,4]  1.0014425  1.0020207</t>
  </si>
  <si>
    <t>ilr.fac1[21,3]  1.0010867  1.0052659</t>
  </si>
  <si>
    <t>ilr.fac1[21,2]  1.0009987  1.0049883</t>
  </si>
  <si>
    <t>ilr.fac1[21,1]  1.0005694  1.0031769</t>
  </si>
  <si>
    <t>ilr.fac1[20,4]  1.0008394  1.0033800</t>
  </si>
  <si>
    <t>ilr.fac1[20,3]  1.0001058  1.0008260</t>
  </si>
  <si>
    <t>ilr.fac1[20,2]  1.0002032  1.0007794</t>
  </si>
  <si>
    <t>ilr.fac1[20,1]  0.9999679  1.0010165</t>
  </si>
  <si>
    <t>ilr.fac1[2,4]   1.0024616  1.0067532</t>
  </si>
  <si>
    <t>ilr.fac1[2,3]   0.9999779  1.0007990</t>
  </si>
  <si>
    <t>ilr.fac1[2,2]   1.0001441  1.0018533</t>
  </si>
  <si>
    <t>ilr.fac1[2,1]   1.0009994  1.0040873</t>
  </si>
  <si>
    <t>ilr.fac1[19,4]  1.0005748  1.0006096</t>
  </si>
  <si>
    <t>ilr.fac1[19,3]  0.9998939  1.0006716</t>
  </si>
  <si>
    <t>ilr.fac1[19,2]  1.0005144  1.0020626</t>
  </si>
  <si>
    <t>ilr.fac1[19,1]  1.0006922  1.0015476</t>
  </si>
  <si>
    <t>ilr.fac1[18,4]  1.0005370  1.0018715</t>
  </si>
  <si>
    <t>ilr.fac1[18,3]  0.9997233  1.0002232</t>
  </si>
  <si>
    <t>ilr.fac1[18,2]  0.9998539  0.9998556</t>
  </si>
  <si>
    <t>ilr.fac1[18,1]  1.0002679  1.0010838</t>
  </si>
  <si>
    <t>ilr.fac1[17,4]  1.0003431  1.0012894</t>
  </si>
  <si>
    <t>ilr.fac1[17,3]  0.9996125  0.9997689</t>
  </si>
  <si>
    <t>ilr.fac1[17,2]  1.0002182  1.0010649</t>
  </si>
  <si>
    <t>ilr.fac1[17,1]  1.0003021  1.0016502</t>
  </si>
  <si>
    <t>ilr.fac1[16,4]  1.0002619  1.0009341</t>
  </si>
  <si>
    <t>ilr.fac1[16,3]  0.9996032  0.9998542</t>
  </si>
  <si>
    <t>ilr.fac1[16,2]  1.0009051  1.0038023</t>
  </si>
  <si>
    <t>ilr.fac1[16,1]  0.9995935  0.9996997</t>
  </si>
  <si>
    <t>ilr.fac1[15,4]  1.0003237  1.0024056</t>
  </si>
  <si>
    <t>ilr.fac1[15,3]  1.0018253  1.0058578</t>
  </si>
  <si>
    <t>ilr.fac1[15,2]  1.0007033  1.0018685</t>
  </si>
  <si>
    <t>ilr.fac1[15,1]  1.0007710  1.0028502</t>
  </si>
  <si>
    <t>ilr.fac1[14,4]  1.0010001  1.0040619</t>
  </si>
  <si>
    <t>ilr.fac1[14,3]  1.0010973  1.0035552</t>
  </si>
  <si>
    <t>ilr.fac1[14,2]  1.0005421  1.0030498</t>
  </si>
  <si>
    <t>ilr.fac1[14,1]  1.0018082  1.0028689</t>
  </si>
  <si>
    <t>ilr.fac1[13,4]  1.0011559  1.0055806</t>
  </si>
  <si>
    <t>ilr.fac1[13,3]  1.0003927  1.0020601</t>
  </si>
  <si>
    <t>ilr.fac1[13,2]  1.0002962  1.0016092</t>
  </si>
  <si>
    <t>ilr.fac1[13,1]  1.0002246  1.0021089</t>
  </si>
  <si>
    <t>ilr.fac1[12,4]  1.0001347  1.0017006</t>
  </si>
  <si>
    <t>ilr.fac1[12,3]  1.0011469  1.0041966</t>
  </si>
  <si>
    <t>ilr.fac1[12,2]  1.0003402  1.0025065</t>
  </si>
  <si>
    <t>ilr.fac1[12,1]  0.9995040  0.9995078</t>
  </si>
  <si>
    <t>ilr.fac1[11,4]  0.9997094  1.0000715</t>
  </si>
  <si>
    <t>ilr.fac1[11,3]  1.0007821  1.0027636</t>
  </si>
  <si>
    <t>ilr.fac1[11,2]  1.0006202  1.0035631</t>
  </si>
  <si>
    <t>ilr.fac1[11,1]  0.9998154  1.0004990</t>
  </si>
  <si>
    <t>ilr.fac1[10,4]  0.9995756  0.9996188</t>
  </si>
  <si>
    <t>ilr.fac1[10,3]  1.0014095  1.0057565</t>
  </si>
  <si>
    <t>ilr.fac1[10,2]  1.0001105  1.0012655</t>
  </si>
  <si>
    <t>ilr.fac1[10,1]  1.0003630  1.0017658</t>
  </si>
  <si>
    <t>deviance        1.0005535  1.0032191</t>
  </si>
  <si>
    <t>p.fac1[23,3]   1.024103   1.024725</t>
  </si>
  <si>
    <t>p.fac1[16,3]   1.024979   1.028791</t>
  </si>
  <si>
    <t>p.fac1[24,3]   1.025200   1.027320</t>
  </si>
  <si>
    <t>p.fac1[19,3]   1.025384   1.027070</t>
  </si>
  <si>
    <t>p.fac1[6,3]    1.026716   1.029846</t>
  </si>
  <si>
    <t>p.global[3]    1.034824   1.036986</t>
  </si>
  <si>
    <t>p.fac1[1,3]    1.034824   1.036986</t>
  </si>
  <si>
    <t>p.fac1[4,3]    1.040268   1.045858</t>
  </si>
  <si>
    <t>p.fac1[9,3]    1.045452   1.049125</t>
  </si>
  <si>
    <t>p.fac1[2,3]    1.070678   1.072435</t>
  </si>
  <si>
    <t>0 &gt; 1.1</t>
  </si>
  <si>
    <t>1 &gt; 1.05</t>
  </si>
  <si>
    <t>Out of 246 variables: 20 &gt; 1.01</t>
  </si>
  <si>
    <t>DIC = 200.5691</t>
  </si>
  <si>
    <t>p.global[5]     1.866 -1.777 -2.223</t>
  </si>
  <si>
    <t>p.global[4]    -2.017  1.501  2.356</t>
  </si>
  <si>
    <t>p.global[3]    -1.169  0.587 -1.045</t>
  </si>
  <si>
    <t>p.global[2]     0.891 -0.730 -1.208</t>
  </si>
  <si>
    <t>p.global[1]    -1.093  1.031  0.073</t>
  </si>
  <si>
    <t>p.fac1[9,5]     1.121 -0.701 -1.757</t>
  </si>
  <si>
    <t>p.fac1[9,4]     0.183  1.260  1.766</t>
  </si>
  <si>
    <t>p.fac1[9,3]    -1.097  0.896 -0.898</t>
  </si>
  <si>
    <t>p.fac1[9,2]    -0.789 -1.931  0.200</t>
  </si>
  <si>
    <t>p.fac1[9,1]    -2.318  0.238  0.118</t>
  </si>
  <si>
    <t>p.fac1[8,5]    -0.271 -1.086 -2.117</t>
  </si>
  <si>
    <t>p.fac1[8,4]    -0.129  0.981  1.789</t>
  </si>
  <si>
    <t>p.fac1[8,3]     0.673  0.823  0.405</t>
  </si>
  <si>
    <t>p.fac1[8,2]     1.387 -1.640 -0.449</t>
  </si>
  <si>
    <t>p.fac1[8,1]    -0.256  0.591  1.068</t>
  </si>
  <si>
    <t>p.fac1[7,5]     1.033 -0.098  0.061</t>
  </si>
  <si>
    <t>p.fac1[7,4]    -0.328 -0.257 -0.467</t>
  </si>
  <si>
    <t>p.fac1[7,3]     0.603  0.663  0.928</t>
  </si>
  <si>
    <t>p.fac1[7,2]    -0.684 -0.695  1.098</t>
  </si>
  <si>
    <t>p.fac1[7,1]    -0.668  0.725 -1.457</t>
  </si>
  <si>
    <t>p.fac1[6,5]     0.607 -1.505 -4.040</t>
  </si>
  <si>
    <t>p.fac1[6,4]     0.855  0.175  2.557</t>
  </si>
  <si>
    <t>p.fac1[6,3]    -2.181  0.901 -0.186</t>
  </si>
  <si>
    <t>p.fac1[6,2]    -0.656  0.320 -0.627</t>
  </si>
  <si>
    <t>p.fac1[6,1]    -3.217  1.386 -0.034</t>
  </si>
  <si>
    <t>p.fac1[5,5]     0.540 -1.133 -0.553</t>
  </si>
  <si>
    <t>p.fac1[5,4]    -0.273  0.930  0.870</t>
  </si>
  <si>
    <t>p.fac1[5,3]     0.241  0.662 -1.431</t>
  </si>
  <si>
    <t>p.fac1[5,2]     0.828 -0.032 -0.782</t>
  </si>
  <si>
    <t>p.fac1[5,1]    -1.632  0.649  0.553</t>
  </si>
  <si>
    <t>p.fac1[4,5]    -2.089 -0.901 -1.546</t>
  </si>
  <si>
    <t>p.fac1[4,4]     1.493  0.142  1.909</t>
  </si>
  <si>
    <t>p.fac1[4,3]    -2.732 -0.225  0.205</t>
  </si>
  <si>
    <t>p.fac1[4,2]    -0.121  0.440 -1.052</t>
  </si>
  <si>
    <t>p.fac1[4,1]    -1.069  0.694 -0.663</t>
  </si>
  <si>
    <t>p.fac1[3,5]    -0.635 -1.348 -0.461</t>
  </si>
  <si>
    <t>p.fac1[3,4]    -0.871  0.937  0.625</t>
  </si>
  <si>
    <t>p.fac1[3,3]    -0.738 -0.011 -1.208</t>
  </si>
  <si>
    <t>p.fac1[3,2]     2.065 -0.475 -0.301</t>
  </si>
  <si>
    <t>p.fac1[3,1]    -1.508  1.548 -0.112</t>
  </si>
  <si>
    <t>p.fac1[24,5]    1.027 -0.930 -1.548</t>
  </si>
  <si>
    <t>p.fac1[24,4]   -0.971  1.468  1.046</t>
  </si>
  <si>
    <t>p.fac1[24,3]   -0.734 -0.814 -0.286</t>
  </si>
  <si>
    <t>p.fac1[24,2]    0.730 -2.476 -0.385</t>
  </si>
  <si>
    <t>p.fac1[24,1]   -1.048  1.547  1.786</t>
  </si>
  <si>
    <t>p.fac1[23,5]   -0.319 -0.239 -1.350</t>
  </si>
  <si>
    <t>p.fac1[23,4]   -0.509  0.168  1.596</t>
  </si>
  <si>
    <t>p.fac1[23,3]   -0.121 -1.300 -0.251</t>
  </si>
  <si>
    <t>p.fac1[23,2]    1.716  0.402 -0.474</t>
  </si>
  <si>
    <t>p.fac1[23,1]   -1.971 -0.675 -0.448</t>
  </si>
  <si>
    <t>p.fac1[22,5]   -0.988 -1.547 -1.439</t>
  </si>
  <si>
    <t>p.fac1[22,4]    1.498  1.820  1.399</t>
  </si>
  <si>
    <t>p.fac1[22,3]   -1.567  0.648 -0.145</t>
  </si>
  <si>
    <t>p.fac1[22,2]   -0.196 -0.974 -0.765</t>
  </si>
  <si>
    <t>p.fac1[22,1]   -1.329 -0.014  0.415</t>
  </si>
  <si>
    <t>p.fac1[21,5]    1.134 -1.128 -1.910</t>
  </si>
  <si>
    <t>p.fac1[21,4]   -0.348  1.126  1.379</t>
  </si>
  <si>
    <t>p.fac1[21,3]   -1.390  1.547 -0.467</t>
  </si>
  <si>
    <t>p.fac1[21,2]   -0.747 -1.180 -0.141</t>
  </si>
  <si>
    <t>p.fac1[21,1]   -0.583  0.747  0.255</t>
  </si>
  <si>
    <t>p.fac1[20,5]    0.939  0.279 -1.520</t>
  </si>
  <si>
    <t>p.fac1[20,4]   -0.573  1.011  1.017</t>
  </si>
  <si>
    <t>p.fac1[20,3]   -0.962 -1.439 -2.676</t>
  </si>
  <si>
    <t>p.fac1[20,2]   -0.506 -2.223  0.259</t>
  </si>
  <si>
    <t>p.fac1[20,1]    0.569  0.655  0.743</t>
  </si>
  <si>
    <t>p.fac1[2,5]     0.146 -1.187 -2.012</t>
  </si>
  <si>
    <t>p.fac1[2,4]     0.041  0.795  2.885</t>
  </si>
  <si>
    <t>p.fac1[2,3]    -2.268  0.235 -1.589</t>
  </si>
  <si>
    <t>p.fac1[2,2]    -0.052 -0.001 -1.834</t>
  </si>
  <si>
    <t>p.fac1[2,1]    -0.177  0.380 -0.053</t>
  </si>
  <si>
    <t>p.fac1[19,5]   -0.140 -1.688 -1.195</t>
  </si>
  <si>
    <t>p.fac1[19,4]    0.337  0.928  0.978</t>
  </si>
  <si>
    <t>p.fac1[19,3]   -2.618  0.486 -0.719</t>
  </si>
  <si>
    <t>p.fac1[19,2]    0.169 -0.115  0.314</t>
  </si>
  <si>
    <t>p.fac1[19,1]   -0.959  0.357 -0.864</t>
  </si>
  <si>
    <t>p.fac1[18,5]    0.235 -2.501 -1.970</t>
  </si>
  <si>
    <t>p.fac1[18,4]   -0.165  3.553  1.719</t>
  </si>
  <si>
    <t>p.fac1[18,3]   -0.627  0.187 -3.209</t>
  </si>
  <si>
    <t>p.fac1[18,2]    0.474 -1.005 -0.571</t>
  </si>
  <si>
    <t>p.fac1[18,1]   -1.738  0.134  1.046</t>
  </si>
  <si>
    <t>p.fac1[17,5]    1.409 -0.652 -1.263</t>
  </si>
  <si>
    <t>p.fac1[17,4]   -0.366  0.327  1.584</t>
  </si>
  <si>
    <t>p.fac1[17,3]   -0.542  0.804 -1.289</t>
  </si>
  <si>
    <t>p.fac1[17,2]   -1.319  0.188 -0.484</t>
  </si>
  <si>
    <t>p.fac1[17,1]   -0.289  0.213  1.254</t>
  </si>
  <si>
    <t>p.fac1[16,5]    1.221 -0.647 -0.934</t>
  </si>
  <si>
    <t>p.fac1[16,4]   -1.302  1.118 -0.653</t>
  </si>
  <si>
    <t>p.fac1[16,3]   -0.900 -0.443  0.725</t>
  </si>
  <si>
    <t>p.fac1[16,2]    0.947 -1.155  1.490</t>
  </si>
  <si>
    <t>p.fac1[16,1]   -1.077  0.352  1.104</t>
  </si>
  <si>
    <t>p.fac1[15,5]    0.059 -2.523 -0.068</t>
  </si>
  <si>
    <t>p.fac1[15,4]    0.042  0.766  0.278</t>
  </si>
  <si>
    <t>p.fac1[15,3]    0.182  0.262 -0.808</t>
  </si>
  <si>
    <t>p.fac1[15,2]    0.451  0.569  0.022</t>
  </si>
  <si>
    <t>p.fac1[15,1]   -1.372  1.350 -0.598</t>
  </si>
  <si>
    <t>p.fac1[14,5]   -0.785 -2.486  0.396</t>
  </si>
  <si>
    <t>p.fac1[14,4]   -0.273  1.430  0.351</t>
  </si>
  <si>
    <t>p.fac1[14,3]   -0.155  1.391 -1.538</t>
  </si>
  <si>
    <t>p.fac1[14,2]    1.426  0.121 -0.403</t>
  </si>
  <si>
    <t>p.fac1[14,1]    0.611  0.811 -0.433</t>
  </si>
  <si>
    <t>p.fac1[13,5]   -0.516 -0.968 -1.436</t>
  </si>
  <si>
    <t>p.fac1[13,4]   -0.141 -0.890  1.076</t>
  </si>
  <si>
    <t>p.fac1[13,3]   -0.108  1.740 -0.767</t>
  </si>
  <si>
    <t>p.fac1[13,2]    0.956  1.313  0.210</t>
  </si>
  <si>
    <t>p.fac1[13,1]   -0.654  1.143 -0.102</t>
  </si>
  <si>
    <t>p.fac1[12,5]    1.389  1.205 -1.255</t>
  </si>
  <si>
    <t>p.fac1[12,4]   -1.654 -0.454  1.439</t>
  </si>
  <si>
    <t>p.fac1[12,3]   -0.682  1.015  0.014</t>
  </si>
  <si>
    <t>p.fac1[12,2]    1.071 -0.785 -0.128</t>
  </si>
  <si>
    <t>p.fac1[12,1]   -0.168 -0.507 -0.493</t>
  </si>
  <si>
    <t>p.fac1[11,5]   -1.423 -1.893 -2.297</t>
  </si>
  <si>
    <t>p.fac1[11,4]    1.862  1.611  3.487</t>
  </si>
  <si>
    <t>p.fac1[11,3]    0.588  0.692  0.449</t>
  </si>
  <si>
    <t>p.fac1[11,2]   -1.285 -0.376 -2.788</t>
  </si>
  <si>
    <t>p.fac1[11,1]   -0.765  0.149  0.651</t>
  </si>
  <si>
    <t>p.fac1[10,5]    1.481  1.423 -0.951</t>
  </si>
  <si>
    <t>p.fac1[10,4]    0.279 -0.140  2.126</t>
  </si>
  <si>
    <t>p.fac1[10,3]   -0.145 -0.833 -1.531</t>
  </si>
  <si>
    <t>p.fac1[10,2]   -1.186 -0.722 -1.307</t>
  </si>
  <si>
    <t>p.fac1[10,1]   -2.401 -0.810 -1.416</t>
  </si>
  <si>
    <t>p.fac1[1,5]     1.866 -1.777 -2.223</t>
  </si>
  <si>
    <t>p.fac1[1,4]    -2.017  1.501  2.356</t>
  </si>
  <si>
    <t>p.fac1[1,3]    -1.169  0.587 -1.045</t>
  </si>
  <si>
    <t>p.fac1[1,2]     0.891 -0.730 -1.208</t>
  </si>
  <si>
    <t>p.fac1[1,1]    -1.093  1.031  0.073</t>
  </si>
  <si>
    <t>loglik[9]       0.611  0.087 -1.988</t>
  </si>
  <si>
    <t>loglik[8]      -0.543 -0.560 -1.381</t>
  </si>
  <si>
    <t>loglik[7]       0.095  0.552 -0.109</t>
  </si>
  <si>
    <t>loglik[6]      -0.500 -1.139  1.210</t>
  </si>
  <si>
    <t>loglik[5]      -0.760 -1.843  0.292</t>
  </si>
  <si>
    <t>loglik[4]       2.928  1.695  1.258</t>
  </si>
  <si>
    <t>loglik[3]       0.355 -0.198 -0.164</t>
  </si>
  <si>
    <t>loglik[24]     -0.050 -0.889 -0.106</t>
  </si>
  <si>
    <t>loglik[23]     -0.447  0.911 -0.628</t>
  </si>
  <si>
    <t>loglik[22]      0.592 -1.054 -0.283</t>
  </si>
  <si>
    <t>loglik[21]     -0.439  0.839  0.567</t>
  </si>
  <si>
    <t>loglik[20]     -0.377  0.895 -0.843</t>
  </si>
  <si>
    <t>loglik[2]       0.920  0.234  1.794</t>
  </si>
  <si>
    <t>loglik[19]      0.167  0.557 -0.091</t>
  </si>
  <si>
    <t>loglik[18]     -0.265  1.540  3.784</t>
  </si>
  <si>
    <t>loglik[17]     -0.127  0.110  0.304</t>
  </si>
  <si>
    <t>loglik[16]      2.470  0.631  1.107</t>
  </si>
  <si>
    <t>loglik[15]      2.369 -0.030  1.127</t>
  </si>
  <si>
    <t>loglik[14]      1.160  0.667  0.058</t>
  </si>
  <si>
    <t>loglik[13]      0.297  0.873 -0.825</t>
  </si>
  <si>
    <t>loglik[12]      1.689  0.825  0.074</t>
  </si>
  <si>
    <t>loglik[11]      2.119  0.667 -1.187</t>
  </si>
  <si>
    <t>loglik[10]     -0.142  0.290 -0.183</t>
  </si>
  <si>
    <t>loglik[1]       1.157 -0.582 -2.072</t>
  </si>
  <si>
    <t>ilr.fac1[9,4]  -1.003  0.236  2.047</t>
  </si>
  <si>
    <t>ilr.fac1[9,3]  -1.209 -1.440  1.084</t>
  </si>
  <si>
    <t>ilr.fac1[9,2]  -0.532 -2.526 -1.053</t>
  </si>
  <si>
    <t>ilr.fac1[9,1]  -0.127  0.726 -0.630</t>
  </si>
  <si>
    <t>ilr.fac1[8,4]   1.068  0.695  1.672</t>
  </si>
  <si>
    <t>ilr.fac1[8,3]  -0.167 -0.269 -1.443</t>
  </si>
  <si>
    <t>ilr.fac1[8,2]   0.933 -0.566 -0.114</t>
  </si>
  <si>
    <t>ilr.fac1[8,1]   0.859  0.540  0.621</t>
  </si>
  <si>
    <t>ilr.fac1[7,4]   0.011 -0.512 -0.814</t>
  </si>
  <si>
    <t>ilr.fac1[7,3]  -0.732  0.640  2.115</t>
  </si>
  <si>
    <t>ilr.fac1[7,2]  -2.324  0.508 -0.383</t>
  </si>
  <si>
    <t>ilr.fac1[7,1]   1.192  1.652 -0.673</t>
  </si>
  <si>
    <t>ilr.fac1[6,4]   0.021  1.291  1.156</t>
  </si>
  <si>
    <t>ilr.fac1[6,3]  -2.815  0.959 -0.025</t>
  </si>
  <si>
    <t>ilr.fac1[6,2]  -1.104  0.506 -0.684</t>
  </si>
  <si>
    <t>ilr.fac1[6,1]  -0.987  1.839 -0.292</t>
  </si>
  <si>
    <t>ilr.fac1[5,4]   0.153  1.307 -0.891</t>
  </si>
  <si>
    <t>ilr.fac1[5,3]  -0.424  0.680  0.441</t>
  </si>
  <si>
    <t>ilr.fac1[5,2]  -0.280 -0.742  0.978</t>
  </si>
  <si>
    <t>ilr.fac1[5,1]  -0.689 -0.525 -0.215</t>
  </si>
  <si>
    <t>ilr.fac1[4,4]   1.373 -0.001  0.303</t>
  </si>
  <si>
    <t>ilr.fac1[4,3]  -1.932 -0.287  0.247</t>
  </si>
  <si>
    <t>ilr.fac1[4,2]  -0.249  1.910 -2.233</t>
  </si>
  <si>
    <t>ilr.fac1[4,1]  -0.107 -0.486  0.137</t>
  </si>
  <si>
    <t>ilr.fac1[3,4]   0.502  1.265 -0.259</t>
  </si>
  <si>
    <t>ilr.fac1[3,3]   0.551 -0.155  0.938</t>
  </si>
  <si>
    <t>ilr.fac1[3,2]  -0.739  0.327  0.203</t>
  </si>
  <si>
    <t>ilr.fac1[3,1]  -1.776  1.153 -1.297</t>
  </si>
  <si>
    <t>ilr.fac1[24,4] -0.491  0.144  0.974</t>
  </si>
  <si>
    <t>ilr.fac1[24,3] -0.346 -0.630  0.253</t>
  </si>
  <si>
    <t>ilr.fac1[24,2] -0.045  1.144  1.372</t>
  </si>
  <si>
    <t>ilr.fac1[24,1] -0.211  1.892  0.714</t>
  </si>
  <si>
    <t>ilr.fac1[23,4]  1.061 -0.649 -0.789</t>
  </si>
  <si>
    <t>ilr.fac1[23,3] -0.381  0.499 -1.900</t>
  </si>
  <si>
    <t>ilr.fac1[23,2] -1.295  1.130  0.502</t>
  </si>
  <si>
    <t>ilr.fac1[23,1] -2.031 -1.023 -0.685</t>
  </si>
  <si>
    <t>ilr.fac1[22,4]  1.031  0.942  0.564</t>
  </si>
  <si>
    <t>ilr.fac1[22,3] -2.388 -1.235  0.138</t>
  </si>
  <si>
    <t>ilr.fac1[22,2]  0.239 -0.530 -0.674</t>
  </si>
  <si>
    <t>ilr.fac1[22,1]  0.944 -0.864  1.209</t>
  </si>
  <si>
    <t>ilr.fac1[21,4] -0.009  0.423  0.456</t>
  </si>
  <si>
    <t>ilr.fac1[21,3] -0.767 -0.519  0.592</t>
  </si>
  <si>
    <t>ilr.fac1[21,2] -0.521 -0.836  0.572</t>
  </si>
  <si>
    <t>ilr.fac1[21,1]  0.009  0.552 -1.178</t>
  </si>
  <si>
    <t>ilr.fac1[20,4] -1.291 -1.176  0.901</t>
  </si>
  <si>
    <t>ilr.fac1[20,3] -1.609 -0.373  0.861</t>
  </si>
  <si>
    <t>ilr.fac1[20,2]  0.969  1.719  1.165</t>
  </si>
  <si>
    <t>ilr.fac1[20,1]  1.180  2.101  0.085</t>
  </si>
  <si>
    <t>ilr.fac1[2,4]   0.354  0.597  0.345</t>
  </si>
  <si>
    <t>ilr.fac1[2,3]  -0.334 -0.430 -0.750</t>
  </si>
  <si>
    <t>ilr.fac1[2,2]   1.551  1.435 -1.107</t>
  </si>
  <si>
    <t>ilr.fac1[2,1]   0.778  0.343  1.148</t>
  </si>
  <si>
    <t>ilr.fac1[19,4]  0.654  0.841  0.567</t>
  </si>
  <si>
    <t>ilr.fac1[19,3] -1.643 -0.222  0.687</t>
  </si>
  <si>
    <t>ilr.fac1[19,2]  2.081 -1.343 -0.221</t>
  </si>
  <si>
    <t>ilr.fac1[19,1]  0.645  1.236 -1.840</t>
  </si>
  <si>
    <t>ilr.fac1[18,4]  0.045  2.123  0.312</t>
  </si>
  <si>
    <t>ilr.fac1[18,3] -1.248 -1.069 -0.092</t>
  </si>
  <si>
    <t>ilr.fac1[18,2] -1.002  0.997  2.667</t>
  </si>
  <si>
    <t>ilr.fac1[18,1] -0.907  0.445  0.953</t>
  </si>
  <si>
    <t>ilr.fac1[17,4]  0.408  0.071  0.378</t>
  </si>
  <si>
    <t>ilr.fac1[17,3]  0.210  0.416  1.459</t>
  </si>
  <si>
    <t>ilr.fac1[17,2] -0.659 -0.364  2.060</t>
  </si>
  <si>
    <t>ilr.fac1[17,1]  1.079 -0.834  1.666</t>
  </si>
  <si>
    <t>ilr.fac1[16,4]  0.655 -0.468  0.459</t>
  </si>
  <si>
    <t>ilr.fac1[16,3]  0.595 -0.431  2.366</t>
  </si>
  <si>
    <t>ilr.fac1[16,2]  0.047 -0.264 -0.039</t>
  </si>
  <si>
    <t>ilr.fac1[16,1] -0.743  0.227  0.687</t>
  </si>
  <si>
    <t>ilr.fac1[15,4]  1.465  2.311 -1.293</t>
  </si>
  <si>
    <t>ilr.fac1[15,3]  0.444  0.938  1.320</t>
  </si>
  <si>
    <t>ilr.fac1[15,2] -1.847  0.903 -1.472</t>
  </si>
  <si>
    <t>ilr.fac1[15,1] -0.068 -0.301 -0.020</t>
  </si>
  <si>
    <t>ilr.fac1[14,4]  1.917  3.572 -1.582</t>
  </si>
  <si>
    <t>ilr.fac1[14,3] -0.315  0.994 -0.209</t>
  </si>
  <si>
    <t>ilr.fac1[14,2]  0.934 -0.680  1.165</t>
  </si>
  <si>
    <t>ilr.fac1[14,1]  1.109  0.590 -0.127</t>
  </si>
  <si>
    <t>ilr.fac1[13,4]  1.398  1.557 -0.928</t>
  </si>
  <si>
    <t>ilr.fac1[13,3]  0.047  2.421 -0.110</t>
  </si>
  <si>
    <t>ilr.fac1[13,2] -1.881  0.161 -1.032</t>
  </si>
  <si>
    <t>ilr.fac1[13,1] -0.608  1.994 -0.679</t>
  </si>
  <si>
    <t>ilr.fac1[12,4] -0.893 -2.308 -0.138</t>
  </si>
  <si>
    <t>ilr.fac1[12,3]  0.165  0.793  0.152</t>
  </si>
  <si>
    <t>ilr.fac1[12,2]  1.507 -0.989 -0.131</t>
  </si>
  <si>
    <t>ilr.fac1[12,1] -0.154 -1.777 -0.428</t>
  </si>
  <si>
    <t>ilr.fac1[11,4]  2.140  0.163  0.864</t>
  </si>
  <si>
    <t>ilr.fac1[11,3] -1.960 -0.823 -1.605</t>
  </si>
  <si>
    <t>ilr.fac1[11,2]  0.120 -0.665 -2.520</t>
  </si>
  <si>
    <t>ilr.fac1[11,1]  0.516 -0.302  1.244</t>
  </si>
  <si>
    <t>ilr.fac1[10,4] -1.982 -2.140 -0.410</t>
  </si>
  <si>
    <t>ilr.fac1[10,3] -2.543 -0.537 -0.766</t>
  </si>
  <si>
    <t>ilr.fac1[10,2]  1.083  0.834 -0.255</t>
  </si>
  <si>
    <t>ilr.fac1[10,1]  0.340 -0.509 -0.200</t>
  </si>
  <si>
    <t>deviance       -1.422  0.154 -0.949</t>
  </si>
  <si>
    <t>Geweke      24      15      26</t>
  </si>
  <si>
    <t>p.global[5]     1.0002769  1.0022161</t>
  </si>
  <si>
    <t>p.global[4]     1.0015633  1.0067654</t>
  </si>
  <si>
    <t>p.global[3]     1.0056605  1.0070584</t>
  </si>
  <si>
    <t>p.global[2]     1.0001479  1.0018739</t>
  </si>
  <si>
    <t>p.global[1]     1.0016646  1.0035232</t>
  </si>
  <si>
    <t>p.fac1[9,5]     0.9997935  0.9998800</t>
  </si>
  <si>
    <t>p.fac1[9,4]     1.0009470  1.0029997</t>
  </si>
  <si>
    <t>p.fac1[9,3]     1.0043407  1.0072605</t>
  </si>
  <si>
    <t>p.fac1[9,2]     1.0023734  1.0057263</t>
  </si>
  <si>
    <t>p.fac1[9,1]     1.0025824  1.0058418</t>
  </si>
  <si>
    <t>p.fac1[8,5]     0.9998758  1.0000220</t>
  </si>
  <si>
    <t>p.fac1[8,4]     0.9997562  1.0002500</t>
  </si>
  <si>
    <t>p.fac1[8,3]     1.0050913  1.0056937</t>
  </si>
  <si>
    <t>p.fac1[8,2]     1.0120637  1.0120960</t>
  </si>
  <si>
    <t>p.fac1[8,1]     1.0035006  1.0039566</t>
  </si>
  <si>
    <t>p.fac1[7,5]     1.0004640  1.0013917</t>
  </si>
  <si>
    <t>p.fac1[7,4]     1.0004331  1.0017559</t>
  </si>
  <si>
    <t>p.fac1[7,3]     1.0906234  1.0912056</t>
  </si>
  <si>
    <t>p.fac1[7,2]     1.0001276  1.0005457</t>
  </si>
  <si>
    <t>p.fac1[7,1]     0.9999557  1.0000097</t>
  </si>
  <si>
    <t>p.fac1[6,5]     1.0006211  1.0019784</t>
  </si>
  <si>
    <t>p.fac1[6,4]     1.0006434  1.0027260</t>
  </si>
  <si>
    <t>p.fac1[6,3]     1.0081326  1.0091390</t>
  </si>
  <si>
    <t>p.fac1[6,2]     0.9997969  1.0000064</t>
  </si>
  <si>
    <t>p.fac1[6,1]     1.0002641  1.0017645</t>
  </si>
  <si>
    <t>p.fac1[5,5]     1.0000462  1.0011827</t>
  </si>
  <si>
    <t>p.fac1[5,4]     1.0000659  1.0009446</t>
  </si>
  <si>
    <t>p.fac1[5,3]     1.0039434  1.0060573</t>
  </si>
  <si>
    <t>p.fac1[5,2]     1.0021823  1.0064081</t>
  </si>
  <si>
    <t>p.fac1[5,1]     1.0065705  1.0130743</t>
  </si>
  <si>
    <t>p.fac1[4,5]     1.0015514  1.0021088</t>
  </si>
  <si>
    <t>p.fac1[4,4]     1.0007577  1.0036035</t>
  </si>
  <si>
    <t>p.fac1[4,3]     1.0062630  1.0065698</t>
  </si>
  <si>
    <t>p.fac1[4,2]     1.0022997  1.0063960</t>
  </si>
  <si>
    <t>p.fac1[4,1]     0.9996841  0.9997206</t>
  </si>
  <si>
    <t>p.fac1[3,5]     1.0007217  1.0008550</t>
  </si>
  <si>
    <t>p.fac1[3,4]     1.0006485  1.0029738</t>
  </si>
  <si>
    <t>p.fac1[3,3]     1.0253092  1.0258331</t>
  </si>
  <si>
    <t>p.fac1[3,2]     1.0005520  1.0031997</t>
  </si>
  <si>
    <t>p.fac1[3,1]     1.0038973  1.0104017</t>
  </si>
  <si>
    <t>p.fac1[24,5]    1.0004548  1.0028189</t>
  </si>
  <si>
    <t>p.fac1[24,4]    1.0005865  1.0034710</t>
  </si>
  <si>
    <t>p.fac1[24,3]    1.0256384  1.0302985</t>
  </si>
  <si>
    <t>p.fac1[24,2]    1.0001911  1.0008944</t>
  </si>
  <si>
    <t>p.fac1[24,1]    1.0013180  1.0022488</t>
  </si>
  <si>
    <t>p.fac1[23,5]    0.9997016  0.9998480</t>
  </si>
  <si>
    <t>p.fac1[23,4]    1.0003114  1.0014780</t>
  </si>
  <si>
    <t>p.fac1[23,3]    1.0063706  1.0065953</t>
  </si>
  <si>
    <t>p.fac1[23,2]    1.0002026  1.0013733</t>
  </si>
  <si>
    <t>p.fac1[23,1]    0.9999996  1.0007915</t>
  </si>
  <si>
    <t>p.fac1[22,5]    1.0023948  1.0080923</t>
  </si>
  <si>
    <t>p.fac1[22,4]    1.0036369  1.0144920</t>
  </si>
  <si>
    <t>p.fac1[22,3]    1.0341413  1.0351114</t>
  </si>
  <si>
    <t>p.fac1[22,2]    1.0032299  1.0089048</t>
  </si>
  <si>
    <t>p.fac1[22,1]    0.9999942  1.0000011</t>
  </si>
  <si>
    <t>p.fac1[21,5]    1.0002329  1.0009970</t>
  </si>
  <si>
    <t>p.fac1[21,4]    0.9998330  1.0004680</t>
  </si>
  <si>
    <t>p.fac1[21,3]    1.0173841  1.0195864</t>
  </si>
  <si>
    <t>p.fac1[21,2]    0.9996835  0.9998455</t>
  </si>
  <si>
    <t>p.fac1[21,1]    1.0008438  1.0024485</t>
  </si>
  <si>
    <t>p.fac1[20,5]    0.9997657  1.0001339</t>
  </si>
  <si>
    <t>p.fac1[20,4]    0.9998639  1.0000787</t>
  </si>
  <si>
    <t>p.fac1[20,3]    1.0143405  1.0176526</t>
  </si>
  <si>
    <t>p.fac1[20,2]    1.0006376  1.0021961</t>
  </si>
  <si>
    <t>p.fac1[20,1]    1.0021350  1.0027863</t>
  </si>
  <si>
    <t>p.fac1[2,5]     0.9997465  1.0001757</t>
  </si>
  <si>
    <t>p.fac1[2,4]     1.0003100  1.0020182</t>
  </si>
  <si>
    <t>p.fac1[2,3]     1.0032014  1.0036096</t>
  </si>
  <si>
    <t>p.fac1[2,2]     1.0002580  1.0015769</t>
  </si>
  <si>
    <t>p.fac1[2,1]     1.0064213  1.0069723</t>
  </si>
  <si>
    <t>p.fac1[19,5]    1.0013167  1.0045508</t>
  </si>
  <si>
    <t>p.fac1[19,4]    1.0004155  1.0028596</t>
  </si>
  <si>
    <t>p.fac1[19,3]    1.0024115  1.0026051</t>
  </si>
  <si>
    <t>p.fac1[19,2]    0.9995424  0.9996209</t>
  </si>
  <si>
    <t>p.fac1[19,1]    1.0002964  1.0013853</t>
  </si>
  <si>
    <t>p.fac1[18,5]    1.0024546  1.0075310</t>
  </si>
  <si>
    <t>p.fac1[18,4]    1.0013913  1.0063230</t>
  </si>
  <si>
    <t>p.fac1[18,3]    1.0057163  1.0061936</t>
  </si>
  <si>
    <t>p.fac1[18,2]    0.9998337  1.0007193</t>
  </si>
  <si>
    <t>p.fac1[18,1]    1.0001243  1.0013161</t>
  </si>
  <si>
    <t>p.fac1[17,5]    1.0012303  1.0032188</t>
  </si>
  <si>
    <t>p.fac1[17,4]    1.0011321  1.0048264</t>
  </si>
  <si>
    <t>p.fac1[17,3]    1.0017223  1.0045572</t>
  </si>
  <si>
    <t>p.fac1[17,2]    1.0001223  1.0011697</t>
  </si>
  <si>
    <t>p.fac1[17,1]    1.0003025  1.0012060</t>
  </si>
  <si>
    <t>p.fac1[16,5]    1.0009145  1.0030311</t>
  </si>
  <si>
    <t>p.fac1[16,4]    1.0001806  1.0016624</t>
  </si>
  <si>
    <t>p.fac1[16,3]    1.0043647  1.0057857</t>
  </si>
  <si>
    <t>p.fac1[16,2]    1.0011121  1.0038848</t>
  </si>
  <si>
    <t>p.fac1[16,1]    1.0002970  1.0013364</t>
  </si>
  <si>
    <t>p.fac1[15,5]    0.9997952  1.0004897</t>
  </si>
  <si>
    <t>p.fac1[15,4]    0.9995929  0.9995959</t>
  </si>
  <si>
    <t>p.fac1[15,3]    1.0019869  1.0024585</t>
  </si>
  <si>
    <t>p.fac1[15,2]    1.0001025  1.0011675</t>
  </si>
  <si>
    <t>p.fac1[15,1]    1.0003494  1.0011191</t>
  </si>
  <si>
    <t>p.fac1[14,5]    1.0016511  1.0052271</t>
  </si>
  <si>
    <t>p.fac1[14,4]    1.0002816  1.0021907</t>
  </si>
  <si>
    <t>p.fac1[14,3]    1.0233726  1.0243133</t>
  </si>
  <si>
    <t>p.fac1[14,2]    1.0020097  1.0060892</t>
  </si>
  <si>
    <t>p.fac1[14,1]    1.0019262  1.0034126</t>
  </si>
  <si>
    <t>p.fac1[13,5]    1.0006219  1.0032431</t>
  </si>
  <si>
    <t>p.fac1[13,4]    1.0010525  1.0046821</t>
  </si>
  <si>
    <t>p.fac1[13,3]    0.9997520  1.0001410</t>
  </si>
  <si>
    <t>p.fac1[13,2]    0.9996506  0.9997084</t>
  </si>
  <si>
    <t>p.fac1[13,1]    1.0020366  1.0041358</t>
  </si>
  <si>
    <t>p.fac1[12,5]    1.0008995  1.0041374</t>
  </si>
  <si>
    <t>p.fac1[12,4]    1.0001625  1.0016786</t>
  </si>
  <si>
    <t>p.fac1[12,3]    1.0355209  1.0376036</t>
  </si>
  <si>
    <t>p.fac1[12,2]    0.9998292  0.9999203</t>
  </si>
  <si>
    <t>p.fac1[12,1]    1.0005595  1.0006948</t>
  </si>
  <si>
    <t>p.fac1[11,5]    1.0004225  1.0028908</t>
  </si>
  <si>
    <t>p.fac1[11,4]    1.0022843  1.0088749</t>
  </si>
  <si>
    <t>p.fac1[11,3]    0.9997173  0.9999885</t>
  </si>
  <si>
    <t>p.fac1[11,2]    1.0033409  1.0080457</t>
  </si>
  <si>
    <t>p.fac1[11,1]    1.0005979  1.0022460</t>
  </si>
  <si>
    <t>p.fac1[10,5]    1.0011423  1.0045446</t>
  </si>
  <si>
    <t>p.fac1[10,4]    1.0006998  1.0034378</t>
  </si>
  <si>
    <t>p.fac1[10,3]    1.0178897  1.0185735</t>
  </si>
  <si>
    <t>p.fac1[10,2]    0.9998298  1.0000275</t>
  </si>
  <si>
    <t>p.fac1[10,1]    1.0009658  1.0020056</t>
  </si>
  <si>
    <t>p.fac1[1,5]     1.0002769  1.0022161</t>
  </si>
  <si>
    <t>p.fac1[1,4]     1.0015633  1.0067654</t>
  </si>
  <si>
    <t>p.fac1[1,3]     1.0056605  1.0070584</t>
  </si>
  <si>
    <t>p.fac1[1,2]     1.0001479  1.0018739</t>
  </si>
  <si>
    <t>p.fac1[1,1]     1.0016646  1.0035232</t>
  </si>
  <si>
    <t>loglik[9]       0.9995531  0.9996508</t>
  </si>
  <si>
    <t>loglik[8]       1.0026964  1.0078710</t>
  </si>
  <si>
    <t>loglik[7]       1.0006826  1.0036302</t>
  </si>
  <si>
    <t>loglik[6]       1.0014260  1.0063477</t>
  </si>
  <si>
    <t>loglik[5]       1.0013559  1.0040016</t>
  </si>
  <si>
    <t>loglik[4]       1.0016470  1.0056863</t>
  </si>
  <si>
    <t>loglik[3]       0.9997793  1.0001906</t>
  </si>
  <si>
    <t>loglik[24]      1.0015524  1.0032837</t>
  </si>
  <si>
    <t>loglik[23]      1.0036256  1.0037167</t>
  </si>
  <si>
    <t>loglik[22]      1.0004180  1.0012203</t>
  </si>
  <si>
    <t>loglik[21]      1.0006228  1.0025691</t>
  </si>
  <si>
    <t>loglik[20]      1.0027456  1.0075949</t>
  </si>
  <si>
    <t>loglik[2]       1.0033697  1.0041732</t>
  </si>
  <si>
    <t>loglik[19]      1.0036729  1.0064892</t>
  </si>
  <si>
    <t>loglik[18]      1.0030286  1.0042965</t>
  </si>
  <si>
    <t>loglik[17]      1.0007515  1.0015476</t>
  </si>
  <si>
    <t>loglik[16]      1.0003795  1.0023683</t>
  </si>
  <si>
    <t>loglik[15]      1.0005457  1.0019503</t>
  </si>
  <si>
    <t>loglik[14]      1.0015613  1.0028934</t>
  </si>
  <si>
    <t>loglik[13]      1.0002076  1.0013867</t>
  </si>
  <si>
    <t>loglik[12]      1.0011260  1.0023263</t>
  </si>
  <si>
    <t>loglik[11]      1.0006566  1.0026142</t>
  </si>
  <si>
    <t>loglik[10]      1.0006070  1.0016760</t>
  </si>
  <si>
    <t>loglik[1]       0.9997129  1.0000401</t>
  </si>
  <si>
    <t>ilr.fac1[9,4]   1.0001583  1.0017955</t>
  </si>
  <si>
    <t>ilr.fac1[9,3]   1.0002461  1.0015405</t>
  </si>
  <si>
    <t>ilr.fac1[9,2]   0.9997834  1.0003987</t>
  </si>
  <si>
    <t>ilr.fac1[9,1]   0.9998707  1.0002307</t>
  </si>
  <si>
    <t>ilr.fac1[8,4]   0.9999036  1.0007298</t>
  </si>
  <si>
    <t>ilr.fac1[8,3]   1.0003037  1.0016682</t>
  </si>
  <si>
    <t>ilr.fac1[8,2]   1.0000777  1.0009773</t>
  </si>
  <si>
    <t>ilr.fac1[8,1]   1.0006216  1.0010056</t>
  </si>
  <si>
    <t>ilr.fac1[7,4]   1.0006325  1.0008118</t>
  </si>
  <si>
    <t>ilr.fac1[7,3]   0.9999847  1.0007360</t>
  </si>
  <si>
    <t>ilr.fac1[7,2]   1.0008258  1.0022707</t>
  </si>
  <si>
    <t>ilr.fac1[7,1]   1.0005577  1.0008557</t>
  </si>
  <si>
    <t>ilr.fac1[6,4]   1.0021067  1.0045627</t>
  </si>
  <si>
    <t>ilr.fac1[6,3]   1.0003844  1.0004818</t>
  </si>
  <si>
    <t>ilr.fac1[6,2]   1.0006132  1.0017917</t>
  </si>
  <si>
    <t>ilr.fac1[6,1]   1.0005865  1.0006148</t>
  </si>
  <si>
    <t>ilr.fac1[5,4]   0.9999491  1.0008922</t>
  </si>
  <si>
    <t>ilr.fac1[5,3]   1.0005615  1.0011157</t>
  </si>
  <si>
    <t>ilr.fac1[5,2]   1.0012561  1.0045473</t>
  </si>
  <si>
    <t>ilr.fac1[5,1]   1.0012971  1.0049181</t>
  </si>
  <si>
    <t>ilr.fac1[4,4]   1.0008954  1.0025197</t>
  </si>
  <si>
    <t>ilr.fac1[4,3]   1.0008054  1.0030489</t>
  </si>
  <si>
    <t>ilr.fac1[4,2]   1.0003857  1.0013516</t>
  </si>
  <si>
    <t>ilr.fac1[4,1]   0.9996670  1.0000368</t>
  </si>
  <si>
    <t>ilr.fac1[3,4]   1.0009866  1.0040881</t>
  </si>
  <si>
    <t>ilr.fac1[3,3]   1.0002883  1.0008966</t>
  </si>
  <si>
    <t>ilr.fac1[3,2]   1.0025615  1.0104096</t>
  </si>
  <si>
    <t>ilr.fac1[3,1]   1.0002077  1.0011079</t>
  </si>
  <si>
    <t>ilr.fac1[24,4]  1.0001162  1.0013383</t>
  </si>
  <si>
    <t>ilr.fac1[24,3]  1.0004421  1.0023641</t>
  </si>
  <si>
    <t>ilr.fac1[24,2]  1.0011194  1.0052115</t>
  </si>
  <si>
    <t>ilr.fac1[24,1]  1.0002817  1.0011346</t>
  </si>
  <si>
    <t>ilr.fac1[23,4]  0.9999772  1.0006535</t>
  </si>
  <si>
    <t>ilr.fac1[23,3]  1.0001863  1.0008464</t>
  </si>
  <si>
    <t>ilr.fac1[23,2]  1.0005701  1.0028014</t>
  </si>
  <si>
    <t>ilr.fac1[23,1]  0.9996373  0.9998795</t>
  </si>
  <si>
    <t>ilr.fac1[22,4]  1.0008839  1.0031330</t>
  </si>
  <si>
    <t>ilr.fac1[22,3]  1.0020612  1.0066311</t>
  </si>
  <si>
    <t>ilr.fac1[22,2]  1.0002143  1.0013711</t>
  </si>
  <si>
    <t>ilr.fac1[22,1]  1.0017022  1.0064071</t>
  </si>
  <si>
    <t>ilr.fac1[21,4]  1.0002993  1.0021745</t>
  </si>
  <si>
    <t>ilr.fac1[21,3]  0.9997427  0.9998531</t>
  </si>
  <si>
    <t>ilr.fac1[21,2]  1.0008208  1.0042901</t>
  </si>
  <si>
    <t>ilr.fac1[21,1]  1.0016370  1.0059594</t>
  </si>
  <si>
    <t>ilr.fac1[20,4]  1.0011106  1.0037511</t>
  </si>
  <si>
    <t>ilr.fac1[20,3]  0.9999675  1.0005746</t>
  </si>
  <si>
    <t>ilr.fac1[20,2]  1.0004269  1.0017826</t>
  </si>
  <si>
    <t>ilr.fac1[20,1]  1.0008028  1.0033223</t>
  </si>
  <si>
    <t>ilr.fac1[2,4]   0.9998292  1.0005520</t>
  </si>
  <si>
    <t>ilr.fac1[2,3]   1.0003090  1.0005013</t>
  </si>
  <si>
    <t>ilr.fac1[2,2]   1.0020268  1.0059097</t>
  </si>
  <si>
    <t>ilr.fac1[2,1]   1.0011509  1.0020865</t>
  </si>
  <si>
    <t>ilr.fac1[19,4]  1.0003378  1.0012747</t>
  </si>
  <si>
    <t>ilr.fac1[19,3]  0.9997336  1.0000959</t>
  </si>
  <si>
    <t>ilr.fac1[19,2]  1.0002345  1.0014825</t>
  </si>
  <si>
    <t>ilr.fac1[19,1]  1.0017793  1.0073113</t>
  </si>
  <si>
    <t>ilr.fac1[18,4]  1.0004837  1.0024839</t>
  </si>
  <si>
    <t>ilr.fac1[18,3]  1.0008010  1.0033684</t>
  </si>
  <si>
    <t>ilr.fac1[18,2]  1.0007155  1.0025674</t>
  </si>
  <si>
    <t>ilr.fac1[18,1]  1.0013357  1.0053435</t>
  </si>
  <si>
    <t>ilr.fac1[17,4]  0.9996874  0.9997369</t>
  </si>
  <si>
    <t>ilr.fac1[17,3]  1.0011628  1.0020756</t>
  </si>
  <si>
    <t>ilr.fac1[17,2]  1.0004328  1.0017666</t>
  </si>
  <si>
    <t>ilr.fac1[17,1]  1.0002931  1.0004829</t>
  </si>
  <si>
    <t>ilr.fac1[16,4]  1.0005464  1.0023955</t>
  </si>
  <si>
    <t>ilr.fac1[16,3]  1.0012387  1.0055033</t>
  </si>
  <si>
    <t>ilr.fac1[16,2]  1.0003163  1.0011668</t>
  </si>
  <si>
    <t>ilr.fac1[16,1]  1.0000901  1.0012275</t>
  </si>
  <si>
    <t>ilr.fac1[15,4]  1.0008537  1.0043625</t>
  </si>
  <si>
    <t>ilr.fac1[15,3]  1.0006468  1.0024416</t>
  </si>
  <si>
    <t>ilr.fac1[15,2]  1.0001614  1.0007400</t>
  </si>
  <si>
    <t>ilr.fac1[15,1]  1.0007624  1.0030481</t>
  </si>
  <si>
    <t>ilr.fac1[14,4]  1.0019106  1.0071441</t>
  </si>
  <si>
    <t>ilr.fac1[14,3]  0.9999861  1.0000935</t>
  </si>
  <si>
    <t>ilr.fac1[14,2]  1.0003187  1.0005696</t>
  </si>
  <si>
    <t>ilr.fac1[14,1]  1.0015156  1.0038857</t>
  </si>
  <si>
    <t>ilr.fac1[13,4]  1.0004698  1.0007956</t>
  </si>
  <si>
    <t>ilr.fac1[13,3]  0.9996126  0.9998876</t>
  </si>
  <si>
    <t>ilr.fac1[13,2]  1.0001355  1.0008570</t>
  </si>
  <si>
    <t>ilr.fac1[13,1]  0.9998111  1.0004241</t>
  </si>
  <si>
    <t>ilr.fac1[12,4]  1.0011183  1.0041218</t>
  </si>
  <si>
    <t>ilr.fac1[12,3]  0.9999103  1.0008392</t>
  </si>
  <si>
    <t>ilr.fac1[12,2]  1.0010980  1.0047981</t>
  </si>
  <si>
    <t>ilr.fac1[12,1]  1.0005642  1.0013734</t>
  </si>
  <si>
    <t>ilr.fac1[11,4]  1.0012000  1.0037141</t>
  </si>
  <si>
    <t>ilr.fac1[11,3]  1.0021406  1.0083694</t>
  </si>
  <si>
    <t>ilr.fac1[11,2]  0.9996159  0.9998421</t>
  </si>
  <si>
    <t>ilr.fac1[11,1]  1.0021847  1.0078239</t>
  </si>
  <si>
    <t>ilr.fac1[10,4]  1.0015329  1.0065699</t>
  </si>
  <si>
    <t>ilr.fac1[10,3]  0.9997545  0.9997936</t>
  </si>
  <si>
    <t>ilr.fac1[10,2]  1.0003640  1.0017114</t>
  </si>
  <si>
    <t>ilr.fac1[10,1]  1.0017839  1.0053845</t>
  </si>
  <si>
    <t>deviance        1.0034460  1.0123945</t>
  </si>
  <si>
    <t>p.fac1[8,2]    1.012064   1.012096</t>
  </si>
  <si>
    <t>p.fac1[20,3]   1.014341   1.017653</t>
  </si>
  <si>
    <t>p.fac1[21,3]   1.017384   1.019586</t>
  </si>
  <si>
    <t>p.fac1[10,3]   1.017890   1.018573</t>
  </si>
  <si>
    <t>p.fac1[14,3]   1.023373   1.024313</t>
  </si>
  <si>
    <t>p.fac1[3,3]    1.025309   1.025833</t>
  </si>
  <si>
    <t>p.fac1[24,3]   1.025638   1.030298</t>
  </si>
  <si>
    <t>p.fac1[22,3]   1.034141   1.035111</t>
  </si>
  <si>
    <t>p.fac1[12,3]   1.035521   1.037604</t>
  </si>
  <si>
    <t>p.fac1[7,3]    1.090623   1.091206</t>
  </si>
  <si>
    <t>Out of 246 variables: 10 &gt; 1.01</t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</si>
  <si>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</si>
  <si>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</si>
  <si>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</si>
  <si>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</si>
  <si>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</si>
  <si>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</si>
  <si>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</si>
  <si>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</si>
  <si>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Result_ML Ensemble (STD)</t>
    <phoneticPr fontId="1" type="noConversion"/>
  </si>
  <si>
    <t>ML_Ensemble : Random Forest, ExtraTrees, XGBoost, LightGBM, Support Vector Machine, K-Nearest Neighbor, Tree, ElasticNet, Bayesian Neural Network, TabNet, GNN_Spatial</t>
    <phoneticPr fontId="1" type="noConversion"/>
  </si>
  <si>
    <t>Result_AI Ensemble (STD)</t>
    <phoneticPr fontId="1" type="noConversion"/>
  </si>
  <si>
    <t>AI_Ensemble : Deep Neural Network, Convolutional Neural Network, Long Short Term Memory</t>
    <phoneticPr fontId="1" type="noConversion"/>
  </si>
  <si>
    <t>Result_MixSIAR (%)</t>
    <phoneticPr fontId="1" type="noConversion"/>
  </si>
  <si>
    <t>Result_ML Ensemble (%)</t>
    <phoneticPr fontId="1" type="noConversion"/>
  </si>
  <si>
    <t>Result_ML Ensemble (%, mean)</t>
    <phoneticPr fontId="1" type="noConversion"/>
  </si>
  <si>
    <t>Result_AI Ensemble (%)</t>
    <phoneticPr fontId="1" type="noConversion"/>
  </si>
  <si>
    <t>Result_AI Ensemble (%, mean)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</si>
  <si>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</si>
  <si>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</si>
  <si>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</si>
  <si>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</si>
  <si>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</si>
  <si>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</si>
  <si>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오염원 시료 : `24~`25 연구과제 수행 시 채취한 시료</t>
    <phoneticPr fontId="1" type="noConversion"/>
  </si>
  <si>
    <t>모델 별 오염원 기여율 추정값 비교 : 계산한 비율 값이 1에 가까울수록 해당 2가지 모델의 오염원 기여율 추정값이 비슷하다는 의미임</t>
    <phoneticPr fontId="1" type="noConversion"/>
  </si>
  <si>
    <t>Result_MixSIAR (STD)</t>
    <phoneticPr fontId="1" type="noConversion"/>
  </si>
  <si>
    <t xml:space="preserve">MixSIAR(베이지안 확률통계 이론 기반) : 자연적 변동성 반영(STD 포함)  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</si>
  <si>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</si>
  <si>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 xml:space="preserve">사용된 ML 알고리즘 관련 SHAP 기여도 정리 </t>
    <phoneticPr fontId="1" type="noConversion"/>
  </si>
  <si>
    <t xml:space="preserve">사용된 AI 알고리즘 관련 SHAP 기여도 정리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</si>
</sst>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_ "/>
    <numFmt numFmtId="178" formatCode="0.000_ "/>
    <numFmt numFmtId="179" formatCode="0.00_);[Red]\(0.00\)"/>
  </numFmts>
  <fonts count="5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vertAlign val="superscript"/>
      <sz val="12"/>
      <color rgb="FFFF0000"/>
      <name val="휴먼명조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bscript"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6" fillId="0" borderId="48" applyNumberFormat="0" applyFill="0" applyAlignment="0" applyProtection="0"/>
    <xf numFmtId="0" fontId="37" fillId="0" borderId="0"/>
    <xf numFmtId="0" fontId="38" fillId="0" borderId="49" applyNumberFormat="0" applyFill="0" applyAlignment="0" applyProtection="0"/>
    <xf numFmtId="0" fontId="42" fillId="0" borderId="0">
      <alignment vertical="center"/>
    </xf>
  </cellStyleXfs>
  <cellXfs count="152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49" fontId="30" fillId="28" borderId="46" xfId="0" applyNumberFormat="1" applyFont="1" applyFill="1" applyBorder="1" applyAlignment="1">
      <alignment horizontal="center" vertical="center" wrapText="1"/>
    </xf>
    <xf numFmtId="49" fontId="5" fillId="30" borderId="4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14" fontId="8" fillId="32" borderId="41" xfId="0" applyNumberFormat="1" applyFont="1" applyFill="1" applyBorder="1" applyAlignment="1">
      <alignment horizontal="center" vertical="center"/>
    </xf>
    <xf numFmtId="20" fontId="8" fillId="32" borderId="25" xfId="0" applyNumberFormat="1" applyFont="1" applyFill="1" applyBorder="1" applyAlignment="1">
      <alignment horizontal="center" vertical="center"/>
    </xf>
    <xf numFmtId="2" fontId="8" fillId="32" borderId="25" xfId="0" applyNumberFormat="1" applyFont="1" applyFill="1" applyBorder="1" applyAlignment="1">
      <alignment horizontal="center" vertical="center"/>
    </xf>
    <xf numFmtId="177" fontId="8" fillId="32" borderId="40" xfId="0" applyNumberFormat="1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177" fontId="8" fillId="32" borderId="34" xfId="0" applyNumberFormat="1" applyFont="1" applyFill="1" applyBorder="1" applyAlignment="1">
      <alignment horizontal="center" vertical="center"/>
    </xf>
    <xf numFmtId="177" fontId="8" fillId="32" borderId="35" xfId="0" applyNumberFormat="1" applyFont="1" applyFill="1" applyBorder="1" applyAlignment="1">
      <alignment horizontal="center" vertical="center"/>
    </xf>
    <xf numFmtId="49" fontId="39" fillId="3" borderId="4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2" fontId="8" fillId="32" borderId="24" xfId="0" applyNumberFormat="1" applyFont="1" applyFill="1" applyBorder="1" applyAlignment="1">
      <alignment horizontal="center" vertical="center"/>
    </xf>
    <xf numFmtId="2" fontId="8" fillId="32" borderId="34" xfId="0" applyNumberFormat="1" applyFont="1" applyFill="1" applyBorder="1" applyAlignment="1">
      <alignment horizontal="center" vertical="center"/>
    </xf>
    <xf numFmtId="2" fontId="8" fillId="32" borderId="40" xfId="0" applyNumberFormat="1" applyFont="1" applyFill="1" applyBorder="1" applyAlignment="1">
      <alignment horizontal="center" vertical="center"/>
    </xf>
    <xf numFmtId="2" fontId="8" fillId="32" borderId="35" xfId="0" applyNumberFormat="1" applyFont="1" applyFill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32" borderId="26" xfId="0" applyNumberFormat="1" applyFont="1" applyFill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14" fontId="8" fillId="32" borderId="25" xfId="0" applyNumberFormat="1" applyFont="1" applyFill="1" applyBorder="1" applyAlignment="1">
      <alignment horizontal="center" vertical="center"/>
    </xf>
    <xf numFmtId="0" fontId="8" fillId="32" borderId="50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32" borderId="45" xfId="0" applyNumberFormat="1" applyFont="1" applyFill="1" applyBorder="1" applyAlignment="1">
      <alignment horizontal="center" vertical="center"/>
    </xf>
    <xf numFmtId="176" fontId="8" fillId="32" borderId="25" xfId="0" applyNumberFormat="1" applyFont="1" applyFill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33" fillId="32" borderId="26" xfId="0" applyFont="1" applyFill="1" applyBorder="1" applyAlignment="1">
      <alignment horizontal="center" vertical="center"/>
    </xf>
    <xf numFmtId="2" fontId="8" fillId="31" borderId="33" xfId="0" applyNumberFormat="1" applyFont="1" applyFill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2" fontId="8" fillId="31" borderId="40" xfId="0" applyNumberFormat="1" applyFont="1" applyFill="1" applyBorder="1" applyAlignment="1">
      <alignment horizontal="center" vertical="center"/>
    </xf>
    <xf numFmtId="2" fontId="8" fillId="31" borderId="35" xfId="0" applyNumberFormat="1" applyFont="1" applyFill="1" applyBorder="1" applyAlignment="1">
      <alignment horizontal="center" vertical="center"/>
    </xf>
    <xf numFmtId="2" fontId="33" fillId="31" borderId="35" xfId="0" applyNumberFormat="1" applyFont="1" applyFill="1" applyBorder="1" applyAlignment="1">
      <alignment horizontal="center" vertical="center"/>
    </xf>
    <xf numFmtId="177" fontId="8" fillId="31" borderId="33" xfId="0" applyNumberFormat="1" applyFont="1" applyFill="1" applyBorder="1" applyAlignment="1">
      <alignment horizontal="center" vertical="center"/>
    </xf>
    <xf numFmtId="177" fontId="8" fillId="31" borderId="34" xfId="0" applyNumberFormat="1" applyFont="1" applyFill="1" applyBorder="1" applyAlignment="1">
      <alignment horizontal="center" vertical="center"/>
    </xf>
    <xf numFmtId="177" fontId="8" fillId="31" borderId="40" xfId="0" applyNumberFormat="1" applyFont="1" applyFill="1" applyBorder="1" applyAlignment="1">
      <alignment horizontal="center" vertical="center"/>
    </xf>
    <xf numFmtId="177" fontId="8" fillId="31" borderId="35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3" fillId="29" borderId="51" xfId="55" applyFont="1" applyFill="1" applyBorder="1" applyAlignment="1">
      <alignment horizontal="center" vertical="center"/>
    </xf>
    <xf numFmtId="49" fontId="46" fillId="29" borderId="51" xfId="55" applyNumberFormat="1" applyFont="1" applyFill="1" applyBorder="1" applyAlignment="1">
      <alignment horizontal="center" vertical="center" wrapText="1"/>
    </xf>
    <xf numFmtId="0" fontId="8" fillId="0" borderId="0" xfId="55" applyFont="1">
      <alignment vertical="center"/>
    </xf>
    <xf numFmtId="0" fontId="48" fillId="0" borderId="0" xfId="55" applyFont="1">
      <alignment vertical="center"/>
    </xf>
    <xf numFmtId="49" fontId="35" fillId="0" borderId="51" xfId="55" applyNumberFormat="1" applyFont="1" applyBorder="1" applyAlignment="1">
      <alignment horizontal="center" vertical="center"/>
    </xf>
    <xf numFmtId="0" fontId="49" fillId="0" borderId="51" xfId="53" applyFont="1" applyBorder="1" applyAlignment="1">
      <alignment horizontal="center"/>
    </xf>
    <xf numFmtId="2" fontId="49" fillId="0" borderId="51" xfId="53" applyNumberFormat="1" applyFont="1" applyBorder="1" applyAlignment="1">
      <alignment horizontal="center"/>
    </xf>
    <xf numFmtId="2" fontId="49" fillId="0" borderId="51" xfId="55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28" fillId="0" borderId="33" xfId="0" applyNumberFormat="1" applyFont="1" applyBorder="1" applyAlignment="1">
      <alignment horizontal="center" vertical="center"/>
    </xf>
    <xf numFmtId="2" fontId="28" fillId="0" borderId="3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28" fillId="0" borderId="35" xfId="0" applyNumberFormat="1" applyFont="1" applyBorder="1" applyAlignment="1">
      <alignment horizontal="center" vertical="center"/>
    </xf>
    <xf numFmtId="2" fontId="28" fillId="32" borderId="40" xfId="0" applyNumberFormat="1" applyFont="1" applyFill="1" applyBorder="1" applyAlignment="1">
      <alignment horizontal="center" vertical="center"/>
    </xf>
    <xf numFmtId="2" fontId="28" fillId="32" borderId="34" xfId="0" applyNumberFormat="1" applyFont="1" applyFill="1" applyBorder="1" applyAlignment="1">
      <alignment horizontal="center" vertical="center"/>
    </xf>
    <xf numFmtId="2" fontId="28" fillId="32" borderId="35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50" fillId="0" borderId="0" xfId="0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28" fillId="0" borderId="0" xfId="0" applyNumberFormat="1" applyFon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28" fillId="0" borderId="0" xfId="0" applyNumberFormat="1" applyFont="1">
      <alignment vertical="center"/>
    </xf>
    <xf numFmtId="179" fontId="39" fillId="3" borderId="4" xfId="0" applyNumberFormat="1" applyFont="1" applyFill="1" applyBorder="1" applyAlignment="1">
      <alignment horizontal="center" vertical="center" wrapText="1"/>
    </xf>
    <xf numFmtId="179" fontId="5" fillId="3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  <xf numFmtId="49" fontId="30" fillId="28" borderId="52" xfId="0" applyNumberFormat="1" applyFont="1" applyFill="1" applyBorder="1" applyAlignment="1">
      <alignment horizontal="center" vertical="center" wrapText="1"/>
    </xf>
    <xf numFmtId="49" fontId="29" fillId="27" borderId="53" xfId="0" applyNumberFormat="1" applyFont="1" applyFill="1" applyBorder="1" applyAlignment="1">
      <alignment horizontal="center" vertical="center" wrapText="1"/>
    </xf>
    <xf numFmtId="49" fontId="29" fillId="27" borderId="52" xfId="0" applyNumberFormat="1" applyFont="1" applyFill="1" applyBorder="1" applyAlignment="1">
      <alignment horizontal="center" vertical="center" wrapText="1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C-4DC2-830B-630DA3BBDA0C}"/>
              </c:ext>
            </c:extLst>
          </c:dPt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  <c:pt idx="15">
                  <c:v>4.6701059670621854</c:v>
                </c:pt>
              </c:numCache>
            </c:numRef>
          </c:xVal>
          <c:yVal>
            <c:numRef>
              <c:f>'오염원(하수)'!$E$2:$E$22</c:f>
              <c:numCache>
                <c:formatCode>0.00</c:formatCode>
                <c:ptCount val="21"/>
                <c:pt idx="0">
                  <c:v>2.98</c:v>
                </c:pt>
                <c:pt idx="1">
                  <c:v>4.01</c:v>
                </c:pt>
                <c:pt idx="2">
                  <c:v>3.84</c:v>
                </c:pt>
                <c:pt idx="3">
                  <c:v>3.65</c:v>
                </c:pt>
                <c:pt idx="4">
                  <c:v>5.16</c:v>
                </c:pt>
                <c:pt idx="5">
                  <c:v>1.05</c:v>
                </c:pt>
                <c:pt idx="6">
                  <c:v>4</c:v>
                </c:pt>
                <c:pt idx="7">
                  <c:v>-0.37</c:v>
                </c:pt>
                <c:pt idx="8">
                  <c:v>4.66</c:v>
                </c:pt>
                <c:pt idx="9">
                  <c:v>-0.25</c:v>
                </c:pt>
                <c:pt idx="10">
                  <c:v>5.45</c:v>
                </c:pt>
                <c:pt idx="11">
                  <c:v>6.6</c:v>
                </c:pt>
                <c:pt idx="12">
                  <c:v>-0.53</c:v>
                </c:pt>
                <c:pt idx="14">
                  <c:v>3.0961538461538463</c:v>
                </c:pt>
                <c:pt idx="15">
                  <c:v>2.3733750176402744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  <c:pt idx="15">
                  <c:v>4.6701059670621854</c:v>
                </c:pt>
              </c:numCache>
            </c:numRef>
          </c:xVal>
          <c:yVal>
            <c:numRef>
              <c:f>'오염원(하수)'!$F$2:$F$22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  <c:pt idx="13">
                  <c:v>16.518750000000001</c:v>
                </c:pt>
                <c:pt idx="14">
                  <c:v>6.2245522383687808</c:v>
                </c:pt>
              </c:numCache>
            </c:numRef>
          </c:xVal>
          <c:yVal>
            <c:numRef>
              <c:f>'오염원(퇴비)'!$E$2:$E$22</c:f>
              <c:numCache>
                <c:formatCode>0.00</c:formatCode>
                <c:ptCount val="21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16.754999999999999</c:v>
                </c:pt>
                <c:pt idx="5">
                  <c:v>5.27</c:v>
                </c:pt>
                <c:pt idx="6">
                  <c:v>-0.67</c:v>
                </c:pt>
                <c:pt idx="7">
                  <c:v>1.3149999999999999</c:v>
                </c:pt>
                <c:pt idx="8">
                  <c:v>4.7449999999999992</c:v>
                </c:pt>
                <c:pt idx="9">
                  <c:v>5.88</c:v>
                </c:pt>
                <c:pt idx="10">
                  <c:v>11.465</c:v>
                </c:pt>
                <c:pt idx="11">
                  <c:v>8.84</c:v>
                </c:pt>
                <c:pt idx="13">
                  <c:v>7.1087500000000006</c:v>
                </c:pt>
                <c:pt idx="14">
                  <c:v>4.8294946681821687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  <c:pt idx="13">
                  <c:v>16.518750000000001</c:v>
                </c:pt>
                <c:pt idx="14">
                  <c:v>6.2245522383687808</c:v>
                </c:pt>
              </c:numCache>
            </c:numRef>
          </c:xVal>
          <c:yVal>
            <c:numRef>
              <c:f>'오염원(퇴비)'!$F$2:$F$22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  <c:pt idx="6">
                  <c:v>1.0669999999999999</c:v>
                </c:pt>
                <c:pt idx="7">
                  <c:v>0.488794435320207</c:v>
                </c:pt>
              </c:numCache>
            </c:numRef>
          </c:xVal>
          <c:yVal>
            <c:numRef>
              <c:f>'오염원(비료)'!$E$2:$E$22</c:f>
              <c:numCache>
                <c:formatCode>0.00</c:formatCode>
                <c:ptCount val="21"/>
                <c:pt idx="0">
                  <c:v>10.72</c:v>
                </c:pt>
                <c:pt idx="1">
                  <c:v>18.05</c:v>
                </c:pt>
                <c:pt idx="2">
                  <c:v>4.1099999999999994</c:v>
                </c:pt>
                <c:pt idx="3">
                  <c:v>8.9700000000000006</c:v>
                </c:pt>
                <c:pt idx="4">
                  <c:v>7.29</c:v>
                </c:pt>
                <c:pt idx="6">
                  <c:v>9.8279999999999994</c:v>
                </c:pt>
                <c:pt idx="7">
                  <c:v>5.2026454809068055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  <c:pt idx="6">
                  <c:v>1.0669999999999999</c:v>
                </c:pt>
                <c:pt idx="7">
                  <c:v>0.488794435320207</c:v>
                </c:pt>
              </c:numCache>
            </c:numRef>
          </c:xVal>
          <c:yVal>
            <c:numRef>
              <c:f>'오염원(비료)'!$F$2:$F$22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  <c:pt idx="4">
                  <c:v>1.71</c:v>
                </c:pt>
                <c:pt idx="5">
                  <c:v>1.5603845679831623</c:v>
                </c:pt>
              </c:numCache>
            </c:numRef>
          </c:xVal>
          <c:yVal>
            <c:numRef>
              <c:f>'오염원(강우)'!$E$2:$E$22</c:f>
              <c:numCache>
                <c:formatCode>0.00</c:formatCode>
                <c:ptCount val="21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  <c:pt idx="4">
                  <c:v>45.81</c:v>
                </c:pt>
                <c:pt idx="5">
                  <c:v>5.7261068798966068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  <c:pt idx="4">
                  <c:v>1.71</c:v>
                </c:pt>
                <c:pt idx="5">
                  <c:v>1.5603845679831623</c:v>
                </c:pt>
              </c:numCache>
            </c:numRef>
          </c:xVal>
          <c:yVal>
            <c:numRef>
              <c:f>'오염원(강우)'!$F$2:$F$22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A-4A3E-8A51-9758093CA696}"/>
              </c:ext>
            </c:extLst>
          </c:dPt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  <c:pt idx="9">
                  <c:v>3.2174999999999998</c:v>
                </c:pt>
                <c:pt idx="10">
                  <c:v>2.1496228905155834</c:v>
                </c:pt>
              </c:numCache>
            </c:numRef>
          </c:xVal>
          <c:yVal>
            <c:numRef>
              <c:f>'오염원(토양_산림)'!$E$2:$E$19</c:f>
              <c:numCache>
                <c:formatCode>0.00</c:formatCode>
                <c:ptCount val="18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-0.6</c:v>
                </c:pt>
                <c:pt idx="4">
                  <c:v>-1.83</c:v>
                </c:pt>
                <c:pt idx="5">
                  <c:v>2.4</c:v>
                </c:pt>
                <c:pt idx="6">
                  <c:v>0.08</c:v>
                </c:pt>
                <c:pt idx="7">
                  <c:v>0.23</c:v>
                </c:pt>
                <c:pt idx="9">
                  <c:v>2.1549999999999998</c:v>
                </c:pt>
                <c:pt idx="10">
                  <c:v>3.8310349217187487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  <c:pt idx="9">
                  <c:v>3.2174999999999998</c:v>
                </c:pt>
                <c:pt idx="10">
                  <c:v>2.1496228905155834</c:v>
                </c:pt>
              </c:numCache>
            </c:numRef>
          </c:xVal>
          <c:yVal>
            <c:numRef>
              <c:f>'오염원(토양_산림)'!$F$2:$F$19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59530</xdr:colOff>
      <xdr:row>65</xdr:row>
      <xdr:rowOff>71436</xdr:rowOff>
    </xdr:from>
    <xdr:to>
      <xdr:col>71</xdr:col>
      <xdr:colOff>2054</xdr:colOff>
      <xdr:row>101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C52096-7B46-2B23-B4B6-27EA6AC5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41811" y="15632905"/>
          <a:ext cx="19968837" cy="8893970"/>
        </a:xfrm>
        <a:prstGeom prst="rect">
          <a:avLst/>
        </a:prstGeom>
      </xdr:spPr>
    </xdr:pic>
    <xdr:clientData/>
  </xdr:twoCellAnchor>
  <xdr:twoCellAnchor editAs="oneCell">
    <xdr:from>
      <xdr:col>44</xdr:col>
      <xdr:colOff>23812</xdr:colOff>
      <xdr:row>106</xdr:row>
      <xdr:rowOff>11908</xdr:rowOff>
    </xdr:from>
    <xdr:to>
      <xdr:col>66</xdr:col>
      <xdr:colOff>333373</xdr:colOff>
      <xdr:row>147</xdr:row>
      <xdr:rowOff>95250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0F453E-ACBD-DA40-A312-D1558D0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7218" y="25788939"/>
          <a:ext cx="15501936" cy="10334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36</xdr:col>
      <xdr:colOff>192824</xdr:colOff>
      <xdr:row>39</xdr:row>
      <xdr:rowOff>124866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B6F0FE-2872-4A87-8F14-1B040B85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6652024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21</xdr:col>
      <xdr:colOff>152400</xdr:colOff>
      <xdr:row>77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5A40C9-9377-4829-AE2D-6C8D2F35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984885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23813</xdr:colOff>
      <xdr:row>68</xdr:row>
      <xdr:rowOff>71437</xdr:rowOff>
    </xdr:from>
    <xdr:to>
      <xdr:col>71</xdr:col>
      <xdr:colOff>656900</xdr:colOff>
      <xdr:row>103</xdr:row>
      <xdr:rowOff>214313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50F7B4-5EDA-467A-997C-B612CEA73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44282" y="16347281"/>
          <a:ext cx="19968837" cy="8893970"/>
        </a:xfrm>
        <a:prstGeom prst="rect">
          <a:avLst/>
        </a:prstGeom>
      </xdr:spPr>
    </xdr:pic>
    <xdr:clientData/>
  </xdr:twoCellAnchor>
  <xdr:twoCellAnchor editAs="oneCell">
    <xdr:from>
      <xdr:col>45</xdr:col>
      <xdr:colOff>23812</xdr:colOff>
      <xdr:row>108</xdr:row>
      <xdr:rowOff>11906</xdr:rowOff>
    </xdr:from>
    <xdr:to>
      <xdr:col>67</xdr:col>
      <xdr:colOff>333373</xdr:colOff>
      <xdr:row>149</xdr:row>
      <xdr:rowOff>95249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6CEA6C-673D-497B-8E11-1BF18492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5406" y="26289000"/>
          <a:ext cx="15501936" cy="103346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38</xdr:col>
      <xdr:colOff>459753</xdr:colOff>
      <xdr:row>48</xdr:row>
      <xdr:rowOff>201340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D592D7-0994-4477-BC6C-9C34A5B33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8290553" cy="94215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21</xdr:col>
      <xdr:colOff>152400</xdr:colOff>
      <xdr:row>89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9FC7EE-E461-4FD1-BD96-597F5EFD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12363450"/>
          <a:ext cx="6324600" cy="6324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6"/>
  <sheetViews>
    <sheetView zoomScale="80" zoomScaleNormal="80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Y26" sqref="Y26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25" ht="31.5" x14ac:dyDescent="0.3">
      <c r="A1" s="139" t="s">
        <v>50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Y1" s="2"/>
    </row>
    <row r="2" spans="1:25" ht="17.25" thickBot="1" x14ac:dyDescent="0.35">
      <c r="Y2" s="3"/>
    </row>
    <row r="3" spans="1:25" ht="26.25" customHeight="1" thickBot="1" x14ac:dyDescent="0.35">
      <c r="A3" s="140" t="s">
        <v>1</v>
      </c>
      <c r="B3" s="142" t="s">
        <v>62</v>
      </c>
      <c r="C3" s="142" t="s">
        <v>63</v>
      </c>
      <c r="D3" s="140" t="s">
        <v>7</v>
      </c>
      <c r="E3" s="144" t="s">
        <v>8</v>
      </c>
      <c r="F3" s="145"/>
      <c r="G3" s="146" t="s">
        <v>9</v>
      </c>
      <c r="H3" s="146"/>
      <c r="I3" s="146"/>
      <c r="J3" s="146"/>
      <c r="K3" s="146"/>
      <c r="L3" s="137" t="s">
        <v>56</v>
      </c>
      <c r="M3" s="138"/>
      <c r="N3" s="138"/>
      <c r="O3" s="138"/>
      <c r="P3" s="138"/>
      <c r="Q3" s="138"/>
      <c r="R3" s="138"/>
      <c r="S3" s="138"/>
      <c r="T3" s="138"/>
      <c r="U3" s="9"/>
      <c r="V3" s="9"/>
      <c r="W3" s="9"/>
      <c r="X3" s="9"/>
      <c r="Y3" s="135" t="s">
        <v>10</v>
      </c>
    </row>
    <row r="4" spans="1:25" ht="33.75" customHeight="1" thickBot="1" x14ac:dyDescent="0.35">
      <c r="A4" s="141"/>
      <c r="B4" s="141"/>
      <c r="C4" s="141"/>
      <c r="D4" s="14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2</v>
      </c>
      <c r="O4" s="4" t="s">
        <v>3</v>
      </c>
      <c r="P4" s="4" t="s">
        <v>52</v>
      </c>
      <c r="Q4" s="4" t="s">
        <v>53</v>
      </c>
      <c r="R4" s="4" t="s">
        <v>54</v>
      </c>
      <c r="S4" s="4" t="s">
        <v>55</v>
      </c>
      <c r="T4" s="6" t="s">
        <v>4</v>
      </c>
      <c r="U4" s="10" t="s">
        <v>77</v>
      </c>
      <c r="V4" s="10" t="s">
        <v>78</v>
      </c>
      <c r="W4" s="10" t="s">
        <v>75</v>
      </c>
      <c r="X4" s="10" t="s">
        <v>76</v>
      </c>
      <c r="Y4" s="136"/>
    </row>
    <row r="5" spans="1:25" ht="20.100000000000001" customHeight="1" x14ac:dyDescent="0.3">
      <c r="A5" s="35">
        <v>1</v>
      </c>
      <c r="B5" s="30" t="s">
        <v>57</v>
      </c>
      <c r="C5" s="30" t="s">
        <v>17</v>
      </c>
      <c r="D5" s="13" t="s">
        <v>18</v>
      </c>
      <c r="E5" s="14">
        <v>45394</v>
      </c>
      <c r="F5" s="15">
        <v>0.40625</v>
      </c>
      <c r="G5" s="13" t="s">
        <v>19</v>
      </c>
      <c r="H5" s="52">
        <v>13.4</v>
      </c>
      <c r="I5" s="52">
        <v>7.66</v>
      </c>
      <c r="J5" s="52">
        <v>11.37</v>
      </c>
      <c r="K5" s="52">
        <v>200.1</v>
      </c>
      <c r="L5" s="53">
        <v>1.5620000000000001</v>
      </c>
      <c r="M5" s="53"/>
      <c r="N5" s="53">
        <v>2.8000000000000001E-2</v>
      </c>
      <c r="O5" s="53">
        <v>1.5338708615263741</v>
      </c>
      <c r="P5" s="53" t="s">
        <v>135</v>
      </c>
      <c r="Q5" s="53">
        <v>1.2</v>
      </c>
      <c r="R5" s="53">
        <v>1.9E-2</v>
      </c>
      <c r="S5" s="53">
        <v>1.4999999999999999E-2</v>
      </c>
      <c r="T5" s="53">
        <v>21.926092412394119</v>
      </c>
      <c r="U5" s="53">
        <v>6.79</v>
      </c>
      <c r="V5" s="53">
        <v>2.9</v>
      </c>
      <c r="W5" s="53" t="s">
        <v>79</v>
      </c>
      <c r="X5" s="53">
        <v>6.8100892305781313</v>
      </c>
      <c r="Y5" s="16"/>
    </row>
    <row r="6" spans="1:25" ht="20.100000000000001" customHeight="1" x14ac:dyDescent="0.3">
      <c r="A6" s="25">
        <v>2</v>
      </c>
      <c r="B6" s="17" t="s">
        <v>57</v>
      </c>
      <c r="C6" s="17" t="s">
        <v>17</v>
      </c>
      <c r="D6" s="18" t="s">
        <v>20</v>
      </c>
      <c r="E6" s="19">
        <v>45394</v>
      </c>
      <c r="F6" s="20">
        <v>0.4375</v>
      </c>
      <c r="G6" s="18" t="s">
        <v>19</v>
      </c>
      <c r="H6" s="29">
        <v>17.899999999999999</v>
      </c>
      <c r="I6" s="29">
        <v>7.63</v>
      </c>
      <c r="J6" s="29">
        <v>10.66</v>
      </c>
      <c r="K6" s="29">
        <v>381</v>
      </c>
      <c r="L6" s="54">
        <v>5.1319999999999997</v>
      </c>
      <c r="M6" s="54"/>
      <c r="N6" s="54">
        <v>0.82399999999999995</v>
      </c>
      <c r="O6" s="54">
        <v>3.8056685669511721</v>
      </c>
      <c r="P6" s="54">
        <v>0.75779406996970966</v>
      </c>
      <c r="Q6" s="54">
        <v>3.4</v>
      </c>
      <c r="R6" s="54">
        <v>4.1000000000000002E-2</v>
      </c>
      <c r="S6" s="54">
        <v>2.9000000000000001E-2</v>
      </c>
      <c r="T6" s="54">
        <v>48.553205182927933</v>
      </c>
      <c r="U6" s="54">
        <v>10.94</v>
      </c>
      <c r="V6" s="54">
        <v>0.19</v>
      </c>
      <c r="W6" s="54">
        <v>91.9</v>
      </c>
      <c r="X6" s="54">
        <v>11.530193967408453</v>
      </c>
      <c r="Y6" s="21"/>
    </row>
    <row r="7" spans="1:25" ht="20.100000000000001" customHeight="1" x14ac:dyDescent="0.3">
      <c r="A7" s="25">
        <v>3</v>
      </c>
      <c r="B7" s="17" t="s">
        <v>57</v>
      </c>
      <c r="C7" s="17" t="s">
        <v>17</v>
      </c>
      <c r="D7" s="18" t="s">
        <v>21</v>
      </c>
      <c r="E7" s="19">
        <v>45394</v>
      </c>
      <c r="F7" s="20">
        <v>0.4513888888888889</v>
      </c>
      <c r="G7" s="18" t="s">
        <v>19</v>
      </c>
      <c r="H7" s="29">
        <v>19.100000000000001</v>
      </c>
      <c r="I7" s="29">
        <v>7.58</v>
      </c>
      <c r="J7" s="29">
        <v>9.67</v>
      </c>
      <c r="K7" s="29">
        <v>357</v>
      </c>
      <c r="L7" s="54">
        <v>4.3529999999999998</v>
      </c>
      <c r="M7" s="54"/>
      <c r="N7" s="54">
        <v>0.90200000000000002</v>
      </c>
      <c r="O7" s="54">
        <v>2.9836540688462629</v>
      </c>
      <c r="P7" s="54">
        <v>0.5708632001190197</v>
      </c>
      <c r="Q7" s="54">
        <v>3.5</v>
      </c>
      <c r="R7" s="54">
        <v>7.8E-2</v>
      </c>
      <c r="S7" s="54">
        <v>6.9000000000000006E-2</v>
      </c>
      <c r="T7" s="54">
        <v>42.668927928854785</v>
      </c>
      <c r="U7" s="54">
        <v>10.09</v>
      </c>
      <c r="V7" s="54">
        <v>1.5</v>
      </c>
      <c r="W7" s="54">
        <v>25.3</v>
      </c>
      <c r="X7" s="54">
        <v>11.842993595465368</v>
      </c>
      <c r="Y7" s="21"/>
    </row>
    <row r="8" spans="1:25" ht="20.100000000000001" customHeight="1" x14ac:dyDescent="0.3">
      <c r="A8" s="25">
        <v>4</v>
      </c>
      <c r="B8" s="17" t="s">
        <v>57</v>
      </c>
      <c r="C8" s="17" t="s">
        <v>17</v>
      </c>
      <c r="D8" s="18" t="s">
        <v>22</v>
      </c>
      <c r="E8" s="19">
        <v>45394</v>
      </c>
      <c r="F8" s="20">
        <v>0.46527777777777773</v>
      </c>
      <c r="G8" s="18" t="s">
        <v>19</v>
      </c>
      <c r="H8" s="29">
        <v>20.399999999999999</v>
      </c>
      <c r="I8" s="29">
        <v>7.35</v>
      </c>
      <c r="J8" s="29">
        <v>9</v>
      </c>
      <c r="K8" s="29">
        <v>348</v>
      </c>
      <c r="L8" s="54">
        <v>3.8969999999999998</v>
      </c>
      <c r="M8" s="54"/>
      <c r="N8" s="54">
        <v>0.78200000000000003</v>
      </c>
      <c r="O8" s="54">
        <v>2.6470789824688241</v>
      </c>
      <c r="P8" s="54">
        <v>0.50575484929842918</v>
      </c>
      <c r="Q8" s="54">
        <v>3.5</v>
      </c>
      <c r="R8" s="54">
        <v>5.8999999999999997E-2</v>
      </c>
      <c r="S8" s="54">
        <v>4.8000000000000001E-2</v>
      </c>
      <c r="T8" s="54">
        <v>41.228925543629487</v>
      </c>
      <c r="U8" s="54">
        <v>10.63</v>
      </c>
      <c r="V8" s="54">
        <v>2.19</v>
      </c>
      <c r="W8" s="54">
        <v>19.899999999999999</v>
      </c>
      <c r="X8" s="54">
        <v>12.303652359256734</v>
      </c>
      <c r="Y8" s="21"/>
    </row>
    <row r="9" spans="1:25" ht="20.100000000000001" customHeight="1" x14ac:dyDescent="0.3">
      <c r="A9" s="41">
        <v>5</v>
      </c>
      <c r="B9" s="42" t="s">
        <v>58</v>
      </c>
      <c r="C9" s="42" t="s">
        <v>23</v>
      </c>
      <c r="D9" s="43" t="s">
        <v>24</v>
      </c>
      <c r="E9" s="67">
        <v>45394</v>
      </c>
      <c r="F9" s="45">
        <v>0.625</v>
      </c>
      <c r="G9" s="43" t="s">
        <v>19</v>
      </c>
      <c r="H9" s="46">
        <v>23.3</v>
      </c>
      <c r="I9" s="46">
        <v>8.59</v>
      </c>
      <c r="J9" s="46">
        <v>9.51</v>
      </c>
      <c r="K9" s="46">
        <v>167.4</v>
      </c>
      <c r="L9" s="60">
        <v>1.5269999999999999</v>
      </c>
      <c r="M9" s="60"/>
      <c r="N9" s="60">
        <v>2.8000000000000001E-2</v>
      </c>
      <c r="O9" s="60">
        <v>1.3577461209228088</v>
      </c>
      <c r="P9" s="60" t="s">
        <v>135</v>
      </c>
      <c r="Q9" s="60">
        <v>2.5</v>
      </c>
      <c r="R9" s="60">
        <v>2.5000000000000001E-2</v>
      </c>
      <c r="S9" s="60">
        <v>8.9999999999999993E-3</v>
      </c>
      <c r="T9" s="60">
        <v>13.465682479565089</v>
      </c>
      <c r="U9" s="60">
        <v>5.58</v>
      </c>
      <c r="V9" s="60">
        <v>6.49</v>
      </c>
      <c r="W9" s="60">
        <v>8.1999999999999993</v>
      </c>
      <c r="X9" s="60">
        <v>15.388054287513553</v>
      </c>
      <c r="Y9" s="48"/>
    </row>
    <row r="10" spans="1:25" ht="20.100000000000001" customHeight="1" x14ac:dyDescent="0.3">
      <c r="A10" s="41">
        <v>6</v>
      </c>
      <c r="B10" s="42" t="s">
        <v>58</v>
      </c>
      <c r="C10" s="42" t="s">
        <v>23</v>
      </c>
      <c r="D10" s="43" t="s">
        <v>25</v>
      </c>
      <c r="E10" s="67">
        <v>45394</v>
      </c>
      <c r="F10" s="45">
        <v>0.63888888888888895</v>
      </c>
      <c r="G10" s="43" t="s">
        <v>19</v>
      </c>
      <c r="H10" s="46">
        <v>20.5</v>
      </c>
      <c r="I10" s="46">
        <v>7.61</v>
      </c>
      <c r="J10" s="46">
        <v>10.02</v>
      </c>
      <c r="K10" s="46">
        <v>279</v>
      </c>
      <c r="L10" s="60">
        <v>2.8879999999999999</v>
      </c>
      <c r="M10" s="60"/>
      <c r="N10" s="60">
        <v>0.128</v>
      </c>
      <c r="O10" s="60">
        <v>2.3599395974240749</v>
      </c>
      <c r="P10" s="60">
        <v>4.16973481937844E-2</v>
      </c>
      <c r="Q10" s="60">
        <v>3.8</v>
      </c>
      <c r="R10" s="60">
        <v>0.13700000000000001</v>
      </c>
      <c r="S10" s="60">
        <v>0.13200000000000001</v>
      </c>
      <c r="T10" s="60">
        <v>24.609506883467702</v>
      </c>
      <c r="U10" s="60">
        <v>6.75</v>
      </c>
      <c r="V10" s="60">
        <v>7.6</v>
      </c>
      <c r="W10" s="60">
        <v>14.7</v>
      </c>
      <c r="X10" s="60">
        <v>11.914577909851953</v>
      </c>
      <c r="Y10" s="48"/>
    </row>
    <row r="11" spans="1:25" ht="20.100000000000001" customHeight="1" x14ac:dyDescent="0.3">
      <c r="A11" s="41">
        <v>7</v>
      </c>
      <c r="B11" s="42" t="s">
        <v>58</v>
      </c>
      <c r="C11" s="42" t="s">
        <v>23</v>
      </c>
      <c r="D11" s="43" t="s">
        <v>26</v>
      </c>
      <c r="E11" s="67">
        <v>45393</v>
      </c>
      <c r="F11" s="45">
        <v>0.63888888888888895</v>
      </c>
      <c r="G11" s="43" t="s">
        <v>19</v>
      </c>
      <c r="H11" s="72">
        <v>17.5</v>
      </c>
      <c r="I11" s="72">
        <v>7.38</v>
      </c>
      <c r="J11" s="72">
        <v>9.8800000000000008</v>
      </c>
      <c r="K11" s="73">
        <v>267</v>
      </c>
      <c r="L11" s="60">
        <v>3.016</v>
      </c>
      <c r="M11" s="60"/>
      <c r="N11" s="60">
        <v>0.191</v>
      </c>
      <c r="O11" s="60">
        <v>2.4391271227247548</v>
      </c>
      <c r="P11" s="60">
        <v>7.7295428737773897E-2</v>
      </c>
      <c r="Q11" s="60">
        <v>4.3</v>
      </c>
      <c r="R11" s="60">
        <v>0.251</v>
      </c>
      <c r="S11" s="60">
        <v>0.249</v>
      </c>
      <c r="T11" s="60">
        <v>21.663703887468678</v>
      </c>
      <c r="U11" s="60">
        <v>8.2100000000000009</v>
      </c>
      <c r="V11" s="60">
        <v>5.56</v>
      </c>
      <c r="W11" s="60">
        <v>19.2</v>
      </c>
      <c r="X11" s="60">
        <v>10.009981831868686</v>
      </c>
      <c r="Y11" s="48"/>
    </row>
    <row r="12" spans="1:25" s="7" customFormat="1" ht="20.100000000000001" customHeight="1" x14ac:dyDescent="0.3">
      <c r="A12" s="41">
        <v>8</v>
      </c>
      <c r="B12" s="42" t="s">
        <v>58</v>
      </c>
      <c r="C12" s="42" t="s">
        <v>27</v>
      </c>
      <c r="D12" s="43" t="s">
        <v>28</v>
      </c>
      <c r="E12" s="67">
        <v>45393</v>
      </c>
      <c r="F12" s="45">
        <v>0.65277777777777779</v>
      </c>
      <c r="G12" s="43" t="s">
        <v>19</v>
      </c>
      <c r="H12" s="72">
        <v>15.2</v>
      </c>
      <c r="I12" s="72">
        <v>7.18</v>
      </c>
      <c r="J12" s="72">
        <v>8.57</v>
      </c>
      <c r="K12" s="73">
        <v>447</v>
      </c>
      <c r="L12" s="60">
        <v>10.587</v>
      </c>
      <c r="M12" s="60"/>
      <c r="N12" s="60">
        <v>7.5830000000000002</v>
      </c>
      <c r="O12" s="60">
        <v>0.97586059085562704</v>
      </c>
      <c r="P12" s="60">
        <v>8.6902733014795064E-2</v>
      </c>
      <c r="Q12" s="60">
        <v>13.8</v>
      </c>
      <c r="R12" s="60">
        <v>4.4939999999999998</v>
      </c>
      <c r="S12" s="60">
        <v>4.4489999999999998</v>
      </c>
      <c r="T12" s="60">
        <v>28.874406034046217</v>
      </c>
      <c r="U12" s="60">
        <v>1.58</v>
      </c>
      <c r="V12" s="60">
        <v>-0.43</v>
      </c>
      <c r="W12" s="60">
        <v>29.5</v>
      </c>
      <c r="X12" s="60">
        <v>10.352175185906143</v>
      </c>
      <c r="Y12" s="48"/>
    </row>
    <row r="13" spans="1:25" ht="20.100000000000001" customHeight="1" x14ac:dyDescent="0.3">
      <c r="A13" s="41">
        <v>9</v>
      </c>
      <c r="B13" s="42" t="s">
        <v>58</v>
      </c>
      <c r="C13" s="42" t="s">
        <v>27</v>
      </c>
      <c r="D13" s="43" t="s">
        <v>30</v>
      </c>
      <c r="E13" s="67">
        <v>45393</v>
      </c>
      <c r="F13" s="45">
        <v>0.64236111111111105</v>
      </c>
      <c r="G13" s="43" t="s">
        <v>19</v>
      </c>
      <c r="H13" s="72">
        <v>17.600000000000001</v>
      </c>
      <c r="I13" s="72">
        <v>8.07</v>
      </c>
      <c r="J13" s="72">
        <v>12.5</v>
      </c>
      <c r="K13" s="73">
        <v>306</v>
      </c>
      <c r="L13" s="60">
        <v>5.1479999999999997</v>
      </c>
      <c r="M13" s="60"/>
      <c r="N13" s="60">
        <v>0.44400000000000001</v>
      </c>
      <c r="O13" s="60">
        <v>3.8062637015242489</v>
      </c>
      <c r="P13" s="60">
        <v>0.37424985100928226</v>
      </c>
      <c r="Q13" s="60">
        <v>8.3000000000000007</v>
      </c>
      <c r="R13" s="60">
        <v>1.298</v>
      </c>
      <c r="S13" s="60">
        <v>1.2909999999999999</v>
      </c>
      <c r="T13" s="60">
        <v>22.829088136986975</v>
      </c>
      <c r="U13" s="60">
        <v>12.48</v>
      </c>
      <c r="V13" s="60">
        <v>2.62</v>
      </c>
      <c r="W13" s="60" t="s">
        <v>79</v>
      </c>
      <c r="X13" s="60">
        <v>12.076708490286192</v>
      </c>
      <c r="Y13" s="48"/>
    </row>
    <row r="14" spans="1:25" ht="20.100000000000001" customHeight="1" x14ac:dyDescent="0.3">
      <c r="A14" s="25">
        <v>10</v>
      </c>
      <c r="B14" s="17" t="s">
        <v>59</v>
      </c>
      <c r="C14" s="17" t="s">
        <v>31</v>
      </c>
      <c r="D14" s="18" t="s">
        <v>32</v>
      </c>
      <c r="E14" s="19">
        <v>45394</v>
      </c>
      <c r="F14" s="20">
        <v>0.55902777777777779</v>
      </c>
      <c r="G14" s="18" t="s">
        <v>19</v>
      </c>
      <c r="H14" s="28">
        <v>20.100000000000001</v>
      </c>
      <c r="I14" s="28">
        <v>9.43</v>
      </c>
      <c r="J14" s="28">
        <v>13.8</v>
      </c>
      <c r="K14" s="74">
        <v>159.5</v>
      </c>
      <c r="L14" s="54">
        <v>1.5369999999999999</v>
      </c>
      <c r="M14" s="54"/>
      <c r="N14" s="54">
        <v>0.06</v>
      </c>
      <c r="O14" s="54">
        <v>1.3490559741266328</v>
      </c>
      <c r="P14" s="54" t="s">
        <v>135</v>
      </c>
      <c r="Q14" s="54">
        <v>2.4</v>
      </c>
      <c r="R14" s="54">
        <v>1.9E-2</v>
      </c>
      <c r="S14" s="54">
        <v>7.0000000000000001E-3</v>
      </c>
      <c r="T14" s="54">
        <v>10.187097958523417</v>
      </c>
      <c r="U14" s="54">
        <v>8.51</v>
      </c>
      <c r="V14" s="54">
        <v>8.32</v>
      </c>
      <c r="W14" s="54">
        <v>8.6999999999999993</v>
      </c>
      <c r="X14" s="54">
        <v>13.328055480267331</v>
      </c>
      <c r="Y14" s="21"/>
    </row>
    <row r="15" spans="1:25" ht="20.100000000000001" customHeight="1" x14ac:dyDescent="0.3">
      <c r="A15" s="25">
        <v>11</v>
      </c>
      <c r="B15" s="17" t="s">
        <v>59</v>
      </c>
      <c r="C15" s="17" t="s">
        <v>31</v>
      </c>
      <c r="D15" s="18" t="s">
        <v>33</v>
      </c>
      <c r="E15" s="19">
        <v>45394</v>
      </c>
      <c r="F15" s="20">
        <v>0.60416666666666663</v>
      </c>
      <c r="G15" s="18" t="s">
        <v>19</v>
      </c>
      <c r="H15" s="28">
        <v>18.8</v>
      </c>
      <c r="I15" s="28">
        <v>7.93</v>
      </c>
      <c r="J15" s="28">
        <v>10.17</v>
      </c>
      <c r="K15" s="74">
        <v>192.7</v>
      </c>
      <c r="L15" s="54">
        <v>2.169</v>
      </c>
      <c r="M15" s="54"/>
      <c r="N15" s="54">
        <v>2.1999999999999999E-2</v>
      </c>
      <c r="O15" s="54">
        <v>2.0674211944327476</v>
      </c>
      <c r="P15" s="54" t="s">
        <v>135</v>
      </c>
      <c r="Q15" s="54">
        <v>2</v>
      </c>
      <c r="R15" s="54">
        <v>4.7E-2</v>
      </c>
      <c r="S15" s="54">
        <v>4.2999999999999997E-2</v>
      </c>
      <c r="T15" s="54">
        <v>12.831242270508705</v>
      </c>
      <c r="U15" s="54">
        <v>8.24</v>
      </c>
      <c r="V15" s="54">
        <v>6.51</v>
      </c>
      <c r="W15" s="54">
        <v>11.6</v>
      </c>
      <c r="X15" s="54">
        <v>13.545452837707971</v>
      </c>
      <c r="Y15" s="21"/>
    </row>
    <row r="16" spans="1:25" ht="20.100000000000001" customHeight="1" x14ac:dyDescent="0.3">
      <c r="A16" s="25">
        <v>12</v>
      </c>
      <c r="B16" s="17" t="s">
        <v>59</v>
      </c>
      <c r="C16" s="17" t="s">
        <v>31</v>
      </c>
      <c r="D16" s="18" t="s">
        <v>34</v>
      </c>
      <c r="E16" s="19">
        <v>45394</v>
      </c>
      <c r="F16" s="20">
        <v>0.61111111111111105</v>
      </c>
      <c r="G16" s="18" t="s">
        <v>19</v>
      </c>
      <c r="H16" s="28">
        <v>20.6</v>
      </c>
      <c r="I16" s="28">
        <v>8.49</v>
      </c>
      <c r="J16" s="28">
        <v>11.2</v>
      </c>
      <c r="K16" s="74">
        <v>200.4</v>
      </c>
      <c r="L16" s="54">
        <v>2.4790000000000001</v>
      </c>
      <c r="M16" s="54"/>
      <c r="N16" s="54">
        <v>3.5000000000000003E-2</v>
      </c>
      <c r="O16" s="54">
        <v>2.3482003300928995</v>
      </c>
      <c r="P16" s="54" t="s">
        <v>135</v>
      </c>
      <c r="Q16" s="54">
        <v>2.1</v>
      </c>
      <c r="R16" s="54">
        <v>5.0999999999999997E-2</v>
      </c>
      <c r="S16" s="54">
        <v>4.8000000000000001E-2</v>
      </c>
      <c r="T16" s="54">
        <v>14.247692060289525</v>
      </c>
      <c r="U16" s="54">
        <v>8.6199999999999992</v>
      </c>
      <c r="V16" s="54">
        <v>5.83</v>
      </c>
      <c r="W16" s="54">
        <v>11.2</v>
      </c>
      <c r="X16" s="54">
        <v>14.539856019900043</v>
      </c>
      <c r="Y16" s="21"/>
    </row>
    <row r="17" spans="1:25" ht="20.100000000000001" customHeight="1" x14ac:dyDescent="0.3">
      <c r="A17" s="25">
        <v>13</v>
      </c>
      <c r="B17" s="17" t="s">
        <v>59</v>
      </c>
      <c r="C17" s="17" t="s">
        <v>35</v>
      </c>
      <c r="D17" s="18" t="s">
        <v>36</v>
      </c>
      <c r="E17" s="19">
        <v>45394</v>
      </c>
      <c r="F17" s="20">
        <v>0.59375</v>
      </c>
      <c r="G17" s="18" t="s">
        <v>37</v>
      </c>
      <c r="H17" s="28">
        <v>20</v>
      </c>
      <c r="I17" s="28">
        <v>7.91</v>
      </c>
      <c r="J17" s="28">
        <v>10.9</v>
      </c>
      <c r="K17" s="74">
        <v>264</v>
      </c>
      <c r="L17" s="54">
        <v>3.7250000000000001</v>
      </c>
      <c r="M17" s="54"/>
      <c r="N17" s="54">
        <v>0.246</v>
      </c>
      <c r="O17" s="54">
        <v>3.3700928149145133</v>
      </c>
      <c r="P17" s="54">
        <v>6.9030757429925982E-2</v>
      </c>
      <c r="Q17" s="54">
        <v>2.2000000000000002</v>
      </c>
      <c r="R17" s="54">
        <v>0.106</v>
      </c>
      <c r="S17" s="54">
        <v>0.105</v>
      </c>
      <c r="T17" s="54">
        <v>20.963677081464517</v>
      </c>
      <c r="U17" s="54">
        <v>9.1300000000000008</v>
      </c>
      <c r="V17" s="54">
        <v>4.09</v>
      </c>
      <c r="W17" s="54">
        <v>9.3000000000000007</v>
      </c>
      <c r="X17" s="54">
        <v>15.702781473289019</v>
      </c>
      <c r="Y17" s="21"/>
    </row>
    <row r="18" spans="1:25" ht="20.100000000000001" customHeight="1" x14ac:dyDescent="0.3">
      <c r="A18" s="25">
        <v>14</v>
      </c>
      <c r="B18" s="17" t="s">
        <v>59</v>
      </c>
      <c r="C18" s="17" t="s">
        <v>5</v>
      </c>
      <c r="D18" s="18" t="s">
        <v>29</v>
      </c>
      <c r="E18" s="19">
        <v>45394</v>
      </c>
      <c r="F18" s="20">
        <v>0.58680555555555558</v>
      </c>
      <c r="G18" s="18" t="s">
        <v>37</v>
      </c>
      <c r="H18" s="28">
        <v>21.3</v>
      </c>
      <c r="I18" s="28">
        <v>7.61</v>
      </c>
      <c r="J18" s="28">
        <v>10.199999999999999</v>
      </c>
      <c r="K18" s="74">
        <v>330</v>
      </c>
      <c r="L18" s="54">
        <v>3.2210000000000001</v>
      </c>
      <c r="M18" s="54"/>
      <c r="N18" s="54">
        <v>0.48799999999999999</v>
      </c>
      <c r="O18" s="54">
        <v>2.409154906701044</v>
      </c>
      <c r="P18" s="54">
        <v>0.20265185356162441</v>
      </c>
      <c r="Q18" s="54">
        <v>2.8</v>
      </c>
      <c r="R18" s="54">
        <v>7.3999999999999996E-2</v>
      </c>
      <c r="S18" s="54">
        <v>7.0000000000000007E-2</v>
      </c>
      <c r="T18" s="54">
        <v>37.782982991834189</v>
      </c>
      <c r="U18" s="54">
        <v>8.94</v>
      </c>
      <c r="V18" s="54">
        <v>4.2699999999999996</v>
      </c>
      <c r="W18" s="54">
        <v>16.5</v>
      </c>
      <c r="X18" s="54">
        <v>12.61424864341576</v>
      </c>
      <c r="Y18" s="21"/>
    </row>
    <row r="19" spans="1:25" ht="20.100000000000001" customHeight="1" x14ac:dyDescent="0.3">
      <c r="A19" s="25">
        <v>15</v>
      </c>
      <c r="B19" s="17" t="s">
        <v>59</v>
      </c>
      <c r="C19" s="17" t="s">
        <v>35</v>
      </c>
      <c r="D19" s="18" t="s">
        <v>29</v>
      </c>
      <c r="E19" s="19">
        <v>45394</v>
      </c>
      <c r="F19" s="20">
        <v>0.58333333333333337</v>
      </c>
      <c r="G19" s="18" t="s">
        <v>37</v>
      </c>
      <c r="H19" s="28">
        <v>19.2</v>
      </c>
      <c r="I19" s="28">
        <v>8.1999999999999993</v>
      </c>
      <c r="J19" s="28">
        <v>10.36</v>
      </c>
      <c r="K19" s="74">
        <v>265</v>
      </c>
      <c r="L19" s="54">
        <v>2.9990000000000001</v>
      </c>
      <c r="M19" s="54"/>
      <c r="N19" s="54">
        <v>8.3000000000000004E-2</v>
      </c>
      <c r="O19" s="54">
        <v>2.8600034333719488</v>
      </c>
      <c r="P19" s="54">
        <v>1.7071790625036165E-3</v>
      </c>
      <c r="Q19" s="54">
        <v>2.4</v>
      </c>
      <c r="R19" s="54">
        <v>7.3999999999999996E-2</v>
      </c>
      <c r="S19" s="54">
        <v>7.0999999999999994E-2</v>
      </c>
      <c r="T19" s="54">
        <v>20.981463254273066</v>
      </c>
      <c r="U19" s="54">
        <v>10.39</v>
      </c>
      <c r="V19" s="54">
        <v>5.64</v>
      </c>
      <c r="W19" s="54">
        <v>12.4</v>
      </c>
      <c r="X19" s="54">
        <v>16.465379552633163</v>
      </c>
      <c r="Y19" s="21"/>
    </row>
    <row r="20" spans="1:25" ht="20.100000000000001" customHeight="1" x14ac:dyDescent="0.3">
      <c r="A20" s="41">
        <v>16</v>
      </c>
      <c r="B20" s="42" t="s">
        <v>60</v>
      </c>
      <c r="C20" s="42" t="s">
        <v>38</v>
      </c>
      <c r="D20" s="43" t="s">
        <v>39</v>
      </c>
      <c r="E20" s="67">
        <v>45394</v>
      </c>
      <c r="F20" s="45">
        <v>0.60763888888888895</v>
      </c>
      <c r="G20" s="43" t="s">
        <v>37</v>
      </c>
      <c r="H20" s="72">
        <v>16.7</v>
      </c>
      <c r="I20" s="72">
        <v>7.74</v>
      </c>
      <c r="J20" s="72">
        <v>9.69</v>
      </c>
      <c r="K20" s="73">
        <v>280</v>
      </c>
      <c r="L20" s="60">
        <v>4.0350000000000001</v>
      </c>
      <c r="M20" s="60"/>
      <c r="N20" s="60">
        <v>0.11600000000000001</v>
      </c>
      <c r="O20" s="60">
        <v>3.6370006163330189</v>
      </c>
      <c r="P20" s="60">
        <v>7.1019486261476195E-2</v>
      </c>
      <c r="Q20" s="60">
        <v>3.7</v>
      </c>
      <c r="R20" s="60">
        <v>7.6999999999999999E-2</v>
      </c>
      <c r="S20" s="60">
        <v>7.0999999999999994E-2</v>
      </c>
      <c r="T20" s="60">
        <v>20.656813665762371</v>
      </c>
      <c r="U20" s="60">
        <v>7.92</v>
      </c>
      <c r="V20" s="60">
        <v>4.59</v>
      </c>
      <c r="W20" s="60">
        <v>12.1</v>
      </c>
      <c r="X20" s="60">
        <v>13.006279806017819</v>
      </c>
      <c r="Y20" s="48"/>
    </row>
    <row r="21" spans="1:25" ht="20.100000000000001" customHeight="1" x14ac:dyDescent="0.3">
      <c r="A21" s="41">
        <v>17</v>
      </c>
      <c r="B21" s="42" t="s">
        <v>60</v>
      </c>
      <c r="C21" s="42" t="s">
        <v>38</v>
      </c>
      <c r="D21" s="43" t="s">
        <v>41</v>
      </c>
      <c r="E21" s="67">
        <v>45393</v>
      </c>
      <c r="F21" s="45">
        <v>0.5625</v>
      </c>
      <c r="G21" s="43" t="s">
        <v>37</v>
      </c>
      <c r="H21" s="72">
        <v>20</v>
      </c>
      <c r="I21" s="72">
        <v>7.57</v>
      </c>
      <c r="J21" s="72">
        <v>9.91</v>
      </c>
      <c r="K21" s="73">
        <v>372</v>
      </c>
      <c r="L21" s="60">
        <v>4.7130000000000001</v>
      </c>
      <c r="M21" s="60"/>
      <c r="N21" s="60">
        <v>0.129</v>
      </c>
      <c r="O21" s="60">
        <v>4.3850525263799121</v>
      </c>
      <c r="P21" s="60">
        <v>6.3094173518871088E-2</v>
      </c>
      <c r="Q21" s="60">
        <v>3.7</v>
      </c>
      <c r="R21" s="60">
        <v>8.3000000000000004E-2</v>
      </c>
      <c r="S21" s="60">
        <v>7.5999999999999998E-2</v>
      </c>
      <c r="T21" s="60">
        <v>42.086888752878899</v>
      </c>
      <c r="U21" s="60">
        <v>11.24</v>
      </c>
      <c r="V21" s="60">
        <v>5.97</v>
      </c>
      <c r="W21" s="60">
        <v>17.3</v>
      </c>
      <c r="X21" s="60">
        <v>11.329123160711552</v>
      </c>
      <c r="Y21" s="48"/>
    </row>
    <row r="22" spans="1:25" ht="20.100000000000001" customHeight="1" x14ac:dyDescent="0.3">
      <c r="A22" s="41">
        <v>18</v>
      </c>
      <c r="B22" s="42" t="s">
        <v>60</v>
      </c>
      <c r="C22" s="42" t="s">
        <v>38</v>
      </c>
      <c r="D22" s="43" t="s">
        <v>42</v>
      </c>
      <c r="E22" s="67">
        <v>45393</v>
      </c>
      <c r="F22" s="45">
        <v>0.62847222222222221</v>
      </c>
      <c r="G22" s="43" t="s">
        <v>37</v>
      </c>
      <c r="H22" s="72">
        <v>18.399999999999999</v>
      </c>
      <c r="I22" s="72">
        <v>7.16</v>
      </c>
      <c r="J22" s="72">
        <v>8.81</v>
      </c>
      <c r="K22" s="73">
        <v>393</v>
      </c>
      <c r="L22" s="60">
        <v>5.0999999999999996</v>
      </c>
      <c r="M22" s="60"/>
      <c r="N22" s="60">
        <v>0.374</v>
      </c>
      <c r="O22" s="60">
        <v>4.4413298229600713</v>
      </c>
      <c r="P22" s="60">
        <v>0.15166091643205315</v>
      </c>
      <c r="Q22" s="60">
        <v>4</v>
      </c>
      <c r="R22" s="60">
        <v>6.2E-2</v>
      </c>
      <c r="S22" s="60">
        <v>5.3999999999999999E-2</v>
      </c>
      <c r="T22" s="60">
        <v>46.199351722238532</v>
      </c>
      <c r="U22" s="60">
        <v>11.5</v>
      </c>
      <c r="V22" s="60">
        <v>5.45</v>
      </c>
      <c r="W22" s="60">
        <v>19.100000000000001</v>
      </c>
      <c r="X22" s="60">
        <v>11.436419136503728</v>
      </c>
      <c r="Y22" s="48"/>
    </row>
    <row r="23" spans="1:25" ht="20.100000000000001" customHeight="1" x14ac:dyDescent="0.3">
      <c r="A23" s="41">
        <v>19</v>
      </c>
      <c r="B23" s="42" t="s">
        <v>60</v>
      </c>
      <c r="C23" s="42" t="s">
        <v>43</v>
      </c>
      <c r="D23" s="43" t="s">
        <v>40</v>
      </c>
      <c r="E23" s="67">
        <v>45393</v>
      </c>
      <c r="F23" s="45">
        <v>0.56597222222222221</v>
      </c>
      <c r="G23" s="43" t="s">
        <v>37</v>
      </c>
      <c r="H23" s="72">
        <v>20.399999999999999</v>
      </c>
      <c r="I23" s="72">
        <v>7.15</v>
      </c>
      <c r="J23" s="72">
        <v>9.94</v>
      </c>
      <c r="K23" s="73">
        <v>427</v>
      </c>
      <c r="L23" s="60">
        <v>4.4729999999999999</v>
      </c>
      <c r="M23" s="60"/>
      <c r="N23" s="60">
        <v>0.26700000000000002</v>
      </c>
      <c r="O23" s="60">
        <v>3.9058742648607598</v>
      </c>
      <c r="P23" s="60">
        <v>7.8217782921411683E-2</v>
      </c>
      <c r="Q23" s="60">
        <v>3.9</v>
      </c>
      <c r="R23" s="60">
        <v>0.02</v>
      </c>
      <c r="S23" s="60">
        <v>7.0000000000000001E-3</v>
      </c>
      <c r="T23" s="60">
        <v>64.491191417810811</v>
      </c>
      <c r="U23" s="60">
        <v>12.27</v>
      </c>
      <c r="V23" s="60">
        <v>6.11</v>
      </c>
      <c r="W23" s="60">
        <v>20.2</v>
      </c>
      <c r="X23" s="60">
        <v>10.396885695613589</v>
      </c>
      <c r="Y23" s="48"/>
    </row>
    <row r="24" spans="1:25" ht="19.5" customHeight="1" x14ac:dyDescent="0.3">
      <c r="A24" s="41">
        <v>20</v>
      </c>
      <c r="B24" s="42" t="s">
        <v>60</v>
      </c>
      <c r="C24" s="42" t="s">
        <v>43</v>
      </c>
      <c r="D24" s="43" t="s">
        <v>44</v>
      </c>
      <c r="E24" s="67">
        <v>45393</v>
      </c>
      <c r="F24" s="45">
        <v>0.57291666666666663</v>
      </c>
      <c r="G24" s="43" t="s">
        <v>37</v>
      </c>
      <c r="H24" s="72">
        <v>17.7</v>
      </c>
      <c r="I24" s="72">
        <v>8.4600000000000009</v>
      </c>
      <c r="J24" s="72">
        <v>13.23</v>
      </c>
      <c r="K24" s="73">
        <v>488</v>
      </c>
      <c r="L24" s="60">
        <v>5.1660000000000004</v>
      </c>
      <c r="M24" s="60"/>
      <c r="N24" s="60">
        <v>6.3E-2</v>
      </c>
      <c r="O24" s="60">
        <v>4.9679283032825374</v>
      </c>
      <c r="P24" s="60">
        <v>0.12958430283036404</v>
      </c>
      <c r="Q24" s="60">
        <v>2.9</v>
      </c>
      <c r="R24" s="60">
        <v>4.8000000000000001E-2</v>
      </c>
      <c r="S24" s="60">
        <v>2.3E-2</v>
      </c>
      <c r="T24" s="60">
        <v>53.23904304944535</v>
      </c>
      <c r="U24" s="60">
        <v>10.25</v>
      </c>
      <c r="V24" s="60">
        <v>7.37</v>
      </c>
      <c r="W24" s="60">
        <v>23.4</v>
      </c>
      <c r="X24" s="60">
        <v>10.85344472189681</v>
      </c>
      <c r="Y24" s="48"/>
    </row>
    <row r="25" spans="1:25" ht="20.100000000000001" customHeight="1" x14ac:dyDescent="0.3">
      <c r="A25" s="25">
        <v>21</v>
      </c>
      <c r="B25" s="17" t="s">
        <v>61</v>
      </c>
      <c r="C25" s="17" t="s">
        <v>45</v>
      </c>
      <c r="D25" s="18" t="s">
        <v>46</v>
      </c>
      <c r="E25" s="19">
        <v>45393</v>
      </c>
      <c r="F25" s="20">
        <v>0.44097222222222227</v>
      </c>
      <c r="G25" s="18" t="s">
        <v>37</v>
      </c>
      <c r="H25" s="28">
        <v>14.7</v>
      </c>
      <c r="I25" s="28">
        <v>7.64</v>
      </c>
      <c r="J25" s="28">
        <v>10.1</v>
      </c>
      <c r="K25" s="74">
        <v>195</v>
      </c>
      <c r="L25" s="54">
        <v>1.575</v>
      </c>
      <c r="M25" s="54"/>
      <c r="N25" s="54">
        <v>3.9E-2</v>
      </c>
      <c r="O25" s="54">
        <v>1.4978781437023474</v>
      </c>
      <c r="P25" s="54" t="s">
        <v>135</v>
      </c>
      <c r="Q25" s="54">
        <v>1.7</v>
      </c>
      <c r="R25" s="54">
        <v>6.0000000000000001E-3</v>
      </c>
      <c r="S25" s="54">
        <v>2E-3</v>
      </c>
      <c r="T25" s="54">
        <v>11.157679937554409</v>
      </c>
      <c r="U25" s="54">
        <v>4.84</v>
      </c>
      <c r="V25" s="54">
        <v>5.72</v>
      </c>
      <c r="W25" s="54">
        <v>8.6999999999999993</v>
      </c>
      <c r="X25" s="54">
        <v>14.992753436048833</v>
      </c>
      <c r="Y25" s="21"/>
    </row>
    <row r="26" spans="1:25" ht="20.100000000000001" customHeight="1" x14ac:dyDescent="0.3">
      <c r="A26" s="25">
        <v>22</v>
      </c>
      <c r="B26" s="17" t="s">
        <v>61</v>
      </c>
      <c r="C26" s="17" t="s">
        <v>45</v>
      </c>
      <c r="D26" s="22" t="s">
        <v>47</v>
      </c>
      <c r="E26" s="19">
        <v>45393</v>
      </c>
      <c r="F26" s="23">
        <v>0.46180555555555558</v>
      </c>
      <c r="G26" s="18" t="s">
        <v>37</v>
      </c>
      <c r="H26" s="28">
        <v>17.3</v>
      </c>
      <c r="I26" s="28">
        <v>7.3</v>
      </c>
      <c r="J26" s="28">
        <v>9.5</v>
      </c>
      <c r="K26" s="74">
        <v>232</v>
      </c>
      <c r="L26" s="55">
        <v>1.9910000000000001</v>
      </c>
      <c r="M26" s="55"/>
      <c r="N26" s="55">
        <v>4.2000000000000003E-2</v>
      </c>
      <c r="O26" s="55">
        <v>1.8417102276897697</v>
      </c>
      <c r="P26" s="54" t="s">
        <v>135</v>
      </c>
      <c r="Q26" s="55">
        <v>2.7</v>
      </c>
      <c r="R26" s="55">
        <v>5.3999999999999999E-2</v>
      </c>
      <c r="S26" s="55">
        <v>5.0999999999999997E-2</v>
      </c>
      <c r="T26" s="55">
        <v>17.228406114095094</v>
      </c>
      <c r="U26" s="55">
        <v>7.46</v>
      </c>
      <c r="V26" s="55">
        <v>3.75</v>
      </c>
      <c r="W26" s="55">
        <v>11.3</v>
      </c>
      <c r="X26" s="55">
        <v>13.044520469711662</v>
      </c>
      <c r="Y26" s="24"/>
    </row>
    <row r="27" spans="1:25" ht="20.100000000000001" customHeight="1" x14ac:dyDescent="0.3">
      <c r="A27" s="25">
        <v>23</v>
      </c>
      <c r="B27" s="17" t="s">
        <v>61</v>
      </c>
      <c r="C27" s="17" t="s">
        <v>45</v>
      </c>
      <c r="D27" s="22" t="s">
        <v>29</v>
      </c>
      <c r="E27" s="19">
        <v>45393</v>
      </c>
      <c r="F27" s="23">
        <v>0.47569444444444442</v>
      </c>
      <c r="G27" s="18" t="s">
        <v>37</v>
      </c>
      <c r="H27" s="28">
        <v>17.8</v>
      </c>
      <c r="I27" s="28">
        <v>7.54</v>
      </c>
      <c r="J27" s="28">
        <v>10.7</v>
      </c>
      <c r="K27" s="74">
        <v>237</v>
      </c>
      <c r="L27" s="55">
        <v>2.1120000000000001</v>
      </c>
      <c r="M27" s="55"/>
      <c r="N27" s="55">
        <v>5.7000000000000002E-2</v>
      </c>
      <c r="O27" s="55">
        <v>1.9377533187741629</v>
      </c>
      <c r="P27" s="54" t="s">
        <v>135</v>
      </c>
      <c r="Q27" s="55">
        <v>2.8</v>
      </c>
      <c r="R27" s="55">
        <v>4.8000000000000001E-2</v>
      </c>
      <c r="S27" s="55">
        <v>4.2999999999999997E-2</v>
      </c>
      <c r="T27" s="55">
        <v>18.676808109788333</v>
      </c>
      <c r="U27" s="55">
        <v>7.95</v>
      </c>
      <c r="V27" s="55">
        <v>4.3499999999999996</v>
      </c>
      <c r="W27" s="55">
        <v>12.1</v>
      </c>
      <c r="X27" s="55">
        <v>13.065326733831593</v>
      </c>
      <c r="Y27" s="24"/>
    </row>
    <row r="28" spans="1:25" ht="20.100000000000001" customHeight="1" thickBot="1" x14ac:dyDescent="0.35">
      <c r="A28" s="88">
        <v>24</v>
      </c>
      <c r="B28" s="89" t="s">
        <v>61</v>
      </c>
      <c r="C28" s="89" t="s">
        <v>45</v>
      </c>
      <c r="D28" s="90" t="s">
        <v>48</v>
      </c>
      <c r="E28" s="91">
        <v>45393</v>
      </c>
      <c r="F28" s="92">
        <v>0.48958333333333331</v>
      </c>
      <c r="G28" s="90" t="s">
        <v>37</v>
      </c>
      <c r="H28" s="93">
        <v>16.899999999999999</v>
      </c>
      <c r="I28" s="93">
        <v>7.29</v>
      </c>
      <c r="J28" s="93">
        <v>8.75</v>
      </c>
      <c r="K28" s="94">
        <v>248</v>
      </c>
      <c r="L28" s="95">
        <v>2.1680000000000001</v>
      </c>
      <c r="M28" s="95"/>
      <c r="N28" s="95">
        <v>6.5000000000000002E-2</v>
      </c>
      <c r="O28" s="95">
        <v>1.9645769962820305</v>
      </c>
      <c r="P28" s="95" t="s">
        <v>135</v>
      </c>
      <c r="Q28" s="95">
        <v>2.7</v>
      </c>
      <c r="R28" s="95">
        <v>3.7999999999999999E-2</v>
      </c>
      <c r="S28" s="95">
        <v>3.3000000000000002E-2</v>
      </c>
      <c r="T28" s="95">
        <v>18.945319130868253</v>
      </c>
      <c r="U28" s="95">
        <v>8.2100000000000009</v>
      </c>
      <c r="V28" s="95">
        <v>4.57</v>
      </c>
      <c r="W28" s="95">
        <v>13.4</v>
      </c>
      <c r="X28" s="95">
        <v>12.926440961420095</v>
      </c>
      <c r="Y28" s="96"/>
    </row>
    <row r="29" spans="1:25" ht="20.100000000000001" customHeight="1" x14ac:dyDescent="0.3">
      <c r="A29" s="5"/>
      <c r="B29" s="5"/>
      <c r="C29" s="5"/>
      <c r="D29" s="5"/>
      <c r="E29" s="31"/>
      <c r="F29" s="32"/>
      <c r="G29" s="5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5" ht="20.100000000000001" customHeight="1" x14ac:dyDescent="0.3">
      <c r="A30" s="5"/>
      <c r="B30" s="5"/>
      <c r="C30" s="5"/>
      <c r="D30" s="5"/>
      <c r="E30" s="31"/>
      <c r="F30" s="32"/>
      <c r="G30" s="5"/>
      <c r="H30" s="33"/>
      <c r="I30" s="33"/>
      <c r="J30" s="3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5" x14ac:dyDescent="0.3">
      <c r="A31" s="5"/>
      <c r="B31" s="5"/>
      <c r="C31" s="5"/>
      <c r="D31" s="5"/>
      <c r="E31" s="31"/>
      <c r="F31" s="32"/>
      <c r="G31" s="5"/>
      <c r="H31" s="33"/>
      <c r="I31" s="33"/>
      <c r="J31" s="3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5" ht="33.75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</sheetData>
  <mergeCells count="9">
    <mergeCell ref="Y3:Y4"/>
    <mergeCell ref="L3:T3"/>
    <mergeCell ref="A1:K1"/>
    <mergeCell ref="A3:A4"/>
    <mergeCell ref="C3:C4"/>
    <mergeCell ref="D3:D4"/>
    <mergeCell ref="E3:F3"/>
    <mergeCell ref="G3:K3"/>
    <mergeCell ref="B3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B35" sqref="B35"/>
    </sheetView>
  </sheetViews>
  <sheetFormatPr defaultRowHeight="16.5" x14ac:dyDescent="0.3"/>
  <cols>
    <col min="1" max="1" width="7.5" bestFit="1" customWidth="1"/>
    <col min="2" max="3" width="9.5" bestFit="1" customWidth="1"/>
    <col min="4" max="4" width="26.87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hidden="1" customHeight="1" x14ac:dyDescent="0.3">
      <c r="A1" s="139" t="s">
        <v>65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Y1" s="2"/>
    </row>
    <row r="2" spans="1:25" ht="17.25" thickBot="1" x14ac:dyDescent="0.35">
      <c r="Y2" s="3"/>
    </row>
    <row r="3" spans="1:25" ht="26.25" customHeight="1" thickBot="1" x14ac:dyDescent="0.35">
      <c r="A3" s="140" t="s">
        <v>1</v>
      </c>
      <c r="B3" s="142" t="s">
        <v>62</v>
      </c>
      <c r="C3" s="142" t="s">
        <v>63</v>
      </c>
      <c r="D3" s="140" t="s">
        <v>7</v>
      </c>
      <c r="E3" s="144" t="s">
        <v>8</v>
      </c>
      <c r="F3" s="145"/>
      <c r="G3" s="146" t="s">
        <v>9</v>
      </c>
      <c r="H3" s="146"/>
      <c r="I3" s="146"/>
      <c r="J3" s="146"/>
      <c r="K3" s="146"/>
      <c r="L3" s="137" t="s">
        <v>56</v>
      </c>
      <c r="M3" s="138"/>
      <c r="N3" s="138"/>
      <c r="O3" s="138"/>
      <c r="P3" s="138"/>
      <c r="Q3" s="138"/>
      <c r="R3" s="138"/>
      <c r="S3" s="138"/>
      <c r="T3" s="138"/>
      <c r="U3" s="9"/>
      <c r="V3" s="9"/>
      <c r="W3" s="9"/>
      <c r="X3" s="9"/>
      <c r="Y3" s="147" t="s">
        <v>10</v>
      </c>
    </row>
    <row r="4" spans="1:25" ht="33.75" customHeight="1" thickBot="1" x14ac:dyDescent="0.35">
      <c r="A4" s="141"/>
      <c r="B4" s="141"/>
      <c r="C4" s="141"/>
      <c r="D4" s="14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125</v>
      </c>
      <c r="O4" s="4" t="s">
        <v>126</v>
      </c>
      <c r="P4" s="4" t="s">
        <v>127</v>
      </c>
      <c r="Q4" s="4" t="s">
        <v>53</v>
      </c>
      <c r="R4" s="4" t="s">
        <v>54</v>
      </c>
      <c r="S4" s="4" t="s">
        <v>128</v>
      </c>
      <c r="T4" s="4" t="s">
        <v>129</v>
      </c>
      <c r="U4" s="4" t="s">
        <v>130</v>
      </c>
      <c r="V4" s="4" t="s">
        <v>78</v>
      </c>
      <c r="W4" s="4" t="s">
        <v>131</v>
      </c>
      <c r="X4" s="10" t="s">
        <v>76</v>
      </c>
      <c r="Y4" s="148"/>
    </row>
    <row r="5" spans="1:25" ht="20.100000000000001" customHeight="1" x14ac:dyDescent="0.3">
      <c r="A5" s="35">
        <v>1</v>
      </c>
      <c r="B5" s="30" t="s">
        <v>17</v>
      </c>
      <c r="C5" s="30" t="s">
        <v>17</v>
      </c>
      <c r="D5" s="13" t="s">
        <v>18</v>
      </c>
      <c r="E5" s="36">
        <v>45457</v>
      </c>
      <c r="F5" s="15">
        <v>0.40625</v>
      </c>
      <c r="G5" s="13" t="s">
        <v>19</v>
      </c>
      <c r="H5" s="27">
        <v>21.5</v>
      </c>
      <c r="I5" s="27">
        <v>8.4</v>
      </c>
      <c r="J5" s="27">
        <v>9.6</v>
      </c>
      <c r="K5" s="76">
        <v>180</v>
      </c>
      <c r="L5" s="56">
        <v>0.78</v>
      </c>
      <c r="M5" s="53"/>
      <c r="N5" s="53">
        <v>3.2000000000000001E-2</v>
      </c>
      <c r="O5" s="53">
        <v>0.59</v>
      </c>
      <c r="P5" s="53" t="s">
        <v>66</v>
      </c>
      <c r="Q5" s="53">
        <v>2</v>
      </c>
      <c r="R5" s="53">
        <v>3.6999999999999998E-2</v>
      </c>
      <c r="S5" s="53">
        <v>1.9E-2</v>
      </c>
      <c r="T5" s="53">
        <v>25.29</v>
      </c>
      <c r="U5" s="53">
        <v>9.65</v>
      </c>
      <c r="V5" s="53">
        <v>4.49</v>
      </c>
      <c r="W5" s="53">
        <v>22.1098770696678</v>
      </c>
      <c r="X5" s="53">
        <v>6.7661375921548306</v>
      </c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45457</v>
      </c>
      <c r="F6" s="20">
        <v>0.4375</v>
      </c>
      <c r="G6" s="18" t="s">
        <v>19</v>
      </c>
      <c r="H6" s="28">
        <v>25.38</v>
      </c>
      <c r="I6" s="28">
        <v>7.9</v>
      </c>
      <c r="J6" s="28">
        <v>13.59</v>
      </c>
      <c r="K6" s="74">
        <v>423</v>
      </c>
      <c r="L6" s="57">
        <v>6.8440000000000003</v>
      </c>
      <c r="M6" s="54"/>
      <c r="N6" s="54">
        <v>4.75</v>
      </c>
      <c r="O6" s="54">
        <v>1.718</v>
      </c>
      <c r="P6" s="54" t="s">
        <v>66</v>
      </c>
      <c r="Q6" s="54">
        <v>5.4</v>
      </c>
      <c r="R6" s="54">
        <v>6.0999999999999999E-2</v>
      </c>
      <c r="S6" s="54">
        <v>2.1999999999999999E-2</v>
      </c>
      <c r="T6" s="54">
        <v>67.840999999999994</v>
      </c>
      <c r="U6" s="54">
        <v>13.72</v>
      </c>
      <c r="V6" s="54">
        <v>0.34</v>
      </c>
      <c r="W6" s="54">
        <v>33.312334370837704</v>
      </c>
      <c r="X6" s="54">
        <v>9.1149019973507652</v>
      </c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45457</v>
      </c>
      <c r="F7" s="20">
        <v>0.4513888888888889</v>
      </c>
      <c r="G7" s="18" t="s">
        <v>19</v>
      </c>
      <c r="H7" s="28">
        <v>27.42</v>
      </c>
      <c r="I7" s="28">
        <v>8.84</v>
      </c>
      <c r="J7" s="28">
        <v>13.72</v>
      </c>
      <c r="K7" s="74">
        <v>348</v>
      </c>
      <c r="L7" s="57">
        <v>4.3890000000000002</v>
      </c>
      <c r="M7" s="54"/>
      <c r="N7" s="54">
        <v>0.314</v>
      </c>
      <c r="O7" s="54">
        <v>3.2090000000000001</v>
      </c>
      <c r="P7" s="54" t="s">
        <v>66</v>
      </c>
      <c r="Q7" s="54">
        <v>5.4</v>
      </c>
      <c r="R7" s="54">
        <v>3.5000000000000003E-2</v>
      </c>
      <c r="S7" s="54">
        <v>1E-3</v>
      </c>
      <c r="T7" s="54">
        <v>56.59</v>
      </c>
      <c r="U7" s="58">
        <v>14.14</v>
      </c>
      <c r="V7" s="58">
        <v>-1.1599999999999999</v>
      </c>
      <c r="W7" s="58">
        <v>30.307226794084801</v>
      </c>
      <c r="X7" s="54">
        <v>9.5407009587316072</v>
      </c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45457</v>
      </c>
      <c r="F8" s="20">
        <v>0.46527777777777773</v>
      </c>
      <c r="G8" s="18" t="s">
        <v>19</v>
      </c>
      <c r="H8" s="28">
        <v>28.43</v>
      </c>
      <c r="I8" s="28">
        <v>9.09</v>
      </c>
      <c r="J8" s="28">
        <v>10.08</v>
      </c>
      <c r="K8" s="74">
        <v>339</v>
      </c>
      <c r="L8" s="57">
        <v>2.335</v>
      </c>
      <c r="M8" s="54"/>
      <c r="N8" s="54">
        <v>0.155</v>
      </c>
      <c r="O8" s="54">
        <v>1.4830000000000001</v>
      </c>
      <c r="P8" s="54" t="s">
        <v>66</v>
      </c>
      <c r="Q8" s="54">
        <v>6.1</v>
      </c>
      <c r="R8" s="54">
        <v>8.2000000000000003E-2</v>
      </c>
      <c r="S8" s="54">
        <v>5.0999999999999997E-2</v>
      </c>
      <c r="T8" s="54">
        <v>54.719000000000001</v>
      </c>
      <c r="U8" s="55">
        <v>15.12</v>
      </c>
      <c r="V8" s="55">
        <v>1.38</v>
      </c>
      <c r="W8" s="55">
        <v>28.172749485468199</v>
      </c>
      <c r="X8" s="55">
        <v>10.026667631068687</v>
      </c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45457</v>
      </c>
      <c r="F9" s="45">
        <v>0.625</v>
      </c>
      <c r="G9" s="43" t="s">
        <v>19</v>
      </c>
      <c r="H9" s="72">
        <v>23.1</v>
      </c>
      <c r="I9" s="72">
        <v>7.7</v>
      </c>
      <c r="J9" s="72">
        <v>8.0500000000000007</v>
      </c>
      <c r="K9" s="73">
        <v>166.1</v>
      </c>
      <c r="L9" s="59">
        <v>1.272</v>
      </c>
      <c r="M9" s="60"/>
      <c r="N9" s="60">
        <v>0.192</v>
      </c>
      <c r="O9" s="61">
        <v>0.77100000000000002</v>
      </c>
      <c r="P9" s="61" t="s">
        <v>66</v>
      </c>
      <c r="Q9" s="61">
        <v>4.0999999999999996</v>
      </c>
      <c r="R9" s="61">
        <v>3.4000000000000002E-2</v>
      </c>
      <c r="S9" s="61">
        <v>0.01</v>
      </c>
      <c r="T9" s="61">
        <v>11.804</v>
      </c>
      <c r="U9" s="61">
        <v>5.77</v>
      </c>
      <c r="V9" s="61">
        <v>2.79</v>
      </c>
      <c r="W9" s="61">
        <v>9.3235686071382098</v>
      </c>
      <c r="X9" s="61">
        <v>16.641686143105574</v>
      </c>
      <c r="Y9" s="4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45457</v>
      </c>
      <c r="F10" s="45">
        <v>0.63888888888888895</v>
      </c>
      <c r="G10" s="43" t="s">
        <v>19</v>
      </c>
      <c r="H10" s="72">
        <v>24.7</v>
      </c>
      <c r="I10" s="72">
        <v>7.35</v>
      </c>
      <c r="J10" s="72">
        <v>7.68</v>
      </c>
      <c r="K10" s="73">
        <v>200.1</v>
      </c>
      <c r="L10" s="59">
        <v>1.5580000000000001</v>
      </c>
      <c r="M10" s="60"/>
      <c r="N10" s="60">
        <v>0.13600000000000001</v>
      </c>
      <c r="O10" s="60">
        <v>0.89400000000000002</v>
      </c>
      <c r="P10" s="60" t="s">
        <v>66</v>
      </c>
      <c r="Q10" s="60">
        <v>6.2</v>
      </c>
      <c r="R10" s="60">
        <v>6.5000000000000002E-2</v>
      </c>
      <c r="S10" s="60">
        <v>5.1999999999999998E-2</v>
      </c>
      <c r="T10" s="60">
        <v>16.141999999999999</v>
      </c>
      <c r="U10" s="60">
        <v>5.56</v>
      </c>
      <c r="V10" s="60">
        <v>2.4500000000000002</v>
      </c>
      <c r="W10" s="60">
        <v>13.7850400260194</v>
      </c>
      <c r="X10" s="60">
        <v>12.440342318778107</v>
      </c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45457</v>
      </c>
      <c r="F11" s="45">
        <v>0.63888888888888895</v>
      </c>
      <c r="G11" s="43" t="s">
        <v>19</v>
      </c>
      <c r="H11" s="72">
        <v>25.3</v>
      </c>
      <c r="I11" s="72">
        <v>7.31</v>
      </c>
      <c r="J11" s="72">
        <v>7.25</v>
      </c>
      <c r="K11" s="73">
        <v>220.4</v>
      </c>
      <c r="L11" s="59">
        <v>1.718</v>
      </c>
      <c r="M11" s="60"/>
      <c r="N11" s="60">
        <v>0.10100000000000001</v>
      </c>
      <c r="O11" s="60">
        <v>1.0489999999999999</v>
      </c>
      <c r="P11" s="60" t="s">
        <v>66</v>
      </c>
      <c r="Q11" s="60">
        <v>6.6</v>
      </c>
      <c r="R11" s="60">
        <v>9.1999999999999998E-2</v>
      </c>
      <c r="S11" s="60">
        <v>7.8E-2</v>
      </c>
      <c r="T11" s="60">
        <v>18.344000000000001</v>
      </c>
      <c r="U11" s="60">
        <v>6.43</v>
      </c>
      <c r="V11" s="60">
        <v>2.91</v>
      </c>
      <c r="W11" s="60">
        <v>15.278497514306499</v>
      </c>
      <c r="X11" s="60">
        <v>12.395354544312564</v>
      </c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28</v>
      </c>
      <c r="E12" s="44">
        <v>45457</v>
      </c>
      <c r="F12" s="45">
        <v>0.65277777777777779</v>
      </c>
      <c r="G12" s="43" t="s">
        <v>19</v>
      </c>
      <c r="H12" s="72">
        <v>25.7</v>
      </c>
      <c r="I12" s="72">
        <v>7</v>
      </c>
      <c r="J12" s="72">
        <v>5.5</v>
      </c>
      <c r="K12" s="73">
        <v>369.2</v>
      </c>
      <c r="L12" s="59">
        <v>5.2030000000000003</v>
      </c>
      <c r="M12" s="60"/>
      <c r="N12" s="60">
        <v>3.8260000000000001</v>
      </c>
      <c r="O12" s="60">
        <v>0.46899999999999997</v>
      </c>
      <c r="P12" s="60" t="s">
        <v>66</v>
      </c>
      <c r="Q12" s="60">
        <v>11.4</v>
      </c>
      <c r="R12" s="60">
        <v>1.9470000000000001</v>
      </c>
      <c r="S12" s="60">
        <v>1.9370000000000001</v>
      </c>
      <c r="T12" s="60">
        <v>20.645</v>
      </c>
      <c r="U12" s="60">
        <v>0.5</v>
      </c>
      <c r="V12" s="60">
        <v>-3.18</v>
      </c>
      <c r="W12" s="60">
        <v>20.007911964009502</v>
      </c>
      <c r="X12" s="60">
        <v>12.118616073041489</v>
      </c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45457</v>
      </c>
      <c r="F13" s="45">
        <v>0.64236111111111105</v>
      </c>
      <c r="G13" s="43" t="s">
        <v>19</v>
      </c>
      <c r="H13" s="72">
        <v>27.2</v>
      </c>
      <c r="I13" s="72">
        <v>7.42</v>
      </c>
      <c r="J13" s="72">
        <v>7.81</v>
      </c>
      <c r="K13" s="73">
        <v>357.7</v>
      </c>
      <c r="L13" s="59">
        <v>2.673</v>
      </c>
      <c r="M13" s="60"/>
      <c r="N13" s="60">
        <v>0.25700000000000001</v>
      </c>
      <c r="O13" s="60">
        <v>1.4970000000000001</v>
      </c>
      <c r="P13" s="60" t="s">
        <v>66</v>
      </c>
      <c r="Q13" s="60">
        <v>8.5</v>
      </c>
      <c r="R13" s="60">
        <v>0.32900000000000001</v>
      </c>
      <c r="S13" s="60">
        <v>0.316</v>
      </c>
      <c r="T13" s="60">
        <v>37.978999999999999</v>
      </c>
      <c r="U13" s="62">
        <v>10.37</v>
      </c>
      <c r="V13" s="62">
        <v>0.99</v>
      </c>
      <c r="W13" s="62">
        <v>23.810053793747201</v>
      </c>
      <c r="X13" s="62">
        <v>9.7693430417629123</v>
      </c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45457</v>
      </c>
      <c r="F14" s="20">
        <v>0.55902777777777779</v>
      </c>
      <c r="G14" s="18" t="s">
        <v>19</v>
      </c>
      <c r="H14" s="28">
        <v>27.75</v>
      </c>
      <c r="I14" s="28">
        <v>9.0399999999999991</v>
      </c>
      <c r="J14" s="28">
        <v>14.48</v>
      </c>
      <c r="K14" s="74">
        <v>232.4</v>
      </c>
      <c r="L14" s="57">
        <v>1.702</v>
      </c>
      <c r="M14" s="54"/>
      <c r="N14" s="54">
        <v>6.0999999999999999E-2</v>
      </c>
      <c r="O14" s="58">
        <v>0.97199999999999998</v>
      </c>
      <c r="P14" s="58" t="s">
        <v>66</v>
      </c>
      <c r="Q14" s="58">
        <v>7.1</v>
      </c>
      <c r="R14" s="58">
        <v>8.6999999999999994E-2</v>
      </c>
      <c r="S14" s="58">
        <v>6.8000000000000005E-2</v>
      </c>
      <c r="T14" s="58">
        <v>20.626000000000001</v>
      </c>
      <c r="U14" s="58">
        <v>10.15</v>
      </c>
      <c r="V14" s="58">
        <v>9.92</v>
      </c>
      <c r="W14" s="58">
        <v>24.873571813861201</v>
      </c>
      <c r="X14" s="58">
        <v>10.709017843283263</v>
      </c>
      <c r="Y14" s="21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33</v>
      </c>
      <c r="E15" s="26">
        <v>45457</v>
      </c>
      <c r="F15" s="20">
        <v>0.60416666666666663</v>
      </c>
      <c r="G15" s="18" t="s">
        <v>19</v>
      </c>
      <c r="H15" s="28">
        <v>28.89</v>
      </c>
      <c r="I15" s="28">
        <v>9.4</v>
      </c>
      <c r="J15" s="28">
        <v>15.38</v>
      </c>
      <c r="K15" s="74">
        <v>234.3</v>
      </c>
      <c r="L15" s="57">
        <v>1.125</v>
      </c>
      <c r="M15" s="54"/>
      <c r="N15" s="54">
        <v>0.114</v>
      </c>
      <c r="O15" s="54">
        <v>0.439</v>
      </c>
      <c r="P15" s="54" t="s">
        <v>66</v>
      </c>
      <c r="Q15" s="54">
        <v>6.7</v>
      </c>
      <c r="R15" s="54">
        <v>4.9000000000000002E-2</v>
      </c>
      <c r="S15" s="54">
        <v>0.02</v>
      </c>
      <c r="T15" s="54">
        <v>22.864999999999998</v>
      </c>
      <c r="U15" s="54">
        <v>12.72</v>
      </c>
      <c r="V15" s="54">
        <v>9.1300000000000008</v>
      </c>
      <c r="W15" s="54">
        <v>24.021067207072299</v>
      </c>
      <c r="X15" s="54">
        <v>10.100749744356985</v>
      </c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45457</v>
      </c>
      <c r="F16" s="20">
        <v>0.61111111111111105</v>
      </c>
      <c r="G16" s="18" t="s">
        <v>19</v>
      </c>
      <c r="H16" s="28">
        <v>27.79</v>
      </c>
      <c r="I16" s="28">
        <v>8.64</v>
      </c>
      <c r="J16" s="28">
        <v>8.7100000000000009</v>
      </c>
      <c r="K16" s="74">
        <v>251.2</v>
      </c>
      <c r="L16" s="57">
        <v>1.946</v>
      </c>
      <c r="M16" s="54"/>
      <c r="N16" s="54">
        <v>6.5000000000000002E-2</v>
      </c>
      <c r="O16" s="54">
        <v>1.24</v>
      </c>
      <c r="P16" s="54" t="s">
        <v>66</v>
      </c>
      <c r="Q16" s="54">
        <v>7.3</v>
      </c>
      <c r="R16" s="54">
        <v>0.107</v>
      </c>
      <c r="S16" s="54">
        <v>9.7000000000000003E-2</v>
      </c>
      <c r="T16" s="54">
        <v>24.498999999999999</v>
      </c>
      <c r="U16" s="54">
        <v>12.22</v>
      </c>
      <c r="V16" s="54">
        <v>4.43</v>
      </c>
      <c r="W16" s="54">
        <v>23.61225277214</v>
      </c>
      <c r="X16" s="54">
        <v>11.139294539611988</v>
      </c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45457</v>
      </c>
      <c r="F17" s="20">
        <v>0.59375</v>
      </c>
      <c r="G17" s="18" t="s">
        <v>37</v>
      </c>
      <c r="H17" s="28">
        <v>26.01</v>
      </c>
      <c r="I17" s="28">
        <v>7.5</v>
      </c>
      <c r="J17" s="28">
        <v>4.62</v>
      </c>
      <c r="K17" s="74">
        <v>243</v>
      </c>
      <c r="L17" s="57">
        <v>1.512</v>
      </c>
      <c r="M17" s="54"/>
      <c r="N17" s="54">
        <v>0.20899999999999999</v>
      </c>
      <c r="O17" s="54">
        <v>0.77600000000000002</v>
      </c>
      <c r="P17" s="54" t="s">
        <v>66</v>
      </c>
      <c r="Q17" s="54">
        <v>6.3</v>
      </c>
      <c r="R17" s="54">
        <v>0.121</v>
      </c>
      <c r="S17" s="54">
        <v>6.4000000000000001E-2</v>
      </c>
      <c r="T17" s="54">
        <v>21.664999999999999</v>
      </c>
      <c r="U17" s="54">
        <v>9.82</v>
      </c>
      <c r="V17" s="54">
        <v>4.8</v>
      </c>
      <c r="W17" s="54">
        <v>25.620566401085899</v>
      </c>
      <c r="X17" s="54">
        <v>11.173446452060476</v>
      </c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45457</v>
      </c>
      <c r="F18" s="20">
        <v>0.58680555555555558</v>
      </c>
      <c r="G18" s="18" t="s">
        <v>37</v>
      </c>
      <c r="H18" s="28">
        <v>28.72</v>
      </c>
      <c r="I18" s="28">
        <v>7.54</v>
      </c>
      <c r="J18" s="28">
        <v>8.64</v>
      </c>
      <c r="K18" s="74">
        <v>286.60000000000002</v>
      </c>
      <c r="L18" s="57">
        <v>2.2269999999999999</v>
      </c>
      <c r="M18" s="54"/>
      <c r="N18" s="54">
        <v>0.13</v>
      </c>
      <c r="O18" s="54">
        <v>1.3</v>
      </c>
      <c r="P18" s="54" t="s">
        <v>66</v>
      </c>
      <c r="Q18" s="54">
        <v>7.9</v>
      </c>
      <c r="R18" s="54">
        <v>9.1999999999999998E-2</v>
      </c>
      <c r="S18" s="54">
        <v>7.9000000000000001E-2</v>
      </c>
      <c r="T18" s="54">
        <v>39.970999999999997</v>
      </c>
      <c r="U18" s="54">
        <v>8.89</v>
      </c>
      <c r="V18" s="54">
        <v>2.81</v>
      </c>
      <c r="W18" s="54">
        <v>23.773362659581501</v>
      </c>
      <c r="X18" s="54">
        <v>11.938153629723613</v>
      </c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45457</v>
      </c>
      <c r="F19" s="20">
        <v>0.58333333333333337</v>
      </c>
      <c r="G19" s="18" t="s">
        <v>37</v>
      </c>
      <c r="H19" s="28">
        <v>26.98</v>
      </c>
      <c r="I19" s="28">
        <v>7.41</v>
      </c>
      <c r="J19" s="28">
        <v>5.8</v>
      </c>
      <c r="K19" s="74">
        <v>221.5</v>
      </c>
      <c r="L19" s="57">
        <v>1.232</v>
      </c>
      <c r="M19" s="54"/>
      <c r="N19" s="54">
        <v>9.1999999999999998E-2</v>
      </c>
      <c r="O19" s="54">
        <v>0.61199999999999999</v>
      </c>
      <c r="P19" s="54" t="s">
        <v>66</v>
      </c>
      <c r="Q19" s="54">
        <v>6.5</v>
      </c>
      <c r="R19" s="54">
        <v>0.1</v>
      </c>
      <c r="S19" s="54">
        <v>8.8999999999999996E-2</v>
      </c>
      <c r="T19" s="54">
        <v>20.428999999999998</v>
      </c>
      <c r="U19" s="55">
        <v>9.73</v>
      </c>
      <c r="V19" s="55">
        <v>7.23</v>
      </c>
      <c r="W19" s="55">
        <v>23.9947228940174</v>
      </c>
      <c r="X19" s="55">
        <v>11.344487482363885</v>
      </c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45457</v>
      </c>
      <c r="F20" s="45">
        <v>0.60763888888888895</v>
      </c>
      <c r="G20" s="43" t="s">
        <v>37</v>
      </c>
      <c r="H20" s="72">
        <v>26.78</v>
      </c>
      <c r="I20" s="72">
        <v>7.72</v>
      </c>
      <c r="J20" s="72">
        <v>7.35</v>
      </c>
      <c r="K20" s="73">
        <v>133.5</v>
      </c>
      <c r="L20" s="59">
        <v>1.5109999999999999</v>
      </c>
      <c r="M20" s="60"/>
      <c r="N20" s="60">
        <v>0.189</v>
      </c>
      <c r="O20" s="61">
        <v>0.73899999999999999</v>
      </c>
      <c r="P20" s="61" t="s">
        <v>66</v>
      </c>
      <c r="Q20" s="61">
        <v>5.6</v>
      </c>
      <c r="R20" s="61">
        <v>0.05</v>
      </c>
      <c r="S20" s="61">
        <v>3.5999999999999997E-2</v>
      </c>
      <c r="T20" s="61">
        <v>11.904999999999999</v>
      </c>
      <c r="U20" s="61">
        <v>4.3499999999999996</v>
      </c>
      <c r="V20" s="61">
        <v>2.1800000000000002</v>
      </c>
      <c r="W20" s="61">
        <v>11.7606538704652</v>
      </c>
      <c r="X20" s="61">
        <v>15.164711788202389</v>
      </c>
      <c r="Y20" s="4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45457</v>
      </c>
      <c r="F21" s="45">
        <v>0.5625</v>
      </c>
      <c r="G21" s="43" t="s">
        <v>37</v>
      </c>
      <c r="H21" s="72">
        <v>26.59</v>
      </c>
      <c r="I21" s="72">
        <v>7.55</v>
      </c>
      <c r="J21" s="72">
        <v>7.99</v>
      </c>
      <c r="K21" s="73">
        <v>168.6</v>
      </c>
      <c r="L21" s="59">
        <v>1.9410000000000001</v>
      </c>
      <c r="M21" s="60"/>
      <c r="N21" s="60">
        <v>0.19700000000000001</v>
      </c>
      <c r="O21" s="60">
        <v>1.2689999999999999</v>
      </c>
      <c r="P21" s="60" t="s">
        <v>66</v>
      </c>
      <c r="Q21" s="60">
        <v>5.7</v>
      </c>
      <c r="R21" s="60">
        <v>7.1999999999999995E-2</v>
      </c>
      <c r="S21" s="60">
        <v>6.0999999999999999E-2</v>
      </c>
      <c r="T21" s="60">
        <v>18.673999999999999</v>
      </c>
      <c r="U21" s="60">
        <v>7.94</v>
      </c>
      <c r="V21" s="60">
        <v>2.3199999999999998</v>
      </c>
      <c r="W21" s="60">
        <v>12.994058289706</v>
      </c>
      <c r="X21" s="60">
        <v>14.25181833467304</v>
      </c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45457</v>
      </c>
      <c r="F22" s="45">
        <v>0.62847222222222221</v>
      </c>
      <c r="G22" s="43" t="s">
        <v>37</v>
      </c>
      <c r="H22" s="72">
        <v>28.49</v>
      </c>
      <c r="I22" s="72">
        <v>7.5</v>
      </c>
      <c r="J22" s="72">
        <v>8.84</v>
      </c>
      <c r="K22" s="73">
        <v>263.3</v>
      </c>
      <c r="L22" s="59">
        <v>2.1269999999999998</v>
      </c>
      <c r="M22" s="60"/>
      <c r="N22" s="60">
        <v>0.19600000000000001</v>
      </c>
      <c r="O22" s="60">
        <v>1.377</v>
      </c>
      <c r="P22" s="60" t="s">
        <v>66</v>
      </c>
      <c r="Q22" s="60">
        <v>6.4</v>
      </c>
      <c r="R22" s="60">
        <v>0.08</v>
      </c>
      <c r="S22" s="60">
        <v>6.7000000000000004E-2</v>
      </c>
      <c r="T22" s="60">
        <v>27.225999999999999</v>
      </c>
      <c r="U22" s="60">
        <v>8.11</v>
      </c>
      <c r="V22" s="60">
        <v>2.57</v>
      </c>
      <c r="W22" s="60">
        <v>17.871998340811501</v>
      </c>
      <c r="X22" s="60">
        <v>12.604643846970632</v>
      </c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45457</v>
      </c>
      <c r="F23" s="45">
        <v>0.56597222222222221</v>
      </c>
      <c r="G23" s="43" t="s">
        <v>37</v>
      </c>
      <c r="H23" s="72">
        <v>27.85</v>
      </c>
      <c r="I23" s="72">
        <v>7.49</v>
      </c>
      <c r="J23" s="72">
        <v>8.93</v>
      </c>
      <c r="K23" s="73">
        <v>282.10000000000002</v>
      </c>
      <c r="L23" s="59">
        <v>3.87</v>
      </c>
      <c r="M23" s="60"/>
      <c r="N23" s="60">
        <v>0.23499999999999999</v>
      </c>
      <c r="O23" s="60">
        <v>3.2719999999999998</v>
      </c>
      <c r="P23" s="60" t="s">
        <v>66</v>
      </c>
      <c r="Q23" s="60">
        <v>4.8</v>
      </c>
      <c r="R23" s="60">
        <v>3.1E-2</v>
      </c>
      <c r="S23" s="60">
        <v>1.4E-2</v>
      </c>
      <c r="T23" s="60">
        <v>48.887</v>
      </c>
      <c r="U23" s="60">
        <v>10.58</v>
      </c>
      <c r="V23" s="60">
        <v>4.47</v>
      </c>
      <c r="W23" s="60">
        <v>17.678067304593998</v>
      </c>
      <c r="X23" s="60">
        <v>12.902446465201056</v>
      </c>
      <c r="Y23" s="48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45457</v>
      </c>
      <c r="F24" s="45">
        <v>0.57291666666666663</v>
      </c>
      <c r="G24" s="43" t="s">
        <v>37</v>
      </c>
      <c r="H24" s="72">
        <v>27.3</v>
      </c>
      <c r="I24" s="72">
        <v>8.2899999999999991</v>
      </c>
      <c r="J24" s="72">
        <v>8.83</v>
      </c>
      <c r="K24" s="73">
        <v>202.2</v>
      </c>
      <c r="L24" s="59">
        <v>2.4289999999999998</v>
      </c>
      <c r="M24" s="60"/>
      <c r="N24" s="60">
        <v>8.5000000000000006E-2</v>
      </c>
      <c r="O24" s="60">
        <v>1.9019999999999999</v>
      </c>
      <c r="P24" s="60" t="s">
        <v>66</v>
      </c>
      <c r="Q24" s="60">
        <v>5.2</v>
      </c>
      <c r="R24" s="60">
        <v>3.9E-2</v>
      </c>
      <c r="S24" s="60">
        <v>0.02</v>
      </c>
      <c r="T24" s="60">
        <v>22.791</v>
      </c>
      <c r="U24" s="62">
        <v>7.97</v>
      </c>
      <c r="V24" s="62">
        <v>4.29</v>
      </c>
      <c r="W24" s="62">
        <v>12.424265342897099</v>
      </c>
      <c r="X24" s="62">
        <v>14.216397469913211</v>
      </c>
      <c r="Y24" s="4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45457</v>
      </c>
      <c r="F25" s="20">
        <v>0.44097222222222227</v>
      </c>
      <c r="G25" s="18" t="s">
        <v>37</v>
      </c>
      <c r="H25" s="28">
        <v>26.1</v>
      </c>
      <c r="I25" s="28">
        <v>7.38</v>
      </c>
      <c r="J25" s="28">
        <v>7.68</v>
      </c>
      <c r="K25" s="74">
        <v>279</v>
      </c>
      <c r="L25" s="57">
        <v>1.2889999999999999</v>
      </c>
      <c r="M25" s="54"/>
      <c r="N25" s="54">
        <v>3.5000000000000003E-2</v>
      </c>
      <c r="O25" s="58">
        <v>0.96599999999999997</v>
      </c>
      <c r="P25" s="58" t="s">
        <v>66</v>
      </c>
      <c r="Q25" s="58">
        <v>4.5</v>
      </c>
      <c r="R25" s="58">
        <v>2.1999999999999999E-2</v>
      </c>
      <c r="S25" s="58">
        <v>8.9999999999999993E-3</v>
      </c>
      <c r="T25" s="58">
        <v>14.125999999999999</v>
      </c>
      <c r="U25" s="58">
        <v>8.34</v>
      </c>
      <c r="V25" s="58">
        <v>3.27</v>
      </c>
      <c r="W25" s="58">
        <v>13.645109197605899</v>
      </c>
      <c r="X25" s="58">
        <v>14.017935416137773</v>
      </c>
      <c r="Y25" s="21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45457</v>
      </c>
      <c r="F26" s="23">
        <v>0.46180555555555558</v>
      </c>
      <c r="G26" s="18" t="s">
        <v>37</v>
      </c>
      <c r="H26" s="28">
        <v>27.3</v>
      </c>
      <c r="I26" s="28">
        <v>7.32</v>
      </c>
      <c r="J26" s="28">
        <v>7.55</v>
      </c>
      <c r="K26" s="74">
        <v>208</v>
      </c>
      <c r="L26" s="57">
        <v>1.357</v>
      </c>
      <c r="M26" s="55"/>
      <c r="N26" s="55">
        <v>0.10199999999999999</v>
      </c>
      <c r="O26" s="55">
        <v>0.873</v>
      </c>
      <c r="P26" s="55" t="s">
        <v>66</v>
      </c>
      <c r="Q26" s="55">
        <v>5.5</v>
      </c>
      <c r="R26" s="55">
        <v>5.8000000000000003E-2</v>
      </c>
      <c r="S26" s="55">
        <v>5.3999999999999999E-2</v>
      </c>
      <c r="T26" s="55">
        <v>16.196000000000002</v>
      </c>
      <c r="U26" s="55">
        <v>8.49</v>
      </c>
      <c r="V26" s="55">
        <v>2.2799999999999998</v>
      </c>
      <c r="W26" s="55">
        <v>14.019806396022799</v>
      </c>
      <c r="X26" s="55">
        <v>13.802633710466361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45457</v>
      </c>
      <c r="F27" s="23">
        <v>0.47569444444444442</v>
      </c>
      <c r="G27" s="18" t="s">
        <v>37</v>
      </c>
      <c r="H27" s="75">
        <v>28.4</v>
      </c>
      <c r="I27" s="75">
        <v>7.51</v>
      </c>
      <c r="J27" s="75">
        <v>7.91</v>
      </c>
      <c r="K27" s="77">
        <v>243</v>
      </c>
      <c r="L27" s="57">
        <v>1.641</v>
      </c>
      <c r="M27" s="55"/>
      <c r="N27" s="55">
        <v>9.6000000000000002E-2</v>
      </c>
      <c r="O27" s="55">
        <v>0.93700000000000006</v>
      </c>
      <c r="P27" s="55" t="s">
        <v>66</v>
      </c>
      <c r="Q27" s="55">
        <v>7.6</v>
      </c>
      <c r="R27" s="55">
        <v>0.08</v>
      </c>
      <c r="S27" s="55">
        <v>6.8000000000000005E-2</v>
      </c>
      <c r="T27" s="55">
        <v>18.216999999999999</v>
      </c>
      <c r="U27" s="55">
        <v>9.02</v>
      </c>
      <c r="V27" s="55">
        <v>2.79</v>
      </c>
      <c r="W27" s="55">
        <v>18.016412874533302</v>
      </c>
      <c r="X27" s="55">
        <v>12.659408332206301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45457</v>
      </c>
      <c r="F28" s="20">
        <v>0.48958333333333331</v>
      </c>
      <c r="G28" s="18" t="s">
        <v>19</v>
      </c>
      <c r="H28" s="28">
        <v>28.6</v>
      </c>
      <c r="I28" s="28">
        <v>7.48</v>
      </c>
      <c r="J28" s="28">
        <v>8.6</v>
      </c>
      <c r="K28" s="74">
        <v>254</v>
      </c>
      <c r="L28" s="57">
        <v>1.7809999999999999</v>
      </c>
      <c r="M28" s="54"/>
      <c r="N28" s="54">
        <v>9.1999999999999998E-2</v>
      </c>
      <c r="O28" s="54">
        <v>1.0660000000000001</v>
      </c>
      <c r="P28" s="54" t="s">
        <v>66</v>
      </c>
      <c r="Q28" s="54">
        <v>7.6</v>
      </c>
      <c r="R28" s="54">
        <v>7.6999999999999999E-2</v>
      </c>
      <c r="S28" s="54">
        <v>6.7000000000000004E-2</v>
      </c>
      <c r="T28" s="54">
        <v>19.501000000000001</v>
      </c>
      <c r="U28" s="54">
        <v>9</v>
      </c>
      <c r="V28" s="54">
        <v>3.1</v>
      </c>
      <c r="W28" s="54">
        <v>19.701362294826001</v>
      </c>
      <c r="X28" s="54">
        <v>12.363415262155343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2"/>
  <sheetViews>
    <sheetView zoomScale="80" zoomScaleNormal="80" workbookViewId="0">
      <selection activeCell="A29" sqref="A29:XFD30"/>
    </sheetView>
  </sheetViews>
  <sheetFormatPr defaultRowHeight="16.5" x14ac:dyDescent="0.3"/>
  <cols>
    <col min="1" max="1" width="7.5" bestFit="1" customWidth="1"/>
    <col min="2" max="2" width="10.125" bestFit="1" customWidth="1"/>
    <col min="3" max="3" width="9.5" bestFit="1" customWidth="1"/>
    <col min="4" max="4" width="27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39" t="s">
        <v>67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Y1" s="2"/>
    </row>
    <row r="2" spans="1:25" ht="17.25" thickBot="1" x14ac:dyDescent="0.35">
      <c r="Y2" s="3"/>
    </row>
    <row r="3" spans="1:25" ht="26.25" customHeight="1" thickBot="1" x14ac:dyDescent="0.35">
      <c r="A3" s="140" t="s">
        <v>1</v>
      </c>
      <c r="B3" s="142" t="s">
        <v>62</v>
      </c>
      <c r="C3" s="142" t="s">
        <v>63</v>
      </c>
      <c r="D3" s="140" t="s">
        <v>7</v>
      </c>
      <c r="E3" s="144" t="s">
        <v>8</v>
      </c>
      <c r="F3" s="145"/>
      <c r="G3" s="146" t="s">
        <v>9</v>
      </c>
      <c r="H3" s="146"/>
      <c r="I3" s="146"/>
      <c r="J3" s="146"/>
      <c r="K3" s="146"/>
      <c r="L3" s="137" t="s">
        <v>56</v>
      </c>
      <c r="M3" s="138"/>
      <c r="N3" s="138"/>
      <c r="O3" s="138"/>
      <c r="P3" s="138"/>
      <c r="Q3" s="138"/>
      <c r="R3" s="138"/>
      <c r="S3" s="138"/>
      <c r="T3" s="138"/>
      <c r="U3" s="9"/>
      <c r="V3" s="9"/>
      <c r="W3" s="9"/>
      <c r="X3" s="9"/>
      <c r="Y3" s="147" t="s">
        <v>10</v>
      </c>
    </row>
    <row r="4" spans="1:25" ht="33.75" customHeight="1" thickBot="1" x14ac:dyDescent="0.35">
      <c r="A4" s="141"/>
      <c r="B4" s="141"/>
      <c r="C4" s="141"/>
      <c r="D4" s="14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51" t="s">
        <v>132</v>
      </c>
      <c r="W4" s="51" t="s">
        <v>131</v>
      </c>
      <c r="X4" s="10" t="s">
        <v>76</v>
      </c>
      <c r="Y4" s="148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45505</v>
      </c>
      <c r="F5" s="15"/>
      <c r="G5" s="13" t="s">
        <v>19</v>
      </c>
      <c r="H5" s="27">
        <v>22.03</v>
      </c>
      <c r="I5" s="27">
        <v>8.06</v>
      </c>
      <c r="J5" s="27">
        <v>9.82</v>
      </c>
      <c r="K5" s="76">
        <v>79.2</v>
      </c>
      <c r="L5" s="56">
        <v>0.94099999999999995</v>
      </c>
      <c r="M5" s="53"/>
      <c r="N5" s="53">
        <v>1.4999999999999999E-2</v>
      </c>
      <c r="O5" s="53">
        <v>0.77150000000000007</v>
      </c>
      <c r="P5" s="53" t="s">
        <v>124</v>
      </c>
      <c r="Q5" s="53">
        <v>1.5</v>
      </c>
      <c r="R5" s="53">
        <v>0.02</v>
      </c>
      <c r="S5" s="53">
        <v>8.0000000000000002E-3</v>
      </c>
      <c r="T5" s="53">
        <v>5.9535</v>
      </c>
      <c r="U5" s="53">
        <v>4.2699999999999996</v>
      </c>
      <c r="V5" s="53">
        <v>2.19</v>
      </c>
      <c r="W5" s="53">
        <v>7.9</v>
      </c>
      <c r="X5" s="53">
        <v>18.410498660070385</v>
      </c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45505</v>
      </c>
      <c r="F6" s="20"/>
      <c r="G6" s="18" t="s">
        <v>19</v>
      </c>
      <c r="H6" s="28">
        <v>27.74</v>
      </c>
      <c r="I6" s="28">
        <v>7.74</v>
      </c>
      <c r="J6" s="28">
        <v>12.06</v>
      </c>
      <c r="K6" s="74">
        <v>200.5</v>
      </c>
      <c r="L6" s="57">
        <v>1.65</v>
      </c>
      <c r="M6" s="54"/>
      <c r="N6" s="54">
        <v>0.40799999999999997</v>
      </c>
      <c r="O6" s="54">
        <v>0.99350000000000005</v>
      </c>
      <c r="P6" s="54" t="s">
        <v>124</v>
      </c>
      <c r="Q6" s="54">
        <v>2.1</v>
      </c>
      <c r="R6" s="54">
        <v>9.6000000000000002E-2</v>
      </c>
      <c r="S6" s="54">
        <v>0.09</v>
      </c>
      <c r="T6" s="54">
        <v>16.461500000000001</v>
      </c>
      <c r="U6" s="54">
        <v>9.77</v>
      </c>
      <c r="V6" s="54">
        <v>1.44</v>
      </c>
      <c r="W6" s="54">
        <v>16.2</v>
      </c>
      <c r="X6" s="54">
        <v>11.220882420824196</v>
      </c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45505</v>
      </c>
      <c r="F7" s="20"/>
      <c r="G7" s="18" t="s">
        <v>19</v>
      </c>
      <c r="H7" s="28">
        <v>28.05</v>
      </c>
      <c r="I7" s="28">
        <v>7.75</v>
      </c>
      <c r="J7" s="28">
        <v>9.65</v>
      </c>
      <c r="K7" s="74">
        <v>135.80000000000001</v>
      </c>
      <c r="L7" s="57">
        <v>1.4410000000000001</v>
      </c>
      <c r="M7" s="54"/>
      <c r="N7" s="54">
        <v>0.16200000000000001</v>
      </c>
      <c r="O7" s="54">
        <v>1.0895000000000001</v>
      </c>
      <c r="P7" s="54" t="s">
        <v>124</v>
      </c>
      <c r="Q7" s="54">
        <v>1.9</v>
      </c>
      <c r="R7" s="54">
        <v>7.2999999999999995E-2</v>
      </c>
      <c r="S7" s="54">
        <v>6.3E-2</v>
      </c>
      <c r="T7" s="54">
        <v>12.7425</v>
      </c>
      <c r="U7" s="58">
        <v>8.26</v>
      </c>
      <c r="V7" s="58">
        <v>1.24</v>
      </c>
      <c r="W7" s="58">
        <v>12</v>
      </c>
      <c r="X7" s="54">
        <v>10.81233356276784</v>
      </c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45505</v>
      </c>
      <c r="F8" s="20"/>
      <c r="G8" s="18" t="s">
        <v>19</v>
      </c>
      <c r="H8" s="28">
        <v>29.04</v>
      </c>
      <c r="I8" s="28">
        <v>7.73</v>
      </c>
      <c r="J8" s="28">
        <v>9.92</v>
      </c>
      <c r="K8" s="74">
        <v>132.6</v>
      </c>
      <c r="L8" s="57">
        <v>1.1870000000000001</v>
      </c>
      <c r="M8" s="70"/>
      <c r="N8" s="54">
        <v>8.8999999999999996E-2</v>
      </c>
      <c r="O8" s="54">
        <v>0.93100000000000005</v>
      </c>
      <c r="P8" s="54" t="s">
        <v>124</v>
      </c>
      <c r="Q8" s="54">
        <v>1.9</v>
      </c>
      <c r="R8" s="54">
        <v>7.9000000000000001E-2</v>
      </c>
      <c r="S8" s="54">
        <v>7.0999999999999994E-2</v>
      </c>
      <c r="T8" s="54">
        <v>12.621500000000001</v>
      </c>
      <c r="U8" s="54">
        <v>8.34</v>
      </c>
      <c r="V8" s="54">
        <v>1.78</v>
      </c>
      <c r="W8" s="54">
        <v>12.1</v>
      </c>
      <c r="X8" s="54">
        <v>15.357042076736549</v>
      </c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45505</v>
      </c>
      <c r="F9" s="45"/>
      <c r="G9" s="43" t="s">
        <v>19</v>
      </c>
      <c r="H9" s="72">
        <v>28.8</v>
      </c>
      <c r="I9" s="72">
        <v>7.58</v>
      </c>
      <c r="J9" s="72">
        <v>7.83</v>
      </c>
      <c r="K9" s="73">
        <v>213.5</v>
      </c>
      <c r="L9" s="59">
        <v>1.5109999999999999</v>
      </c>
      <c r="M9" s="61"/>
      <c r="N9" s="61">
        <v>2.5000000000000001E-2</v>
      </c>
      <c r="O9" s="61">
        <v>1.2669999999999999</v>
      </c>
      <c r="P9" s="61" t="s">
        <v>124</v>
      </c>
      <c r="Q9" s="61">
        <v>2.4</v>
      </c>
      <c r="R9" s="61">
        <v>0.04</v>
      </c>
      <c r="S9" s="61">
        <v>2.9000000000000001E-2</v>
      </c>
      <c r="T9" s="61">
        <v>12.502500000000001</v>
      </c>
      <c r="U9" s="61">
        <v>7.55</v>
      </c>
      <c r="V9" s="61">
        <v>3.78</v>
      </c>
      <c r="W9" s="61">
        <v>12.2</v>
      </c>
      <c r="X9" s="61">
        <v>17.90516792585467</v>
      </c>
      <c r="Y9" s="6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45505</v>
      </c>
      <c r="F10" s="45"/>
      <c r="G10" s="43" t="s">
        <v>19</v>
      </c>
      <c r="H10" s="72">
        <v>30.4</v>
      </c>
      <c r="I10" s="72">
        <v>7.43</v>
      </c>
      <c r="J10" s="72">
        <v>7.66</v>
      </c>
      <c r="K10" s="73">
        <v>245.8</v>
      </c>
      <c r="L10" s="59">
        <v>1.744</v>
      </c>
      <c r="M10" s="60"/>
      <c r="N10" s="60">
        <v>4.2000000000000003E-2</v>
      </c>
      <c r="O10" s="60">
        <v>1.347</v>
      </c>
      <c r="P10" s="60" t="s">
        <v>124</v>
      </c>
      <c r="Q10" s="60">
        <v>3.5</v>
      </c>
      <c r="R10" s="60">
        <v>0.10100000000000001</v>
      </c>
      <c r="S10" s="60">
        <v>9.2999999999999999E-2</v>
      </c>
      <c r="T10" s="60">
        <v>15.840499999999999</v>
      </c>
      <c r="U10" s="60">
        <v>9.6300000000000008</v>
      </c>
      <c r="V10" s="60">
        <v>3.97</v>
      </c>
      <c r="W10" s="60">
        <v>20.399999999999999</v>
      </c>
      <c r="X10" s="60">
        <v>14.453827496424987</v>
      </c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45505</v>
      </c>
      <c r="F11" s="45"/>
      <c r="G11" s="43" t="s">
        <v>19</v>
      </c>
      <c r="H11" s="72">
        <v>30.4</v>
      </c>
      <c r="I11" s="72">
        <v>7.37</v>
      </c>
      <c r="J11" s="72">
        <v>7.04</v>
      </c>
      <c r="K11" s="73">
        <v>270.89999999999998</v>
      </c>
      <c r="L11" s="59">
        <v>2.7909999999999999</v>
      </c>
      <c r="M11" s="60"/>
      <c r="N11" s="60">
        <v>0.496</v>
      </c>
      <c r="O11" s="60">
        <v>1.7384999999999999</v>
      </c>
      <c r="P11" s="60" t="s">
        <v>124</v>
      </c>
      <c r="Q11" s="60">
        <v>4.3</v>
      </c>
      <c r="R11" s="60">
        <v>0.40699999999999997</v>
      </c>
      <c r="S11" s="60">
        <v>0.39900000000000002</v>
      </c>
      <c r="T11" s="60">
        <v>17.154</v>
      </c>
      <c r="U11" s="60">
        <v>9.94</v>
      </c>
      <c r="V11" s="60">
        <v>1.1499999999999999</v>
      </c>
      <c r="W11" s="60">
        <v>22.2</v>
      </c>
      <c r="X11" s="60">
        <v>12.340795765495628</v>
      </c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45505</v>
      </c>
      <c r="F12" s="45"/>
      <c r="G12" s="43" t="s">
        <v>19</v>
      </c>
      <c r="H12" s="72">
        <v>28.1</v>
      </c>
      <c r="I12" s="72">
        <v>7.3</v>
      </c>
      <c r="J12" s="72">
        <v>5.15</v>
      </c>
      <c r="K12" s="73">
        <v>634</v>
      </c>
      <c r="L12" s="59">
        <v>21.959</v>
      </c>
      <c r="M12" s="60"/>
      <c r="N12" s="60">
        <v>20.334</v>
      </c>
      <c r="O12" s="60">
        <v>0.26949999999999996</v>
      </c>
      <c r="P12" s="60" t="s">
        <v>124</v>
      </c>
      <c r="Q12" s="60">
        <v>14.7</v>
      </c>
      <c r="R12" s="60">
        <v>6.032</v>
      </c>
      <c r="S12" s="60">
        <v>5.88</v>
      </c>
      <c r="T12" s="60">
        <v>35.139499999999998</v>
      </c>
      <c r="U12" s="60">
        <v>9.42</v>
      </c>
      <c r="V12" s="60">
        <v>-0.25</v>
      </c>
      <c r="W12" s="60">
        <v>47.5</v>
      </c>
      <c r="X12" s="60">
        <v>11.156085521405624</v>
      </c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45505</v>
      </c>
      <c r="F13" s="45"/>
      <c r="G13" s="43" t="s">
        <v>19</v>
      </c>
      <c r="H13" s="72">
        <v>30.1</v>
      </c>
      <c r="I13" s="72">
        <v>7.36</v>
      </c>
      <c r="J13" s="72">
        <v>6.17</v>
      </c>
      <c r="K13" s="73">
        <v>441</v>
      </c>
      <c r="L13" s="59">
        <v>12.265000000000001</v>
      </c>
      <c r="M13" s="71"/>
      <c r="N13" s="60">
        <v>5.9880000000000004</v>
      </c>
      <c r="O13" s="60">
        <v>4.4104999999999999</v>
      </c>
      <c r="P13" s="60" t="s">
        <v>124</v>
      </c>
      <c r="Q13" s="60">
        <v>9.5</v>
      </c>
      <c r="R13" s="60">
        <v>3.085</v>
      </c>
      <c r="S13" s="60">
        <v>2.984</v>
      </c>
      <c r="T13" s="60">
        <v>28.026499999999999</v>
      </c>
      <c r="U13" s="60">
        <v>8.73</v>
      </c>
      <c r="V13" s="60">
        <v>-3.85</v>
      </c>
      <c r="W13" s="60">
        <v>36.700000000000003</v>
      </c>
      <c r="X13" s="60">
        <v>12.289043184084358</v>
      </c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45505</v>
      </c>
      <c r="F14" s="20"/>
      <c r="G14" s="18" t="s">
        <v>19</v>
      </c>
      <c r="H14" s="28">
        <v>26.36</v>
      </c>
      <c r="I14" s="28">
        <v>7.9</v>
      </c>
      <c r="J14" s="28">
        <v>8.61</v>
      </c>
      <c r="K14" s="74">
        <v>151</v>
      </c>
      <c r="L14" s="57">
        <v>1.8959999999999999</v>
      </c>
      <c r="M14" s="58"/>
      <c r="N14" s="58">
        <v>8.5000000000000006E-2</v>
      </c>
      <c r="O14" s="58">
        <v>1.5265</v>
      </c>
      <c r="P14" s="58" t="s">
        <v>124</v>
      </c>
      <c r="Q14" s="58">
        <v>2.4</v>
      </c>
      <c r="R14" s="58">
        <v>8.4000000000000005E-2</v>
      </c>
      <c r="S14" s="58">
        <v>7.4999999999999997E-2</v>
      </c>
      <c r="T14" s="58">
        <v>8.5150000000000006</v>
      </c>
      <c r="U14" s="58">
        <v>8.39</v>
      </c>
      <c r="V14" s="58">
        <v>2.54</v>
      </c>
      <c r="W14" s="58">
        <v>15.1</v>
      </c>
      <c r="X14" s="58">
        <v>12.441195327151821</v>
      </c>
      <c r="Y14" s="69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45505</v>
      </c>
      <c r="F15" s="20"/>
      <c r="G15" s="18" t="s">
        <v>19</v>
      </c>
      <c r="H15" s="28">
        <v>26.6</v>
      </c>
      <c r="I15" s="28">
        <v>8</v>
      </c>
      <c r="J15" s="28">
        <v>10.4</v>
      </c>
      <c r="K15" s="74">
        <v>142</v>
      </c>
      <c r="L15" s="57">
        <v>1.6890000000000001</v>
      </c>
      <c r="M15" s="54"/>
      <c r="N15" s="54">
        <v>1.7000000000000001E-2</v>
      </c>
      <c r="O15" s="54">
        <v>1.4264999999999999</v>
      </c>
      <c r="P15" s="54" t="s">
        <v>124</v>
      </c>
      <c r="Q15" s="54">
        <v>2.2999999999999998</v>
      </c>
      <c r="R15" s="54">
        <v>5.6000000000000001E-2</v>
      </c>
      <c r="S15" s="54">
        <v>5.0999999999999997E-2</v>
      </c>
      <c r="T15" s="54">
        <v>8.0670000000000002</v>
      </c>
      <c r="U15" s="54">
        <v>8.4700000000000006</v>
      </c>
      <c r="V15" s="54">
        <v>2.4700000000000002</v>
      </c>
      <c r="W15" s="54">
        <v>14.1</v>
      </c>
      <c r="X15" s="54">
        <v>14.122288252046367</v>
      </c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45505</v>
      </c>
      <c r="F16" s="20"/>
      <c r="G16" s="18" t="s">
        <v>19</v>
      </c>
      <c r="H16" s="28">
        <v>27.04</v>
      </c>
      <c r="I16" s="28">
        <v>7.93</v>
      </c>
      <c r="J16" s="28">
        <v>10.38</v>
      </c>
      <c r="K16" s="74">
        <v>148</v>
      </c>
      <c r="L16" s="57">
        <v>1.8169999999999999</v>
      </c>
      <c r="M16" s="54"/>
      <c r="N16" s="54">
        <v>0.02</v>
      </c>
      <c r="O16" s="54">
        <v>1.5514999999999999</v>
      </c>
      <c r="P16" s="54" t="s">
        <v>124</v>
      </c>
      <c r="Q16" s="54">
        <v>2.2999999999999998</v>
      </c>
      <c r="R16" s="54">
        <v>6.3E-2</v>
      </c>
      <c r="S16" s="54">
        <v>5.8000000000000003E-2</v>
      </c>
      <c r="T16" s="54">
        <v>8.8210000000000015</v>
      </c>
      <c r="U16" s="54">
        <v>8.9700000000000006</v>
      </c>
      <c r="V16" s="54">
        <v>2.84</v>
      </c>
      <c r="W16" s="54">
        <v>14.9</v>
      </c>
      <c r="X16" s="54">
        <v>14.811278109441663</v>
      </c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45505</v>
      </c>
      <c r="F17" s="20"/>
      <c r="G17" s="18" t="s">
        <v>37</v>
      </c>
      <c r="H17" s="28">
        <v>28.19</v>
      </c>
      <c r="I17" s="28">
        <v>7</v>
      </c>
      <c r="J17" s="28">
        <v>7.27</v>
      </c>
      <c r="K17" s="74">
        <v>142.4</v>
      </c>
      <c r="L17" s="57">
        <v>1.8440000000000001</v>
      </c>
      <c r="M17" s="54"/>
      <c r="N17" s="54">
        <v>0.05</v>
      </c>
      <c r="O17" s="54">
        <v>1.5175000000000001</v>
      </c>
      <c r="P17" s="54" t="s">
        <v>124</v>
      </c>
      <c r="Q17" s="54">
        <v>2.4</v>
      </c>
      <c r="R17" s="54">
        <v>7.5999999999999998E-2</v>
      </c>
      <c r="S17" s="54">
        <v>7.0000000000000007E-2</v>
      </c>
      <c r="T17" s="54">
        <v>8.4375</v>
      </c>
      <c r="U17" s="54">
        <v>8.69</v>
      </c>
      <c r="V17" s="54">
        <v>2.15</v>
      </c>
      <c r="W17" s="54">
        <v>15</v>
      </c>
      <c r="X17" s="54">
        <v>15.952224006126059</v>
      </c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45505</v>
      </c>
      <c r="F18" s="20"/>
      <c r="G18" s="18" t="s">
        <v>37</v>
      </c>
      <c r="H18" s="28">
        <v>30.86</v>
      </c>
      <c r="I18" s="28">
        <v>7.53</v>
      </c>
      <c r="J18" s="28">
        <v>10.220000000000001</v>
      </c>
      <c r="K18" s="74">
        <v>263.89999999999998</v>
      </c>
      <c r="L18" s="57">
        <v>2.0350000000000001</v>
      </c>
      <c r="M18" s="54"/>
      <c r="N18" s="54">
        <v>3.9E-2</v>
      </c>
      <c r="O18" s="54">
        <v>1.6120000000000001</v>
      </c>
      <c r="P18" s="54" t="s">
        <v>124</v>
      </c>
      <c r="Q18" s="54">
        <v>3</v>
      </c>
      <c r="R18" s="54">
        <v>7.6999999999999999E-2</v>
      </c>
      <c r="S18" s="54">
        <v>6.9000000000000006E-2</v>
      </c>
      <c r="T18" s="54">
        <v>33.662999999999997</v>
      </c>
      <c r="U18" s="54">
        <v>11.32</v>
      </c>
      <c r="V18" s="54">
        <v>3.44</v>
      </c>
      <c r="W18" s="54">
        <v>21.5</v>
      </c>
      <c r="X18" s="54">
        <v>13.786840063645389</v>
      </c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45505</v>
      </c>
      <c r="F19" s="20"/>
      <c r="G19" s="18" t="s">
        <v>37</v>
      </c>
      <c r="H19" s="28">
        <v>28.47</v>
      </c>
      <c r="I19" s="28">
        <v>7.07</v>
      </c>
      <c r="J19" s="28">
        <v>6.2</v>
      </c>
      <c r="K19" s="74">
        <v>145.6</v>
      </c>
      <c r="L19" s="57">
        <v>1.7729999999999999</v>
      </c>
      <c r="M19" s="70"/>
      <c r="N19" s="54">
        <v>0.03</v>
      </c>
      <c r="O19" s="54">
        <v>1.4875</v>
      </c>
      <c r="P19" s="54" t="s">
        <v>124</v>
      </c>
      <c r="Q19" s="54">
        <v>2.4</v>
      </c>
      <c r="R19" s="54">
        <v>0.1</v>
      </c>
      <c r="S19" s="54">
        <v>9.6000000000000002E-2</v>
      </c>
      <c r="T19" s="54">
        <v>8.6289999999999996</v>
      </c>
      <c r="U19" s="54">
        <v>8.94</v>
      </c>
      <c r="V19" s="54">
        <v>2.4500000000000002</v>
      </c>
      <c r="W19" s="54">
        <v>14.9</v>
      </c>
      <c r="X19" s="54">
        <v>14.086277748596887</v>
      </c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45505</v>
      </c>
      <c r="F20" s="45"/>
      <c r="G20" s="43" t="s">
        <v>37</v>
      </c>
      <c r="H20" s="72">
        <v>26.77</v>
      </c>
      <c r="I20" s="72">
        <v>7.7</v>
      </c>
      <c r="J20" s="72">
        <v>10.050000000000001</v>
      </c>
      <c r="K20" s="73">
        <v>126</v>
      </c>
      <c r="L20" s="59">
        <v>1.165</v>
      </c>
      <c r="M20" s="61"/>
      <c r="N20" s="61">
        <v>7.1999999999999995E-2</v>
      </c>
      <c r="O20" s="61">
        <v>0.79249999999999998</v>
      </c>
      <c r="P20" s="61" t="s">
        <v>124</v>
      </c>
      <c r="Q20" s="61">
        <v>3.3</v>
      </c>
      <c r="R20" s="61">
        <v>4.7E-2</v>
      </c>
      <c r="S20" s="61">
        <v>3.5000000000000003E-2</v>
      </c>
      <c r="T20" s="61">
        <v>9.1705000000000005</v>
      </c>
      <c r="U20" s="61">
        <v>7.89</v>
      </c>
      <c r="V20" s="61">
        <v>2.7</v>
      </c>
      <c r="W20" s="61">
        <v>12.5</v>
      </c>
      <c r="X20" s="61">
        <v>15.214517916197266</v>
      </c>
      <c r="Y20" s="6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45505</v>
      </c>
      <c r="F21" s="45"/>
      <c r="G21" s="43" t="s">
        <v>37</v>
      </c>
      <c r="H21" s="72">
        <v>27.9</v>
      </c>
      <c r="I21" s="72">
        <v>7.73</v>
      </c>
      <c r="J21" s="72">
        <v>9.56</v>
      </c>
      <c r="K21" s="73">
        <v>214</v>
      </c>
      <c r="L21" s="59">
        <v>2.6480000000000001</v>
      </c>
      <c r="M21" s="60"/>
      <c r="N21" s="60">
        <v>5.2999999999999999E-2</v>
      </c>
      <c r="O21" s="60">
        <v>2.17</v>
      </c>
      <c r="P21" s="60" t="s">
        <v>124</v>
      </c>
      <c r="Q21" s="60">
        <v>3.4</v>
      </c>
      <c r="R21" s="60">
        <v>6.9000000000000006E-2</v>
      </c>
      <c r="S21" s="60">
        <v>0.06</v>
      </c>
      <c r="T21" s="60">
        <v>23.383499999999998</v>
      </c>
      <c r="U21" s="60">
        <v>9.74</v>
      </c>
      <c r="V21" s="60">
        <v>2.78</v>
      </c>
      <c r="W21" s="60">
        <v>19.600000000000001</v>
      </c>
      <c r="X21" s="60">
        <v>12.308926844573243</v>
      </c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45505</v>
      </c>
      <c r="F22" s="45"/>
      <c r="G22" s="43" t="s">
        <v>37</v>
      </c>
      <c r="H22" s="72">
        <v>28.47</v>
      </c>
      <c r="I22" s="72">
        <v>7.7</v>
      </c>
      <c r="J22" s="72">
        <v>11.49</v>
      </c>
      <c r="K22" s="73">
        <v>215</v>
      </c>
      <c r="L22" s="59">
        <v>2.4630000000000001</v>
      </c>
      <c r="M22" s="60"/>
      <c r="N22" s="60">
        <v>2.1999999999999999E-2</v>
      </c>
      <c r="O22" s="60">
        <v>2.0415000000000001</v>
      </c>
      <c r="P22" s="60" t="s">
        <v>124</v>
      </c>
      <c r="Q22" s="60">
        <v>3.5</v>
      </c>
      <c r="R22" s="60">
        <v>7.0000000000000007E-2</v>
      </c>
      <c r="S22" s="60">
        <v>5.8000000000000003E-2</v>
      </c>
      <c r="T22" s="60">
        <v>23.64</v>
      </c>
      <c r="U22" s="60">
        <v>10.28</v>
      </c>
      <c r="V22" s="60">
        <v>3.69</v>
      </c>
      <c r="W22" s="60">
        <v>19.899999999999999</v>
      </c>
      <c r="X22" s="60">
        <v>12.589078109529861</v>
      </c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45505</v>
      </c>
      <c r="F23" s="45"/>
      <c r="G23" s="43" t="s">
        <v>37</v>
      </c>
      <c r="H23" s="72">
        <v>27.02</v>
      </c>
      <c r="I23" s="72">
        <v>7.58</v>
      </c>
      <c r="J23" s="72">
        <v>10.56</v>
      </c>
      <c r="K23" s="73">
        <v>330</v>
      </c>
      <c r="L23" s="59">
        <v>4.5659999999999998</v>
      </c>
      <c r="M23" s="60"/>
      <c r="N23" s="60">
        <v>4.7E-2</v>
      </c>
      <c r="O23" s="60">
        <v>4.0984999999999996</v>
      </c>
      <c r="P23" s="60" t="s">
        <v>124</v>
      </c>
      <c r="Q23" s="60">
        <v>3</v>
      </c>
      <c r="R23" s="60">
        <v>2.4E-2</v>
      </c>
      <c r="S23" s="60">
        <v>8.9999999999999993E-3</v>
      </c>
      <c r="T23" s="60">
        <v>50.16</v>
      </c>
      <c r="U23" s="60">
        <v>10.36</v>
      </c>
      <c r="V23" s="60">
        <v>4.1100000000000003</v>
      </c>
      <c r="W23" s="60">
        <v>23.4</v>
      </c>
      <c r="X23" s="60">
        <v>11.413211776695743</v>
      </c>
      <c r="Y23" s="48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45505</v>
      </c>
      <c r="F24" s="45"/>
      <c r="G24" s="43" t="s">
        <v>37</v>
      </c>
      <c r="H24" s="72">
        <v>25.77</v>
      </c>
      <c r="I24" s="72">
        <v>7.73</v>
      </c>
      <c r="J24" s="72">
        <v>9.8000000000000007</v>
      </c>
      <c r="K24" s="73">
        <v>375</v>
      </c>
      <c r="L24" s="59">
        <v>4.6909999999999998</v>
      </c>
      <c r="M24" s="71"/>
      <c r="N24" s="60">
        <v>8.7999999999999995E-2</v>
      </c>
      <c r="O24" s="60">
        <v>4.3185000000000002</v>
      </c>
      <c r="P24" s="60" t="s">
        <v>124</v>
      </c>
      <c r="Q24" s="60">
        <v>2.5</v>
      </c>
      <c r="R24" s="60">
        <v>4.7E-2</v>
      </c>
      <c r="S24" s="60">
        <v>3.1E-2</v>
      </c>
      <c r="T24" s="60">
        <v>39.164000000000001</v>
      </c>
      <c r="U24" s="60">
        <v>10.029999999999999</v>
      </c>
      <c r="V24" s="60">
        <v>4.93</v>
      </c>
      <c r="W24" s="60">
        <v>28.6</v>
      </c>
      <c r="X24" s="60">
        <v>11.076660320896547</v>
      </c>
      <c r="Y24" s="4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45505</v>
      </c>
      <c r="F25" s="20"/>
      <c r="G25" s="18" t="s">
        <v>37</v>
      </c>
      <c r="H25" s="28">
        <v>27.5</v>
      </c>
      <c r="I25" s="28">
        <v>7.57</v>
      </c>
      <c r="J25" s="28">
        <v>7.16</v>
      </c>
      <c r="K25" s="74">
        <v>237.8</v>
      </c>
      <c r="L25" s="57">
        <v>0.92200000000000004</v>
      </c>
      <c r="M25" s="58"/>
      <c r="N25" s="58">
        <v>8.4000000000000005E-2</v>
      </c>
      <c r="O25" s="58">
        <v>0.626</v>
      </c>
      <c r="P25" s="58" t="s">
        <v>124</v>
      </c>
      <c r="Q25" s="58">
        <v>3</v>
      </c>
      <c r="R25" s="58">
        <v>2.7E-2</v>
      </c>
      <c r="S25" s="58">
        <v>1.6E-2</v>
      </c>
      <c r="T25" s="58">
        <v>8.3125</v>
      </c>
      <c r="U25" s="58">
        <v>7.62</v>
      </c>
      <c r="V25" s="58">
        <v>1.76</v>
      </c>
      <c r="W25" s="58">
        <v>20.399999999999999</v>
      </c>
      <c r="X25" s="58">
        <v>15.598087430779284</v>
      </c>
      <c r="Y25" s="69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45505</v>
      </c>
      <c r="F26" s="23"/>
      <c r="G26" s="18" t="s">
        <v>37</v>
      </c>
      <c r="H26" s="28">
        <v>28.9</v>
      </c>
      <c r="I26" s="28">
        <v>7.29</v>
      </c>
      <c r="J26" s="28">
        <v>6.26</v>
      </c>
      <c r="K26" s="74">
        <v>139.30000000000001</v>
      </c>
      <c r="L26" s="57">
        <v>0.95099999999999996</v>
      </c>
      <c r="M26" s="55"/>
      <c r="N26" s="55">
        <v>7.2999999999999995E-2</v>
      </c>
      <c r="O26" s="55">
        <v>0.64400000000000002</v>
      </c>
      <c r="P26" s="55" t="s">
        <v>124</v>
      </c>
      <c r="Q26" s="55">
        <v>3</v>
      </c>
      <c r="R26" s="55">
        <v>8.1000000000000003E-2</v>
      </c>
      <c r="S26" s="55">
        <v>7.5999999999999998E-2</v>
      </c>
      <c r="T26" s="55">
        <v>8.9124999999999996</v>
      </c>
      <c r="U26" s="55">
        <v>10.94</v>
      </c>
      <c r="V26" s="55">
        <v>3.94</v>
      </c>
      <c r="W26" s="55">
        <v>11.2</v>
      </c>
      <c r="X26" s="55">
        <v>17.738500668438796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45505</v>
      </c>
      <c r="F27" s="23"/>
      <c r="G27" s="18" t="s">
        <v>37</v>
      </c>
      <c r="H27" s="75">
        <v>29.5</v>
      </c>
      <c r="I27" s="75">
        <v>7.39</v>
      </c>
      <c r="J27" s="75">
        <v>7.1</v>
      </c>
      <c r="K27" s="77">
        <v>147</v>
      </c>
      <c r="L27" s="57">
        <v>0.96899999999999997</v>
      </c>
      <c r="M27" s="55"/>
      <c r="N27" s="55">
        <v>5.1999999999999998E-2</v>
      </c>
      <c r="O27" s="55">
        <v>0.64200000000000002</v>
      </c>
      <c r="P27" s="55" t="s">
        <v>124</v>
      </c>
      <c r="Q27" s="55">
        <v>3.1</v>
      </c>
      <c r="R27" s="55">
        <v>6.6000000000000003E-2</v>
      </c>
      <c r="S27" s="55">
        <v>5.7000000000000002E-2</v>
      </c>
      <c r="T27" s="55">
        <v>9.407</v>
      </c>
      <c r="U27" s="55">
        <v>8.89</v>
      </c>
      <c r="V27" s="55">
        <v>2.56</v>
      </c>
      <c r="W27" s="55">
        <v>15.3</v>
      </c>
      <c r="X27" s="55">
        <v>15.572651866179566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45505</v>
      </c>
      <c r="F28" s="20"/>
      <c r="G28" s="18" t="s">
        <v>19</v>
      </c>
      <c r="H28" s="28">
        <v>29.5</v>
      </c>
      <c r="I28" s="28">
        <v>7.31</v>
      </c>
      <c r="J28" s="28">
        <v>7.23</v>
      </c>
      <c r="K28" s="74">
        <v>152.4</v>
      </c>
      <c r="L28" s="57">
        <v>0.95499999999999996</v>
      </c>
      <c r="M28" s="54"/>
      <c r="N28" s="54">
        <v>3.4000000000000002E-2</v>
      </c>
      <c r="O28" s="54">
        <v>0.65</v>
      </c>
      <c r="P28" s="54" t="s">
        <v>124</v>
      </c>
      <c r="Q28" s="54">
        <v>3.5</v>
      </c>
      <c r="R28" s="54">
        <v>6.9000000000000006E-2</v>
      </c>
      <c r="S28" s="54">
        <v>0.06</v>
      </c>
      <c r="T28" s="54">
        <v>9.5294999999999987</v>
      </c>
      <c r="U28" s="54">
        <v>9.6199999999999992</v>
      </c>
      <c r="V28" s="54">
        <v>2.5499999999999998</v>
      </c>
      <c r="W28" s="54">
        <v>14.6</v>
      </c>
      <c r="X28" s="54">
        <v>15.427783680287854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2"/>
  <sheetViews>
    <sheetView zoomScale="80" zoomScaleNormal="80" workbookViewId="0">
      <selection activeCell="E34" sqref="E34"/>
    </sheetView>
  </sheetViews>
  <sheetFormatPr defaultRowHeight="16.5" x14ac:dyDescent="0.3"/>
  <cols>
    <col min="1" max="1" width="7.625" bestFit="1" customWidth="1"/>
    <col min="2" max="3" width="9.5" bestFit="1" customWidth="1"/>
    <col min="4" max="4" width="27.5" bestFit="1" customWidth="1"/>
    <col min="5" max="5" width="12.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39" t="s">
        <v>70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Y1" s="2"/>
    </row>
    <row r="2" spans="1:25" ht="17.25" thickBot="1" x14ac:dyDescent="0.35">
      <c r="Y2" s="3"/>
    </row>
    <row r="3" spans="1:25" ht="26.25" customHeight="1" thickBot="1" x14ac:dyDescent="0.35">
      <c r="A3" s="140" t="s">
        <v>1</v>
      </c>
      <c r="B3" s="142" t="s">
        <v>62</v>
      </c>
      <c r="C3" s="142" t="s">
        <v>63</v>
      </c>
      <c r="D3" s="140" t="s">
        <v>7</v>
      </c>
      <c r="E3" s="144" t="s">
        <v>8</v>
      </c>
      <c r="F3" s="145"/>
      <c r="G3" s="146" t="s">
        <v>9</v>
      </c>
      <c r="H3" s="146"/>
      <c r="I3" s="146"/>
      <c r="J3" s="146"/>
      <c r="K3" s="146"/>
      <c r="L3" s="137" t="s">
        <v>56</v>
      </c>
      <c r="M3" s="138"/>
      <c r="N3" s="138"/>
      <c r="O3" s="138"/>
      <c r="P3" s="138"/>
      <c r="Q3" s="138"/>
      <c r="R3" s="138"/>
      <c r="S3" s="138"/>
      <c r="T3" s="138"/>
      <c r="U3" s="9"/>
      <c r="V3" s="9"/>
      <c r="W3" s="9"/>
      <c r="X3" s="9"/>
      <c r="Y3" s="147" t="s">
        <v>10</v>
      </c>
    </row>
    <row r="4" spans="1:25" ht="33.75" customHeight="1" thickBot="1" x14ac:dyDescent="0.35">
      <c r="A4" s="141"/>
      <c r="B4" s="141"/>
      <c r="C4" s="141"/>
      <c r="D4" s="14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4" t="s">
        <v>55</v>
      </c>
      <c r="T4" s="4" t="s">
        <v>64</v>
      </c>
      <c r="U4" s="4" t="s">
        <v>77</v>
      </c>
      <c r="V4" s="4" t="s">
        <v>78</v>
      </c>
      <c r="W4" s="4" t="s">
        <v>131</v>
      </c>
      <c r="X4" s="10" t="s">
        <v>76</v>
      </c>
      <c r="Y4" s="148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45588</v>
      </c>
      <c r="F5" s="15"/>
      <c r="G5" s="13" t="s">
        <v>19</v>
      </c>
      <c r="H5" s="27">
        <v>15.1</v>
      </c>
      <c r="I5" s="27">
        <v>8.65</v>
      </c>
      <c r="J5" s="27">
        <v>10.7</v>
      </c>
      <c r="K5" s="76">
        <v>120</v>
      </c>
      <c r="L5" s="56">
        <v>2.6930000000000001</v>
      </c>
      <c r="M5" s="53"/>
      <c r="N5" s="53">
        <v>2.4E-2</v>
      </c>
      <c r="O5" s="53">
        <v>1.9605000000000001</v>
      </c>
      <c r="P5" s="53" t="s">
        <v>124</v>
      </c>
      <c r="Q5" s="53">
        <v>2.1</v>
      </c>
      <c r="R5" s="53">
        <v>4.2000000000000003E-2</v>
      </c>
      <c r="S5" s="53">
        <v>3.5999999999999997E-2</v>
      </c>
      <c r="T5" s="53">
        <v>11.442499999999999</v>
      </c>
      <c r="U5" s="53">
        <v>4.92</v>
      </c>
      <c r="V5" s="53">
        <v>0.5</v>
      </c>
      <c r="W5" s="79">
        <v>13.896890898994201</v>
      </c>
      <c r="X5" s="79">
        <v>12.540678624624269</v>
      </c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45588</v>
      </c>
      <c r="F6" s="20"/>
      <c r="G6" s="18" t="s">
        <v>19</v>
      </c>
      <c r="H6" s="28">
        <v>15.57</v>
      </c>
      <c r="I6" s="28">
        <v>7.97</v>
      </c>
      <c r="J6" s="28">
        <v>10.35</v>
      </c>
      <c r="K6" s="74">
        <v>124</v>
      </c>
      <c r="L6" s="57">
        <v>3.1160000000000001</v>
      </c>
      <c r="M6" s="54"/>
      <c r="N6" s="54">
        <v>3.6999999999999998E-2</v>
      </c>
      <c r="O6" s="54">
        <v>2.2409999999999997</v>
      </c>
      <c r="P6" s="54" t="s">
        <v>124</v>
      </c>
      <c r="Q6" s="54">
        <v>2.2999999999999998</v>
      </c>
      <c r="R6" s="54">
        <v>5.0999999999999997E-2</v>
      </c>
      <c r="S6" s="54">
        <v>4.7E-2</v>
      </c>
      <c r="T6" s="54">
        <v>16.421500000000002</v>
      </c>
      <c r="U6" s="54">
        <v>7.29</v>
      </c>
      <c r="V6" s="54">
        <v>0.85</v>
      </c>
      <c r="W6" s="80">
        <v>14.478039120131999</v>
      </c>
      <c r="X6" s="80">
        <v>13.263877628320099</v>
      </c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45588</v>
      </c>
      <c r="F7" s="20"/>
      <c r="G7" s="18" t="s">
        <v>19</v>
      </c>
      <c r="H7" s="28">
        <v>15.6</v>
      </c>
      <c r="I7" s="28">
        <v>7.85</v>
      </c>
      <c r="J7" s="28">
        <v>9.7200000000000006</v>
      </c>
      <c r="K7" s="74">
        <v>130</v>
      </c>
      <c r="L7" s="57">
        <v>3.2490000000000001</v>
      </c>
      <c r="M7" s="54"/>
      <c r="N7" s="54">
        <v>0.129</v>
      </c>
      <c r="O7" s="54">
        <v>2.2270000000000003</v>
      </c>
      <c r="P7" s="54" t="s">
        <v>124</v>
      </c>
      <c r="Q7" s="54">
        <v>2.4</v>
      </c>
      <c r="R7" s="54">
        <v>6.3E-2</v>
      </c>
      <c r="S7" s="54">
        <v>5.8999999999999997E-2</v>
      </c>
      <c r="T7" s="54">
        <v>14.895</v>
      </c>
      <c r="U7" s="58">
        <v>7.41</v>
      </c>
      <c r="V7" s="58">
        <v>0.24</v>
      </c>
      <c r="W7" s="81">
        <v>16.665627912642101</v>
      </c>
      <c r="X7" s="80">
        <v>12.047180254139146</v>
      </c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45588</v>
      </c>
      <c r="F8" s="20"/>
      <c r="G8" s="18" t="s">
        <v>19</v>
      </c>
      <c r="H8" s="28">
        <v>16.11</v>
      </c>
      <c r="I8" s="28">
        <v>7.91</v>
      </c>
      <c r="J8" s="28">
        <v>8.7200000000000006</v>
      </c>
      <c r="K8" s="74">
        <v>136</v>
      </c>
      <c r="L8" s="57">
        <v>3.6030000000000002</v>
      </c>
      <c r="M8" s="54"/>
      <c r="N8" s="54">
        <v>0.52500000000000002</v>
      </c>
      <c r="O8" s="54">
        <v>2.0324999999999998</v>
      </c>
      <c r="P8" s="54" t="s">
        <v>124</v>
      </c>
      <c r="Q8" s="54">
        <v>3</v>
      </c>
      <c r="R8" s="54">
        <v>8.5000000000000006E-2</v>
      </c>
      <c r="S8" s="54">
        <v>7.9000000000000001E-2</v>
      </c>
      <c r="T8" s="54">
        <v>15.514500000000002</v>
      </c>
      <c r="U8" s="55">
        <v>6.89</v>
      </c>
      <c r="V8" s="55">
        <v>7.0000000000000007E-2</v>
      </c>
      <c r="W8" s="82">
        <v>15.4111817894751</v>
      </c>
      <c r="X8" s="82">
        <v>11.63328511248679</v>
      </c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45588</v>
      </c>
      <c r="F9" s="45"/>
      <c r="G9" s="43" t="s">
        <v>19</v>
      </c>
      <c r="H9" s="72">
        <v>18</v>
      </c>
      <c r="I9" s="72">
        <v>7.41</v>
      </c>
      <c r="J9" s="72">
        <v>9.25</v>
      </c>
      <c r="K9" s="73">
        <v>144</v>
      </c>
      <c r="L9" s="59">
        <v>2.1989999999999998</v>
      </c>
      <c r="M9" s="60"/>
      <c r="N9" s="60">
        <v>2.9000000000000001E-2</v>
      </c>
      <c r="O9" s="61">
        <v>1.4805000000000001</v>
      </c>
      <c r="P9" s="61" t="s">
        <v>124</v>
      </c>
      <c r="Q9" s="61">
        <v>3.6</v>
      </c>
      <c r="R9" s="61">
        <v>3.2000000000000001E-2</v>
      </c>
      <c r="S9" s="61">
        <v>2.1000000000000001E-2</v>
      </c>
      <c r="T9" s="61">
        <v>10.387</v>
      </c>
      <c r="U9" s="61">
        <v>2.44</v>
      </c>
      <c r="V9" s="61">
        <v>2.2599999999999998</v>
      </c>
      <c r="W9" s="81">
        <v>12.478927183639099</v>
      </c>
      <c r="X9" s="81">
        <v>16.835534129674812</v>
      </c>
      <c r="Y9" s="4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45588</v>
      </c>
      <c r="F10" s="45"/>
      <c r="G10" s="43" t="s">
        <v>19</v>
      </c>
      <c r="H10" s="72">
        <v>18.100000000000001</v>
      </c>
      <c r="I10" s="72">
        <v>7.22</v>
      </c>
      <c r="J10" s="72">
        <v>8.94</v>
      </c>
      <c r="K10" s="73">
        <v>224</v>
      </c>
      <c r="L10" s="59">
        <v>2.7429999999999999</v>
      </c>
      <c r="M10" s="60"/>
      <c r="N10" s="60">
        <v>0.318</v>
      </c>
      <c r="O10" s="60">
        <v>1.333</v>
      </c>
      <c r="P10" s="60" t="s">
        <v>124</v>
      </c>
      <c r="Q10" s="60">
        <v>5.8</v>
      </c>
      <c r="R10" s="60">
        <v>0.151</v>
      </c>
      <c r="S10" s="60">
        <v>0.14799999999999999</v>
      </c>
      <c r="T10" s="60">
        <v>16.0565</v>
      </c>
      <c r="U10" s="60">
        <v>6.62</v>
      </c>
      <c r="V10" s="60">
        <v>1.68</v>
      </c>
      <c r="W10" s="80">
        <v>19.8380222359106</v>
      </c>
      <c r="X10" s="80">
        <v>10.807556523547534</v>
      </c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45588</v>
      </c>
      <c r="F11" s="45"/>
      <c r="G11" s="43" t="s">
        <v>19</v>
      </c>
      <c r="H11" s="72">
        <v>18.399999999999999</v>
      </c>
      <c r="I11" s="72">
        <v>7.35</v>
      </c>
      <c r="J11" s="72">
        <v>8.35</v>
      </c>
      <c r="K11" s="73">
        <v>250.6</v>
      </c>
      <c r="L11" s="59">
        <v>3.7330000000000001</v>
      </c>
      <c r="M11" s="60"/>
      <c r="N11" s="60">
        <v>0.95799999999999996</v>
      </c>
      <c r="O11" s="60">
        <v>1.5205</v>
      </c>
      <c r="P11" s="60" t="s">
        <v>124</v>
      </c>
      <c r="Q11" s="60">
        <v>6.3</v>
      </c>
      <c r="R11" s="60">
        <v>0.36799999999999999</v>
      </c>
      <c r="S11" s="60">
        <v>0.36299999999999999</v>
      </c>
      <c r="T11" s="60">
        <v>17.060000000000002</v>
      </c>
      <c r="U11" s="60">
        <v>6.79</v>
      </c>
      <c r="V11" s="60">
        <v>0.95</v>
      </c>
      <c r="W11" s="80">
        <v>21.872443846139799</v>
      </c>
      <c r="X11" s="80">
        <v>10.733127034739054</v>
      </c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45588</v>
      </c>
      <c r="F12" s="45"/>
      <c r="G12" s="43" t="s">
        <v>19</v>
      </c>
      <c r="H12" s="72">
        <v>17.600000000000001</v>
      </c>
      <c r="I12" s="72">
        <v>7.45</v>
      </c>
      <c r="J12" s="72">
        <v>8</v>
      </c>
      <c r="K12" s="73">
        <v>628</v>
      </c>
      <c r="L12" s="59">
        <v>22.818999999999999</v>
      </c>
      <c r="M12" s="60"/>
      <c r="N12" s="60">
        <v>19.853000000000002</v>
      </c>
      <c r="O12" s="60">
        <v>0.91850000000000009</v>
      </c>
      <c r="P12" s="60" t="s">
        <v>124</v>
      </c>
      <c r="Q12" s="60">
        <v>16.600000000000001</v>
      </c>
      <c r="R12" s="60">
        <v>5.3639999999999999</v>
      </c>
      <c r="S12" s="60">
        <v>5.3250000000000002</v>
      </c>
      <c r="T12" s="60">
        <v>36.055499999999995</v>
      </c>
      <c r="U12" s="60">
        <v>10.32</v>
      </c>
      <c r="V12" s="60">
        <v>4.21</v>
      </c>
      <c r="W12" s="80">
        <v>41.067101062067003</v>
      </c>
      <c r="X12" s="80">
        <v>11.005440024430158</v>
      </c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45588</v>
      </c>
      <c r="F13" s="45"/>
      <c r="G13" s="43" t="s">
        <v>19</v>
      </c>
      <c r="H13" s="72">
        <v>18.899999999999999</v>
      </c>
      <c r="I13" s="72">
        <v>7.3</v>
      </c>
      <c r="J13" s="72">
        <v>7.29</v>
      </c>
      <c r="K13" s="73">
        <v>382.4</v>
      </c>
      <c r="L13" s="59">
        <v>10.385</v>
      </c>
      <c r="M13" s="60"/>
      <c r="N13" s="60">
        <v>5.8640000000000008</v>
      </c>
      <c r="O13" s="60">
        <v>2.3380000000000001</v>
      </c>
      <c r="P13" s="60" t="s">
        <v>124</v>
      </c>
      <c r="Q13" s="60">
        <v>10.4</v>
      </c>
      <c r="R13" s="60">
        <v>1.9510000000000001</v>
      </c>
      <c r="S13" s="60">
        <v>1.948</v>
      </c>
      <c r="T13" s="60">
        <v>24.9405</v>
      </c>
      <c r="U13" s="62">
        <v>6.19</v>
      </c>
      <c r="V13" s="62">
        <v>-0.22</v>
      </c>
      <c r="W13" s="82">
        <v>30.251724412158602</v>
      </c>
      <c r="X13" s="82">
        <v>10.766736109423746</v>
      </c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45588</v>
      </c>
      <c r="F14" s="20"/>
      <c r="G14" s="18" t="s">
        <v>19</v>
      </c>
      <c r="H14" s="28">
        <v>18.75</v>
      </c>
      <c r="I14" s="28">
        <v>8.0399999999999991</v>
      </c>
      <c r="J14" s="28">
        <v>8.4</v>
      </c>
      <c r="K14" s="74">
        <v>162.1</v>
      </c>
      <c r="L14" s="57">
        <v>2.5569999999999999</v>
      </c>
      <c r="M14" s="54"/>
      <c r="N14" s="54">
        <v>8.3000000000000004E-2</v>
      </c>
      <c r="O14" s="58">
        <v>1.6985000000000001</v>
      </c>
      <c r="P14" s="58" t="s">
        <v>124</v>
      </c>
      <c r="Q14" s="58">
        <v>3.6</v>
      </c>
      <c r="R14" s="58">
        <v>0.109</v>
      </c>
      <c r="S14" s="58">
        <v>0.10199999999999999</v>
      </c>
      <c r="T14" s="58">
        <v>7.942499999999999</v>
      </c>
      <c r="U14" s="58">
        <v>4.51</v>
      </c>
      <c r="V14" s="58">
        <v>-0.12</v>
      </c>
      <c r="W14" s="81">
        <v>13.9363082505633</v>
      </c>
      <c r="X14" s="81">
        <v>13.179953300936075</v>
      </c>
      <c r="Y14" s="21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45588</v>
      </c>
      <c r="F15" s="20"/>
      <c r="G15" s="18" t="s">
        <v>19</v>
      </c>
      <c r="H15" s="28">
        <v>18.510000000000002</v>
      </c>
      <c r="I15" s="28">
        <v>7.53</v>
      </c>
      <c r="J15" s="28">
        <v>9.2100000000000009</v>
      </c>
      <c r="K15" s="74">
        <v>129.69999999999999</v>
      </c>
      <c r="L15" s="57">
        <v>2.4590000000000001</v>
      </c>
      <c r="M15" s="54"/>
      <c r="N15" s="54">
        <v>7.9000000000000001E-2</v>
      </c>
      <c r="O15" s="54">
        <v>1.645</v>
      </c>
      <c r="P15" s="54" t="s">
        <v>124</v>
      </c>
      <c r="Q15" s="54">
        <v>3.8</v>
      </c>
      <c r="R15" s="54">
        <v>9.4E-2</v>
      </c>
      <c r="S15" s="54">
        <v>9.0999999999999998E-2</v>
      </c>
      <c r="T15" s="54">
        <v>6.9145000000000003</v>
      </c>
      <c r="U15" s="54">
        <v>4.25</v>
      </c>
      <c r="V15" s="54">
        <v>-0.15</v>
      </c>
      <c r="W15" s="80">
        <v>13.131399058966799</v>
      </c>
      <c r="X15" s="80">
        <v>12.963878245020599</v>
      </c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45588</v>
      </c>
      <c r="F16" s="20"/>
      <c r="G16" s="18" t="s">
        <v>19</v>
      </c>
      <c r="H16" s="28">
        <v>18.54</v>
      </c>
      <c r="I16" s="28">
        <v>7.41</v>
      </c>
      <c r="J16" s="28">
        <v>9.1</v>
      </c>
      <c r="K16" s="74">
        <v>129.19999999999999</v>
      </c>
      <c r="L16" s="57">
        <v>2.512</v>
      </c>
      <c r="M16" s="54"/>
      <c r="N16" s="54">
        <v>8.1000000000000003E-2</v>
      </c>
      <c r="O16" s="54">
        <v>1.6515</v>
      </c>
      <c r="P16" s="54" t="s">
        <v>124</v>
      </c>
      <c r="Q16" s="54">
        <v>3.9</v>
      </c>
      <c r="R16" s="54">
        <v>0.104</v>
      </c>
      <c r="S16" s="54">
        <v>0.1</v>
      </c>
      <c r="T16" s="54">
        <v>7.3150000000000004</v>
      </c>
      <c r="U16" s="54">
        <v>4.5199999999999996</v>
      </c>
      <c r="V16" s="54">
        <v>0.03</v>
      </c>
      <c r="W16" s="80">
        <v>13.296192473170199</v>
      </c>
      <c r="X16" s="80">
        <v>12.545742995491826</v>
      </c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45588</v>
      </c>
      <c r="F17" s="20"/>
      <c r="G17" s="18" t="s">
        <v>37</v>
      </c>
      <c r="H17" s="28">
        <v>18.12</v>
      </c>
      <c r="I17" s="28">
        <v>7.5</v>
      </c>
      <c r="J17" s="28">
        <v>8.5500000000000007</v>
      </c>
      <c r="K17" s="74">
        <v>178.2</v>
      </c>
      <c r="L17" s="57">
        <v>3.1709999999999998</v>
      </c>
      <c r="M17" s="54"/>
      <c r="N17" s="54">
        <v>4.2000000000000003E-2</v>
      </c>
      <c r="O17" s="54">
        <v>2.2839999999999998</v>
      </c>
      <c r="P17" s="54" t="s">
        <v>124</v>
      </c>
      <c r="Q17" s="54">
        <v>3.4</v>
      </c>
      <c r="R17" s="54">
        <v>5.7000000000000002E-2</v>
      </c>
      <c r="S17" s="54">
        <v>5.2999999999999999E-2</v>
      </c>
      <c r="T17" s="54">
        <v>8.702</v>
      </c>
      <c r="U17" s="54">
        <v>6.03</v>
      </c>
      <c r="V17" s="54">
        <v>2.27</v>
      </c>
      <c r="W17" s="80">
        <v>14.416243499966001</v>
      </c>
      <c r="X17" s="80">
        <v>18.021246428732596</v>
      </c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45588</v>
      </c>
      <c r="F18" s="20"/>
      <c r="G18" s="18" t="s">
        <v>37</v>
      </c>
      <c r="H18" s="28">
        <v>19.21</v>
      </c>
      <c r="I18" s="28">
        <v>7.39</v>
      </c>
      <c r="J18" s="28">
        <v>8.67</v>
      </c>
      <c r="K18" s="74">
        <v>210.6</v>
      </c>
      <c r="L18" s="57">
        <v>2.7530000000000001</v>
      </c>
      <c r="M18" s="54"/>
      <c r="N18" s="54">
        <v>0.14599999999999999</v>
      </c>
      <c r="O18" s="54">
        <v>1.7270000000000001</v>
      </c>
      <c r="P18" s="54" t="s">
        <v>124</v>
      </c>
      <c r="Q18" s="54">
        <v>4.3</v>
      </c>
      <c r="R18" s="54">
        <v>0.104</v>
      </c>
      <c r="S18" s="54">
        <v>0.10199999999999999</v>
      </c>
      <c r="T18" s="54">
        <v>23.999499999999998</v>
      </c>
      <c r="U18" s="54">
        <v>7.46</v>
      </c>
      <c r="V18" s="54">
        <v>1.76</v>
      </c>
      <c r="W18" s="80">
        <v>19.719071532803198</v>
      </c>
      <c r="X18" s="80">
        <v>10.180838082554878</v>
      </c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45588</v>
      </c>
      <c r="F19" s="20"/>
      <c r="G19" s="18" t="s">
        <v>37</v>
      </c>
      <c r="H19" s="28">
        <v>17.829999999999998</v>
      </c>
      <c r="I19" s="28">
        <v>7.41</v>
      </c>
      <c r="J19" s="28">
        <v>8.3000000000000007</v>
      </c>
      <c r="K19" s="74">
        <v>163.6</v>
      </c>
      <c r="L19" s="57">
        <v>3.0859999999999999</v>
      </c>
      <c r="M19" s="54"/>
      <c r="N19" s="54">
        <v>4.7E-2</v>
      </c>
      <c r="O19" s="54">
        <v>2.1865000000000001</v>
      </c>
      <c r="P19" s="54" t="s">
        <v>124</v>
      </c>
      <c r="Q19" s="54">
        <v>3.7</v>
      </c>
      <c r="R19" s="54">
        <v>8.4000000000000005E-2</v>
      </c>
      <c r="S19" s="54">
        <v>8.2000000000000003E-2</v>
      </c>
      <c r="T19" s="54">
        <v>8.6959999999999997</v>
      </c>
      <c r="U19" s="55">
        <v>6.17</v>
      </c>
      <c r="V19" s="55">
        <v>3.08</v>
      </c>
      <c r="W19" s="82">
        <v>14.7076795328604</v>
      </c>
      <c r="X19" s="82">
        <v>17.150613858736342</v>
      </c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45588</v>
      </c>
      <c r="F20" s="45"/>
      <c r="G20" s="43" t="s">
        <v>37</v>
      </c>
      <c r="H20" s="72">
        <v>18.39</v>
      </c>
      <c r="I20" s="72">
        <v>7.21</v>
      </c>
      <c r="J20" s="72">
        <v>9.02</v>
      </c>
      <c r="K20" s="73">
        <v>190.6</v>
      </c>
      <c r="L20" s="59">
        <v>1.8859999999999999</v>
      </c>
      <c r="M20" s="60"/>
      <c r="N20" s="60">
        <v>0.13500000000000001</v>
      </c>
      <c r="O20" s="61">
        <v>1.0305</v>
      </c>
      <c r="P20" s="61" t="s">
        <v>124</v>
      </c>
      <c r="Q20" s="61">
        <v>5.6</v>
      </c>
      <c r="R20" s="61">
        <v>9.7000000000000003E-2</v>
      </c>
      <c r="S20" s="61">
        <v>8.5999999999999993E-2</v>
      </c>
      <c r="T20" s="61">
        <v>10.555499999999999</v>
      </c>
      <c r="U20" s="61">
        <v>7.54</v>
      </c>
      <c r="V20" s="61">
        <v>2.2400000000000002</v>
      </c>
      <c r="W20" s="81">
        <v>20.4383980390277</v>
      </c>
      <c r="X20" s="81">
        <v>11.234785168073468</v>
      </c>
      <c r="Y20" s="4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45588</v>
      </c>
      <c r="F21" s="45"/>
      <c r="G21" s="43" t="s">
        <v>37</v>
      </c>
      <c r="H21" s="72">
        <v>19.93</v>
      </c>
      <c r="I21" s="72">
        <v>7.7</v>
      </c>
      <c r="J21" s="72">
        <v>255.4</v>
      </c>
      <c r="K21" s="73">
        <v>9.01</v>
      </c>
      <c r="L21" s="59">
        <v>2.83</v>
      </c>
      <c r="M21" s="60"/>
      <c r="N21" s="60">
        <v>0.10100000000000001</v>
      </c>
      <c r="O21" s="60">
        <v>1.7450000000000001</v>
      </c>
      <c r="P21" s="60" t="s">
        <v>124</v>
      </c>
      <c r="Q21" s="60">
        <v>5.3</v>
      </c>
      <c r="R21" s="60">
        <v>0.105</v>
      </c>
      <c r="S21" s="60">
        <v>9.6000000000000002E-2</v>
      </c>
      <c r="T21" s="60">
        <v>22.067</v>
      </c>
      <c r="U21" s="60">
        <v>9.83</v>
      </c>
      <c r="V21" s="60">
        <v>3.15</v>
      </c>
      <c r="W21" s="80">
        <v>24.9304068138484</v>
      </c>
      <c r="X21" s="80">
        <v>10.542530191905319</v>
      </c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45588</v>
      </c>
      <c r="F22" s="45"/>
      <c r="G22" s="43" t="s">
        <v>37</v>
      </c>
      <c r="H22" s="72">
        <v>18.97</v>
      </c>
      <c r="I22" s="72">
        <v>7.69</v>
      </c>
      <c r="J22" s="72">
        <v>8.99</v>
      </c>
      <c r="K22" s="73">
        <v>234.7</v>
      </c>
      <c r="L22" s="59">
        <v>2.6110000000000002</v>
      </c>
      <c r="M22" s="60"/>
      <c r="N22" s="60">
        <v>0.106</v>
      </c>
      <c r="O22" s="60">
        <v>1.5609999999999999</v>
      </c>
      <c r="P22" s="60" t="s">
        <v>124</v>
      </c>
      <c r="Q22" s="60">
        <v>5.7</v>
      </c>
      <c r="R22" s="60">
        <v>0.13700000000000001</v>
      </c>
      <c r="S22" s="60">
        <v>0.129</v>
      </c>
      <c r="T22" s="60">
        <v>20.6435</v>
      </c>
      <c r="U22" s="60">
        <v>9.56</v>
      </c>
      <c r="V22" s="60">
        <v>3.01</v>
      </c>
      <c r="W22" s="80">
        <v>25.022152480684799</v>
      </c>
      <c r="X22" s="80">
        <v>10.068759635196821</v>
      </c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45588</v>
      </c>
      <c r="F23" s="45"/>
      <c r="G23" s="43" t="s">
        <v>37</v>
      </c>
      <c r="H23" s="72">
        <v>20.81</v>
      </c>
      <c r="I23" s="72">
        <v>7.62</v>
      </c>
      <c r="J23" s="72">
        <v>8.7799999999999994</v>
      </c>
      <c r="K23" s="73">
        <v>320</v>
      </c>
      <c r="L23" s="59">
        <v>3.3330000000000002</v>
      </c>
      <c r="M23" s="60"/>
      <c r="N23" s="60">
        <v>6.7000000000000004E-2</v>
      </c>
      <c r="O23" s="60">
        <v>2.1850000000000001</v>
      </c>
      <c r="P23" s="60" t="s">
        <v>124</v>
      </c>
      <c r="Q23" s="60">
        <v>3.9</v>
      </c>
      <c r="R23" s="60">
        <v>5.2999999999999999E-2</v>
      </c>
      <c r="S23" s="60">
        <v>4.5999999999999999E-2</v>
      </c>
      <c r="T23" s="60">
        <v>31.6935</v>
      </c>
      <c r="U23" s="60">
        <v>11.13</v>
      </c>
      <c r="V23" s="60">
        <v>3.91</v>
      </c>
      <c r="W23" s="80">
        <v>25.077982302351799</v>
      </c>
      <c r="X23" s="80">
        <v>11.303881480634658</v>
      </c>
      <c r="Y23" s="48"/>
    </row>
    <row r="24" spans="1:25" s="7" customFormat="1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45588</v>
      </c>
      <c r="F24" s="45"/>
      <c r="G24" s="43" t="s">
        <v>37</v>
      </c>
      <c r="H24" s="72">
        <v>18.41</v>
      </c>
      <c r="I24" s="72">
        <v>7.35</v>
      </c>
      <c r="J24" s="72">
        <v>9.0500000000000007</v>
      </c>
      <c r="K24" s="73">
        <v>300.7</v>
      </c>
      <c r="L24" s="59">
        <v>2.641</v>
      </c>
      <c r="M24" s="60"/>
      <c r="N24" s="60">
        <v>0.115</v>
      </c>
      <c r="O24" s="60">
        <v>1.6564999999999999</v>
      </c>
      <c r="P24" s="60" t="s">
        <v>124</v>
      </c>
      <c r="Q24" s="60">
        <v>4.3</v>
      </c>
      <c r="R24" s="60">
        <v>8.2000000000000003E-2</v>
      </c>
      <c r="S24" s="60">
        <v>7.5999999999999998E-2</v>
      </c>
      <c r="T24" s="60">
        <v>31.116499999999998</v>
      </c>
      <c r="U24" s="62">
        <v>9.23</v>
      </c>
      <c r="V24" s="62">
        <v>4.6900000000000004</v>
      </c>
      <c r="W24" s="83">
        <v>24.9451619893808</v>
      </c>
      <c r="X24" s="83">
        <v>10.464918431610126</v>
      </c>
      <c r="Y24" s="7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45588</v>
      </c>
      <c r="F25" s="20"/>
      <c r="G25" s="18" t="s">
        <v>37</v>
      </c>
      <c r="H25" s="28">
        <v>18.399999999999999</v>
      </c>
      <c r="I25" s="28">
        <v>7.91</v>
      </c>
      <c r="J25" s="28">
        <v>8.93</v>
      </c>
      <c r="K25" s="74">
        <v>181</v>
      </c>
      <c r="L25" s="57">
        <v>2.6739999999999999</v>
      </c>
      <c r="M25" s="54"/>
      <c r="N25" s="54">
        <v>7.9000000000000001E-2</v>
      </c>
      <c r="O25" s="58">
        <v>1.871</v>
      </c>
      <c r="P25" s="58" t="s">
        <v>124</v>
      </c>
      <c r="Q25" s="58">
        <v>3.2</v>
      </c>
      <c r="R25" s="58">
        <v>2.9000000000000001E-2</v>
      </c>
      <c r="S25" s="58">
        <v>2.1000000000000001E-2</v>
      </c>
      <c r="T25" s="58">
        <v>7.4284999999999997</v>
      </c>
      <c r="U25" s="58">
        <v>3.22</v>
      </c>
      <c r="V25" s="58">
        <v>0.83</v>
      </c>
      <c r="W25" s="81">
        <v>12.410130218106501</v>
      </c>
      <c r="X25" s="81">
        <v>17.705643726059094</v>
      </c>
      <c r="Y25" s="21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45588</v>
      </c>
      <c r="F26" s="23"/>
      <c r="G26" s="18" t="s">
        <v>37</v>
      </c>
      <c r="H26" s="28">
        <v>18.3</v>
      </c>
      <c r="I26" s="28">
        <v>7.51</v>
      </c>
      <c r="J26" s="28">
        <v>8.6</v>
      </c>
      <c r="K26" s="74">
        <v>185.4</v>
      </c>
      <c r="L26" s="57">
        <v>2.778</v>
      </c>
      <c r="M26" s="55"/>
      <c r="N26" s="55">
        <v>0.115</v>
      </c>
      <c r="O26" s="55">
        <v>1.7544999999999999</v>
      </c>
      <c r="P26" s="55" t="s">
        <v>124</v>
      </c>
      <c r="Q26" s="55">
        <v>4.9000000000000004</v>
      </c>
      <c r="R26" s="55">
        <v>0.14899999999999999</v>
      </c>
      <c r="S26" s="55">
        <v>0.14000000000000001</v>
      </c>
      <c r="T26" s="55">
        <v>9.4600000000000009</v>
      </c>
      <c r="U26" s="55">
        <v>6.15</v>
      </c>
      <c r="V26" s="55">
        <v>0.99</v>
      </c>
      <c r="W26" s="82">
        <v>19.3256304546188</v>
      </c>
      <c r="X26" s="82">
        <v>10.233065857295609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45588</v>
      </c>
      <c r="F27" s="23"/>
      <c r="G27" s="18" t="s">
        <v>37</v>
      </c>
      <c r="H27" s="75">
        <v>18.3</v>
      </c>
      <c r="I27" s="75">
        <v>7.37</v>
      </c>
      <c r="J27" s="75">
        <v>8.8699999999999992</v>
      </c>
      <c r="K27" s="77">
        <v>183.8</v>
      </c>
      <c r="L27" s="57">
        <v>2.66</v>
      </c>
      <c r="M27" s="55"/>
      <c r="N27" s="55">
        <v>0.113</v>
      </c>
      <c r="O27" s="54">
        <v>1.6604999999999999</v>
      </c>
      <c r="P27" s="54" t="s">
        <v>124</v>
      </c>
      <c r="Q27" s="54">
        <v>5.2</v>
      </c>
      <c r="R27" s="54">
        <v>0.155</v>
      </c>
      <c r="S27" s="54">
        <v>0.14299999999999999</v>
      </c>
      <c r="T27" s="54">
        <v>9.8264999999999993</v>
      </c>
      <c r="U27" s="55">
        <v>6.28</v>
      </c>
      <c r="V27" s="55">
        <v>0.74</v>
      </c>
      <c r="W27" s="82">
        <v>21.072021411688301</v>
      </c>
      <c r="X27" s="82">
        <v>9.538197315477948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45588</v>
      </c>
      <c r="F28" s="20"/>
      <c r="G28" s="18" t="s">
        <v>19</v>
      </c>
      <c r="H28" s="28">
        <v>18.399999999999999</v>
      </c>
      <c r="I28" s="28">
        <v>7.3</v>
      </c>
      <c r="J28" s="28">
        <v>8.7100000000000009</v>
      </c>
      <c r="K28" s="74">
        <v>188.2</v>
      </c>
      <c r="L28" s="57">
        <v>2.65</v>
      </c>
      <c r="M28" s="54"/>
      <c r="N28" s="54">
        <v>9.7000000000000003E-2</v>
      </c>
      <c r="O28" s="54">
        <v>1.6549999999999998</v>
      </c>
      <c r="P28" s="54" t="s">
        <v>124</v>
      </c>
      <c r="Q28" s="54">
        <v>5.2</v>
      </c>
      <c r="R28" s="54">
        <v>0.16600000000000001</v>
      </c>
      <c r="S28" s="54">
        <v>0.155</v>
      </c>
      <c r="T28" s="54">
        <v>10.079000000000001</v>
      </c>
      <c r="U28" s="54">
        <v>6.47</v>
      </c>
      <c r="V28" s="54">
        <v>0.7</v>
      </c>
      <c r="W28" s="80">
        <v>21.213029806404801</v>
      </c>
      <c r="X28" s="80">
        <v>9.3239794663101954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254"/>
  <sheetViews>
    <sheetView tabSelected="1" topLeftCell="U1" zoomScale="80" zoomScaleNormal="80" workbookViewId="0">
      <selection activeCell="AA5" sqref="AA5"/>
    </sheetView>
  </sheetViews>
  <sheetFormatPr defaultRowHeight="16.5" x14ac:dyDescent="0.3"/>
  <cols>
    <col min="1" max="1" width="7.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52" ht="18" thickBot="1" x14ac:dyDescent="0.35">
      <c r="Z1" s="130" t="s">
        <v>178</v>
      </c>
      <c r="AA1" s="132" t="s">
        <v>130</v>
      </c>
      <c r="AB1" s="133" t="s">
        <v>78</v>
      </c>
      <c r="AC1" s="130"/>
      <c r="AD1" s="130" t="s">
        <v>179</v>
      </c>
      <c r="AE1" s="132" t="s">
        <v>130</v>
      </c>
      <c r="AF1" s="133" t="s">
        <v>78</v>
      </c>
      <c r="AG1" s="130"/>
      <c r="AH1" s="130" t="s">
        <v>180</v>
      </c>
      <c r="AI1" s="132" t="s">
        <v>130</v>
      </c>
      <c r="AJ1" s="133" t="s">
        <v>78</v>
      </c>
      <c r="AK1" s="130"/>
      <c r="AL1" s="130" t="s">
        <v>181</v>
      </c>
      <c r="AM1" s="132" t="s">
        <v>130</v>
      </c>
      <c r="AN1" s="133" t="s">
        <v>78</v>
      </c>
      <c r="AO1" s="130"/>
      <c r="AP1" s="130" t="s">
        <v>182</v>
      </c>
      <c r="AQ1" s="132" t="s">
        <v>130</v>
      </c>
      <c r="AR1" s="133" t="s">
        <v>78</v>
      </c>
    </row>
    <row r="2" spans="1:52" x14ac:dyDescent="0.3">
      <c r="Z2" s="130" t="s">
        <v>1326</v>
      </c>
      <c r="AA2" s="130">
        <v>14.393076923076922</v>
      </c>
      <c r="AB2" s="130">
        <v>3.0961538461538463</v>
      </c>
      <c r="AC2" s="130"/>
      <c r="AD2" s="130" t="s">
        <v>1326</v>
      </c>
      <c r="AE2" s="130">
        <v>16.518750000000001</v>
      </c>
      <c r="AF2" s="130">
        <v>7.1087500000000006</v>
      </c>
      <c r="AG2" s="130"/>
      <c r="AH2" s="130" t="s">
        <v>1326</v>
      </c>
      <c r="AI2" s="130">
        <v>1.0669999999999999</v>
      </c>
      <c r="AJ2" s="130">
        <v>9.8279999999999994</v>
      </c>
      <c r="AK2" s="130"/>
      <c r="AL2" s="130" t="s">
        <v>1326</v>
      </c>
      <c r="AM2" s="130">
        <v>1.71</v>
      </c>
      <c r="AN2" s="130">
        <v>45.81</v>
      </c>
      <c r="AO2" s="130"/>
      <c r="AP2" s="130" t="s">
        <v>1326</v>
      </c>
      <c r="AQ2" s="130">
        <v>3.2174999999999998</v>
      </c>
      <c r="AR2" s="130">
        <v>2.1549999999999998</v>
      </c>
    </row>
    <row r="3" spans="1:52" ht="26.25" customHeight="1" x14ac:dyDescent="0.3">
      <c r="Z3" s="130" t="s">
        <v>1327</v>
      </c>
      <c r="AA3" s="130">
        <v>4.6701059670621854</v>
      </c>
      <c r="AB3" s="130">
        <v>2.3733750176402744</v>
      </c>
      <c r="AC3" s="130"/>
      <c r="AD3" s="130" t="s">
        <v>1327</v>
      </c>
      <c r="AE3" s="130">
        <v>6.2245522383687808</v>
      </c>
      <c r="AF3" s="130">
        <v>4.8294946681821687</v>
      </c>
      <c r="AG3" s="130"/>
      <c r="AH3" s="130" t="s">
        <v>1327</v>
      </c>
      <c r="AI3" s="130">
        <v>0.488794435320207</v>
      </c>
      <c r="AJ3" s="130">
        <v>5.2026454809068055</v>
      </c>
      <c r="AK3" s="130"/>
      <c r="AL3" s="130" t="s">
        <v>1327</v>
      </c>
      <c r="AM3" s="130">
        <v>1.5603845679831623</v>
      </c>
      <c r="AN3" s="130">
        <v>5.7261068798966068</v>
      </c>
      <c r="AO3" s="130"/>
      <c r="AP3" s="130" t="s">
        <v>1327</v>
      </c>
      <c r="AQ3" s="130">
        <v>2.1496228905155834</v>
      </c>
      <c r="AR3" s="130">
        <v>3.8310349217187487</v>
      </c>
    </row>
    <row r="4" spans="1:52" ht="33.75" customHeight="1" x14ac:dyDescent="0.3">
      <c r="Y4" s="5" t="s">
        <v>1349</v>
      </c>
    </row>
    <row r="5" spans="1:52" ht="29.25" customHeight="1" x14ac:dyDescent="0.3">
      <c r="A5" s="139" t="s">
        <v>71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Y5" s="2"/>
    </row>
    <row r="6" spans="1:52" ht="20.100000000000001" customHeight="1" thickBot="1" x14ac:dyDescent="0.35">
      <c r="Y6" s="3"/>
      <c r="AG6" t="s">
        <v>328</v>
      </c>
      <c r="AI6" t="s">
        <v>329</v>
      </c>
    </row>
    <row r="7" spans="1:52" ht="20.100000000000001" customHeight="1" thickBot="1" x14ac:dyDescent="0.35">
      <c r="A7" s="142" t="s">
        <v>1</v>
      </c>
      <c r="B7" s="142" t="s">
        <v>62</v>
      </c>
      <c r="C7" s="142" t="s">
        <v>63</v>
      </c>
      <c r="D7" s="142" t="s">
        <v>7</v>
      </c>
      <c r="E7" s="150" t="s">
        <v>8</v>
      </c>
      <c r="F7" s="151"/>
      <c r="G7" s="137" t="s">
        <v>9</v>
      </c>
      <c r="H7" s="138"/>
      <c r="I7" s="138"/>
      <c r="J7" s="138"/>
      <c r="K7" s="149"/>
      <c r="L7" s="137" t="s">
        <v>56</v>
      </c>
      <c r="M7" s="138"/>
      <c r="N7" s="138"/>
      <c r="O7" s="138"/>
      <c r="P7" s="138"/>
      <c r="Q7" s="138"/>
      <c r="R7" s="138"/>
      <c r="S7" s="138"/>
      <c r="T7" s="138"/>
      <c r="U7" s="9"/>
      <c r="V7" s="9"/>
      <c r="W7" s="9"/>
      <c r="X7" s="9"/>
      <c r="Y7" s="147" t="s">
        <v>10</v>
      </c>
      <c r="Z7" s="114" t="s">
        <v>327</v>
      </c>
      <c r="AE7">
        <v>100</v>
      </c>
      <c r="AG7" s="114" t="s">
        <v>1338</v>
      </c>
      <c r="AL7">
        <v>100</v>
      </c>
      <c r="AN7" s="114" t="s">
        <v>1339</v>
      </c>
      <c r="AS7">
        <v>100</v>
      </c>
      <c r="AU7" s="114" t="s">
        <v>1341</v>
      </c>
      <c r="AZ7">
        <v>100</v>
      </c>
    </row>
    <row r="8" spans="1:52" ht="20.100000000000001" customHeight="1" thickBot="1" x14ac:dyDescent="0.35">
      <c r="A8" s="141"/>
      <c r="B8" s="141"/>
      <c r="C8" s="141"/>
      <c r="D8" s="141"/>
      <c r="E8" s="1" t="s">
        <v>0</v>
      </c>
      <c r="F8" s="4" t="s">
        <v>11</v>
      </c>
      <c r="G8" s="4" t="s">
        <v>12</v>
      </c>
      <c r="H8" s="4" t="s">
        <v>13</v>
      </c>
      <c r="I8" s="4" t="s">
        <v>14</v>
      </c>
      <c r="J8" s="51" t="s">
        <v>15</v>
      </c>
      <c r="K8" s="51" t="s">
        <v>16</v>
      </c>
      <c r="L8" s="51" t="s">
        <v>6</v>
      </c>
      <c r="M8" s="51" t="s">
        <v>51</v>
      </c>
      <c r="N8" s="51" t="s">
        <v>125</v>
      </c>
      <c r="O8" s="51" t="s">
        <v>126</v>
      </c>
      <c r="P8" s="51" t="s">
        <v>127</v>
      </c>
      <c r="Q8" s="51" t="s">
        <v>53</v>
      </c>
      <c r="R8" s="51" t="s">
        <v>54</v>
      </c>
      <c r="S8" s="51" t="s">
        <v>128</v>
      </c>
      <c r="T8" s="51" t="s">
        <v>129</v>
      </c>
      <c r="U8" s="51" t="s">
        <v>130</v>
      </c>
      <c r="V8" s="4" t="s">
        <v>78</v>
      </c>
      <c r="W8" s="4" t="s">
        <v>131</v>
      </c>
      <c r="X8" s="10" t="s">
        <v>76</v>
      </c>
      <c r="Y8" s="148"/>
      <c r="Z8" s="114" t="s">
        <v>178</v>
      </c>
      <c r="AA8" s="114" t="s">
        <v>179</v>
      </c>
      <c r="AB8" s="114" t="s">
        <v>180</v>
      </c>
      <c r="AC8" s="114" t="s">
        <v>181</v>
      </c>
      <c r="AD8" s="114" t="s">
        <v>182</v>
      </c>
      <c r="AE8" s="115" t="s">
        <v>326</v>
      </c>
      <c r="AG8" s="114" t="s">
        <v>178</v>
      </c>
      <c r="AH8" s="114" t="s">
        <v>179</v>
      </c>
      <c r="AI8" s="114" t="s">
        <v>180</v>
      </c>
      <c r="AJ8" s="114" t="s">
        <v>181</v>
      </c>
      <c r="AK8" s="114" t="s">
        <v>182</v>
      </c>
      <c r="AL8" s="115" t="s">
        <v>326</v>
      </c>
      <c r="AN8" s="114" t="s">
        <v>178</v>
      </c>
      <c r="AO8" s="114" t="s">
        <v>179</v>
      </c>
      <c r="AP8" s="114" t="s">
        <v>180</v>
      </c>
      <c r="AQ8" s="114" t="s">
        <v>181</v>
      </c>
      <c r="AR8" s="114" t="s">
        <v>182</v>
      </c>
      <c r="AS8" s="115" t="s">
        <v>326</v>
      </c>
      <c r="AU8" s="114" t="s">
        <v>178</v>
      </c>
      <c r="AV8" s="114" t="s">
        <v>179</v>
      </c>
      <c r="AW8" s="114" t="s">
        <v>180</v>
      </c>
      <c r="AX8" s="114" t="s">
        <v>181</v>
      </c>
      <c r="AY8" s="114" t="s">
        <v>182</v>
      </c>
      <c r="AZ8" s="115" t="s">
        <v>326</v>
      </c>
    </row>
    <row r="9" spans="1:52" ht="20.100000000000001" customHeight="1" x14ac:dyDescent="0.3">
      <c r="A9" s="11">
        <v>1</v>
      </c>
      <c r="B9" s="12" t="s">
        <v>17</v>
      </c>
      <c r="C9" s="12" t="s">
        <v>17</v>
      </c>
      <c r="D9" s="13" t="s">
        <v>18</v>
      </c>
      <c r="E9" s="36">
        <v>45554</v>
      </c>
      <c r="F9" s="15"/>
      <c r="G9" s="13" t="s">
        <v>19</v>
      </c>
      <c r="H9" s="27">
        <v>29.1</v>
      </c>
      <c r="I9" s="27">
        <v>7.79</v>
      </c>
      <c r="J9" s="27">
        <v>7.41</v>
      </c>
      <c r="K9" s="76">
        <v>213</v>
      </c>
      <c r="L9" s="56"/>
      <c r="M9" s="53"/>
      <c r="N9" s="53"/>
      <c r="O9" s="53">
        <v>0.79800000000000004</v>
      </c>
      <c r="P9" s="53"/>
      <c r="Q9" s="53"/>
      <c r="R9" s="53"/>
      <c r="S9" s="53"/>
      <c r="T9" s="53">
        <v>19.614999999999998</v>
      </c>
      <c r="U9" s="53">
        <v>8.39</v>
      </c>
      <c r="V9" s="53">
        <v>-1.28</v>
      </c>
      <c r="W9" s="84">
        <v>27.662456528967201</v>
      </c>
      <c r="X9" s="84">
        <v>4.8610379223890661</v>
      </c>
      <c r="Y9" s="16"/>
      <c r="Z9" s="116">
        <v>10.83</v>
      </c>
      <c r="AA9" s="116">
        <v>0.76</v>
      </c>
      <c r="AB9" s="116">
        <v>1.47</v>
      </c>
      <c r="AC9" s="116">
        <v>0.27</v>
      </c>
      <c r="AD9" s="116">
        <v>86.67</v>
      </c>
      <c r="AE9" s="116">
        <f>SUM(Z9:AD9)</f>
        <v>100</v>
      </c>
      <c r="AG9" s="130">
        <v>46.9</v>
      </c>
      <c r="AH9" s="130">
        <v>13</v>
      </c>
      <c r="AI9" s="130">
        <v>4.9000000000000004</v>
      </c>
      <c r="AJ9" s="130">
        <v>0.70000000000000007</v>
      </c>
      <c r="AK9" s="130">
        <v>34.5</v>
      </c>
      <c r="AL9" s="130">
        <f>SUM(AG9:AK9)</f>
        <v>100</v>
      </c>
      <c r="AN9" s="130">
        <v>23.82</v>
      </c>
      <c r="AO9" s="130">
        <v>26.450000000000003</v>
      </c>
      <c r="AP9" s="130">
        <v>9.19</v>
      </c>
      <c r="AQ9" s="130">
        <v>2.93</v>
      </c>
      <c r="AR9" s="130">
        <v>37.61</v>
      </c>
      <c r="AS9" s="130">
        <f>SUM(AN9:AR9)</f>
        <v>100</v>
      </c>
      <c r="AU9" s="130">
        <v>26.86</v>
      </c>
      <c r="AV9" s="130">
        <v>14.35</v>
      </c>
      <c r="AW9" s="130">
        <v>13.83</v>
      </c>
      <c r="AX9" s="130">
        <v>1.2</v>
      </c>
      <c r="AY9" s="130">
        <v>43.76</v>
      </c>
      <c r="AZ9" s="130">
        <f t="shared" ref="AZ9:AZ32" si="0">SUM(AU9:AY9)</f>
        <v>100</v>
      </c>
    </row>
    <row r="10" spans="1:52" ht="20.100000000000001" customHeight="1" x14ac:dyDescent="0.3">
      <c r="A10" s="25">
        <v>2</v>
      </c>
      <c r="B10" s="17" t="s">
        <v>17</v>
      </c>
      <c r="C10" s="17" t="s">
        <v>17</v>
      </c>
      <c r="D10" s="18" t="s">
        <v>20</v>
      </c>
      <c r="E10" s="26">
        <v>45554</v>
      </c>
      <c r="F10" s="20"/>
      <c r="G10" s="18" t="s">
        <v>19</v>
      </c>
      <c r="H10" s="28">
        <v>31.1</v>
      </c>
      <c r="I10" s="28">
        <v>8.2100000000000009</v>
      </c>
      <c r="J10" s="28">
        <v>8.58</v>
      </c>
      <c r="K10" s="74">
        <v>364</v>
      </c>
      <c r="L10" s="57"/>
      <c r="M10" s="54"/>
      <c r="N10" s="54"/>
      <c r="O10" s="54">
        <v>4.1859999999999999</v>
      </c>
      <c r="P10" s="54"/>
      <c r="Q10" s="54"/>
      <c r="R10" s="54"/>
      <c r="S10" s="54"/>
      <c r="T10" s="54">
        <v>42.957000000000001</v>
      </c>
      <c r="U10" s="54">
        <v>13.52</v>
      </c>
      <c r="V10" s="54">
        <v>-2.37</v>
      </c>
      <c r="W10" s="85">
        <v>24.7672766162591</v>
      </c>
      <c r="X10" s="85">
        <v>9.7239065437712533</v>
      </c>
      <c r="Y10" s="21"/>
      <c r="Z10" s="116">
        <v>31.07</v>
      </c>
      <c r="AA10" s="116">
        <v>1.37</v>
      </c>
      <c r="AB10" s="116">
        <v>1.27</v>
      </c>
      <c r="AC10" s="116">
        <v>0.28000000000000003</v>
      </c>
      <c r="AD10" s="116">
        <v>66.010000000000005</v>
      </c>
      <c r="AE10" s="116">
        <f t="shared" ref="AE10:AE32" si="1">SUM(Z10:AD10)</f>
        <v>100</v>
      </c>
      <c r="AG10" s="130">
        <v>54.500000000000007</v>
      </c>
      <c r="AH10" s="130">
        <v>15.1</v>
      </c>
      <c r="AI10" s="130">
        <v>3.9</v>
      </c>
      <c r="AJ10" s="130">
        <v>0.70000000000000007</v>
      </c>
      <c r="AK10" s="130">
        <v>25.8</v>
      </c>
      <c r="AL10" s="130">
        <f t="shared" ref="AL10:AL32" si="2">SUM(AG10:AK10)</f>
        <v>100.00000000000001</v>
      </c>
      <c r="AN10" s="130">
        <v>28.37</v>
      </c>
      <c r="AO10" s="130">
        <v>42.14</v>
      </c>
      <c r="AP10" s="130">
        <v>6.69</v>
      </c>
      <c r="AQ10" s="130">
        <v>2.54</v>
      </c>
      <c r="AR10" s="130">
        <v>20.260000000000002</v>
      </c>
      <c r="AS10" s="130">
        <f t="shared" ref="AS10:AS32" si="3">SUM(AN10:AR10)</f>
        <v>100.00000000000001</v>
      </c>
      <c r="AU10" s="130">
        <v>43.7</v>
      </c>
      <c r="AV10" s="130">
        <v>22.06</v>
      </c>
      <c r="AW10" s="130">
        <v>7.8299999999999992</v>
      </c>
      <c r="AX10" s="130">
        <v>0.96</v>
      </c>
      <c r="AY10" s="130">
        <v>25.45</v>
      </c>
      <c r="AZ10" s="130">
        <f t="shared" si="0"/>
        <v>100</v>
      </c>
    </row>
    <row r="11" spans="1:52" ht="20.100000000000001" customHeight="1" x14ac:dyDescent="0.3">
      <c r="A11" s="25">
        <v>3</v>
      </c>
      <c r="B11" s="17" t="s">
        <v>17</v>
      </c>
      <c r="C11" s="17" t="s">
        <v>17</v>
      </c>
      <c r="D11" s="18" t="s">
        <v>21</v>
      </c>
      <c r="E11" s="26">
        <v>45554</v>
      </c>
      <c r="F11" s="20"/>
      <c r="G11" s="18" t="s">
        <v>19</v>
      </c>
      <c r="H11" s="28">
        <v>32.799999999999997</v>
      </c>
      <c r="I11" s="28">
        <v>8.0500000000000007</v>
      </c>
      <c r="J11" s="28">
        <v>8.2899999999999991</v>
      </c>
      <c r="K11" s="74">
        <v>391</v>
      </c>
      <c r="L11" s="57"/>
      <c r="M11" s="54"/>
      <c r="N11" s="54"/>
      <c r="O11" s="54">
        <v>3.1080000000000001</v>
      </c>
      <c r="P11" s="54"/>
      <c r="Q11" s="54"/>
      <c r="R11" s="54"/>
      <c r="S11" s="54"/>
      <c r="T11" s="54">
        <v>47.884</v>
      </c>
      <c r="U11" s="58">
        <v>14.02</v>
      </c>
      <c r="V11" s="58">
        <v>-3.68</v>
      </c>
      <c r="W11" s="86">
        <v>24.0792961930403</v>
      </c>
      <c r="X11" s="85">
        <v>9.7627583260568862</v>
      </c>
      <c r="Y11" s="21"/>
      <c r="Z11" s="116">
        <v>26.04</v>
      </c>
      <c r="AA11" s="116">
        <v>1.81</v>
      </c>
      <c r="AB11" s="116">
        <v>1.91</v>
      </c>
      <c r="AC11" s="116">
        <v>0.31</v>
      </c>
      <c r="AD11" s="116">
        <v>69.930000000000007</v>
      </c>
      <c r="AE11" s="116">
        <f t="shared" si="1"/>
        <v>100</v>
      </c>
      <c r="AG11" s="130">
        <v>55.300000000000004</v>
      </c>
      <c r="AH11" s="130">
        <v>15.6</v>
      </c>
      <c r="AI11" s="130">
        <v>3.6999999999999997</v>
      </c>
      <c r="AJ11" s="130">
        <v>0.6</v>
      </c>
      <c r="AK11" s="130">
        <v>24.8</v>
      </c>
      <c r="AL11" s="130">
        <f t="shared" si="2"/>
        <v>100</v>
      </c>
      <c r="AN11" s="130">
        <v>30.659999999999997</v>
      </c>
      <c r="AO11" s="130">
        <v>41.36</v>
      </c>
      <c r="AP11" s="130">
        <v>5.57</v>
      </c>
      <c r="AQ11" s="130">
        <v>2.3199999999999998</v>
      </c>
      <c r="AR11" s="130">
        <v>20.09</v>
      </c>
      <c r="AS11" s="130">
        <f t="shared" si="3"/>
        <v>100</v>
      </c>
      <c r="AU11" s="130">
        <v>45.31</v>
      </c>
      <c r="AV11" s="130">
        <v>21.26</v>
      </c>
      <c r="AW11" s="130">
        <v>6.97</v>
      </c>
      <c r="AX11" s="130">
        <v>0.71000000000000008</v>
      </c>
      <c r="AY11" s="130">
        <v>25.75</v>
      </c>
      <c r="AZ11" s="130">
        <f t="shared" si="0"/>
        <v>100</v>
      </c>
    </row>
    <row r="12" spans="1:52" ht="20.100000000000001" customHeight="1" x14ac:dyDescent="0.3">
      <c r="A12" s="25">
        <v>4</v>
      </c>
      <c r="B12" s="17" t="s">
        <v>17</v>
      </c>
      <c r="C12" s="17" t="s">
        <v>17</v>
      </c>
      <c r="D12" s="18" t="s">
        <v>22</v>
      </c>
      <c r="E12" s="26">
        <v>45554</v>
      </c>
      <c r="F12" s="20"/>
      <c r="G12" s="18" t="s">
        <v>19</v>
      </c>
      <c r="H12" s="28">
        <v>32.799999999999997</v>
      </c>
      <c r="I12" s="28">
        <v>8.24</v>
      </c>
      <c r="J12" s="28">
        <v>9.39</v>
      </c>
      <c r="K12" s="74">
        <v>333</v>
      </c>
      <c r="L12" s="57"/>
      <c r="M12" s="54"/>
      <c r="N12" s="54"/>
      <c r="O12" s="54">
        <v>1.391</v>
      </c>
      <c r="P12" s="54"/>
      <c r="Q12" s="54"/>
      <c r="R12" s="54"/>
      <c r="S12" s="54"/>
      <c r="T12" s="54">
        <v>38.052999999999997</v>
      </c>
      <c r="U12" s="55">
        <v>14.22</v>
      </c>
      <c r="V12" s="55">
        <v>-1.24</v>
      </c>
      <c r="W12" s="87">
        <v>21.889296347698799</v>
      </c>
      <c r="X12" s="87">
        <v>10.573961372083717</v>
      </c>
      <c r="Y12" s="21"/>
      <c r="Z12" s="116">
        <v>23.27</v>
      </c>
      <c r="AA12" s="116">
        <v>1.55</v>
      </c>
      <c r="AB12" s="116">
        <v>2.25</v>
      </c>
      <c r="AC12" s="116">
        <v>0.14000000000000001</v>
      </c>
      <c r="AD12" s="116">
        <v>72.790000000000006</v>
      </c>
      <c r="AE12" s="116">
        <f t="shared" si="1"/>
        <v>100</v>
      </c>
      <c r="AG12" s="130">
        <v>56.2</v>
      </c>
      <c r="AH12" s="130">
        <v>16.3</v>
      </c>
      <c r="AI12" s="130">
        <v>3.6999999999999997</v>
      </c>
      <c r="AJ12" s="130">
        <v>0.70000000000000007</v>
      </c>
      <c r="AK12" s="130">
        <v>23.1</v>
      </c>
      <c r="AL12" s="130">
        <f t="shared" si="2"/>
        <v>100</v>
      </c>
      <c r="AN12" s="130">
        <v>34.589999999999996</v>
      </c>
      <c r="AO12" s="130">
        <v>36.04</v>
      </c>
      <c r="AP12" s="130">
        <v>5.92</v>
      </c>
      <c r="AQ12" s="130">
        <v>1.9300000000000002</v>
      </c>
      <c r="AR12" s="130">
        <v>21.52</v>
      </c>
      <c r="AS12" s="130">
        <f t="shared" si="3"/>
        <v>100</v>
      </c>
      <c r="AU12" s="130">
        <v>44.940000000000005</v>
      </c>
      <c r="AV12" s="130">
        <v>24.67</v>
      </c>
      <c r="AW12" s="130">
        <v>7.82</v>
      </c>
      <c r="AX12" s="130">
        <v>1.18</v>
      </c>
      <c r="AY12" s="130">
        <v>21.39</v>
      </c>
      <c r="AZ12" s="130">
        <f t="shared" si="0"/>
        <v>100.00000000000001</v>
      </c>
    </row>
    <row r="13" spans="1:52" ht="20.100000000000001" customHeight="1" x14ac:dyDescent="0.3">
      <c r="A13" s="41">
        <v>5</v>
      </c>
      <c r="B13" s="42" t="s">
        <v>23</v>
      </c>
      <c r="C13" s="42" t="s">
        <v>23</v>
      </c>
      <c r="D13" s="43" t="s">
        <v>24</v>
      </c>
      <c r="E13" s="44">
        <v>45554</v>
      </c>
      <c r="F13" s="45"/>
      <c r="G13" s="43" t="s">
        <v>19</v>
      </c>
      <c r="H13" s="72">
        <v>28.75</v>
      </c>
      <c r="I13" s="72">
        <v>6.94</v>
      </c>
      <c r="J13" s="72">
        <v>7.81</v>
      </c>
      <c r="K13" s="73">
        <v>148</v>
      </c>
      <c r="L13" s="59"/>
      <c r="M13" s="60"/>
      <c r="N13" s="60"/>
      <c r="O13" s="61">
        <v>0.77700000000000002</v>
      </c>
      <c r="P13" s="61"/>
      <c r="Q13" s="61"/>
      <c r="R13" s="61"/>
      <c r="S13" s="61"/>
      <c r="T13" s="61">
        <v>14.064</v>
      </c>
      <c r="U13" s="61">
        <v>8.1300000000000008</v>
      </c>
      <c r="V13" s="61">
        <v>2.91</v>
      </c>
      <c r="W13" s="86">
        <v>13.911002779847699</v>
      </c>
      <c r="X13" s="86">
        <v>10.855459951514934</v>
      </c>
      <c r="Y13" s="48"/>
      <c r="Z13" s="116">
        <v>41.5</v>
      </c>
      <c r="AA13" s="116">
        <v>2.2599999999999998</v>
      </c>
      <c r="AB13" s="116">
        <v>1.78</v>
      </c>
      <c r="AC13" s="116">
        <v>0.33</v>
      </c>
      <c r="AD13" s="116">
        <v>54.13</v>
      </c>
      <c r="AE13" s="116">
        <f t="shared" si="1"/>
        <v>100</v>
      </c>
      <c r="AG13" s="130">
        <v>41.6</v>
      </c>
      <c r="AH13" s="130">
        <v>12.9</v>
      </c>
      <c r="AI13" s="130">
        <v>7.0000000000000009</v>
      </c>
      <c r="AJ13" s="130">
        <v>1</v>
      </c>
      <c r="AK13" s="130">
        <v>37.5</v>
      </c>
      <c r="AL13" s="130">
        <f t="shared" si="2"/>
        <v>100</v>
      </c>
      <c r="AN13" s="130">
        <v>20.48</v>
      </c>
      <c r="AO13" s="130">
        <v>30.15</v>
      </c>
      <c r="AP13" s="130">
        <v>19.36</v>
      </c>
      <c r="AQ13" s="130">
        <v>2.68</v>
      </c>
      <c r="AR13" s="130">
        <v>27.33</v>
      </c>
      <c r="AS13" s="130">
        <f t="shared" si="3"/>
        <v>100</v>
      </c>
      <c r="AU13" s="130">
        <v>26.590000000000003</v>
      </c>
      <c r="AV13" s="130">
        <v>18.11</v>
      </c>
      <c r="AW13" s="130">
        <v>17.05</v>
      </c>
      <c r="AX13" s="130">
        <v>2.9000000000000004</v>
      </c>
      <c r="AY13" s="130">
        <v>35.35</v>
      </c>
      <c r="AZ13" s="130">
        <f t="shared" si="0"/>
        <v>100</v>
      </c>
    </row>
    <row r="14" spans="1:52" ht="20.100000000000001" customHeight="1" x14ac:dyDescent="0.3">
      <c r="A14" s="41">
        <v>6</v>
      </c>
      <c r="B14" s="42" t="s">
        <v>23</v>
      </c>
      <c r="C14" s="42" t="s">
        <v>23</v>
      </c>
      <c r="D14" s="43" t="s">
        <v>25</v>
      </c>
      <c r="E14" s="44">
        <v>45554</v>
      </c>
      <c r="F14" s="45"/>
      <c r="G14" s="43" t="s">
        <v>19</v>
      </c>
      <c r="H14" s="72">
        <v>28.65</v>
      </c>
      <c r="I14" s="72">
        <v>6.75</v>
      </c>
      <c r="J14" s="72">
        <v>8.06</v>
      </c>
      <c r="K14" s="73">
        <v>177</v>
      </c>
      <c r="L14" s="59"/>
      <c r="M14" s="60"/>
      <c r="N14" s="60"/>
      <c r="O14" s="60">
        <v>1.403</v>
      </c>
      <c r="P14" s="60"/>
      <c r="Q14" s="60"/>
      <c r="R14" s="60"/>
      <c r="S14" s="60"/>
      <c r="T14" s="60">
        <v>23.036000000000001</v>
      </c>
      <c r="U14" s="60">
        <v>9.49</v>
      </c>
      <c r="V14" s="60">
        <v>2.95</v>
      </c>
      <c r="W14" s="85">
        <v>22.975329252380899</v>
      </c>
      <c r="X14" s="85">
        <v>9.6362096420400398</v>
      </c>
      <c r="Y14" s="48"/>
      <c r="Z14" s="116">
        <v>48.5</v>
      </c>
      <c r="AA14" s="116">
        <v>4.58</v>
      </c>
      <c r="AB14" s="116">
        <v>1.52</v>
      </c>
      <c r="AC14" s="116">
        <v>0.33</v>
      </c>
      <c r="AD14" s="116">
        <v>45.07</v>
      </c>
      <c r="AE14" s="116">
        <f t="shared" si="1"/>
        <v>100</v>
      </c>
      <c r="AG14" s="130">
        <v>44</v>
      </c>
      <c r="AH14" s="130">
        <v>14.399999999999999</v>
      </c>
      <c r="AI14" s="130">
        <v>6.3</v>
      </c>
      <c r="AJ14" s="130">
        <v>0.89999999999999991</v>
      </c>
      <c r="AK14" s="130">
        <v>34.4</v>
      </c>
      <c r="AL14" s="130">
        <f t="shared" si="2"/>
        <v>100</v>
      </c>
      <c r="AN14" s="130">
        <v>27.22</v>
      </c>
      <c r="AO14" s="130">
        <v>31.19</v>
      </c>
      <c r="AP14" s="130">
        <v>13.76</v>
      </c>
      <c r="AQ14" s="130">
        <v>2.3800000000000003</v>
      </c>
      <c r="AR14" s="130">
        <v>25.45</v>
      </c>
      <c r="AS14" s="130">
        <f t="shared" si="3"/>
        <v>100</v>
      </c>
      <c r="AU14" s="130">
        <v>31.080000000000002</v>
      </c>
      <c r="AV14" s="130">
        <v>20.79</v>
      </c>
      <c r="AW14" s="130">
        <v>14.680000000000001</v>
      </c>
      <c r="AX14" s="130">
        <v>2.98</v>
      </c>
      <c r="AY14" s="130">
        <v>30.470000000000002</v>
      </c>
      <c r="AZ14" s="130">
        <f t="shared" si="0"/>
        <v>100.00000000000001</v>
      </c>
    </row>
    <row r="15" spans="1:52" ht="20.100000000000001" customHeight="1" x14ac:dyDescent="0.3">
      <c r="A15" s="41">
        <v>7</v>
      </c>
      <c r="B15" s="42" t="s">
        <v>23</v>
      </c>
      <c r="C15" s="42" t="s">
        <v>23</v>
      </c>
      <c r="D15" s="43" t="s">
        <v>26</v>
      </c>
      <c r="E15" s="44">
        <v>45554</v>
      </c>
      <c r="F15" s="45"/>
      <c r="G15" s="43" t="s">
        <v>19</v>
      </c>
      <c r="H15" s="72">
        <v>28.68</v>
      </c>
      <c r="I15" s="72">
        <v>6.78</v>
      </c>
      <c r="J15" s="72">
        <v>7.37</v>
      </c>
      <c r="K15" s="73">
        <v>188</v>
      </c>
      <c r="L15" s="59"/>
      <c r="M15" s="60"/>
      <c r="N15" s="60"/>
      <c r="O15" s="60">
        <v>1.7809999999999999</v>
      </c>
      <c r="P15" s="60"/>
      <c r="Q15" s="60"/>
      <c r="R15" s="60"/>
      <c r="S15" s="60"/>
      <c r="T15" s="60">
        <v>23.76</v>
      </c>
      <c r="U15" s="60">
        <v>7.61</v>
      </c>
      <c r="V15" s="60">
        <v>-0.36</v>
      </c>
      <c r="W15" s="85">
        <v>24.174021086351001</v>
      </c>
      <c r="X15" s="85">
        <v>9.6380549193237357</v>
      </c>
      <c r="Y15" s="48"/>
      <c r="Z15" s="118">
        <v>16.38</v>
      </c>
      <c r="AA15" s="118">
        <v>1.82</v>
      </c>
      <c r="AB15" s="118">
        <v>0.97</v>
      </c>
      <c r="AC15" s="118">
        <v>0.18</v>
      </c>
      <c r="AD15" s="118">
        <v>80.650000000000006</v>
      </c>
      <c r="AE15" s="118">
        <f t="shared" si="1"/>
        <v>100</v>
      </c>
      <c r="AF15" s="114"/>
      <c r="AG15" s="130">
        <v>39.700000000000003</v>
      </c>
      <c r="AH15" s="130">
        <v>11.600000000000001</v>
      </c>
      <c r="AI15" s="130">
        <v>6.3</v>
      </c>
      <c r="AJ15" s="130">
        <v>0.8</v>
      </c>
      <c r="AK15" s="130">
        <v>41.6</v>
      </c>
      <c r="AL15" s="131">
        <f t="shared" si="2"/>
        <v>100</v>
      </c>
      <c r="AN15" s="130">
        <v>31.259999999999998</v>
      </c>
      <c r="AO15" s="130">
        <v>27.85</v>
      </c>
      <c r="AP15" s="130">
        <v>7.64</v>
      </c>
      <c r="AQ15" s="130">
        <v>2.6599999999999997</v>
      </c>
      <c r="AR15" s="130">
        <v>30.59</v>
      </c>
      <c r="AS15" s="130">
        <f t="shared" si="3"/>
        <v>100</v>
      </c>
      <c r="AU15" s="130">
        <v>24.490000000000002</v>
      </c>
      <c r="AV15" s="130">
        <v>13.94</v>
      </c>
      <c r="AW15" s="130">
        <v>15.73</v>
      </c>
      <c r="AX15" s="130">
        <v>1.44</v>
      </c>
      <c r="AY15" s="130">
        <v>44.4</v>
      </c>
      <c r="AZ15" s="130">
        <f t="shared" si="0"/>
        <v>100</v>
      </c>
    </row>
    <row r="16" spans="1:52" ht="19.5" customHeight="1" x14ac:dyDescent="0.3">
      <c r="A16" s="41">
        <v>8</v>
      </c>
      <c r="B16" s="42" t="s">
        <v>23</v>
      </c>
      <c r="C16" s="42" t="s">
        <v>27</v>
      </c>
      <c r="D16" s="43" t="s">
        <v>68</v>
      </c>
      <c r="E16" s="44">
        <v>45554</v>
      </c>
      <c r="F16" s="45"/>
      <c r="G16" s="43" t="s">
        <v>19</v>
      </c>
      <c r="H16" s="72">
        <v>24.29</v>
      </c>
      <c r="I16" s="72">
        <v>6.51</v>
      </c>
      <c r="J16" s="72">
        <v>6.25</v>
      </c>
      <c r="K16" s="73">
        <v>345</v>
      </c>
      <c r="L16" s="59"/>
      <c r="M16" s="60"/>
      <c r="N16" s="60"/>
      <c r="O16" s="60">
        <v>0.33900000000000002</v>
      </c>
      <c r="P16" s="60"/>
      <c r="Q16" s="60"/>
      <c r="R16" s="60"/>
      <c r="S16" s="60"/>
      <c r="T16" s="60">
        <v>36.484000000000002</v>
      </c>
      <c r="U16" s="60">
        <v>-0.56999999999999995</v>
      </c>
      <c r="V16" s="60">
        <v>-1.45</v>
      </c>
      <c r="W16" s="85">
        <v>43.650194090885002</v>
      </c>
      <c r="X16" s="85">
        <v>10.378581309505863</v>
      </c>
      <c r="Y16" s="48"/>
      <c r="Z16" s="118">
        <v>0.97</v>
      </c>
      <c r="AA16" s="118">
        <v>1.1399999999999999</v>
      </c>
      <c r="AB16" s="118">
        <v>49.86</v>
      </c>
      <c r="AC16" s="118">
        <v>0.27</v>
      </c>
      <c r="AD16" s="118">
        <v>47.76</v>
      </c>
      <c r="AE16" s="118">
        <f t="shared" si="1"/>
        <v>100</v>
      </c>
      <c r="AF16" s="114"/>
      <c r="AG16" s="130">
        <v>22.1</v>
      </c>
      <c r="AH16" s="130">
        <v>5.7</v>
      </c>
      <c r="AI16" s="130">
        <v>5.5</v>
      </c>
      <c r="AJ16" s="130">
        <v>0.70000000000000007</v>
      </c>
      <c r="AK16" s="130">
        <v>66</v>
      </c>
      <c r="AL16" s="131">
        <f t="shared" si="2"/>
        <v>100</v>
      </c>
      <c r="AN16" s="130">
        <v>7.61</v>
      </c>
      <c r="AO16" s="130">
        <v>10.11</v>
      </c>
      <c r="AP16" s="130">
        <v>13.850000000000001</v>
      </c>
      <c r="AQ16" s="130">
        <v>9.2299999999999986</v>
      </c>
      <c r="AR16" s="130">
        <v>59.199999999999996</v>
      </c>
      <c r="AS16" s="130">
        <f t="shared" si="3"/>
        <v>100</v>
      </c>
      <c r="AU16" s="130">
        <v>5.27</v>
      </c>
      <c r="AV16" s="130">
        <v>2.91</v>
      </c>
      <c r="AW16" s="130">
        <v>31.81</v>
      </c>
      <c r="AX16" s="130">
        <v>1.05</v>
      </c>
      <c r="AY16" s="130">
        <v>58.96</v>
      </c>
      <c r="AZ16" s="130">
        <f t="shared" si="0"/>
        <v>100</v>
      </c>
    </row>
    <row r="17" spans="1:52" ht="20.100000000000001" customHeight="1" x14ac:dyDescent="0.3">
      <c r="A17" s="41">
        <v>9</v>
      </c>
      <c r="B17" s="42" t="s">
        <v>23</v>
      </c>
      <c r="C17" s="42" t="s">
        <v>27</v>
      </c>
      <c r="D17" s="43" t="s">
        <v>30</v>
      </c>
      <c r="E17" s="44">
        <v>45554</v>
      </c>
      <c r="F17" s="45"/>
      <c r="G17" s="43" t="s">
        <v>19</v>
      </c>
      <c r="H17" s="72">
        <v>28.04</v>
      </c>
      <c r="I17" s="72">
        <v>6.77</v>
      </c>
      <c r="J17" s="72">
        <v>6.7</v>
      </c>
      <c r="K17" s="73">
        <v>235</v>
      </c>
      <c r="L17" s="59"/>
      <c r="M17" s="60"/>
      <c r="N17" s="60"/>
      <c r="O17" s="60">
        <v>2.4089999999999998</v>
      </c>
      <c r="P17" s="60"/>
      <c r="Q17" s="60"/>
      <c r="R17" s="60"/>
      <c r="S17" s="60"/>
      <c r="T17" s="60">
        <v>28.713999999999999</v>
      </c>
      <c r="U17" s="62">
        <v>3.82</v>
      </c>
      <c r="V17" s="62">
        <v>-1.38</v>
      </c>
      <c r="W17" s="87">
        <v>33.637222309601903</v>
      </c>
      <c r="X17" s="87">
        <v>9.7771056395464235</v>
      </c>
      <c r="Y17" s="48"/>
      <c r="Z17" s="116">
        <v>27.17</v>
      </c>
      <c r="AA17" s="116">
        <v>1.87</v>
      </c>
      <c r="AB17" s="116">
        <v>1.35</v>
      </c>
      <c r="AC17" s="116">
        <v>0.13</v>
      </c>
      <c r="AD17" s="116">
        <v>69.48</v>
      </c>
      <c r="AE17" s="116">
        <f t="shared" si="1"/>
        <v>100</v>
      </c>
      <c r="AG17" s="130">
        <v>29.7</v>
      </c>
      <c r="AH17" s="130">
        <v>8.6</v>
      </c>
      <c r="AI17" s="130">
        <v>7.5</v>
      </c>
      <c r="AJ17" s="130">
        <v>0.8</v>
      </c>
      <c r="AK17" s="130">
        <v>53.400000000000006</v>
      </c>
      <c r="AL17" s="130">
        <f t="shared" si="2"/>
        <v>100</v>
      </c>
      <c r="AN17" s="130">
        <v>10.620000000000001</v>
      </c>
      <c r="AO17" s="130">
        <v>17.78</v>
      </c>
      <c r="AP17" s="130">
        <v>16.669999999999998</v>
      </c>
      <c r="AQ17" s="130">
        <v>3.01</v>
      </c>
      <c r="AR17" s="130">
        <v>51.92</v>
      </c>
      <c r="AS17" s="130">
        <f t="shared" si="3"/>
        <v>100</v>
      </c>
      <c r="AU17" s="130">
        <v>12.76</v>
      </c>
      <c r="AV17" s="130">
        <v>7.03</v>
      </c>
      <c r="AW17" s="130">
        <v>21.58</v>
      </c>
      <c r="AX17" s="130">
        <v>1.01</v>
      </c>
      <c r="AY17" s="130">
        <v>57.620000000000005</v>
      </c>
      <c r="AZ17" s="130">
        <f t="shared" si="0"/>
        <v>100</v>
      </c>
    </row>
    <row r="18" spans="1:52" ht="20.100000000000001" customHeight="1" x14ac:dyDescent="0.3">
      <c r="A18" s="25">
        <v>10</v>
      </c>
      <c r="B18" s="17" t="s">
        <v>31</v>
      </c>
      <c r="C18" s="17" t="s">
        <v>31</v>
      </c>
      <c r="D18" s="18" t="s">
        <v>32</v>
      </c>
      <c r="E18" s="26">
        <v>45554</v>
      </c>
      <c r="F18" s="20"/>
      <c r="G18" s="18" t="s">
        <v>19</v>
      </c>
      <c r="H18" s="28">
        <v>30.78</v>
      </c>
      <c r="I18" s="28">
        <v>6.84</v>
      </c>
      <c r="J18" s="28">
        <v>8.3000000000000007</v>
      </c>
      <c r="K18" s="74">
        <v>240.6</v>
      </c>
      <c r="L18" s="57"/>
      <c r="M18" s="54"/>
      <c r="N18" s="54"/>
      <c r="O18" s="58">
        <v>1.2070000000000001</v>
      </c>
      <c r="P18" s="58"/>
      <c r="Q18" s="58"/>
      <c r="R18" s="58"/>
      <c r="S18" s="58"/>
      <c r="T18" s="58">
        <v>13.584</v>
      </c>
      <c r="U18" s="58">
        <v>9.73</v>
      </c>
      <c r="V18" s="58">
        <v>5</v>
      </c>
      <c r="W18" s="86">
        <v>22.345902492668699</v>
      </c>
      <c r="X18" s="86">
        <v>10.675003707627972</v>
      </c>
      <c r="Y18" s="21"/>
      <c r="Z18" s="116">
        <v>30.91</v>
      </c>
      <c r="AA18" s="116">
        <v>25.1</v>
      </c>
      <c r="AB18" s="116">
        <v>10.130000000000001</v>
      </c>
      <c r="AC18" s="116">
        <v>1.24</v>
      </c>
      <c r="AD18" s="116">
        <v>32.619999999999997</v>
      </c>
      <c r="AE18" s="116">
        <f t="shared" si="1"/>
        <v>100</v>
      </c>
      <c r="AG18" s="130">
        <v>43.9</v>
      </c>
      <c r="AH18" s="130">
        <v>16</v>
      </c>
      <c r="AI18" s="130">
        <v>6.8000000000000007</v>
      </c>
      <c r="AJ18" s="130">
        <v>1.0999999999999999</v>
      </c>
      <c r="AK18" s="130">
        <v>32.200000000000003</v>
      </c>
      <c r="AL18" s="130">
        <f t="shared" si="2"/>
        <v>100</v>
      </c>
      <c r="AN18" s="130">
        <v>31.81</v>
      </c>
      <c r="AO18" s="130">
        <v>26.900000000000002</v>
      </c>
      <c r="AP18" s="130">
        <v>12.36</v>
      </c>
      <c r="AQ18" s="130">
        <v>2.83</v>
      </c>
      <c r="AR18" s="130">
        <v>26.11</v>
      </c>
      <c r="AS18" s="130">
        <f t="shared" si="3"/>
        <v>100.00999999999999</v>
      </c>
      <c r="AU18" s="130">
        <v>30.98</v>
      </c>
      <c r="AV18" s="130">
        <v>23.54</v>
      </c>
      <c r="AW18" s="130">
        <v>15.370000000000001</v>
      </c>
      <c r="AX18" s="130">
        <v>4.46</v>
      </c>
      <c r="AY18" s="130">
        <v>25.650000000000002</v>
      </c>
      <c r="AZ18" s="130">
        <f t="shared" si="0"/>
        <v>100</v>
      </c>
    </row>
    <row r="19" spans="1:52" ht="20.100000000000001" customHeight="1" x14ac:dyDescent="0.3">
      <c r="A19" s="25">
        <v>11</v>
      </c>
      <c r="B19" s="17" t="s">
        <v>31</v>
      </c>
      <c r="C19" s="17" t="s">
        <v>31</v>
      </c>
      <c r="D19" s="18" t="s">
        <v>69</v>
      </c>
      <c r="E19" s="26">
        <v>45554</v>
      </c>
      <c r="F19" s="20"/>
      <c r="G19" s="18" t="s">
        <v>19</v>
      </c>
      <c r="H19" s="28">
        <v>30.3</v>
      </c>
      <c r="I19" s="28">
        <v>6.96</v>
      </c>
      <c r="J19" s="28">
        <v>6.97</v>
      </c>
      <c r="K19" s="74">
        <v>241.5</v>
      </c>
      <c r="L19" s="57"/>
      <c r="M19" s="54"/>
      <c r="N19" s="54"/>
      <c r="O19" s="54">
        <v>0.82899999999999996</v>
      </c>
      <c r="P19" s="54"/>
      <c r="Q19" s="54"/>
      <c r="R19" s="54"/>
      <c r="S19" s="54"/>
      <c r="T19" s="54">
        <v>13.785</v>
      </c>
      <c r="U19" s="54">
        <v>10.98</v>
      </c>
      <c r="V19" s="54">
        <v>4.84</v>
      </c>
      <c r="W19" s="85">
        <v>22.933259168901401</v>
      </c>
      <c r="X19" s="85">
        <v>11.747042629575766</v>
      </c>
      <c r="Y19" s="21"/>
      <c r="Z19" s="116">
        <v>36.58</v>
      </c>
      <c r="AA19" s="116">
        <v>28.04</v>
      </c>
      <c r="AB19" s="116">
        <v>5.93</v>
      </c>
      <c r="AC19" s="116">
        <v>1.1599999999999999</v>
      </c>
      <c r="AD19" s="116">
        <v>28.29</v>
      </c>
      <c r="AE19" s="116">
        <f t="shared" si="1"/>
        <v>100</v>
      </c>
      <c r="AG19" s="130">
        <v>47.3</v>
      </c>
      <c r="AH19" s="130">
        <v>16.600000000000001</v>
      </c>
      <c r="AI19" s="130">
        <v>5.8000000000000007</v>
      </c>
      <c r="AJ19" s="130">
        <v>1</v>
      </c>
      <c r="AK19" s="130">
        <v>29.299999999999997</v>
      </c>
      <c r="AL19" s="130">
        <f t="shared" si="2"/>
        <v>100</v>
      </c>
      <c r="AN19" s="130">
        <v>30.5</v>
      </c>
      <c r="AO19" s="130">
        <v>30.31</v>
      </c>
      <c r="AP19" s="130">
        <v>11.64</v>
      </c>
      <c r="AQ19" s="130">
        <v>4.33</v>
      </c>
      <c r="AR19" s="130">
        <v>23.22</v>
      </c>
      <c r="AS19" s="130">
        <f t="shared" si="3"/>
        <v>100</v>
      </c>
      <c r="AU19" s="130">
        <v>34.25</v>
      </c>
      <c r="AV19" s="130">
        <v>25.840000000000003</v>
      </c>
      <c r="AW19" s="130">
        <v>13.639999999999999</v>
      </c>
      <c r="AX19" s="130">
        <v>4.26</v>
      </c>
      <c r="AY19" s="130">
        <v>22.009999999999998</v>
      </c>
      <c r="AZ19" s="130">
        <f t="shared" si="0"/>
        <v>100</v>
      </c>
    </row>
    <row r="20" spans="1:52" ht="20.100000000000001" customHeight="1" x14ac:dyDescent="0.3">
      <c r="A20" s="25">
        <v>12</v>
      </c>
      <c r="B20" s="17" t="s">
        <v>31</v>
      </c>
      <c r="C20" s="17" t="s">
        <v>31</v>
      </c>
      <c r="D20" s="18" t="s">
        <v>34</v>
      </c>
      <c r="E20" s="26">
        <v>45554</v>
      </c>
      <c r="F20" s="20"/>
      <c r="G20" s="18" t="s">
        <v>19</v>
      </c>
      <c r="H20" s="28">
        <v>32.1</v>
      </c>
      <c r="I20" s="28">
        <v>7.73</v>
      </c>
      <c r="J20" s="28">
        <v>10.67</v>
      </c>
      <c r="K20" s="74">
        <v>250</v>
      </c>
      <c r="L20" s="57"/>
      <c r="M20" s="54"/>
      <c r="N20" s="54"/>
      <c r="O20" s="54">
        <v>1.43</v>
      </c>
      <c r="P20" s="54"/>
      <c r="Q20" s="54"/>
      <c r="R20" s="54"/>
      <c r="S20" s="54"/>
      <c r="T20" s="54">
        <v>15.304</v>
      </c>
      <c r="U20" s="54">
        <v>11.17</v>
      </c>
      <c r="V20" s="54">
        <v>3.23</v>
      </c>
      <c r="W20" s="85">
        <v>23.326753447322499</v>
      </c>
      <c r="X20" s="85">
        <v>12.827652694409942</v>
      </c>
      <c r="Y20" s="21"/>
      <c r="Z20" s="118">
        <v>67.349999999999994</v>
      </c>
      <c r="AA20" s="118">
        <v>2.85</v>
      </c>
      <c r="AB20" s="118">
        <v>2.62</v>
      </c>
      <c r="AC20" s="118">
        <v>0.61</v>
      </c>
      <c r="AD20" s="118">
        <v>26.57</v>
      </c>
      <c r="AE20" s="118">
        <f t="shared" si="1"/>
        <v>100</v>
      </c>
      <c r="AF20" s="114"/>
      <c r="AG20" s="130">
        <v>48</v>
      </c>
      <c r="AH20" s="130">
        <v>16</v>
      </c>
      <c r="AI20" s="130">
        <v>5.6000000000000005</v>
      </c>
      <c r="AJ20" s="130">
        <v>0.89999999999999991</v>
      </c>
      <c r="AK20" s="130">
        <v>29.5</v>
      </c>
      <c r="AL20" s="131">
        <f t="shared" si="2"/>
        <v>100</v>
      </c>
      <c r="AN20" s="130">
        <v>34.21</v>
      </c>
      <c r="AO20" s="130">
        <v>24.84</v>
      </c>
      <c r="AP20" s="130">
        <v>12.479999999999999</v>
      </c>
      <c r="AQ20" s="130">
        <v>2.44</v>
      </c>
      <c r="AR20" s="130">
        <v>26.029999999999998</v>
      </c>
      <c r="AS20" s="130">
        <f t="shared" si="3"/>
        <v>100</v>
      </c>
      <c r="AU20" s="130">
        <v>35.520000000000003</v>
      </c>
      <c r="AV20" s="130">
        <v>24.62</v>
      </c>
      <c r="AW20" s="130">
        <v>12.64</v>
      </c>
      <c r="AX20" s="130">
        <v>3.15</v>
      </c>
      <c r="AY20" s="130">
        <v>24.07</v>
      </c>
      <c r="AZ20" s="130">
        <f t="shared" si="0"/>
        <v>100</v>
      </c>
    </row>
    <row r="21" spans="1:52" ht="20.100000000000001" customHeight="1" x14ac:dyDescent="0.3">
      <c r="A21" s="25">
        <v>13</v>
      </c>
      <c r="B21" s="17" t="s">
        <v>31</v>
      </c>
      <c r="C21" s="17" t="s">
        <v>35</v>
      </c>
      <c r="D21" s="18" t="s">
        <v>36</v>
      </c>
      <c r="E21" s="26">
        <v>45554</v>
      </c>
      <c r="F21" s="20"/>
      <c r="G21" s="18" t="s">
        <v>37</v>
      </c>
      <c r="H21" s="28">
        <v>30.1</v>
      </c>
      <c r="I21" s="28">
        <v>7.69</v>
      </c>
      <c r="J21" s="28">
        <v>6.12</v>
      </c>
      <c r="K21" s="74">
        <v>278</v>
      </c>
      <c r="L21" s="57"/>
      <c r="M21" s="54"/>
      <c r="N21" s="54"/>
      <c r="O21" s="54">
        <v>0.92100000000000004</v>
      </c>
      <c r="P21" s="54"/>
      <c r="Q21" s="54"/>
      <c r="R21" s="54"/>
      <c r="S21" s="54"/>
      <c r="T21" s="54">
        <v>13.321999999999999</v>
      </c>
      <c r="U21" s="54">
        <v>9.98</v>
      </c>
      <c r="V21" s="54">
        <v>3.95</v>
      </c>
      <c r="W21" s="85">
        <v>21.242223856986101</v>
      </c>
      <c r="X21" s="85">
        <v>11.374547535418611</v>
      </c>
      <c r="Y21" s="21"/>
      <c r="Z21" s="116">
        <v>40.24</v>
      </c>
      <c r="AA21" s="116">
        <v>17.149999999999999</v>
      </c>
      <c r="AB21" s="116">
        <v>3.29</v>
      </c>
      <c r="AC21" s="116">
        <v>0.77</v>
      </c>
      <c r="AD21" s="116">
        <v>38.549999999999997</v>
      </c>
      <c r="AE21" s="116">
        <f t="shared" si="1"/>
        <v>100</v>
      </c>
      <c r="AG21" s="130">
        <v>44.9</v>
      </c>
      <c r="AH21" s="130">
        <v>15.299999999999999</v>
      </c>
      <c r="AI21" s="130">
        <v>6.1</v>
      </c>
      <c r="AJ21" s="130">
        <v>1</v>
      </c>
      <c r="AK21" s="130">
        <v>32.700000000000003</v>
      </c>
      <c r="AL21" s="130">
        <f t="shared" si="2"/>
        <v>100</v>
      </c>
      <c r="AN21" s="130">
        <v>24.84</v>
      </c>
      <c r="AO21" s="130">
        <v>28.47</v>
      </c>
      <c r="AP21" s="130">
        <v>12.35</v>
      </c>
      <c r="AQ21" s="130">
        <v>3.2300000000000004</v>
      </c>
      <c r="AR21" s="130">
        <v>31.11</v>
      </c>
      <c r="AS21" s="130">
        <f t="shared" si="3"/>
        <v>100</v>
      </c>
      <c r="AU21" s="130">
        <v>32.06</v>
      </c>
      <c r="AV21" s="130">
        <v>22.94</v>
      </c>
      <c r="AW21" s="130">
        <v>14.52</v>
      </c>
      <c r="AX21" s="130">
        <v>3.65</v>
      </c>
      <c r="AY21" s="130">
        <v>26.83</v>
      </c>
      <c r="AZ21" s="130">
        <f t="shared" si="0"/>
        <v>100</v>
      </c>
    </row>
    <row r="22" spans="1:52" ht="20.100000000000001" customHeight="1" x14ac:dyDescent="0.3">
      <c r="A22" s="25">
        <v>14</v>
      </c>
      <c r="B22" s="17" t="s">
        <v>31</v>
      </c>
      <c r="C22" s="17" t="s">
        <v>5</v>
      </c>
      <c r="D22" s="18" t="s">
        <v>29</v>
      </c>
      <c r="E22" s="26">
        <v>45554</v>
      </c>
      <c r="F22" s="20"/>
      <c r="G22" s="18" t="s">
        <v>37</v>
      </c>
      <c r="H22" s="28">
        <v>32.4</v>
      </c>
      <c r="I22" s="28">
        <v>7.93</v>
      </c>
      <c r="J22" s="28">
        <v>9.24</v>
      </c>
      <c r="K22" s="74">
        <v>324</v>
      </c>
      <c r="L22" s="57"/>
      <c r="M22" s="54"/>
      <c r="N22" s="54"/>
      <c r="O22" s="54">
        <v>0.71399999999999997</v>
      </c>
      <c r="P22" s="54"/>
      <c r="Q22" s="54"/>
      <c r="R22" s="54"/>
      <c r="S22" s="54"/>
      <c r="T22" s="54">
        <v>30.302</v>
      </c>
      <c r="U22" s="54">
        <v>10.94</v>
      </c>
      <c r="V22" s="54">
        <v>4.0599999999999996</v>
      </c>
      <c r="W22" s="85">
        <v>24.192532410911401</v>
      </c>
      <c r="X22" s="85">
        <v>10.734604160738293</v>
      </c>
      <c r="Y22" s="21"/>
      <c r="Z22" s="116">
        <v>46.71</v>
      </c>
      <c r="AA22" s="116">
        <v>18.78</v>
      </c>
      <c r="AB22" s="116">
        <v>3.4</v>
      </c>
      <c r="AC22" s="116">
        <v>0.62</v>
      </c>
      <c r="AD22" s="116">
        <v>30.49</v>
      </c>
      <c r="AE22" s="116">
        <f t="shared" si="1"/>
        <v>100.00000000000001</v>
      </c>
      <c r="AG22" s="130">
        <v>47.199999999999996</v>
      </c>
      <c r="AH22" s="130">
        <v>16</v>
      </c>
      <c r="AI22" s="130">
        <v>5.7</v>
      </c>
      <c r="AJ22" s="130">
        <v>1</v>
      </c>
      <c r="AK22" s="130">
        <v>30.099999999999998</v>
      </c>
      <c r="AL22" s="130">
        <f t="shared" si="2"/>
        <v>99.999999999999986</v>
      </c>
      <c r="AN22" s="130">
        <v>23.34</v>
      </c>
      <c r="AO22" s="130">
        <v>34.07</v>
      </c>
      <c r="AP22" s="130">
        <v>13.4</v>
      </c>
      <c r="AQ22" s="130">
        <v>3.06</v>
      </c>
      <c r="AR22" s="130">
        <v>26.13</v>
      </c>
      <c r="AS22" s="130">
        <f t="shared" si="3"/>
        <v>100</v>
      </c>
      <c r="AU22" s="130">
        <v>34.549999999999997</v>
      </c>
      <c r="AV22" s="130">
        <v>25.040000000000003</v>
      </c>
      <c r="AW22" s="130">
        <v>13.309999999999999</v>
      </c>
      <c r="AX22" s="130">
        <v>3.71</v>
      </c>
      <c r="AY22" s="130">
        <v>23.39</v>
      </c>
      <c r="AZ22" s="130">
        <f t="shared" si="0"/>
        <v>100</v>
      </c>
    </row>
    <row r="23" spans="1:52" ht="20.100000000000001" customHeight="1" x14ac:dyDescent="0.3">
      <c r="A23" s="25">
        <v>15</v>
      </c>
      <c r="B23" s="17" t="s">
        <v>31</v>
      </c>
      <c r="C23" s="17" t="s">
        <v>35</v>
      </c>
      <c r="D23" s="18" t="s">
        <v>29</v>
      </c>
      <c r="E23" s="26">
        <v>45554</v>
      </c>
      <c r="F23" s="20"/>
      <c r="G23" s="18" t="s">
        <v>37</v>
      </c>
      <c r="H23" s="28">
        <v>30.2</v>
      </c>
      <c r="I23" s="28">
        <v>7.45</v>
      </c>
      <c r="J23" s="28">
        <v>5.91</v>
      </c>
      <c r="K23" s="74">
        <v>267</v>
      </c>
      <c r="L23" s="57"/>
      <c r="M23" s="54"/>
      <c r="N23" s="54"/>
      <c r="O23" s="54">
        <v>0.82</v>
      </c>
      <c r="P23" s="54"/>
      <c r="Q23" s="54"/>
      <c r="R23" s="54"/>
      <c r="S23" s="54"/>
      <c r="T23" s="54">
        <v>13.989000000000001</v>
      </c>
      <c r="U23" s="54">
        <v>11.33</v>
      </c>
      <c r="V23" s="54">
        <v>4.95</v>
      </c>
      <c r="W23" s="87">
        <v>21.552344605112602</v>
      </c>
      <c r="X23" s="87">
        <v>11.346246662814474</v>
      </c>
      <c r="Y23" s="21"/>
      <c r="Z23" s="116">
        <v>38.729999999999997</v>
      </c>
      <c r="AA23" s="116">
        <v>28.45</v>
      </c>
      <c r="AB23" s="116">
        <v>6.68</v>
      </c>
      <c r="AC23" s="116">
        <v>1.22</v>
      </c>
      <c r="AD23" s="116">
        <v>24.92</v>
      </c>
      <c r="AE23" s="116">
        <f t="shared" si="1"/>
        <v>99.999999999999986</v>
      </c>
      <c r="AG23" s="130">
        <v>48.199999999999996</v>
      </c>
      <c r="AH23" s="130">
        <v>16.400000000000002</v>
      </c>
      <c r="AI23" s="130">
        <v>5.8000000000000007</v>
      </c>
      <c r="AJ23" s="130">
        <v>1</v>
      </c>
      <c r="AK23" s="130">
        <v>28.599999999999998</v>
      </c>
      <c r="AL23" s="130">
        <f t="shared" si="2"/>
        <v>99.999999999999986</v>
      </c>
      <c r="AN23" s="130">
        <v>40.61</v>
      </c>
      <c r="AO23" s="130">
        <v>24.709999999999997</v>
      </c>
      <c r="AP23" s="130">
        <v>13.07</v>
      </c>
      <c r="AQ23" s="130">
        <v>3.53</v>
      </c>
      <c r="AR23" s="130">
        <v>18.079999999999998</v>
      </c>
      <c r="AS23" s="130">
        <f t="shared" si="3"/>
        <v>99.999999999999986</v>
      </c>
      <c r="AU23" s="130">
        <v>35.049999999999997</v>
      </c>
      <c r="AV23" s="130">
        <v>26.55</v>
      </c>
      <c r="AW23" s="130">
        <v>13.26</v>
      </c>
      <c r="AX23" s="130">
        <v>4.3099999999999996</v>
      </c>
      <c r="AY23" s="130">
        <v>20.830000000000002</v>
      </c>
      <c r="AZ23" s="130">
        <f t="shared" si="0"/>
        <v>100</v>
      </c>
    </row>
    <row r="24" spans="1:52" ht="20.100000000000001" customHeight="1" x14ac:dyDescent="0.3">
      <c r="A24" s="41">
        <v>16</v>
      </c>
      <c r="B24" s="42" t="s">
        <v>38</v>
      </c>
      <c r="C24" s="42" t="s">
        <v>38</v>
      </c>
      <c r="D24" s="43" t="s">
        <v>39</v>
      </c>
      <c r="E24" s="44">
        <v>45554</v>
      </c>
      <c r="F24" s="45"/>
      <c r="G24" s="43" t="s">
        <v>37</v>
      </c>
      <c r="H24" s="72">
        <v>29</v>
      </c>
      <c r="I24" s="72">
        <v>7.66</v>
      </c>
      <c r="J24" s="72">
        <v>6.83</v>
      </c>
      <c r="K24" s="73">
        <v>200.4</v>
      </c>
      <c r="L24" s="59"/>
      <c r="M24" s="60"/>
      <c r="N24" s="60"/>
      <c r="O24" s="61">
        <v>1.835</v>
      </c>
      <c r="P24" s="61"/>
      <c r="Q24" s="61"/>
      <c r="R24" s="61"/>
      <c r="S24" s="61"/>
      <c r="T24" s="61">
        <v>12.936</v>
      </c>
      <c r="U24" s="61">
        <v>8.52</v>
      </c>
      <c r="V24" s="61">
        <v>3.52</v>
      </c>
      <c r="W24" s="86">
        <v>13.9410216488528</v>
      </c>
      <c r="X24" s="86">
        <v>14.455444642589853</v>
      </c>
      <c r="Y24" s="48"/>
      <c r="Z24" s="116">
        <v>36.909999999999997</v>
      </c>
      <c r="AA24" s="116">
        <v>9.57</v>
      </c>
      <c r="AB24" s="116">
        <v>2.33</v>
      </c>
      <c r="AC24" s="116">
        <v>0.9</v>
      </c>
      <c r="AD24" s="116">
        <v>50.29</v>
      </c>
      <c r="AE24" s="116">
        <f t="shared" si="1"/>
        <v>100</v>
      </c>
      <c r="AG24" s="130">
        <v>42</v>
      </c>
      <c r="AH24" s="130">
        <v>13.5</v>
      </c>
      <c r="AI24" s="130">
        <v>6.9</v>
      </c>
      <c r="AJ24" s="130">
        <v>1</v>
      </c>
      <c r="AK24" s="130">
        <v>36.6</v>
      </c>
      <c r="AL24" s="130">
        <f t="shared" si="2"/>
        <v>100</v>
      </c>
      <c r="AN24" s="130">
        <v>25.21</v>
      </c>
      <c r="AO24" s="130">
        <v>25.76</v>
      </c>
      <c r="AP24" s="130">
        <v>13.91</v>
      </c>
      <c r="AQ24" s="130">
        <v>3.2199999999999998</v>
      </c>
      <c r="AR24" s="130">
        <v>31.900000000000002</v>
      </c>
      <c r="AS24" s="130">
        <f t="shared" si="3"/>
        <v>100</v>
      </c>
      <c r="AU24" s="130">
        <v>27.91</v>
      </c>
      <c r="AV24" s="130">
        <v>19.489999999999998</v>
      </c>
      <c r="AW24" s="130">
        <v>16.63</v>
      </c>
      <c r="AX24" s="130">
        <v>3.3000000000000003</v>
      </c>
      <c r="AY24" s="130">
        <v>32.67</v>
      </c>
      <c r="AZ24" s="130">
        <f t="shared" si="0"/>
        <v>100</v>
      </c>
    </row>
    <row r="25" spans="1:52" ht="20.100000000000001" customHeight="1" x14ac:dyDescent="0.3">
      <c r="A25" s="41">
        <v>17</v>
      </c>
      <c r="B25" s="42" t="s">
        <v>38</v>
      </c>
      <c r="C25" s="42" t="s">
        <v>38</v>
      </c>
      <c r="D25" s="43" t="s">
        <v>41</v>
      </c>
      <c r="E25" s="44">
        <v>45554</v>
      </c>
      <c r="F25" s="45"/>
      <c r="G25" s="43" t="s">
        <v>37</v>
      </c>
      <c r="H25" s="72">
        <v>31.2</v>
      </c>
      <c r="I25" s="72">
        <v>7.78</v>
      </c>
      <c r="J25" s="72">
        <v>8.76</v>
      </c>
      <c r="K25" s="73">
        <v>242.3</v>
      </c>
      <c r="L25" s="59"/>
      <c r="M25" s="60"/>
      <c r="N25" s="60"/>
      <c r="O25" s="60">
        <v>1.9239999999999999</v>
      </c>
      <c r="P25" s="60"/>
      <c r="Q25" s="60"/>
      <c r="R25" s="60"/>
      <c r="S25" s="60"/>
      <c r="T25" s="60">
        <v>21.669</v>
      </c>
      <c r="U25" s="60">
        <v>10.67</v>
      </c>
      <c r="V25" s="60">
        <v>2.06</v>
      </c>
      <c r="W25" s="85">
        <v>18.785204981710802</v>
      </c>
      <c r="X25" s="85">
        <v>10.859373350748992</v>
      </c>
      <c r="Y25" s="48"/>
      <c r="Z25" s="116">
        <v>41.9</v>
      </c>
      <c r="AA25" s="116">
        <v>1.5</v>
      </c>
      <c r="AB25" s="116">
        <v>1.81</v>
      </c>
      <c r="AC25" s="116">
        <v>0.09</v>
      </c>
      <c r="AD25" s="116">
        <v>54.7</v>
      </c>
      <c r="AE25" s="116">
        <f t="shared" si="1"/>
        <v>100</v>
      </c>
      <c r="AG25" s="130">
        <v>47.599999999999994</v>
      </c>
      <c r="AH25" s="130">
        <v>14.899999999999999</v>
      </c>
      <c r="AI25" s="130">
        <v>5.6000000000000005</v>
      </c>
      <c r="AJ25" s="130">
        <v>0.89999999999999991</v>
      </c>
      <c r="AK25" s="130">
        <v>31</v>
      </c>
      <c r="AL25" s="130">
        <f t="shared" si="2"/>
        <v>100</v>
      </c>
      <c r="AN25" s="130">
        <v>39.47</v>
      </c>
      <c r="AO25" s="130">
        <v>20.82</v>
      </c>
      <c r="AP25" s="130">
        <v>11.33</v>
      </c>
      <c r="AQ25" s="130">
        <v>2.71</v>
      </c>
      <c r="AR25" s="130">
        <v>25.669999999999998</v>
      </c>
      <c r="AS25" s="130">
        <f t="shared" si="3"/>
        <v>100</v>
      </c>
      <c r="AU25" s="130">
        <v>34.46</v>
      </c>
      <c r="AV25" s="130">
        <v>22.28</v>
      </c>
      <c r="AW25" s="130">
        <v>12.66</v>
      </c>
      <c r="AX25" s="130">
        <v>2.5100000000000002</v>
      </c>
      <c r="AY25" s="130">
        <v>28.09</v>
      </c>
      <c r="AZ25" s="130">
        <f t="shared" si="0"/>
        <v>100.00000000000001</v>
      </c>
    </row>
    <row r="26" spans="1:52" ht="20.100000000000001" customHeight="1" x14ac:dyDescent="0.3">
      <c r="A26" s="41">
        <v>18</v>
      </c>
      <c r="B26" s="42" t="s">
        <v>38</v>
      </c>
      <c r="C26" s="42" t="s">
        <v>38</v>
      </c>
      <c r="D26" s="43" t="s">
        <v>42</v>
      </c>
      <c r="E26" s="44">
        <v>45554</v>
      </c>
      <c r="F26" s="45"/>
      <c r="G26" s="43" t="s">
        <v>37</v>
      </c>
      <c r="H26" s="72">
        <v>31.05</v>
      </c>
      <c r="I26" s="72">
        <v>7.68</v>
      </c>
      <c r="J26" s="72">
        <v>9.3000000000000007</v>
      </c>
      <c r="K26" s="73">
        <v>295.2</v>
      </c>
      <c r="L26" s="59"/>
      <c r="M26" s="60"/>
      <c r="N26" s="60"/>
      <c r="O26" s="60">
        <v>1.694</v>
      </c>
      <c r="P26" s="60"/>
      <c r="Q26" s="60"/>
      <c r="R26" s="60"/>
      <c r="S26" s="60"/>
      <c r="T26" s="60">
        <v>34.601999999999997</v>
      </c>
      <c r="U26" s="60">
        <v>12.47</v>
      </c>
      <c r="V26" s="60">
        <v>1.56</v>
      </c>
      <c r="W26" s="85">
        <v>23.0926526076871</v>
      </c>
      <c r="X26" s="85">
        <v>9.5820343771464991</v>
      </c>
      <c r="Y26" s="48"/>
      <c r="Z26" s="118">
        <v>25.92</v>
      </c>
      <c r="AA26" s="118">
        <v>2.12</v>
      </c>
      <c r="AB26" s="118">
        <v>0.48</v>
      </c>
      <c r="AC26" s="118">
        <v>0.18</v>
      </c>
      <c r="AD26" s="118">
        <v>71.3</v>
      </c>
      <c r="AE26" s="118">
        <f t="shared" si="1"/>
        <v>100</v>
      </c>
      <c r="AF26" s="114"/>
      <c r="AG26" s="130">
        <v>51.5</v>
      </c>
      <c r="AH26" s="130">
        <v>16.2</v>
      </c>
      <c r="AI26" s="130">
        <v>4.7</v>
      </c>
      <c r="AJ26" s="130">
        <v>0.8</v>
      </c>
      <c r="AK26" s="130">
        <v>26.8</v>
      </c>
      <c r="AL26" s="131">
        <f t="shared" si="2"/>
        <v>100</v>
      </c>
      <c r="AN26" s="130">
        <v>44.84</v>
      </c>
      <c r="AO26" s="130">
        <v>22.900000000000002</v>
      </c>
      <c r="AP26" s="130">
        <v>8.6</v>
      </c>
      <c r="AQ26" s="130">
        <v>2.2800000000000002</v>
      </c>
      <c r="AR26" s="130">
        <v>21.38</v>
      </c>
      <c r="AS26" s="130">
        <f t="shared" si="3"/>
        <v>100</v>
      </c>
      <c r="AU26" s="130">
        <v>39.629999999999995</v>
      </c>
      <c r="AV26" s="130">
        <v>24.98</v>
      </c>
      <c r="AW26" s="130">
        <v>10.48</v>
      </c>
      <c r="AX26" s="130">
        <v>2.19</v>
      </c>
      <c r="AY26" s="130">
        <v>22.720000000000002</v>
      </c>
      <c r="AZ26" s="130">
        <f t="shared" si="0"/>
        <v>100</v>
      </c>
    </row>
    <row r="27" spans="1:52" ht="20.100000000000001" customHeight="1" x14ac:dyDescent="0.3">
      <c r="A27" s="41">
        <v>19</v>
      </c>
      <c r="B27" s="42" t="s">
        <v>38</v>
      </c>
      <c r="C27" s="42" t="s">
        <v>43</v>
      </c>
      <c r="D27" s="43" t="s">
        <v>40</v>
      </c>
      <c r="E27" s="44">
        <v>45554</v>
      </c>
      <c r="F27" s="45"/>
      <c r="G27" s="43" t="s">
        <v>37</v>
      </c>
      <c r="H27" s="72">
        <v>31.11</v>
      </c>
      <c r="I27" s="72">
        <v>7.69</v>
      </c>
      <c r="J27" s="72">
        <v>8.51</v>
      </c>
      <c r="K27" s="73">
        <v>393.3</v>
      </c>
      <c r="L27" s="59"/>
      <c r="M27" s="60"/>
      <c r="N27" s="60"/>
      <c r="O27" s="60">
        <v>4.9610000000000003</v>
      </c>
      <c r="P27" s="60"/>
      <c r="Q27" s="60"/>
      <c r="R27" s="60"/>
      <c r="S27" s="60"/>
      <c r="T27" s="60">
        <v>63.668999999999997</v>
      </c>
      <c r="U27" s="60">
        <v>13.59</v>
      </c>
      <c r="V27" s="60">
        <v>3.96</v>
      </c>
      <c r="W27" s="85">
        <v>20.478990392428699</v>
      </c>
      <c r="X27" s="85">
        <v>11.784308695411415</v>
      </c>
      <c r="Y27" s="48"/>
      <c r="Z27" s="118">
        <v>68.89</v>
      </c>
      <c r="AA27" s="118">
        <v>19.170000000000002</v>
      </c>
      <c r="AB27" s="118">
        <v>1.4</v>
      </c>
      <c r="AC27" s="118">
        <v>0.36</v>
      </c>
      <c r="AD27" s="118">
        <v>10.18</v>
      </c>
      <c r="AE27" s="118">
        <f t="shared" si="1"/>
        <v>100</v>
      </c>
      <c r="AF27" s="114"/>
      <c r="AG27" s="130">
        <v>52.400000000000006</v>
      </c>
      <c r="AH27" s="130">
        <v>18.5</v>
      </c>
      <c r="AI27" s="130">
        <v>4.8</v>
      </c>
      <c r="AJ27" s="130">
        <v>0.89999999999999991</v>
      </c>
      <c r="AK27" s="130">
        <v>23.400000000000002</v>
      </c>
      <c r="AL27" s="131">
        <f t="shared" si="2"/>
        <v>100.00000000000001</v>
      </c>
      <c r="AN27" s="130">
        <v>29.299999999999997</v>
      </c>
      <c r="AO27" s="130">
        <v>36.03</v>
      </c>
      <c r="AP27" s="130">
        <v>10.050000000000001</v>
      </c>
      <c r="AQ27" s="130">
        <v>3.4000000000000004</v>
      </c>
      <c r="AR27" s="130">
        <v>21.22</v>
      </c>
      <c r="AS27" s="130">
        <f t="shared" si="3"/>
        <v>100</v>
      </c>
      <c r="AU27" s="130">
        <v>40.119999999999997</v>
      </c>
      <c r="AV27" s="130">
        <v>30.17</v>
      </c>
      <c r="AW27" s="130">
        <v>10.290000000000001</v>
      </c>
      <c r="AX27" s="130">
        <v>3.4099999999999997</v>
      </c>
      <c r="AY27" s="130">
        <v>16.009999999999998</v>
      </c>
      <c r="AZ27" s="130">
        <f t="shared" si="0"/>
        <v>100</v>
      </c>
    </row>
    <row r="28" spans="1:52" ht="20.100000000000001" customHeight="1" x14ac:dyDescent="0.3">
      <c r="A28" s="41">
        <v>20</v>
      </c>
      <c r="B28" s="42" t="s">
        <v>38</v>
      </c>
      <c r="C28" s="42" t="s">
        <v>43</v>
      </c>
      <c r="D28" s="43" t="s">
        <v>44</v>
      </c>
      <c r="E28" s="44">
        <v>45554</v>
      </c>
      <c r="F28" s="45"/>
      <c r="G28" s="43" t="s">
        <v>37</v>
      </c>
      <c r="H28" s="72">
        <v>30</v>
      </c>
      <c r="I28" s="72">
        <v>7.58</v>
      </c>
      <c r="J28" s="72">
        <v>8.25</v>
      </c>
      <c r="K28" s="73">
        <v>398.5</v>
      </c>
      <c r="L28" s="59"/>
      <c r="M28" s="60"/>
      <c r="N28" s="60"/>
      <c r="O28" s="60">
        <v>4.0640000000000001</v>
      </c>
      <c r="P28" s="60"/>
      <c r="Q28" s="60"/>
      <c r="R28" s="60"/>
      <c r="S28" s="60"/>
      <c r="T28" s="60">
        <v>42.067</v>
      </c>
      <c r="U28" s="60">
        <v>10.210000000000001</v>
      </c>
      <c r="V28" s="60">
        <v>3.1</v>
      </c>
      <c r="W28" s="87">
        <v>16.1979172318017</v>
      </c>
      <c r="X28" s="87">
        <v>10.688000129315089</v>
      </c>
      <c r="Y28" s="48"/>
      <c r="Z28" s="116">
        <v>52.25</v>
      </c>
      <c r="AA28" s="116">
        <v>5.84</v>
      </c>
      <c r="AB28" s="116">
        <v>0.79</v>
      </c>
      <c r="AC28" s="116">
        <v>0.59</v>
      </c>
      <c r="AD28" s="116">
        <v>40.53</v>
      </c>
      <c r="AE28" s="116">
        <f t="shared" si="1"/>
        <v>100</v>
      </c>
      <c r="AG28" s="130">
        <v>46.2</v>
      </c>
      <c r="AH28" s="130">
        <v>15.1</v>
      </c>
      <c r="AI28" s="130">
        <v>5.8000000000000007</v>
      </c>
      <c r="AJ28" s="130">
        <v>1</v>
      </c>
      <c r="AK28" s="130">
        <v>31.900000000000002</v>
      </c>
      <c r="AL28" s="130">
        <f t="shared" si="2"/>
        <v>100.00000000000001</v>
      </c>
      <c r="AN28" s="130">
        <v>34.880000000000003</v>
      </c>
      <c r="AO28" s="130">
        <v>21.9</v>
      </c>
      <c r="AP28" s="130">
        <v>10.79</v>
      </c>
      <c r="AQ28" s="130">
        <v>2.6599999999999997</v>
      </c>
      <c r="AR28" s="130">
        <v>29.770000000000003</v>
      </c>
      <c r="AS28" s="130">
        <f t="shared" si="3"/>
        <v>100</v>
      </c>
      <c r="AU28" s="130">
        <v>32.940000000000005</v>
      </c>
      <c r="AV28" s="130">
        <v>22.51</v>
      </c>
      <c r="AW28" s="130">
        <v>13.780000000000001</v>
      </c>
      <c r="AX28" s="130">
        <v>3.09</v>
      </c>
      <c r="AY28" s="130">
        <v>27.68</v>
      </c>
      <c r="AZ28" s="130">
        <f t="shared" si="0"/>
        <v>100</v>
      </c>
    </row>
    <row r="29" spans="1:52" ht="20.100000000000001" customHeight="1" x14ac:dyDescent="0.3">
      <c r="A29" s="25">
        <v>21</v>
      </c>
      <c r="B29" s="17" t="s">
        <v>45</v>
      </c>
      <c r="C29" s="17" t="s">
        <v>45</v>
      </c>
      <c r="D29" s="18" t="s">
        <v>46</v>
      </c>
      <c r="E29" s="26">
        <v>45554</v>
      </c>
      <c r="F29" s="20"/>
      <c r="G29" s="18" t="s">
        <v>37</v>
      </c>
      <c r="H29" s="28">
        <v>27.04</v>
      </c>
      <c r="I29" s="28">
        <v>7.6</v>
      </c>
      <c r="J29" s="28">
        <v>8.77</v>
      </c>
      <c r="K29" s="74">
        <v>190</v>
      </c>
      <c r="L29" s="57"/>
      <c r="M29" s="54"/>
      <c r="N29" s="54"/>
      <c r="O29" s="58">
        <v>0.49</v>
      </c>
      <c r="P29" s="58"/>
      <c r="Q29" s="58"/>
      <c r="R29" s="58"/>
      <c r="S29" s="58"/>
      <c r="T29" s="58">
        <v>11.234</v>
      </c>
      <c r="U29" s="58">
        <v>10</v>
      </c>
      <c r="V29" s="58">
        <v>2.96</v>
      </c>
      <c r="W29" s="86">
        <v>19.212721507059499</v>
      </c>
      <c r="X29" s="86">
        <v>11.710734289954006</v>
      </c>
      <c r="Y29" s="21"/>
      <c r="Z29" s="116">
        <v>50.84</v>
      </c>
      <c r="AA29" s="116">
        <v>3.68</v>
      </c>
      <c r="AB29" s="116">
        <v>0.71</v>
      </c>
      <c r="AC29" s="116">
        <v>0.43</v>
      </c>
      <c r="AD29" s="116">
        <v>44.34</v>
      </c>
      <c r="AE29" s="116">
        <f t="shared" si="1"/>
        <v>100</v>
      </c>
      <c r="AG29" s="130">
        <v>46.1</v>
      </c>
      <c r="AH29" s="130">
        <v>14.799999999999999</v>
      </c>
      <c r="AI29" s="130">
        <v>6</v>
      </c>
      <c r="AJ29" s="130">
        <v>0.89999999999999991</v>
      </c>
      <c r="AK29" s="130">
        <v>32.200000000000003</v>
      </c>
      <c r="AL29" s="130">
        <f t="shared" si="2"/>
        <v>100.00000000000001</v>
      </c>
      <c r="AN29" s="130">
        <v>28.54</v>
      </c>
      <c r="AO29" s="130">
        <v>25.82</v>
      </c>
      <c r="AP29" s="130">
        <v>12.030000000000001</v>
      </c>
      <c r="AQ29" s="130">
        <v>2.6100000000000003</v>
      </c>
      <c r="AR29" s="130">
        <v>31</v>
      </c>
      <c r="AS29" s="130">
        <f t="shared" si="3"/>
        <v>100</v>
      </c>
      <c r="AU29" s="130">
        <v>32.440000000000005</v>
      </c>
      <c r="AV29" s="130">
        <v>21.9</v>
      </c>
      <c r="AW29" s="130">
        <v>13.99</v>
      </c>
      <c r="AX29" s="130">
        <v>3</v>
      </c>
      <c r="AY29" s="130">
        <v>28.67</v>
      </c>
      <c r="AZ29" s="130">
        <f t="shared" si="0"/>
        <v>100</v>
      </c>
    </row>
    <row r="30" spans="1:52" ht="20.100000000000001" customHeight="1" x14ac:dyDescent="0.3">
      <c r="A30" s="25">
        <v>22</v>
      </c>
      <c r="B30" s="17" t="s">
        <v>45</v>
      </c>
      <c r="C30" s="17" t="s">
        <v>45</v>
      </c>
      <c r="D30" s="22" t="s">
        <v>47</v>
      </c>
      <c r="E30" s="26">
        <v>45554</v>
      </c>
      <c r="F30" s="23"/>
      <c r="G30" s="18" t="s">
        <v>37</v>
      </c>
      <c r="H30" s="28">
        <v>27.15</v>
      </c>
      <c r="I30" s="28">
        <v>7.07</v>
      </c>
      <c r="J30" s="28">
        <v>8.2100000000000009</v>
      </c>
      <c r="K30" s="74">
        <v>170</v>
      </c>
      <c r="L30" s="57"/>
      <c r="M30" s="55"/>
      <c r="N30" s="55"/>
      <c r="O30" s="55">
        <v>1.1399999999999999</v>
      </c>
      <c r="P30" s="55"/>
      <c r="Q30" s="55"/>
      <c r="R30" s="55"/>
      <c r="S30" s="55"/>
      <c r="T30" s="55">
        <v>17.195</v>
      </c>
      <c r="U30" s="55">
        <v>10.44</v>
      </c>
      <c r="V30" s="55">
        <v>1.64</v>
      </c>
      <c r="W30" s="87">
        <v>19.488333528425802</v>
      </c>
      <c r="X30" s="87">
        <v>11.729203250046893</v>
      </c>
      <c r="Y30" s="24"/>
      <c r="Z30" s="118">
        <v>18.440000000000001</v>
      </c>
      <c r="AA30" s="118">
        <v>2.79</v>
      </c>
      <c r="AB30" s="118">
        <v>1.19</v>
      </c>
      <c r="AC30" s="118">
        <v>0.18</v>
      </c>
      <c r="AD30" s="118">
        <v>77.400000000000006</v>
      </c>
      <c r="AE30" s="118">
        <f t="shared" si="1"/>
        <v>100</v>
      </c>
      <c r="AF30" s="114"/>
      <c r="AG30" s="130">
        <v>46.9</v>
      </c>
      <c r="AH30" s="130">
        <v>15.1</v>
      </c>
      <c r="AI30" s="130">
        <v>5.5</v>
      </c>
      <c r="AJ30" s="130">
        <v>0.89999999999999991</v>
      </c>
      <c r="AK30" s="130">
        <v>31.6</v>
      </c>
      <c r="AL30" s="131">
        <f t="shared" si="2"/>
        <v>100</v>
      </c>
      <c r="AN30" s="130">
        <v>39.61</v>
      </c>
      <c r="AO30" s="130">
        <v>20.36</v>
      </c>
      <c r="AP30" s="130">
        <v>10.41</v>
      </c>
      <c r="AQ30" s="130">
        <v>2.67</v>
      </c>
      <c r="AR30" s="130">
        <v>26.950000000000003</v>
      </c>
      <c r="AS30" s="130">
        <f t="shared" si="3"/>
        <v>100</v>
      </c>
      <c r="AU30" s="130">
        <v>33.94</v>
      </c>
      <c r="AV30" s="130">
        <v>21.310000000000002</v>
      </c>
      <c r="AW30" s="130">
        <v>12.73</v>
      </c>
      <c r="AX30" s="130">
        <v>2.2999999999999998</v>
      </c>
      <c r="AY30" s="130">
        <v>29.720000000000002</v>
      </c>
      <c r="AZ30" s="130">
        <f t="shared" si="0"/>
        <v>100</v>
      </c>
    </row>
    <row r="31" spans="1:52" ht="20.100000000000001" customHeight="1" x14ac:dyDescent="0.3">
      <c r="A31" s="25">
        <v>23</v>
      </c>
      <c r="B31" s="17" t="s">
        <v>45</v>
      </c>
      <c r="C31" s="17" t="s">
        <v>45</v>
      </c>
      <c r="D31" s="22" t="s">
        <v>29</v>
      </c>
      <c r="E31" s="26">
        <v>45554</v>
      </c>
      <c r="F31" s="23"/>
      <c r="G31" s="18" t="s">
        <v>37</v>
      </c>
      <c r="H31" s="75">
        <v>29.1</v>
      </c>
      <c r="I31" s="75">
        <v>7.14</v>
      </c>
      <c r="J31" s="75">
        <v>9.57</v>
      </c>
      <c r="K31" s="77">
        <v>163</v>
      </c>
      <c r="L31" s="57"/>
      <c r="M31" s="55"/>
      <c r="N31" s="55"/>
      <c r="O31" s="55">
        <v>1.2929999999999999</v>
      </c>
      <c r="P31" s="55"/>
      <c r="Q31" s="55"/>
      <c r="R31" s="55"/>
      <c r="S31" s="55"/>
      <c r="T31" s="55">
        <v>17.489999999999998</v>
      </c>
      <c r="U31" s="55">
        <v>12.09</v>
      </c>
      <c r="V31" s="55">
        <v>1.59</v>
      </c>
      <c r="W31" s="87">
        <v>19.602583287055499</v>
      </c>
      <c r="X31" s="87">
        <v>11.489430196837569</v>
      </c>
      <c r="Y31" s="24"/>
      <c r="Z31" s="118">
        <v>12.02</v>
      </c>
      <c r="AA31" s="118">
        <v>1.25</v>
      </c>
      <c r="AB31" s="118">
        <v>1.54</v>
      </c>
      <c r="AC31" s="118">
        <v>0.27</v>
      </c>
      <c r="AD31" s="118">
        <v>84.92</v>
      </c>
      <c r="AE31" s="118">
        <f t="shared" si="1"/>
        <v>100</v>
      </c>
      <c r="AF31" s="114"/>
      <c r="AG31" s="130">
        <v>50.3</v>
      </c>
      <c r="AH31" s="130">
        <v>16.100000000000001</v>
      </c>
      <c r="AI31" s="130">
        <v>4.9000000000000004</v>
      </c>
      <c r="AJ31" s="130">
        <v>0.89999999999999991</v>
      </c>
      <c r="AK31" s="130">
        <v>27.800000000000004</v>
      </c>
      <c r="AL31" s="131">
        <f t="shared" si="2"/>
        <v>100.00000000000003</v>
      </c>
      <c r="AN31" s="130">
        <v>42.76</v>
      </c>
      <c r="AO31" s="130">
        <v>22.42</v>
      </c>
      <c r="AP31" s="130">
        <v>8.81</v>
      </c>
      <c r="AQ31" s="130">
        <v>2.12</v>
      </c>
      <c r="AR31" s="130">
        <v>23.89</v>
      </c>
      <c r="AS31" s="130">
        <f t="shared" si="3"/>
        <v>100.00000000000001</v>
      </c>
      <c r="AU31" s="130">
        <v>38.619999999999997</v>
      </c>
      <c r="AV31" s="130">
        <v>24.41</v>
      </c>
      <c r="AW31" s="130">
        <v>10.870000000000001</v>
      </c>
      <c r="AX31" s="130">
        <v>2.23</v>
      </c>
      <c r="AY31" s="130">
        <v>23.87</v>
      </c>
      <c r="AZ31" s="130">
        <f t="shared" si="0"/>
        <v>100.00000000000001</v>
      </c>
    </row>
    <row r="32" spans="1:52" ht="20.100000000000001" customHeight="1" x14ac:dyDescent="0.3">
      <c r="A32" s="25">
        <v>24</v>
      </c>
      <c r="B32" s="17" t="s">
        <v>45</v>
      </c>
      <c r="C32" s="17" t="s">
        <v>45</v>
      </c>
      <c r="D32" s="18" t="s">
        <v>48</v>
      </c>
      <c r="E32" s="26">
        <v>45554</v>
      </c>
      <c r="F32" s="20"/>
      <c r="G32" s="18" t="s">
        <v>19</v>
      </c>
      <c r="H32" s="28">
        <v>29.14</v>
      </c>
      <c r="I32" s="28">
        <v>6.95</v>
      </c>
      <c r="J32" s="28">
        <v>8.77</v>
      </c>
      <c r="K32" s="74">
        <v>155</v>
      </c>
      <c r="L32" s="57"/>
      <c r="M32" s="54"/>
      <c r="N32" s="54"/>
      <c r="O32" s="54">
        <v>0.83899999999999997</v>
      </c>
      <c r="P32" s="54"/>
      <c r="Q32" s="54"/>
      <c r="R32" s="54"/>
      <c r="S32" s="54"/>
      <c r="T32" s="54">
        <v>16.988</v>
      </c>
      <c r="U32" s="54">
        <v>9.6999999999999993</v>
      </c>
      <c r="V32" s="54">
        <v>-0.33</v>
      </c>
      <c r="W32" s="85">
        <v>19.456382492073001</v>
      </c>
      <c r="X32" s="85">
        <v>10.817744322287382</v>
      </c>
      <c r="Y32" s="21"/>
      <c r="Z32" s="118">
        <v>5.91</v>
      </c>
      <c r="AA32" s="118">
        <v>2.4900000000000002</v>
      </c>
      <c r="AB32" s="118">
        <v>1.37</v>
      </c>
      <c r="AC32" s="118">
        <v>0.26</v>
      </c>
      <c r="AD32" s="118">
        <v>89.97</v>
      </c>
      <c r="AE32" s="118">
        <f t="shared" si="1"/>
        <v>100</v>
      </c>
      <c r="AF32" s="114"/>
      <c r="AG32" s="130">
        <v>45.1</v>
      </c>
      <c r="AH32" s="130">
        <v>12.8</v>
      </c>
      <c r="AI32" s="130">
        <v>5.7</v>
      </c>
      <c r="AJ32" s="130">
        <v>0.8</v>
      </c>
      <c r="AK32" s="130">
        <v>35.6</v>
      </c>
      <c r="AL32" s="131">
        <f t="shared" si="2"/>
        <v>100</v>
      </c>
      <c r="AN32" s="130">
        <v>29.049999999999997</v>
      </c>
      <c r="AO32" s="130">
        <v>28.28</v>
      </c>
      <c r="AP32" s="130">
        <v>8.27</v>
      </c>
      <c r="AQ32" s="130">
        <v>2.52</v>
      </c>
      <c r="AR32" s="130">
        <v>31.879999999999995</v>
      </c>
      <c r="AS32" s="130">
        <f t="shared" si="3"/>
        <v>99.999999999999986</v>
      </c>
      <c r="AU32" s="130">
        <v>31.95</v>
      </c>
      <c r="AV32" s="130">
        <v>17.64</v>
      </c>
      <c r="AW32" s="130">
        <v>12.5</v>
      </c>
      <c r="AX32" s="130">
        <v>1.5</v>
      </c>
      <c r="AY32" s="130">
        <v>36.409999999999997</v>
      </c>
      <c r="AZ32" s="130">
        <f t="shared" si="0"/>
        <v>100</v>
      </c>
    </row>
    <row r="33" spans="1:45" ht="20.100000000000001" customHeight="1" x14ac:dyDescent="0.3"/>
    <row r="34" spans="1:45" ht="20.100000000000001" customHeight="1" x14ac:dyDescent="0.3">
      <c r="AN34" s="114"/>
    </row>
    <row r="35" spans="1:45" ht="20.100000000000001" customHeight="1" x14ac:dyDescent="0.3">
      <c r="AN35" s="114"/>
      <c r="AO35" s="114"/>
      <c r="AP35" s="114"/>
      <c r="AQ35" s="114"/>
      <c r="AR35" s="114"/>
      <c r="AS35" s="115"/>
    </row>
    <row r="36" spans="1:45" ht="17.25" thickBot="1" x14ac:dyDescent="0.35">
      <c r="AC36" s="5" t="s">
        <v>1352</v>
      </c>
    </row>
    <row r="37" spans="1:45" ht="19.5" thickBot="1" x14ac:dyDescent="0.35">
      <c r="A37" s="142" t="s">
        <v>1</v>
      </c>
      <c r="B37" s="142" t="s">
        <v>62</v>
      </c>
      <c r="C37" s="142" t="s">
        <v>63</v>
      </c>
      <c r="D37" s="142" t="s">
        <v>7</v>
      </c>
      <c r="E37" s="150" t="s">
        <v>8</v>
      </c>
      <c r="F37" s="151"/>
      <c r="G37" s="137" t="s">
        <v>9</v>
      </c>
      <c r="H37" s="138"/>
      <c r="I37" s="138"/>
      <c r="J37" s="138"/>
      <c r="K37" s="149"/>
      <c r="L37" s="137" t="s">
        <v>56</v>
      </c>
      <c r="M37" s="138"/>
      <c r="N37" s="138"/>
      <c r="O37" s="138"/>
      <c r="P37" s="138"/>
      <c r="Q37" s="138"/>
      <c r="R37" s="138"/>
      <c r="S37" s="138"/>
      <c r="T37" s="138"/>
      <c r="U37" s="9"/>
      <c r="V37" s="9"/>
      <c r="W37" s="9"/>
      <c r="X37" s="9"/>
      <c r="Y37" s="147" t="s">
        <v>10</v>
      </c>
      <c r="Z37" s="114" t="s">
        <v>1338</v>
      </c>
      <c r="AE37">
        <v>100</v>
      </c>
      <c r="AG37" s="114" t="s">
        <v>1351</v>
      </c>
    </row>
    <row r="38" spans="1:45" ht="18.75" thickBot="1" x14ac:dyDescent="0.35">
      <c r="A38" s="141"/>
      <c r="B38" s="141"/>
      <c r="C38" s="141"/>
      <c r="D38" s="141"/>
      <c r="E38" s="1" t="s">
        <v>0</v>
      </c>
      <c r="F38" s="4" t="s">
        <v>11</v>
      </c>
      <c r="G38" s="4" t="s">
        <v>12</v>
      </c>
      <c r="H38" s="4" t="s">
        <v>13</v>
      </c>
      <c r="I38" s="4" t="s">
        <v>14</v>
      </c>
      <c r="J38" s="51" t="s">
        <v>15</v>
      </c>
      <c r="K38" s="51" t="s">
        <v>16</v>
      </c>
      <c r="L38" s="51" t="s">
        <v>6</v>
      </c>
      <c r="M38" s="51" t="s">
        <v>51</v>
      </c>
      <c r="N38" s="51" t="s">
        <v>125</v>
      </c>
      <c r="O38" s="51" t="s">
        <v>126</v>
      </c>
      <c r="P38" s="51" t="s">
        <v>127</v>
      </c>
      <c r="Q38" s="51" t="s">
        <v>53</v>
      </c>
      <c r="R38" s="51" t="s">
        <v>54</v>
      </c>
      <c r="S38" s="51" t="s">
        <v>128</v>
      </c>
      <c r="T38" s="51" t="s">
        <v>129</v>
      </c>
      <c r="U38" s="51" t="s">
        <v>130</v>
      </c>
      <c r="V38" s="4" t="s">
        <v>78</v>
      </c>
      <c r="W38" s="4" t="s">
        <v>131</v>
      </c>
      <c r="X38" s="10" t="s">
        <v>76</v>
      </c>
      <c r="Y38" s="148"/>
      <c r="Z38" s="114" t="s">
        <v>178</v>
      </c>
      <c r="AA38" s="114" t="s">
        <v>179</v>
      </c>
      <c r="AB38" s="114" t="s">
        <v>180</v>
      </c>
      <c r="AC38" s="114" t="s">
        <v>181</v>
      </c>
      <c r="AD38" s="114" t="s">
        <v>182</v>
      </c>
      <c r="AE38" s="115" t="s">
        <v>326</v>
      </c>
      <c r="AG38" s="114" t="s">
        <v>178</v>
      </c>
      <c r="AH38" s="114" t="s">
        <v>179</v>
      </c>
      <c r="AI38" s="114" t="s">
        <v>180</v>
      </c>
      <c r="AJ38" s="114" t="s">
        <v>181</v>
      </c>
      <c r="AK38" s="114" t="s">
        <v>182</v>
      </c>
    </row>
    <row r="39" spans="1:45" x14ac:dyDescent="0.3">
      <c r="A39" s="11">
        <v>1</v>
      </c>
      <c r="B39" s="12" t="s">
        <v>17</v>
      </c>
      <c r="C39" s="12" t="s">
        <v>17</v>
      </c>
      <c r="D39" s="13" t="s">
        <v>18</v>
      </c>
      <c r="E39" s="36">
        <v>45554</v>
      </c>
      <c r="F39" s="15"/>
      <c r="G39" s="13" t="s">
        <v>19</v>
      </c>
      <c r="H39" s="27">
        <v>29.1</v>
      </c>
      <c r="I39" s="27">
        <v>7.79</v>
      </c>
      <c r="J39" s="27">
        <v>7.41</v>
      </c>
      <c r="K39" s="76">
        <v>213</v>
      </c>
      <c r="L39" s="56"/>
      <c r="M39" s="53"/>
      <c r="N39" s="53"/>
      <c r="O39" s="53">
        <v>0.79800000000000004</v>
      </c>
      <c r="P39" s="53"/>
      <c r="Q39" s="53"/>
      <c r="R39" s="53"/>
      <c r="S39" s="53"/>
      <c r="T39" s="53">
        <v>19.614999999999998</v>
      </c>
      <c r="U39" s="53">
        <v>8.39</v>
      </c>
      <c r="V39" s="53">
        <v>-1.28</v>
      </c>
      <c r="W39" s="84">
        <v>27.662456528967201</v>
      </c>
      <c r="X39" s="84">
        <v>4.8610379223890661</v>
      </c>
      <c r="Y39" s="16"/>
      <c r="Z39" s="130">
        <v>46.9</v>
      </c>
      <c r="AA39" s="130">
        <v>13</v>
      </c>
      <c r="AB39" s="130">
        <v>4.9000000000000004</v>
      </c>
      <c r="AC39" s="130">
        <v>0.70000000000000007</v>
      </c>
      <c r="AD39" s="130">
        <v>34.5</v>
      </c>
      <c r="AE39" s="130">
        <f>SUM(Z39:AD39)</f>
        <v>100</v>
      </c>
      <c r="AG39" s="117">
        <v>0.14799999999999999</v>
      </c>
      <c r="AH39" s="117">
        <v>8.3000000000000004E-2</v>
      </c>
      <c r="AI39" s="117">
        <v>4.5999999999999999E-2</v>
      </c>
      <c r="AJ39" s="117">
        <v>0.01</v>
      </c>
      <c r="AK39" s="117">
        <v>0.124</v>
      </c>
    </row>
    <row r="40" spans="1:45" x14ac:dyDescent="0.3">
      <c r="A40" s="25">
        <v>2</v>
      </c>
      <c r="B40" s="17" t="s">
        <v>17</v>
      </c>
      <c r="C40" s="17" t="s">
        <v>17</v>
      </c>
      <c r="D40" s="18" t="s">
        <v>20</v>
      </c>
      <c r="E40" s="26">
        <v>45554</v>
      </c>
      <c r="F40" s="20"/>
      <c r="G40" s="18" t="s">
        <v>19</v>
      </c>
      <c r="H40" s="28">
        <v>31.1</v>
      </c>
      <c r="I40" s="28">
        <v>8.2100000000000009</v>
      </c>
      <c r="J40" s="28">
        <v>8.58</v>
      </c>
      <c r="K40" s="74">
        <v>364</v>
      </c>
      <c r="L40" s="57"/>
      <c r="M40" s="54"/>
      <c r="N40" s="54"/>
      <c r="O40" s="54">
        <v>4.1859999999999999</v>
      </c>
      <c r="P40" s="54"/>
      <c r="Q40" s="54"/>
      <c r="R40" s="54"/>
      <c r="S40" s="54"/>
      <c r="T40" s="54">
        <v>42.957000000000001</v>
      </c>
      <c r="U40" s="54">
        <v>13.52</v>
      </c>
      <c r="V40" s="54">
        <v>-2.37</v>
      </c>
      <c r="W40" s="85">
        <v>24.7672766162591</v>
      </c>
      <c r="X40" s="85">
        <v>9.7239065437712533</v>
      </c>
      <c r="Y40" s="21"/>
      <c r="Z40" s="130">
        <v>54.500000000000007</v>
      </c>
      <c r="AA40" s="130">
        <v>15.1</v>
      </c>
      <c r="AB40" s="130">
        <v>3.9</v>
      </c>
      <c r="AC40" s="130">
        <v>0.70000000000000007</v>
      </c>
      <c r="AD40" s="130">
        <v>25.8</v>
      </c>
      <c r="AE40" s="130">
        <f t="shared" ref="AE40:AE62" si="4">SUM(Z40:AD40)</f>
        <v>100.00000000000001</v>
      </c>
      <c r="AG40" s="117">
        <v>0.248</v>
      </c>
      <c r="AH40" s="117">
        <v>0.16900000000000001</v>
      </c>
      <c r="AI40" s="117">
        <v>5.2999999999999999E-2</v>
      </c>
      <c r="AJ40" s="117">
        <v>1.7000000000000001E-2</v>
      </c>
      <c r="AK40" s="117">
        <v>0.189</v>
      </c>
    </row>
    <row r="41" spans="1:45" x14ac:dyDescent="0.3">
      <c r="A41" s="25">
        <v>3</v>
      </c>
      <c r="B41" s="17" t="s">
        <v>17</v>
      </c>
      <c r="C41" s="17" t="s">
        <v>17</v>
      </c>
      <c r="D41" s="18" t="s">
        <v>21</v>
      </c>
      <c r="E41" s="26">
        <v>45554</v>
      </c>
      <c r="F41" s="20"/>
      <c r="G41" s="18" t="s">
        <v>19</v>
      </c>
      <c r="H41" s="28">
        <v>32.799999999999997</v>
      </c>
      <c r="I41" s="28">
        <v>8.0500000000000007</v>
      </c>
      <c r="J41" s="28">
        <v>8.2899999999999991</v>
      </c>
      <c r="K41" s="74">
        <v>391</v>
      </c>
      <c r="L41" s="57"/>
      <c r="M41" s="54"/>
      <c r="N41" s="54"/>
      <c r="O41" s="54">
        <v>3.1080000000000001</v>
      </c>
      <c r="P41" s="54"/>
      <c r="Q41" s="54"/>
      <c r="R41" s="54"/>
      <c r="S41" s="54"/>
      <c r="T41" s="54">
        <v>47.884</v>
      </c>
      <c r="U41" s="58">
        <v>14.02</v>
      </c>
      <c r="V41" s="58">
        <v>-3.68</v>
      </c>
      <c r="W41" s="86">
        <v>24.0792961930403</v>
      </c>
      <c r="X41" s="85">
        <v>9.7627583260568862</v>
      </c>
      <c r="Y41" s="21"/>
      <c r="Z41" s="130">
        <v>55.300000000000004</v>
      </c>
      <c r="AA41" s="130">
        <v>15.6</v>
      </c>
      <c r="AB41" s="130">
        <v>3.6999999999999997</v>
      </c>
      <c r="AC41" s="130">
        <v>0.6</v>
      </c>
      <c r="AD41" s="130">
        <v>24.8</v>
      </c>
      <c r="AE41" s="130">
        <f t="shared" si="4"/>
        <v>100</v>
      </c>
      <c r="AG41" s="117">
        <v>0.26600000000000001</v>
      </c>
      <c r="AH41" s="117">
        <v>0.184</v>
      </c>
      <c r="AI41" s="117">
        <v>0.05</v>
      </c>
      <c r="AJ41" s="117">
        <v>1.4E-2</v>
      </c>
      <c r="AK41" s="117">
        <v>0.19800000000000001</v>
      </c>
    </row>
    <row r="42" spans="1:45" x14ac:dyDescent="0.3">
      <c r="A42" s="25">
        <v>4</v>
      </c>
      <c r="B42" s="17" t="s">
        <v>17</v>
      </c>
      <c r="C42" s="17" t="s">
        <v>17</v>
      </c>
      <c r="D42" s="18" t="s">
        <v>22</v>
      </c>
      <c r="E42" s="26">
        <v>45554</v>
      </c>
      <c r="F42" s="20"/>
      <c r="G42" s="18" t="s">
        <v>19</v>
      </c>
      <c r="H42" s="28">
        <v>32.799999999999997</v>
      </c>
      <c r="I42" s="28">
        <v>8.24</v>
      </c>
      <c r="J42" s="28">
        <v>9.39</v>
      </c>
      <c r="K42" s="74">
        <v>333</v>
      </c>
      <c r="L42" s="57"/>
      <c r="M42" s="54"/>
      <c r="N42" s="54"/>
      <c r="O42" s="54">
        <v>1.391</v>
      </c>
      <c r="P42" s="54"/>
      <c r="Q42" s="54"/>
      <c r="R42" s="54"/>
      <c r="S42" s="54"/>
      <c r="T42" s="54">
        <v>38.052999999999997</v>
      </c>
      <c r="U42" s="55">
        <v>14.22</v>
      </c>
      <c r="V42" s="55">
        <v>-1.24</v>
      </c>
      <c r="W42" s="87">
        <v>21.889296347698799</v>
      </c>
      <c r="X42" s="87">
        <v>10.573961372083717</v>
      </c>
      <c r="Y42" s="21"/>
      <c r="Z42" s="130">
        <v>56.2</v>
      </c>
      <c r="AA42" s="130">
        <v>16.3</v>
      </c>
      <c r="AB42" s="130">
        <v>3.6999999999999997</v>
      </c>
      <c r="AC42" s="130">
        <v>0.70000000000000007</v>
      </c>
      <c r="AD42" s="130">
        <v>23.1</v>
      </c>
      <c r="AE42" s="130">
        <f t="shared" si="4"/>
        <v>100</v>
      </c>
      <c r="AG42" s="117">
        <v>0.249</v>
      </c>
      <c r="AH42" s="117">
        <v>0.17899999999999999</v>
      </c>
      <c r="AI42" s="117">
        <v>4.7E-2</v>
      </c>
      <c r="AJ42" s="117">
        <v>1.4999999999999999E-2</v>
      </c>
      <c r="AK42" s="117">
        <v>0.17199999999999999</v>
      </c>
    </row>
    <row r="43" spans="1:45" x14ac:dyDescent="0.3">
      <c r="A43" s="41">
        <v>5</v>
      </c>
      <c r="B43" s="42" t="s">
        <v>23</v>
      </c>
      <c r="C43" s="42" t="s">
        <v>23</v>
      </c>
      <c r="D43" s="43" t="s">
        <v>24</v>
      </c>
      <c r="E43" s="44">
        <v>45554</v>
      </c>
      <c r="F43" s="45"/>
      <c r="G43" s="43" t="s">
        <v>19</v>
      </c>
      <c r="H43" s="72">
        <v>28.75</v>
      </c>
      <c r="I43" s="72">
        <v>6.94</v>
      </c>
      <c r="J43" s="72">
        <v>7.81</v>
      </c>
      <c r="K43" s="73">
        <v>148</v>
      </c>
      <c r="L43" s="59"/>
      <c r="M43" s="60"/>
      <c r="N43" s="60"/>
      <c r="O43" s="61">
        <v>0.77700000000000002</v>
      </c>
      <c r="P43" s="61"/>
      <c r="Q43" s="61"/>
      <c r="R43" s="61"/>
      <c r="S43" s="61"/>
      <c r="T43" s="61">
        <v>14.064</v>
      </c>
      <c r="U43" s="61">
        <v>8.1300000000000008</v>
      </c>
      <c r="V43" s="61">
        <v>2.91</v>
      </c>
      <c r="W43" s="86">
        <v>13.911002779847699</v>
      </c>
      <c r="X43" s="86">
        <v>10.855459951514934</v>
      </c>
      <c r="Y43" s="48"/>
      <c r="Z43" s="130">
        <v>41.6</v>
      </c>
      <c r="AA43" s="130">
        <v>12.9</v>
      </c>
      <c r="AB43" s="130">
        <v>7.0000000000000009</v>
      </c>
      <c r="AC43" s="130">
        <v>1</v>
      </c>
      <c r="AD43" s="130">
        <v>37.5</v>
      </c>
      <c r="AE43" s="130">
        <f t="shared" si="4"/>
        <v>100</v>
      </c>
      <c r="AG43" s="117">
        <v>0.223</v>
      </c>
      <c r="AH43" s="117">
        <v>0.123</v>
      </c>
      <c r="AI43" s="117">
        <v>9.5000000000000001E-2</v>
      </c>
      <c r="AJ43" s="117">
        <v>1.9E-2</v>
      </c>
      <c r="AK43" s="117">
        <v>0.214</v>
      </c>
    </row>
    <row r="44" spans="1:45" x14ac:dyDescent="0.3">
      <c r="A44" s="41">
        <v>6</v>
      </c>
      <c r="B44" s="42" t="s">
        <v>23</v>
      </c>
      <c r="C44" s="42" t="s">
        <v>23</v>
      </c>
      <c r="D44" s="43" t="s">
        <v>25</v>
      </c>
      <c r="E44" s="44">
        <v>45554</v>
      </c>
      <c r="F44" s="45"/>
      <c r="G44" s="43" t="s">
        <v>19</v>
      </c>
      <c r="H44" s="72">
        <v>28.65</v>
      </c>
      <c r="I44" s="72">
        <v>6.75</v>
      </c>
      <c r="J44" s="72">
        <v>8.06</v>
      </c>
      <c r="K44" s="73">
        <v>177</v>
      </c>
      <c r="L44" s="59"/>
      <c r="M44" s="60"/>
      <c r="N44" s="60"/>
      <c r="O44" s="60">
        <v>1.403</v>
      </c>
      <c r="P44" s="60"/>
      <c r="Q44" s="60"/>
      <c r="R44" s="60"/>
      <c r="S44" s="60"/>
      <c r="T44" s="60">
        <v>23.036000000000001</v>
      </c>
      <c r="U44" s="60">
        <v>9.49</v>
      </c>
      <c r="V44" s="60">
        <v>2.95</v>
      </c>
      <c r="W44" s="85">
        <v>22.975329252380899</v>
      </c>
      <c r="X44" s="85">
        <v>9.6362096420400398</v>
      </c>
      <c r="Y44" s="48"/>
      <c r="Z44" s="130">
        <v>44</v>
      </c>
      <c r="AA44" s="130">
        <v>14.399999999999999</v>
      </c>
      <c r="AB44" s="130">
        <v>6.3</v>
      </c>
      <c r="AC44" s="130">
        <v>0.89999999999999991</v>
      </c>
      <c r="AD44" s="130">
        <v>34.4</v>
      </c>
      <c r="AE44" s="130">
        <f t="shared" si="4"/>
        <v>100</v>
      </c>
      <c r="AG44" s="117">
        <v>0.22700000000000001</v>
      </c>
      <c r="AH44" s="117">
        <v>0.13700000000000001</v>
      </c>
      <c r="AI44" s="117">
        <v>8.3000000000000004E-2</v>
      </c>
      <c r="AJ44" s="117">
        <v>1.7000000000000001E-2</v>
      </c>
      <c r="AK44" s="117">
        <v>0.2</v>
      </c>
    </row>
    <row r="45" spans="1:45" x14ac:dyDescent="0.3">
      <c r="A45" s="41">
        <v>7</v>
      </c>
      <c r="B45" s="42" t="s">
        <v>23</v>
      </c>
      <c r="C45" s="42" t="s">
        <v>23</v>
      </c>
      <c r="D45" s="43" t="s">
        <v>26</v>
      </c>
      <c r="E45" s="44">
        <v>45554</v>
      </c>
      <c r="F45" s="45"/>
      <c r="G45" s="43" t="s">
        <v>19</v>
      </c>
      <c r="H45" s="72">
        <v>28.68</v>
      </c>
      <c r="I45" s="72">
        <v>6.78</v>
      </c>
      <c r="J45" s="72">
        <v>7.37</v>
      </c>
      <c r="K45" s="73">
        <v>188</v>
      </c>
      <c r="L45" s="59"/>
      <c r="M45" s="60"/>
      <c r="N45" s="60"/>
      <c r="O45" s="60">
        <v>1.7809999999999999</v>
      </c>
      <c r="P45" s="60"/>
      <c r="Q45" s="60"/>
      <c r="R45" s="60"/>
      <c r="S45" s="60"/>
      <c r="T45" s="60">
        <v>23.76</v>
      </c>
      <c r="U45" s="60">
        <v>7.61</v>
      </c>
      <c r="V45" s="60">
        <v>-0.36</v>
      </c>
      <c r="W45" s="85">
        <v>24.174021086351001</v>
      </c>
      <c r="X45" s="85">
        <v>9.6380549193237357</v>
      </c>
      <c r="Y45" s="48"/>
      <c r="Z45" s="130">
        <v>39.700000000000003</v>
      </c>
      <c r="AA45" s="130">
        <v>11.600000000000001</v>
      </c>
      <c r="AB45" s="130">
        <v>6.3</v>
      </c>
      <c r="AC45" s="130">
        <v>0.8</v>
      </c>
      <c r="AD45" s="130">
        <v>41.6</v>
      </c>
      <c r="AE45" s="131">
        <f t="shared" si="4"/>
        <v>100</v>
      </c>
      <c r="AG45" s="117">
        <v>0.23200000000000001</v>
      </c>
      <c r="AH45" s="117">
        <v>0.11899999999999999</v>
      </c>
      <c r="AI45" s="117">
        <v>9.1999999999999998E-2</v>
      </c>
      <c r="AJ45" s="117">
        <v>2.1000000000000001E-2</v>
      </c>
      <c r="AK45" s="117">
        <v>0.22800000000000001</v>
      </c>
    </row>
    <row r="46" spans="1:45" x14ac:dyDescent="0.3">
      <c r="A46" s="41">
        <v>8</v>
      </c>
      <c r="B46" s="42" t="s">
        <v>23</v>
      </c>
      <c r="C46" s="42" t="s">
        <v>27</v>
      </c>
      <c r="D46" s="43" t="s">
        <v>68</v>
      </c>
      <c r="E46" s="44">
        <v>45554</v>
      </c>
      <c r="F46" s="45"/>
      <c r="G46" s="43" t="s">
        <v>19</v>
      </c>
      <c r="H46" s="72">
        <v>24.29</v>
      </c>
      <c r="I46" s="72">
        <v>6.51</v>
      </c>
      <c r="J46" s="72">
        <v>6.25</v>
      </c>
      <c r="K46" s="73">
        <v>345</v>
      </c>
      <c r="L46" s="59"/>
      <c r="M46" s="60"/>
      <c r="N46" s="60"/>
      <c r="O46" s="60">
        <v>0.33900000000000002</v>
      </c>
      <c r="P46" s="60"/>
      <c r="Q46" s="60"/>
      <c r="R46" s="60"/>
      <c r="S46" s="60"/>
      <c r="T46" s="60">
        <v>36.484000000000002</v>
      </c>
      <c r="U46" s="60">
        <v>-0.56999999999999995</v>
      </c>
      <c r="V46" s="60">
        <v>-1.45</v>
      </c>
      <c r="W46" s="85">
        <v>43.650194090885002</v>
      </c>
      <c r="X46" s="85">
        <v>10.378581309505863</v>
      </c>
      <c r="Y46" s="48"/>
      <c r="Z46" s="130">
        <v>22.1</v>
      </c>
      <c r="AA46" s="130">
        <v>5.7</v>
      </c>
      <c r="AB46" s="130">
        <v>5.5</v>
      </c>
      <c r="AC46" s="130">
        <v>0.70000000000000007</v>
      </c>
      <c r="AD46" s="130">
        <v>66</v>
      </c>
      <c r="AE46" s="131">
        <f t="shared" si="4"/>
        <v>100</v>
      </c>
      <c r="AG46" s="117">
        <v>0.24</v>
      </c>
      <c r="AH46" s="117">
        <v>7.0999999999999994E-2</v>
      </c>
      <c r="AI46" s="117">
        <v>0.11700000000000001</v>
      </c>
      <c r="AJ46" s="117">
        <v>0.02</v>
      </c>
      <c r="AK46" s="117">
        <v>0.26200000000000001</v>
      </c>
    </row>
    <row r="47" spans="1:45" x14ac:dyDescent="0.3">
      <c r="A47" s="41">
        <v>9</v>
      </c>
      <c r="B47" s="42" t="s">
        <v>23</v>
      </c>
      <c r="C47" s="42" t="s">
        <v>27</v>
      </c>
      <c r="D47" s="43" t="s">
        <v>30</v>
      </c>
      <c r="E47" s="44">
        <v>45554</v>
      </c>
      <c r="F47" s="45"/>
      <c r="G47" s="43" t="s">
        <v>19</v>
      </c>
      <c r="H47" s="72">
        <v>28.04</v>
      </c>
      <c r="I47" s="72">
        <v>6.77</v>
      </c>
      <c r="J47" s="72">
        <v>6.7</v>
      </c>
      <c r="K47" s="73">
        <v>235</v>
      </c>
      <c r="L47" s="59"/>
      <c r="M47" s="60"/>
      <c r="N47" s="60"/>
      <c r="O47" s="60">
        <v>2.4089999999999998</v>
      </c>
      <c r="P47" s="60"/>
      <c r="Q47" s="60"/>
      <c r="R47" s="60"/>
      <c r="S47" s="60"/>
      <c r="T47" s="60">
        <v>28.713999999999999</v>
      </c>
      <c r="U47" s="62">
        <v>3.82</v>
      </c>
      <c r="V47" s="62">
        <v>-1.38</v>
      </c>
      <c r="W47" s="87">
        <v>33.637222309601903</v>
      </c>
      <c r="X47" s="87">
        <v>9.7771056395464235</v>
      </c>
      <c r="Y47" s="48"/>
      <c r="Z47" s="130">
        <v>29.7</v>
      </c>
      <c r="AA47" s="130">
        <v>8.6</v>
      </c>
      <c r="AB47" s="130">
        <v>7.5</v>
      </c>
      <c r="AC47" s="130">
        <v>0.8</v>
      </c>
      <c r="AD47" s="130">
        <v>53.400000000000006</v>
      </c>
      <c r="AE47" s="130">
        <f t="shared" si="4"/>
        <v>100</v>
      </c>
      <c r="AG47" s="117">
        <v>0.22800000000000001</v>
      </c>
      <c r="AH47" s="117">
        <v>9.5000000000000001E-2</v>
      </c>
      <c r="AI47" s="117">
        <v>0.13</v>
      </c>
      <c r="AJ47" s="117">
        <v>1.7000000000000001E-2</v>
      </c>
      <c r="AK47" s="117">
        <v>0.247</v>
      </c>
    </row>
    <row r="48" spans="1:45" x14ac:dyDescent="0.3">
      <c r="A48" s="25">
        <v>10</v>
      </c>
      <c r="B48" s="17" t="s">
        <v>31</v>
      </c>
      <c r="C48" s="17" t="s">
        <v>31</v>
      </c>
      <c r="D48" s="18" t="s">
        <v>32</v>
      </c>
      <c r="E48" s="26">
        <v>45554</v>
      </c>
      <c r="F48" s="20"/>
      <c r="G48" s="18" t="s">
        <v>19</v>
      </c>
      <c r="H48" s="28">
        <v>30.78</v>
      </c>
      <c r="I48" s="28">
        <v>6.84</v>
      </c>
      <c r="J48" s="28">
        <v>8.3000000000000007</v>
      </c>
      <c r="K48" s="74">
        <v>240.6</v>
      </c>
      <c r="L48" s="57"/>
      <c r="M48" s="54"/>
      <c r="N48" s="54"/>
      <c r="O48" s="58">
        <v>1.2070000000000001</v>
      </c>
      <c r="P48" s="58"/>
      <c r="Q48" s="58"/>
      <c r="R48" s="58"/>
      <c r="S48" s="58"/>
      <c r="T48" s="58">
        <v>13.584</v>
      </c>
      <c r="U48" s="58">
        <v>9.73</v>
      </c>
      <c r="V48" s="58">
        <v>5</v>
      </c>
      <c r="W48" s="86">
        <v>22.345902492668699</v>
      </c>
      <c r="X48" s="86">
        <v>10.675003707627972</v>
      </c>
      <c r="Y48" s="21"/>
      <c r="Z48" s="130">
        <v>43.9</v>
      </c>
      <c r="AA48" s="130">
        <v>16</v>
      </c>
      <c r="AB48" s="130">
        <v>6.8000000000000007</v>
      </c>
      <c r="AC48" s="130">
        <v>1.0999999999999999</v>
      </c>
      <c r="AD48" s="130">
        <v>32.200000000000003</v>
      </c>
      <c r="AE48" s="130">
        <f t="shared" si="4"/>
        <v>100</v>
      </c>
      <c r="AG48" s="117">
        <v>0.22900000000000001</v>
      </c>
      <c r="AH48" s="117">
        <v>0.15</v>
      </c>
      <c r="AI48" s="117">
        <v>8.7999999999999995E-2</v>
      </c>
      <c r="AJ48" s="117">
        <v>2.4E-2</v>
      </c>
      <c r="AK48" s="117">
        <v>0.19800000000000001</v>
      </c>
    </row>
    <row r="49" spans="1:43" x14ac:dyDescent="0.3">
      <c r="A49" s="25">
        <v>11</v>
      </c>
      <c r="B49" s="17" t="s">
        <v>31</v>
      </c>
      <c r="C49" s="17" t="s">
        <v>31</v>
      </c>
      <c r="D49" s="18" t="s">
        <v>69</v>
      </c>
      <c r="E49" s="26">
        <v>45554</v>
      </c>
      <c r="F49" s="20"/>
      <c r="G49" s="18" t="s">
        <v>19</v>
      </c>
      <c r="H49" s="28">
        <v>30.3</v>
      </c>
      <c r="I49" s="28">
        <v>6.96</v>
      </c>
      <c r="J49" s="28">
        <v>6.97</v>
      </c>
      <c r="K49" s="74">
        <v>241.5</v>
      </c>
      <c r="L49" s="57"/>
      <c r="M49" s="54"/>
      <c r="N49" s="54"/>
      <c r="O49" s="54">
        <v>0.82899999999999996</v>
      </c>
      <c r="P49" s="54"/>
      <c r="Q49" s="54"/>
      <c r="R49" s="54"/>
      <c r="S49" s="54"/>
      <c r="T49" s="54">
        <v>13.785</v>
      </c>
      <c r="U49" s="54">
        <v>10.98</v>
      </c>
      <c r="V49" s="54">
        <v>4.84</v>
      </c>
      <c r="W49" s="85">
        <v>22.933259168901401</v>
      </c>
      <c r="X49" s="85">
        <v>11.747042629575766</v>
      </c>
      <c r="Y49" s="21"/>
      <c r="Z49" s="130">
        <v>47.3</v>
      </c>
      <c r="AA49" s="130">
        <v>16.600000000000001</v>
      </c>
      <c r="AB49" s="130">
        <v>5.8000000000000007</v>
      </c>
      <c r="AC49" s="130">
        <v>1</v>
      </c>
      <c r="AD49" s="130">
        <v>29.299999999999997</v>
      </c>
      <c r="AE49" s="130">
        <f t="shared" si="4"/>
        <v>100</v>
      </c>
      <c r="AG49" s="117">
        <v>0.23100000000000001</v>
      </c>
      <c r="AH49" s="117">
        <v>0.156</v>
      </c>
      <c r="AI49" s="117">
        <v>7.3999999999999996E-2</v>
      </c>
      <c r="AJ49" s="117">
        <v>1.7999999999999999E-2</v>
      </c>
      <c r="AK49" s="117">
        <v>0.192</v>
      </c>
    </row>
    <row r="50" spans="1:43" x14ac:dyDescent="0.3">
      <c r="A50" s="25">
        <v>12</v>
      </c>
      <c r="B50" s="17" t="s">
        <v>31</v>
      </c>
      <c r="C50" s="17" t="s">
        <v>31</v>
      </c>
      <c r="D50" s="18" t="s">
        <v>34</v>
      </c>
      <c r="E50" s="26">
        <v>45554</v>
      </c>
      <c r="F50" s="20"/>
      <c r="G50" s="18" t="s">
        <v>19</v>
      </c>
      <c r="H50" s="28">
        <v>32.1</v>
      </c>
      <c r="I50" s="28">
        <v>7.73</v>
      </c>
      <c r="J50" s="28">
        <v>10.67</v>
      </c>
      <c r="K50" s="74">
        <v>250</v>
      </c>
      <c r="L50" s="57"/>
      <c r="M50" s="54"/>
      <c r="N50" s="54"/>
      <c r="O50" s="54">
        <v>1.43</v>
      </c>
      <c r="P50" s="54"/>
      <c r="Q50" s="54"/>
      <c r="R50" s="54"/>
      <c r="S50" s="54"/>
      <c r="T50" s="54">
        <v>15.304</v>
      </c>
      <c r="U50" s="54">
        <v>11.17</v>
      </c>
      <c r="V50" s="54">
        <v>3.23</v>
      </c>
      <c r="W50" s="85">
        <v>23.326753447322499</v>
      </c>
      <c r="X50" s="85">
        <v>12.827652694409942</v>
      </c>
      <c r="Y50" s="21"/>
      <c r="Z50" s="130">
        <v>48</v>
      </c>
      <c r="AA50" s="130">
        <v>16</v>
      </c>
      <c r="AB50" s="130">
        <v>5.6000000000000005</v>
      </c>
      <c r="AC50" s="130">
        <v>0.89999999999999991</v>
      </c>
      <c r="AD50" s="130">
        <v>29.5</v>
      </c>
      <c r="AE50" s="131">
        <f t="shared" si="4"/>
        <v>100</v>
      </c>
      <c r="AG50" s="117">
        <v>0.23100000000000001</v>
      </c>
      <c r="AH50" s="117">
        <v>0.152</v>
      </c>
      <c r="AI50" s="117">
        <v>7.3999999999999996E-2</v>
      </c>
      <c r="AJ50" s="117">
        <v>0.02</v>
      </c>
      <c r="AK50" s="117">
        <v>0.188</v>
      </c>
    </row>
    <row r="51" spans="1:43" x14ac:dyDescent="0.3">
      <c r="A51" s="25">
        <v>13</v>
      </c>
      <c r="B51" s="17" t="s">
        <v>31</v>
      </c>
      <c r="C51" s="17" t="s">
        <v>35</v>
      </c>
      <c r="D51" s="18" t="s">
        <v>36</v>
      </c>
      <c r="E51" s="26">
        <v>45554</v>
      </c>
      <c r="F51" s="20"/>
      <c r="G51" s="18" t="s">
        <v>37</v>
      </c>
      <c r="H51" s="28">
        <v>30.1</v>
      </c>
      <c r="I51" s="28">
        <v>7.69</v>
      </c>
      <c r="J51" s="28">
        <v>6.12</v>
      </c>
      <c r="K51" s="74">
        <v>278</v>
      </c>
      <c r="L51" s="57"/>
      <c r="M51" s="54"/>
      <c r="N51" s="54"/>
      <c r="O51" s="54">
        <v>0.92100000000000004</v>
      </c>
      <c r="P51" s="54"/>
      <c r="Q51" s="54"/>
      <c r="R51" s="54"/>
      <c r="S51" s="54"/>
      <c r="T51" s="54">
        <v>13.321999999999999</v>
      </c>
      <c r="U51" s="54">
        <v>9.98</v>
      </c>
      <c r="V51" s="54">
        <v>3.95</v>
      </c>
      <c r="W51" s="85">
        <v>21.242223856986101</v>
      </c>
      <c r="X51" s="85">
        <v>11.374547535418611</v>
      </c>
      <c r="Y51" s="21"/>
      <c r="Z51" s="130">
        <v>44.9</v>
      </c>
      <c r="AA51" s="130">
        <v>15.299999999999999</v>
      </c>
      <c r="AB51" s="130">
        <v>6.1</v>
      </c>
      <c r="AC51" s="130">
        <v>1</v>
      </c>
      <c r="AD51" s="130">
        <v>32.700000000000003</v>
      </c>
      <c r="AE51" s="130">
        <f t="shared" si="4"/>
        <v>100</v>
      </c>
      <c r="AG51" s="117">
        <v>0.223</v>
      </c>
      <c r="AH51" s="117">
        <v>0.14899999999999999</v>
      </c>
      <c r="AI51" s="117">
        <v>0.08</v>
      </c>
      <c r="AJ51" s="117">
        <v>1.9E-2</v>
      </c>
      <c r="AK51" s="117">
        <v>0.19700000000000001</v>
      </c>
    </row>
    <row r="52" spans="1:43" x14ac:dyDescent="0.3">
      <c r="A52" s="25">
        <v>14</v>
      </c>
      <c r="B52" s="17" t="s">
        <v>31</v>
      </c>
      <c r="C52" s="17" t="s">
        <v>5</v>
      </c>
      <c r="D52" s="18" t="s">
        <v>29</v>
      </c>
      <c r="E52" s="26">
        <v>45554</v>
      </c>
      <c r="F52" s="20"/>
      <c r="G52" s="18" t="s">
        <v>37</v>
      </c>
      <c r="H52" s="28">
        <v>32.4</v>
      </c>
      <c r="I52" s="28">
        <v>7.93</v>
      </c>
      <c r="J52" s="28">
        <v>9.24</v>
      </c>
      <c r="K52" s="74">
        <v>324</v>
      </c>
      <c r="L52" s="57"/>
      <c r="M52" s="54"/>
      <c r="N52" s="54"/>
      <c r="O52" s="54">
        <v>0.71399999999999997</v>
      </c>
      <c r="P52" s="54"/>
      <c r="Q52" s="54"/>
      <c r="R52" s="54"/>
      <c r="S52" s="54"/>
      <c r="T52" s="54">
        <v>30.302</v>
      </c>
      <c r="U52" s="54">
        <v>10.94</v>
      </c>
      <c r="V52" s="54">
        <v>4.0599999999999996</v>
      </c>
      <c r="W52" s="85">
        <v>24.192532410911401</v>
      </c>
      <c r="X52" s="85">
        <v>10.734604160738293</v>
      </c>
      <c r="Y52" s="21"/>
      <c r="Z52" s="130">
        <v>47.199999999999996</v>
      </c>
      <c r="AA52" s="130">
        <v>16</v>
      </c>
      <c r="AB52" s="130">
        <v>5.7</v>
      </c>
      <c r="AC52" s="130">
        <v>1</v>
      </c>
      <c r="AD52" s="130">
        <v>30.099999999999998</v>
      </c>
      <c r="AE52" s="130">
        <f t="shared" si="4"/>
        <v>99.999999999999986</v>
      </c>
      <c r="AG52" s="117">
        <v>0.22600000000000001</v>
      </c>
      <c r="AH52" s="117">
        <v>0.14799999999999999</v>
      </c>
      <c r="AI52" s="117">
        <v>7.0999999999999994E-2</v>
      </c>
      <c r="AJ52" s="117">
        <v>1.7999999999999999E-2</v>
      </c>
      <c r="AK52" s="117">
        <v>0.184</v>
      </c>
    </row>
    <row r="53" spans="1:43" x14ac:dyDescent="0.3">
      <c r="A53" s="25">
        <v>15</v>
      </c>
      <c r="B53" s="17" t="s">
        <v>31</v>
      </c>
      <c r="C53" s="17" t="s">
        <v>35</v>
      </c>
      <c r="D53" s="18" t="s">
        <v>29</v>
      </c>
      <c r="E53" s="26">
        <v>45554</v>
      </c>
      <c r="F53" s="20"/>
      <c r="G53" s="18" t="s">
        <v>37</v>
      </c>
      <c r="H53" s="28">
        <v>30.2</v>
      </c>
      <c r="I53" s="28">
        <v>7.45</v>
      </c>
      <c r="J53" s="28">
        <v>5.91</v>
      </c>
      <c r="K53" s="74">
        <v>267</v>
      </c>
      <c r="L53" s="57"/>
      <c r="M53" s="54"/>
      <c r="N53" s="54"/>
      <c r="O53" s="54">
        <v>0.82</v>
      </c>
      <c r="P53" s="54"/>
      <c r="Q53" s="54"/>
      <c r="R53" s="54"/>
      <c r="S53" s="54"/>
      <c r="T53" s="54">
        <v>13.989000000000001</v>
      </c>
      <c r="U53" s="54">
        <v>11.33</v>
      </c>
      <c r="V53" s="54">
        <v>4.95</v>
      </c>
      <c r="W53" s="87">
        <v>21.552344605112602</v>
      </c>
      <c r="X53" s="87">
        <v>11.346246662814474</v>
      </c>
      <c r="Y53" s="21"/>
      <c r="Z53" s="130">
        <v>48.199999999999996</v>
      </c>
      <c r="AA53" s="130">
        <v>16.400000000000002</v>
      </c>
      <c r="AB53" s="130">
        <v>5.8000000000000007</v>
      </c>
      <c r="AC53" s="130">
        <v>1</v>
      </c>
      <c r="AD53" s="130">
        <v>28.599999999999998</v>
      </c>
      <c r="AE53" s="130">
        <f t="shared" si="4"/>
        <v>99.999999999999986</v>
      </c>
      <c r="AG53" s="117">
        <v>0.23</v>
      </c>
      <c r="AH53" s="117">
        <v>0.155</v>
      </c>
      <c r="AI53" s="117">
        <v>7.3999999999999996E-2</v>
      </c>
      <c r="AJ53" s="117">
        <v>1.7999999999999999E-2</v>
      </c>
      <c r="AK53" s="117">
        <v>0.184</v>
      </c>
    </row>
    <row r="54" spans="1:43" x14ac:dyDescent="0.3">
      <c r="A54" s="41">
        <v>16</v>
      </c>
      <c r="B54" s="42" t="s">
        <v>38</v>
      </c>
      <c r="C54" s="42" t="s">
        <v>38</v>
      </c>
      <c r="D54" s="43" t="s">
        <v>39</v>
      </c>
      <c r="E54" s="44">
        <v>45554</v>
      </c>
      <c r="F54" s="45"/>
      <c r="G54" s="43" t="s">
        <v>37</v>
      </c>
      <c r="H54" s="72">
        <v>29</v>
      </c>
      <c r="I54" s="72">
        <v>7.66</v>
      </c>
      <c r="J54" s="72">
        <v>6.83</v>
      </c>
      <c r="K54" s="73">
        <v>200.4</v>
      </c>
      <c r="L54" s="59"/>
      <c r="M54" s="60"/>
      <c r="N54" s="60"/>
      <c r="O54" s="61">
        <v>1.835</v>
      </c>
      <c r="P54" s="61"/>
      <c r="Q54" s="61"/>
      <c r="R54" s="61"/>
      <c r="S54" s="61"/>
      <c r="T54" s="61">
        <v>12.936</v>
      </c>
      <c r="U54" s="61">
        <v>8.52</v>
      </c>
      <c r="V54" s="61">
        <v>3.52</v>
      </c>
      <c r="W54" s="86">
        <v>13.9410216488528</v>
      </c>
      <c r="X54" s="86">
        <v>14.455444642589853</v>
      </c>
      <c r="Y54" s="48"/>
      <c r="Z54" s="130">
        <v>42</v>
      </c>
      <c r="AA54" s="130">
        <v>13.5</v>
      </c>
      <c r="AB54" s="130">
        <v>6.9</v>
      </c>
      <c r="AC54" s="130">
        <v>1</v>
      </c>
      <c r="AD54" s="130">
        <v>36.6</v>
      </c>
      <c r="AE54" s="130">
        <f t="shared" si="4"/>
        <v>100</v>
      </c>
      <c r="AG54" s="117">
        <v>0.223</v>
      </c>
      <c r="AH54" s="117">
        <v>0.13</v>
      </c>
      <c r="AI54" s="117">
        <v>9.2999999999999999E-2</v>
      </c>
      <c r="AJ54" s="117">
        <v>1.7999999999999999E-2</v>
      </c>
      <c r="AK54" s="117">
        <v>0.20799999999999999</v>
      </c>
    </row>
    <row r="55" spans="1:43" x14ac:dyDescent="0.3">
      <c r="A55" s="41">
        <v>17</v>
      </c>
      <c r="B55" s="42" t="s">
        <v>38</v>
      </c>
      <c r="C55" s="42" t="s">
        <v>38</v>
      </c>
      <c r="D55" s="43" t="s">
        <v>41</v>
      </c>
      <c r="E55" s="44">
        <v>45554</v>
      </c>
      <c r="F55" s="45"/>
      <c r="G55" s="43" t="s">
        <v>37</v>
      </c>
      <c r="H55" s="72">
        <v>31.2</v>
      </c>
      <c r="I55" s="72">
        <v>7.78</v>
      </c>
      <c r="J55" s="72">
        <v>8.76</v>
      </c>
      <c r="K55" s="73">
        <v>242.3</v>
      </c>
      <c r="L55" s="59"/>
      <c r="M55" s="60"/>
      <c r="N55" s="60"/>
      <c r="O55" s="60">
        <v>1.9239999999999999</v>
      </c>
      <c r="P55" s="60"/>
      <c r="Q55" s="60"/>
      <c r="R55" s="60"/>
      <c r="S55" s="60"/>
      <c r="T55" s="60">
        <v>21.669</v>
      </c>
      <c r="U55" s="60">
        <v>10.67</v>
      </c>
      <c r="V55" s="60">
        <v>2.06</v>
      </c>
      <c r="W55" s="85">
        <v>18.785204981710802</v>
      </c>
      <c r="X55" s="85">
        <v>10.859373350748992</v>
      </c>
      <c r="Y55" s="48"/>
      <c r="Z55" s="130">
        <v>47.599999999999994</v>
      </c>
      <c r="AA55" s="130">
        <v>14.899999999999999</v>
      </c>
      <c r="AB55" s="130">
        <v>5.6000000000000005</v>
      </c>
      <c r="AC55" s="130">
        <v>0.89999999999999991</v>
      </c>
      <c r="AD55" s="130">
        <v>31</v>
      </c>
      <c r="AE55" s="130">
        <f t="shared" si="4"/>
        <v>100</v>
      </c>
      <c r="AG55" s="117">
        <v>0.22500000000000001</v>
      </c>
      <c r="AH55" s="117">
        <v>0.14099999999999999</v>
      </c>
      <c r="AI55" s="117">
        <v>7.1999999999999995E-2</v>
      </c>
      <c r="AJ55" s="117">
        <v>1.4999999999999999E-2</v>
      </c>
      <c r="AK55" s="117">
        <v>0.19</v>
      </c>
    </row>
    <row r="56" spans="1:43" x14ac:dyDescent="0.3">
      <c r="A56" s="41">
        <v>18</v>
      </c>
      <c r="B56" s="42" t="s">
        <v>38</v>
      </c>
      <c r="C56" s="42" t="s">
        <v>38</v>
      </c>
      <c r="D56" s="43" t="s">
        <v>42</v>
      </c>
      <c r="E56" s="44">
        <v>45554</v>
      </c>
      <c r="F56" s="45"/>
      <c r="G56" s="43" t="s">
        <v>37</v>
      </c>
      <c r="H56" s="72">
        <v>31.05</v>
      </c>
      <c r="I56" s="72">
        <v>7.68</v>
      </c>
      <c r="J56" s="72">
        <v>9.3000000000000007</v>
      </c>
      <c r="K56" s="73">
        <v>295.2</v>
      </c>
      <c r="L56" s="59"/>
      <c r="M56" s="60"/>
      <c r="N56" s="60"/>
      <c r="O56" s="60">
        <v>1.694</v>
      </c>
      <c r="P56" s="60"/>
      <c r="Q56" s="60"/>
      <c r="R56" s="60"/>
      <c r="S56" s="60"/>
      <c r="T56" s="60">
        <v>34.601999999999997</v>
      </c>
      <c r="U56" s="60">
        <v>12.47</v>
      </c>
      <c r="V56" s="60">
        <v>1.56</v>
      </c>
      <c r="W56" s="85">
        <v>23.0926526076871</v>
      </c>
      <c r="X56" s="85">
        <v>9.5820343771464991</v>
      </c>
      <c r="Y56" s="48"/>
      <c r="Z56" s="130">
        <v>51.5</v>
      </c>
      <c r="AA56" s="130">
        <v>16.2</v>
      </c>
      <c r="AB56" s="130">
        <v>4.7</v>
      </c>
      <c r="AC56" s="130">
        <v>0.8</v>
      </c>
      <c r="AD56" s="130">
        <v>26.8</v>
      </c>
      <c r="AE56" s="131">
        <f t="shared" si="4"/>
        <v>100</v>
      </c>
      <c r="AG56" s="117">
        <v>0.23200000000000001</v>
      </c>
      <c r="AH56" s="117">
        <v>0.161</v>
      </c>
      <c r="AI56" s="117">
        <v>0.06</v>
      </c>
      <c r="AJ56" s="117">
        <v>1.4E-2</v>
      </c>
      <c r="AK56" s="117">
        <v>0.18</v>
      </c>
    </row>
    <row r="57" spans="1:43" x14ac:dyDescent="0.3">
      <c r="A57" s="41">
        <v>19</v>
      </c>
      <c r="B57" s="42" t="s">
        <v>38</v>
      </c>
      <c r="C57" s="42" t="s">
        <v>43</v>
      </c>
      <c r="D57" s="43" t="s">
        <v>40</v>
      </c>
      <c r="E57" s="44">
        <v>45554</v>
      </c>
      <c r="F57" s="45"/>
      <c r="G57" s="43" t="s">
        <v>37</v>
      </c>
      <c r="H57" s="72">
        <v>31.11</v>
      </c>
      <c r="I57" s="72">
        <v>7.69</v>
      </c>
      <c r="J57" s="72">
        <v>8.51</v>
      </c>
      <c r="K57" s="73">
        <v>393.3</v>
      </c>
      <c r="L57" s="59"/>
      <c r="M57" s="60"/>
      <c r="N57" s="60"/>
      <c r="O57" s="60">
        <v>4.9610000000000003</v>
      </c>
      <c r="P57" s="60"/>
      <c r="Q57" s="60"/>
      <c r="R57" s="60"/>
      <c r="S57" s="60"/>
      <c r="T57" s="60">
        <v>63.668999999999997</v>
      </c>
      <c r="U57" s="60">
        <v>13.59</v>
      </c>
      <c r="V57" s="60">
        <v>3.96</v>
      </c>
      <c r="W57" s="85">
        <v>20.478990392428699</v>
      </c>
      <c r="X57" s="85">
        <v>11.784308695411415</v>
      </c>
      <c r="Y57" s="48"/>
      <c r="Z57" s="130">
        <v>52.400000000000006</v>
      </c>
      <c r="AA57" s="130">
        <v>18.5</v>
      </c>
      <c r="AB57" s="130">
        <v>4.8</v>
      </c>
      <c r="AC57" s="130">
        <v>0.89999999999999991</v>
      </c>
      <c r="AD57" s="130">
        <v>23.400000000000002</v>
      </c>
      <c r="AE57" s="131">
        <f t="shared" si="4"/>
        <v>100.00000000000001</v>
      </c>
      <c r="AG57" s="117">
        <v>0.23400000000000001</v>
      </c>
      <c r="AH57" s="117">
        <v>0.17599999999999999</v>
      </c>
      <c r="AI57" s="117">
        <v>0.06</v>
      </c>
      <c r="AJ57" s="117">
        <v>1.6E-2</v>
      </c>
      <c r="AK57" s="117">
        <v>0.16</v>
      </c>
    </row>
    <row r="58" spans="1:43" x14ac:dyDescent="0.3">
      <c r="A58" s="41">
        <v>20</v>
      </c>
      <c r="B58" s="42" t="s">
        <v>38</v>
      </c>
      <c r="C58" s="42" t="s">
        <v>43</v>
      </c>
      <c r="D58" s="43" t="s">
        <v>44</v>
      </c>
      <c r="E58" s="44">
        <v>45554</v>
      </c>
      <c r="F58" s="45"/>
      <c r="G58" s="43" t="s">
        <v>37</v>
      </c>
      <c r="H58" s="72">
        <v>30</v>
      </c>
      <c r="I58" s="72">
        <v>7.58</v>
      </c>
      <c r="J58" s="72">
        <v>8.25</v>
      </c>
      <c r="K58" s="73">
        <v>398.5</v>
      </c>
      <c r="L58" s="59"/>
      <c r="M58" s="60"/>
      <c r="N58" s="60"/>
      <c r="O58" s="60">
        <v>4.0640000000000001</v>
      </c>
      <c r="P58" s="60"/>
      <c r="Q58" s="60"/>
      <c r="R58" s="60"/>
      <c r="S58" s="60"/>
      <c r="T58" s="60">
        <v>42.067</v>
      </c>
      <c r="U58" s="60">
        <v>10.210000000000001</v>
      </c>
      <c r="V58" s="60">
        <v>3.1</v>
      </c>
      <c r="W58" s="87">
        <v>16.1979172318017</v>
      </c>
      <c r="X58" s="87">
        <v>10.688000129315089</v>
      </c>
      <c r="Y58" s="48"/>
      <c r="Z58" s="130">
        <v>46.2</v>
      </c>
      <c r="AA58" s="130">
        <v>15.1</v>
      </c>
      <c r="AB58" s="130">
        <v>5.8000000000000007</v>
      </c>
      <c r="AC58" s="130">
        <v>1</v>
      </c>
      <c r="AD58" s="130">
        <v>31.900000000000002</v>
      </c>
      <c r="AE58" s="130">
        <f t="shared" si="4"/>
        <v>100.00000000000001</v>
      </c>
      <c r="AG58" s="117">
        <v>0.22700000000000001</v>
      </c>
      <c r="AH58" s="117">
        <v>0.14399999999999999</v>
      </c>
      <c r="AI58" s="117">
        <v>7.5999999999999998E-2</v>
      </c>
      <c r="AJ58" s="117">
        <v>1.9E-2</v>
      </c>
      <c r="AK58" s="117">
        <v>0.193</v>
      </c>
    </row>
    <row r="59" spans="1:43" x14ac:dyDescent="0.3">
      <c r="A59" s="25">
        <v>21</v>
      </c>
      <c r="B59" s="17" t="s">
        <v>45</v>
      </c>
      <c r="C59" s="17" t="s">
        <v>45</v>
      </c>
      <c r="D59" s="18" t="s">
        <v>46</v>
      </c>
      <c r="E59" s="26">
        <v>45554</v>
      </c>
      <c r="F59" s="20"/>
      <c r="G59" s="18" t="s">
        <v>37</v>
      </c>
      <c r="H59" s="28">
        <v>27.04</v>
      </c>
      <c r="I59" s="28">
        <v>7.6</v>
      </c>
      <c r="J59" s="28">
        <v>8.77</v>
      </c>
      <c r="K59" s="74">
        <v>190</v>
      </c>
      <c r="L59" s="57"/>
      <c r="M59" s="54"/>
      <c r="N59" s="54"/>
      <c r="O59" s="58">
        <v>0.49</v>
      </c>
      <c r="P59" s="58"/>
      <c r="Q59" s="58"/>
      <c r="R59" s="58"/>
      <c r="S59" s="58"/>
      <c r="T59" s="58">
        <v>11.234</v>
      </c>
      <c r="U59" s="58">
        <v>10</v>
      </c>
      <c r="V59" s="58">
        <v>2.96</v>
      </c>
      <c r="W59" s="86">
        <v>19.212721507059499</v>
      </c>
      <c r="X59" s="86">
        <v>11.710734289954006</v>
      </c>
      <c r="Y59" s="21"/>
      <c r="Z59" s="130">
        <v>46.1</v>
      </c>
      <c r="AA59" s="130">
        <v>14.799999999999999</v>
      </c>
      <c r="AB59" s="130">
        <v>6</v>
      </c>
      <c r="AC59" s="130">
        <v>0.89999999999999991</v>
      </c>
      <c r="AD59" s="130">
        <v>32.200000000000003</v>
      </c>
      <c r="AE59" s="130">
        <f t="shared" si="4"/>
        <v>100.00000000000001</v>
      </c>
      <c r="AG59" s="117">
        <v>0.22600000000000001</v>
      </c>
      <c r="AH59" s="117">
        <v>0.14099999999999999</v>
      </c>
      <c r="AI59" s="117">
        <v>8.1000000000000003E-2</v>
      </c>
      <c r="AJ59" s="117">
        <v>1.9E-2</v>
      </c>
      <c r="AK59" s="117">
        <v>0.19800000000000001</v>
      </c>
    </row>
    <row r="60" spans="1:43" x14ac:dyDescent="0.3">
      <c r="A60" s="25">
        <v>22</v>
      </c>
      <c r="B60" s="17" t="s">
        <v>45</v>
      </c>
      <c r="C60" s="17" t="s">
        <v>45</v>
      </c>
      <c r="D60" s="22" t="s">
        <v>47</v>
      </c>
      <c r="E60" s="26">
        <v>45554</v>
      </c>
      <c r="F60" s="23"/>
      <c r="G60" s="18" t="s">
        <v>37</v>
      </c>
      <c r="H60" s="28">
        <v>27.15</v>
      </c>
      <c r="I60" s="28">
        <v>7.07</v>
      </c>
      <c r="J60" s="28">
        <v>8.2100000000000009</v>
      </c>
      <c r="K60" s="74">
        <v>170</v>
      </c>
      <c r="L60" s="57"/>
      <c r="M60" s="55"/>
      <c r="N60" s="55"/>
      <c r="O60" s="55">
        <v>1.1399999999999999</v>
      </c>
      <c r="P60" s="55"/>
      <c r="Q60" s="55"/>
      <c r="R60" s="55"/>
      <c r="S60" s="55"/>
      <c r="T60" s="55">
        <v>17.195</v>
      </c>
      <c r="U60" s="55">
        <v>10.44</v>
      </c>
      <c r="V60" s="55">
        <v>1.64</v>
      </c>
      <c r="W60" s="87">
        <v>19.488333528425802</v>
      </c>
      <c r="X60" s="87">
        <v>11.729203250046893</v>
      </c>
      <c r="Y60" s="24"/>
      <c r="Z60" s="130">
        <v>46.9</v>
      </c>
      <c r="AA60" s="130">
        <v>15.1</v>
      </c>
      <c r="AB60" s="130">
        <v>5.5</v>
      </c>
      <c r="AC60" s="130">
        <v>0.89999999999999991</v>
      </c>
      <c r="AD60" s="130">
        <v>31.6</v>
      </c>
      <c r="AE60" s="131">
        <f t="shared" si="4"/>
        <v>100</v>
      </c>
      <c r="AG60" s="117">
        <v>0.23100000000000001</v>
      </c>
      <c r="AH60" s="117">
        <v>0.14599999999999999</v>
      </c>
      <c r="AI60" s="117">
        <v>7.3999999999999996E-2</v>
      </c>
      <c r="AJ60" s="117">
        <v>0.02</v>
      </c>
      <c r="AK60" s="117">
        <v>0.191</v>
      </c>
    </row>
    <row r="61" spans="1:43" x14ac:dyDescent="0.3">
      <c r="A61" s="25">
        <v>23</v>
      </c>
      <c r="B61" s="17" t="s">
        <v>45</v>
      </c>
      <c r="C61" s="17" t="s">
        <v>45</v>
      </c>
      <c r="D61" s="22" t="s">
        <v>29</v>
      </c>
      <c r="E61" s="26">
        <v>45554</v>
      </c>
      <c r="F61" s="23"/>
      <c r="G61" s="18" t="s">
        <v>37</v>
      </c>
      <c r="H61" s="75">
        <v>29.1</v>
      </c>
      <c r="I61" s="75">
        <v>7.14</v>
      </c>
      <c r="J61" s="75">
        <v>9.57</v>
      </c>
      <c r="K61" s="77">
        <v>163</v>
      </c>
      <c r="L61" s="57"/>
      <c r="M61" s="55"/>
      <c r="N61" s="55"/>
      <c r="O61" s="55">
        <v>1.2929999999999999</v>
      </c>
      <c r="P61" s="55"/>
      <c r="Q61" s="55"/>
      <c r="R61" s="55"/>
      <c r="S61" s="55"/>
      <c r="T61" s="55">
        <v>17.489999999999998</v>
      </c>
      <c r="U61" s="55">
        <v>12.09</v>
      </c>
      <c r="V61" s="55">
        <v>1.59</v>
      </c>
      <c r="W61" s="87">
        <v>19.602583287055499</v>
      </c>
      <c r="X61" s="87">
        <v>11.489430196837569</v>
      </c>
      <c r="Y61" s="24"/>
      <c r="Z61" s="130">
        <v>50.3</v>
      </c>
      <c r="AA61" s="130">
        <v>16.100000000000001</v>
      </c>
      <c r="AB61" s="130">
        <v>4.9000000000000004</v>
      </c>
      <c r="AC61" s="130">
        <v>0.89999999999999991</v>
      </c>
      <c r="AD61" s="130">
        <v>27.800000000000004</v>
      </c>
      <c r="AE61" s="131">
        <f t="shared" si="4"/>
        <v>100.00000000000003</v>
      </c>
      <c r="AG61" s="117">
        <v>0.23200000000000001</v>
      </c>
      <c r="AH61" s="117">
        <v>0.158</v>
      </c>
      <c r="AI61" s="117">
        <v>6.4000000000000001E-2</v>
      </c>
      <c r="AJ61" s="117">
        <v>1.7999999999999999E-2</v>
      </c>
      <c r="AK61" s="117">
        <v>0.184</v>
      </c>
    </row>
    <row r="62" spans="1:43" x14ac:dyDescent="0.3">
      <c r="A62" s="25">
        <v>24</v>
      </c>
      <c r="B62" s="17" t="s">
        <v>45</v>
      </c>
      <c r="C62" s="17" t="s">
        <v>45</v>
      </c>
      <c r="D62" s="18" t="s">
        <v>48</v>
      </c>
      <c r="E62" s="26">
        <v>45554</v>
      </c>
      <c r="F62" s="20"/>
      <c r="G62" s="18" t="s">
        <v>19</v>
      </c>
      <c r="H62" s="28">
        <v>29.14</v>
      </c>
      <c r="I62" s="28">
        <v>6.95</v>
      </c>
      <c r="J62" s="28">
        <v>8.77</v>
      </c>
      <c r="K62" s="74">
        <v>155</v>
      </c>
      <c r="L62" s="57"/>
      <c r="M62" s="54"/>
      <c r="N62" s="54"/>
      <c r="O62" s="54">
        <v>0.83899999999999997</v>
      </c>
      <c r="P62" s="54"/>
      <c r="Q62" s="54"/>
      <c r="R62" s="54"/>
      <c r="S62" s="54"/>
      <c r="T62" s="54">
        <v>16.988</v>
      </c>
      <c r="U62" s="54">
        <v>9.6999999999999993</v>
      </c>
      <c r="V62" s="54">
        <v>-0.33</v>
      </c>
      <c r="W62" s="85">
        <v>19.456382492073001</v>
      </c>
      <c r="X62" s="85">
        <v>10.817744322287382</v>
      </c>
      <c r="Y62" s="21"/>
      <c r="Z62" s="130">
        <v>45.1</v>
      </c>
      <c r="AA62" s="130">
        <v>12.8</v>
      </c>
      <c r="AB62" s="130">
        <v>5.7</v>
      </c>
      <c r="AC62" s="130">
        <v>0.8</v>
      </c>
      <c r="AD62" s="130">
        <v>35.6</v>
      </c>
      <c r="AE62" s="131">
        <f t="shared" si="4"/>
        <v>100</v>
      </c>
      <c r="AG62" s="117">
        <v>0.23499999999999999</v>
      </c>
      <c r="AH62" s="117">
        <v>0.13300000000000001</v>
      </c>
      <c r="AI62" s="117">
        <v>7.9000000000000001E-2</v>
      </c>
      <c r="AJ62" s="117">
        <v>1.7000000000000001E-2</v>
      </c>
      <c r="AK62" s="117">
        <v>0.214</v>
      </c>
    </row>
    <row r="64" spans="1:43" x14ac:dyDescent="0.3">
      <c r="AQ64" t="s">
        <v>1354</v>
      </c>
    </row>
    <row r="66" spans="1:38" x14ac:dyDescent="0.3">
      <c r="AJ66" s="134" t="s">
        <v>1353</v>
      </c>
    </row>
    <row r="67" spans="1:38" ht="20.100000000000001" customHeight="1" thickBot="1" x14ac:dyDescent="0.35">
      <c r="Z67" t="s">
        <v>1335</v>
      </c>
    </row>
    <row r="68" spans="1:38" ht="20.100000000000001" customHeight="1" thickBot="1" x14ac:dyDescent="0.35">
      <c r="A68" s="124" t="s">
        <v>1</v>
      </c>
      <c r="B68" s="126" t="s">
        <v>62</v>
      </c>
      <c r="C68" s="126" t="s">
        <v>63</v>
      </c>
      <c r="D68" s="124" t="s">
        <v>7</v>
      </c>
      <c r="E68" s="128" t="s">
        <v>8</v>
      </c>
      <c r="F68" s="129"/>
      <c r="G68" s="119" t="s">
        <v>9</v>
      </c>
      <c r="H68" s="119"/>
      <c r="I68" s="119"/>
      <c r="J68" s="119"/>
      <c r="K68" s="119"/>
      <c r="L68" s="120" t="s">
        <v>56</v>
      </c>
      <c r="M68" s="121"/>
      <c r="N68" s="121"/>
      <c r="O68" s="121"/>
      <c r="P68" s="121"/>
      <c r="Q68" s="121"/>
      <c r="R68" s="121"/>
      <c r="S68" s="121"/>
      <c r="T68" s="121"/>
      <c r="U68" s="9"/>
      <c r="V68" s="9"/>
      <c r="W68" s="9"/>
      <c r="X68" s="9"/>
      <c r="Y68" s="122" t="s">
        <v>10</v>
      </c>
      <c r="Z68" s="114" t="s">
        <v>1340</v>
      </c>
      <c r="AE68">
        <v>100</v>
      </c>
      <c r="AG68" s="114" t="s">
        <v>1334</v>
      </c>
    </row>
    <row r="69" spans="1:38" ht="20.100000000000001" customHeight="1" thickBot="1" x14ac:dyDescent="0.35">
      <c r="A69" s="125"/>
      <c r="B69" s="125"/>
      <c r="C69" s="125"/>
      <c r="D69" s="127"/>
      <c r="E69" s="1" t="s">
        <v>0</v>
      </c>
      <c r="F69" s="4" t="s">
        <v>11</v>
      </c>
      <c r="G69" s="4" t="s">
        <v>12</v>
      </c>
      <c r="H69" s="4" t="s">
        <v>13</v>
      </c>
      <c r="I69" s="4" t="s">
        <v>14</v>
      </c>
      <c r="J69" s="51" t="s">
        <v>15</v>
      </c>
      <c r="K69" s="51" t="s">
        <v>16</v>
      </c>
      <c r="L69" s="51" t="s">
        <v>6</v>
      </c>
      <c r="M69" s="51" t="s">
        <v>51</v>
      </c>
      <c r="N69" s="51" t="s">
        <v>125</v>
      </c>
      <c r="O69" s="51" t="s">
        <v>126</v>
      </c>
      <c r="P69" s="51" t="s">
        <v>127</v>
      </c>
      <c r="Q69" s="51" t="s">
        <v>53</v>
      </c>
      <c r="R69" s="51" t="s">
        <v>54</v>
      </c>
      <c r="S69" s="51" t="s">
        <v>128</v>
      </c>
      <c r="T69" s="51" t="s">
        <v>129</v>
      </c>
      <c r="U69" s="51" t="s">
        <v>130</v>
      </c>
      <c r="V69" s="4" t="s">
        <v>78</v>
      </c>
      <c r="W69" s="4" t="s">
        <v>131</v>
      </c>
      <c r="X69" s="10" t="s">
        <v>76</v>
      </c>
      <c r="Y69" s="123"/>
      <c r="Z69" s="114" t="s">
        <v>178</v>
      </c>
      <c r="AA69" s="114" t="s">
        <v>179</v>
      </c>
      <c r="AB69" s="114" t="s">
        <v>180</v>
      </c>
      <c r="AC69" s="114" t="s">
        <v>181</v>
      </c>
      <c r="AD69" s="114" t="s">
        <v>182</v>
      </c>
      <c r="AE69" s="115" t="s">
        <v>326</v>
      </c>
      <c r="AG69" s="114" t="s">
        <v>178</v>
      </c>
      <c r="AH69" s="114" t="s">
        <v>179</v>
      </c>
      <c r="AI69" s="114" t="s">
        <v>180</v>
      </c>
      <c r="AJ69" s="114" t="s">
        <v>181</v>
      </c>
      <c r="AK69" s="114" t="s">
        <v>182</v>
      </c>
    </row>
    <row r="70" spans="1:38" ht="20.100000000000001" customHeight="1" x14ac:dyDescent="0.3">
      <c r="A70" s="11">
        <v>1</v>
      </c>
      <c r="B70" s="12" t="s">
        <v>17</v>
      </c>
      <c r="C70" s="12" t="s">
        <v>17</v>
      </c>
      <c r="D70" s="13" t="s">
        <v>18</v>
      </c>
      <c r="E70" s="36">
        <v>45554</v>
      </c>
      <c r="F70" s="15"/>
      <c r="G70" s="13" t="s">
        <v>19</v>
      </c>
      <c r="H70" s="27">
        <v>29.1</v>
      </c>
      <c r="I70" s="27">
        <v>7.79</v>
      </c>
      <c r="J70" s="27">
        <v>7.41</v>
      </c>
      <c r="K70" s="76">
        <v>213</v>
      </c>
      <c r="L70" s="56"/>
      <c r="M70" s="53"/>
      <c r="N70" s="53"/>
      <c r="O70" s="53">
        <v>0.79800000000000004</v>
      </c>
      <c r="P70" s="53"/>
      <c r="Q70" s="53"/>
      <c r="R70" s="53"/>
      <c r="S70" s="53"/>
      <c r="T70" s="53">
        <v>19.614999999999998</v>
      </c>
      <c r="U70" s="53">
        <v>8.39</v>
      </c>
      <c r="V70" s="53">
        <v>-1.28</v>
      </c>
      <c r="W70" s="84">
        <v>27.662456528967201</v>
      </c>
      <c r="X70" s="84">
        <v>4.8610379223890661</v>
      </c>
      <c r="Y70" s="16"/>
      <c r="Z70" s="130">
        <v>23.82</v>
      </c>
      <c r="AA70" s="130">
        <v>26.450000000000003</v>
      </c>
      <c r="AB70" s="130">
        <v>9.19</v>
      </c>
      <c r="AC70" s="130">
        <v>2.93</v>
      </c>
      <c r="AD70" s="130">
        <v>37.61</v>
      </c>
      <c r="AE70" s="130">
        <f>SUM(Z70:AD70)</f>
        <v>100</v>
      </c>
      <c r="AG70" s="117">
        <v>4.41E-2</v>
      </c>
      <c r="AH70" s="117">
        <v>0.1173</v>
      </c>
      <c r="AI70" s="117">
        <v>6.8000000000000005E-2</v>
      </c>
      <c r="AJ70" s="117">
        <v>1.7500000000000002E-2</v>
      </c>
      <c r="AK70" s="117">
        <v>6.7699999999999996E-2</v>
      </c>
      <c r="AL70" s="117"/>
    </row>
    <row r="71" spans="1:38" ht="20.100000000000001" customHeight="1" x14ac:dyDescent="0.3">
      <c r="A71" s="25">
        <v>2</v>
      </c>
      <c r="B71" s="17" t="s">
        <v>17</v>
      </c>
      <c r="C71" s="17" t="s">
        <v>17</v>
      </c>
      <c r="D71" s="18" t="s">
        <v>20</v>
      </c>
      <c r="E71" s="26">
        <v>45554</v>
      </c>
      <c r="F71" s="20"/>
      <c r="G71" s="18" t="s">
        <v>19</v>
      </c>
      <c r="H71" s="28">
        <v>31.1</v>
      </c>
      <c r="I71" s="28">
        <v>8.2100000000000009</v>
      </c>
      <c r="J71" s="28">
        <v>8.58</v>
      </c>
      <c r="K71" s="74">
        <v>364</v>
      </c>
      <c r="L71" s="57"/>
      <c r="M71" s="54"/>
      <c r="N71" s="54"/>
      <c r="O71" s="54">
        <v>4.1859999999999999</v>
      </c>
      <c r="P71" s="54"/>
      <c r="Q71" s="54"/>
      <c r="R71" s="54"/>
      <c r="S71" s="54"/>
      <c r="T71" s="54">
        <v>42.957000000000001</v>
      </c>
      <c r="U71" s="54">
        <v>13.52</v>
      </c>
      <c r="V71" s="54">
        <v>-2.37</v>
      </c>
      <c r="W71" s="85">
        <v>24.7672766162591</v>
      </c>
      <c r="X71" s="85">
        <v>9.7239065437712533</v>
      </c>
      <c r="Y71" s="21"/>
      <c r="Z71" s="130">
        <v>28.37</v>
      </c>
      <c r="AA71" s="130">
        <v>42.14</v>
      </c>
      <c r="AB71" s="130">
        <v>6.69</v>
      </c>
      <c r="AC71" s="130">
        <v>2.54</v>
      </c>
      <c r="AD71" s="130">
        <v>20.260000000000002</v>
      </c>
      <c r="AE71" s="130">
        <f t="shared" ref="AE71:AE93" si="5">SUM(Z71:AD71)</f>
        <v>100.00000000000001</v>
      </c>
      <c r="AG71" s="117">
        <v>8.1699999999999995E-2</v>
      </c>
      <c r="AH71" s="117">
        <v>0.1177</v>
      </c>
      <c r="AI71" s="117">
        <v>3.9399999999999998E-2</v>
      </c>
      <c r="AJ71" s="117">
        <v>1.8700000000000001E-2</v>
      </c>
      <c r="AK71" s="117">
        <v>0.105</v>
      </c>
      <c r="AL71" s="117"/>
    </row>
    <row r="72" spans="1:38" ht="20.100000000000001" customHeight="1" x14ac:dyDescent="0.3">
      <c r="A72" s="25">
        <v>3</v>
      </c>
      <c r="B72" s="17" t="s">
        <v>17</v>
      </c>
      <c r="C72" s="17" t="s">
        <v>17</v>
      </c>
      <c r="D72" s="18" t="s">
        <v>21</v>
      </c>
      <c r="E72" s="26">
        <v>45554</v>
      </c>
      <c r="F72" s="20"/>
      <c r="G72" s="18" t="s">
        <v>19</v>
      </c>
      <c r="H72" s="28">
        <v>32.799999999999997</v>
      </c>
      <c r="I72" s="28">
        <v>8.0500000000000007</v>
      </c>
      <c r="J72" s="28">
        <v>8.2899999999999991</v>
      </c>
      <c r="K72" s="74">
        <v>391</v>
      </c>
      <c r="L72" s="57"/>
      <c r="M72" s="54"/>
      <c r="N72" s="54"/>
      <c r="O72" s="54">
        <v>3.1080000000000001</v>
      </c>
      <c r="P72" s="54"/>
      <c r="Q72" s="54"/>
      <c r="R72" s="54"/>
      <c r="S72" s="54"/>
      <c r="T72" s="54">
        <v>47.884</v>
      </c>
      <c r="U72" s="58">
        <v>14.02</v>
      </c>
      <c r="V72" s="58">
        <v>-3.68</v>
      </c>
      <c r="W72" s="86">
        <v>24.0792961930403</v>
      </c>
      <c r="X72" s="85">
        <v>9.7627583260568862</v>
      </c>
      <c r="Y72" s="21"/>
      <c r="Z72" s="130">
        <v>30.659999999999997</v>
      </c>
      <c r="AA72" s="130">
        <v>41.36</v>
      </c>
      <c r="AB72" s="130">
        <v>5.57</v>
      </c>
      <c r="AC72" s="130">
        <v>2.3199999999999998</v>
      </c>
      <c r="AD72" s="130">
        <v>20.09</v>
      </c>
      <c r="AE72" s="130">
        <f t="shared" si="5"/>
        <v>100</v>
      </c>
      <c r="AG72" s="117">
        <v>8.3799999999999999E-2</v>
      </c>
      <c r="AH72" s="117">
        <v>0.10920000000000001</v>
      </c>
      <c r="AI72" s="117">
        <v>4.1099999999999998E-2</v>
      </c>
      <c r="AJ72" s="117">
        <v>2.0899999999999998E-2</v>
      </c>
      <c r="AK72" s="117">
        <v>0.1094</v>
      </c>
      <c r="AL72" s="117"/>
    </row>
    <row r="73" spans="1:38" ht="20.100000000000001" customHeight="1" x14ac:dyDescent="0.3">
      <c r="A73" s="25">
        <v>4</v>
      </c>
      <c r="B73" s="17" t="s">
        <v>17</v>
      </c>
      <c r="C73" s="17" t="s">
        <v>17</v>
      </c>
      <c r="D73" s="18" t="s">
        <v>22</v>
      </c>
      <c r="E73" s="26">
        <v>45554</v>
      </c>
      <c r="F73" s="20"/>
      <c r="G73" s="18" t="s">
        <v>19</v>
      </c>
      <c r="H73" s="28">
        <v>32.799999999999997</v>
      </c>
      <c r="I73" s="28">
        <v>8.24</v>
      </c>
      <c r="J73" s="28">
        <v>9.39</v>
      </c>
      <c r="K73" s="74">
        <v>333</v>
      </c>
      <c r="L73" s="57"/>
      <c r="M73" s="54"/>
      <c r="N73" s="54"/>
      <c r="O73" s="54">
        <v>1.391</v>
      </c>
      <c r="P73" s="54"/>
      <c r="Q73" s="54"/>
      <c r="R73" s="54"/>
      <c r="S73" s="54"/>
      <c r="T73" s="54">
        <v>38.052999999999997</v>
      </c>
      <c r="U73" s="55">
        <v>14.22</v>
      </c>
      <c r="V73" s="55">
        <v>-1.24</v>
      </c>
      <c r="W73" s="87">
        <v>21.889296347698799</v>
      </c>
      <c r="X73" s="87">
        <v>10.573961372083717</v>
      </c>
      <c r="Y73" s="21"/>
      <c r="Z73" s="130">
        <v>34.589999999999996</v>
      </c>
      <c r="AA73" s="130">
        <v>36.04</v>
      </c>
      <c r="AB73" s="130">
        <v>5.92</v>
      </c>
      <c r="AC73" s="130">
        <v>1.9300000000000002</v>
      </c>
      <c r="AD73" s="130">
        <v>21.52</v>
      </c>
      <c r="AE73" s="130">
        <f t="shared" si="5"/>
        <v>100</v>
      </c>
      <c r="AG73" s="117">
        <v>6.9800000000000001E-2</v>
      </c>
      <c r="AH73" s="117">
        <v>4.7699999999999999E-2</v>
      </c>
      <c r="AI73" s="117">
        <v>3.49E-2</v>
      </c>
      <c r="AJ73" s="117">
        <v>1.83E-2</v>
      </c>
      <c r="AK73" s="117">
        <v>9.6100000000000005E-2</v>
      </c>
      <c r="AL73" s="117"/>
    </row>
    <row r="74" spans="1:38" ht="20.100000000000001" customHeight="1" x14ac:dyDescent="0.3">
      <c r="A74" s="41">
        <v>5</v>
      </c>
      <c r="B74" s="42" t="s">
        <v>23</v>
      </c>
      <c r="C74" s="42" t="s">
        <v>23</v>
      </c>
      <c r="D74" s="43" t="s">
        <v>24</v>
      </c>
      <c r="E74" s="44">
        <v>45554</v>
      </c>
      <c r="F74" s="45"/>
      <c r="G74" s="43" t="s">
        <v>19</v>
      </c>
      <c r="H74" s="72">
        <v>28.75</v>
      </c>
      <c r="I74" s="72">
        <v>6.94</v>
      </c>
      <c r="J74" s="72">
        <v>7.81</v>
      </c>
      <c r="K74" s="73">
        <v>148</v>
      </c>
      <c r="L74" s="59"/>
      <c r="M74" s="60"/>
      <c r="N74" s="60"/>
      <c r="O74" s="61">
        <v>0.77700000000000002</v>
      </c>
      <c r="P74" s="61"/>
      <c r="Q74" s="61"/>
      <c r="R74" s="61"/>
      <c r="S74" s="61"/>
      <c r="T74" s="61">
        <v>14.064</v>
      </c>
      <c r="U74" s="61">
        <v>8.1300000000000008</v>
      </c>
      <c r="V74" s="61">
        <v>2.91</v>
      </c>
      <c r="W74" s="86">
        <v>13.911002779847699</v>
      </c>
      <c r="X74" s="86">
        <v>10.855459951514934</v>
      </c>
      <c r="Y74" s="48"/>
      <c r="Z74" s="130">
        <v>20.48</v>
      </c>
      <c r="AA74" s="130">
        <v>30.15</v>
      </c>
      <c r="AB74" s="130">
        <v>19.36</v>
      </c>
      <c r="AC74" s="130">
        <v>2.68</v>
      </c>
      <c r="AD74" s="130">
        <v>27.33</v>
      </c>
      <c r="AE74" s="130">
        <f t="shared" si="5"/>
        <v>100</v>
      </c>
      <c r="AG74" s="117">
        <v>7.8299999999999995E-2</v>
      </c>
      <c r="AH74" s="117">
        <v>0.1532</v>
      </c>
      <c r="AI74" s="117">
        <v>7.9699999999999993E-2</v>
      </c>
      <c r="AJ74" s="117">
        <v>1.6799999999999999E-2</v>
      </c>
      <c r="AK74" s="117">
        <v>6.6299999999999998E-2</v>
      </c>
      <c r="AL74" s="117"/>
    </row>
    <row r="75" spans="1:38" ht="20.100000000000001" customHeight="1" x14ac:dyDescent="0.3">
      <c r="A75" s="41">
        <v>6</v>
      </c>
      <c r="B75" s="42" t="s">
        <v>23</v>
      </c>
      <c r="C75" s="42" t="s">
        <v>23</v>
      </c>
      <c r="D75" s="43" t="s">
        <v>25</v>
      </c>
      <c r="E75" s="44">
        <v>45554</v>
      </c>
      <c r="F75" s="45"/>
      <c r="G75" s="43" t="s">
        <v>19</v>
      </c>
      <c r="H75" s="72">
        <v>28.65</v>
      </c>
      <c r="I75" s="72">
        <v>6.75</v>
      </c>
      <c r="J75" s="72">
        <v>8.06</v>
      </c>
      <c r="K75" s="73">
        <v>177</v>
      </c>
      <c r="L75" s="59"/>
      <c r="M75" s="60"/>
      <c r="N75" s="60"/>
      <c r="O75" s="60">
        <v>1.403</v>
      </c>
      <c r="P75" s="60"/>
      <c r="Q75" s="60"/>
      <c r="R75" s="60"/>
      <c r="S75" s="60"/>
      <c r="T75" s="60">
        <v>23.036000000000001</v>
      </c>
      <c r="U75" s="60">
        <v>9.49</v>
      </c>
      <c r="V75" s="60">
        <v>2.95</v>
      </c>
      <c r="W75" s="85">
        <v>22.975329252380899</v>
      </c>
      <c r="X75" s="85">
        <v>9.6362096420400398</v>
      </c>
      <c r="Y75" s="48"/>
      <c r="Z75" s="130">
        <v>27.22</v>
      </c>
      <c r="AA75" s="130">
        <v>31.19</v>
      </c>
      <c r="AB75" s="130">
        <v>13.76</v>
      </c>
      <c r="AC75" s="130">
        <v>2.3800000000000003</v>
      </c>
      <c r="AD75" s="130">
        <v>25.45</v>
      </c>
      <c r="AE75" s="130">
        <f t="shared" si="5"/>
        <v>100</v>
      </c>
      <c r="AG75" s="117">
        <v>9.4500000000000001E-2</v>
      </c>
      <c r="AH75" s="117">
        <v>0.15609999999999999</v>
      </c>
      <c r="AI75" s="117">
        <v>5.3400000000000003E-2</v>
      </c>
      <c r="AJ75" s="117">
        <v>1.8800000000000001E-2</v>
      </c>
      <c r="AK75" s="117">
        <v>3.5900000000000001E-2</v>
      </c>
      <c r="AL75" s="117"/>
    </row>
    <row r="76" spans="1:38" ht="20.100000000000001" customHeight="1" x14ac:dyDescent="0.3">
      <c r="A76" s="41">
        <v>7</v>
      </c>
      <c r="B76" s="42" t="s">
        <v>23</v>
      </c>
      <c r="C76" s="42" t="s">
        <v>23</v>
      </c>
      <c r="D76" s="43" t="s">
        <v>26</v>
      </c>
      <c r="E76" s="44">
        <v>45554</v>
      </c>
      <c r="F76" s="45"/>
      <c r="G76" s="43" t="s">
        <v>19</v>
      </c>
      <c r="H76" s="72">
        <v>28.68</v>
      </c>
      <c r="I76" s="72">
        <v>6.78</v>
      </c>
      <c r="J76" s="72">
        <v>7.37</v>
      </c>
      <c r="K76" s="73">
        <v>188</v>
      </c>
      <c r="L76" s="59"/>
      <c r="M76" s="60"/>
      <c r="N76" s="60"/>
      <c r="O76" s="60">
        <v>1.7809999999999999</v>
      </c>
      <c r="P76" s="60"/>
      <c r="Q76" s="60"/>
      <c r="R76" s="60"/>
      <c r="S76" s="60"/>
      <c r="T76" s="60">
        <v>23.76</v>
      </c>
      <c r="U76" s="60">
        <v>7.61</v>
      </c>
      <c r="V76" s="60">
        <v>-0.36</v>
      </c>
      <c r="W76" s="85">
        <v>24.174021086351001</v>
      </c>
      <c r="X76" s="85">
        <v>9.6380549193237357</v>
      </c>
      <c r="Y76" s="48"/>
      <c r="Z76" s="130">
        <v>31.259999999999998</v>
      </c>
      <c r="AA76" s="130">
        <v>27.85</v>
      </c>
      <c r="AB76" s="130">
        <v>7.64</v>
      </c>
      <c r="AC76" s="130">
        <v>2.6599999999999997</v>
      </c>
      <c r="AD76" s="130">
        <v>30.59</v>
      </c>
      <c r="AE76" s="130">
        <f t="shared" si="5"/>
        <v>100</v>
      </c>
      <c r="AG76" s="117">
        <v>0.1399</v>
      </c>
      <c r="AH76" s="117">
        <v>0.2349</v>
      </c>
      <c r="AI76" s="117">
        <v>7.3300000000000004E-2</v>
      </c>
      <c r="AJ76" s="117">
        <v>1.7000000000000001E-2</v>
      </c>
      <c r="AK76" s="117">
        <v>0.1162</v>
      </c>
      <c r="AL76" s="117"/>
    </row>
    <row r="77" spans="1:38" ht="20.100000000000001" customHeight="1" x14ac:dyDescent="0.3">
      <c r="A77" s="41">
        <v>8</v>
      </c>
      <c r="B77" s="42" t="s">
        <v>23</v>
      </c>
      <c r="C77" s="42" t="s">
        <v>27</v>
      </c>
      <c r="D77" s="43" t="s">
        <v>68</v>
      </c>
      <c r="E77" s="44">
        <v>45554</v>
      </c>
      <c r="F77" s="45"/>
      <c r="G77" s="43" t="s">
        <v>19</v>
      </c>
      <c r="H77" s="72">
        <v>24.29</v>
      </c>
      <c r="I77" s="72">
        <v>6.51</v>
      </c>
      <c r="J77" s="72">
        <v>6.25</v>
      </c>
      <c r="K77" s="73">
        <v>345</v>
      </c>
      <c r="L77" s="59"/>
      <c r="M77" s="60"/>
      <c r="N77" s="60"/>
      <c r="O77" s="60">
        <v>0.33900000000000002</v>
      </c>
      <c r="P77" s="60"/>
      <c r="Q77" s="60"/>
      <c r="R77" s="60"/>
      <c r="S77" s="60"/>
      <c r="T77" s="60">
        <v>36.484000000000002</v>
      </c>
      <c r="U77" s="60">
        <v>-0.56999999999999995</v>
      </c>
      <c r="V77" s="60">
        <v>-1.45</v>
      </c>
      <c r="W77" s="85">
        <v>43.650194090885002</v>
      </c>
      <c r="X77" s="85">
        <v>10.378581309505863</v>
      </c>
      <c r="Y77" s="48"/>
      <c r="Z77" s="130">
        <v>7.61</v>
      </c>
      <c r="AA77" s="130">
        <v>10.11</v>
      </c>
      <c r="AB77" s="130">
        <v>13.850000000000001</v>
      </c>
      <c r="AC77" s="130">
        <v>9.2299999999999986</v>
      </c>
      <c r="AD77" s="130">
        <v>59.199999999999996</v>
      </c>
      <c r="AE77" s="130">
        <f t="shared" si="5"/>
        <v>100</v>
      </c>
      <c r="AG77" s="117">
        <v>5.3600000000000002E-2</v>
      </c>
      <c r="AH77" s="117">
        <v>6.59E-2</v>
      </c>
      <c r="AI77" s="117">
        <v>0.12909999999999999</v>
      </c>
      <c r="AJ77" s="117">
        <v>5.3800000000000001E-2</v>
      </c>
      <c r="AK77" s="117">
        <v>0.10440000000000001</v>
      </c>
      <c r="AL77" s="117"/>
    </row>
    <row r="78" spans="1:38" ht="20.100000000000001" customHeight="1" x14ac:dyDescent="0.3">
      <c r="A78" s="41">
        <v>9</v>
      </c>
      <c r="B78" s="42" t="s">
        <v>23</v>
      </c>
      <c r="C78" s="42" t="s">
        <v>27</v>
      </c>
      <c r="D78" s="43" t="s">
        <v>30</v>
      </c>
      <c r="E78" s="44">
        <v>45554</v>
      </c>
      <c r="F78" s="45"/>
      <c r="G78" s="43" t="s">
        <v>19</v>
      </c>
      <c r="H78" s="72">
        <v>28.04</v>
      </c>
      <c r="I78" s="72">
        <v>6.77</v>
      </c>
      <c r="J78" s="72">
        <v>6.7</v>
      </c>
      <c r="K78" s="73">
        <v>235</v>
      </c>
      <c r="L78" s="59"/>
      <c r="M78" s="60"/>
      <c r="N78" s="60"/>
      <c r="O78" s="60">
        <v>2.4089999999999998</v>
      </c>
      <c r="P78" s="60"/>
      <c r="Q78" s="60"/>
      <c r="R78" s="60"/>
      <c r="S78" s="60"/>
      <c r="T78" s="60">
        <v>28.713999999999999</v>
      </c>
      <c r="U78" s="62">
        <v>3.82</v>
      </c>
      <c r="V78" s="62">
        <v>-1.38</v>
      </c>
      <c r="W78" s="87">
        <v>33.637222309601903</v>
      </c>
      <c r="X78" s="87">
        <v>9.7771056395464235</v>
      </c>
      <c r="Y78" s="48"/>
      <c r="Z78" s="130">
        <v>10.620000000000001</v>
      </c>
      <c r="AA78" s="130">
        <v>17.78</v>
      </c>
      <c r="AB78" s="130">
        <v>16.669999999999998</v>
      </c>
      <c r="AC78" s="130">
        <v>3.01</v>
      </c>
      <c r="AD78" s="130">
        <v>51.92</v>
      </c>
      <c r="AE78" s="130">
        <f t="shared" si="5"/>
        <v>100</v>
      </c>
      <c r="AG78" s="117">
        <v>5.0500000000000003E-2</v>
      </c>
      <c r="AH78" s="117">
        <v>0.12239999999999999</v>
      </c>
      <c r="AI78" s="117">
        <v>8.8300000000000003E-2</v>
      </c>
      <c r="AJ78" s="117">
        <v>1.9400000000000001E-2</v>
      </c>
      <c r="AK78" s="117">
        <v>0.1623</v>
      </c>
      <c r="AL78" s="117"/>
    </row>
    <row r="79" spans="1:38" ht="20.100000000000001" customHeight="1" x14ac:dyDescent="0.3">
      <c r="A79" s="25">
        <v>10</v>
      </c>
      <c r="B79" s="17" t="s">
        <v>31</v>
      </c>
      <c r="C79" s="17" t="s">
        <v>31</v>
      </c>
      <c r="D79" s="18" t="s">
        <v>32</v>
      </c>
      <c r="E79" s="26">
        <v>45554</v>
      </c>
      <c r="F79" s="20"/>
      <c r="G79" s="18" t="s">
        <v>19</v>
      </c>
      <c r="H79" s="28">
        <v>30.78</v>
      </c>
      <c r="I79" s="28">
        <v>6.84</v>
      </c>
      <c r="J79" s="28">
        <v>8.3000000000000007</v>
      </c>
      <c r="K79" s="74">
        <v>240.6</v>
      </c>
      <c r="L79" s="57"/>
      <c r="M79" s="54"/>
      <c r="N79" s="54"/>
      <c r="O79" s="58">
        <v>1.2070000000000001</v>
      </c>
      <c r="P79" s="58"/>
      <c r="Q79" s="58"/>
      <c r="R79" s="58"/>
      <c r="S79" s="58"/>
      <c r="T79" s="58">
        <v>13.584</v>
      </c>
      <c r="U79" s="58">
        <v>9.73</v>
      </c>
      <c r="V79" s="58">
        <v>5</v>
      </c>
      <c r="W79" s="86">
        <v>22.345902492668699</v>
      </c>
      <c r="X79" s="86">
        <v>10.675003707627972</v>
      </c>
      <c r="Y79" s="21"/>
      <c r="Z79" s="130">
        <v>31.81</v>
      </c>
      <c r="AA79" s="130">
        <v>26.900000000000002</v>
      </c>
      <c r="AB79" s="130">
        <v>12.36</v>
      </c>
      <c r="AC79" s="130">
        <v>2.83</v>
      </c>
      <c r="AD79" s="130">
        <v>26.11</v>
      </c>
      <c r="AE79" s="130">
        <f t="shared" si="5"/>
        <v>100.00999999999999</v>
      </c>
      <c r="AG79" s="117">
        <v>0.1153</v>
      </c>
      <c r="AH79" s="117">
        <v>0.13469999999999999</v>
      </c>
      <c r="AI79" s="117">
        <v>5.79E-2</v>
      </c>
      <c r="AJ79" s="117">
        <v>2.1000000000000001E-2</v>
      </c>
      <c r="AK79" s="117">
        <v>3.9300000000000002E-2</v>
      </c>
      <c r="AL79" s="117"/>
    </row>
    <row r="80" spans="1:38" ht="20.100000000000001" customHeight="1" x14ac:dyDescent="0.3">
      <c r="A80" s="25">
        <v>11</v>
      </c>
      <c r="B80" s="17" t="s">
        <v>31</v>
      </c>
      <c r="C80" s="17" t="s">
        <v>31</v>
      </c>
      <c r="D80" s="18" t="s">
        <v>69</v>
      </c>
      <c r="E80" s="26">
        <v>45554</v>
      </c>
      <c r="F80" s="20"/>
      <c r="G80" s="18" t="s">
        <v>19</v>
      </c>
      <c r="H80" s="28">
        <v>30.3</v>
      </c>
      <c r="I80" s="28">
        <v>6.96</v>
      </c>
      <c r="J80" s="28">
        <v>6.97</v>
      </c>
      <c r="K80" s="74">
        <v>241.5</v>
      </c>
      <c r="L80" s="57"/>
      <c r="M80" s="54"/>
      <c r="N80" s="54"/>
      <c r="O80" s="54">
        <v>0.82899999999999996</v>
      </c>
      <c r="P80" s="54"/>
      <c r="Q80" s="54"/>
      <c r="R80" s="54"/>
      <c r="S80" s="54"/>
      <c r="T80" s="54">
        <v>13.785</v>
      </c>
      <c r="U80" s="54">
        <v>10.98</v>
      </c>
      <c r="V80" s="54">
        <v>4.84</v>
      </c>
      <c r="W80" s="85">
        <v>22.933259168901401</v>
      </c>
      <c r="X80" s="85">
        <v>11.747042629575766</v>
      </c>
      <c r="Y80" s="21"/>
      <c r="Z80" s="130">
        <v>30.5</v>
      </c>
      <c r="AA80" s="130">
        <v>30.31</v>
      </c>
      <c r="AB80" s="130">
        <v>11.64</v>
      </c>
      <c r="AC80" s="130">
        <v>4.33</v>
      </c>
      <c r="AD80" s="130">
        <v>23.22</v>
      </c>
      <c r="AE80" s="130">
        <f t="shared" si="5"/>
        <v>100</v>
      </c>
      <c r="AG80" s="117">
        <v>6.8199999999999997E-2</v>
      </c>
      <c r="AH80" s="117">
        <v>4.2700000000000002E-2</v>
      </c>
      <c r="AI80" s="117">
        <v>4.53E-2</v>
      </c>
      <c r="AJ80" s="117">
        <v>2.18E-2</v>
      </c>
      <c r="AK80" s="117">
        <v>8.4599999999999995E-2</v>
      </c>
      <c r="AL80" s="117"/>
    </row>
    <row r="81" spans="1:38" ht="20.100000000000001" customHeight="1" x14ac:dyDescent="0.3">
      <c r="A81" s="25">
        <v>12</v>
      </c>
      <c r="B81" s="17" t="s">
        <v>31</v>
      </c>
      <c r="C81" s="17" t="s">
        <v>31</v>
      </c>
      <c r="D81" s="18" t="s">
        <v>34</v>
      </c>
      <c r="E81" s="26">
        <v>45554</v>
      </c>
      <c r="F81" s="20"/>
      <c r="G81" s="18" t="s">
        <v>19</v>
      </c>
      <c r="H81" s="28">
        <v>32.1</v>
      </c>
      <c r="I81" s="28">
        <v>7.73</v>
      </c>
      <c r="J81" s="28">
        <v>10.67</v>
      </c>
      <c r="K81" s="74">
        <v>250</v>
      </c>
      <c r="L81" s="57"/>
      <c r="M81" s="54"/>
      <c r="N81" s="54"/>
      <c r="O81" s="54">
        <v>1.43</v>
      </c>
      <c r="P81" s="54"/>
      <c r="Q81" s="54"/>
      <c r="R81" s="54"/>
      <c r="S81" s="54"/>
      <c r="T81" s="54">
        <v>15.304</v>
      </c>
      <c r="U81" s="54">
        <v>11.17</v>
      </c>
      <c r="V81" s="54">
        <v>3.23</v>
      </c>
      <c r="W81" s="85">
        <v>23.326753447322499</v>
      </c>
      <c r="X81" s="85">
        <v>12.827652694409942</v>
      </c>
      <c r="Y81" s="21"/>
      <c r="Z81" s="130">
        <v>34.21</v>
      </c>
      <c r="AA81" s="130">
        <v>24.84</v>
      </c>
      <c r="AB81" s="130">
        <v>12.479999999999999</v>
      </c>
      <c r="AC81" s="130">
        <v>2.44</v>
      </c>
      <c r="AD81" s="130">
        <v>26.029999999999998</v>
      </c>
      <c r="AE81" s="130">
        <f t="shared" si="5"/>
        <v>100</v>
      </c>
      <c r="AG81" s="117">
        <v>9.35E-2</v>
      </c>
      <c r="AH81" s="117">
        <v>6.5199999999999994E-2</v>
      </c>
      <c r="AI81" s="117">
        <v>4.7500000000000001E-2</v>
      </c>
      <c r="AJ81" s="117">
        <v>2.0199999999999999E-2</v>
      </c>
      <c r="AK81" s="117">
        <v>8.7900000000000006E-2</v>
      </c>
      <c r="AL81" s="117"/>
    </row>
    <row r="82" spans="1:38" ht="20.100000000000001" customHeight="1" x14ac:dyDescent="0.3">
      <c r="A82" s="25">
        <v>13</v>
      </c>
      <c r="B82" s="17" t="s">
        <v>31</v>
      </c>
      <c r="C82" s="17" t="s">
        <v>35</v>
      </c>
      <c r="D82" s="18" t="s">
        <v>36</v>
      </c>
      <c r="E82" s="26">
        <v>45554</v>
      </c>
      <c r="F82" s="20"/>
      <c r="G82" s="18" t="s">
        <v>37</v>
      </c>
      <c r="H82" s="28">
        <v>30.1</v>
      </c>
      <c r="I82" s="28">
        <v>7.69</v>
      </c>
      <c r="J82" s="28">
        <v>6.12</v>
      </c>
      <c r="K82" s="74">
        <v>278</v>
      </c>
      <c r="L82" s="57"/>
      <c r="M82" s="54"/>
      <c r="N82" s="54"/>
      <c r="O82" s="54">
        <v>0.92100000000000004</v>
      </c>
      <c r="P82" s="54"/>
      <c r="Q82" s="54"/>
      <c r="R82" s="54"/>
      <c r="S82" s="54"/>
      <c r="T82" s="54">
        <v>13.321999999999999</v>
      </c>
      <c r="U82" s="54">
        <v>9.98</v>
      </c>
      <c r="V82" s="54">
        <v>3.95</v>
      </c>
      <c r="W82" s="85">
        <v>21.242223856986101</v>
      </c>
      <c r="X82" s="85">
        <v>11.374547535418611</v>
      </c>
      <c r="Y82" s="21"/>
      <c r="Z82" s="130">
        <v>24.84</v>
      </c>
      <c r="AA82" s="130">
        <v>28.47</v>
      </c>
      <c r="AB82" s="130">
        <v>12.35</v>
      </c>
      <c r="AC82" s="130">
        <v>3.2300000000000004</v>
      </c>
      <c r="AD82" s="130">
        <v>31.11</v>
      </c>
      <c r="AE82" s="130">
        <f t="shared" si="5"/>
        <v>100</v>
      </c>
      <c r="AG82" s="117">
        <v>8.4599999999999995E-2</v>
      </c>
      <c r="AH82" s="117">
        <v>9.5200000000000007E-2</v>
      </c>
      <c r="AI82" s="117">
        <v>4.8899999999999999E-2</v>
      </c>
      <c r="AJ82" s="117">
        <v>2.0799999999999999E-2</v>
      </c>
      <c r="AK82" s="117">
        <v>6.7599999999999993E-2</v>
      </c>
      <c r="AL82" s="117"/>
    </row>
    <row r="83" spans="1:38" ht="20.100000000000001" customHeight="1" x14ac:dyDescent="0.3">
      <c r="A83" s="25">
        <v>14</v>
      </c>
      <c r="B83" s="17" t="s">
        <v>31</v>
      </c>
      <c r="C83" s="17" t="s">
        <v>5</v>
      </c>
      <c r="D83" s="18" t="s">
        <v>29</v>
      </c>
      <c r="E83" s="26">
        <v>45554</v>
      </c>
      <c r="F83" s="20"/>
      <c r="G83" s="18" t="s">
        <v>37</v>
      </c>
      <c r="H83" s="28">
        <v>32.4</v>
      </c>
      <c r="I83" s="28">
        <v>7.93</v>
      </c>
      <c r="J83" s="28">
        <v>9.24</v>
      </c>
      <c r="K83" s="74">
        <v>324</v>
      </c>
      <c r="L83" s="57"/>
      <c r="M83" s="54"/>
      <c r="N83" s="54"/>
      <c r="O83" s="54">
        <v>0.71399999999999997</v>
      </c>
      <c r="P83" s="54"/>
      <c r="Q83" s="54"/>
      <c r="R83" s="54"/>
      <c r="S83" s="54"/>
      <c r="T83" s="54">
        <v>30.302</v>
      </c>
      <c r="U83" s="54">
        <v>10.94</v>
      </c>
      <c r="V83" s="54">
        <v>4.0599999999999996</v>
      </c>
      <c r="W83" s="85">
        <v>24.192532410911401</v>
      </c>
      <c r="X83" s="85">
        <v>10.734604160738293</v>
      </c>
      <c r="Y83" s="21"/>
      <c r="Z83" s="130">
        <v>23.34</v>
      </c>
      <c r="AA83" s="130">
        <v>34.07</v>
      </c>
      <c r="AB83" s="130">
        <v>13.4</v>
      </c>
      <c r="AC83" s="130">
        <v>3.06</v>
      </c>
      <c r="AD83" s="130">
        <v>26.13</v>
      </c>
      <c r="AE83" s="130">
        <f t="shared" si="5"/>
        <v>100</v>
      </c>
      <c r="AG83" s="117">
        <v>8.7900000000000006E-2</v>
      </c>
      <c r="AH83" s="117">
        <v>5.9700000000000003E-2</v>
      </c>
      <c r="AI83" s="117">
        <v>5.5599999999999997E-2</v>
      </c>
      <c r="AJ83" s="117">
        <v>2.0199999999999999E-2</v>
      </c>
      <c r="AK83" s="117">
        <v>8.5599999999999996E-2</v>
      </c>
      <c r="AL83" s="117"/>
    </row>
    <row r="84" spans="1:38" ht="20.100000000000001" customHeight="1" x14ac:dyDescent="0.3">
      <c r="A84" s="25">
        <v>15</v>
      </c>
      <c r="B84" s="17" t="s">
        <v>31</v>
      </c>
      <c r="C84" s="17" t="s">
        <v>35</v>
      </c>
      <c r="D84" s="18" t="s">
        <v>29</v>
      </c>
      <c r="E84" s="26">
        <v>45554</v>
      </c>
      <c r="F84" s="20"/>
      <c r="G84" s="18" t="s">
        <v>37</v>
      </c>
      <c r="H84" s="28">
        <v>30.2</v>
      </c>
      <c r="I84" s="28">
        <v>7.45</v>
      </c>
      <c r="J84" s="28">
        <v>5.91</v>
      </c>
      <c r="K84" s="74">
        <v>267</v>
      </c>
      <c r="L84" s="57"/>
      <c r="M84" s="54"/>
      <c r="N84" s="54"/>
      <c r="O84" s="54">
        <v>0.82</v>
      </c>
      <c r="P84" s="54"/>
      <c r="Q84" s="54"/>
      <c r="R84" s="54"/>
      <c r="S84" s="54"/>
      <c r="T84" s="54">
        <v>13.989000000000001</v>
      </c>
      <c r="U84" s="54">
        <v>11.33</v>
      </c>
      <c r="V84" s="54">
        <v>4.95</v>
      </c>
      <c r="W84" s="87">
        <v>21.552344605112602</v>
      </c>
      <c r="X84" s="87">
        <v>11.346246662814474</v>
      </c>
      <c r="Y84" s="21"/>
      <c r="Z84" s="130">
        <v>40.61</v>
      </c>
      <c r="AA84" s="130">
        <v>24.709999999999997</v>
      </c>
      <c r="AB84" s="130">
        <v>13.07</v>
      </c>
      <c r="AC84" s="130">
        <v>3.53</v>
      </c>
      <c r="AD84" s="130">
        <v>18.079999999999998</v>
      </c>
      <c r="AE84" s="130">
        <f t="shared" si="5"/>
        <v>99.999999999999986</v>
      </c>
      <c r="AG84" s="117">
        <v>0.1206</v>
      </c>
      <c r="AH84" s="117">
        <v>5.4600000000000003E-2</v>
      </c>
      <c r="AI84" s="117">
        <v>4.58E-2</v>
      </c>
      <c r="AJ84" s="117">
        <v>1.9E-2</v>
      </c>
      <c r="AK84" s="117">
        <v>0.1147</v>
      </c>
      <c r="AL84" s="117"/>
    </row>
    <row r="85" spans="1:38" ht="20.100000000000001" customHeight="1" x14ac:dyDescent="0.3">
      <c r="A85" s="41">
        <v>16</v>
      </c>
      <c r="B85" s="42" t="s">
        <v>38</v>
      </c>
      <c r="C85" s="42" t="s">
        <v>38</v>
      </c>
      <c r="D85" s="43" t="s">
        <v>39</v>
      </c>
      <c r="E85" s="44">
        <v>45554</v>
      </c>
      <c r="F85" s="45"/>
      <c r="G85" s="43" t="s">
        <v>37</v>
      </c>
      <c r="H85" s="72">
        <v>29</v>
      </c>
      <c r="I85" s="72">
        <v>7.66</v>
      </c>
      <c r="J85" s="72">
        <v>6.83</v>
      </c>
      <c r="K85" s="73">
        <v>200.4</v>
      </c>
      <c r="L85" s="59"/>
      <c r="M85" s="60"/>
      <c r="N85" s="60"/>
      <c r="O85" s="61">
        <v>1.835</v>
      </c>
      <c r="P85" s="61"/>
      <c r="Q85" s="61"/>
      <c r="R85" s="61"/>
      <c r="S85" s="61"/>
      <c r="T85" s="61">
        <v>12.936</v>
      </c>
      <c r="U85" s="61">
        <v>8.52</v>
      </c>
      <c r="V85" s="61">
        <v>3.52</v>
      </c>
      <c r="W85" s="86">
        <v>13.9410216488528</v>
      </c>
      <c r="X85" s="86">
        <v>14.455444642589853</v>
      </c>
      <c r="Y85" s="48"/>
      <c r="Z85" s="130">
        <v>25.21</v>
      </c>
      <c r="AA85" s="130">
        <v>25.76</v>
      </c>
      <c r="AB85" s="130">
        <v>13.91</v>
      </c>
      <c r="AC85" s="130">
        <v>3.2199999999999998</v>
      </c>
      <c r="AD85" s="130">
        <v>31.900000000000002</v>
      </c>
      <c r="AE85" s="130">
        <f t="shared" si="5"/>
        <v>100</v>
      </c>
      <c r="AG85" s="117">
        <v>9.1700000000000004E-2</v>
      </c>
      <c r="AH85" s="117">
        <v>0.11650000000000001</v>
      </c>
      <c r="AI85" s="117">
        <v>5.6399999999999999E-2</v>
      </c>
      <c r="AJ85" s="117">
        <v>1.89E-2</v>
      </c>
      <c r="AK85" s="117">
        <v>2.98E-2</v>
      </c>
      <c r="AL85" s="117"/>
    </row>
    <row r="86" spans="1:38" ht="20.100000000000001" customHeight="1" x14ac:dyDescent="0.3">
      <c r="A86" s="41">
        <v>17</v>
      </c>
      <c r="B86" s="42" t="s">
        <v>38</v>
      </c>
      <c r="C86" s="42" t="s">
        <v>38</v>
      </c>
      <c r="D86" s="43" t="s">
        <v>41</v>
      </c>
      <c r="E86" s="44">
        <v>45554</v>
      </c>
      <c r="F86" s="45"/>
      <c r="G86" s="43" t="s">
        <v>37</v>
      </c>
      <c r="H86" s="72">
        <v>31.2</v>
      </c>
      <c r="I86" s="72">
        <v>7.78</v>
      </c>
      <c r="J86" s="72">
        <v>8.76</v>
      </c>
      <c r="K86" s="73">
        <v>242.3</v>
      </c>
      <c r="L86" s="59"/>
      <c r="M86" s="60"/>
      <c r="N86" s="60"/>
      <c r="O86" s="60">
        <v>1.9239999999999999</v>
      </c>
      <c r="P86" s="60"/>
      <c r="Q86" s="60"/>
      <c r="R86" s="60"/>
      <c r="S86" s="60"/>
      <c r="T86" s="60">
        <v>21.669</v>
      </c>
      <c r="U86" s="60">
        <v>10.67</v>
      </c>
      <c r="V86" s="60">
        <v>2.06</v>
      </c>
      <c r="W86" s="85">
        <v>18.785204981710802</v>
      </c>
      <c r="X86" s="85">
        <v>10.859373350748992</v>
      </c>
      <c r="Y86" s="48"/>
      <c r="Z86" s="130">
        <v>39.47</v>
      </c>
      <c r="AA86" s="130">
        <v>20.82</v>
      </c>
      <c r="AB86" s="130">
        <v>11.33</v>
      </c>
      <c r="AC86" s="130">
        <v>2.71</v>
      </c>
      <c r="AD86" s="130">
        <v>25.669999999999998</v>
      </c>
      <c r="AE86" s="130">
        <f t="shared" si="5"/>
        <v>100</v>
      </c>
      <c r="AG86" s="117">
        <v>0.1293</v>
      </c>
      <c r="AH86" s="117">
        <v>9.35E-2</v>
      </c>
      <c r="AI86" s="117">
        <v>5.1700000000000003E-2</v>
      </c>
      <c r="AJ86" s="117">
        <v>2.0199999999999999E-2</v>
      </c>
      <c r="AK86" s="117">
        <v>9.4100000000000003E-2</v>
      </c>
      <c r="AL86" s="117"/>
    </row>
    <row r="87" spans="1:38" ht="20.100000000000001" customHeight="1" x14ac:dyDescent="0.3">
      <c r="A87" s="41">
        <v>18</v>
      </c>
      <c r="B87" s="42" t="s">
        <v>38</v>
      </c>
      <c r="C87" s="42" t="s">
        <v>38</v>
      </c>
      <c r="D87" s="43" t="s">
        <v>42</v>
      </c>
      <c r="E87" s="44">
        <v>45554</v>
      </c>
      <c r="F87" s="45"/>
      <c r="G87" s="43" t="s">
        <v>37</v>
      </c>
      <c r="H87" s="72">
        <v>31.05</v>
      </c>
      <c r="I87" s="72">
        <v>7.68</v>
      </c>
      <c r="J87" s="72">
        <v>9.3000000000000007</v>
      </c>
      <c r="K87" s="73">
        <v>295.2</v>
      </c>
      <c r="L87" s="59"/>
      <c r="M87" s="60"/>
      <c r="N87" s="60"/>
      <c r="O87" s="60">
        <v>1.694</v>
      </c>
      <c r="P87" s="60"/>
      <c r="Q87" s="60"/>
      <c r="R87" s="60"/>
      <c r="S87" s="60"/>
      <c r="T87" s="60">
        <v>34.601999999999997</v>
      </c>
      <c r="U87" s="60">
        <v>12.47</v>
      </c>
      <c r="V87" s="60">
        <v>1.56</v>
      </c>
      <c r="W87" s="85">
        <v>23.0926526076871</v>
      </c>
      <c r="X87" s="85">
        <v>9.5820343771464991</v>
      </c>
      <c r="Y87" s="48"/>
      <c r="Z87" s="130">
        <v>44.84</v>
      </c>
      <c r="AA87" s="130">
        <v>22.900000000000002</v>
      </c>
      <c r="AB87" s="130">
        <v>8.6</v>
      </c>
      <c r="AC87" s="130">
        <v>2.2800000000000002</v>
      </c>
      <c r="AD87" s="130">
        <v>21.38</v>
      </c>
      <c r="AE87" s="130">
        <f t="shared" si="5"/>
        <v>100</v>
      </c>
      <c r="AG87" s="117">
        <v>0.1326</v>
      </c>
      <c r="AH87" s="117">
        <v>6.9500000000000006E-2</v>
      </c>
      <c r="AI87" s="117">
        <v>3.9E-2</v>
      </c>
      <c r="AJ87" s="117">
        <v>2.0400000000000001E-2</v>
      </c>
      <c r="AK87" s="117">
        <v>9.5399999999999999E-2</v>
      </c>
      <c r="AL87" s="117"/>
    </row>
    <row r="88" spans="1:38" ht="20.100000000000001" customHeight="1" x14ac:dyDescent="0.3">
      <c r="A88" s="41">
        <v>19</v>
      </c>
      <c r="B88" s="42" t="s">
        <v>38</v>
      </c>
      <c r="C88" s="42" t="s">
        <v>43</v>
      </c>
      <c r="D88" s="43" t="s">
        <v>40</v>
      </c>
      <c r="E88" s="44">
        <v>45554</v>
      </c>
      <c r="F88" s="45"/>
      <c r="G88" s="43" t="s">
        <v>37</v>
      </c>
      <c r="H88" s="72">
        <v>31.11</v>
      </c>
      <c r="I88" s="72">
        <v>7.69</v>
      </c>
      <c r="J88" s="72">
        <v>8.51</v>
      </c>
      <c r="K88" s="73">
        <v>393.3</v>
      </c>
      <c r="L88" s="59"/>
      <c r="M88" s="60"/>
      <c r="N88" s="60"/>
      <c r="O88" s="60">
        <v>4.9610000000000003</v>
      </c>
      <c r="P88" s="60"/>
      <c r="Q88" s="60"/>
      <c r="R88" s="60"/>
      <c r="S88" s="60"/>
      <c r="T88" s="60">
        <v>63.668999999999997</v>
      </c>
      <c r="U88" s="60">
        <v>13.59</v>
      </c>
      <c r="V88" s="60">
        <v>3.96</v>
      </c>
      <c r="W88" s="85">
        <v>20.478990392428699</v>
      </c>
      <c r="X88" s="85">
        <v>11.784308695411415</v>
      </c>
      <c r="Y88" s="48"/>
      <c r="Z88" s="130">
        <v>29.299999999999997</v>
      </c>
      <c r="AA88" s="130">
        <v>36.03</v>
      </c>
      <c r="AB88" s="130">
        <v>10.050000000000001</v>
      </c>
      <c r="AC88" s="130">
        <v>3.4000000000000004</v>
      </c>
      <c r="AD88" s="130">
        <v>21.22</v>
      </c>
      <c r="AE88" s="130">
        <f t="shared" si="5"/>
        <v>100</v>
      </c>
      <c r="AG88" s="117">
        <v>6.5500000000000003E-2</v>
      </c>
      <c r="AH88" s="117">
        <v>7.9500000000000001E-2</v>
      </c>
      <c r="AI88" s="117">
        <v>3.5799999999999998E-2</v>
      </c>
      <c r="AJ88" s="117">
        <v>2.0400000000000001E-2</v>
      </c>
      <c r="AK88" s="117">
        <v>9.9000000000000005E-2</v>
      </c>
      <c r="AL88" s="117"/>
    </row>
    <row r="89" spans="1:38" ht="20.100000000000001" customHeight="1" x14ac:dyDescent="0.3">
      <c r="A89" s="41">
        <v>20</v>
      </c>
      <c r="B89" s="42" t="s">
        <v>38</v>
      </c>
      <c r="C89" s="42" t="s">
        <v>43</v>
      </c>
      <c r="D89" s="43" t="s">
        <v>44</v>
      </c>
      <c r="E89" s="44">
        <v>45554</v>
      </c>
      <c r="F89" s="45"/>
      <c r="G89" s="43" t="s">
        <v>37</v>
      </c>
      <c r="H89" s="72">
        <v>30</v>
      </c>
      <c r="I89" s="72">
        <v>7.58</v>
      </c>
      <c r="J89" s="72">
        <v>8.25</v>
      </c>
      <c r="K89" s="73">
        <v>398.5</v>
      </c>
      <c r="L89" s="59"/>
      <c r="M89" s="60"/>
      <c r="N89" s="60"/>
      <c r="O89" s="60">
        <v>4.0640000000000001</v>
      </c>
      <c r="P89" s="60"/>
      <c r="Q89" s="60"/>
      <c r="R89" s="60"/>
      <c r="S89" s="60"/>
      <c r="T89" s="60">
        <v>42.067</v>
      </c>
      <c r="U89" s="60">
        <v>10.210000000000001</v>
      </c>
      <c r="V89" s="60">
        <v>3.1</v>
      </c>
      <c r="W89" s="87">
        <v>16.1979172318017</v>
      </c>
      <c r="X89" s="87">
        <v>10.688000129315089</v>
      </c>
      <c r="Y89" s="48"/>
      <c r="Z89" s="130">
        <v>34.880000000000003</v>
      </c>
      <c r="AA89" s="130">
        <v>21.9</v>
      </c>
      <c r="AB89" s="130">
        <v>10.79</v>
      </c>
      <c r="AC89" s="130">
        <v>2.6599999999999997</v>
      </c>
      <c r="AD89" s="130">
        <v>29.770000000000003</v>
      </c>
      <c r="AE89" s="130">
        <f t="shared" si="5"/>
        <v>100</v>
      </c>
      <c r="AG89" s="117">
        <v>0.1144</v>
      </c>
      <c r="AH89" s="117">
        <v>9.4600000000000004E-2</v>
      </c>
      <c r="AI89" s="117">
        <v>4.6699999999999998E-2</v>
      </c>
      <c r="AJ89" s="117">
        <v>2.01E-2</v>
      </c>
      <c r="AK89" s="117">
        <v>8.1500000000000003E-2</v>
      </c>
      <c r="AL89" s="117"/>
    </row>
    <row r="90" spans="1:38" ht="20.100000000000001" customHeight="1" x14ac:dyDescent="0.3">
      <c r="A90" s="25">
        <v>21</v>
      </c>
      <c r="B90" s="17" t="s">
        <v>45</v>
      </c>
      <c r="C90" s="17" t="s">
        <v>45</v>
      </c>
      <c r="D90" s="18" t="s">
        <v>46</v>
      </c>
      <c r="E90" s="26">
        <v>45554</v>
      </c>
      <c r="F90" s="20"/>
      <c r="G90" s="18" t="s">
        <v>37</v>
      </c>
      <c r="H90" s="28">
        <v>27.04</v>
      </c>
      <c r="I90" s="28">
        <v>7.6</v>
      </c>
      <c r="J90" s="28">
        <v>8.77</v>
      </c>
      <c r="K90" s="74">
        <v>190</v>
      </c>
      <c r="L90" s="57"/>
      <c r="M90" s="54"/>
      <c r="N90" s="54"/>
      <c r="O90" s="58">
        <v>0.49</v>
      </c>
      <c r="P90" s="58"/>
      <c r="Q90" s="58"/>
      <c r="R90" s="58"/>
      <c r="S90" s="58"/>
      <c r="T90" s="58">
        <v>11.234</v>
      </c>
      <c r="U90" s="58">
        <v>10</v>
      </c>
      <c r="V90" s="58">
        <v>2.96</v>
      </c>
      <c r="W90" s="86">
        <v>19.212721507059499</v>
      </c>
      <c r="X90" s="86">
        <v>11.710734289954006</v>
      </c>
      <c r="Y90" s="21"/>
      <c r="Z90" s="130">
        <v>28.54</v>
      </c>
      <c r="AA90" s="130">
        <v>25.82</v>
      </c>
      <c r="AB90" s="130">
        <v>12.030000000000001</v>
      </c>
      <c r="AC90" s="130">
        <v>2.6100000000000003</v>
      </c>
      <c r="AD90" s="130">
        <v>31</v>
      </c>
      <c r="AE90" s="130">
        <f t="shared" si="5"/>
        <v>100</v>
      </c>
      <c r="AG90" s="117">
        <v>8.2000000000000003E-2</v>
      </c>
      <c r="AH90" s="117">
        <v>8.9399999999999993E-2</v>
      </c>
      <c r="AI90" s="117">
        <v>4.7199999999999999E-2</v>
      </c>
      <c r="AJ90" s="117">
        <v>2.0199999999999999E-2</v>
      </c>
      <c r="AK90" s="117">
        <v>6.2899999999999998E-2</v>
      </c>
      <c r="AL90" s="117"/>
    </row>
    <row r="91" spans="1:38" ht="20.100000000000001" customHeight="1" x14ac:dyDescent="0.3">
      <c r="A91" s="25">
        <v>22</v>
      </c>
      <c r="B91" s="17" t="s">
        <v>45</v>
      </c>
      <c r="C91" s="17" t="s">
        <v>45</v>
      </c>
      <c r="D91" s="22" t="s">
        <v>47</v>
      </c>
      <c r="E91" s="26">
        <v>45554</v>
      </c>
      <c r="F91" s="23"/>
      <c r="G91" s="18" t="s">
        <v>37</v>
      </c>
      <c r="H91" s="28">
        <v>27.15</v>
      </c>
      <c r="I91" s="28">
        <v>7.07</v>
      </c>
      <c r="J91" s="28">
        <v>8.2100000000000009</v>
      </c>
      <c r="K91" s="74">
        <v>170</v>
      </c>
      <c r="L91" s="57"/>
      <c r="M91" s="55"/>
      <c r="N91" s="55"/>
      <c r="O91" s="55">
        <v>1.1399999999999999</v>
      </c>
      <c r="P91" s="55"/>
      <c r="Q91" s="55"/>
      <c r="R91" s="55"/>
      <c r="S91" s="55"/>
      <c r="T91" s="55">
        <v>17.195</v>
      </c>
      <c r="U91" s="55">
        <v>10.44</v>
      </c>
      <c r="V91" s="55">
        <v>1.64</v>
      </c>
      <c r="W91" s="87">
        <v>19.488333528425802</v>
      </c>
      <c r="X91" s="87">
        <v>11.729203250046893</v>
      </c>
      <c r="Y91" s="24"/>
      <c r="Z91" s="130">
        <v>39.61</v>
      </c>
      <c r="AA91" s="130">
        <v>20.36</v>
      </c>
      <c r="AB91" s="130">
        <v>10.41</v>
      </c>
      <c r="AC91" s="130">
        <v>2.67</v>
      </c>
      <c r="AD91" s="130">
        <v>26.950000000000003</v>
      </c>
      <c r="AE91" s="130">
        <f t="shared" si="5"/>
        <v>100</v>
      </c>
      <c r="AG91" s="117">
        <v>0.1321</v>
      </c>
      <c r="AH91" s="117">
        <v>9.3299999999999994E-2</v>
      </c>
      <c r="AI91" s="117">
        <v>4.5199999999999997E-2</v>
      </c>
      <c r="AJ91" s="117">
        <v>2.0400000000000001E-2</v>
      </c>
      <c r="AK91" s="117">
        <v>8.3599999999999994E-2</v>
      </c>
      <c r="AL91" s="117"/>
    </row>
    <row r="92" spans="1:38" ht="20.100000000000001" customHeight="1" x14ac:dyDescent="0.3">
      <c r="A92" s="25">
        <v>23</v>
      </c>
      <c r="B92" s="17" t="s">
        <v>45</v>
      </c>
      <c r="C92" s="17" t="s">
        <v>45</v>
      </c>
      <c r="D92" s="22" t="s">
        <v>29</v>
      </c>
      <c r="E92" s="26">
        <v>45554</v>
      </c>
      <c r="F92" s="23"/>
      <c r="G92" s="18" t="s">
        <v>37</v>
      </c>
      <c r="H92" s="75">
        <v>29.1</v>
      </c>
      <c r="I92" s="75">
        <v>7.14</v>
      </c>
      <c r="J92" s="75">
        <v>9.57</v>
      </c>
      <c r="K92" s="77">
        <v>163</v>
      </c>
      <c r="L92" s="57"/>
      <c r="M92" s="55"/>
      <c r="N92" s="55"/>
      <c r="O92" s="55">
        <v>1.2929999999999999</v>
      </c>
      <c r="P92" s="55"/>
      <c r="Q92" s="55"/>
      <c r="R92" s="55"/>
      <c r="S92" s="55"/>
      <c r="T92" s="55">
        <v>17.489999999999998</v>
      </c>
      <c r="U92" s="55">
        <v>12.09</v>
      </c>
      <c r="V92" s="55">
        <v>1.59</v>
      </c>
      <c r="W92" s="87">
        <v>19.602583287055499</v>
      </c>
      <c r="X92" s="87">
        <v>11.489430196837569</v>
      </c>
      <c r="Y92" s="24"/>
      <c r="Z92" s="130">
        <v>42.76</v>
      </c>
      <c r="AA92" s="130">
        <v>22.42</v>
      </c>
      <c r="AB92" s="130">
        <v>8.81</v>
      </c>
      <c r="AC92" s="130">
        <v>2.12</v>
      </c>
      <c r="AD92" s="130">
        <v>23.89</v>
      </c>
      <c r="AE92" s="130">
        <f t="shared" si="5"/>
        <v>100.00000000000001</v>
      </c>
      <c r="AG92" s="117">
        <v>0.1205</v>
      </c>
      <c r="AH92" s="117">
        <v>7.1400000000000005E-2</v>
      </c>
      <c r="AI92" s="117">
        <v>3.9600000000000003E-2</v>
      </c>
      <c r="AJ92" s="117">
        <v>2.1000000000000001E-2</v>
      </c>
      <c r="AK92" s="117">
        <v>8.8300000000000003E-2</v>
      </c>
      <c r="AL92" s="117"/>
    </row>
    <row r="93" spans="1:38" ht="20.100000000000001" customHeight="1" x14ac:dyDescent="0.3">
      <c r="A93" s="25">
        <v>24</v>
      </c>
      <c r="B93" s="17" t="s">
        <v>45</v>
      </c>
      <c r="C93" s="17" t="s">
        <v>45</v>
      </c>
      <c r="D93" s="18" t="s">
        <v>48</v>
      </c>
      <c r="E93" s="26">
        <v>45554</v>
      </c>
      <c r="F93" s="20"/>
      <c r="G93" s="18" t="s">
        <v>19</v>
      </c>
      <c r="H93" s="28">
        <v>29.14</v>
      </c>
      <c r="I93" s="28">
        <v>6.95</v>
      </c>
      <c r="J93" s="28">
        <v>8.77</v>
      </c>
      <c r="K93" s="74">
        <v>155</v>
      </c>
      <c r="L93" s="57"/>
      <c r="M93" s="54"/>
      <c r="N93" s="54"/>
      <c r="O93" s="54">
        <v>0.83899999999999997</v>
      </c>
      <c r="P93" s="54"/>
      <c r="Q93" s="54"/>
      <c r="R93" s="54"/>
      <c r="S93" s="54"/>
      <c r="T93" s="54">
        <v>16.988</v>
      </c>
      <c r="U93" s="54">
        <v>9.6999999999999993</v>
      </c>
      <c r="V93" s="54">
        <v>-0.33</v>
      </c>
      <c r="W93" s="85">
        <v>19.456382492073001</v>
      </c>
      <c r="X93" s="85">
        <v>10.817744322287382</v>
      </c>
      <c r="Y93" s="21"/>
      <c r="Z93" s="130">
        <v>29.049999999999997</v>
      </c>
      <c r="AA93" s="130">
        <v>28.28</v>
      </c>
      <c r="AB93" s="130">
        <v>8.27</v>
      </c>
      <c r="AC93" s="130">
        <v>2.52</v>
      </c>
      <c r="AD93" s="130">
        <v>31.879999999999995</v>
      </c>
      <c r="AE93" s="130">
        <f t="shared" si="5"/>
        <v>99.999999999999986</v>
      </c>
      <c r="AG93" s="117">
        <v>6.1199999999999997E-2</v>
      </c>
      <c r="AH93" s="117">
        <v>5.8599999999999999E-2</v>
      </c>
      <c r="AI93" s="117">
        <v>5.3800000000000001E-2</v>
      </c>
      <c r="AJ93" s="117">
        <v>2.01E-2</v>
      </c>
      <c r="AK93" s="117">
        <v>9.3100000000000002E-2</v>
      </c>
      <c r="AL93" s="117"/>
    </row>
    <row r="94" spans="1:38" ht="20.100000000000001" customHeight="1" x14ac:dyDescent="0.3"/>
    <row r="95" spans="1:38" ht="20.100000000000001" customHeight="1" x14ac:dyDescent="0.3"/>
    <row r="96" spans="1:38" ht="20.100000000000001" customHeight="1" x14ac:dyDescent="0.3">
      <c r="AJ96" s="134" t="s">
        <v>1353</v>
      </c>
    </row>
    <row r="97" spans="1:45" ht="20.100000000000001" customHeight="1" thickBot="1" x14ac:dyDescent="0.35">
      <c r="Z97" t="s">
        <v>1337</v>
      </c>
    </row>
    <row r="98" spans="1:45" ht="20.100000000000001" customHeight="1" thickBot="1" x14ac:dyDescent="0.35">
      <c r="A98" s="124" t="s">
        <v>1</v>
      </c>
      <c r="B98" s="126" t="s">
        <v>62</v>
      </c>
      <c r="C98" s="126" t="s">
        <v>63</v>
      </c>
      <c r="D98" s="124" t="s">
        <v>7</v>
      </c>
      <c r="E98" s="128" t="s">
        <v>8</v>
      </c>
      <c r="F98" s="129"/>
      <c r="G98" s="119" t="s">
        <v>9</v>
      </c>
      <c r="H98" s="119"/>
      <c r="I98" s="119"/>
      <c r="J98" s="119"/>
      <c r="K98" s="119"/>
      <c r="L98" s="120" t="s">
        <v>56</v>
      </c>
      <c r="M98" s="121"/>
      <c r="N98" s="121"/>
      <c r="O98" s="121"/>
      <c r="P98" s="121"/>
      <c r="Q98" s="121"/>
      <c r="R98" s="121"/>
      <c r="S98" s="121"/>
      <c r="T98" s="121"/>
      <c r="U98" s="9"/>
      <c r="V98" s="9"/>
      <c r="W98" s="9"/>
      <c r="X98" s="9"/>
      <c r="Y98" s="122" t="s">
        <v>10</v>
      </c>
      <c r="Z98" s="114" t="s">
        <v>1342</v>
      </c>
      <c r="AE98">
        <v>1</v>
      </c>
      <c r="AG98" s="114" t="s">
        <v>1336</v>
      </c>
    </row>
    <row r="99" spans="1:45" ht="20.100000000000001" customHeight="1" thickBot="1" x14ac:dyDescent="0.35">
      <c r="A99" s="125"/>
      <c r="B99" s="125"/>
      <c r="C99" s="125"/>
      <c r="D99" s="127"/>
      <c r="E99" s="1" t="s">
        <v>0</v>
      </c>
      <c r="F99" s="4" t="s">
        <v>11</v>
      </c>
      <c r="G99" s="4" t="s">
        <v>12</v>
      </c>
      <c r="H99" s="4" t="s">
        <v>13</v>
      </c>
      <c r="I99" s="4" t="s">
        <v>14</v>
      </c>
      <c r="J99" s="51" t="s">
        <v>15</v>
      </c>
      <c r="K99" s="51" t="s">
        <v>16</v>
      </c>
      <c r="L99" s="51" t="s">
        <v>6</v>
      </c>
      <c r="M99" s="51" t="s">
        <v>51</v>
      </c>
      <c r="N99" s="51" t="s">
        <v>125</v>
      </c>
      <c r="O99" s="51" t="s">
        <v>126</v>
      </c>
      <c r="P99" s="51" t="s">
        <v>127</v>
      </c>
      <c r="Q99" s="51" t="s">
        <v>53</v>
      </c>
      <c r="R99" s="51" t="s">
        <v>54</v>
      </c>
      <c r="S99" s="51" t="s">
        <v>128</v>
      </c>
      <c r="T99" s="51" t="s">
        <v>129</v>
      </c>
      <c r="U99" s="51" t="s">
        <v>130</v>
      </c>
      <c r="V99" s="4" t="s">
        <v>78</v>
      </c>
      <c r="W99" s="4" t="s">
        <v>131</v>
      </c>
      <c r="X99" s="10" t="s">
        <v>76</v>
      </c>
      <c r="Y99" s="123"/>
      <c r="Z99" s="114" t="s">
        <v>178</v>
      </c>
      <c r="AA99" s="114" t="s">
        <v>179</v>
      </c>
      <c r="AB99" s="114" t="s">
        <v>180</v>
      </c>
      <c r="AC99" s="114" t="s">
        <v>181</v>
      </c>
      <c r="AD99" s="114" t="s">
        <v>182</v>
      </c>
      <c r="AE99" s="115" t="s">
        <v>326</v>
      </c>
      <c r="AG99" s="114" t="s">
        <v>178</v>
      </c>
      <c r="AH99" s="114" t="s">
        <v>179</v>
      </c>
      <c r="AI99" s="114" t="s">
        <v>180</v>
      </c>
      <c r="AJ99" s="114" t="s">
        <v>181</v>
      </c>
      <c r="AK99" s="114" t="s">
        <v>182</v>
      </c>
    </row>
    <row r="100" spans="1:45" ht="20.100000000000001" customHeight="1" x14ac:dyDescent="0.3">
      <c r="A100" s="11">
        <v>1</v>
      </c>
      <c r="B100" s="12" t="s">
        <v>17</v>
      </c>
      <c r="C100" s="12" t="s">
        <v>17</v>
      </c>
      <c r="D100" s="13" t="s">
        <v>18</v>
      </c>
      <c r="E100" s="36">
        <v>45554</v>
      </c>
      <c r="F100" s="15"/>
      <c r="G100" s="13" t="s">
        <v>19</v>
      </c>
      <c r="H100" s="27">
        <v>29.1</v>
      </c>
      <c r="I100" s="27">
        <v>7.79</v>
      </c>
      <c r="J100" s="27">
        <v>7.41</v>
      </c>
      <c r="K100" s="76">
        <v>213</v>
      </c>
      <c r="L100" s="56"/>
      <c r="M100" s="53"/>
      <c r="N100" s="53"/>
      <c r="O100" s="53">
        <v>0.79800000000000004</v>
      </c>
      <c r="P100" s="53"/>
      <c r="Q100" s="53"/>
      <c r="R100" s="53"/>
      <c r="S100" s="53"/>
      <c r="T100" s="53">
        <v>19.614999999999998</v>
      </c>
      <c r="U100" s="53">
        <v>8.39</v>
      </c>
      <c r="V100" s="53">
        <v>-1.28</v>
      </c>
      <c r="W100" s="84">
        <v>27.662456528967201</v>
      </c>
      <c r="X100" s="84">
        <v>4.8610379223890661</v>
      </c>
      <c r="Y100" s="16"/>
      <c r="Z100" s="130">
        <v>26.86</v>
      </c>
      <c r="AA100" s="130">
        <v>14.35</v>
      </c>
      <c r="AB100" s="130">
        <v>13.83</v>
      </c>
      <c r="AC100" s="130">
        <v>1.2</v>
      </c>
      <c r="AD100" s="130">
        <v>43.76</v>
      </c>
      <c r="AE100" s="130">
        <f t="shared" ref="AE100:AE123" si="6">SUM(Z100:AD100)</f>
        <v>100</v>
      </c>
      <c r="AG100" s="117">
        <v>1.6199999999999999E-2</v>
      </c>
      <c r="AH100" s="117">
        <v>5.0000000000000001E-4</v>
      </c>
      <c r="AI100" s="117">
        <v>6.1999999999999998E-3</v>
      </c>
      <c r="AJ100" s="117">
        <v>1.6999999999999999E-3</v>
      </c>
      <c r="AK100" s="117">
        <v>1.4500000000000001E-2</v>
      </c>
    </row>
    <row r="101" spans="1:45" ht="20.100000000000001" customHeight="1" x14ac:dyDescent="0.3">
      <c r="A101" s="25">
        <v>2</v>
      </c>
      <c r="B101" s="17" t="s">
        <v>17</v>
      </c>
      <c r="C101" s="17" t="s">
        <v>17</v>
      </c>
      <c r="D101" s="18" t="s">
        <v>20</v>
      </c>
      <c r="E101" s="26">
        <v>45554</v>
      </c>
      <c r="F101" s="20"/>
      <c r="G101" s="18" t="s">
        <v>19</v>
      </c>
      <c r="H101" s="28">
        <v>31.1</v>
      </c>
      <c r="I101" s="28">
        <v>8.2100000000000009</v>
      </c>
      <c r="J101" s="28">
        <v>8.58</v>
      </c>
      <c r="K101" s="74">
        <v>364</v>
      </c>
      <c r="L101" s="57"/>
      <c r="M101" s="54"/>
      <c r="N101" s="54"/>
      <c r="O101" s="54">
        <v>4.1859999999999999</v>
      </c>
      <c r="P101" s="54"/>
      <c r="Q101" s="54"/>
      <c r="R101" s="54"/>
      <c r="S101" s="54"/>
      <c r="T101" s="54">
        <v>42.957000000000001</v>
      </c>
      <c r="U101" s="54">
        <v>13.52</v>
      </c>
      <c r="V101" s="54">
        <v>-2.37</v>
      </c>
      <c r="W101" s="85">
        <v>24.7672766162591</v>
      </c>
      <c r="X101" s="85">
        <v>9.7239065437712533</v>
      </c>
      <c r="Y101" s="21"/>
      <c r="Z101" s="130">
        <v>43.7</v>
      </c>
      <c r="AA101" s="130">
        <v>22.06</v>
      </c>
      <c r="AB101" s="130">
        <v>7.8299999999999992</v>
      </c>
      <c r="AC101" s="130">
        <v>0.96</v>
      </c>
      <c r="AD101" s="130">
        <v>25.45</v>
      </c>
      <c r="AE101" s="130">
        <f t="shared" si="6"/>
        <v>100</v>
      </c>
      <c r="AG101" s="117">
        <v>1.7100000000000001E-2</v>
      </c>
      <c r="AH101" s="117">
        <v>6.1000000000000004E-3</v>
      </c>
      <c r="AI101" s="117">
        <v>4.7999999999999996E-3</v>
      </c>
      <c r="AJ101" s="117">
        <v>1.8E-3</v>
      </c>
      <c r="AK101" s="117">
        <v>6.7999999999999996E-3</v>
      </c>
    </row>
    <row r="102" spans="1:45" ht="20.100000000000001" customHeight="1" x14ac:dyDescent="0.3">
      <c r="A102" s="25">
        <v>3</v>
      </c>
      <c r="B102" s="17" t="s">
        <v>17</v>
      </c>
      <c r="C102" s="17" t="s">
        <v>17</v>
      </c>
      <c r="D102" s="18" t="s">
        <v>21</v>
      </c>
      <c r="E102" s="26">
        <v>45554</v>
      </c>
      <c r="F102" s="20"/>
      <c r="G102" s="18" t="s">
        <v>19</v>
      </c>
      <c r="H102" s="28">
        <v>32.799999999999997</v>
      </c>
      <c r="I102" s="28">
        <v>8.0500000000000007</v>
      </c>
      <c r="J102" s="28">
        <v>8.2899999999999991</v>
      </c>
      <c r="K102" s="74">
        <v>391</v>
      </c>
      <c r="L102" s="57"/>
      <c r="M102" s="54"/>
      <c r="N102" s="54"/>
      <c r="O102" s="54">
        <v>3.1080000000000001</v>
      </c>
      <c r="P102" s="54"/>
      <c r="Q102" s="54"/>
      <c r="R102" s="54"/>
      <c r="S102" s="54"/>
      <c r="T102" s="54">
        <v>47.884</v>
      </c>
      <c r="U102" s="58">
        <v>14.02</v>
      </c>
      <c r="V102" s="58">
        <v>-3.68</v>
      </c>
      <c r="W102" s="86">
        <v>24.0792961930403</v>
      </c>
      <c r="X102" s="85">
        <v>9.7627583260568862</v>
      </c>
      <c r="Y102" s="21"/>
      <c r="Z102" s="130">
        <v>45.31</v>
      </c>
      <c r="AA102" s="130">
        <v>21.26</v>
      </c>
      <c r="AB102" s="130">
        <v>6.97</v>
      </c>
      <c r="AC102" s="130">
        <v>0.71000000000000008</v>
      </c>
      <c r="AD102" s="130">
        <v>25.75</v>
      </c>
      <c r="AE102" s="130">
        <f t="shared" si="6"/>
        <v>100</v>
      </c>
      <c r="AG102" s="117">
        <v>2.1999999999999999E-2</v>
      </c>
      <c r="AH102" s="117">
        <v>8.9999999999999993E-3</v>
      </c>
      <c r="AI102" s="117">
        <v>5.7000000000000002E-3</v>
      </c>
      <c r="AJ102" s="117">
        <v>1.6999999999999999E-3</v>
      </c>
      <c r="AK102" s="117">
        <v>7.6E-3</v>
      </c>
    </row>
    <row r="103" spans="1:45" ht="20.100000000000001" customHeight="1" x14ac:dyDescent="0.3">
      <c r="A103" s="25">
        <v>4</v>
      </c>
      <c r="B103" s="17" t="s">
        <v>17</v>
      </c>
      <c r="C103" s="17" t="s">
        <v>17</v>
      </c>
      <c r="D103" s="18" t="s">
        <v>22</v>
      </c>
      <c r="E103" s="26">
        <v>45554</v>
      </c>
      <c r="F103" s="20"/>
      <c r="G103" s="18" t="s">
        <v>19</v>
      </c>
      <c r="H103" s="28">
        <v>32.799999999999997</v>
      </c>
      <c r="I103" s="28">
        <v>8.24</v>
      </c>
      <c r="J103" s="28">
        <v>9.39</v>
      </c>
      <c r="K103" s="74">
        <v>333</v>
      </c>
      <c r="L103" s="57"/>
      <c r="M103" s="54"/>
      <c r="N103" s="54"/>
      <c r="O103" s="54">
        <v>1.391</v>
      </c>
      <c r="P103" s="54"/>
      <c r="Q103" s="54"/>
      <c r="R103" s="54"/>
      <c r="S103" s="54"/>
      <c r="T103" s="54">
        <v>38.052999999999997</v>
      </c>
      <c r="U103" s="55">
        <v>14.22</v>
      </c>
      <c r="V103" s="55">
        <v>-1.24</v>
      </c>
      <c r="W103" s="87">
        <v>21.889296347698799</v>
      </c>
      <c r="X103" s="87">
        <v>10.573961372083717</v>
      </c>
      <c r="Y103" s="21"/>
      <c r="Z103" s="130">
        <v>44.940000000000005</v>
      </c>
      <c r="AA103" s="130">
        <v>24.67</v>
      </c>
      <c r="AB103" s="130">
        <v>7.82</v>
      </c>
      <c r="AC103" s="130">
        <v>1.18</v>
      </c>
      <c r="AD103" s="130">
        <v>21.39</v>
      </c>
      <c r="AE103" s="130">
        <f t="shared" si="6"/>
        <v>100.00000000000001</v>
      </c>
      <c r="AG103" s="117">
        <v>1.34E-2</v>
      </c>
      <c r="AH103" s="117">
        <v>5.3E-3</v>
      </c>
      <c r="AI103" s="117">
        <v>3.5999999999999999E-3</v>
      </c>
      <c r="AJ103" s="117">
        <v>1.9E-3</v>
      </c>
      <c r="AK103" s="117">
        <v>4.3E-3</v>
      </c>
    </row>
    <row r="104" spans="1:45" ht="20.100000000000001" customHeight="1" x14ac:dyDescent="0.3">
      <c r="A104" s="41">
        <v>5</v>
      </c>
      <c r="B104" s="42" t="s">
        <v>23</v>
      </c>
      <c r="C104" s="42" t="s">
        <v>23</v>
      </c>
      <c r="D104" s="43" t="s">
        <v>24</v>
      </c>
      <c r="E104" s="44">
        <v>45554</v>
      </c>
      <c r="F104" s="45"/>
      <c r="G104" s="43" t="s">
        <v>19</v>
      </c>
      <c r="H104" s="72">
        <v>28.75</v>
      </c>
      <c r="I104" s="72">
        <v>6.94</v>
      </c>
      <c r="J104" s="72">
        <v>7.81</v>
      </c>
      <c r="K104" s="73">
        <v>148</v>
      </c>
      <c r="L104" s="59"/>
      <c r="M104" s="60"/>
      <c r="N104" s="60"/>
      <c r="O104" s="61">
        <v>0.77700000000000002</v>
      </c>
      <c r="P104" s="61"/>
      <c r="Q104" s="61"/>
      <c r="R104" s="61"/>
      <c r="S104" s="61"/>
      <c r="T104" s="61">
        <v>14.064</v>
      </c>
      <c r="U104" s="61">
        <v>8.1300000000000008</v>
      </c>
      <c r="V104" s="61">
        <v>2.91</v>
      </c>
      <c r="W104" s="86">
        <v>13.911002779847699</v>
      </c>
      <c r="X104" s="86">
        <v>10.855459951514934</v>
      </c>
      <c r="Y104" s="48"/>
      <c r="Z104" s="130">
        <v>26.590000000000003</v>
      </c>
      <c r="AA104" s="130">
        <v>18.11</v>
      </c>
      <c r="AB104" s="130">
        <v>17.05</v>
      </c>
      <c r="AC104" s="130">
        <v>2.9000000000000004</v>
      </c>
      <c r="AD104" s="130">
        <v>35.35</v>
      </c>
      <c r="AE104" s="130">
        <f t="shared" si="6"/>
        <v>100</v>
      </c>
      <c r="AG104" s="117">
        <v>8.0000000000000002E-3</v>
      </c>
      <c r="AH104" s="117">
        <v>3.3E-3</v>
      </c>
      <c r="AI104" s="117">
        <v>3.8999999999999998E-3</v>
      </c>
      <c r="AJ104" s="117">
        <v>1.1999999999999999E-3</v>
      </c>
      <c r="AK104" s="117">
        <v>7.1000000000000004E-3</v>
      </c>
    </row>
    <row r="105" spans="1:45" ht="20.100000000000001" customHeight="1" x14ac:dyDescent="0.3">
      <c r="A105" s="41">
        <v>6</v>
      </c>
      <c r="B105" s="42" t="s">
        <v>23</v>
      </c>
      <c r="C105" s="42" t="s">
        <v>23</v>
      </c>
      <c r="D105" s="43" t="s">
        <v>25</v>
      </c>
      <c r="E105" s="44">
        <v>45554</v>
      </c>
      <c r="F105" s="45"/>
      <c r="G105" s="43" t="s">
        <v>19</v>
      </c>
      <c r="H105" s="72">
        <v>28.65</v>
      </c>
      <c r="I105" s="72">
        <v>6.75</v>
      </c>
      <c r="J105" s="72">
        <v>8.06</v>
      </c>
      <c r="K105" s="73">
        <v>177</v>
      </c>
      <c r="L105" s="59"/>
      <c r="M105" s="60"/>
      <c r="N105" s="60"/>
      <c r="O105" s="60">
        <v>1.403</v>
      </c>
      <c r="P105" s="60"/>
      <c r="Q105" s="60"/>
      <c r="R105" s="60"/>
      <c r="S105" s="60"/>
      <c r="T105" s="60">
        <v>23.036000000000001</v>
      </c>
      <c r="U105" s="60">
        <v>9.49</v>
      </c>
      <c r="V105" s="60">
        <v>2.95</v>
      </c>
      <c r="W105" s="85">
        <v>22.975329252380899</v>
      </c>
      <c r="X105" s="85">
        <v>9.6362096420400398</v>
      </c>
      <c r="Y105" s="48"/>
      <c r="Z105" s="130">
        <v>31.080000000000002</v>
      </c>
      <c r="AA105" s="130">
        <v>20.79</v>
      </c>
      <c r="AB105" s="130">
        <v>14.680000000000001</v>
      </c>
      <c r="AC105" s="130">
        <v>2.98</v>
      </c>
      <c r="AD105" s="130">
        <v>30.470000000000002</v>
      </c>
      <c r="AE105" s="130">
        <f t="shared" si="6"/>
        <v>100.00000000000001</v>
      </c>
      <c r="AG105" s="117">
        <v>7.1000000000000004E-3</v>
      </c>
      <c r="AH105" s="117">
        <v>6.0000000000000001E-3</v>
      </c>
      <c r="AI105" s="117">
        <v>3.8E-3</v>
      </c>
      <c r="AJ105" s="117">
        <v>1.5E-3</v>
      </c>
      <c r="AK105" s="117">
        <v>4.1000000000000003E-3</v>
      </c>
      <c r="AS105" t="s">
        <v>1355</v>
      </c>
    </row>
    <row r="106" spans="1:45" ht="20.100000000000001" customHeight="1" x14ac:dyDescent="0.3">
      <c r="A106" s="41">
        <v>7</v>
      </c>
      <c r="B106" s="42" t="s">
        <v>23</v>
      </c>
      <c r="C106" s="42" t="s">
        <v>23</v>
      </c>
      <c r="D106" s="43" t="s">
        <v>26</v>
      </c>
      <c r="E106" s="44">
        <v>45554</v>
      </c>
      <c r="F106" s="45"/>
      <c r="G106" s="43" t="s">
        <v>19</v>
      </c>
      <c r="H106" s="72">
        <v>28.68</v>
      </c>
      <c r="I106" s="72">
        <v>6.78</v>
      </c>
      <c r="J106" s="72">
        <v>7.37</v>
      </c>
      <c r="K106" s="73">
        <v>188</v>
      </c>
      <c r="L106" s="59"/>
      <c r="M106" s="60"/>
      <c r="N106" s="60"/>
      <c r="O106" s="60">
        <v>1.7809999999999999</v>
      </c>
      <c r="P106" s="60"/>
      <c r="Q106" s="60"/>
      <c r="R106" s="60"/>
      <c r="S106" s="60"/>
      <c r="T106" s="60">
        <v>23.76</v>
      </c>
      <c r="U106" s="60">
        <v>7.61</v>
      </c>
      <c r="V106" s="60">
        <v>-0.36</v>
      </c>
      <c r="W106" s="85">
        <v>24.174021086351001</v>
      </c>
      <c r="X106" s="85">
        <v>9.6380549193237357</v>
      </c>
      <c r="Y106" s="48"/>
      <c r="Z106" s="130">
        <v>24.490000000000002</v>
      </c>
      <c r="AA106" s="130">
        <v>13.94</v>
      </c>
      <c r="AB106" s="130">
        <v>15.73</v>
      </c>
      <c r="AC106" s="130">
        <v>1.44</v>
      </c>
      <c r="AD106" s="130">
        <v>44.4</v>
      </c>
      <c r="AE106" s="130">
        <f t="shared" si="6"/>
        <v>100</v>
      </c>
      <c r="AG106" s="117">
        <v>1.18E-2</v>
      </c>
      <c r="AH106" s="117">
        <v>1.5E-3</v>
      </c>
      <c r="AI106" s="117">
        <v>5.7999999999999996E-3</v>
      </c>
      <c r="AJ106" s="117">
        <v>1.6000000000000001E-3</v>
      </c>
      <c r="AK106" s="117">
        <v>1.12E-2</v>
      </c>
    </row>
    <row r="107" spans="1:45" ht="20.100000000000001" customHeight="1" x14ac:dyDescent="0.3">
      <c r="A107" s="41">
        <v>8</v>
      </c>
      <c r="B107" s="42" t="s">
        <v>23</v>
      </c>
      <c r="C107" s="42" t="s">
        <v>27</v>
      </c>
      <c r="D107" s="43" t="s">
        <v>68</v>
      </c>
      <c r="E107" s="44">
        <v>45554</v>
      </c>
      <c r="F107" s="45"/>
      <c r="G107" s="43" t="s">
        <v>19</v>
      </c>
      <c r="H107" s="72">
        <v>24.29</v>
      </c>
      <c r="I107" s="72">
        <v>6.51</v>
      </c>
      <c r="J107" s="72">
        <v>6.25</v>
      </c>
      <c r="K107" s="73">
        <v>345</v>
      </c>
      <c r="L107" s="59"/>
      <c r="M107" s="60"/>
      <c r="N107" s="60"/>
      <c r="O107" s="60">
        <v>0.33900000000000002</v>
      </c>
      <c r="P107" s="60"/>
      <c r="Q107" s="60"/>
      <c r="R107" s="60"/>
      <c r="S107" s="60"/>
      <c r="T107" s="60">
        <v>36.484000000000002</v>
      </c>
      <c r="U107" s="60">
        <v>-0.56999999999999995</v>
      </c>
      <c r="V107" s="60">
        <v>-1.45</v>
      </c>
      <c r="W107" s="85">
        <v>43.650194090885002</v>
      </c>
      <c r="X107" s="85">
        <v>10.378581309505863</v>
      </c>
      <c r="Y107" s="48"/>
      <c r="Z107" s="130">
        <v>5.27</v>
      </c>
      <c r="AA107" s="130">
        <v>2.91</v>
      </c>
      <c r="AB107" s="130">
        <v>31.81</v>
      </c>
      <c r="AC107" s="130">
        <v>1.05</v>
      </c>
      <c r="AD107" s="130">
        <v>58.96</v>
      </c>
      <c r="AE107" s="130">
        <f t="shared" si="6"/>
        <v>100</v>
      </c>
      <c r="AG107" s="117">
        <v>5.7000000000000002E-3</v>
      </c>
      <c r="AH107" s="117">
        <v>3.0999999999999999E-3</v>
      </c>
      <c r="AI107" s="117">
        <v>2.5499999999999998E-2</v>
      </c>
      <c r="AJ107" s="117">
        <v>1.9E-3</v>
      </c>
      <c r="AK107" s="117">
        <v>2.8400000000000002E-2</v>
      </c>
    </row>
    <row r="108" spans="1:45" ht="20.100000000000001" customHeight="1" x14ac:dyDescent="0.3">
      <c r="A108" s="41">
        <v>9</v>
      </c>
      <c r="B108" s="42" t="s">
        <v>23</v>
      </c>
      <c r="C108" s="42" t="s">
        <v>27</v>
      </c>
      <c r="D108" s="43" t="s">
        <v>30</v>
      </c>
      <c r="E108" s="44">
        <v>45554</v>
      </c>
      <c r="F108" s="45"/>
      <c r="G108" s="43" t="s">
        <v>19</v>
      </c>
      <c r="H108" s="72">
        <v>28.04</v>
      </c>
      <c r="I108" s="72">
        <v>6.77</v>
      </c>
      <c r="J108" s="72">
        <v>6.7</v>
      </c>
      <c r="K108" s="73">
        <v>235</v>
      </c>
      <c r="L108" s="59"/>
      <c r="M108" s="60"/>
      <c r="N108" s="60"/>
      <c r="O108" s="60">
        <v>2.4089999999999998</v>
      </c>
      <c r="P108" s="60"/>
      <c r="Q108" s="60"/>
      <c r="R108" s="60"/>
      <c r="S108" s="60"/>
      <c r="T108" s="60">
        <v>28.713999999999999</v>
      </c>
      <c r="U108" s="62">
        <v>3.82</v>
      </c>
      <c r="V108" s="62">
        <v>-1.38</v>
      </c>
      <c r="W108" s="87">
        <v>33.637222309601903</v>
      </c>
      <c r="X108" s="87">
        <v>9.7771056395464235</v>
      </c>
      <c r="Y108" s="48"/>
      <c r="Z108" s="130">
        <v>12.76</v>
      </c>
      <c r="AA108" s="130">
        <v>7.03</v>
      </c>
      <c r="AB108" s="130">
        <v>21.58</v>
      </c>
      <c r="AC108" s="130">
        <v>1.01</v>
      </c>
      <c r="AD108" s="130">
        <v>57.620000000000005</v>
      </c>
      <c r="AE108" s="130">
        <f t="shared" si="6"/>
        <v>100</v>
      </c>
      <c r="AG108" s="117">
        <v>7.4000000000000003E-3</v>
      </c>
      <c r="AH108" s="117">
        <v>2.3999999999999998E-3</v>
      </c>
      <c r="AI108" s="117">
        <v>1.3899999999999999E-2</v>
      </c>
      <c r="AJ108" s="117">
        <v>1.2999999999999999E-3</v>
      </c>
      <c r="AK108" s="117">
        <v>1.7999999999999999E-2</v>
      </c>
    </row>
    <row r="109" spans="1:45" ht="20.100000000000001" customHeight="1" x14ac:dyDescent="0.3">
      <c r="A109" s="25">
        <v>10</v>
      </c>
      <c r="B109" s="17" t="s">
        <v>31</v>
      </c>
      <c r="C109" s="17" t="s">
        <v>31</v>
      </c>
      <c r="D109" s="18" t="s">
        <v>32</v>
      </c>
      <c r="E109" s="26">
        <v>45554</v>
      </c>
      <c r="F109" s="20"/>
      <c r="G109" s="18" t="s">
        <v>19</v>
      </c>
      <c r="H109" s="28">
        <v>30.78</v>
      </c>
      <c r="I109" s="28">
        <v>6.84</v>
      </c>
      <c r="J109" s="28">
        <v>8.3000000000000007</v>
      </c>
      <c r="K109" s="74">
        <v>240.6</v>
      </c>
      <c r="L109" s="57"/>
      <c r="M109" s="54"/>
      <c r="N109" s="54"/>
      <c r="O109" s="58">
        <v>1.2070000000000001</v>
      </c>
      <c r="P109" s="58"/>
      <c r="Q109" s="58"/>
      <c r="R109" s="58"/>
      <c r="S109" s="58"/>
      <c r="T109" s="58">
        <v>13.584</v>
      </c>
      <c r="U109" s="58">
        <v>9.73</v>
      </c>
      <c r="V109" s="58">
        <v>5</v>
      </c>
      <c r="W109" s="86">
        <v>22.345902492668699</v>
      </c>
      <c r="X109" s="86">
        <v>10.675003707627972</v>
      </c>
      <c r="Y109" s="21"/>
      <c r="Z109" s="130">
        <v>30.98</v>
      </c>
      <c r="AA109" s="130">
        <v>23.54</v>
      </c>
      <c r="AB109" s="130">
        <v>15.370000000000001</v>
      </c>
      <c r="AC109" s="130">
        <v>4.46</v>
      </c>
      <c r="AD109" s="130">
        <v>25.650000000000002</v>
      </c>
      <c r="AE109" s="130">
        <f t="shared" si="6"/>
        <v>100</v>
      </c>
      <c r="AG109" s="117">
        <v>4.8999999999999998E-3</v>
      </c>
      <c r="AH109" s="117">
        <v>6.4000000000000003E-3</v>
      </c>
      <c r="AI109" s="117">
        <v>2.5000000000000001E-3</v>
      </c>
      <c r="AJ109" s="117">
        <v>1E-3</v>
      </c>
      <c r="AK109" s="117">
        <v>8.9999999999999998E-4</v>
      </c>
    </row>
    <row r="110" spans="1:45" ht="20.100000000000001" customHeight="1" x14ac:dyDescent="0.3">
      <c r="A110" s="25">
        <v>11</v>
      </c>
      <c r="B110" s="17" t="s">
        <v>31</v>
      </c>
      <c r="C110" s="17" t="s">
        <v>31</v>
      </c>
      <c r="D110" s="18" t="s">
        <v>69</v>
      </c>
      <c r="E110" s="26">
        <v>45554</v>
      </c>
      <c r="F110" s="20"/>
      <c r="G110" s="18" t="s">
        <v>19</v>
      </c>
      <c r="H110" s="28">
        <v>30.3</v>
      </c>
      <c r="I110" s="28">
        <v>6.96</v>
      </c>
      <c r="J110" s="28">
        <v>6.97</v>
      </c>
      <c r="K110" s="74">
        <v>241.5</v>
      </c>
      <c r="L110" s="57"/>
      <c r="M110" s="54"/>
      <c r="N110" s="54"/>
      <c r="O110" s="54">
        <v>0.82899999999999996</v>
      </c>
      <c r="P110" s="54"/>
      <c r="Q110" s="54"/>
      <c r="R110" s="54"/>
      <c r="S110" s="54"/>
      <c r="T110" s="54">
        <v>13.785</v>
      </c>
      <c r="U110" s="54">
        <v>10.98</v>
      </c>
      <c r="V110" s="54">
        <v>4.84</v>
      </c>
      <c r="W110" s="85">
        <v>22.933259168901401</v>
      </c>
      <c r="X110" s="85">
        <v>11.747042629575766</v>
      </c>
      <c r="Y110" s="21"/>
      <c r="Z110" s="130">
        <v>34.25</v>
      </c>
      <c r="AA110" s="130">
        <v>25.840000000000003</v>
      </c>
      <c r="AB110" s="130">
        <v>13.639999999999999</v>
      </c>
      <c r="AC110" s="130">
        <v>4.26</v>
      </c>
      <c r="AD110" s="130">
        <v>22.009999999999998</v>
      </c>
      <c r="AE110" s="130">
        <f t="shared" si="6"/>
        <v>100</v>
      </c>
      <c r="AG110" s="117">
        <v>5.0000000000000001E-3</v>
      </c>
      <c r="AH110" s="117">
        <v>5.7999999999999996E-3</v>
      </c>
      <c r="AI110" s="117">
        <v>1.8E-3</v>
      </c>
      <c r="AJ110" s="117">
        <v>1.6999999999999999E-3</v>
      </c>
      <c r="AK110" s="117">
        <v>8.9999999999999998E-4</v>
      </c>
    </row>
    <row r="111" spans="1:45" ht="20.100000000000001" customHeight="1" x14ac:dyDescent="0.3">
      <c r="A111" s="25">
        <v>12</v>
      </c>
      <c r="B111" s="17" t="s">
        <v>31</v>
      </c>
      <c r="C111" s="17" t="s">
        <v>31</v>
      </c>
      <c r="D111" s="18" t="s">
        <v>34</v>
      </c>
      <c r="E111" s="26">
        <v>45554</v>
      </c>
      <c r="F111" s="20"/>
      <c r="G111" s="18" t="s">
        <v>19</v>
      </c>
      <c r="H111" s="28">
        <v>32.1</v>
      </c>
      <c r="I111" s="28">
        <v>7.73</v>
      </c>
      <c r="J111" s="28">
        <v>10.67</v>
      </c>
      <c r="K111" s="74">
        <v>250</v>
      </c>
      <c r="L111" s="57"/>
      <c r="M111" s="54"/>
      <c r="N111" s="54"/>
      <c r="O111" s="54">
        <v>1.43</v>
      </c>
      <c r="P111" s="54"/>
      <c r="Q111" s="54"/>
      <c r="R111" s="54"/>
      <c r="S111" s="54"/>
      <c r="T111" s="54">
        <v>15.304</v>
      </c>
      <c r="U111" s="54">
        <v>11.17</v>
      </c>
      <c r="V111" s="54">
        <v>3.23</v>
      </c>
      <c r="W111" s="85">
        <v>23.326753447322499</v>
      </c>
      <c r="X111" s="85">
        <v>12.827652694409942</v>
      </c>
      <c r="Y111" s="21"/>
      <c r="Z111" s="130">
        <v>35.520000000000003</v>
      </c>
      <c r="AA111" s="130">
        <v>24.62</v>
      </c>
      <c r="AB111" s="130">
        <v>12.64</v>
      </c>
      <c r="AC111" s="130">
        <v>3.15</v>
      </c>
      <c r="AD111" s="130">
        <v>24.07</v>
      </c>
      <c r="AE111" s="130">
        <f t="shared" si="6"/>
        <v>100</v>
      </c>
      <c r="AG111" s="117">
        <v>5.4999999999999997E-3</v>
      </c>
      <c r="AH111" s="117">
        <v>3.8999999999999998E-3</v>
      </c>
      <c r="AI111" s="117">
        <v>2E-3</v>
      </c>
      <c r="AJ111" s="117">
        <v>1.5E-3</v>
      </c>
      <c r="AK111" s="117">
        <v>2.5999999999999999E-3</v>
      </c>
    </row>
    <row r="112" spans="1:45" ht="20.100000000000001" customHeight="1" x14ac:dyDescent="0.3">
      <c r="A112" s="25">
        <v>13</v>
      </c>
      <c r="B112" s="17" t="s">
        <v>31</v>
      </c>
      <c r="C112" s="17" t="s">
        <v>35</v>
      </c>
      <c r="D112" s="18" t="s">
        <v>36</v>
      </c>
      <c r="E112" s="26">
        <v>45554</v>
      </c>
      <c r="F112" s="20"/>
      <c r="G112" s="18" t="s">
        <v>37</v>
      </c>
      <c r="H112" s="28">
        <v>30.1</v>
      </c>
      <c r="I112" s="28">
        <v>7.69</v>
      </c>
      <c r="J112" s="28">
        <v>6.12</v>
      </c>
      <c r="K112" s="74">
        <v>278</v>
      </c>
      <c r="L112" s="57"/>
      <c r="M112" s="54"/>
      <c r="N112" s="54"/>
      <c r="O112" s="54">
        <v>0.92100000000000004</v>
      </c>
      <c r="P112" s="54"/>
      <c r="Q112" s="54"/>
      <c r="R112" s="54"/>
      <c r="S112" s="54"/>
      <c r="T112" s="54">
        <v>13.321999999999999</v>
      </c>
      <c r="U112" s="54">
        <v>9.98</v>
      </c>
      <c r="V112" s="54">
        <v>3.95</v>
      </c>
      <c r="W112" s="85">
        <v>21.242223856986101</v>
      </c>
      <c r="X112" s="85">
        <v>11.374547535418611</v>
      </c>
      <c r="Y112" s="21"/>
      <c r="Z112" s="130">
        <v>32.06</v>
      </c>
      <c r="AA112" s="130">
        <v>22.94</v>
      </c>
      <c r="AB112" s="130">
        <v>14.52</v>
      </c>
      <c r="AC112" s="130">
        <v>3.65</v>
      </c>
      <c r="AD112" s="130">
        <v>26.83</v>
      </c>
      <c r="AE112" s="130">
        <f t="shared" si="6"/>
        <v>100</v>
      </c>
      <c r="AG112" s="117">
        <v>6.1999999999999998E-3</v>
      </c>
      <c r="AH112" s="117">
        <v>6.0000000000000001E-3</v>
      </c>
      <c r="AI112" s="117">
        <v>2.7000000000000001E-3</v>
      </c>
      <c r="AJ112" s="117">
        <v>1.2999999999999999E-3</v>
      </c>
      <c r="AK112" s="117">
        <v>2.8E-3</v>
      </c>
    </row>
    <row r="113" spans="1:38" ht="20.100000000000001" customHeight="1" x14ac:dyDescent="0.3">
      <c r="A113" s="25">
        <v>14</v>
      </c>
      <c r="B113" s="17" t="s">
        <v>31</v>
      </c>
      <c r="C113" s="17" t="s">
        <v>5</v>
      </c>
      <c r="D113" s="18" t="s">
        <v>29</v>
      </c>
      <c r="E113" s="26">
        <v>45554</v>
      </c>
      <c r="F113" s="20"/>
      <c r="G113" s="18" t="s">
        <v>37</v>
      </c>
      <c r="H113" s="28">
        <v>32.4</v>
      </c>
      <c r="I113" s="28">
        <v>7.93</v>
      </c>
      <c r="J113" s="28">
        <v>9.24</v>
      </c>
      <c r="K113" s="74">
        <v>324</v>
      </c>
      <c r="L113" s="57"/>
      <c r="M113" s="54"/>
      <c r="N113" s="54"/>
      <c r="O113" s="54">
        <v>0.71399999999999997</v>
      </c>
      <c r="P113" s="54"/>
      <c r="Q113" s="54"/>
      <c r="R113" s="54"/>
      <c r="S113" s="54"/>
      <c r="T113" s="54">
        <v>30.302</v>
      </c>
      <c r="U113" s="54">
        <v>10.94</v>
      </c>
      <c r="V113" s="54">
        <v>4.0599999999999996</v>
      </c>
      <c r="W113" s="85">
        <v>24.192532410911401</v>
      </c>
      <c r="X113" s="85">
        <v>10.734604160738293</v>
      </c>
      <c r="Y113" s="21"/>
      <c r="Z113" s="130">
        <v>34.549999999999997</v>
      </c>
      <c r="AA113" s="130">
        <v>25.040000000000003</v>
      </c>
      <c r="AB113" s="130">
        <v>13.309999999999999</v>
      </c>
      <c r="AC113" s="130">
        <v>3.71</v>
      </c>
      <c r="AD113" s="130">
        <v>23.39</v>
      </c>
      <c r="AE113" s="130">
        <f t="shared" si="6"/>
        <v>100</v>
      </c>
      <c r="AG113" s="117">
        <v>5.1999999999999998E-3</v>
      </c>
      <c r="AH113" s="117">
        <v>4.7000000000000002E-3</v>
      </c>
      <c r="AI113" s="117">
        <v>1.8E-3</v>
      </c>
      <c r="AJ113" s="117">
        <v>1.4E-3</v>
      </c>
      <c r="AK113" s="117">
        <v>1.6000000000000001E-3</v>
      </c>
    </row>
    <row r="114" spans="1:38" ht="20.100000000000001" customHeight="1" x14ac:dyDescent="0.3">
      <c r="A114" s="25">
        <v>15</v>
      </c>
      <c r="B114" s="17" t="s">
        <v>31</v>
      </c>
      <c r="C114" s="17" t="s">
        <v>35</v>
      </c>
      <c r="D114" s="18" t="s">
        <v>29</v>
      </c>
      <c r="E114" s="26">
        <v>45554</v>
      </c>
      <c r="F114" s="20"/>
      <c r="G114" s="18" t="s">
        <v>37</v>
      </c>
      <c r="H114" s="28">
        <v>30.2</v>
      </c>
      <c r="I114" s="28">
        <v>7.45</v>
      </c>
      <c r="J114" s="28">
        <v>5.91</v>
      </c>
      <c r="K114" s="74">
        <v>267</v>
      </c>
      <c r="L114" s="57"/>
      <c r="M114" s="54"/>
      <c r="N114" s="54"/>
      <c r="O114" s="54">
        <v>0.82</v>
      </c>
      <c r="P114" s="54"/>
      <c r="Q114" s="54"/>
      <c r="R114" s="54"/>
      <c r="S114" s="54"/>
      <c r="T114" s="54">
        <v>13.989000000000001</v>
      </c>
      <c r="U114" s="54">
        <v>11.33</v>
      </c>
      <c r="V114" s="54">
        <v>4.95</v>
      </c>
      <c r="W114" s="87">
        <v>21.552344605112602</v>
      </c>
      <c r="X114" s="87">
        <v>11.346246662814474</v>
      </c>
      <c r="Y114" s="21"/>
      <c r="Z114" s="130">
        <v>35.049999999999997</v>
      </c>
      <c r="AA114" s="130">
        <v>26.55</v>
      </c>
      <c r="AB114" s="130">
        <v>13.26</v>
      </c>
      <c r="AC114" s="130">
        <v>4.3099999999999996</v>
      </c>
      <c r="AD114" s="130">
        <v>20.830000000000002</v>
      </c>
      <c r="AE114" s="130">
        <f t="shared" si="6"/>
        <v>100</v>
      </c>
      <c r="AG114" s="117">
        <v>5.1000000000000004E-3</v>
      </c>
      <c r="AH114" s="117">
        <v>6.3E-3</v>
      </c>
      <c r="AI114" s="117">
        <v>1.8E-3</v>
      </c>
      <c r="AJ114" s="117">
        <v>2.0999999999999999E-3</v>
      </c>
      <c r="AK114" s="117">
        <v>2E-3</v>
      </c>
    </row>
    <row r="115" spans="1:38" ht="20.100000000000001" customHeight="1" x14ac:dyDescent="0.3">
      <c r="A115" s="41">
        <v>16</v>
      </c>
      <c r="B115" s="42" t="s">
        <v>38</v>
      </c>
      <c r="C115" s="42" t="s">
        <v>38</v>
      </c>
      <c r="D115" s="43" t="s">
        <v>39</v>
      </c>
      <c r="E115" s="44">
        <v>45554</v>
      </c>
      <c r="F115" s="45"/>
      <c r="G115" s="43" t="s">
        <v>37</v>
      </c>
      <c r="H115" s="72">
        <v>29</v>
      </c>
      <c r="I115" s="72">
        <v>7.66</v>
      </c>
      <c r="J115" s="72">
        <v>6.83</v>
      </c>
      <c r="K115" s="73">
        <v>200.4</v>
      </c>
      <c r="L115" s="59"/>
      <c r="M115" s="60"/>
      <c r="N115" s="60"/>
      <c r="O115" s="61">
        <v>1.835</v>
      </c>
      <c r="P115" s="61"/>
      <c r="Q115" s="61"/>
      <c r="R115" s="61"/>
      <c r="S115" s="61"/>
      <c r="T115" s="61">
        <v>12.936</v>
      </c>
      <c r="U115" s="61">
        <v>8.52</v>
      </c>
      <c r="V115" s="61">
        <v>3.52</v>
      </c>
      <c r="W115" s="86">
        <v>13.9410216488528</v>
      </c>
      <c r="X115" s="86">
        <v>14.455444642589853</v>
      </c>
      <c r="Y115" s="48"/>
      <c r="Z115" s="130">
        <v>27.91</v>
      </c>
      <c r="AA115" s="130">
        <v>19.489999999999998</v>
      </c>
      <c r="AB115" s="130">
        <v>16.63</v>
      </c>
      <c r="AC115" s="130">
        <v>3.3000000000000003</v>
      </c>
      <c r="AD115" s="130">
        <v>32.67</v>
      </c>
      <c r="AE115" s="130">
        <f t="shared" si="6"/>
        <v>100</v>
      </c>
      <c r="AG115" s="117">
        <v>6.4000000000000003E-3</v>
      </c>
      <c r="AH115" s="117">
        <v>4.5999999999999999E-3</v>
      </c>
      <c r="AI115" s="117">
        <v>4.0000000000000001E-3</v>
      </c>
      <c r="AJ115" s="117">
        <v>1.1999999999999999E-3</v>
      </c>
      <c r="AK115" s="117">
        <v>4.4000000000000003E-3</v>
      </c>
    </row>
    <row r="116" spans="1:38" ht="20.100000000000001" customHeight="1" x14ac:dyDescent="0.3">
      <c r="A116" s="41">
        <v>17</v>
      </c>
      <c r="B116" s="42" t="s">
        <v>38</v>
      </c>
      <c r="C116" s="42" t="s">
        <v>38</v>
      </c>
      <c r="D116" s="43" t="s">
        <v>41</v>
      </c>
      <c r="E116" s="44">
        <v>45554</v>
      </c>
      <c r="F116" s="45"/>
      <c r="G116" s="43" t="s">
        <v>37</v>
      </c>
      <c r="H116" s="72">
        <v>31.2</v>
      </c>
      <c r="I116" s="72">
        <v>7.78</v>
      </c>
      <c r="J116" s="72">
        <v>8.76</v>
      </c>
      <c r="K116" s="73">
        <v>242.3</v>
      </c>
      <c r="L116" s="59"/>
      <c r="M116" s="60"/>
      <c r="N116" s="60"/>
      <c r="O116" s="60">
        <v>1.9239999999999999</v>
      </c>
      <c r="P116" s="60"/>
      <c r="Q116" s="60"/>
      <c r="R116" s="60"/>
      <c r="S116" s="60"/>
      <c r="T116" s="60">
        <v>21.669</v>
      </c>
      <c r="U116" s="60">
        <v>10.67</v>
      </c>
      <c r="V116" s="60">
        <v>2.06</v>
      </c>
      <c r="W116" s="85">
        <v>18.785204981710802</v>
      </c>
      <c r="X116" s="85">
        <v>10.859373350748992</v>
      </c>
      <c r="Y116" s="48"/>
      <c r="Z116" s="130">
        <v>34.46</v>
      </c>
      <c r="AA116" s="130">
        <v>22.28</v>
      </c>
      <c r="AB116" s="130">
        <v>12.66</v>
      </c>
      <c r="AC116" s="130">
        <v>2.5100000000000002</v>
      </c>
      <c r="AD116" s="130">
        <v>28.09</v>
      </c>
      <c r="AE116" s="130">
        <f t="shared" si="6"/>
        <v>100.00000000000001</v>
      </c>
      <c r="AG116" s="117">
        <v>9.1000000000000004E-3</v>
      </c>
      <c r="AH116" s="117">
        <v>4.1000000000000003E-3</v>
      </c>
      <c r="AI116" s="117">
        <v>3.0999999999999999E-3</v>
      </c>
      <c r="AJ116" s="117">
        <v>1.6999999999999999E-3</v>
      </c>
      <c r="AK116" s="117">
        <v>5.8999999999999999E-3</v>
      </c>
    </row>
    <row r="117" spans="1:38" ht="20.100000000000001" customHeight="1" x14ac:dyDescent="0.3">
      <c r="A117" s="41">
        <v>18</v>
      </c>
      <c r="B117" s="42" t="s">
        <v>38</v>
      </c>
      <c r="C117" s="42" t="s">
        <v>38</v>
      </c>
      <c r="D117" s="43" t="s">
        <v>42</v>
      </c>
      <c r="E117" s="44">
        <v>45554</v>
      </c>
      <c r="F117" s="45"/>
      <c r="G117" s="43" t="s">
        <v>37</v>
      </c>
      <c r="H117" s="72">
        <v>31.05</v>
      </c>
      <c r="I117" s="72">
        <v>7.68</v>
      </c>
      <c r="J117" s="72">
        <v>9.3000000000000007</v>
      </c>
      <c r="K117" s="73">
        <v>295.2</v>
      </c>
      <c r="L117" s="59"/>
      <c r="M117" s="60"/>
      <c r="N117" s="60"/>
      <c r="O117" s="60">
        <v>1.694</v>
      </c>
      <c r="P117" s="60"/>
      <c r="Q117" s="60"/>
      <c r="R117" s="60"/>
      <c r="S117" s="60"/>
      <c r="T117" s="60">
        <v>34.601999999999997</v>
      </c>
      <c r="U117" s="60">
        <v>12.47</v>
      </c>
      <c r="V117" s="60">
        <v>1.56</v>
      </c>
      <c r="W117" s="85">
        <v>23.0926526076871</v>
      </c>
      <c r="X117" s="85">
        <v>9.5820343771464991</v>
      </c>
      <c r="Y117" s="48"/>
      <c r="Z117" s="130">
        <v>39.629999999999995</v>
      </c>
      <c r="AA117" s="130">
        <v>24.98</v>
      </c>
      <c r="AB117" s="130">
        <v>10.48</v>
      </c>
      <c r="AC117" s="130">
        <v>2.19</v>
      </c>
      <c r="AD117" s="130">
        <v>22.720000000000002</v>
      </c>
      <c r="AE117" s="130">
        <f t="shared" si="6"/>
        <v>100</v>
      </c>
      <c r="AG117" s="117">
        <v>5.0000000000000001E-3</v>
      </c>
      <c r="AH117" s="117">
        <v>3.2000000000000002E-3</v>
      </c>
      <c r="AI117" s="117">
        <v>2.5000000000000001E-3</v>
      </c>
      <c r="AJ117" s="117">
        <v>1.8E-3</v>
      </c>
      <c r="AK117" s="117">
        <v>2.0999999999999999E-3</v>
      </c>
    </row>
    <row r="118" spans="1:38" ht="20.100000000000001" customHeight="1" x14ac:dyDescent="0.3">
      <c r="A118" s="41">
        <v>19</v>
      </c>
      <c r="B118" s="42" t="s">
        <v>38</v>
      </c>
      <c r="C118" s="42" t="s">
        <v>43</v>
      </c>
      <c r="D118" s="43" t="s">
        <v>40</v>
      </c>
      <c r="E118" s="44">
        <v>45554</v>
      </c>
      <c r="F118" s="45"/>
      <c r="G118" s="43" t="s">
        <v>37</v>
      </c>
      <c r="H118" s="72">
        <v>31.11</v>
      </c>
      <c r="I118" s="72">
        <v>7.69</v>
      </c>
      <c r="J118" s="72">
        <v>8.51</v>
      </c>
      <c r="K118" s="73">
        <v>393.3</v>
      </c>
      <c r="L118" s="59"/>
      <c r="M118" s="60"/>
      <c r="N118" s="60"/>
      <c r="O118" s="60">
        <v>4.9610000000000003</v>
      </c>
      <c r="P118" s="60"/>
      <c r="Q118" s="60"/>
      <c r="R118" s="60"/>
      <c r="S118" s="60"/>
      <c r="T118" s="60">
        <v>63.668999999999997</v>
      </c>
      <c r="U118" s="60">
        <v>13.59</v>
      </c>
      <c r="V118" s="60">
        <v>3.96</v>
      </c>
      <c r="W118" s="85">
        <v>20.478990392428699</v>
      </c>
      <c r="X118" s="85">
        <v>11.784308695411415</v>
      </c>
      <c r="Y118" s="48"/>
      <c r="Z118" s="130">
        <v>40.119999999999997</v>
      </c>
      <c r="AA118" s="130">
        <v>30.17</v>
      </c>
      <c r="AB118" s="130">
        <v>10.290000000000001</v>
      </c>
      <c r="AC118" s="130">
        <v>3.4099999999999997</v>
      </c>
      <c r="AD118" s="130">
        <v>16.009999999999998</v>
      </c>
      <c r="AE118" s="130">
        <f t="shared" si="6"/>
        <v>100</v>
      </c>
      <c r="AG118" s="117">
        <v>1.01E-2</v>
      </c>
      <c r="AH118" s="117">
        <v>8.3000000000000001E-3</v>
      </c>
      <c r="AI118" s="117">
        <v>1.1000000000000001E-3</v>
      </c>
      <c r="AJ118" s="117">
        <v>2.5999999999999999E-3</v>
      </c>
      <c r="AK118" s="117">
        <v>2.8E-3</v>
      </c>
    </row>
    <row r="119" spans="1:38" ht="20.100000000000001" customHeight="1" x14ac:dyDescent="0.3">
      <c r="A119" s="41">
        <v>20</v>
      </c>
      <c r="B119" s="42" t="s">
        <v>38</v>
      </c>
      <c r="C119" s="42" t="s">
        <v>43</v>
      </c>
      <c r="D119" s="43" t="s">
        <v>44</v>
      </c>
      <c r="E119" s="44">
        <v>45554</v>
      </c>
      <c r="F119" s="45"/>
      <c r="G119" s="43" t="s">
        <v>37</v>
      </c>
      <c r="H119" s="72">
        <v>30</v>
      </c>
      <c r="I119" s="72">
        <v>7.58</v>
      </c>
      <c r="J119" s="72">
        <v>8.25</v>
      </c>
      <c r="K119" s="73">
        <v>398.5</v>
      </c>
      <c r="L119" s="59"/>
      <c r="M119" s="60"/>
      <c r="N119" s="60"/>
      <c r="O119" s="60">
        <v>4.0640000000000001</v>
      </c>
      <c r="P119" s="60"/>
      <c r="Q119" s="60"/>
      <c r="R119" s="60"/>
      <c r="S119" s="60"/>
      <c r="T119" s="60">
        <v>42.067</v>
      </c>
      <c r="U119" s="60">
        <v>10.210000000000001</v>
      </c>
      <c r="V119" s="60">
        <v>3.1</v>
      </c>
      <c r="W119" s="87">
        <v>16.1979172318017</v>
      </c>
      <c r="X119" s="87">
        <v>10.688000129315089</v>
      </c>
      <c r="Y119" s="48"/>
      <c r="Z119" s="130">
        <v>32.940000000000005</v>
      </c>
      <c r="AA119" s="130">
        <v>22.51</v>
      </c>
      <c r="AB119" s="130">
        <v>13.780000000000001</v>
      </c>
      <c r="AC119" s="130">
        <v>3.09</v>
      </c>
      <c r="AD119" s="130">
        <v>27.68</v>
      </c>
      <c r="AE119" s="130">
        <f t="shared" si="6"/>
        <v>100</v>
      </c>
      <c r="AG119" s="117">
        <v>7.3000000000000001E-3</v>
      </c>
      <c r="AH119" s="117">
        <v>5.1999999999999998E-3</v>
      </c>
      <c r="AI119" s="117">
        <v>2.8999999999999998E-3</v>
      </c>
      <c r="AJ119" s="117">
        <v>1.5E-3</v>
      </c>
      <c r="AK119" s="117">
        <v>4.1999999999999997E-3</v>
      </c>
    </row>
    <row r="120" spans="1:38" ht="20.100000000000001" customHeight="1" x14ac:dyDescent="0.3">
      <c r="A120" s="25">
        <v>21</v>
      </c>
      <c r="B120" s="17" t="s">
        <v>45</v>
      </c>
      <c r="C120" s="17" t="s">
        <v>45</v>
      </c>
      <c r="D120" s="18" t="s">
        <v>46</v>
      </c>
      <c r="E120" s="26">
        <v>45554</v>
      </c>
      <c r="F120" s="20"/>
      <c r="G120" s="18" t="s">
        <v>37</v>
      </c>
      <c r="H120" s="28">
        <v>27.04</v>
      </c>
      <c r="I120" s="28">
        <v>7.6</v>
      </c>
      <c r="J120" s="28">
        <v>8.77</v>
      </c>
      <c r="K120" s="74">
        <v>190</v>
      </c>
      <c r="L120" s="57"/>
      <c r="M120" s="54"/>
      <c r="N120" s="54"/>
      <c r="O120" s="58">
        <v>0.49</v>
      </c>
      <c r="P120" s="58"/>
      <c r="Q120" s="58"/>
      <c r="R120" s="58"/>
      <c r="S120" s="58"/>
      <c r="T120" s="58">
        <v>11.234</v>
      </c>
      <c r="U120" s="58">
        <v>10</v>
      </c>
      <c r="V120" s="58">
        <v>2.96</v>
      </c>
      <c r="W120" s="86">
        <v>19.212721507059499</v>
      </c>
      <c r="X120" s="86">
        <v>11.710734289954006</v>
      </c>
      <c r="Y120" s="21"/>
      <c r="Z120" s="130">
        <v>32.440000000000005</v>
      </c>
      <c r="AA120" s="130">
        <v>21.9</v>
      </c>
      <c r="AB120" s="130">
        <v>13.99</v>
      </c>
      <c r="AC120" s="130">
        <v>3</v>
      </c>
      <c r="AD120" s="130">
        <v>28.67</v>
      </c>
      <c r="AE120" s="130">
        <f t="shared" si="6"/>
        <v>100</v>
      </c>
      <c r="AG120" s="117">
        <v>7.4999999999999997E-3</v>
      </c>
      <c r="AH120" s="117">
        <v>5.4000000000000003E-3</v>
      </c>
      <c r="AI120" s="117">
        <v>3.3E-3</v>
      </c>
      <c r="AJ120" s="117">
        <v>1.5E-3</v>
      </c>
      <c r="AK120" s="117">
        <v>4.4999999999999997E-3</v>
      </c>
    </row>
    <row r="121" spans="1:38" ht="20.100000000000001" customHeight="1" x14ac:dyDescent="0.3">
      <c r="A121" s="25">
        <v>22</v>
      </c>
      <c r="B121" s="17" t="s">
        <v>45</v>
      </c>
      <c r="C121" s="17" t="s">
        <v>45</v>
      </c>
      <c r="D121" s="22" t="s">
        <v>47</v>
      </c>
      <c r="E121" s="26">
        <v>45554</v>
      </c>
      <c r="F121" s="23"/>
      <c r="G121" s="18" t="s">
        <v>37</v>
      </c>
      <c r="H121" s="28">
        <v>27.15</v>
      </c>
      <c r="I121" s="28">
        <v>7.07</v>
      </c>
      <c r="J121" s="28">
        <v>8.2100000000000009</v>
      </c>
      <c r="K121" s="74">
        <v>170</v>
      </c>
      <c r="L121" s="57"/>
      <c r="M121" s="55"/>
      <c r="N121" s="55"/>
      <c r="O121" s="55">
        <v>1.1399999999999999</v>
      </c>
      <c r="P121" s="55"/>
      <c r="Q121" s="55"/>
      <c r="R121" s="55"/>
      <c r="S121" s="55"/>
      <c r="T121" s="55">
        <v>17.195</v>
      </c>
      <c r="U121" s="55">
        <v>10.44</v>
      </c>
      <c r="V121" s="55">
        <v>1.64</v>
      </c>
      <c r="W121" s="87">
        <v>19.488333528425802</v>
      </c>
      <c r="X121" s="87">
        <v>11.729203250046893</v>
      </c>
      <c r="Y121" s="24"/>
      <c r="Z121" s="130">
        <v>33.94</v>
      </c>
      <c r="AA121" s="130">
        <v>21.310000000000002</v>
      </c>
      <c r="AB121" s="130">
        <v>12.73</v>
      </c>
      <c r="AC121" s="130">
        <v>2.2999999999999998</v>
      </c>
      <c r="AD121" s="130">
        <v>29.720000000000002</v>
      </c>
      <c r="AE121" s="130">
        <f t="shared" si="6"/>
        <v>100</v>
      </c>
      <c r="AG121" s="117">
        <v>0.01</v>
      </c>
      <c r="AH121" s="117">
        <v>4.0000000000000001E-3</v>
      </c>
      <c r="AI121" s="117">
        <v>3.8E-3</v>
      </c>
      <c r="AJ121" s="117">
        <v>1.8E-3</v>
      </c>
      <c r="AK121" s="117">
        <v>6.7000000000000002E-3</v>
      </c>
    </row>
    <row r="122" spans="1:38" ht="20.100000000000001" customHeight="1" x14ac:dyDescent="0.3">
      <c r="A122" s="25">
        <v>23</v>
      </c>
      <c r="B122" s="17" t="s">
        <v>45</v>
      </c>
      <c r="C122" s="17" t="s">
        <v>45</v>
      </c>
      <c r="D122" s="22" t="s">
        <v>29</v>
      </c>
      <c r="E122" s="26">
        <v>45554</v>
      </c>
      <c r="F122" s="23"/>
      <c r="G122" s="18" t="s">
        <v>37</v>
      </c>
      <c r="H122" s="75">
        <v>29.1</v>
      </c>
      <c r="I122" s="75">
        <v>7.14</v>
      </c>
      <c r="J122" s="75">
        <v>9.57</v>
      </c>
      <c r="K122" s="77">
        <v>163</v>
      </c>
      <c r="L122" s="57"/>
      <c r="M122" s="55"/>
      <c r="N122" s="55"/>
      <c r="O122" s="55">
        <v>1.2929999999999999</v>
      </c>
      <c r="P122" s="55"/>
      <c r="Q122" s="55"/>
      <c r="R122" s="55"/>
      <c r="S122" s="55"/>
      <c r="T122" s="55">
        <v>17.489999999999998</v>
      </c>
      <c r="U122" s="55">
        <v>12.09</v>
      </c>
      <c r="V122" s="55">
        <v>1.59</v>
      </c>
      <c r="W122" s="87">
        <v>19.602583287055499</v>
      </c>
      <c r="X122" s="87">
        <v>11.489430196837569</v>
      </c>
      <c r="Y122" s="24"/>
      <c r="Z122" s="130">
        <v>38.619999999999997</v>
      </c>
      <c r="AA122" s="130">
        <v>24.41</v>
      </c>
      <c r="AB122" s="130">
        <v>10.870000000000001</v>
      </c>
      <c r="AC122" s="130">
        <v>2.23</v>
      </c>
      <c r="AD122" s="130">
        <v>23.87</v>
      </c>
      <c r="AE122" s="130">
        <f t="shared" si="6"/>
        <v>100.00000000000001</v>
      </c>
      <c r="AG122" s="117">
        <v>6.3E-3</v>
      </c>
      <c r="AH122" s="117">
        <v>2.8E-3</v>
      </c>
      <c r="AI122" s="117">
        <v>2.5000000000000001E-3</v>
      </c>
      <c r="AJ122" s="117">
        <v>1.6999999999999999E-3</v>
      </c>
      <c r="AK122" s="117">
        <v>3.0999999999999999E-3</v>
      </c>
    </row>
    <row r="123" spans="1:38" ht="20.100000000000001" customHeight="1" x14ac:dyDescent="0.3">
      <c r="A123" s="25">
        <v>24</v>
      </c>
      <c r="B123" s="17" t="s">
        <v>45</v>
      </c>
      <c r="C123" s="17" t="s">
        <v>45</v>
      </c>
      <c r="D123" s="18" t="s">
        <v>48</v>
      </c>
      <c r="E123" s="26">
        <v>45554</v>
      </c>
      <c r="F123" s="20"/>
      <c r="G123" s="18" t="s">
        <v>19</v>
      </c>
      <c r="H123" s="28">
        <v>29.14</v>
      </c>
      <c r="I123" s="28">
        <v>6.95</v>
      </c>
      <c r="J123" s="28">
        <v>8.77</v>
      </c>
      <c r="K123" s="74">
        <v>155</v>
      </c>
      <c r="L123" s="57"/>
      <c r="M123" s="54"/>
      <c r="N123" s="54"/>
      <c r="O123" s="54">
        <v>0.83899999999999997</v>
      </c>
      <c r="P123" s="54"/>
      <c r="Q123" s="54"/>
      <c r="R123" s="54"/>
      <c r="S123" s="54"/>
      <c r="T123" s="54">
        <v>16.988</v>
      </c>
      <c r="U123" s="54">
        <v>9.6999999999999993</v>
      </c>
      <c r="V123" s="54">
        <v>-0.33</v>
      </c>
      <c r="W123" s="85">
        <v>19.456382492073001</v>
      </c>
      <c r="X123" s="85">
        <v>10.817744322287382</v>
      </c>
      <c r="Y123" s="21"/>
      <c r="Z123" s="130">
        <v>31.95</v>
      </c>
      <c r="AA123" s="130">
        <v>17.64</v>
      </c>
      <c r="AB123" s="130">
        <v>12.5</v>
      </c>
      <c r="AC123" s="130">
        <v>1.5</v>
      </c>
      <c r="AD123" s="130">
        <v>36.409999999999997</v>
      </c>
      <c r="AE123" s="130">
        <f t="shared" si="6"/>
        <v>100</v>
      </c>
      <c r="AG123" s="117">
        <v>1.2500000000000001E-2</v>
      </c>
      <c r="AH123" s="117">
        <v>4.0000000000000001E-3</v>
      </c>
      <c r="AI123" s="117">
        <v>6.0000000000000001E-3</v>
      </c>
      <c r="AJ123" s="117">
        <v>1.9E-3</v>
      </c>
      <c r="AK123" s="117">
        <v>8.3999999999999995E-3</v>
      </c>
    </row>
    <row r="124" spans="1:38" ht="20.100000000000001" customHeight="1" x14ac:dyDescent="0.3"/>
    <row r="125" spans="1:38" ht="20.100000000000001" customHeight="1" x14ac:dyDescent="0.3"/>
    <row r="126" spans="1:38" ht="20.100000000000001" customHeight="1" x14ac:dyDescent="0.3"/>
    <row r="127" spans="1:38" ht="20.100000000000001" customHeight="1" thickBot="1" x14ac:dyDescent="0.35">
      <c r="Z127" t="s">
        <v>1350</v>
      </c>
    </row>
    <row r="128" spans="1:38" ht="20.100000000000001" customHeight="1" thickBot="1" x14ac:dyDescent="0.35">
      <c r="A128" s="124" t="s">
        <v>1</v>
      </c>
      <c r="B128" s="126" t="s">
        <v>62</v>
      </c>
      <c r="C128" s="126" t="s">
        <v>63</v>
      </c>
      <c r="D128" s="124" t="s">
        <v>7</v>
      </c>
      <c r="E128" s="128" t="s">
        <v>8</v>
      </c>
      <c r="F128" s="129"/>
      <c r="G128" s="119" t="s">
        <v>9</v>
      </c>
      <c r="H128" s="119"/>
      <c r="I128" s="119"/>
      <c r="J128" s="119"/>
      <c r="K128" s="119"/>
      <c r="L128" s="120" t="s">
        <v>56</v>
      </c>
      <c r="M128" s="121"/>
      <c r="N128" s="121"/>
      <c r="O128" s="121"/>
      <c r="P128" s="121"/>
      <c r="Q128" s="121"/>
      <c r="R128" s="121"/>
      <c r="S128" s="121"/>
      <c r="T128" s="121"/>
      <c r="U128" s="9"/>
      <c r="V128" s="9"/>
      <c r="W128" s="9"/>
      <c r="X128" s="9"/>
      <c r="Y128" s="122" t="s">
        <v>10</v>
      </c>
      <c r="Z128" s="114" t="s">
        <v>1343</v>
      </c>
      <c r="AF128" s="114" t="s">
        <v>1344</v>
      </c>
      <c r="AL128" s="114" t="s">
        <v>1345</v>
      </c>
    </row>
    <row r="129" spans="1:42" ht="20.100000000000001" customHeight="1" thickBot="1" x14ac:dyDescent="0.35">
      <c r="A129" s="125"/>
      <c r="B129" s="125"/>
      <c r="C129" s="125"/>
      <c r="D129" s="127"/>
      <c r="E129" s="1" t="s">
        <v>0</v>
      </c>
      <c r="F129" s="4" t="s">
        <v>11</v>
      </c>
      <c r="G129" s="4" t="s">
        <v>12</v>
      </c>
      <c r="H129" s="4" t="s">
        <v>13</v>
      </c>
      <c r="I129" s="4" t="s">
        <v>14</v>
      </c>
      <c r="J129" s="51" t="s">
        <v>15</v>
      </c>
      <c r="K129" s="51" t="s">
        <v>16</v>
      </c>
      <c r="L129" s="51" t="s">
        <v>6</v>
      </c>
      <c r="M129" s="51" t="s">
        <v>51</v>
      </c>
      <c r="N129" s="51" t="s">
        <v>125</v>
      </c>
      <c r="O129" s="51" t="s">
        <v>126</v>
      </c>
      <c r="P129" s="51" t="s">
        <v>127</v>
      </c>
      <c r="Q129" s="51" t="s">
        <v>53</v>
      </c>
      <c r="R129" s="51" t="s">
        <v>54</v>
      </c>
      <c r="S129" s="51" t="s">
        <v>128</v>
      </c>
      <c r="T129" s="51" t="s">
        <v>129</v>
      </c>
      <c r="U129" s="51" t="s">
        <v>130</v>
      </c>
      <c r="V129" s="4" t="s">
        <v>78</v>
      </c>
      <c r="W129" s="4" t="s">
        <v>131</v>
      </c>
      <c r="X129" s="10" t="s">
        <v>76</v>
      </c>
      <c r="Y129" s="123"/>
      <c r="Z129" s="114" t="s">
        <v>178</v>
      </c>
      <c r="AA129" s="114" t="s">
        <v>179</v>
      </c>
      <c r="AB129" s="114" t="s">
        <v>180</v>
      </c>
      <c r="AC129" s="114" t="s">
        <v>181</v>
      </c>
      <c r="AD129" s="114" t="s">
        <v>182</v>
      </c>
      <c r="AF129" s="114" t="s">
        <v>178</v>
      </c>
      <c r="AG129" s="114" t="s">
        <v>179</v>
      </c>
      <c r="AH129" s="114" t="s">
        <v>180</v>
      </c>
      <c r="AI129" s="114" t="s">
        <v>181</v>
      </c>
      <c r="AJ129" s="114" t="s">
        <v>182</v>
      </c>
      <c r="AL129" s="114" t="s">
        <v>178</v>
      </c>
      <c r="AM129" s="114" t="s">
        <v>179</v>
      </c>
      <c r="AN129" s="114" t="s">
        <v>180</v>
      </c>
      <c r="AO129" s="114" t="s">
        <v>181</v>
      </c>
      <c r="AP129" s="114" t="s">
        <v>182</v>
      </c>
    </row>
    <row r="130" spans="1:42" ht="20.100000000000001" customHeight="1" x14ac:dyDescent="0.3">
      <c r="A130" s="11">
        <v>1</v>
      </c>
      <c r="B130" s="12" t="s">
        <v>17</v>
      </c>
      <c r="C130" s="12" t="s">
        <v>17</v>
      </c>
      <c r="D130" s="13" t="s">
        <v>18</v>
      </c>
      <c r="E130" s="36">
        <v>45554</v>
      </c>
      <c r="F130" s="15"/>
      <c r="G130" s="13" t="s">
        <v>19</v>
      </c>
      <c r="H130" s="27">
        <v>29.1</v>
      </c>
      <c r="I130" s="27">
        <v>7.79</v>
      </c>
      <c r="J130" s="27">
        <v>7.41</v>
      </c>
      <c r="K130" s="76">
        <v>213</v>
      </c>
      <c r="L130" s="56"/>
      <c r="M130" s="53"/>
      <c r="N130" s="53"/>
      <c r="O130" s="53">
        <v>0.79800000000000004</v>
      </c>
      <c r="P130" s="53"/>
      <c r="Q130" s="53"/>
      <c r="R130" s="53"/>
      <c r="S130" s="53"/>
      <c r="T130" s="53">
        <v>19.614999999999998</v>
      </c>
      <c r="U130" s="53">
        <v>8.39</v>
      </c>
      <c r="V130" s="53">
        <v>-1.28</v>
      </c>
      <c r="W130" s="84">
        <v>27.662456528967201</v>
      </c>
      <c r="X130" s="84">
        <v>4.8610379223890661</v>
      </c>
      <c r="Y130" s="16"/>
      <c r="Z130" s="117">
        <f t="shared" ref="Z130:Z153" si="7">Z9/AG9</f>
        <v>0.23091684434968018</v>
      </c>
      <c r="AA130" s="117">
        <f t="shared" ref="AA130:AA153" si="8">AA9/AH9</f>
        <v>5.8461538461538461E-2</v>
      </c>
      <c r="AB130" s="117">
        <f t="shared" ref="AB130:AB153" si="9">AB9/AI9</f>
        <v>0.3</v>
      </c>
      <c r="AC130" s="117">
        <f t="shared" ref="AC130:AC153" si="10">AC9/AJ9</f>
        <v>0.38571428571428568</v>
      </c>
      <c r="AD130" s="117">
        <f t="shared" ref="AD130:AD153" si="11">AD9/AK9</f>
        <v>2.5121739130434784</v>
      </c>
      <c r="AF130" s="117">
        <f t="shared" ref="AF130:AF153" si="12">Z9/AN9</f>
        <v>0.45465994962216627</v>
      </c>
      <c r="AG130" s="117">
        <f t="shared" ref="AG130:AG153" si="13">AA9/AO9</f>
        <v>2.873345935727788E-2</v>
      </c>
      <c r="AH130" s="117">
        <f t="shared" ref="AH130:AH153" si="14">AB9/AP9</f>
        <v>0.15995647442872687</v>
      </c>
      <c r="AI130" s="117">
        <f t="shared" ref="AI130:AI153" si="15">AC9/AQ9</f>
        <v>9.2150170648464161E-2</v>
      </c>
      <c r="AJ130" s="117">
        <f t="shared" ref="AJ130:AJ153" si="16">AD9/AR9</f>
        <v>2.3044403084286094</v>
      </c>
      <c r="AL130" s="117">
        <f t="shared" ref="AL130:AL153" si="17">Z9/AU9</f>
        <v>0.4032017870439315</v>
      </c>
      <c r="AM130" s="117">
        <f t="shared" ref="AM130:AM153" si="18">AA9/AV9</f>
        <v>5.2961672473867599E-2</v>
      </c>
      <c r="AN130" s="117">
        <f t="shared" ref="AN130:AN153" si="19">AB9/AW9</f>
        <v>0.10629067245119306</v>
      </c>
      <c r="AO130" s="117">
        <f t="shared" ref="AO130:AO153" si="20">AC9/AX9</f>
        <v>0.22500000000000003</v>
      </c>
      <c r="AP130" s="117">
        <f t="shared" ref="AP130:AP153" si="21">AD9/AY9</f>
        <v>1.9805758683729435</v>
      </c>
    </row>
    <row r="131" spans="1:42" ht="20.100000000000001" customHeight="1" x14ac:dyDescent="0.3">
      <c r="A131" s="25">
        <v>2</v>
      </c>
      <c r="B131" s="17" t="s">
        <v>17</v>
      </c>
      <c r="C131" s="17" t="s">
        <v>17</v>
      </c>
      <c r="D131" s="18" t="s">
        <v>20</v>
      </c>
      <c r="E131" s="26">
        <v>45554</v>
      </c>
      <c r="F131" s="20"/>
      <c r="G131" s="18" t="s">
        <v>19</v>
      </c>
      <c r="H131" s="28">
        <v>31.1</v>
      </c>
      <c r="I131" s="28">
        <v>8.2100000000000009</v>
      </c>
      <c r="J131" s="28">
        <v>8.58</v>
      </c>
      <c r="K131" s="74">
        <v>364</v>
      </c>
      <c r="L131" s="57"/>
      <c r="M131" s="54"/>
      <c r="N131" s="54"/>
      <c r="O131" s="54">
        <v>4.1859999999999999</v>
      </c>
      <c r="P131" s="54"/>
      <c r="Q131" s="54"/>
      <c r="R131" s="54"/>
      <c r="S131" s="54"/>
      <c r="T131" s="54">
        <v>42.957000000000001</v>
      </c>
      <c r="U131" s="54">
        <v>13.52</v>
      </c>
      <c r="V131" s="54">
        <v>-2.37</v>
      </c>
      <c r="W131" s="85">
        <v>24.7672766162591</v>
      </c>
      <c r="X131" s="85">
        <v>9.7239065437712533</v>
      </c>
      <c r="Y131" s="21"/>
      <c r="Z131" s="117">
        <f t="shared" si="7"/>
        <v>0.57009174311926603</v>
      </c>
      <c r="AA131" s="117">
        <f t="shared" si="8"/>
        <v>9.0728476821192061E-2</v>
      </c>
      <c r="AB131" s="117">
        <f t="shared" si="9"/>
        <v>0.32564102564102565</v>
      </c>
      <c r="AC131" s="117">
        <f t="shared" si="10"/>
        <v>0.4</v>
      </c>
      <c r="AD131" s="117">
        <f t="shared" si="11"/>
        <v>2.5585271317829457</v>
      </c>
      <c r="AF131" s="117">
        <f t="shared" si="12"/>
        <v>1.0951709552344024</v>
      </c>
      <c r="AG131" s="117">
        <f t="shared" si="13"/>
        <v>3.2510678690080688E-2</v>
      </c>
      <c r="AH131" s="117">
        <f t="shared" si="14"/>
        <v>0.18983557548579968</v>
      </c>
      <c r="AI131" s="117">
        <f t="shared" si="15"/>
        <v>0.11023622047244096</v>
      </c>
      <c r="AJ131" s="117">
        <f t="shared" si="16"/>
        <v>3.2581441263573545</v>
      </c>
      <c r="AL131" s="117">
        <f t="shared" si="17"/>
        <v>0.71098398169336385</v>
      </c>
      <c r="AM131" s="117">
        <f t="shared" si="18"/>
        <v>6.2103354487760658E-2</v>
      </c>
      <c r="AN131" s="117">
        <f t="shared" si="19"/>
        <v>0.16219667943805877</v>
      </c>
      <c r="AO131" s="117">
        <f t="shared" si="20"/>
        <v>0.29166666666666669</v>
      </c>
      <c r="AP131" s="117">
        <f t="shared" si="21"/>
        <v>2.5937131630648333</v>
      </c>
    </row>
    <row r="132" spans="1:42" ht="20.100000000000001" customHeight="1" x14ac:dyDescent="0.3">
      <c r="A132" s="25">
        <v>3</v>
      </c>
      <c r="B132" s="17" t="s">
        <v>17</v>
      </c>
      <c r="C132" s="17" t="s">
        <v>17</v>
      </c>
      <c r="D132" s="18" t="s">
        <v>21</v>
      </c>
      <c r="E132" s="26">
        <v>45554</v>
      </c>
      <c r="F132" s="20"/>
      <c r="G132" s="18" t="s">
        <v>19</v>
      </c>
      <c r="H132" s="28">
        <v>32.799999999999997</v>
      </c>
      <c r="I132" s="28">
        <v>8.0500000000000007</v>
      </c>
      <c r="J132" s="28">
        <v>8.2899999999999991</v>
      </c>
      <c r="K132" s="74">
        <v>391</v>
      </c>
      <c r="L132" s="57"/>
      <c r="M132" s="54"/>
      <c r="N132" s="54"/>
      <c r="O132" s="54">
        <v>3.1080000000000001</v>
      </c>
      <c r="P132" s="54"/>
      <c r="Q132" s="54"/>
      <c r="R132" s="54"/>
      <c r="S132" s="54"/>
      <c r="T132" s="54">
        <v>47.884</v>
      </c>
      <c r="U132" s="58">
        <v>14.02</v>
      </c>
      <c r="V132" s="58">
        <v>-3.68</v>
      </c>
      <c r="W132" s="86">
        <v>24.0792961930403</v>
      </c>
      <c r="X132" s="85">
        <v>9.7627583260568862</v>
      </c>
      <c r="Y132" s="21"/>
      <c r="Z132" s="117">
        <f t="shared" si="7"/>
        <v>0.47088607594936704</v>
      </c>
      <c r="AA132" s="117">
        <f t="shared" si="8"/>
        <v>0.11602564102564103</v>
      </c>
      <c r="AB132" s="117">
        <f t="shared" si="9"/>
        <v>0.51621621621621627</v>
      </c>
      <c r="AC132" s="117">
        <f t="shared" si="10"/>
        <v>0.51666666666666672</v>
      </c>
      <c r="AD132" s="117">
        <f t="shared" si="11"/>
        <v>2.8197580645161291</v>
      </c>
      <c r="AF132" s="117">
        <f t="shared" si="12"/>
        <v>0.84931506849315075</v>
      </c>
      <c r="AG132" s="117">
        <f t="shared" si="13"/>
        <v>4.3762088974854937E-2</v>
      </c>
      <c r="AH132" s="117">
        <f t="shared" si="14"/>
        <v>0.34290843806104127</v>
      </c>
      <c r="AI132" s="117">
        <f t="shared" si="15"/>
        <v>0.13362068965517243</v>
      </c>
      <c r="AJ132" s="117">
        <f t="shared" si="16"/>
        <v>3.4808362369337984</v>
      </c>
      <c r="AL132" s="117">
        <f t="shared" si="17"/>
        <v>0.57470757007283158</v>
      </c>
      <c r="AM132" s="117">
        <f t="shared" si="18"/>
        <v>8.5136406396989647E-2</v>
      </c>
      <c r="AN132" s="117">
        <f t="shared" si="19"/>
        <v>0.27403156384505023</v>
      </c>
      <c r="AO132" s="117">
        <f t="shared" si="20"/>
        <v>0.43661971830985913</v>
      </c>
      <c r="AP132" s="117">
        <f t="shared" si="21"/>
        <v>2.7157281553398063</v>
      </c>
    </row>
    <row r="133" spans="1:42" ht="20.100000000000001" customHeight="1" x14ac:dyDescent="0.3">
      <c r="A133" s="25">
        <v>4</v>
      </c>
      <c r="B133" s="17" t="s">
        <v>17</v>
      </c>
      <c r="C133" s="17" t="s">
        <v>17</v>
      </c>
      <c r="D133" s="18" t="s">
        <v>22</v>
      </c>
      <c r="E133" s="26">
        <v>45554</v>
      </c>
      <c r="F133" s="20"/>
      <c r="G133" s="18" t="s">
        <v>19</v>
      </c>
      <c r="H133" s="28">
        <v>32.799999999999997</v>
      </c>
      <c r="I133" s="28">
        <v>8.24</v>
      </c>
      <c r="J133" s="28">
        <v>9.39</v>
      </c>
      <c r="K133" s="74">
        <v>333</v>
      </c>
      <c r="L133" s="57"/>
      <c r="M133" s="54"/>
      <c r="N133" s="54"/>
      <c r="O133" s="54">
        <v>1.391</v>
      </c>
      <c r="P133" s="54"/>
      <c r="Q133" s="54"/>
      <c r="R133" s="54"/>
      <c r="S133" s="54"/>
      <c r="T133" s="54">
        <v>38.052999999999997</v>
      </c>
      <c r="U133" s="55">
        <v>14.22</v>
      </c>
      <c r="V133" s="55">
        <v>-1.24</v>
      </c>
      <c r="W133" s="87">
        <v>21.889296347698799</v>
      </c>
      <c r="X133" s="87">
        <v>10.573961372083717</v>
      </c>
      <c r="Y133" s="21"/>
      <c r="Z133" s="117">
        <f t="shared" si="7"/>
        <v>0.41405693950177935</v>
      </c>
      <c r="AA133" s="117">
        <f t="shared" si="8"/>
        <v>9.5092024539877293E-2</v>
      </c>
      <c r="AB133" s="117">
        <f t="shared" si="9"/>
        <v>0.60810810810810811</v>
      </c>
      <c r="AC133" s="117">
        <f t="shared" si="10"/>
        <v>0.2</v>
      </c>
      <c r="AD133" s="117">
        <f t="shared" si="11"/>
        <v>3.1510822510822512</v>
      </c>
      <c r="AF133" s="117">
        <f t="shared" si="12"/>
        <v>0.67273778548713503</v>
      </c>
      <c r="AG133" s="117">
        <f t="shared" si="13"/>
        <v>4.3007769145394011E-2</v>
      </c>
      <c r="AH133" s="117">
        <f t="shared" si="14"/>
        <v>0.3800675675675676</v>
      </c>
      <c r="AI133" s="117">
        <f t="shared" si="15"/>
        <v>7.2538860103626937E-2</v>
      </c>
      <c r="AJ133" s="117">
        <f t="shared" si="16"/>
        <v>3.3824349442379185</v>
      </c>
      <c r="AL133" s="117">
        <f t="shared" si="17"/>
        <v>0.51780151312861589</v>
      </c>
      <c r="AM133" s="117">
        <f t="shared" si="18"/>
        <v>6.282934738548844E-2</v>
      </c>
      <c r="AN133" s="117">
        <f t="shared" si="19"/>
        <v>0.28772378516624042</v>
      </c>
      <c r="AO133" s="117">
        <f t="shared" si="20"/>
        <v>0.11864406779661019</v>
      </c>
      <c r="AP133" s="117">
        <f t="shared" si="21"/>
        <v>3.4029920523609167</v>
      </c>
    </row>
    <row r="134" spans="1:42" ht="20.100000000000001" customHeight="1" x14ac:dyDescent="0.3">
      <c r="A134" s="41">
        <v>5</v>
      </c>
      <c r="B134" s="42" t="s">
        <v>23</v>
      </c>
      <c r="C134" s="42" t="s">
        <v>23</v>
      </c>
      <c r="D134" s="43" t="s">
        <v>24</v>
      </c>
      <c r="E134" s="44">
        <v>45554</v>
      </c>
      <c r="F134" s="45"/>
      <c r="G134" s="43" t="s">
        <v>19</v>
      </c>
      <c r="H134" s="72">
        <v>28.75</v>
      </c>
      <c r="I134" s="72">
        <v>6.94</v>
      </c>
      <c r="J134" s="72">
        <v>7.81</v>
      </c>
      <c r="K134" s="73">
        <v>148</v>
      </c>
      <c r="L134" s="59"/>
      <c r="M134" s="60"/>
      <c r="N134" s="60"/>
      <c r="O134" s="61">
        <v>0.77700000000000002</v>
      </c>
      <c r="P134" s="61"/>
      <c r="Q134" s="61"/>
      <c r="R134" s="61"/>
      <c r="S134" s="61"/>
      <c r="T134" s="61">
        <v>14.064</v>
      </c>
      <c r="U134" s="61">
        <v>8.1300000000000008</v>
      </c>
      <c r="V134" s="61">
        <v>2.91</v>
      </c>
      <c r="W134" s="86">
        <v>13.911002779847699</v>
      </c>
      <c r="X134" s="86">
        <v>10.855459951514934</v>
      </c>
      <c r="Y134" s="48"/>
      <c r="Z134" s="117">
        <f t="shared" si="7"/>
        <v>0.99759615384615385</v>
      </c>
      <c r="AA134" s="117">
        <f t="shared" si="8"/>
        <v>0.17519379844961239</v>
      </c>
      <c r="AB134" s="117">
        <f t="shared" si="9"/>
        <v>0.25428571428571428</v>
      </c>
      <c r="AC134" s="117">
        <f t="shared" si="10"/>
        <v>0.33</v>
      </c>
      <c r="AD134" s="117">
        <f t="shared" si="11"/>
        <v>1.4434666666666667</v>
      </c>
      <c r="AF134" s="117">
        <f t="shared" si="12"/>
        <v>2.0263671875</v>
      </c>
      <c r="AG134" s="117">
        <f t="shared" si="13"/>
        <v>7.4958540630182424E-2</v>
      </c>
      <c r="AH134" s="117">
        <f t="shared" si="14"/>
        <v>9.1942148760330578E-2</v>
      </c>
      <c r="AI134" s="117">
        <f t="shared" si="15"/>
        <v>0.12313432835820895</v>
      </c>
      <c r="AJ134" s="117">
        <f t="shared" si="16"/>
        <v>1.9806073911452617</v>
      </c>
      <c r="AL134" s="117">
        <f t="shared" si="17"/>
        <v>1.5607371192177508</v>
      </c>
      <c r="AM134" s="117">
        <f t="shared" si="18"/>
        <v>0.12479293208172279</v>
      </c>
      <c r="AN134" s="117">
        <f t="shared" si="19"/>
        <v>0.10439882697947214</v>
      </c>
      <c r="AO134" s="117">
        <f t="shared" si="20"/>
        <v>0.11379310344827585</v>
      </c>
      <c r="AP134" s="117">
        <f t="shared" si="21"/>
        <v>1.5312588401697314</v>
      </c>
    </row>
    <row r="135" spans="1:42" ht="20.100000000000001" customHeight="1" x14ac:dyDescent="0.3">
      <c r="A135" s="41">
        <v>6</v>
      </c>
      <c r="B135" s="42" t="s">
        <v>23</v>
      </c>
      <c r="C135" s="42" t="s">
        <v>23</v>
      </c>
      <c r="D135" s="43" t="s">
        <v>25</v>
      </c>
      <c r="E135" s="44">
        <v>45554</v>
      </c>
      <c r="F135" s="45"/>
      <c r="G135" s="43" t="s">
        <v>19</v>
      </c>
      <c r="H135" s="72">
        <v>28.65</v>
      </c>
      <c r="I135" s="72">
        <v>6.75</v>
      </c>
      <c r="J135" s="72">
        <v>8.06</v>
      </c>
      <c r="K135" s="73">
        <v>177</v>
      </c>
      <c r="L135" s="59"/>
      <c r="M135" s="60"/>
      <c r="N135" s="60"/>
      <c r="O135" s="60">
        <v>1.403</v>
      </c>
      <c r="P135" s="60"/>
      <c r="Q135" s="60"/>
      <c r="R135" s="60"/>
      <c r="S135" s="60"/>
      <c r="T135" s="60">
        <v>23.036000000000001</v>
      </c>
      <c r="U135" s="60">
        <v>9.49</v>
      </c>
      <c r="V135" s="60">
        <v>2.95</v>
      </c>
      <c r="W135" s="85">
        <v>22.975329252380899</v>
      </c>
      <c r="X135" s="85">
        <v>9.6362096420400398</v>
      </c>
      <c r="Y135" s="48"/>
      <c r="Z135" s="117">
        <f t="shared" si="7"/>
        <v>1.1022727272727273</v>
      </c>
      <c r="AA135" s="117">
        <f t="shared" si="8"/>
        <v>0.31805555555555559</v>
      </c>
      <c r="AB135" s="117">
        <f t="shared" si="9"/>
        <v>0.24126984126984127</v>
      </c>
      <c r="AC135" s="117">
        <f t="shared" si="10"/>
        <v>0.3666666666666667</v>
      </c>
      <c r="AD135" s="117">
        <f t="shared" si="11"/>
        <v>1.3101744186046511</v>
      </c>
      <c r="AF135" s="117">
        <f t="shared" si="12"/>
        <v>1.7817781043350478</v>
      </c>
      <c r="AG135" s="117">
        <f t="shared" si="13"/>
        <v>0.14684193651811478</v>
      </c>
      <c r="AH135" s="117">
        <f t="shared" si="14"/>
        <v>0.11046511627906977</v>
      </c>
      <c r="AI135" s="117">
        <f t="shared" si="15"/>
        <v>0.13865546218487393</v>
      </c>
      <c r="AJ135" s="117">
        <f t="shared" si="16"/>
        <v>1.7709233791748527</v>
      </c>
      <c r="AL135" s="117">
        <f t="shared" si="17"/>
        <v>1.5604890604890604</v>
      </c>
      <c r="AM135" s="117">
        <f t="shared" si="18"/>
        <v>0.2202982202982203</v>
      </c>
      <c r="AN135" s="117">
        <f t="shared" si="19"/>
        <v>0.10354223433242506</v>
      </c>
      <c r="AO135" s="117">
        <f t="shared" si="20"/>
        <v>0.11073825503355705</v>
      </c>
      <c r="AP135" s="117">
        <f t="shared" si="21"/>
        <v>1.4791598293403347</v>
      </c>
    </row>
    <row r="136" spans="1:42" ht="20.100000000000001" customHeight="1" x14ac:dyDescent="0.3">
      <c r="A136" s="41">
        <v>7</v>
      </c>
      <c r="B136" s="42" t="s">
        <v>23</v>
      </c>
      <c r="C136" s="42" t="s">
        <v>23</v>
      </c>
      <c r="D136" s="43" t="s">
        <v>26</v>
      </c>
      <c r="E136" s="44">
        <v>45554</v>
      </c>
      <c r="F136" s="45"/>
      <c r="G136" s="43" t="s">
        <v>19</v>
      </c>
      <c r="H136" s="72">
        <v>28.68</v>
      </c>
      <c r="I136" s="72">
        <v>6.78</v>
      </c>
      <c r="J136" s="72">
        <v>7.37</v>
      </c>
      <c r="K136" s="73">
        <v>188</v>
      </c>
      <c r="L136" s="59"/>
      <c r="M136" s="60"/>
      <c r="N136" s="60"/>
      <c r="O136" s="60">
        <v>1.7809999999999999</v>
      </c>
      <c r="P136" s="60"/>
      <c r="Q136" s="60"/>
      <c r="R136" s="60"/>
      <c r="S136" s="60"/>
      <c r="T136" s="60">
        <v>23.76</v>
      </c>
      <c r="U136" s="60">
        <v>7.61</v>
      </c>
      <c r="V136" s="60">
        <v>-0.36</v>
      </c>
      <c r="W136" s="85">
        <v>24.174021086351001</v>
      </c>
      <c r="X136" s="85">
        <v>9.6380549193237357</v>
      </c>
      <c r="Y136" s="48"/>
      <c r="Z136" s="117">
        <f t="shared" si="7"/>
        <v>0.41259445843828713</v>
      </c>
      <c r="AA136" s="117">
        <f t="shared" si="8"/>
        <v>0.15689655172413791</v>
      </c>
      <c r="AB136" s="117">
        <f t="shared" si="9"/>
        <v>0.15396825396825398</v>
      </c>
      <c r="AC136" s="117">
        <f t="shared" si="10"/>
        <v>0.22499999999999998</v>
      </c>
      <c r="AD136" s="117">
        <f t="shared" si="11"/>
        <v>1.9387019230769231</v>
      </c>
      <c r="AF136" s="117">
        <f t="shared" si="12"/>
        <v>0.52399232245681382</v>
      </c>
      <c r="AG136" s="117">
        <f t="shared" si="13"/>
        <v>6.535008976660682E-2</v>
      </c>
      <c r="AH136" s="117">
        <f t="shared" si="14"/>
        <v>0.12696335078534032</v>
      </c>
      <c r="AI136" s="117">
        <f t="shared" si="15"/>
        <v>6.7669172932330837E-2</v>
      </c>
      <c r="AJ136" s="117">
        <f t="shared" si="16"/>
        <v>2.6364825106243872</v>
      </c>
      <c r="AL136" s="117">
        <f t="shared" si="17"/>
        <v>0.66884442629644747</v>
      </c>
      <c r="AM136" s="117">
        <f t="shared" si="18"/>
        <v>0.13055954088952657</v>
      </c>
      <c r="AN136" s="117">
        <f t="shared" si="19"/>
        <v>6.1665607120152573E-2</v>
      </c>
      <c r="AO136" s="117">
        <f t="shared" si="20"/>
        <v>0.125</v>
      </c>
      <c r="AP136" s="117">
        <f t="shared" si="21"/>
        <v>1.8164414414414416</v>
      </c>
    </row>
    <row r="137" spans="1:42" ht="20.100000000000001" customHeight="1" x14ac:dyDescent="0.3">
      <c r="A137" s="41">
        <v>8</v>
      </c>
      <c r="B137" s="42" t="s">
        <v>23</v>
      </c>
      <c r="C137" s="42" t="s">
        <v>27</v>
      </c>
      <c r="D137" s="43" t="s">
        <v>68</v>
      </c>
      <c r="E137" s="44">
        <v>45554</v>
      </c>
      <c r="F137" s="45"/>
      <c r="G137" s="43" t="s">
        <v>19</v>
      </c>
      <c r="H137" s="72">
        <v>24.29</v>
      </c>
      <c r="I137" s="72">
        <v>6.51</v>
      </c>
      <c r="J137" s="72">
        <v>6.25</v>
      </c>
      <c r="K137" s="73">
        <v>345</v>
      </c>
      <c r="L137" s="59"/>
      <c r="M137" s="60"/>
      <c r="N137" s="60"/>
      <c r="O137" s="60">
        <v>0.33900000000000002</v>
      </c>
      <c r="P137" s="60"/>
      <c r="Q137" s="60"/>
      <c r="R137" s="60"/>
      <c r="S137" s="60"/>
      <c r="T137" s="60">
        <v>36.484000000000002</v>
      </c>
      <c r="U137" s="60">
        <v>-0.56999999999999995</v>
      </c>
      <c r="V137" s="60">
        <v>-1.45</v>
      </c>
      <c r="W137" s="85">
        <v>43.650194090885002</v>
      </c>
      <c r="X137" s="85">
        <v>10.378581309505863</v>
      </c>
      <c r="Y137" s="48"/>
      <c r="Z137" s="117">
        <f t="shared" si="7"/>
        <v>4.3891402714932123E-2</v>
      </c>
      <c r="AA137" s="117">
        <f t="shared" si="8"/>
        <v>0.19999999999999998</v>
      </c>
      <c r="AB137" s="117">
        <f t="shared" si="9"/>
        <v>9.0654545454545445</v>
      </c>
      <c r="AC137" s="117">
        <f t="shared" si="10"/>
        <v>0.38571428571428568</v>
      </c>
      <c r="AD137" s="117">
        <f t="shared" si="11"/>
        <v>0.72363636363636363</v>
      </c>
      <c r="AF137" s="117">
        <f t="shared" si="12"/>
        <v>0.12746386333771353</v>
      </c>
      <c r="AG137" s="117">
        <f t="shared" si="13"/>
        <v>0.11275964391691394</v>
      </c>
      <c r="AH137" s="117">
        <f t="shared" si="14"/>
        <v>3.5999999999999996</v>
      </c>
      <c r="AI137" s="117">
        <f t="shared" si="15"/>
        <v>2.9252437703141936E-2</v>
      </c>
      <c r="AJ137" s="117">
        <f t="shared" si="16"/>
        <v>0.80675675675675673</v>
      </c>
      <c r="AL137" s="117">
        <f t="shared" si="17"/>
        <v>0.18406072106261862</v>
      </c>
      <c r="AM137" s="117">
        <f t="shared" si="18"/>
        <v>0.39175257731958757</v>
      </c>
      <c r="AN137" s="117">
        <f t="shared" si="19"/>
        <v>1.5674316252750709</v>
      </c>
      <c r="AO137" s="117">
        <f t="shared" si="20"/>
        <v>0.25714285714285717</v>
      </c>
      <c r="AP137" s="117">
        <f t="shared" si="21"/>
        <v>0.8100407055630936</v>
      </c>
    </row>
    <row r="138" spans="1:42" ht="20.100000000000001" customHeight="1" x14ac:dyDescent="0.3">
      <c r="A138" s="41">
        <v>9</v>
      </c>
      <c r="B138" s="42" t="s">
        <v>23</v>
      </c>
      <c r="C138" s="42" t="s">
        <v>27</v>
      </c>
      <c r="D138" s="43" t="s">
        <v>30</v>
      </c>
      <c r="E138" s="44">
        <v>45554</v>
      </c>
      <c r="F138" s="45"/>
      <c r="G138" s="43" t="s">
        <v>19</v>
      </c>
      <c r="H138" s="72">
        <v>28.04</v>
      </c>
      <c r="I138" s="72">
        <v>6.77</v>
      </c>
      <c r="J138" s="72">
        <v>6.7</v>
      </c>
      <c r="K138" s="73">
        <v>235</v>
      </c>
      <c r="L138" s="59"/>
      <c r="M138" s="60"/>
      <c r="N138" s="60"/>
      <c r="O138" s="60">
        <v>2.4089999999999998</v>
      </c>
      <c r="P138" s="60"/>
      <c r="Q138" s="60"/>
      <c r="R138" s="60"/>
      <c r="S138" s="60"/>
      <c r="T138" s="60">
        <v>28.713999999999999</v>
      </c>
      <c r="U138" s="62">
        <v>3.82</v>
      </c>
      <c r="V138" s="62">
        <v>-1.38</v>
      </c>
      <c r="W138" s="87">
        <v>33.637222309601903</v>
      </c>
      <c r="X138" s="87">
        <v>9.7771056395464235</v>
      </c>
      <c r="Y138" s="48"/>
      <c r="Z138" s="117">
        <f t="shared" si="7"/>
        <v>0.91481481481481486</v>
      </c>
      <c r="AA138" s="117">
        <f t="shared" si="8"/>
        <v>0.21744186046511629</v>
      </c>
      <c r="AB138" s="117">
        <f t="shared" si="9"/>
        <v>0.18000000000000002</v>
      </c>
      <c r="AC138" s="117">
        <f t="shared" si="10"/>
        <v>0.16250000000000001</v>
      </c>
      <c r="AD138" s="117">
        <f t="shared" si="11"/>
        <v>1.301123595505618</v>
      </c>
      <c r="AF138" s="117">
        <f t="shared" si="12"/>
        <v>2.5583804143126176</v>
      </c>
      <c r="AG138" s="117">
        <f t="shared" si="13"/>
        <v>0.10517435320584927</v>
      </c>
      <c r="AH138" s="117">
        <f t="shared" si="14"/>
        <v>8.0983803239352142E-2</v>
      </c>
      <c r="AI138" s="117">
        <f t="shared" si="15"/>
        <v>4.3189368770764125E-2</v>
      </c>
      <c r="AJ138" s="117">
        <f t="shared" si="16"/>
        <v>1.3382126348228043</v>
      </c>
      <c r="AL138" s="117">
        <f t="shared" si="17"/>
        <v>2.1293103448275863</v>
      </c>
      <c r="AM138" s="117">
        <f t="shared" si="18"/>
        <v>0.26600284495021337</v>
      </c>
      <c r="AN138" s="117">
        <f t="shared" si="19"/>
        <v>6.2557924003707147E-2</v>
      </c>
      <c r="AO138" s="117">
        <f t="shared" si="20"/>
        <v>0.12871287128712872</v>
      </c>
      <c r="AP138" s="117">
        <f t="shared" si="21"/>
        <v>1.205831308573412</v>
      </c>
    </row>
    <row r="139" spans="1:42" ht="20.100000000000001" customHeight="1" x14ac:dyDescent="0.3">
      <c r="A139" s="25">
        <v>10</v>
      </c>
      <c r="B139" s="17" t="s">
        <v>31</v>
      </c>
      <c r="C139" s="17" t="s">
        <v>31</v>
      </c>
      <c r="D139" s="18" t="s">
        <v>32</v>
      </c>
      <c r="E139" s="26">
        <v>45554</v>
      </c>
      <c r="F139" s="20"/>
      <c r="G139" s="18" t="s">
        <v>19</v>
      </c>
      <c r="H139" s="28">
        <v>30.78</v>
      </c>
      <c r="I139" s="28">
        <v>6.84</v>
      </c>
      <c r="J139" s="28">
        <v>8.3000000000000007</v>
      </c>
      <c r="K139" s="74">
        <v>240.6</v>
      </c>
      <c r="L139" s="57"/>
      <c r="M139" s="54"/>
      <c r="N139" s="54"/>
      <c r="O139" s="58">
        <v>1.2070000000000001</v>
      </c>
      <c r="P139" s="58"/>
      <c r="Q139" s="58"/>
      <c r="R139" s="58"/>
      <c r="S139" s="58"/>
      <c r="T139" s="58">
        <v>13.584</v>
      </c>
      <c r="U139" s="58">
        <v>9.73</v>
      </c>
      <c r="V139" s="58">
        <v>5</v>
      </c>
      <c r="W139" s="86">
        <v>22.345902492668699</v>
      </c>
      <c r="X139" s="86">
        <v>10.675003707627972</v>
      </c>
      <c r="Y139" s="21"/>
      <c r="Z139" s="117">
        <f t="shared" si="7"/>
        <v>0.7041002277904328</v>
      </c>
      <c r="AA139" s="117">
        <f t="shared" si="8"/>
        <v>1.5687500000000001</v>
      </c>
      <c r="AB139" s="117">
        <f t="shared" si="9"/>
        <v>1.4897058823529412</v>
      </c>
      <c r="AC139" s="117">
        <f t="shared" si="10"/>
        <v>1.1272727272727274</v>
      </c>
      <c r="AD139" s="117">
        <f t="shared" si="11"/>
        <v>1.0130434782608695</v>
      </c>
      <c r="AF139" s="117">
        <f t="shared" si="12"/>
        <v>0.97170701037409624</v>
      </c>
      <c r="AG139" s="117">
        <f t="shared" si="13"/>
        <v>0.93308550185873607</v>
      </c>
      <c r="AH139" s="117">
        <f t="shared" si="14"/>
        <v>0.81957928802589008</v>
      </c>
      <c r="AI139" s="117">
        <f t="shared" si="15"/>
        <v>0.43816254416961131</v>
      </c>
      <c r="AJ139" s="117">
        <f t="shared" si="16"/>
        <v>1.2493297587131367</v>
      </c>
      <c r="AL139" s="117">
        <f t="shared" si="17"/>
        <v>0.99774047772756613</v>
      </c>
      <c r="AM139" s="117">
        <f t="shared" si="18"/>
        <v>1.0662701784197113</v>
      </c>
      <c r="AN139" s="117">
        <f t="shared" si="19"/>
        <v>0.65907612231620039</v>
      </c>
      <c r="AO139" s="117">
        <f t="shared" si="20"/>
        <v>0.27802690582959644</v>
      </c>
      <c r="AP139" s="117">
        <f t="shared" si="21"/>
        <v>1.2717348927875241</v>
      </c>
    </row>
    <row r="140" spans="1:42" ht="20.100000000000001" customHeight="1" x14ac:dyDescent="0.3">
      <c r="A140" s="25">
        <v>11</v>
      </c>
      <c r="B140" s="17" t="s">
        <v>31</v>
      </c>
      <c r="C140" s="17" t="s">
        <v>31</v>
      </c>
      <c r="D140" s="18" t="s">
        <v>69</v>
      </c>
      <c r="E140" s="26">
        <v>45554</v>
      </c>
      <c r="F140" s="20"/>
      <c r="G140" s="18" t="s">
        <v>19</v>
      </c>
      <c r="H140" s="28">
        <v>30.3</v>
      </c>
      <c r="I140" s="28">
        <v>6.96</v>
      </c>
      <c r="J140" s="28">
        <v>6.97</v>
      </c>
      <c r="K140" s="74">
        <v>241.5</v>
      </c>
      <c r="L140" s="57"/>
      <c r="M140" s="54"/>
      <c r="N140" s="54"/>
      <c r="O140" s="54">
        <v>0.82899999999999996</v>
      </c>
      <c r="P140" s="54"/>
      <c r="Q140" s="54"/>
      <c r="R140" s="54"/>
      <c r="S140" s="54"/>
      <c r="T140" s="54">
        <v>13.785</v>
      </c>
      <c r="U140" s="54">
        <v>10.98</v>
      </c>
      <c r="V140" s="54">
        <v>4.84</v>
      </c>
      <c r="W140" s="85">
        <v>22.933259168901401</v>
      </c>
      <c r="X140" s="85">
        <v>11.747042629575766</v>
      </c>
      <c r="Y140" s="21"/>
      <c r="Z140" s="117">
        <f t="shared" si="7"/>
        <v>0.77336152219873155</v>
      </c>
      <c r="AA140" s="117">
        <f t="shared" si="8"/>
        <v>1.6891566265060238</v>
      </c>
      <c r="AB140" s="117">
        <f t="shared" si="9"/>
        <v>1.022413793103448</v>
      </c>
      <c r="AC140" s="117">
        <f t="shared" si="10"/>
        <v>1.1599999999999999</v>
      </c>
      <c r="AD140" s="117">
        <f t="shared" si="11"/>
        <v>0.96552901023890791</v>
      </c>
      <c r="AF140" s="117">
        <f t="shared" si="12"/>
        <v>1.1993442622950818</v>
      </c>
      <c r="AG140" s="117">
        <f t="shared" si="13"/>
        <v>0.92510722533817225</v>
      </c>
      <c r="AH140" s="117">
        <f t="shared" si="14"/>
        <v>0.50945017182130581</v>
      </c>
      <c r="AI140" s="117">
        <f t="shared" si="15"/>
        <v>0.26789838337182448</v>
      </c>
      <c r="AJ140" s="117">
        <f t="shared" si="16"/>
        <v>1.2183462532299743</v>
      </c>
      <c r="AL140" s="117">
        <f t="shared" si="17"/>
        <v>1.068029197080292</v>
      </c>
      <c r="AM140" s="117">
        <f t="shared" si="18"/>
        <v>1.0851393188854488</v>
      </c>
      <c r="AN140" s="117">
        <f t="shared" si="19"/>
        <v>0.43475073313782991</v>
      </c>
      <c r="AO140" s="117">
        <f t="shared" si="20"/>
        <v>0.27230046948356806</v>
      </c>
      <c r="AP140" s="117">
        <f t="shared" si="21"/>
        <v>1.2853248523398455</v>
      </c>
    </row>
    <row r="141" spans="1:42" ht="20.100000000000001" customHeight="1" x14ac:dyDescent="0.3">
      <c r="A141" s="25">
        <v>12</v>
      </c>
      <c r="B141" s="17" t="s">
        <v>31</v>
      </c>
      <c r="C141" s="17" t="s">
        <v>31</v>
      </c>
      <c r="D141" s="18" t="s">
        <v>34</v>
      </c>
      <c r="E141" s="26">
        <v>45554</v>
      </c>
      <c r="F141" s="20"/>
      <c r="G141" s="18" t="s">
        <v>19</v>
      </c>
      <c r="H141" s="28">
        <v>32.1</v>
      </c>
      <c r="I141" s="28">
        <v>7.73</v>
      </c>
      <c r="J141" s="28">
        <v>10.67</v>
      </c>
      <c r="K141" s="74">
        <v>250</v>
      </c>
      <c r="L141" s="57"/>
      <c r="M141" s="54"/>
      <c r="N141" s="54"/>
      <c r="O141" s="54">
        <v>1.43</v>
      </c>
      <c r="P141" s="54"/>
      <c r="Q141" s="54"/>
      <c r="R141" s="54"/>
      <c r="S141" s="54"/>
      <c r="T141" s="54">
        <v>15.304</v>
      </c>
      <c r="U141" s="54">
        <v>11.17</v>
      </c>
      <c r="V141" s="54">
        <v>3.23</v>
      </c>
      <c r="W141" s="85">
        <v>23.326753447322499</v>
      </c>
      <c r="X141" s="85">
        <v>12.827652694409942</v>
      </c>
      <c r="Y141" s="21"/>
      <c r="Z141" s="117">
        <f t="shared" si="7"/>
        <v>1.403125</v>
      </c>
      <c r="AA141" s="117">
        <f t="shared" si="8"/>
        <v>0.17812500000000001</v>
      </c>
      <c r="AB141" s="117">
        <f t="shared" si="9"/>
        <v>0.4678571428571428</v>
      </c>
      <c r="AC141" s="117">
        <f t="shared" si="10"/>
        <v>0.67777777777777781</v>
      </c>
      <c r="AD141" s="117">
        <f t="shared" si="11"/>
        <v>0.90067796610169493</v>
      </c>
      <c r="AF141" s="117">
        <f t="shared" si="12"/>
        <v>1.9687225957322418</v>
      </c>
      <c r="AG141" s="117">
        <f t="shared" si="13"/>
        <v>0.11473429951690822</v>
      </c>
      <c r="AH141" s="117">
        <f t="shared" si="14"/>
        <v>0.20993589743589747</v>
      </c>
      <c r="AI141" s="117">
        <f t="shared" si="15"/>
        <v>0.25</v>
      </c>
      <c r="AJ141" s="117">
        <f t="shared" si="16"/>
        <v>1.0207452938916635</v>
      </c>
      <c r="AL141" s="117">
        <f t="shared" si="17"/>
        <v>1.8961148648648645</v>
      </c>
      <c r="AM141" s="117">
        <f t="shared" si="18"/>
        <v>0.11575954508529651</v>
      </c>
      <c r="AN141" s="117">
        <f t="shared" si="19"/>
        <v>0.20727848101265822</v>
      </c>
      <c r="AO141" s="117">
        <f t="shared" si="20"/>
        <v>0.19365079365079366</v>
      </c>
      <c r="AP141" s="117">
        <f t="shared" si="21"/>
        <v>1.1038637307852097</v>
      </c>
    </row>
    <row r="142" spans="1:42" ht="20.100000000000001" customHeight="1" x14ac:dyDescent="0.3">
      <c r="A142" s="25">
        <v>13</v>
      </c>
      <c r="B142" s="17" t="s">
        <v>31</v>
      </c>
      <c r="C142" s="17" t="s">
        <v>35</v>
      </c>
      <c r="D142" s="18" t="s">
        <v>36</v>
      </c>
      <c r="E142" s="26">
        <v>45554</v>
      </c>
      <c r="F142" s="20"/>
      <c r="G142" s="18" t="s">
        <v>37</v>
      </c>
      <c r="H142" s="28">
        <v>30.1</v>
      </c>
      <c r="I142" s="28">
        <v>7.69</v>
      </c>
      <c r="J142" s="28">
        <v>6.12</v>
      </c>
      <c r="K142" s="74">
        <v>278</v>
      </c>
      <c r="L142" s="57"/>
      <c r="M142" s="54"/>
      <c r="N142" s="54"/>
      <c r="O142" s="54">
        <v>0.92100000000000004</v>
      </c>
      <c r="P142" s="54"/>
      <c r="Q142" s="54"/>
      <c r="R142" s="54"/>
      <c r="S142" s="54"/>
      <c r="T142" s="54">
        <v>13.321999999999999</v>
      </c>
      <c r="U142" s="54">
        <v>9.98</v>
      </c>
      <c r="V142" s="54">
        <v>3.95</v>
      </c>
      <c r="W142" s="85">
        <v>21.242223856986101</v>
      </c>
      <c r="X142" s="85">
        <v>11.374547535418611</v>
      </c>
      <c r="Y142" s="21"/>
      <c r="Z142" s="117">
        <f t="shared" si="7"/>
        <v>0.89621380846325172</v>
      </c>
      <c r="AA142" s="117">
        <f t="shared" si="8"/>
        <v>1.1209150326797386</v>
      </c>
      <c r="AB142" s="117">
        <f t="shared" si="9"/>
        <v>0.53934426229508203</v>
      </c>
      <c r="AC142" s="117">
        <f t="shared" si="10"/>
        <v>0.77</v>
      </c>
      <c r="AD142" s="117">
        <f t="shared" si="11"/>
        <v>1.178899082568807</v>
      </c>
      <c r="AF142" s="117">
        <f t="shared" si="12"/>
        <v>1.6199677938808374</v>
      </c>
      <c r="AG142" s="117">
        <f t="shared" si="13"/>
        <v>0.60238847910080784</v>
      </c>
      <c r="AH142" s="117">
        <f t="shared" si="14"/>
        <v>0.26639676113360328</v>
      </c>
      <c r="AI142" s="117">
        <f t="shared" si="15"/>
        <v>0.23839009287925694</v>
      </c>
      <c r="AJ142" s="117">
        <f t="shared" si="16"/>
        <v>1.2391513982642237</v>
      </c>
      <c r="AL142" s="117">
        <f t="shared" si="17"/>
        <v>1.255146600124766</v>
      </c>
      <c r="AM142" s="117">
        <f t="shared" si="18"/>
        <v>0.74760244115082819</v>
      </c>
      <c r="AN142" s="117">
        <f t="shared" si="19"/>
        <v>0.22658402203856751</v>
      </c>
      <c r="AO142" s="117">
        <f t="shared" si="20"/>
        <v>0.21095890410958906</v>
      </c>
      <c r="AP142" s="117">
        <f t="shared" si="21"/>
        <v>1.436824450242266</v>
      </c>
    </row>
    <row r="143" spans="1:42" ht="20.100000000000001" customHeight="1" x14ac:dyDescent="0.3">
      <c r="A143" s="25">
        <v>14</v>
      </c>
      <c r="B143" s="17" t="s">
        <v>31</v>
      </c>
      <c r="C143" s="17" t="s">
        <v>5</v>
      </c>
      <c r="D143" s="18" t="s">
        <v>29</v>
      </c>
      <c r="E143" s="26">
        <v>45554</v>
      </c>
      <c r="F143" s="20"/>
      <c r="G143" s="18" t="s">
        <v>37</v>
      </c>
      <c r="H143" s="28">
        <v>32.4</v>
      </c>
      <c r="I143" s="28">
        <v>7.93</v>
      </c>
      <c r="J143" s="28">
        <v>9.24</v>
      </c>
      <c r="K143" s="74">
        <v>324</v>
      </c>
      <c r="L143" s="57"/>
      <c r="M143" s="54"/>
      <c r="N143" s="54"/>
      <c r="O143" s="54">
        <v>0.71399999999999997</v>
      </c>
      <c r="P143" s="54"/>
      <c r="Q143" s="54"/>
      <c r="R143" s="54"/>
      <c r="S143" s="54"/>
      <c r="T143" s="54">
        <v>30.302</v>
      </c>
      <c r="U143" s="54">
        <v>10.94</v>
      </c>
      <c r="V143" s="54">
        <v>4.0599999999999996</v>
      </c>
      <c r="W143" s="85">
        <v>24.192532410911401</v>
      </c>
      <c r="X143" s="85">
        <v>10.734604160738293</v>
      </c>
      <c r="Y143" s="21"/>
      <c r="Z143" s="117">
        <f t="shared" si="7"/>
        <v>0.98961864406779676</v>
      </c>
      <c r="AA143" s="117">
        <f t="shared" si="8"/>
        <v>1.1737500000000001</v>
      </c>
      <c r="AB143" s="117">
        <f t="shared" si="9"/>
        <v>0.59649122807017541</v>
      </c>
      <c r="AC143" s="117">
        <f t="shared" si="10"/>
        <v>0.62</v>
      </c>
      <c r="AD143" s="117">
        <f t="shared" si="11"/>
        <v>1.0129568106312292</v>
      </c>
      <c r="AF143" s="117">
        <f t="shared" si="12"/>
        <v>2.001285347043702</v>
      </c>
      <c r="AG143" s="117">
        <f t="shared" si="13"/>
        <v>0.5512180804226593</v>
      </c>
      <c r="AH143" s="117">
        <f t="shared" si="14"/>
        <v>0.2537313432835821</v>
      </c>
      <c r="AI143" s="117">
        <f t="shared" si="15"/>
        <v>0.20261437908496732</v>
      </c>
      <c r="AJ143" s="117">
        <f t="shared" si="16"/>
        <v>1.1668580176042862</v>
      </c>
      <c r="AL143" s="117">
        <f t="shared" si="17"/>
        <v>1.3519536903039076</v>
      </c>
      <c r="AM143" s="117">
        <f t="shared" si="18"/>
        <v>0.75</v>
      </c>
      <c r="AN143" s="117">
        <f t="shared" si="19"/>
        <v>0.25544703230653648</v>
      </c>
      <c r="AO143" s="117">
        <f t="shared" si="20"/>
        <v>0.16711590296495957</v>
      </c>
      <c r="AP143" s="117">
        <f t="shared" si="21"/>
        <v>1.3035485250106882</v>
      </c>
    </row>
    <row r="144" spans="1:42" ht="20.100000000000001" customHeight="1" x14ac:dyDescent="0.3">
      <c r="A144" s="25">
        <v>15</v>
      </c>
      <c r="B144" s="17" t="s">
        <v>31</v>
      </c>
      <c r="C144" s="17" t="s">
        <v>35</v>
      </c>
      <c r="D144" s="18" t="s">
        <v>29</v>
      </c>
      <c r="E144" s="26">
        <v>45554</v>
      </c>
      <c r="F144" s="20"/>
      <c r="G144" s="18" t="s">
        <v>37</v>
      </c>
      <c r="H144" s="28">
        <v>30.2</v>
      </c>
      <c r="I144" s="28">
        <v>7.45</v>
      </c>
      <c r="J144" s="28">
        <v>5.91</v>
      </c>
      <c r="K144" s="74">
        <v>267</v>
      </c>
      <c r="L144" s="57"/>
      <c r="M144" s="54"/>
      <c r="N144" s="54"/>
      <c r="O144" s="54">
        <v>0.82</v>
      </c>
      <c r="P144" s="54"/>
      <c r="Q144" s="54"/>
      <c r="R144" s="54"/>
      <c r="S144" s="54"/>
      <c r="T144" s="54">
        <v>13.989000000000001</v>
      </c>
      <c r="U144" s="54">
        <v>11.33</v>
      </c>
      <c r="V144" s="54">
        <v>4.95</v>
      </c>
      <c r="W144" s="87">
        <v>21.552344605112602</v>
      </c>
      <c r="X144" s="87">
        <v>11.346246662814474</v>
      </c>
      <c r="Y144" s="21"/>
      <c r="Z144" s="117">
        <f t="shared" si="7"/>
        <v>0.80352697095435688</v>
      </c>
      <c r="AA144" s="117">
        <f t="shared" si="8"/>
        <v>1.7347560975609753</v>
      </c>
      <c r="AB144" s="117">
        <f t="shared" si="9"/>
        <v>1.1517241379310343</v>
      </c>
      <c r="AC144" s="117">
        <f t="shared" si="10"/>
        <v>1.22</v>
      </c>
      <c r="AD144" s="117">
        <f t="shared" si="11"/>
        <v>0.87132867132867142</v>
      </c>
      <c r="AF144" s="117">
        <f t="shared" si="12"/>
        <v>0.95370598374784532</v>
      </c>
      <c r="AG144" s="117">
        <f t="shared" si="13"/>
        <v>1.1513557264265482</v>
      </c>
      <c r="AH144" s="117">
        <f t="shared" si="14"/>
        <v>0.51109410864575355</v>
      </c>
      <c r="AI144" s="117">
        <f t="shared" si="15"/>
        <v>0.34560906515580736</v>
      </c>
      <c r="AJ144" s="117">
        <f t="shared" si="16"/>
        <v>1.3783185840707968</v>
      </c>
      <c r="AL144" s="117">
        <f t="shared" si="17"/>
        <v>1.1049928673323823</v>
      </c>
      <c r="AM144" s="117">
        <f t="shared" si="18"/>
        <v>1.0715630885122409</v>
      </c>
      <c r="AN144" s="117">
        <f t="shared" si="19"/>
        <v>0.5037707390648567</v>
      </c>
      <c r="AO144" s="117">
        <f t="shared" si="20"/>
        <v>0.28306264501160094</v>
      </c>
      <c r="AP144" s="117">
        <f t="shared" si="21"/>
        <v>1.1963514162265962</v>
      </c>
    </row>
    <row r="145" spans="1:42" ht="20.100000000000001" customHeight="1" x14ac:dyDescent="0.3">
      <c r="A145" s="41">
        <v>16</v>
      </c>
      <c r="B145" s="42" t="s">
        <v>38</v>
      </c>
      <c r="C145" s="42" t="s">
        <v>38</v>
      </c>
      <c r="D145" s="43" t="s">
        <v>39</v>
      </c>
      <c r="E145" s="44">
        <v>45554</v>
      </c>
      <c r="F145" s="45"/>
      <c r="G145" s="43" t="s">
        <v>37</v>
      </c>
      <c r="H145" s="72">
        <v>29</v>
      </c>
      <c r="I145" s="72">
        <v>7.66</v>
      </c>
      <c r="J145" s="72">
        <v>6.83</v>
      </c>
      <c r="K145" s="73">
        <v>200.4</v>
      </c>
      <c r="L145" s="59"/>
      <c r="M145" s="60"/>
      <c r="N145" s="60"/>
      <c r="O145" s="61">
        <v>1.835</v>
      </c>
      <c r="P145" s="61"/>
      <c r="Q145" s="61"/>
      <c r="R145" s="61"/>
      <c r="S145" s="61"/>
      <c r="T145" s="61">
        <v>12.936</v>
      </c>
      <c r="U145" s="61">
        <v>8.52</v>
      </c>
      <c r="V145" s="61">
        <v>3.52</v>
      </c>
      <c r="W145" s="86">
        <v>13.9410216488528</v>
      </c>
      <c r="X145" s="86">
        <v>14.455444642589853</v>
      </c>
      <c r="Y145" s="48"/>
      <c r="Z145" s="117">
        <f t="shared" si="7"/>
        <v>0.87880952380952371</v>
      </c>
      <c r="AA145" s="117">
        <f t="shared" si="8"/>
        <v>0.7088888888888889</v>
      </c>
      <c r="AB145" s="117">
        <f t="shared" si="9"/>
        <v>0.33768115942028987</v>
      </c>
      <c r="AC145" s="117">
        <f t="shared" si="10"/>
        <v>0.9</v>
      </c>
      <c r="AD145" s="117">
        <f t="shared" si="11"/>
        <v>1.3740437158469945</v>
      </c>
      <c r="AF145" s="117">
        <f t="shared" si="12"/>
        <v>1.4641015470051566</v>
      </c>
      <c r="AG145" s="117">
        <f t="shared" si="13"/>
        <v>0.37150621118012422</v>
      </c>
      <c r="AH145" s="117">
        <f t="shared" si="14"/>
        <v>0.16750539180445723</v>
      </c>
      <c r="AI145" s="117">
        <f t="shared" si="15"/>
        <v>0.27950310559006214</v>
      </c>
      <c r="AJ145" s="117">
        <f t="shared" si="16"/>
        <v>1.5764890282131661</v>
      </c>
      <c r="AL145" s="117">
        <f t="shared" si="17"/>
        <v>1.3224650662844857</v>
      </c>
      <c r="AM145" s="117">
        <f t="shared" si="18"/>
        <v>0.49102103642893796</v>
      </c>
      <c r="AN145" s="117">
        <f t="shared" si="19"/>
        <v>0.14010823812387252</v>
      </c>
      <c r="AO145" s="117">
        <f t="shared" si="20"/>
        <v>0.27272727272727271</v>
      </c>
      <c r="AP145" s="117">
        <f t="shared" si="21"/>
        <v>1.5393327211509029</v>
      </c>
    </row>
    <row r="146" spans="1:42" ht="20.100000000000001" customHeight="1" x14ac:dyDescent="0.3">
      <c r="A146" s="41">
        <v>17</v>
      </c>
      <c r="B146" s="42" t="s">
        <v>38</v>
      </c>
      <c r="C146" s="42" t="s">
        <v>38</v>
      </c>
      <c r="D146" s="43" t="s">
        <v>41</v>
      </c>
      <c r="E146" s="44">
        <v>45554</v>
      </c>
      <c r="F146" s="45"/>
      <c r="G146" s="43" t="s">
        <v>37</v>
      </c>
      <c r="H146" s="72">
        <v>31.2</v>
      </c>
      <c r="I146" s="72">
        <v>7.78</v>
      </c>
      <c r="J146" s="72">
        <v>8.76</v>
      </c>
      <c r="K146" s="73">
        <v>242.3</v>
      </c>
      <c r="L146" s="59"/>
      <c r="M146" s="60"/>
      <c r="N146" s="60"/>
      <c r="O146" s="60">
        <v>1.9239999999999999</v>
      </c>
      <c r="P146" s="60"/>
      <c r="Q146" s="60"/>
      <c r="R146" s="60"/>
      <c r="S146" s="60"/>
      <c r="T146" s="60">
        <v>21.669</v>
      </c>
      <c r="U146" s="60">
        <v>10.67</v>
      </c>
      <c r="V146" s="60">
        <v>2.06</v>
      </c>
      <c r="W146" s="85">
        <v>18.785204981710802</v>
      </c>
      <c r="X146" s="85">
        <v>10.859373350748992</v>
      </c>
      <c r="Y146" s="48"/>
      <c r="Z146" s="117">
        <f t="shared" si="7"/>
        <v>0.88025210084033623</v>
      </c>
      <c r="AA146" s="117">
        <f t="shared" si="8"/>
        <v>0.10067114093959732</v>
      </c>
      <c r="AB146" s="117">
        <f t="shared" si="9"/>
        <v>0.32321428571428568</v>
      </c>
      <c r="AC146" s="117">
        <f t="shared" si="10"/>
        <v>0.1</v>
      </c>
      <c r="AD146" s="117">
        <f t="shared" si="11"/>
        <v>1.7645161290322582</v>
      </c>
      <c r="AF146" s="117">
        <f t="shared" si="12"/>
        <v>1.0615657461363059</v>
      </c>
      <c r="AG146" s="117">
        <f t="shared" si="13"/>
        <v>7.2046109510086456E-2</v>
      </c>
      <c r="AH146" s="117">
        <f t="shared" si="14"/>
        <v>0.15975286849073259</v>
      </c>
      <c r="AI146" s="117">
        <f t="shared" si="15"/>
        <v>3.3210332103321034E-2</v>
      </c>
      <c r="AJ146" s="117">
        <f t="shared" si="16"/>
        <v>2.1308920919361123</v>
      </c>
      <c r="AL146" s="117">
        <f t="shared" si="17"/>
        <v>1.2159024956471269</v>
      </c>
      <c r="AM146" s="117">
        <f t="shared" si="18"/>
        <v>6.7324955116696589E-2</v>
      </c>
      <c r="AN146" s="117">
        <f t="shared" si="19"/>
        <v>0.14296998420221169</v>
      </c>
      <c r="AO146" s="117">
        <f t="shared" si="20"/>
        <v>3.5856573705179279E-2</v>
      </c>
      <c r="AP146" s="117">
        <f t="shared" si="21"/>
        <v>1.9473122107511571</v>
      </c>
    </row>
    <row r="147" spans="1:42" ht="20.100000000000001" customHeight="1" x14ac:dyDescent="0.3">
      <c r="A147" s="41">
        <v>18</v>
      </c>
      <c r="B147" s="42" t="s">
        <v>38</v>
      </c>
      <c r="C147" s="42" t="s">
        <v>38</v>
      </c>
      <c r="D147" s="43" t="s">
        <v>42</v>
      </c>
      <c r="E147" s="44">
        <v>45554</v>
      </c>
      <c r="F147" s="45"/>
      <c r="G147" s="43" t="s">
        <v>37</v>
      </c>
      <c r="H147" s="72">
        <v>31.05</v>
      </c>
      <c r="I147" s="72">
        <v>7.68</v>
      </c>
      <c r="J147" s="72">
        <v>9.3000000000000007</v>
      </c>
      <c r="K147" s="73">
        <v>295.2</v>
      </c>
      <c r="L147" s="59"/>
      <c r="M147" s="60"/>
      <c r="N147" s="60"/>
      <c r="O147" s="60">
        <v>1.694</v>
      </c>
      <c r="P147" s="60"/>
      <c r="Q147" s="60"/>
      <c r="R147" s="60"/>
      <c r="S147" s="60"/>
      <c r="T147" s="60">
        <v>34.601999999999997</v>
      </c>
      <c r="U147" s="60">
        <v>12.47</v>
      </c>
      <c r="V147" s="60">
        <v>1.56</v>
      </c>
      <c r="W147" s="85">
        <v>23.0926526076871</v>
      </c>
      <c r="X147" s="85">
        <v>9.5820343771464991</v>
      </c>
      <c r="Y147" s="48"/>
      <c r="Z147" s="117">
        <f t="shared" si="7"/>
        <v>0.50330097087378645</v>
      </c>
      <c r="AA147" s="117">
        <f t="shared" si="8"/>
        <v>0.1308641975308642</v>
      </c>
      <c r="AB147" s="117">
        <f t="shared" si="9"/>
        <v>0.10212765957446808</v>
      </c>
      <c r="AC147" s="117">
        <f t="shared" si="10"/>
        <v>0.22499999999999998</v>
      </c>
      <c r="AD147" s="117">
        <f t="shared" si="11"/>
        <v>2.6604477611940296</v>
      </c>
      <c r="AF147" s="117">
        <f t="shared" si="12"/>
        <v>0.57805530776092773</v>
      </c>
      <c r="AG147" s="117">
        <f t="shared" si="13"/>
        <v>9.257641921397379E-2</v>
      </c>
      <c r="AH147" s="117">
        <f t="shared" si="14"/>
        <v>5.5813953488372092E-2</v>
      </c>
      <c r="AI147" s="117">
        <f t="shared" si="15"/>
        <v>7.8947368421052613E-2</v>
      </c>
      <c r="AJ147" s="117">
        <f t="shared" si="16"/>
        <v>3.33489242282507</v>
      </c>
      <c r="AL147" s="117">
        <f t="shared" si="17"/>
        <v>0.65404996214988653</v>
      </c>
      <c r="AM147" s="117">
        <f t="shared" si="18"/>
        <v>8.4867894315452358E-2</v>
      </c>
      <c r="AN147" s="117">
        <f t="shared" si="19"/>
        <v>4.5801526717557245E-2</v>
      </c>
      <c r="AO147" s="117">
        <f t="shared" si="20"/>
        <v>8.2191780821917804E-2</v>
      </c>
      <c r="AP147" s="117">
        <f t="shared" si="21"/>
        <v>3.1382042253521121</v>
      </c>
    </row>
    <row r="148" spans="1:42" ht="20.100000000000001" customHeight="1" x14ac:dyDescent="0.3">
      <c r="A148" s="41">
        <v>19</v>
      </c>
      <c r="B148" s="42" t="s">
        <v>38</v>
      </c>
      <c r="C148" s="42" t="s">
        <v>43</v>
      </c>
      <c r="D148" s="43" t="s">
        <v>40</v>
      </c>
      <c r="E148" s="44">
        <v>45554</v>
      </c>
      <c r="F148" s="45"/>
      <c r="G148" s="43" t="s">
        <v>37</v>
      </c>
      <c r="H148" s="72">
        <v>31.11</v>
      </c>
      <c r="I148" s="72">
        <v>7.69</v>
      </c>
      <c r="J148" s="72">
        <v>8.51</v>
      </c>
      <c r="K148" s="73">
        <v>393.3</v>
      </c>
      <c r="L148" s="59"/>
      <c r="M148" s="60"/>
      <c r="N148" s="60"/>
      <c r="O148" s="60">
        <v>4.9610000000000003</v>
      </c>
      <c r="P148" s="60"/>
      <c r="Q148" s="60"/>
      <c r="R148" s="60"/>
      <c r="S148" s="60"/>
      <c r="T148" s="60">
        <v>63.668999999999997</v>
      </c>
      <c r="U148" s="60">
        <v>13.59</v>
      </c>
      <c r="V148" s="60">
        <v>3.96</v>
      </c>
      <c r="W148" s="85">
        <v>20.478990392428699</v>
      </c>
      <c r="X148" s="85">
        <v>11.784308695411415</v>
      </c>
      <c r="Y148" s="48"/>
      <c r="Z148" s="117">
        <f t="shared" si="7"/>
        <v>1.3146946564885496</v>
      </c>
      <c r="AA148" s="117">
        <f t="shared" si="8"/>
        <v>1.0362162162162163</v>
      </c>
      <c r="AB148" s="117">
        <f t="shared" si="9"/>
        <v>0.29166666666666669</v>
      </c>
      <c r="AC148" s="117">
        <f t="shared" si="10"/>
        <v>0.4</v>
      </c>
      <c r="AD148" s="117">
        <f t="shared" si="11"/>
        <v>0.435042735042735</v>
      </c>
      <c r="AF148" s="117">
        <f t="shared" si="12"/>
        <v>2.3511945392491471</v>
      </c>
      <c r="AG148" s="117">
        <f t="shared" si="13"/>
        <v>0.53205661948376359</v>
      </c>
      <c r="AH148" s="117">
        <f t="shared" si="14"/>
        <v>0.13930348258706465</v>
      </c>
      <c r="AI148" s="117">
        <f t="shared" si="15"/>
        <v>0.10588235294117646</v>
      </c>
      <c r="AJ148" s="117">
        <f t="shared" si="16"/>
        <v>0.47973609802073519</v>
      </c>
      <c r="AL148" s="117">
        <f t="shared" si="17"/>
        <v>1.7170987038883352</v>
      </c>
      <c r="AM148" s="117">
        <f t="shared" si="18"/>
        <v>0.63539940338084189</v>
      </c>
      <c r="AN148" s="117">
        <f t="shared" si="19"/>
        <v>0.13605442176870747</v>
      </c>
      <c r="AO148" s="117">
        <f t="shared" si="20"/>
        <v>0.10557184750733138</v>
      </c>
      <c r="AP148" s="117">
        <f t="shared" si="21"/>
        <v>0.63585259212991885</v>
      </c>
    </row>
    <row r="149" spans="1:42" ht="20.100000000000001" customHeight="1" x14ac:dyDescent="0.3">
      <c r="A149" s="41">
        <v>20</v>
      </c>
      <c r="B149" s="42" t="s">
        <v>38</v>
      </c>
      <c r="C149" s="42" t="s">
        <v>43</v>
      </c>
      <c r="D149" s="43" t="s">
        <v>44</v>
      </c>
      <c r="E149" s="44">
        <v>45554</v>
      </c>
      <c r="F149" s="45"/>
      <c r="G149" s="43" t="s">
        <v>37</v>
      </c>
      <c r="H149" s="72">
        <v>30</v>
      </c>
      <c r="I149" s="72">
        <v>7.58</v>
      </c>
      <c r="J149" s="72">
        <v>8.25</v>
      </c>
      <c r="K149" s="73">
        <v>398.5</v>
      </c>
      <c r="L149" s="59"/>
      <c r="M149" s="60"/>
      <c r="N149" s="60"/>
      <c r="O149" s="60">
        <v>4.0640000000000001</v>
      </c>
      <c r="P149" s="60"/>
      <c r="Q149" s="60"/>
      <c r="R149" s="60"/>
      <c r="S149" s="60"/>
      <c r="T149" s="60">
        <v>42.067</v>
      </c>
      <c r="U149" s="60">
        <v>10.210000000000001</v>
      </c>
      <c r="V149" s="60">
        <v>3.1</v>
      </c>
      <c r="W149" s="87">
        <v>16.1979172318017</v>
      </c>
      <c r="X149" s="87">
        <v>10.688000129315089</v>
      </c>
      <c r="Y149" s="48"/>
      <c r="Z149" s="117">
        <f t="shared" si="7"/>
        <v>1.1309523809523809</v>
      </c>
      <c r="AA149" s="117">
        <f t="shared" si="8"/>
        <v>0.38675496688741723</v>
      </c>
      <c r="AB149" s="117">
        <f t="shared" si="9"/>
        <v>0.13620689655172413</v>
      </c>
      <c r="AC149" s="117">
        <f t="shared" si="10"/>
        <v>0.59</v>
      </c>
      <c r="AD149" s="117">
        <f t="shared" si="11"/>
        <v>1.2705329153605016</v>
      </c>
      <c r="AF149" s="117">
        <f t="shared" si="12"/>
        <v>1.4979931192660549</v>
      </c>
      <c r="AG149" s="117">
        <f t="shared" si="13"/>
        <v>0.26666666666666666</v>
      </c>
      <c r="AH149" s="117">
        <f t="shared" si="14"/>
        <v>7.3215940685820213E-2</v>
      </c>
      <c r="AI149" s="117">
        <f t="shared" si="15"/>
        <v>0.2218045112781955</v>
      </c>
      <c r="AJ149" s="117">
        <f t="shared" si="16"/>
        <v>1.361437688948606</v>
      </c>
      <c r="AL149" s="117">
        <f t="shared" si="17"/>
        <v>1.5862173649058893</v>
      </c>
      <c r="AM149" s="117">
        <f t="shared" si="18"/>
        <v>0.25944024877832073</v>
      </c>
      <c r="AN149" s="117">
        <f t="shared" si="19"/>
        <v>5.7329462989840346E-2</v>
      </c>
      <c r="AO149" s="117">
        <f t="shared" si="20"/>
        <v>0.19093851132686085</v>
      </c>
      <c r="AP149" s="117">
        <f t="shared" si="21"/>
        <v>1.4642341040462428</v>
      </c>
    </row>
    <row r="150" spans="1:42" ht="20.100000000000001" customHeight="1" x14ac:dyDescent="0.3">
      <c r="A150" s="25">
        <v>21</v>
      </c>
      <c r="B150" s="17" t="s">
        <v>45</v>
      </c>
      <c r="C150" s="17" t="s">
        <v>45</v>
      </c>
      <c r="D150" s="18" t="s">
        <v>46</v>
      </c>
      <c r="E150" s="26">
        <v>45554</v>
      </c>
      <c r="F150" s="20"/>
      <c r="G150" s="18" t="s">
        <v>37</v>
      </c>
      <c r="H150" s="28">
        <v>27.04</v>
      </c>
      <c r="I150" s="28">
        <v>7.6</v>
      </c>
      <c r="J150" s="28">
        <v>8.77</v>
      </c>
      <c r="K150" s="74">
        <v>190</v>
      </c>
      <c r="L150" s="57"/>
      <c r="M150" s="54"/>
      <c r="N150" s="54"/>
      <c r="O150" s="58">
        <v>0.49</v>
      </c>
      <c r="P150" s="58"/>
      <c r="Q150" s="58"/>
      <c r="R150" s="58"/>
      <c r="S150" s="58"/>
      <c r="T150" s="58">
        <v>11.234</v>
      </c>
      <c r="U150" s="58">
        <v>10</v>
      </c>
      <c r="V150" s="58">
        <v>2.96</v>
      </c>
      <c r="W150" s="86">
        <v>19.212721507059499</v>
      </c>
      <c r="X150" s="86">
        <v>11.710734289954006</v>
      </c>
      <c r="Y150" s="21"/>
      <c r="Z150" s="117">
        <f t="shared" si="7"/>
        <v>1.1028199566160521</v>
      </c>
      <c r="AA150" s="117">
        <f t="shared" si="8"/>
        <v>0.24864864864864869</v>
      </c>
      <c r="AB150" s="117">
        <f t="shared" si="9"/>
        <v>0.11833333333333333</v>
      </c>
      <c r="AC150" s="117">
        <f t="shared" si="10"/>
        <v>0.4777777777777778</v>
      </c>
      <c r="AD150" s="117">
        <f t="shared" si="11"/>
        <v>1.3770186335403727</v>
      </c>
      <c r="AF150" s="117">
        <f t="shared" si="12"/>
        <v>1.7813594954449896</v>
      </c>
      <c r="AG150" s="117">
        <f t="shared" si="13"/>
        <v>0.14252517428350117</v>
      </c>
      <c r="AH150" s="117">
        <f t="shared" si="14"/>
        <v>5.9019118869492924E-2</v>
      </c>
      <c r="AI150" s="117">
        <f t="shared" si="15"/>
        <v>0.1647509578544061</v>
      </c>
      <c r="AJ150" s="117">
        <f t="shared" si="16"/>
        <v>1.4303225806451614</v>
      </c>
      <c r="AL150" s="117">
        <f t="shared" si="17"/>
        <v>1.567200986436498</v>
      </c>
      <c r="AM150" s="117">
        <f t="shared" si="18"/>
        <v>0.16803652968036531</v>
      </c>
      <c r="AN150" s="117">
        <f t="shared" si="19"/>
        <v>5.0750536097212293E-2</v>
      </c>
      <c r="AO150" s="117">
        <f t="shared" si="20"/>
        <v>0.14333333333333334</v>
      </c>
      <c r="AP150" s="117">
        <f t="shared" si="21"/>
        <v>1.5465643529822113</v>
      </c>
    </row>
    <row r="151" spans="1:42" ht="20.100000000000001" customHeight="1" x14ac:dyDescent="0.3">
      <c r="A151" s="25">
        <v>22</v>
      </c>
      <c r="B151" s="17" t="s">
        <v>45</v>
      </c>
      <c r="C151" s="17" t="s">
        <v>45</v>
      </c>
      <c r="D151" s="22" t="s">
        <v>47</v>
      </c>
      <c r="E151" s="26">
        <v>45554</v>
      </c>
      <c r="F151" s="23"/>
      <c r="G151" s="18" t="s">
        <v>37</v>
      </c>
      <c r="H151" s="28">
        <v>27.15</v>
      </c>
      <c r="I151" s="28">
        <v>7.07</v>
      </c>
      <c r="J151" s="28">
        <v>8.2100000000000009</v>
      </c>
      <c r="K151" s="74">
        <v>170</v>
      </c>
      <c r="L151" s="57"/>
      <c r="M151" s="55"/>
      <c r="N151" s="55"/>
      <c r="O151" s="55">
        <v>1.1399999999999999</v>
      </c>
      <c r="P151" s="55"/>
      <c r="Q151" s="55"/>
      <c r="R151" s="55"/>
      <c r="S151" s="55"/>
      <c r="T151" s="55">
        <v>17.195</v>
      </c>
      <c r="U151" s="55">
        <v>10.44</v>
      </c>
      <c r="V151" s="55">
        <v>1.64</v>
      </c>
      <c r="W151" s="87">
        <v>19.488333528425802</v>
      </c>
      <c r="X151" s="87">
        <v>11.729203250046893</v>
      </c>
      <c r="Y151" s="24"/>
      <c r="Z151" s="117">
        <f t="shared" si="7"/>
        <v>0.39317697228144993</v>
      </c>
      <c r="AA151" s="117">
        <f t="shared" si="8"/>
        <v>0.18476821192052981</v>
      </c>
      <c r="AB151" s="117">
        <f t="shared" si="9"/>
        <v>0.21636363636363634</v>
      </c>
      <c r="AC151" s="117">
        <f t="shared" si="10"/>
        <v>0.2</v>
      </c>
      <c r="AD151" s="117">
        <f t="shared" si="11"/>
        <v>2.4493670886075951</v>
      </c>
      <c r="AF151" s="117">
        <f t="shared" si="12"/>
        <v>0.46553900530169151</v>
      </c>
      <c r="AG151" s="117">
        <f t="shared" si="13"/>
        <v>0.13703339882121807</v>
      </c>
      <c r="AH151" s="117">
        <f t="shared" si="14"/>
        <v>0.11431316042267051</v>
      </c>
      <c r="AI151" s="117">
        <f t="shared" si="15"/>
        <v>6.741573033707865E-2</v>
      </c>
      <c r="AJ151" s="117">
        <f t="shared" si="16"/>
        <v>2.8719851576994433</v>
      </c>
      <c r="AL151" s="117">
        <f t="shared" si="17"/>
        <v>0.54331172657631122</v>
      </c>
      <c r="AM151" s="117">
        <f t="shared" si="18"/>
        <v>0.13092444861567337</v>
      </c>
      <c r="AN151" s="117">
        <f t="shared" si="19"/>
        <v>9.3479968578161821E-2</v>
      </c>
      <c r="AO151" s="117">
        <f t="shared" si="20"/>
        <v>7.8260869565217397E-2</v>
      </c>
      <c r="AP151" s="117">
        <f t="shared" si="21"/>
        <v>2.6043068640646028</v>
      </c>
    </row>
    <row r="152" spans="1:42" ht="20.100000000000001" customHeight="1" x14ac:dyDescent="0.3">
      <c r="A152" s="25">
        <v>23</v>
      </c>
      <c r="B152" s="17" t="s">
        <v>45</v>
      </c>
      <c r="C152" s="17" t="s">
        <v>45</v>
      </c>
      <c r="D152" s="22" t="s">
        <v>29</v>
      </c>
      <c r="E152" s="26">
        <v>45554</v>
      </c>
      <c r="F152" s="23"/>
      <c r="G152" s="18" t="s">
        <v>37</v>
      </c>
      <c r="H152" s="75">
        <v>29.1</v>
      </c>
      <c r="I152" s="75">
        <v>7.14</v>
      </c>
      <c r="J152" s="75">
        <v>9.57</v>
      </c>
      <c r="K152" s="77">
        <v>163</v>
      </c>
      <c r="L152" s="57"/>
      <c r="M152" s="55"/>
      <c r="N152" s="55"/>
      <c r="O152" s="55">
        <v>1.2929999999999999</v>
      </c>
      <c r="P152" s="55"/>
      <c r="Q152" s="55"/>
      <c r="R152" s="55"/>
      <c r="S152" s="55"/>
      <c r="T152" s="55">
        <v>17.489999999999998</v>
      </c>
      <c r="U152" s="55">
        <v>12.09</v>
      </c>
      <c r="V152" s="55">
        <v>1.59</v>
      </c>
      <c r="W152" s="87">
        <v>19.602583287055499</v>
      </c>
      <c r="X152" s="87">
        <v>11.489430196837569</v>
      </c>
      <c r="Y152" s="24"/>
      <c r="Z152" s="117">
        <f t="shared" si="7"/>
        <v>0.23896620278330019</v>
      </c>
      <c r="AA152" s="117">
        <f t="shared" si="8"/>
        <v>7.7639751552795025E-2</v>
      </c>
      <c r="AB152" s="117">
        <f t="shared" si="9"/>
        <v>0.31428571428571428</v>
      </c>
      <c r="AC152" s="117">
        <f t="shared" si="10"/>
        <v>0.30000000000000004</v>
      </c>
      <c r="AD152" s="117">
        <f t="shared" si="11"/>
        <v>3.0546762589928051</v>
      </c>
      <c r="AF152" s="117">
        <f t="shared" si="12"/>
        <v>0.28110383536014966</v>
      </c>
      <c r="AG152" s="117">
        <f t="shared" si="13"/>
        <v>5.5753791257805524E-2</v>
      </c>
      <c r="AH152" s="117">
        <f t="shared" si="14"/>
        <v>0.17480136208853575</v>
      </c>
      <c r="AI152" s="117">
        <f t="shared" si="15"/>
        <v>0.12735849056603774</v>
      </c>
      <c r="AJ152" s="117">
        <f t="shared" si="16"/>
        <v>3.5546253662620342</v>
      </c>
      <c r="AL152" s="117">
        <f t="shared" si="17"/>
        <v>0.31123770067322631</v>
      </c>
      <c r="AM152" s="117">
        <f t="shared" si="18"/>
        <v>5.1208521097910693E-2</v>
      </c>
      <c r="AN152" s="117">
        <f t="shared" si="19"/>
        <v>0.14167433302667892</v>
      </c>
      <c r="AO152" s="117">
        <f t="shared" si="20"/>
        <v>0.1210762331838565</v>
      </c>
      <c r="AP152" s="117">
        <f t="shared" si="21"/>
        <v>3.5576036866359448</v>
      </c>
    </row>
    <row r="153" spans="1:42" ht="20.100000000000001" customHeight="1" x14ac:dyDescent="0.3">
      <c r="A153" s="25">
        <v>24</v>
      </c>
      <c r="B153" s="17" t="s">
        <v>45</v>
      </c>
      <c r="C153" s="17" t="s">
        <v>45</v>
      </c>
      <c r="D153" s="18" t="s">
        <v>48</v>
      </c>
      <c r="E153" s="26">
        <v>45554</v>
      </c>
      <c r="F153" s="20"/>
      <c r="G153" s="18" t="s">
        <v>19</v>
      </c>
      <c r="H153" s="28">
        <v>29.14</v>
      </c>
      <c r="I153" s="28">
        <v>6.95</v>
      </c>
      <c r="J153" s="28">
        <v>8.77</v>
      </c>
      <c r="K153" s="74">
        <v>155</v>
      </c>
      <c r="L153" s="57"/>
      <c r="M153" s="54"/>
      <c r="N153" s="54"/>
      <c r="O153" s="54">
        <v>0.83899999999999997</v>
      </c>
      <c r="P153" s="54"/>
      <c r="Q153" s="54"/>
      <c r="R153" s="54"/>
      <c r="S153" s="54"/>
      <c r="T153" s="54">
        <v>16.988</v>
      </c>
      <c r="U153" s="54">
        <v>9.6999999999999993</v>
      </c>
      <c r="V153" s="54">
        <v>-0.33</v>
      </c>
      <c r="W153" s="85">
        <v>19.456382492073001</v>
      </c>
      <c r="X153" s="85">
        <v>10.817744322287382</v>
      </c>
      <c r="Y153" s="21"/>
      <c r="Z153" s="117">
        <f t="shared" si="7"/>
        <v>0.13104212860310421</v>
      </c>
      <c r="AA153" s="117">
        <f t="shared" si="8"/>
        <v>0.19453125000000002</v>
      </c>
      <c r="AB153" s="117">
        <f t="shared" si="9"/>
        <v>0.24035087719298245</v>
      </c>
      <c r="AC153" s="117">
        <f t="shared" si="10"/>
        <v>0.32500000000000001</v>
      </c>
      <c r="AD153" s="117">
        <f t="shared" si="11"/>
        <v>2.5272471910112357</v>
      </c>
      <c r="AF153" s="117">
        <f t="shared" si="12"/>
        <v>0.2034423407917384</v>
      </c>
      <c r="AG153" s="117">
        <f t="shared" si="13"/>
        <v>8.8048090523338049E-2</v>
      </c>
      <c r="AH153" s="117">
        <f t="shared" si="14"/>
        <v>0.16565900846432893</v>
      </c>
      <c r="AI153" s="117">
        <f t="shared" si="15"/>
        <v>0.10317460317460318</v>
      </c>
      <c r="AJ153" s="117">
        <f t="shared" si="16"/>
        <v>2.8221455457967379</v>
      </c>
      <c r="AL153" s="117">
        <f t="shared" si="17"/>
        <v>0.18497652582159627</v>
      </c>
      <c r="AM153" s="117">
        <f t="shared" si="18"/>
        <v>0.14115646258503403</v>
      </c>
      <c r="AN153" s="117">
        <f t="shared" si="19"/>
        <v>0.1096</v>
      </c>
      <c r="AO153" s="117">
        <f t="shared" si="20"/>
        <v>0.17333333333333334</v>
      </c>
      <c r="AP153" s="117">
        <f t="shared" si="21"/>
        <v>2.4710244438341116</v>
      </c>
    </row>
    <row r="154" spans="1:42" ht="20.100000000000001" customHeight="1" x14ac:dyDescent="0.3"/>
    <row r="155" spans="1:42" ht="20.100000000000001" customHeight="1" x14ac:dyDescent="0.3"/>
    <row r="156" spans="1:42" ht="20.100000000000001" customHeight="1" x14ac:dyDescent="0.3"/>
    <row r="157" spans="1:42" ht="20.100000000000001" customHeight="1" thickBot="1" x14ac:dyDescent="0.35">
      <c r="Z157" t="s">
        <v>1350</v>
      </c>
    </row>
    <row r="158" spans="1:42" ht="20.100000000000001" customHeight="1" thickBot="1" x14ac:dyDescent="0.35">
      <c r="A158" s="124" t="s">
        <v>1</v>
      </c>
      <c r="B158" s="126" t="s">
        <v>62</v>
      </c>
      <c r="C158" s="126" t="s">
        <v>63</v>
      </c>
      <c r="D158" s="124" t="s">
        <v>7</v>
      </c>
      <c r="E158" s="128" t="s">
        <v>8</v>
      </c>
      <c r="F158" s="129"/>
      <c r="G158" s="119" t="s">
        <v>9</v>
      </c>
      <c r="H158" s="119"/>
      <c r="I158" s="119"/>
      <c r="J158" s="119"/>
      <c r="K158" s="119"/>
      <c r="L158" s="120" t="s">
        <v>56</v>
      </c>
      <c r="M158" s="121"/>
      <c r="N158" s="121"/>
      <c r="O158" s="121"/>
      <c r="P158" s="121"/>
      <c r="Q158" s="121"/>
      <c r="R158" s="121"/>
      <c r="S158" s="121"/>
      <c r="T158" s="121"/>
      <c r="U158" s="9"/>
      <c r="V158" s="9"/>
      <c r="W158" s="9"/>
      <c r="X158" s="9"/>
      <c r="Y158" s="122" t="s">
        <v>10</v>
      </c>
      <c r="Z158" s="114" t="s">
        <v>1346</v>
      </c>
      <c r="AF158" s="114" t="s">
        <v>1347</v>
      </c>
      <c r="AL158" s="114" t="s">
        <v>1348</v>
      </c>
    </row>
    <row r="159" spans="1:42" ht="20.100000000000001" customHeight="1" thickBot="1" x14ac:dyDescent="0.35">
      <c r="A159" s="125"/>
      <c r="B159" s="125"/>
      <c r="C159" s="125"/>
      <c r="D159" s="127"/>
      <c r="E159" s="1" t="s">
        <v>0</v>
      </c>
      <c r="F159" s="4" t="s">
        <v>11</v>
      </c>
      <c r="G159" s="4" t="s">
        <v>12</v>
      </c>
      <c r="H159" s="4" t="s">
        <v>13</v>
      </c>
      <c r="I159" s="4" t="s">
        <v>14</v>
      </c>
      <c r="J159" s="51" t="s">
        <v>15</v>
      </c>
      <c r="K159" s="51" t="s">
        <v>16</v>
      </c>
      <c r="L159" s="51" t="s">
        <v>6</v>
      </c>
      <c r="M159" s="51" t="s">
        <v>51</v>
      </c>
      <c r="N159" s="51" t="s">
        <v>125</v>
      </c>
      <c r="O159" s="51" t="s">
        <v>126</v>
      </c>
      <c r="P159" s="51" t="s">
        <v>127</v>
      </c>
      <c r="Q159" s="51" t="s">
        <v>53</v>
      </c>
      <c r="R159" s="51" t="s">
        <v>54</v>
      </c>
      <c r="S159" s="51" t="s">
        <v>128</v>
      </c>
      <c r="T159" s="51" t="s">
        <v>129</v>
      </c>
      <c r="U159" s="51" t="s">
        <v>130</v>
      </c>
      <c r="V159" s="4" t="s">
        <v>78</v>
      </c>
      <c r="W159" s="4" t="s">
        <v>131</v>
      </c>
      <c r="X159" s="10" t="s">
        <v>76</v>
      </c>
      <c r="Y159" s="123"/>
      <c r="Z159" s="114" t="s">
        <v>178</v>
      </c>
      <c r="AA159" s="114" t="s">
        <v>179</v>
      </c>
      <c r="AB159" s="114" t="s">
        <v>180</v>
      </c>
      <c r="AC159" s="114" t="s">
        <v>181</v>
      </c>
      <c r="AD159" s="114" t="s">
        <v>182</v>
      </c>
      <c r="AF159" s="114" t="s">
        <v>178</v>
      </c>
      <c r="AG159" s="114" t="s">
        <v>179</v>
      </c>
      <c r="AH159" s="114" t="s">
        <v>180</v>
      </c>
      <c r="AI159" s="114" t="s">
        <v>181</v>
      </c>
      <c r="AJ159" s="114" t="s">
        <v>182</v>
      </c>
      <c r="AL159" s="114" t="s">
        <v>178</v>
      </c>
      <c r="AM159" s="114" t="s">
        <v>179</v>
      </c>
      <c r="AN159" s="114" t="s">
        <v>180</v>
      </c>
      <c r="AO159" s="114" t="s">
        <v>181</v>
      </c>
      <c r="AP159" s="114" t="s">
        <v>182</v>
      </c>
    </row>
    <row r="160" spans="1:42" ht="20.100000000000001" customHeight="1" x14ac:dyDescent="0.3">
      <c r="A160" s="11">
        <v>1</v>
      </c>
      <c r="B160" s="12" t="s">
        <v>17</v>
      </c>
      <c r="C160" s="12" t="s">
        <v>17</v>
      </c>
      <c r="D160" s="13" t="s">
        <v>18</v>
      </c>
      <c r="E160" s="36">
        <v>45554</v>
      </c>
      <c r="F160" s="15"/>
      <c r="G160" s="13" t="s">
        <v>19</v>
      </c>
      <c r="H160" s="27">
        <v>29.1</v>
      </c>
      <c r="I160" s="27">
        <v>7.79</v>
      </c>
      <c r="J160" s="27">
        <v>7.41</v>
      </c>
      <c r="K160" s="76">
        <v>213</v>
      </c>
      <c r="L160" s="56"/>
      <c r="M160" s="53"/>
      <c r="N160" s="53"/>
      <c r="O160" s="53">
        <v>0.79800000000000004</v>
      </c>
      <c r="P160" s="53"/>
      <c r="Q160" s="53"/>
      <c r="R160" s="53"/>
      <c r="S160" s="53"/>
      <c r="T160" s="53">
        <v>19.614999999999998</v>
      </c>
      <c r="U160" s="53">
        <v>8.39</v>
      </c>
      <c r="V160" s="53">
        <v>-1.28</v>
      </c>
      <c r="W160" s="84">
        <v>27.662456528967201</v>
      </c>
      <c r="X160" s="84">
        <v>4.8610379223890661</v>
      </c>
      <c r="Y160" s="16"/>
      <c r="Z160" s="117">
        <f t="shared" ref="Z160:Z183" si="22">AG9/AN9</f>
        <v>1.9689336691855583</v>
      </c>
      <c r="AA160" s="117">
        <f t="shared" ref="AA160:AA183" si="23">AH9/AO9</f>
        <v>0.49149338374291113</v>
      </c>
      <c r="AB160" s="117">
        <f t="shared" ref="AB160:AB183" si="24">AI9/AP9</f>
        <v>0.53318824809575638</v>
      </c>
      <c r="AC160" s="117">
        <f t="shared" ref="AC160:AC183" si="25">AJ9/AQ9</f>
        <v>0.23890784982935154</v>
      </c>
      <c r="AD160" s="117">
        <f t="shared" ref="AD160:AD183" si="26">AK9/AR9</f>
        <v>0.9173092262696092</v>
      </c>
      <c r="AF160" s="117">
        <f t="shared" ref="AF160:AF183" si="27">AG9/AU9</f>
        <v>1.746090841399851</v>
      </c>
      <c r="AG160" s="117">
        <f t="shared" ref="AG160:AG183" si="28">AH9/AV9</f>
        <v>0.90592334494773519</v>
      </c>
      <c r="AH160" s="117">
        <f t="shared" ref="AH160:AH183" si="29">AI9/AW9</f>
        <v>0.35430224150397688</v>
      </c>
      <c r="AI160" s="117">
        <f t="shared" ref="AI160:AI183" si="30">AJ9/AX9</f>
        <v>0.58333333333333337</v>
      </c>
      <c r="AJ160" s="117">
        <f t="shared" ref="AJ160:AJ183" si="31">AK9/AY9</f>
        <v>0.78839122486288848</v>
      </c>
      <c r="AL160" s="117">
        <f t="shared" ref="AL160:AL183" si="32">AN9/AU9</f>
        <v>0.88682055100521229</v>
      </c>
      <c r="AM160" s="117">
        <f t="shared" ref="AM160:AM183" si="33">AO9/AV9</f>
        <v>1.8432055749128922</v>
      </c>
      <c r="AN160" s="117">
        <f t="shared" ref="AN160:AN183" si="34">AP9/AW9</f>
        <v>0.66449746926970354</v>
      </c>
      <c r="AO160" s="117">
        <f t="shared" ref="AO160:AO183" si="35">AQ9/AX9</f>
        <v>2.4416666666666669</v>
      </c>
      <c r="AP160" s="117">
        <f t="shared" ref="AP160:AP183" si="36">AR9/AY9</f>
        <v>0.85946069469835473</v>
      </c>
    </row>
    <row r="161" spans="1:42" ht="20.100000000000001" customHeight="1" x14ac:dyDescent="0.3">
      <c r="A161" s="25">
        <v>2</v>
      </c>
      <c r="B161" s="17" t="s">
        <v>17</v>
      </c>
      <c r="C161" s="17" t="s">
        <v>17</v>
      </c>
      <c r="D161" s="18" t="s">
        <v>20</v>
      </c>
      <c r="E161" s="26">
        <v>45554</v>
      </c>
      <c r="F161" s="20"/>
      <c r="G161" s="18" t="s">
        <v>19</v>
      </c>
      <c r="H161" s="28">
        <v>31.1</v>
      </c>
      <c r="I161" s="28">
        <v>8.2100000000000009</v>
      </c>
      <c r="J161" s="28">
        <v>8.58</v>
      </c>
      <c r="K161" s="74">
        <v>364</v>
      </c>
      <c r="L161" s="57"/>
      <c r="M161" s="54"/>
      <c r="N161" s="54"/>
      <c r="O161" s="54">
        <v>4.1859999999999999</v>
      </c>
      <c r="P161" s="54"/>
      <c r="Q161" s="54"/>
      <c r="R161" s="54"/>
      <c r="S161" s="54"/>
      <c r="T161" s="54">
        <v>42.957000000000001</v>
      </c>
      <c r="U161" s="54">
        <v>13.52</v>
      </c>
      <c r="V161" s="54">
        <v>-2.37</v>
      </c>
      <c r="W161" s="85">
        <v>24.7672766162591</v>
      </c>
      <c r="X161" s="85">
        <v>9.7239065437712533</v>
      </c>
      <c r="Y161" s="21"/>
      <c r="Z161" s="117">
        <f t="shared" si="22"/>
        <v>1.9210433556573847</v>
      </c>
      <c r="AA161" s="117">
        <f t="shared" si="23"/>
        <v>0.35832937826293304</v>
      </c>
      <c r="AB161" s="117">
        <f t="shared" si="24"/>
        <v>0.58295964125560529</v>
      </c>
      <c r="AC161" s="117">
        <f t="shared" si="25"/>
        <v>0.27559055118110237</v>
      </c>
      <c r="AD161" s="117">
        <f t="shared" si="26"/>
        <v>1.2734452122408686</v>
      </c>
      <c r="AF161" s="117">
        <f t="shared" si="27"/>
        <v>1.2471395881006866</v>
      </c>
      <c r="AG161" s="117">
        <f t="shared" si="28"/>
        <v>0.68449682683590207</v>
      </c>
      <c r="AH161" s="117">
        <f t="shared" si="29"/>
        <v>0.4980842911877395</v>
      </c>
      <c r="AI161" s="117">
        <f t="shared" si="30"/>
        <v>0.72916666666666674</v>
      </c>
      <c r="AJ161" s="117">
        <f t="shared" si="31"/>
        <v>1.0137524557956779</v>
      </c>
      <c r="AL161" s="117">
        <f t="shared" si="32"/>
        <v>0.64919908466819221</v>
      </c>
      <c r="AM161" s="117">
        <f t="shared" si="33"/>
        <v>1.9102447869446963</v>
      </c>
      <c r="AN161" s="117">
        <f t="shared" si="34"/>
        <v>0.85440613026819934</v>
      </c>
      <c r="AO161" s="117">
        <f t="shared" si="35"/>
        <v>2.6458333333333335</v>
      </c>
      <c r="AP161" s="117">
        <f t="shared" si="36"/>
        <v>0.79607072691552072</v>
      </c>
    </row>
    <row r="162" spans="1:42" ht="20.100000000000001" customHeight="1" x14ac:dyDescent="0.3">
      <c r="A162" s="25">
        <v>3</v>
      </c>
      <c r="B162" s="17" t="s">
        <v>17</v>
      </c>
      <c r="C162" s="17" t="s">
        <v>17</v>
      </c>
      <c r="D162" s="18" t="s">
        <v>21</v>
      </c>
      <c r="E162" s="26">
        <v>45554</v>
      </c>
      <c r="F162" s="20"/>
      <c r="G162" s="18" t="s">
        <v>19</v>
      </c>
      <c r="H162" s="28">
        <v>32.799999999999997</v>
      </c>
      <c r="I162" s="28">
        <v>8.0500000000000007</v>
      </c>
      <c r="J162" s="28">
        <v>8.2899999999999991</v>
      </c>
      <c r="K162" s="74">
        <v>391</v>
      </c>
      <c r="L162" s="57"/>
      <c r="M162" s="54"/>
      <c r="N162" s="54"/>
      <c r="O162" s="54">
        <v>3.1080000000000001</v>
      </c>
      <c r="P162" s="54"/>
      <c r="Q162" s="54"/>
      <c r="R162" s="54"/>
      <c r="S162" s="54"/>
      <c r="T162" s="54">
        <v>47.884</v>
      </c>
      <c r="U162" s="58">
        <v>14.02</v>
      </c>
      <c r="V162" s="58">
        <v>-3.68</v>
      </c>
      <c r="W162" s="86">
        <v>24.0792961930403</v>
      </c>
      <c r="X162" s="85">
        <v>9.7627583260568862</v>
      </c>
      <c r="Y162" s="21"/>
      <c r="Z162" s="117">
        <f t="shared" si="22"/>
        <v>1.8036529680365301</v>
      </c>
      <c r="AA162" s="117">
        <f t="shared" si="23"/>
        <v>0.37717601547388779</v>
      </c>
      <c r="AB162" s="117">
        <f t="shared" si="24"/>
        <v>0.66427289048473959</v>
      </c>
      <c r="AC162" s="117">
        <f t="shared" si="25"/>
        <v>0.25862068965517243</v>
      </c>
      <c r="AD162" s="117">
        <f t="shared" si="26"/>
        <v>1.2344449975111997</v>
      </c>
      <c r="AF162" s="117">
        <f t="shared" si="27"/>
        <v>1.2204811299933789</v>
      </c>
      <c r="AG162" s="117">
        <f t="shared" si="28"/>
        <v>0.7337723424270931</v>
      </c>
      <c r="AH162" s="117">
        <f t="shared" si="29"/>
        <v>0.53084648493543762</v>
      </c>
      <c r="AI162" s="117">
        <f t="shared" si="30"/>
        <v>0.84507042253521114</v>
      </c>
      <c r="AJ162" s="117">
        <f t="shared" si="31"/>
        <v>0.96310679611650485</v>
      </c>
      <c r="AL162" s="117">
        <f t="shared" si="32"/>
        <v>0.67667181637607576</v>
      </c>
      <c r="AM162" s="117">
        <f t="shared" si="33"/>
        <v>1.9454374412041391</v>
      </c>
      <c r="AN162" s="117">
        <f t="shared" si="34"/>
        <v>0.79913916786226691</v>
      </c>
      <c r="AO162" s="117">
        <f t="shared" si="35"/>
        <v>3.2676056338028165</v>
      </c>
      <c r="AP162" s="117">
        <f t="shared" si="36"/>
        <v>0.78019417475728159</v>
      </c>
    </row>
    <row r="163" spans="1:42" ht="20.100000000000001" customHeight="1" x14ac:dyDescent="0.3">
      <c r="A163" s="25">
        <v>4</v>
      </c>
      <c r="B163" s="17" t="s">
        <v>17</v>
      </c>
      <c r="C163" s="17" t="s">
        <v>17</v>
      </c>
      <c r="D163" s="18" t="s">
        <v>22</v>
      </c>
      <c r="E163" s="26">
        <v>45554</v>
      </c>
      <c r="F163" s="20"/>
      <c r="G163" s="18" t="s">
        <v>19</v>
      </c>
      <c r="H163" s="28">
        <v>32.799999999999997</v>
      </c>
      <c r="I163" s="28">
        <v>8.24</v>
      </c>
      <c r="J163" s="28">
        <v>9.39</v>
      </c>
      <c r="K163" s="74">
        <v>333</v>
      </c>
      <c r="L163" s="57"/>
      <c r="M163" s="54"/>
      <c r="N163" s="54"/>
      <c r="O163" s="54">
        <v>1.391</v>
      </c>
      <c r="P163" s="54"/>
      <c r="Q163" s="54"/>
      <c r="R163" s="54"/>
      <c r="S163" s="54"/>
      <c r="T163" s="54">
        <v>38.052999999999997</v>
      </c>
      <c r="U163" s="55">
        <v>14.22</v>
      </c>
      <c r="V163" s="55">
        <v>-1.24</v>
      </c>
      <c r="W163" s="87">
        <v>21.889296347698799</v>
      </c>
      <c r="X163" s="87">
        <v>10.573961372083717</v>
      </c>
      <c r="Y163" s="21"/>
      <c r="Z163" s="117">
        <f t="shared" si="22"/>
        <v>1.6247470367158141</v>
      </c>
      <c r="AA163" s="117">
        <f t="shared" si="23"/>
        <v>0.45227524972253053</v>
      </c>
      <c r="AB163" s="117">
        <f t="shared" si="24"/>
        <v>0.625</v>
      </c>
      <c r="AC163" s="117">
        <f t="shared" si="25"/>
        <v>0.36269430051813473</v>
      </c>
      <c r="AD163" s="117">
        <f t="shared" si="26"/>
        <v>1.0734200743494424</v>
      </c>
      <c r="AF163" s="117">
        <f t="shared" si="27"/>
        <v>1.2505562972852691</v>
      </c>
      <c r="AG163" s="117">
        <f t="shared" si="28"/>
        <v>0.66072152411836238</v>
      </c>
      <c r="AH163" s="117">
        <f t="shared" si="29"/>
        <v>0.47314578005115082</v>
      </c>
      <c r="AI163" s="117">
        <f t="shared" si="30"/>
        <v>0.59322033898305093</v>
      </c>
      <c r="AJ163" s="117">
        <f t="shared" si="31"/>
        <v>1.0799438990182328</v>
      </c>
      <c r="AL163" s="117">
        <f t="shared" si="32"/>
        <v>0.76969292389853117</v>
      </c>
      <c r="AM163" s="117">
        <f t="shared" si="33"/>
        <v>1.4608836643696796</v>
      </c>
      <c r="AN163" s="117">
        <f t="shared" si="34"/>
        <v>0.75703324808184136</v>
      </c>
      <c r="AO163" s="117">
        <f t="shared" si="35"/>
        <v>1.6355932203389834</v>
      </c>
      <c r="AP163" s="117">
        <f t="shared" si="36"/>
        <v>1.0060776063581112</v>
      </c>
    </row>
    <row r="164" spans="1:42" ht="20.100000000000001" customHeight="1" x14ac:dyDescent="0.3">
      <c r="A164" s="41">
        <v>5</v>
      </c>
      <c r="B164" s="42" t="s">
        <v>23</v>
      </c>
      <c r="C164" s="42" t="s">
        <v>23</v>
      </c>
      <c r="D164" s="43" t="s">
        <v>24</v>
      </c>
      <c r="E164" s="44">
        <v>45554</v>
      </c>
      <c r="F164" s="45"/>
      <c r="G164" s="43" t="s">
        <v>19</v>
      </c>
      <c r="H164" s="72">
        <v>28.75</v>
      </c>
      <c r="I164" s="72">
        <v>6.94</v>
      </c>
      <c r="J164" s="72">
        <v>7.81</v>
      </c>
      <c r="K164" s="73">
        <v>148</v>
      </c>
      <c r="L164" s="59"/>
      <c r="M164" s="60"/>
      <c r="N164" s="60"/>
      <c r="O164" s="61">
        <v>0.77700000000000002</v>
      </c>
      <c r="P164" s="61"/>
      <c r="Q164" s="61"/>
      <c r="R164" s="61"/>
      <c r="S164" s="61"/>
      <c r="T164" s="61">
        <v>14.064</v>
      </c>
      <c r="U164" s="61">
        <v>8.1300000000000008</v>
      </c>
      <c r="V164" s="61">
        <v>2.91</v>
      </c>
      <c r="W164" s="86">
        <v>13.911002779847699</v>
      </c>
      <c r="X164" s="86">
        <v>10.855459951514934</v>
      </c>
      <c r="Y164" s="48"/>
      <c r="Z164" s="117">
        <f t="shared" si="22"/>
        <v>2.03125</v>
      </c>
      <c r="AA164" s="117">
        <f t="shared" si="23"/>
        <v>0.42786069651741299</v>
      </c>
      <c r="AB164" s="117">
        <f t="shared" si="24"/>
        <v>0.36157024793388437</v>
      </c>
      <c r="AC164" s="117">
        <f t="shared" si="25"/>
        <v>0.37313432835820892</v>
      </c>
      <c r="AD164" s="117">
        <f t="shared" si="26"/>
        <v>1.3721185510428102</v>
      </c>
      <c r="AF164" s="117">
        <f t="shared" si="27"/>
        <v>1.5644979315532153</v>
      </c>
      <c r="AG164" s="117">
        <f t="shared" si="28"/>
        <v>0.71231363887355059</v>
      </c>
      <c r="AH164" s="117">
        <f t="shared" si="29"/>
        <v>0.41055718475073316</v>
      </c>
      <c r="AI164" s="117">
        <f t="shared" si="30"/>
        <v>0.34482758620689652</v>
      </c>
      <c r="AJ164" s="117">
        <f t="shared" si="31"/>
        <v>1.0608203677510608</v>
      </c>
      <c r="AL164" s="117">
        <f t="shared" si="32"/>
        <v>0.77021436630312134</v>
      </c>
      <c r="AM164" s="117">
        <f t="shared" si="33"/>
        <v>1.6648260629486471</v>
      </c>
      <c r="AN164" s="117">
        <f t="shared" si="34"/>
        <v>1.1354838709677419</v>
      </c>
      <c r="AO164" s="117">
        <f t="shared" si="35"/>
        <v>0.92413793103448272</v>
      </c>
      <c r="AP164" s="117">
        <f t="shared" si="36"/>
        <v>0.77312588401697302</v>
      </c>
    </row>
    <row r="165" spans="1:42" ht="20.100000000000001" customHeight="1" x14ac:dyDescent="0.3">
      <c r="A165" s="41">
        <v>6</v>
      </c>
      <c r="B165" s="42" t="s">
        <v>23</v>
      </c>
      <c r="C165" s="42" t="s">
        <v>23</v>
      </c>
      <c r="D165" s="43" t="s">
        <v>25</v>
      </c>
      <c r="E165" s="44">
        <v>45554</v>
      </c>
      <c r="F165" s="45"/>
      <c r="G165" s="43" t="s">
        <v>19</v>
      </c>
      <c r="H165" s="72">
        <v>28.65</v>
      </c>
      <c r="I165" s="72">
        <v>6.75</v>
      </c>
      <c r="J165" s="72">
        <v>8.06</v>
      </c>
      <c r="K165" s="73">
        <v>177</v>
      </c>
      <c r="L165" s="59"/>
      <c r="M165" s="60"/>
      <c r="N165" s="60"/>
      <c r="O165" s="60">
        <v>1.403</v>
      </c>
      <c r="P165" s="60"/>
      <c r="Q165" s="60"/>
      <c r="R165" s="60"/>
      <c r="S165" s="60"/>
      <c r="T165" s="60">
        <v>23.036000000000001</v>
      </c>
      <c r="U165" s="60">
        <v>9.49</v>
      </c>
      <c r="V165" s="60">
        <v>2.95</v>
      </c>
      <c r="W165" s="85">
        <v>22.975329252380899</v>
      </c>
      <c r="X165" s="85">
        <v>9.6362096420400398</v>
      </c>
      <c r="Y165" s="48"/>
      <c r="Z165" s="117">
        <f t="shared" si="22"/>
        <v>1.6164584864070537</v>
      </c>
      <c r="AA165" s="117">
        <f t="shared" si="23"/>
        <v>0.46168643796088482</v>
      </c>
      <c r="AB165" s="117">
        <f t="shared" si="24"/>
        <v>0.45784883720930231</v>
      </c>
      <c r="AC165" s="117">
        <f t="shared" si="25"/>
        <v>0.37815126050420161</v>
      </c>
      <c r="AD165" s="117">
        <f t="shared" si="26"/>
        <v>1.3516699410609037</v>
      </c>
      <c r="AF165" s="117">
        <f t="shared" si="27"/>
        <v>1.4157014157014156</v>
      </c>
      <c r="AG165" s="117">
        <f t="shared" si="28"/>
        <v>0.69264069264069261</v>
      </c>
      <c r="AH165" s="117">
        <f t="shared" si="29"/>
        <v>0.42915531335149859</v>
      </c>
      <c r="AI165" s="117">
        <f t="shared" si="30"/>
        <v>0.3020134228187919</v>
      </c>
      <c r="AJ165" s="117">
        <f t="shared" si="31"/>
        <v>1.1289793239251722</v>
      </c>
      <c r="AL165" s="117">
        <f t="shared" si="32"/>
        <v>0.87580437580437576</v>
      </c>
      <c r="AM165" s="117">
        <f t="shared" si="33"/>
        <v>1.5002405002405004</v>
      </c>
      <c r="AN165" s="117">
        <f t="shared" si="34"/>
        <v>0.93732970027247942</v>
      </c>
      <c r="AO165" s="117">
        <f t="shared" si="35"/>
        <v>0.79865771812080544</v>
      </c>
      <c r="AP165" s="117">
        <f t="shared" si="36"/>
        <v>0.83524778470626837</v>
      </c>
    </row>
    <row r="166" spans="1:42" ht="20.100000000000001" customHeight="1" x14ac:dyDescent="0.3">
      <c r="A166" s="41">
        <v>7</v>
      </c>
      <c r="B166" s="42" t="s">
        <v>23</v>
      </c>
      <c r="C166" s="42" t="s">
        <v>23</v>
      </c>
      <c r="D166" s="43" t="s">
        <v>26</v>
      </c>
      <c r="E166" s="44">
        <v>45554</v>
      </c>
      <c r="F166" s="45"/>
      <c r="G166" s="43" t="s">
        <v>19</v>
      </c>
      <c r="H166" s="72">
        <v>28.68</v>
      </c>
      <c r="I166" s="72">
        <v>6.78</v>
      </c>
      <c r="J166" s="72">
        <v>7.37</v>
      </c>
      <c r="K166" s="73">
        <v>188</v>
      </c>
      <c r="L166" s="59"/>
      <c r="M166" s="60"/>
      <c r="N166" s="60"/>
      <c r="O166" s="60">
        <v>1.7809999999999999</v>
      </c>
      <c r="P166" s="60"/>
      <c r="Q166" s="60"/>
      <c r="R166" s="60"/>
      <c r="S166" s="60"/>
      <c r="T166" s="60">
        <v>23.76</v>
      </c>
      <c r="U166" s="60">
        <v>7.61</v>
      </c>
      <c r="V166" s="60">
        <v>-0.36</v>
      </c>
      <c r="W166" s="85">
        <v>24.174021086351001</v>
      </c>
      <c r="X166" s="85">
        <v>9.6380549193237357</v>
      </c>
      <c r="Y166" s="48"/>
      <c r="Z166" s="117">
        <f t="shared" si="22"/>
        <v>1.269993602047345</v>
      </c>
      <c r="AA166" s="117">
        <f t="shared" si="23"/>
        <v>0.41651705565529629</v>
      </c>
      <c r="AB166" s="117">
        <f t="shared" si="24"/>
        <v>0.82460732984293195</v>
      </c>
      <c r="AC166" s="117">
        <f t="shared" si="25"/>
        <v>0.30075187969924816</v>
      </c>
      <c r="AD166" s="117">
        <f t="shared" si="26"/>
        <v>1.3599215429879046</v>
      </c>
      <c r="AF166" s="117">
        <f t="shared" si="27"/>
        <v>1.6210698244181299</v>
      </c>
      <c r="AG166" s="117">
        <f t="shared" si="28"/>
        <v>0.83213773314203743</v>
      </c>
      <c r="AH166" s="117">
        <f t="shared" si="29"/>
        <v>0.40050858232676412</v>
      </c>
      <c r="AI166" s="117">
        <f t="shared" si="30"/>
        <v>0.55555555555555558</v>
      </c>
      <c r="AJ166" s="117">
        <f t="shared" si="31"/>
        <v>0.93693693693693703</v>
      </c>
      <c r="AL166" s="117">
        <f t="shared" si="32"/>
        <v>1.2764393630053081</v>
      </c>
      <c r="AM166" s="117">
        <f t="shared" si="33"/>
        <v>1.9978479196556673</v>
      </c>
      <c r="AN166" s="117">
        <f t="shared" si="34"/>
        <v>0.48569612205975837</v>
      </c>
      <c r="AO166" s="117">
        <f t="shared" si="35"/>
        <v>1.8472222222222221</v>
      </c>
      <c r="AP166" s="117">
        <f t="shared" si="36"/>
        <v>0.68896396396396398</v>
      </c>
    </row>
    <row r="167" spans="1:42" ht="20.100000000000001" customHeight="1" x14ac:dyDescent="0.3">
      <c r="A167" s="41">
        <v>8</v>
      </c>
      <c r="B167" s="42" t="s">
        <v>23</v>
      </c>
      <c r="C167" s="42" t="s">
        <v>27</v>
      </c>
      <c r="D167" s="43" t="s">
        <v>68</v>
      </c>
      <c r="E167" s="44">
        <v>45554</v>
      </c>
      <c r="F167" s="45"/>
      <c r="G167" s="43" t="s">
        <v>19</v>
      </c>
      <c r="H167" s="72">
        <v>24.29</v>
      </c>
      <c r="I167" s="72">
        <v>6.51</v>
      </c>
      <c r="J167" s="72">
        <v>6.25</v>
      </c>
      <c r="K167" s="73">
        <v>345</v>
      </c>
      <c r="L167" s="59"/>
      <c r="M167" s="60"/>
      <c r="N167" s="60"/>
      <c r="O167" s="60">
        <v>0.33900000000000002</v>
      </c>
      <c r="P167" s="60"/>
      <c r="Q167" s="60"/>
      <c r="R167" s="60"/>
      <c r="S167" s="60"/>
      <c r="T167" s="60">
        <v>36.484000000000002</v>
      </c>
      <c r="U167" s="60">
        <v>-0.56999999999999995</v>
      </c>
      <c r="V167" s="60">
        <v>-1.45</v>
      </c>
      <c r="W167" s="85">
        <v>43.650194090885002</v>
      </c>
      <c r="X167" s="85">
        <v>10.378581309505863</v>
      </c>
      <c r="Y167" s="48"/>
      <c r="Z167" s="117">
        <f t="shared" si="22"/>
        <v>2.9040735873850196</v>
      </c>
      <c r="AA167" s="117">
        <f t="shared" si="23"/>
        <v>0.56379821958456977</v>
      </c>
      <c r="AB167" s="117">
        <f t="shared" si="24"/>
        <v>0.3971119133574007</v>
      </c>
      <c r="AC167" s="117">
        <f t="shared" si="25"/>
        <v>7.5839653304442062E-2</v>
      </c>
      <c r="AD167" s="117">
        <f t="shared" si="26"/>
        <v>1.1148648648648649</v>
      </c>
      <c r="AF167" s="117">
        <f t="shared" si="27"/>
        <v>4.1935483870967749</v>
      </c>
      <c r="AG167" s="117">
        <f t="shared" si="28"/>
        <v>1.9587628865979381</v>
      </c>
      <c r="AH167" s="117">
        <f t="shared" si="29"/>
        <v>0.17290160326941215</v>
      </c>
      <c r="AI167" s="117">
        <f t="shared" si="30"/>
        <v>0.66666666666666674</v>
      </c>
      <c r="AJ167" s="117">
        <f t="shared" si="31"/>
        <v>1.1194029850746268</v>
      </c>
      <c r="AL167" s="117">
        <f t="shared" si="32"/>
        <v>1.4440227703984823</v>
      </c>
      <c r="AM167" s="117">
        <f t="shared" si="33"/>
        <v>3.474226804123711</v>
      </c>
      <c r="AN167" s="117">
        <f t="shared" si="34"/>
        <v>0.43539767368751969</v>
      </c>
      <c r="AO167" s="117">
        <f t="shared" si="35"/>
        <v>8.7904761904761894</v>
      </c>
      <c r="AP167" s="117">
        <f t="shared" si="36"/>
        <v>1.0040705563093621</v>
      </c>
    </row>
    <row r="168" spans="1:42" ht="20.100000000000001" customHeight="1" x14ac:dyDescent="0.3">
      <c r="A168" s="41">
        <v>9</v>
      </c>
      <c r="B168" s="42" t="s">
        <v>23</v>
      </c>
      <c r="C168" s="42" t="s">
        <v>27</v>
      </c>
      <c r="D168" s="43" t="s">
        <v>30</v>
      </c>
      <c r="E168" s="44">
        <v>45554</v>
      </c>
      <c r="F168" s="45"/>
      <c r="G168" s="43" t="s">
        <v>19</v>
      </c>
      <c r="H168" s="72">
        <v>28.04</v>
      </c>
      <c r="I168" s="72">
        <v>6.77</v>
      </c>
      <c r="J168" s="72">
        <v>6.7</v>
      </c>
      <c r="K168" s="73">
        <v>235</v>
      </c>
      <c r="L168" s="59"/>
      <c r="M168" s="60"/>
      <c r="N168" s="60"/>
      <c r="O168" s="60">
        <v>2.4089999999999998</v>
      </c>
      <c r="P168" s="60"/>
      <c r="Q168" s="60"/>
      <c r="R168" s="60"/>
      <c r="S168" s="60"/>
      <c r="T168" s="60">
        <v>28.713999999999999</v>
      </c>
      <c r="U168" s="62">
        <v>3.82</v>
      </c>
      <c r="V168" s="62">
        <v>-1.38</v>
      </c>
      <c r="W168" s="87">
        <v>33.637222309601903</v>
      </c>
      <c r="X168" s="87">
        <v>9.7771056395464235</v>
      </c>
      <c r="Y168" s="48"/>
      <c r="Z168" s="117">
        <f t="shared" si="22"/>
        <v>2.7966101694915251</v>
      </c>
      <c r="AA168" s="117">
        <f t="shared" si="23"/>
        <v>0.48368953880764898</v>
      </c>
      <c r="AB168" s="117">
        <f t="shared" si="24"/>
        <v>0.44991001799640079</v>
      </c>
      <c r="AC168" s="117">
        <f t="shared" si="25"/>
        <v>0.26578073089700999</v>
      </c>
      <c r="AD168" s="117">
        <f t="shared" si="26"/>
        <v>1.0285053929121726</v>
      </c>
      <c r="AF168" s="117">
        <f t="shared" si="27"/>
        <v>2.3275862068965516</v>
      </c>
      <c r="AG168" s="117">
        <f t="shared" si="28"/>
        <v>1.2233285917496444</v>
      </c>
      <c r="AH168" s="117">
        <f t="shared" si="29"/>
        <v>0.34754402224281744</v>
      </c>
      <c r="AI168" s="117">
        <f t="shared" si="30"/>
        <v>0.79207920792079212</v>
      </c>
      <c r="AJ168" s="117">
        <f t="shared" si="31"/>
        <v>0.92676154113155162</v>
      </c>
      <c r="AL168" s="117">
        <f t="shared" si="32"/>
        <v>0.83228840125391856</v>
      </c>
      <c r="AM168" s="117">
        <f t="shared" si="33"/>
        <v>2.5291607396870557</v>
      </c>
      <c r="AN168" s="117">
        <f t="shared" si="34"/>
        <v>0.77247451343836881</v>
      </c>
      <c r="AO168" s="117">
        <f t="shared" si="35"/>
        <v>2.9801980198019802</v>
      </c>
      <c r="AP168" s="117">
        <f t="shared" si="36"/>
        <v>0.90107601527247483</v>
      </c>
    </row>
    <row r="169" spans="1:42" ht="20.100000000000001" customHeight="1" x14ac:dyDescent="0.3">
      <c r="A169" s="25">
        <v>10</v>
      </c>
      <c r="B169" s="17" t="s">
        <v>31</v>
      </c>
      <c r="C169" s="17" t="s">
        <v>31</v>
      </c>
      <c r="D169" s="18" t="s">
        <v>32</v>
      </c>
      <c r="E169" s="26">
        <v>45554</v>
      </c>
      <c r="F169" s="20"/>
      <c r="G169" s="18" t="s">
        <v>19</v>
      </c>
      <c r="H169" s="28">
        <v>30.78</v>
      </c>
      <c r="I169" s="28">
        <v>6.84</v>
      </c>
      <c r="J169" s="28">
        <v>8.3000000000000007</v>
      </c>
      <c r="K169" s="74">
        <v>240.6</v>
      </c>
      <c r="L169" s="57"/>
      <c r="M169" s="54"/>
      <c r="N169" s="54"/>
      <c r="O169" s="58">
        <v>1.2070000000000001</v>
      </c>
      <c r="P169" s="58"/>
      <c r="Q169" s="58"/>
      <c r="R169" s="58"/>
      <c r="S169" s="58"/>
      <c r="T169" s="58">
        <v>13.584</v>
      </c>
      <c r="U169" s="58">
        <v>9.73</v>
      </c>
      <c r="V169" s="58">
        <v>5</v>
      </c>
      <c r="W169" s="86">
        <v>22.345902492668699</v>
      </c>
      <c r="X169" s="86">
        <v>10.675003707627972</v>
      </c>
      <c r="Y169" s="21"/>
      <c r="Z169" s="117">
        <f t="shared" si="22"/>
        <v>1.3800691606413078</v>
      </c>
      <c r="AA169" s="117">
        <f t="shared" si="23"/>
        <v>0.59479553903345717</v>
      </c>
      <c r="AB169" s="117">
        <f t="shared" si="24"/>
        <v>0.55016181229773475</v>
      </c>
      <c r="AC169" s="117">
        <f t="shared" si="25"/>
        <v>0.38869257950530028</v>
      </c>
      <c r="AD169" s="117">
        <f t="shared" si="26"/>
        <v>1.2332439678284184</v>
      </c>
      <c r="AF169" s="117">
        <f t="shared" si="27"/>
        <v>1.4170432537120723</v>
      </c>
      <c r="AG169" s="117">
        <f t="shared" si="28"/>
        <v>0.67969413763806286</v>
      </c>
      <c r="AH169" s="117">
        <f t="shared" si="29"/>
        <v>0.44242029928432014</v>
      </c>
      <c r="AI169" s="117">
        <f t="shared" si="30"/>
        <v>0.24663677130044839</v>
      </c>
      <c r="AJ169" s="117">
        <f t="shared" si="31"/>
        <v>1.2553606237816763</v>
      </c>
      <c r="AL169" s="117">
        <f t="shared" si="32"/>
        <v>1.026791478373144</v>
      </c>
      <c r="AM169" s="117">
        <f t="shared" si="33"/>
        <v>1.1427357689039934</v>
      </c>
      <c r="AN169" s="117">
        <f t="shared" si="34"/>
        <v>0.80416395575796995</v>
      </c>
      <c r="AO169" s="117">
        <f t="shared" si="35"/>
        <v>0.63452914798206284</v>
      </c>
      <c r="AP169" s="117">
        <f t="shared" si="36"/>
        <v>1.017933723196881</v>
      </c>
    </row>
    <row r="170" spans="1:42" ht="20.100000000000001" customHeight="1" x14ac:dyDescent="0.3">
      <c r="A170" s="25">
        <v>11</v>
      </c>
      <c r="B170" s="17" t="s">
        <v>31</v>
      </c>
      <c r="C170" s="17" t="s">
        <v>31</v>
      </c>
      <c r="D170" s="18" t="s">
        <v>69</v>
      </c>
      <c r="E170" s="26">
        <v>45554</v>
      </c>
      <c r="F170" s="20"/>
      <c r="G170" s="18" t="s">
        <v>19</v>
      </c>
      <c r="H170" s="28">
        <v>30.3</v>
      </c>
      <c r="I170" s="28">
        <v>6.96</v>
      </c>
      <c r="J170" s="28">
        <v>6.97</v>
      </c>
      <c r="K170" s="74">
        <v>241.5</v>
      </c>
      <c r="L170" s="57"/>
      <c r="M170" s="54"/>
      <c r="N170" s="54"/>
      <c r="O170" s="54">
        <v>0.82899999999999996</v>
      </c>
      <c r="P170" s="54"/>
      <c r="Q170" s="54"/>
      <c r="R170" s="54"/>
      <c r="S170" s="54"/>
      <c r="T170" s="54">
        <v>13.785</v>
      </c>
      <c r="U170" s="54">
        <v>10.98</v>
      </c>
      <c r="V170" s="54">
        <v>4.84</v>
      </c>
      <c r="W170" s="85">
        <v>22.933259168901401</v>
      </c>
      <c r="X170" s="85">
        <v>11.747042629575766</v>
      </c>
      <c r="Y170" s="21"/>
      <c r="Z170" s="117">
        <f t="shared" si="22"/>
        <v>1.5508196721311474</v>
      </c>
      <c r="AA170" s="117">
        <f t="shared" si="23"/>
        <v>0.54767403497195655</v>
      </c>
      <c r="AB170" s="117">
        <f t="shared" si="24"/>
        <v>0.49828178694158082</v>
      </c>
      <c r="AC170" s="117">
        <f t="shared" si="25"/>
        <v>0.23094688221709006</v>
      </c>
      <c r="AD170" s="117">
        <f t="shared" si="26"/>
        <v>1.2618432385874245</v>
      </c>
      <c r="AF170" s="117">
        <f t="shared" si="27"/>
        <v>1.3810218978102189</v>
      </c>
      <c r="AG170" s="117">
        <f t="shared" si="28"/>
        <v>0.64241486068111453</v>
      </c>
      <c r="AH170" s="117">
        <f t="shared" si="29"/>
        <v>0.42521994134897367</v>
      </c>
      <c r="AI170" s="117">
        <f t="shared" si="30"/>
        <v>0.23474178403755869</v>
      </c>
      <c r="AJ170" s="117">
        <f t="shared" si="31"/>
        <v>1.3312130849613812</v>
      </c>
      <c r="AL170" s="117">
        <f t="shared" si="32"/>
        <v>0.89051094890510951</v>
      </c>
      <c r="AM170" s="117">
        <f t="shared" si="33"/>
        <v>1.1729876160990711</v>
      </c>
      <c r="AN170" s="117">
        <f t="shared" si="34"/>
        <v>0.85337243401759544</v>
      </c>
      <c r="AO170" s="117">
        <f t="shared" si="35"/>
        <v>1.0164319248826292</v>
      </c>
      <c r="AP170" s="117">
        <f t="shared" si="36"/>
        <v>1.0549750113584735</v>
      </c>
    </row>
    <row r="171" spans="1:42" ht="20.100000000000001" customHeight="1" x14ac:dyDescent="0.3">
      <c r="A171" s="25">
        <v>12</v>
      </c>
      <c r="B171" s="17" t="s">
        <v>31</v>
      </c>
      <c r="C171" s="17" t="s">
        <v>31</v>
      </c>
      <c r="D171" s="18" t="s">
        <v>34</v>
      </c>
      <c r="E171" s="26">
        <v>45554</v>
      </c>
      <c r="F171" s="20"/>
      <c r="G171" s="18" t="s">
        <v>19</v>
      </c>
      <c r="H171" s="28">
        <v>32.1</v>
      </c>
      <c r="I171" s="28">
        <v>7.73</v>
      </c>
      <c r="J171" s="28">
        <v>10.67</v>
      </c>
      <c r="K171" s="74">
        <v>250</v>
      </c>
      <c r="L171" s="57"/>
      <c r="M171" s="54"/>
      <c r="N171" s="54"/>
      <c r="O171" s="54">
        <v>1.43</v>
      </c>
      <c r="P171" s="54"/>
      <c r="Q171" s="54"/>
      <c r="R171" s="54"/>
      <c r="S171" s="54"/>
      <c r="T171" s="54">
        <v>15.304</v>
      </c>
      <c r="U171" s="54">
        <v>11.17</v>
      </c>
      <c r="V171" s="54">
        <v>3.23</v>
      </c>
      <c r="W171" s="85">
        <v>23.326753447322499</v>
      </c>
      <c r="X171" s="85">
        <v>12.827652694409942</v>
      </c>
      <c r="Y171" s="21"/>
      <c r="Z171" s="117">
        <f t="shared" si="22"/>
        <v>1.4030985092078339</v>
      </c>
      <c r="AA171" s="117">
        <f t="shared" si="23"/>
        <v>0.64412238325281801</v>
      </c>
      <c r="AB171" s="117">
        <f t="shared" si="24"/>
        <v>0.44871794871794879</v>
      </c>
      <c r="AC171" s="117">
        <f t="shared" si="25"/>
        <v>0.36885245901639341</v>
      </c>
      <c r="AD171" s="117">
        <f t="shared" si="26"/>
        <v>1.1333077218593932</v>
      </c>
      <c r="AF171" s="117">
        <f t="shared" si="27"/>
        <v>1.3513513513513513</v>
      </c>
      <c r="AG171" s="117">
        <f t="shared" si="28"/>
        <v>0.6498781478472786</v>
      </c>
      <c r="AH171" s="117">
        <f t="shared" si="29"/>
        <v>0.44303797468354433</v>
      </c>
      <c r="AI171" s="117">
        <f t="shared" si="30"/>
        <v>0.2857142857142857</v>
      </c>
      <c r="AJ171" s="117">
        <f t="shared" si="31"/>
        <v>1.2255920232654758</v>
      </c>
      <c r="AL171" s="117">
        <f t="shared" si="32"/>
        <v>0.96311936936936926</v>
      </c>
      <c r="AM171" s="117">
        <f t="shared" si="33"/>
        <v>1.0089358245329001</v>
      </c>
      <c r="AN171" s="117">
        <f t="shared" si="34"/>
        <v>0.98734177215189856</v>
      </c>
      <c r="AO171" s="117">
        <f t="shared" si="35"/>
        <v>0.77460317460317463</v>
      </c>
      <c r="AP171" s="117">
        <f t="shared" si="36"/>
        <v>1.0814291649356045</v>
      </c>
    </row>
    <row r="172" spans="1:42" ht="20.100000000000001" customHeight="1" x14ac:dyDescent="0.3">
      <c r="A172" s="25">
        <v>13</v>
      </c>
      <c r="B172" s="17" t="s">
        <v>31</v>
      </c>
      <c r="C172" s="17" t="s">
        <v>35</v>
      </c>
      <c r="D172" s="18" t="s">
        <v>36</v>
      </c>
      <c r="E172" s="26">
        <v>45554</v>
      </c>
      <c r="F172" s="20"/>
      <c r="G172" s="18" t="s">
        <v>37</v>
      </c>
      <c r="H172" s="28">
        <v>30.1</v>
      </c>
      <c r="I172" s="28">
        <v>7.69</v>
      </c>
      <c r="J172" s="28">
        <v>6.12</v>
      </c>
      <c r="K172" s="74">
        <v>278</v>
      </c>
      <c r="L172" s="57"/>
      <c r="M172" s="54"/>
      <c r="N172" s="54"/>
      <c r="O172" s="54">
        <v>0.92100000000000004</v>
      </c>
      <c r="P172" s="54"/>
      <c r="Q172" s="54"/>
      <c r="R172" s="54"/>
      <c r="S172" s="54"/>
      <c r="T172" s="54">
        <v>13.321999999999999</v>
      </c>
      <c r="U172" s="54">
        <v>9.98</v>
      </c>
      <c r="V172" s="54">
        <v>3.95</v>
      </c>
      <c r="W172" s="85">
        <v>21.242223856986101</v>
      </c>
      <c r="X172" s="85">
        <v>11.374547535418611</v>
      </c>
      <c r="Y172" s="21"/>
      <c r="Z172" s="117">
        <f t="shared" si="22"/>
        <v>1.8075684380032206</v>
      </c>
      <c r="AA172" s="117">
        <f t="shared" si="23"/>
        <v>0.53740779768177027</v>
      </c>
      <c r="AB172" s="117">
        <f t="shared" si="24"/>
        <v>0.49392712550607287</v>
      </c>
      <c r="AC172" s="117">
        <f t="shared" si="25"/>
        <v>0.30959752321981421</v>
      </c>
      <c r="AD172" s="117">
        <f t="shared" si="26"/>
        <v>1.051108968177435</v>
      </c>
      <c r="AF172" s="117">
        <f t="shared" si="27"/>
        <v>1.4004990642545225</v>
      </c>
      <c r="AG172" s="117">
        <f t="shared" si="28"/>
        <v>0.66695727986050557</v>
      </c>
      <c r="AH172" s="117">
        <f t="shared" si="29"/>
        <v>0.42011019283746553</v>
      </c>
      <c r="AI172" s="117">
        <f t="shared" si="30"/>
        <v>0.27397260273972601</v>
      </c>
      <c r="AJ172" s="117">
        <f t="shared" si="31"/>
        <v>1.2187849422288486</v>
      </c>
      <c r="AL172" s="117">
        <f t="shared" si="32"/>
        <v>0.77479725514660003</v>
      </c>
      <c r="AM172" s="117">
        <f t="shared" si="33"/>
        <v>1.2410636442894507</v>
      </c>
      <c r="AN172" s="117">
        <f t="shared" si="34"/>
        <v>0.85055096418732778</v>
      </c>
      <c r="AO172" s="117">
        <f t="shared" si="35"/>
        <v>0.88493150684931521</v>
      </c>
      <c r="AP172" s="117">
        <f t="shared" si="36"/>
        <v>1.1595229221021246</v>
      </c>
    </row>
    <row r="173" spans="1:42" ht="20.100000000000001" customHeight="1" x14ac:dyDescent="0.3">
      <c r="A173" s="25">
        <v>14</v>
      </c>
      <c r="B173" s="17" t="s">
        <v>31</v>
      </c>
      <c r="C173" s="17" t="s">
        <v>5</v>
      </c>
      <c r="D173" s="18" t="s">
        <v>29</v>
      </c>
      <c r="E173" s="26">
        <v>45554</v>
      </c>
      <c r="F173" s="20"/>
      <c r="G173" s="18" t="s">
        <v>37</v>
      </c>
      <c r="H173" s="28">
        <v>32.4</v>
      </c>
      <c r="I173" s="28">
        <v>7.93</v>
      </c>
      <c r="J173" s="28">
        <v>9.24</v>
      </c>
      <c r="K173" s="74">
        <v>324</v>
      </c>
      <c r="L173" s="57"/>
      <c r="M173" s="54"/>
      <c r="N173" s="54"/>
      <c r="O173" s="54">
        <v>0.71399999999999997</v>
      </c>
      <c r="P173" s="54"/>
      <c r="Q173" s="54"/>
      <c r="R173" s="54"/>
      <c r="S173" s="54"/>
      <c r="T173" s="54">
        <v>30.302</v>
      </c>
      <c r="U173" s="54">
        <v>10.94</v>
      </c>
      <c r="V173" s="54">
        <v>4.0599999999999996</v>
      </c>
      <c r="W173" s="85">
        <v>24.192532410911401</v>
      </c>
      <c r="X173" s="85">
        <v>10.734604160738293</v>
      </c>
      <c r="Y173" s="21"/>
      <c r="Z173" s="117">
        <f t="shared" si="22"/>
        <v>2.0222793487574977</v>
      </c>
      <c r="AA173" s="117">
        <f t="shared" si="23"/>
        <v>0.46962136777223362</v>
      </c>
      <c r="AB173" s="117">
        <f t="shared" si="24"/>
        <v>0.42537313432835822</v>
      </c>
      <c r="AC173" s="117">
        <f t="shared" si="25"/>
        <v>0.32679738562091504</v>
      </c>
      <c r="AD173" s="117">
        <f t="shared" si="26"/>
        <v>1.1519326444699578</v>
      </c>
      <c r="AF173" s="117">
        <f t="shared" si="27"/>
        <v>1.366136034732272</v>
      </c>
      <c r="AG173" s="117">
        <f t="shared" si="28"/>
        <v>0.63897763578274758</v>
      </c>
      <c r="AH173" s="117">
        <f t="shared" si="29"/>
        <v>0.42824943651389935</v>
      </c>
      <c r="AI173" s="117">
        <f t="shared" si="30"/>
        <v>0.26954177897574122</v>
      </c>
      <c r="AJ173" s="117">
        <f t="shared" si="31"/>
        <v>1.2868747327917913</v>
      </c>
      <c r="AL173" s="117">
        <f t="shared" si="32"/>
        <v>0.67554269175108539</v>
      </c>
      <c r="AM173" s="117">
        <f t="shared" si="33"/>
        <v>1.360623003194888</v>
      </c>
      <c r="AN173" s="117">
        <f t="shared" si="34"/>
        <v>1.0067618332081143</v>
      </c>
      <c r="AO173" s="117">
        <f t="shared" si="35"/>
        <v>0.82479784366576825</v>
      </c>
      <c r="AP173" s="117">
        <f t="shared" si="36"/>
        <v>1.1171440786660967</v>
      </c>
    </row>
    <row r="174" spans="1:42" ht="20.100000000000001" customHeight="1" x14ac:dyDescent="0.3">
      <c r="A174" s="25">
        <v>15</v>
      </c>
      <c r="B174" s="17" t="s">
        <v>31</v>
      </c>
      <c r="C174" s="17" t="s">
        <v>35</v>
      </c>
      <c r="D174" s="18" t="s">
        <v>29</v>
      </c>
      <c r="E174" s="26">
        <v>45554</v>
      </c>
      <c r="F174" s="20"/>
      <c r="G174" s="18" t="s">
        <v>37</v>
      </c>
      <c r="H174" s="28">
        <v>30.2</v>
      </c>
      <c r="I174" s="28">
        <v>7.45</v>
      </c>
      <c r="J174" s="28">
        <v>5.91</v>
      </c>
      <c r="K174" s="74">
        <v>267</v>
      </c>
      <c r="L174" s="57"/>
      <c r="M174" s="54"/>
      <c r="N174" s="54"/>
      <c r="O174" s="54">
        <v>0.82</v>
      </c>
      <c r="P174" s="54"/>
      <c r="Q174" s="54"/>
      <c r="R174" s="54"/>
      <c r="S174" s="54"/>
      <c r="T174" s="54">
        <v>13.989000000000001</v>
      </c>
      <c r="U174" s="54">
        <v>11.33</v>
      </c>
      <c r="V174" s="54">
        <v>4.95</v>
      </c>
      <c r="W174" s="87">
        <v>21.552344605112602</v>
      </c>
      <c r="X174" s="87">
        <v>11.346246662814474</v>
      </c>
      <c r="Y174" s="21"/>
      <c r="Z174" s="117">
        <f t="shared" si="22"/>
        <v>1.1868997783797093</v>
      </c>
      <c r="AA174" s="117">
        <f t="shared" si="23"/>
        <v>0.66369890732496983</v>
      </c>
      <c r="AB174" s="117">
        <f t="shared" si="24"/>
        <v>0.4437643458301454</v>
      </c>
      <c r="AC174" s="117">
        <f t="shared" si="25"/>
        <v>0.28328611898016998</v>
      </c>
      <c r="AD174" s="117">
        <f t="shared" si="26"/>
        <v>1.581858407079646</v>
      </c>
      <c r="AF174" s="117">
        <f t="shared" si="27"/>
        <v>1.3751783166904423</v>
      </c>
      <c r="AG174" s="117">
        <f t="shared" si="28"/>
        <v>0.61770244821092291</v>
      </c>
      <c r="AH174" s="117">
        <f t="shared" si="29"/>
        <v>0.43740573152337864</v>
      </c>
      <c r="AI174" s="117">
        <f t="shared" si="30"/>
        <v>0.23201856148491881</v>
      </c>
      <c r="AJ174" s="117">
        <f t="shared" si="31"/>
        <v>1.3730196831493036</v>
      </c>
      <c r="AL174" s="117">
        <f t="shared" si="32"/>
        <v>1.1586305278174038</v>
      </c>
      <c r="AM174" s="117">
        <f t="shared" si="33"/>
        <v>0.93069679849340858</v>
      </c>
      <c r="AN174" s="117">
        <f t="shared" si="34"/>
        <v>0.98567119155354455</v>
      </c>
      <c r="AO174" s="117">
        <f t="shared" si="35"/>
        <v>0.81902552204176338</v>
      </c>
      <c r="AP174" s="117">
        <f t="shared" si="36"/>
        <v>0.86797887662025908</v>
      </c>
    </row>
    <row r="175" spans="1:42" ht="20.100000000000001" customHeight="1" x14ac:dyDescent="0.3">
      <c r="A175" s="41">
        <v>16</v>
      </c>
      <c r="B175" s="42" t="s">
        <v>38</v>
      </c>
      <c r="C175" s="42" t="s">
        <v>38</v>
      </c>
      <c r="D175" s="43" t="s">
        <v>39</v>
      </c>
      <c r="E175" s="44">
        <v>45554</v>
      </c>
      <c r="F175" s="45"/>
      <c r="G175" s="43" t="s">
        <v>37</v>
      </c>
      <c r="H175" s="72">
        <v>29</v>
      </c>
      <c r="I175" s="72">
        <v>7.66</v>
      </c>
      <c r="J175" s="72">
        <v>6.83</v>
      </c>
      <c r="K175" s="73">
        <v>200.4</v>
      </c>
      <c r="L175" s="59"/>
      <c r="M175" s="60"/>
      <c r="N175" s="60"/>
      <c r="O175" s="61">
        <v>1.835</v>
      </c>
      <c r="P175" s="61"/>
      <c r="Q175" s="61"/>
      <c r="R175" s="61"/>
      <c r="S175" s="61"/>
      <c r="T175" s="61">
        <v>12.936</v>
      </c>
      <c r="U175" s="61">
        <v>8.52</v>
      </c>
      <c r="V175" s="61">
        <v>3.52</v>
      </c>
      <c r="W175" s="86">
        <v>13.9410216488528</v>
      </c>
      <c r="X175" s="86">
        <v>14.455444642589853</v>
      </c>
      <c r="Y175" s="48"/>
      <c r="Z175" s="117">
        <f t="shared" si="22"/>
        <v>1.6660055533518445</v>
      </c>
      <c r="AA175" s="117">
        <f t="shared" si="23"/>
        <v>0.52406832298136641</v>
      </c>
      <c r="AB175" s="117">
        <f t="shared" si="24"/>
        <v>0.49604601006470167</v>
      </c>
      <c r="AC175" s="117">
        <f t="shared" si="25"/>
        <v>0.31055900621118016</v>
      </c>
      <c r="AD175" s="117">
        <f t="shared" si="26"/>
        <v>1.1473354231974922</v>
      </c>
      <c r="AF175" s="117">
        <f t="shared" si="27"/>
        <v>1.5048369759942672</v>
      </c>
      <c r="AG175" s="117">
        <f t="shared" si="28"/>
        <v>0.69266290405336073</v>
      </c>
      <c r="AH175" s="117">
        <f t="shared" si="29"/>
        <v>0.41491280817799164</v>
      </c>
      <c r="AI175" s="117">
        <f t="shared" si="30"/>
        <v>0.30303030303030298</v>
      </c>
      <c r="AJ175" s="117">
        <f t="shared" si="31"/>
        <v>1.1202938475665749</v>
      </c>
      <c r="AL175" s="117">
        <f t="shared" si="32"/>
        <v>0.90326048011465432</v>
      </c>
      <c r="AM175" s="117">
        <f t="shared" si="33"/>
        <v>1.3217034376603389</v>
      </c>
      <c r="AN175" s="117">
        <f t="shared" si="34"/>
        <v>0.83644016837041502</v>
      </c>
      <c r="AO175" s="117">
        <f t="shared" si="35"/>
        <v>0.9757575757575756</v>
      </c>
      <c r="AP175" s="117">
        <f t="shared" si="36"/>
        <v>0.97643097643097643</v>
      </c>
    </row>
    <row r="176" spans="1:42" ht="20.100000000000001" customHeight="1" x14ac:dyDescent="0.3">
      <c r="A176" s="41">
        <v>17</v>
      </c>
      <c r="B176" s="42" t="s">
        <v>38</v>
      </c>
      <c r="C176" s="42" t="s">
        <v>38</v>
      </c>
      <c r="D176" s="43" t="s">
        <v>41</v>
      </c>
      <c r="E176" s="44">
        <v>45554</v>
      </c>
      <c r="F176" s="45"/>
      <c r="G176" s="43" t="s">
        <v>37</v>
      </c>
      <c r="H176" s="72">
        <v>31.2</v>
      </c>
      <c r="I176" s="72">
        <v>7.78</v>
      </c>
      <c r="J176" s="72">
        <v>8.76</v>
      </c>
      <c r="K176" s="73">
        <v>242.3</v>
      </c>
      <c r="L176" s="59"/>
      <c r="M176" s="60"/>
      <c r="N176" s="60"/>
      <c r="O176" s="60">
        <v>1.9239999999999999</v>
      </c>
      <c r="P176" s="60"/>
      <c r="Q176" s="60"/>
      <c r="R176" s="60"/>
      <c r="S176" s="60"/>
      <c r="T176" s="60">
        <v>21.669</v>
      </c>
      <c r="U176" s="60">
        <v>10.67</v>
      </c>
      <c r="V176" s="60">
        <v>2.06</v>
      </c>
      <c r="W176" s="85">
        <v>18.785204981710802</v>
      </c>
      <c r="X176" s="85">
        <v>10.859373350748992</v>
      </c>
      <c r="Y176" s="48"/>
      <c r="Z176" s="117">
        <f t="shared" si="22"/>
        <v>1.2059792247276411</v>
      </c>
      <c r="AA176" s="117">
        <f t="shared" si="23"/>
        <v>0.71565802113352539</v>
      </c>
      <c r="AB176" s="117">
        <f t="shared" si="24"/>
        <v>0.49426301853486326</v>
      </c>
      <c r="AC176" s="117">
        <f t="shared" si="25"/>
        <v>0.33210332103321033</v>
      </c>
      <c r="AD176" s="117">
        <f t="shared" si="26"/>
        <v>1.2076353720296067</v>
      </c>
      <c r="AF176" s="117">
        <f t="shared" si="27"/>
        <v>1.3813116656993614</v>
      </c>
      <c r="AG176" s="117">
        <f t="shared" si="28"/>
        <v>0.66876122082585265</v>
      </c>
      <c r="AH176" s="117">
        <f t="shared" si="29"/>
        <v>0.44233807266982628</v>
      </c>
      <c r="AI176" s="117">
        <f t="shared" si="30"/>
        <v>0.35856573705179279</v>
      </c>
      <c r="AJ176" s="117">
        <f t="shared" si="31"/>
        <v>1.1035955856176576</v>
      </c>
      <c r="AL176" s="117">
        <f t="shared" si="32"/>
        <v>1.1453859547301217</v>
      </c>
      <c r="AM176" s="117">
        <f t="shared" si="33"/>
        <v>0.93447037701974867</v>
      </c>
      <c r="AN176" s="117">
        <f t="shared" si="34"/>
        <v>0.89494470774091628</v>
      </c>
      <c r="AO176" s="117">
        <f t="shared" si="35"/>
        <v>1.0796812749003983</v>
      </c>
      <c r="AP176" s="117">
        <f t="shared" si="36"/>
        <v>0.91384834460662157</v>
      </c>
    </row>
    <row r="177" spans="1:42" ht="20.100000000000001" customHeight="1" x14ac:dyDescent="0.3">
      <c r="A177" s="41">
        <v>18</v>
      </c>
      <c r="B177" s="42" t="s">
        <v>38</v>
      </c>
      <c r="C177" s="42" t="s">
        <v>38</v>
      </c>
      <c r="D177" s="43" t="s">
        <v>42</v>
      </c>
      <c r="E177" s="44">
        <v>45554</v>
      </c>
      <c r="F177" s="45"/>
      <c r="G177" s="43" t="s">
        <v>37</v>
      </c>
      <c r="H177" s="72">
        <v>31.05</v>
      </c>
      <c r="I177" s="72">
        <v>7.68</v>
      </c>
      <c r="J177" s="72">
        <v>9.3000000000000007</v>
      </c>
      <c r="K177" s="73">
        <v>295.2</v>
      </c>
      <c r="L177" s="59"/>
      <c r="M177" s="60"/>
      <c r="N177" s="60"/>
      <c r="O177" s="60">
        <v>1.694</v>
      </c>
      <c r="P177" s="60"/>
      <c r="Q177" s="60"/>
      <c r="R177" s="60"/>
      <c r="S177" s="60"/>
      <c r="T177" s="60">
        <v>34.601999999999997</v>
      </c>
      <c r="U177" s="60">
        <v>12.47</v>
      </c>
      <c r="V177" s="60">
        <v>1.56</v>
      </c>
      <c r="W177" s="85">
        <v>23.0926526076871</v>
      </c>
      <c r="X177" s="85">
        <v>9.5820343771464991</v>
      </c>
      <c r="Y177" s="48"/>
      <c r="Z177" s="117">
        <f t="shared" si="22"/>
        <v>1.1485280999107939</v>
      </c>
      <c r="AA177" s="117">
        <f t="shared" si="23"/>
        <v>0.70742358078602607</v>
      </c>
      <c r="AB177" s="117">
        <f t="shared" si="24"/>
        <v>0.54651162790697683</v>
      </c>
      <c r="AC177" s="117">
        <f t="shared" si="25"/>
        <v>0.35087719298245612</v>
      </c>
      <c r="AD177" s="117">
        <f t="shared" si="26"/>
        <v>1.253507951356408</v>
      </c>
      <c r="AF177" s="117">
        <f t="shared" si="27"/>
        <v>1.2995205652283626</v>
      </c>
      <c r="AG177" s="117">
        <f t="shared" si="28"/>
        <v>0.64851881505204156</v>
      </c>
      <c r="AH177" s="117">
        <f t="shared" si="29"/>
        <v>0.44847328244274809</v>
      </c>
      <c r="AI177" s="117">
        <f t="shared" si="30"/>
        <v>0.36529680365296807</v>
      </c>
      <c r="AJ177" s="117">
        <f t="shared" si="31"/>
        <v>1.1795774647887323</v>
      </c>
      <c r="AL177" s="117">
        <f t="shared" si="32"/>
        <v>1.1314660610648501</v>
      </c>
      <c r="AM177" s="117">
        <f t="shared" si="33"/>
        <v>0.91673338670936755</v>
      </c>
      <c r="AN177" s="117">
        <f t="shared" si="34"/>
        <v>0.82061068702290074</v>
      </c>
      <c r="AO177" s="117">
        <f t="shared" si="35"/>
        <v>1.0410958904109591</v>
      </c>
      <c r="AP177" s="117">
        <f t="shared" si="36"/>
        <v>0.94102112676056326</v>
      </c>
    </row>
    <row r="178" spans="1:42" ht="20.100000000000001" customHeight="1" x14ac:dyDescent="0.3">
      <c r="A178" s="41">
        <v>19</v>
      </c>
      <c r="B178" s="42" t="s">
        <v>38</v>
      </c>
      <c r="C178" s="42" t="s">
        <v>43</v>
      </c>
      <c r="D178" s="43" t="s">
        <v>40</v>
      </c>
      <c r="E178" s="44">
        <v>45554</v>
      </c>
      <c r="F178" s="45"/>
      <c r="G178" s="43" t="s">
        <v>37</v>
      </c>
      <c r="H178" s="72">
        <v>31.11</v>
      </c>
      <c r="I178" s="72">
        <v>7.69</v>
      </c>
      <c r="J178" s="72">
        <v>8.51</v>
      </c>
      <c r="K178" s="73">
        <v>393.3</v>
      </c>
      <c r="L178" s="59"/>
      <c r="M178" s="60"/>
      <c r="N178" s="60"/>
      <c r="O178" s="60">
        <v>4.9610000000000003</v>
      </c>
      <c r="P178" s="60"/>
      <c r="Q178" s="60"/>
      <c r="R178" s="60"/>
      <c r="S178" s="60"/>
      <c r="T178" s="60">
        <v>63.668999999999997</v>
      </c>
      <c r="U178" s="60">
        <v>13.59</v>
      </c>
      <c r="V178" s="60">
        <v>3.96</v>
      </c>
      <c r="W178" s="85">
        <v>20.478990392428699</v>
      </c>
      <c r="X178" s="85">
        <v>11.784308695411415</v>
      </c>
      <c r="Y178" s="48"/>
      <c r="Z178" s="117">
        <f t="shared" si="22"/>
        <v>1.7883959044368605</v>
      </c>
      <c r="AA178" s="117">
        <f t="shared" si="23"/>
        <v>0.51346100471829026</v>
      </c>
      <c r="AB178" s="117">
        <f t="shared" si="24"/>
        <v>0.4776119402985074</v>
      </c>
      <c r="AC178" s="117">
        <f t="shared" si="25"/>
        <v>0.26470588235294112</v>
      </c>
      <c r="AD178" s="117">
        <f t="shared" si="26"/>
        <v>1.102733270499529</v>
      </c>
      <c r="AF178" s="117">
        <f t="shared" si="27"/>
        <v>1.3060817547357928</v>
      </c>
      <c r="AG178" s="117">
        <f t="shared" si="28"/>
        <v>0.61319191249585681</v>
      </c>
      <c r="AH178" s="117">
        <f t="shared" si="29"/>
        <v>0.46647230320699701</v>
      </c>
      <c r="AI178" s="117">
        <f t="shared" si="30"/>
        <v>0.26392961876832843</v>
      </c>
      <c r="AJ178" s="117">
        <f t="shared" si="31"/>
        <v>1.4615865084322301</v>
      </c>
      <c r="AL178" s="117">
        <f t="shared" si="32"/>
        <v>0.73030907278165502</v>
      </c>
      <c r="AM178" s="117">
        <f t="shared" si="33"/>
        <v>1.1942326814716606</v>
      </c>
      <c r="AN178" s="117">
        <f t="shared" si="34"/>
        <v>0.97667638483965014</v>
      </c>
      <c r="AO178" s="117">
        <f t="shared" si="35"/>
        <v>0.99706744868035213</v>
      </c>
      <c r="AP178" s="117">
        <f t="shared" si="36"/>
        <v>1.325421611492817</v>
      </c>
    </row>
    <row r="179" spans="1:42" ht="20.100000000000001" customHeight="1" x14ac:dyDescent="0.3">
      <c r="A179" s="41">
        <v>20</v>
      </c>
      <c r="B179" s="42" t="s">
        <v>38</v>
      </c>
      <c r="C179" s="42" t="s">
        <v>43</v>
      </c>
      <c r="D179" s="43" t="s">
        <v>44</v>
      </c>
      <c r="E179" s="44">
        <v>45554</v>
      </c>
      <c r="F179" s="45"/>
      <c r="G179" s="43" t="s">
        <v>37</v>
      </c>
      <c r="H179" s="72">
        <v>30</v>
      </c>
      <c r="I179" s="72">
        <v>7.58</v>
      </c>
      <c r="J179" s="72">
        <v>8.25</v>
      </c>
      <c r="K179" s="73">
        <v>398.5</v>
      </c>
      <c r="L179" s="59"/>
      <c r="M179" s="60"/>
      <c r="N179" s="60"/>
      <c r="O179" s="60">
        <v>4.0640000000000001</v>
      </c>
      <c r="P179" s="60"/>
      <c r="Q179" s="60"/>
      <c r="R179" s="60"/>
      <c r="S179" s="60"/>
      <c r="T179" s="60">
        <v>42.067</v>
      </c>
      <c r="U179" s="60">
        <v>10.210000000000001</v>
      </c>
      <c r="V179" s="60">
        <v>3.1</v>
      </c>
      <c r="W179" s="87">
        <v>16.1979172318017</v>
      </c>
      <c r="X179" s="87">
        <v>10.688000129315089</v>
      </c>
      <c r="Y179" s="48"/>
      <c r="Z179" s="117">
        <f t="shared" si="22"/>
        <v>1.3245412844036697</v>
      </c>
      <c r="AA179" s="117">
        <f t="shared" si="23"/>
        <v>0.68949771689497719</v>
      </c>
      <c r="AB179" s="117">
        <f t="shared" si="24"/>
        <v>0.53753475440222442</v>
      </c>
      <c r="AC179" s="117">
        <f t="shared" si="25"/>
        <v>0.37593984962406019</v>
      </c>
      <c r="AD179" s="117">
        <f t="shared" si="26"/>
        <v>1.071548538797447</v>
      </c>
      <c r="AF179" s="117">
        <f t="shared" si="27"/>
        <v>1.4025500910746811</v>
      </c>
      <c r="AG179" s="117">
        <f t="shared" si="28"/>
        <v>0.67081297201243884</v>
      </c>
      <c r="AH179" s="117">
        <f t="shared" si="29"/>
        <v>0.42089985486211901</v>
      </c>
      <c r="AI179" s="117">
        <f t="shared" si="30"/>
        <v>0.3236245954692557</v>
      </c>
      <c r="AJ179" s="117">
        <f t="shared" si="31"/>
        <v>1.152456647398844</v>
      </c>
      <c r="AL179" s="117">
        <f t="shared" si="32"/>
        <v>1.0588949605343048</v>
      </c>
      <c r="AM179" s="117">
        <f t="shared" si="33"/>
        <v>0.97290093291870272</v>
      </c>
      <c r="AN179" s="117">
        <f t="shared" si="34"/>
        <v>0.78301886792452813</v>
      </c>
      <c r="AO179" s="117">
        <f t="shared" si="35"/>
        <v>0.86084142394822005</v>
      </c>
      <c r="AP179" s="117">
        <f t="shared" si="36"/>
        <v>1.0755057803468209</v>
      </c>
    </row>
    <row r="180" spans="1:42" ht="20.100000000000001" customHeight="1" x14ac:dyDescent="0.3">
      <c r="A180" s="25">
        <v>21</v>
      </c>
      <c r="B180" s="17" t="s">
        <v>45</v>
      </c>
      <c r="C180" s="17" t="s">
        <v>45</v>
      </c>
      <c r="D180" s="18" t="s">
        <v>46</v>
      </c>
      <c r="E180" s="26">
        <v>45554</v>
      </c>
      <c r="F180" s="20"/>
      <c r="G180" s="18" t="s">
        <v>37</v>
      </c>
      <c r="H180" s="28">
        <v>27.04</v>
      </c>
      <c r="I180" s="28">
        <v>7.6</v>
      </c>
      <c r="J180" s="28">
        <v>8.77</v>
      </c>
      <c r="K180" s="74">
        <v>190</v>
      </c>
      <c r="L180" s="57"/>
      <c r="M180" s="54"/>
      <c r="N180" s="54"/>
      <c r="O180" s="58">
        <v>0.49</v>
      </c>
      <c r="P180" s="58"/>
      <c r="Q180" s="58"/>
      <c r="R180" s="58"/>
      <c r="S180" s="58"/>
      <c r="T180" s="58">
        <v>11.234</v>
      </c>
      <c r="U180" s="58">
        <v>10</v>
      </c>
      <c r="V180" s="58">
        <v>2.96</v>
      </c>
      <c r="W180" s="86">
        <v>19.212721507059499</v>
      </c>
      <c r="X180" s="86">
        <v>11.710734289954006</v>
      </c>
      <c r="Y180" s="21"/>
      <c r="Z180" s="117">
        <f t="shared" si="22"/>
        <v>1.6152768044849335</v>
      </c>
      <c r="AA180" s="117">
        <f t="shared" si="23"/>
        <v>0.57319907048799379</v>
      </c>
      <c r="AB180" s="117">
        <f t="shared" si="24"/>
        <v>0.49875311720698251</v>
      </c>
      <c r="AC180" s="117">
        <f t="shared" si="25"/>
        <v>0.34482758620689646</v>
      </c>
      <c r="AD180" s="117">
        <f t="shared" si="26"/>
        <v>1.0387096774193549</v>
      </c>
      <c r="AF180" s="117">
        <f t="shared" si="27"/>
        <v>1.4210850801479653</v>
      </c>
      <c r="AG180" s="117">
        <f t="shared" si="28"/>
        <v>0.67579908675799083</v>
      </c>
      <c r="AH180" s="117">
        <f t="shared" si="29"/>
        <v>0.42887776983559683</v>
      </c>
      <c r="AI180" s="117">
        <f t="shared" si="30"/>
        <v>0.3</v>
      </c>
      <c r="AJ180" s="117">
        <f t="shared" si="31"/>
        <v>1.1231252179979072</v>
      </c>
      <c r="AL180" s="117">
        <f t="shared" si="32"/>
        <v>0.87977805178791602</v>
      </c>
      <c r="AM180" s="117">
        <f t="shared" si="33"/>
        <v>1.1789954337899544</v>
      </c>
      <c r="AN180" s="117">
        <f t="shared" si="34"/>
        <v>0.85989992852037178</v>
      </c>
      <c r="AO180" s="117">
        <f t="shared" si="35"/>
        <v>0.87000000000000011</v>
      </c>
      <c r="AP180" s="117">
        <f t="shared" si="36"/>
        <v>1.0812696198116498</v>
      </c>
    </row>
    <row r="181" spans="1:42" ht="20.100000000000001" customHeight="1" x14ac:dyDescent="0.3">
      <c r="A181" s="25">
        <v>22</v>
      </c>
      <c r="B181" s="17" t="s">
        <v>45</v>
      </c>
      <c r="C181" s="17" t="s">
        <v>45</v>
      </c>
      <c r="D181" s="22" t="s">
        <v>47</v>
      </c>
      <c r="E181" s="26">
        <v>45554</v>
      </c>
      <c r="F181" s="23"/>
      <c r="G181" s="18" t="s">
        <v>37</v>
      </c>
      <c r="H181" s="28">
        <v>27.15</v>
      </c>
      <c r="I181" s="28">
        <v>7.07</v>
      </c>
      <c r="J181" s="28">
        <v>8.2100000000000009</v>
      </c>
      <c r="K181" s="74">
        <v>170</v>
      </c>
      <c r="L181" s="57"/>
      <c r="M181" s="55"/>
      <c r="N181" s="55"/>
      <c r="O181" s="55">
        <v>1.1399999999999999</v>
      </c>
      <c r="P181" s="55"/>
      <c r="Q181" s="55"/>
      <c r="R181" s="55"/>
      <c r="S181" s="55"/>
      <c r="T181" s="55">
        <v>17.195</v>
      </c>
      <c r="U181" s="55">
        <v>10.44</v>
      </c>
      <c r="V181" s="55">
        <v>1.64</v>
      </c>
      <c r="W181" s="87">
        <v>19.488333528425802</v>
      </c>
      <c r="X181" s="87">
        <v>11.729203250046893</v>
      </c>
      <c r="Y181" s="24"/>
      <c r="Z181" s="117">
        <f t="shared" si="22"/>
        <v>1.1840444332239333</v>
      </c>
      <c r="AA181" s="117">
        <f t="shared" si="23"/>
        <v>0.74165029469548138</v>
      </c>
      <c r="AB181" s="117">
        <f t="shared" si="24"/>
        <v>0.52833813640730065</v>
      </c>
      <c r="AC181" s="117">
        <f t="shared" si="25"/>
        <v>0.33707865168539325</v>
      </c>
      <c r="AD181" s="117">
        <f t="shared" si="26"/>
        <v>1.1725417439703154</v>
      </c>
      <c r="AF181" s="117">
        <f t="shared" si="27"/>
        <v>1.3818503241013553</v>
      </c>
      <c r="AG181" s="117">
        <f t="shared" si="28"/>
        <v>0.70858751759737204</v>
      </c>
      <c r="AH181" s="117">
        <f t="shared" si="29"/>
        <v>0.43205027494108406</v>
      </c>
      <c r="AI181" s="117">
        <f t="shared" si="30"/>
        <v>0.39130434782608697</v>
      </c>
      <c r="AJ181" s="117">
        <f t="shared" si="31"/>
        <v>1.0632570659488561</v>
      </c>
      <c r="AL181" s="117">
        <f t="shared" si="32"/>
        <v>1.1670595167943429</v>
      </c>
      <c r="AM181" s="117">
        <f t="shared" si="33"/>
        <v>0.9554199906147347</v>
      </c>
      <c r="AN181" s="117">
        <f t="shared" si="34"/>
        <v>0.8177533385703063</v>
      </c>
      <c r="AO181" s="117">
        <f t="shared" si="35"/>
        <v>1.1608695652173913</v>
      </c>
      <c r="AP181" s="117">
        <f t="shared" si="36"/>
        <v>0.90679676985195157</v>
      </c>
    </row>
    <row r="182" spans="1:42" ht="20.100000000000001" customHeight="1" x14ac:dyDescent="0.3">
      <c r="A182" s="25">
        <v>23</v>
      </c>
      <c r="B182" s="17" t="s">
        <v>45</v>
      </c>
      <c r="C182" s="17" t="s">
        <v>45</v>
      </c>
      <c r="D182" s="22" t="s">
        <v>29</v>
      </c>
      <c r="E182" s="26">
        <v>45554</v>
      </c>
      <c r="F182" s="23"/>
      <c r="G182" s="18" t="s">
        <v>37</v>
      </c>
      <c r="H182" s="75">
        <v>29.1</v>
      </c>
      <c r="I182" s="75">
        <v>7.14</v>
      </c>
      <c r="J182" s="75">
        <v>9.57</v>
      </c>
      <c r="K182" s="77">
        <v>163</v>
      </c>
      <c r="L182" s="57"/>
      <c r="M182" s="55"/>
      <c r="N182" s="55"/>
      <c r="O182" s="55">
        <v>1.2929999999999999</v>
      </c>
      <c r="P182" s="55"/>
      <c r="Q182" s="55"/>
      <c r="R182" s="55"/>
      <c r="S182" s="55"/>
      <c r="T182" s="55">
        <v>17.489999999999998</v>
      </c>
      <c r="U182" s="55">
        <v>12.09</v>
      </c>
      <c r="V182" s="55">
        <v>1.59</v>
      </c>
      <c r="W182" s="87">
        <v>19.602583287055499</v>
      </c>
      <c r="X182" s="87">
        <v>11.489430196837569</v>
      </c>
      <c r="Y182" s="24"/>
      <c r="Z182" s="117">
        <f t="shared" si="22"/>
        <v>1.1763330215154351</v>
      </c>
      <c r="AA182" s="117">
        <f t="shared" si="23"/>
        <v>0.71810883140053527</v>
      </c>
      <c r="AB182" s="117">
        <f t="shared" si="24"/>
        <v>0.55618615209988653</v>
      </c>
      <c r="AC182" s="117">
        <f t="shared" si="25"/>
        <v>0.42452830188679241</v>
      </c>
      <c r="AD182" s="117">
        <f t="shared" si="26"/>
        <v>1.1636668061950608</v>
      </c>
      <c r="AF182" s="117">
        <f t="shared" si="27"/>
        <v>1.3024339720352149</v>
      </c>
      <c r="AG182" s="117">
        <f t="shared" si="28"/>
        <v>0.65956575174108978</v>
      </c>
      <c r="AH182" s="117">
        <f t="shared" si="29"/>
        <v>0.45078196872125115</v>
      </c>
      <c r="AI182" s="117">
        <f t="shared" si="30"/>
        <v>0.40358744394618828</v>
      </c>
      <c r="AJ182" s="117">
        <f t="shared" si="31"/>
        <v>1.1646418098031002</v>
      </c>
      <c r="AL182" s="117">
        <f t="shared" si="32"/>
        <v>1.1071983428275505</v>
      </c>
      <c r="AM182" s="117">
        <f t="shared" si="33"/>
        <v>0.91847603441212622</v>
      </c>
      <c r="AN182" s="117">
        <f t="shared" si="34"/>
        <v>0.81048758049678005</v>
      </c>
      <c r="AO182" s="117">
        <f t="shared" si="35"/>
        <v>0.95067264573991039</v>
      </c>
      <c r="AP182" s="117">
        <f t="shared" si="36"/>
        <v>1.0008378718056137</v>
      </c>
    </row>
    <row r="183" spans="1:42" ht="20.100000000000001" customHeight="1" x14ac:dyDescent="0.3">
      <c r="A183" s="25">
        <v>24</v>
      </c>
      <c r="B183" s="17" t="s">
        <v>45</v>
      </c>
      <c r="C183" s="17" t="s">
        <v>45</v>
      </c>
      <c r="D183" s="18" t="s">
        <v>48</v>
      </c>
      <c r="E183" s="26">
        <v>45554</v>
      </c>
      <c r="F183" s="20"/>
      <c r="G183" s="18" t="s">
        <v>19</v>
      </c>
      <c r="H183" s="28">
        <v>29.14</v>
      </c>
      <c r="I183" s="28">
        <v>6.95</v>
      </c>
      <c r="J183" s="28">
        <v>8.77</v>
      </c>
      <c r="K183" s="74">
        <v>155</v>
      </c>
      <c r="L183" s="57"/>
      <c r="M183" s="54"/>
      <c r="N183" s="54"/>
      <c r="O183" s="54">
        <v>0.83899999999999997</v>
      </c>
      <c r="P183" s="54"/>
      <c r="Q183" s="54"/>
      <c r="R183" s="54"/>
      <c r="S183" s="54"/>
      <c r="T183" s="54">
        <v>16.988</v>
      </c>
      <c r="U183" s="54">
        <v>9.6999999999999993</v>
      </c>
      <c r="V183" s="54">
        <v>-0.33</v>
      </c>
      <c r="W183" s="85">
        <v>19.456382492073001</v>
      </c>
      <c r="X183" s="85">
        <v>10.817744322287382</v>
      </c>
      <c r="Y183" s="21"/>
      <c r="Z183" s="117">
        <f t="shared" si="22"/>
        <v>1.5524956970740105</v>
      </c>
      <c r="AA183" s="117">
        <f t="shared" si="23"/>
        <v>0.45261669024045265</v>
      </c>
      <c r="AB183" s="117">
        <f t="shared" si="24"/>
        <v>0.68923821039903266</v>
      </c>
      <c r="AC183" s="117">
        <f t="shared" si="25"/>
        <v>0.3174603174603175</v>
      </c>
      <c r="AD183" s="117">
        <f t="shared" si="26"/>
        <v>1.1166875784190717</v>
      </c>
      <c r="AF183" s="117">
        <f t="shared" si="27"/>
        <v>1.4115805946791864</v>
      </c>
      <c r="AG183" s="117">
        <f t="shared" si="28"/>
        <v>0.7256235827664399</v>
      </c>
      <c r="AH183" s="117">
        <f t="shared" si="29"/>
        <v>0.45600000000000002</v>
      </c>
      <c r="AI183" s="117">
        <f t="shared" si="30"/>
        <v>0.53333333333333333</v>
      </c>
      <c r="AJ183" s="117">
        <f t="shared" si="31"/>
        <v>0.97775336446031325</v>
      </c>
      <c r="AL183" s="117">
        <f t="shared" si="32"/>
        <v>0.90923317683881055</v>
      </c>
      <c r="AM183" s="117">
        <f t="shared" si="33"/>
        <v>1.6031746031746033</v>
      </c>
      <c r="AN183" s="117">
        <f t="shared" si="34"/>
        <v>0.66159999999999997</v>
      </c>
      <c r="AO183" s="117">
        <f t="shared" si="35"/>
        <v>1.68</v>
      </c>
      <c r="AP183" s="117">
        <f t="shared" si="36"/>
        <v>0.87558363087063984</v>
      </c>
    </row>
    <row r="184" spans="1:42" ht="20.100000000000001" customHeight="1" x14ac:dyDescent="0.3"/>
    <row r="185" spans="1:42" ht="20.100000000000001" customHeight="1" x14ac:dyDescent="0.3"/>
    <row r="186" spans="1:42" ht="20.100000000000001" customHeight="1" x14ac:dyDescent="0.3"/>
    <row r="187" spans="1:42" ht="20.100000000000001" customHeight="1" x14ac:dyDescent="0.3"/>
    <row r="188" spans="1:42" ht="20.100000000000001" customHeight="1" x14ac:dyDescent="0.3"/>
    <row r="189" spans="1:42" ht="20.100000000000001" customHeight="1" x14ac:dyDescent="0.3"/>
    <row r="190" spans="1:42" ht="20.100000000000001" customHeight="1" x14ac:dyDescent="0.3"/>
    <row r="191" spans="1:42" ht="20.100000000000001" customHeight="1" x14ac:dyDescent="0.3"/>
    <row r="192" spans="1:4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</sheetData>
  <mergeCells count="17">
    <mergeCell ref="L7:T7"/>
    <mergeCell ref="Y7:Y8"/>
    <mergeCell ref="A5:K5"/>
    <mergeCell ref="A7:A8"/>
    <mergeCell ref="B7:B8"/>
    <mergeCell ref="C7:C8"/>
    <mergeCell ref="D7:D8"/>
    <mergeCell ref="E7:F7"/>
    <mergeCell ref="G7:K7"/>
    <mergeCell ref="G37:K37"/>
    <mergeCell ref="L37:T37"/>
    <mergeCell ref="Y37:Y38"/>
    <mergeCell ref="A37:A38"/>
    <mergeCell ref="B37:B38"/>
    <mergeCell ref="C37:C38"/>
    <mergeCell ref="D37:D38"/>
    <mergeCell ref="E37:F37"/>
  </mergeCells>
  <phoneticPr fontId="1" type="noConversion"/>
  <conditionalFormatting sqref="Z9:AD3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{6ABBB55C-8577-498C-8E9D-DD39518AF310}</x14:id>
        </ext>
      </extLst>
    </cfRule>
  </conditionalFormatting>
  <conditionalFormatting sqref="Z39:AD6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{CCBBBC6B-9C1D-47EB-8D14-719A6C90CB8B}</x14:id>
        </ext>
      </extLst>
    </cfRule>
  </conditionalFormatting>
  <conditionalFormatting sqref="Z70:AD9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{E938E28E-B2A6-4D3F-96D8-72FEAECB06DB}</x14:id>
        </ext>
      </extLst>
    </cfRule>
  </conditionalFormatting>
  <conditionalFormatting sqref="Z100:AD12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{ABFF5848-FD20-4DB4-905D-FBA3AA2DDAF0}</x14:id>
        </ext>
      </extLst>
    </cfRule>
  </conditionalFormatting>
  <conditionalFormatting sqref="AG9:AK3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{5A592532-ECB0-473A-881D-CD2571C20293}</x14:id>
        </ext>
      </extLst>
    </cfRule>
  </conditionalFormatting>
  <conditionalFormatting sqref="AG39:AK6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{8FCF108B-2C50-4801-B7EB-58874ED92F8F}</x14:id>
        </ext>
      </extLst>
    </cfRule>
  </conditionalFormatting>
  <conditionalFormatting sqref="AG70:AK9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{4851AD4B-0A06-49CC-A65D-15E361C64A2D}</x14:id>
        </ext>
      </extLst>
    </cfRule>
  </conditionalFormatting>
  <conditionalFormatting sqref="AG100:AK123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{AFE78F21-9B6B-492B-A7E3-8EDDFDD159F6}</x14:id>
        </ext>
      </extLst>
    </cfRule>
  </conditionalFormatting>
  <conditionalFormatting sqref="AN9:AR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{5CF3F19F-48B2-49DC-9E72-512C538F63EE}</x14:id>
        </ext>
      </extLst>
    </cfRule>
  </conditionalFormatting>
  <conditionalFormatting sqref="AU9:AY3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{7AEF3DD5-649B-47DC-9898-9928488BFE6C}</x14:id>
        </ext>
      </extLst>
    </cfRule>
  </conditionalFormatting>
  <pageMargins left="0.7" right="0.7" top="0.75" bottom="0.75" header="0.3" footer="0.3"/>
  <pageSetup paperSize="9" scale="3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BBB55C-8577-498C-8E9D-DD39518AF3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Z9:AD32</xm:sqref>
        </x14:conditionalFormatting>
        <x14:conditionalFormatting xmlns:xm="http://schemas.microsoft.com/office/excel/2006/main">
          <x14:cfRule type="dataBar" id="{CCBBBC6B-9C1D-47EB-8D14-719A6C90CB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Z39:AD62</xm:sqref>
        </x14:conditionalFormatting>
        <x14:conditionalFormatting xmlns:xm="http://schemas.microsoft.com/office/excel/2006/main">
          <x14:cfRule type="dataBar" id="{E938E28E-B2A6-4D3F-96D8-72FEAECB0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Z70:AD93</xm:sqref>
        </x14:conditionalFormatting>
        <x14:conditionalFormatting xmlns:xm="http://schemas.microsoft.com/office/excel/2006/main">
          <x14:cfRule type="dataBar" id="{ABFF5848-FD20-4DB4-905D-FBA3AA2DDA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Z100:AD123</xm:sqref>
        </x14:conditionalFormatting>
        <x14:conditionalFormatting xmlns:xm="http://schemas.microsoft.com/office/excel/2006/main">
          <x14:cfRule type="dataBar" id="{5A592532-ECB0-473A-881D-CD2571C202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AG9:AK32</xm:sqref>
        </x14:conditionalFormatting>
        <x14:conditionalFormatting xmlns:xm="http://schemas.microsoft.com/office/excel/2006/main">
          <x14:cfRule type="dataBar" id="{8FCF108B-2C50-4801-B7EB-58874ED92F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AG39:AK62</xm:sqref>
        </x14:conditionalFormatting>
        <x14:conditionalFormatting xmlns:xm="http://schemas.microsoft.com/office/excel/2006/main">
          <x14:cfRule type="dataBar" id="{4851AD4B-0A06-49CC-A65D-15E361C64A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AG70:AK93</xm:sqref>
        </x14:conditionalFormatting>
        <x14:conditionalFormatting xmlns:xm="http://schemas.microsoft.com/office/excel/2006/main">
          <x14:cfRule type="dataBar" id="{AFE78F21-9B6B-492B-A7E3-8EDDFDD159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AG100:AK123</xm:sqref>
        </x14:conditionalFormatting>
        <x14:conditionalFormatting xmlns:xm="http://schemas.microsoft.com/office/excel/2006/main">
          <x14:cfRule type="dataBar" id="{5CF3F19F-48B2-49DC-9E72-512C538F6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AN9:AR32</xm:sqref>
        </x14:conditionalFormatting>
        <x14:conditionalFormatting xmlns:xm="http://schemas.microsoft.com/office/excel/2006/main">
          <x14:cfRule type="dataBar" id="{7AEF3DD5-649B-47DC-9898-9928488BFE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AU9:AY32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101" workbookViewId="0">
      <selection activeCell="C105" sqref="C105:C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305</v>
      </c>
    </row>
    <row r="3" spans="1:10" x14ac:dyDescent="0.3">
      <c r="A3" t="s">
        <v>306</v>
      </c>
    </row>
    <row r="4" spans="1:10" x14ac:dyDescent="0.3">
      <c r="A4" t="s">
        <v>305</v>
      </c>
    </row>
    <row r="6" spans="1:10" x14ac:dyDescent="0.3">
      <c r="A6" t="s">
        <v>829</v>
      </c>
    </row>
    <row r="8" spans="1:10" x14ac:dyDescent="0.3">
      <c r="B8" t="s">
        <v>304</v>
      </c>
      <c r="C8" t="s">
        <v>303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 x14ac:dyDescent="0.3">
      <c r="A9" t="s">
        <v>302</v>
      </c>
      <c r="B9">
        <v>4.9000000000000002E-2</v>
      </c>
      <c r="C9">
        <v>4.5999999999999999E-2</v>
      </c>
      <c r="D9">
        <v>2E-3</v>
      </c>
      <c r="E9">
        <v>3.0000000000000001E-3</v>
      </c>
      <c r="F9">
        <v>1.6E-2</v>
      </c>
      <c r="G9">
        <v>3.5000000000000003E-2</v>
      </c>
      <c r="H9">
        <v>6.7000000000000004E-2</v>
      </c>
      <c r="I9">
        <v>0.14099999999999999</v>
      </c>
      <c r="J9">
        <v>0.17799999999999999</v>
      </c>
    </row>
    <row r="10" spans="1:10" x14ac:dyDescent="0.3">
      <c r="A10" t="s">
        <v>301</v>
      </c>
      <c r="B10">
        <v>3.9E-2</v>
      </c>
      <c r="C10">
        <v>5.2999999999999999E-2</v>
      </c>
      <c r="D10">
        <v>1E-3</v>
      </c>
      <c r="E10">
        <v>1E-3</v>
      </c>
      <c r="F10">
        <v>7.0000000000000001E-3</v>
      </c>
      <c r="G10">
        <v>0.02</v>
      </c>
      <c r="H10">
        <v>4.9000000000000002E-2</v>
      </c>
      <c r="I10">
        <v>0.14299999999999999</v>
      </c>
      <c r="J10">
        <v>0.188</v>
      </c>
    </row>
    <row r="11" spans="1:10" x14ac:dyDescent="0.3">
      <c r="A11" t="s">
        <v>300</v>
      </c>
      <c r="B11">
        <v>3.6999999999999998E-2</v>
      </c>
      <c r="C11">
        <v>0.05</v>
      </c>
      <c r="D11">
        <v>1E-3</v>
      </c>
      <c r="E11">
        <v>1E-3</v>
      </c>
      <c r="F11">
        <v>7.0000000000000001E-3</v>
      </c>
      <c r="G11">
        <v>1.7999999999999999E-2</v>
      </c>
      <c r="H11">
        <v>4.4999999999999998E-2</v>
      </c>
      <c r="I11">
        <v>0.14000000000000001</v>
      </c>
      <c r="J11">
        <v>0.17799999999999999</v>
      </c>
    </row>
    <row r="12" spans="1:10" x14ac:dyDescent="0.3">
      <c r="A12" t="s">
        <v>299</v>
      </c>
      <c r="B12">
        <v>3.6999999999999998E-2</v>
      </c>
      <c r="C12">
        <v>4.7E-2</v>
      </c>
      <c r="D12">
        <v>1E-3</v>
      </c>
      <c r="E12">
        <v>1E-3</v>
      </c>
      <c r="F12">
        <v>7.0000000000000001E-3</v>
      </c>
      <c r="G12">
        <v>0.02</v>
      </c>
      <c r="H12">
        <v>4.7E-2</v>
      </c>
      <c r="I12">
        <v>0.13500000000000001</v>
      </c>
      <c r="J12">
        <v>0.17699999999999999</v>
      </c>
    </row>
    <row r="13" spans="1:10" x14ac:dyDescent="0.3">
      <c r="A13" t="s">
        <v>298</v>
      </c>
      <c r="B13">
        <v>7.0000000000000007E-2</v>
      </c>
      <c r="C13">
        <v>9.5000000000000001E-2</v>
      </c>
      <c r="D13">
        <v>1E-3</v>
      </c>
      <c r="E13">
        <v>2E-3</v>
      </c>
      <c r="F13">
        <v>0.01</v>
      </c>
      <c r="G13">
        <v>3.1E-2</v>
      </c>
      <c r="H13">
        <v>8.7999999999999995E-2</v>
      </c>
      <c r="I13">
        <v>0.28100000000000003</v>
      </c>
      <c r="J13">
        <v>0.35799999999999998</v>
      </c>
    </row>
    <row r="14" spans="1:10" x14ac:dyDescent="0.3">
      <c r="A14" t="s">
        <v>297</v>
      </c>
      <c r="B14">
        <v>6.3E-2</v>
      </c>
      <c r="C14">
        <v>8.3000000000000004E-2</v>
      </c>
      <c r="D14">
        <v>1E-3</v>
      </c>
      <c r="E14">
        <v>2E-3</v>
      </c>
      <c r="F14">
        <v>8.9999999999999993E-3</v>
      </c>
      <c r="G14">
        <v>0.03</v>
      </c>
      <c r="H14">
        <v>0.08</v>
      </c>
      <c r="I14">
        <v>0.246</v>
      </c>
      <c r="J14">
        <v>0.308</v>
      </c>
    </row>
    <row r="15" spans="1:10" x14ac:dyDescent="0.3">
      <c r="A15" t="s">
        <v>296</v>
      </c>
      <c r="B15">
        <v>6.3E-2</v>
      </c>
      <c r="C15">
        <v>9.1999999999999998E-2</v>
      </c>
      <c r="D15">
        <v>1E-3</v>
      </c>
      <c r="E15">
        <v>1E-3</v>
      </c>
      <c r="F15">
        <v>8.0000000000000002E-3</v>
      </c>
      <c r="G15">
        <v>2.5000000000000001E-2</v>
      </c>
      <c r="H15">
        <v>7.2999999999999995E-2</v>
      </c>
      <c r="I15">
        <v>0.25900000000000001</v>
      </c>
      <c r="J15">
        <v>0.34599999999999997</v>
      </c>
    </row>
    <row r="16" spans="1:10" x14ac:dyDescent="0.3">
      <c r="A16" t="s">
        <v>295</v>
      </c>
      <c r="B16">
        <v>5.5E-2</v>
      </c>
      <c r="C16">
        <v>0.11700000000000001</v>
      </c>
      <c r="D16">
        <v>0</v>
      </c>
      <c r="E16">
        <v>1E-3</v>
      </c>
      <c r="F16">
        <v>6.0000000000000001E-3</v>
      </c>
      <c r="G16">
        <v>1.7000000000000001E-2</v>
      </c>
      <c r="H16">
        <v>5.0999999999999997E-2</v>
      </c>
      <c r="I16">
        <v>0.21299999999999999</v>
      </c>
      <c r="J16">
        <v>0.434</v>
      </c>
    </row>
    <row r="17" spans="1:10" x14ac:dyDescent="0.3">
      <c r="A17" t="s">
        <v>294</v>
      </c>
      <c r="B17">
        <v>7.4999999999999997E-2</v>
      </c>
      <c r="C17">
        <v>0.13</v>
      </c>
      <c r="D17">
        <v>1E-3</v>
      </c>
      <c r="E17">
        <v>1E-3</v>
      </c>
      <c r="F17">
        <v>7.0000000000000001E-3</v>
      </c>
      <c r="G17">
        <v>2.5000000000000001E-2</v>
      </c>
      <c r="H17">
        <v>7.8E-2</v>
      </c>
      <c r="I17">
        <v>0.36</v>
      </c>
      <c r="J17">
        <v>0.52100000000000002</v>
      </c>
    </row>
    <row r="18" spans="1:10" x14ac:dyDescent="0.3">
      <c r="A18" t="s">
        <v>293</v>
      </c>
      <c r="B18">
        <v>6.8000000000000005E-2</v>
      </c>
      <c r="C18">
        <v>8.7999999999999995E-2</v>
      </c>
      <c r="D18">
        <v>1E-3</v>
      </c>
      <c r="E18">
        <v>2E-3</v>
      </c>
      <c r="F18">
        <v>0.01</v>
      </c>
      <c r="G18">
        <v>3.2000000000000001E-2</v>
      </c>
      <c r="H18">
        <v>0.09</v>
      </c>
      <c r="I18">
        <v>0.25700000000000001</v>
      </c>
      <c r="J18">
        <v>0.32400000000000001</v>
      </c>
    </row>
    <row r="19" spans="1:10" x14ac:dyDescent="0.3">
      <c r="A19" t="s">
        <v>292</v>
      </c>
      <c r="B19">
        <v>5.8000000000000003E-2</v>
      </c>
      <c r="C19">
        <v>7.3999999999999996E-2</v>
      </c>
      <c r="D19">
        <v>1E-3</v>
      </c>
      <c r="E19">
        <v>2E-3</v>
      </c>
      <c r="F19">
        <v>8.9999999999999993E-3</v>
      </c>
      <c r="G19">
        <v>0.03</v>
      </c>
      <c r="H19">
        <v>7.6999999999999999E-2</v>
      </c>
      <c r="I19">
        <v>0.217</v>
      </c>
      <c r="J19">
        <v>0.27200000000000002</v>
      </c>
    </row>
    <row r="20" spans="1:10" x14ac:dyDescent="0.3">
      <c r="A20" t="s">
        <v>291</v>
      </c>
      <c r="B20">
        <v>5.6000000000000001E-2</v>
      </c>
      <c r="C20">
        <v>7.3999999999999996E-2</v>
      </c>
      <c r="D20">
        <v>1E-3</v>
      </c>
      <c r="E20">
        <v>1E-3</v>
      </c>
      <c r="F20">
        <v>8.9999999999999993E-3</v>
      </c>
      <c r="G20">
        <v>2.7E-2</v>
      </c>
      <c r="H20">
        <v>7.0999999999999994E-2</v>
      </c>
      <c r="I20">
        <v>0.221</v>
      </c>
      <c r="J20">
        <v>0.27600000000000002</v>
      </c>
    </row>
    <row r="21" spans="1:10" x14ac:dyDescent="0.3">
      <c r="A21" t="s">
        <v>290</v>
      </c>
      <c r="B21">
        <v>6.0999999999999999E-2</v>
      </c>
      <c r="C21">
        <v>0.08</v>
      </c>
      <c r="D21">
        <v>1E-3</v>
      </c>
      <c r="E21">
        <v>2E-3</v>
      </c>
      <c r="F21">
        <v>8.9999999999999993E-3</v>
      </c>
      <c r="G21">
        <v>3.1E-2</v>
      </c>
      <c r="H21">
        <v>0.08</v>
      </c>
      <c r="I21">
        <v>0.23699999999999999</v>
      </c>
      <c r="J21">
        <v>0.29899999999999999</v>
      </c>
    </row>
    <row r="22" spans="1:10" x14ac:dyDescent="0.3">
      <c r="A22" t="s">
        <v>289</v>
      </c>
      <c r="B22">
        <v>5.7000000000000002E-2</v>
      </c>
      <c r="C22">
        <v>7.0999999999999994E-2</v>
      </c>
      <c r="D22">
        <v>1E-3</v>
      </c>
      <c r="E22">
        <v>1E-3</v>
      </c>
      <c r="F22">
        <v>8.9999999999999993E-3</v>
      </c>
      <c r="G22">
        <v>2.9000000000000001E-2</v>
      </c>
      <c r="H22">
        <v>7.5999999999999998E-2</v>
      </c>
      <c r="I22">
        <v>0.20899999999999999</v>
      </c>
      <c r="J22">
        <v>0.26800000000000002</v>
      </c>
    </row>
    <row r="23" spans="1:10" x14ac:dyDescent="0.3">
      <c r="A23" t="s">
        <v>288</v>
      </c>
      <c r="B23">
        <v>5.8000000000000003E-2</v>
      </c>
      <c r="C23">
        <v>7.3999999999999996E-2</v>
      </c>
      <c r="D23">
        <v>1E-3</v>
      </c>
      <c r="E23">
        <v>1E-3</v>
      </c>
      <c r="F23">
        <v>8.9999999999999993E-3</v>
      </c>
      <c r="G23">
        <v>2.8000000000000001E-2</v>
      </c>
      <c r="H23">
        <v>7.6999999999999999E-2</v>
      </c>
      <c r="I23">
        <v>0.219</v>
      </c>
      <c r="J23">
        <v>0.26800000000000002</v>
      </c>
    </row>
    <row r="24" spans="1:10" x14ac:dyDescent="0.3">
      <c r="A24" t="s">
        <v>287</v>
      </c>
      <c r="B24">
        <v>6.9000000000000006E-2</v>
      </c>
      <c r="C24">
        <v>9.2999999999999999E-2</v>
      </c>
      <c r="D24">
        <v>1E-3</v>
      </c>
      <c r="E24">
        <v>1E-3</v>
      </c>
      <c r="F24">
        <v>0.01</v>
      </c>
      <c r="G24">
        <v>3.1E-2</v>
      </c>
      <c r="H24">
        <v>8.8999999999999996E-2</v>
      </c>
      <c r="I24">
        <v>0.27400000000000002</v>
      </c>
      <c r="J24">
        <v>0.34100000000000003</v>
      </c>
    </row>
    <row r="25" spans="1:10" x14ac:dyDescent="0.3">
      <c r="A25" t="s">
        <v>286</v>
      </c>
      <c r="B25">
        <v>5.6000000000000001E-2</v>
      </c>
      <c r="C25">
        <v>7.1999999999999995E-2</v>
      </c>
      <c r="D25">
        <v>1E-3</v>
      </c>
      <c r="E25">
        <v>1E-3</v>
      </c>
      <c r="F25">
        <v>8.9999999999999993E-3</v>
      </c>
      <c r="G25">
        <v>2.9000000000000001E-2</v>
      </c>
      <c r="H25">
        <v>7.3999999999999996E-2</v>
      </c>
      <c r="I25">
        <v>0.21199999999999999</v>
      </c>
      <c r="J25">
        <v>0.27600000000000002</v>
      </c>
    </row>
    <row r="26" spans="1:10" x14ac:dyDescent="0.3">
      <c r="A26" t="s">
        <v>285</v>
      </c>
      <c r="B26">
        <v>4.7E-2</v>
      </c>
      <c r="C26">
        <v>0.06</v>
      </c>
      <c r="D26">
        <v>1E-3</v>
      </c>
      <c r="E26">
        <v>1E-3</v>
      </c>
      <c r="F26">
        <v>8.0000000000000002E-3</v>
      </c>
      <c r="G26">
        <v>2.3E-2</v>
      </c>
      <c r="H26">
        <v>6.2E-2</v>
      </c>
      <c r="I26">
        <v>0.17100000000000001</v>
      </c>
      <c r="J26">
        <v>0.217</v>
      </c>
    </row>
    <row r="27" spans="1:10" x14ac:dyDescent="0.3">
      <c r="A27" t="s">
        <v>284</v>
      </c>
      <c r="B27">
        <v>4.8000000000000001E-2</v>
      </c>
      <c r="C27">
        <v>0.06</v>
      </c>
      <c r="D27">
        <v>1E-3</v>
      </c>
      <c r="E27">
        <v>2E-3</v>
      </c>
      <c r="F27">
        <v>8.9999999999999993E-3</v>
      </c>
      <c r="G27">
        <v>2.5000000000000001E-2</v>
      </c>
      <c r="H27">
        <v>6.3E-2</v>
      </c>
      <c r="I27">
        <v>0.17100000000000001</v>
      </c>
      <c r="J27">
        <v>0.219</v>
      </c>
    </row>
    <row r="28" spans="1:10" x14ac:dyDescent="0.3">
      <c r="A28" t="s">
        <v>283</v>
      </c>
      <c r="B28">
        <v>5.8000000000000003E-2</v>
      </c>
      <c r="C28">
        <v>7.5999999999999998E-2</v>
      </c>
      <c r="D28">
        <v>1E-3</v>
      </c>
      <c r="E28">
        <v>1E-3</v>
      </c>
      <c r="F28">
        <v>8.9999999999999993E-3</v>
      </c>
      <c r="G28">
        <v>2.8000000000000001E-2</v>
      </c>
      <c r="H28">
        <v>7.5999999999999998E-2</v>
      </c>
      <c r="I28">
        <v>0.21299999999999999</v>
      </c>
      <c r="J28">
        <v>0.27200000000000002</v>
      </c>
    </row>
    <row r="29" spans="1:10" x14ac:dyDescent="0.3">
      <c r="A29" t="s">
        <v>282</v>
      </c>
      <c r="B29">
        <v>0.06</v>
      </c>
      <c r="C29">
        <v>8.1000000000000003E-2</v>
      </c>
      <c r="D29">
        <v>1E-3</v>
      </c>
      <c r="E29">
        <v>1E-3</v>
      </c>
      <c r="F29">
        <v>8.9999999999999993E-3</v>
      </c>
      <c r="G29">
        <v>2.7E-2</v>
      </c>
      <c r="H29">
        <v>7.5999999999999998E-2</v>
      </c>
      <c r="I29">
        <v>0.23499999999999999</v>
      </c>
      <c r="J29">
        <v>0.30599999999999999</v>
      </c>
    </row>
    <row r="30" spans="1:10" x14ac:dyDescent="0.3">
      <c r="A30" t="s">
        <v>281</v>
      </c>
      <c r="B30">
        <v>5.5E-2</v>
      </c>
      <c r="C30">
        <v>7.3999999999999996E-2</v>
      </c>
      <c r="D30">
        <v>1E-3</v>
      </c>
      <c r="E30">
        <v>2E-3</v>
      </c>
      <c r="F30">
        <v>8.9999999999999993E-3</v>
      </c>
      <c r="G30">
        <v>2.8000000000000001E-2</v>
      </c>
      <c r="H30">
        <v>6.9000000000000006E-2</v>
      </c>
      <c r="I30">
        <v>0.22</v>
      </c>
      <c r="J30">
        <v>0.28399999999999997</v>
      </c>
    </row>
    <row r="31" spans="1:10" x14ac:dyDescent="0.3">
      <c r="A31" t="s">
        <v>280</v>
      </c>
      <c r="B31">
        <v>4.9000000000000002E-2</v>
      </c>
      <c r="C31">
        <v>6.4000000000000001E-2</v>
      </c>
      <c r="D31">
        <v>1E-3</v>
      </c>
      <c r="E31">
        <v>1E-3</v>
      </c>
      <c r="F31">
        <v>8.0000000000000002E-3</v>
      </c>
      <c r="G31">
        <v>2.4E-2</v>
      </c>
      <c r="H31">
        <v>6.5000000000000002E-2</v>
      </c>
      <c r="I31">
        <v>0.182</v>
      </c>
      <c r="J31">
        <v>0.22900000000000001</v>
      </c>
    </row>
    <row r="32" spans="1:10" x14ac:dyDescent="0.3">
      <c r="A32" t="s">
        <v>279</v>
      </c>
      <c r="B32">
        <v>5.7000000000000002E-2</v>
      </c>
      <c r="C32">
        <v>7.9000000000000001E-2</v>
      </c>
      <c r="D32">
        <v>1E-3</v>
      </c>
      <c r="E32">
        <v>1E-3</v>
      </c>
      <c r="F32">
        <v>8.9999999999999993E-3</v>
      </c>
      <c r="G32">
        <v>2.5999999999999999E-2</v>
      </c>
      <c r="H32">
        <v>7.0999999999999994E-2</v>
      </c>
      <c r="I32">
        <v>0.222</v>
      </c>
      <c r="J32">
        <v>0.29399999999999998</v>
      </c>
    </row>
    <row r="33" spans="1:10" x14ac:dyDescent="0.3">
      <c r="A33" t="s">
        <v>278</v>
      </c>
      <c r="B33">
        <v>0.13</v>
      </c>
      <c r="C33">
        <v>8.3000000000000004E-2</v>
      </c>
      <c r="D33">
        <v>0.01</v>
      </c>
      <c r="E33">
        <v>0.02</v>
      </c>
      <c r="F33">
        <v>6.8000000000000005E-2</v>
      </c>
      <c r="G33">
        <v>0.115</v>
      </c>
      <c r="H33">
        <v>0.17799999999999999</v>
      </c>
      <c r="I33">
        <v>0.28499999999999998</v>
      </c>
      <c r="J33">
        <v>0.32600000000000001</v>
      </c>
    </row>
    <row r="34" spans="1:10" x14ac:dyDescent="0.3">
      <c r="A34" t="s">
        <v>277</v>
      </c>
      <c r="B34">
        <v>0.151</v>
      </c>
      <c r="C34">
        <v>0.16900000000000001</v>
      </c>
      <c r="D34">
        <v>3.0000000000000001E-3</v>
      </c>
      <c r="E34">
        <v>6.0000000000000001E-3</v>
      </c>
      <c r="F34">
        <v>3.2000000000000001E-2</v>
      </c>
      <c r="G34">
        <v>8.2000000000000003E-2</v>
      </c>
      <c r="H34">
        <v>0.21199999999999999</v>
      </c>
      <c r="I34">
        <v>0.52900000000000003</v>
      </c>
      <c r="J34">
        <v>0.60799999999999998</v>
      </c>
    </row>
    <row r="35" spans="1:10" x14ac:dyDescent="0.3">
      <c r="A35" t="s">
        <v>276</v>
      </c>
      <c r="B35">
        <v>0.156</v>
      </c>
      <c r="C35">
        <v>0.184</v>
      </c>
      <c r="D35">
        <v>3.0000000000000001E-3</v>
      </c>
      <c r="E35">
        <v>5.0000000000000001E-3</v>
      </c>
      <c r="F35">
        <v>2.5000000000000001E-2</v>
      </c>
      <c r="G35">
        <v>7.3999999999999996E-2</v>
      </c>
      <c r="H35">
        <v>0.222</v>
      </c>
      <c r="I35">
        <v>0.57299999999999995</v>
      </c>
      <c r="J35">
        <v>0.66200000000000003</v>
      </c>
    </row>
    <row r="36" spans="1:10" x14ac:dyDescent="0.3">
      <c r="A36" t="s">
        <v>275</v>
      </c>
      <c r="B36">
        <v>0.16300000000000001</v>
      </c>
      <c r="C36">
        <v>0.17899999999999999</v>
      </c>
      <c r="D36">
        <v>3.0000000000000001E-3</v>
      </c>
      <c r="E36">
        <v>6.0000000000000001E-3</v>
      </c>
      <c r="F36">
        <v>3.2000000000000001E-2</v>
      </c>
      <c r="G36">
        <v>8.7999999999999995E-2</v>
      </c>
      <c r="H36">
        <v>0.23699999999999999</v>
      </c>
      <c r="I36">
        <v>0.55400000000000005</v>
      </c>
      <c r="J36">
        <v>0.65800000000000003</v>
      </c>
    </row>
    <row r="37" spans="1:10" x14ac:dyDescent="0.3">
      <c r="A37" t="s">
        <v>274</v>
      </c>
      <c r="B37">
        <v>0.129</v>
      </c>
      <c r="C37">
        <v>0.123</v>
      </c>
      <c r="D37">
        <v>4.0000000000000001E-3</v>
      </c>
      <c r="E37">
        <v>8.0000000000000002E-3</v>
      </c>
      <c r="F37">
        <v>3.6999999999999998E-2</v>
      </c>
      <c r="G37">
        <v>9.0999999999999998E-2</v>
      </c>
      <c r="H37">
        <v>0.183</v>
      </c>
      <c r="I37">
        <v>0.376</v>
      </c>
      <c r="J37">
        <v>0.44900000000000001</v>
      </c>
    </row>
    <row r="38" spans="1:10" x14ac:dyDescent="0.3">
      <c r="A38" t="s">
        <v>273</v>
      </c>
      <c r="B38">
        <v>0.14399999999999999</v>
      </c>
      <c r="C38">
        <v>0.13700000000000001</v>
      </c>
      <c r="D38">
        <v>4.0000000000000001E-3</v>
      </c>
      <c r="E38">
        <v>8.0000000000000002E-3</v>
      </c>
      <c r="F38">
        <v>3.9E-2</v>
      </c>
      <c r="G38">
        <v>9.9000000000000005E-2</v>
      </c>
      <c r="H38">
        <v>0.21299999999999999</v>
      </c>
      <c r="I38">
        <v>0.434</v>
      </c>
      <c r="J38">
        <v>0.51</v>
      </c>
    </row>
    <row r="39" spans="1:10" x14ac:dyDescent="0.3">
      <c r="A39" t="s">
        <v>272</v>
      </c>
      <c r="B39">
        <v>0.11600000000000001</v>
      </c>
      <c r="C39">
        <v>0.11899999999999999</v>
      </c>
      <c r="D39">
        <v>3.0000000000000001E-3</v>
      </c>
      <c r="E39">
        <v>7.0000000000000001E-3</v>
      </c>
      <c r="F39">
        <v>3.2000000000000001E-2</v>
      </c>
      <c r="G39">
        <v>7.6999999999999999E-2</v>
      </c>
      <c r="H39">
        <v>0.16</v>
      </c>
      <c r="I39">
        <v>0.35799999999999998</v>
      </c>
      <c r="J39">
        <v>0.441</v>
      </c>
    </row>
    <row r="40" spans="1:10" x14ac:dyDescent="0.3">
      <c r="A40" t="s">
        <v>271</v>
      </c>
      <c r="B40">
        <v>5.7000000000000002E-2</v>
      </c>
      <c r="C40">
        <v>7.0999999999999994E-2</v>
      </c>
      <c r="D40">
        <v>3.0000000000000001E-3</v>
      </c>
      <c r="E40">
        <v>4.0000000000000001E-3</v>
      </c>
      <c r="F40">
        <v>1.7999999999999999E-2</v>
      </c>
      <c r="G40">
        <v>3.6999999999999998E-2</v>
      </c>
      <c r="H40">
        <v>7.0999999999999994E-2</v>
      </c>
      <c r="I40">
        <v>0.16800000000000001</v>
      </c>
      <c r="J40">
        <v>0.218</v>
      </c>
    </row>
    <row r="41" spans="1:10" x14ac:dyDescent="0.3">
      <c r="A41" t="s">
        <v>270</v>
      </c>
      <c r="B41">
        <v>8.5999999999999993E-2</v>
      </c>
      <c r="C41">
        <v>9.5000000000000001E-2</v>
      </c>
      <c r="D41">
        <v>4.0000000000000001E-3</v>
      </c>
      <c r="E41">
        <v>6.0000000000000001E-3</v>
      </c>
      <c r="F41">
        <v>2.5000000000000001E-2</v>
      </c>
      <c r="G41">
        <v>5.6000000000000001E-2</v>
      </c>
      <c r="H41">
        <v>0.113</v>
      </c>
      <c r="I41">
        <v>0.25700000000000001</v>
      </c>
      <c r="J41">
        <v>0.34399999999999997</v>
      </c>
    </row>
    <row r="42" spans="1:10" x14ac:dyDescent="0.3">
      <c r="A42" t="s">
        <v>269</v>
      </c>
      <c r="B42">
        <v>0.16</v>
      </c>
      <c r="C42">
        <v>0.15</v>
      </c>
      <c r="D42">
        <v>4.0000000000000001E-3</v>
      </c>
      <c r="E42">
        <v>7.0000000000000001E-3</v>
      </c>
      <c r="F42">
        <v>4.1000000000000002E-2</v>
      </c>
      <c r="G42">
        <v>0.115</v>
      </c>
      <c r="H42">
        <v>0.24</v>
      </c>
      <c r="I42">
        <v>0.45600000000000002</v>
      </c>
      <c r="J42">
        <v>0.53700000000000003</v>
      </c>
    </row>
    <row r="43" spans="1:10" x14ac:dyDescent="0.3">
      <c r="A43" t="s">
        <v>268</v>
      </c>
      <c r="B43">
        <v>0.16600000000000001</v>
      </c>
      <c r="C43">
        <v>0.156</v>
      </c>
      <c r="D43">
        <v>4.0000000000000001E-3</v>
      </c>
      <c r="E43">
        <v>7.0000000000000001E-3</v>
      </c>
      <c r="F43">
        <v>4.3999999999999997E-2</v>
      </c>
      <c r="G43">
        <v>0.11799999999999999</v>
      </c>
      <c r="H43">
        <v>0.24399999999999999</v>
      </c>
      <c r="I43">
        <v>0.48199999999999998</v>
      </c>
      <c r="J43">
        <v>0.56399999999999995</v>
      </c>
    </row>
    <row r="44" spans="1:10" x14ac:dyDescent="0.3">
      <c r="A44" t="s">
        <v>267</v>
      </c>
      <c r="B44">
        <v>0.16</v>
      </c>
      <c r="C44">
        <v>0.152</v>
      </c>
      <c r="D44">
        <v>4.0000000000000001E-3</v>
      </c>
      <c r="E44">
        <v>7.0000000000000001E-3</v>
      </c>
      <c r="F44">
        <v>4.1000000000000002E-2</v>
      </c>
      <c r="G44">
        <v>0.113</v>
      </c>
      <c r="H44">
        <v>0.23899999999999999</v>
      </c>
      <c r="I44">
        <v>0.47299999999999998</v>
      </c>
      <c r="J44">
        <v>0.55300000000000005</v>
      </c>
    </row>
    <row r="45" spans="1:10" x14ac:dyDescent="0.3">
      <c r="A45" t="s">
        <v>266</v>
      </c>
      <c r="B45">
        <v>0.153</v>
      </c>
      <c r="C45">
        <v>0.14899999999999999</v>
      </c>
      <c r="D45">
        <v>4.0000000000000001E-3</v>
      </c>
      <c r="E45">
        <v>8.0000000000000002E-3</v>
      </c>
      <c r="F45">
        <v>4.1000000000000002E-2</v>
      </c>
      <c r="G45">
        <v>0.10199999999999999</v>
      </c>
      <c r="H45">
        <v>0.224</v>
      </c>
      <c r="I45">
        <v>0.46</v>
      </c>
      <c r="J45">
        <v>0.55800000000000005</v>
      </c>
    </row>
    <row r="46" spans="1:10" x14ac:dyDescent="0.3">
      <c r="A46" t="s">
        <v>265</v>
      </c>
      <c r="B46">
        <v>0.16</v>
      </c>
      <c r="C46">
        <v>0.14799999999999999</v>
      </c>
      <c r="D46">
        <v>3.0000000000000001E-3</v>
      </c>
      <c r="E46">
        <v>7.0000000000000001E-3</v>
      </c>
      <c r="F46">
        <v>4.2999999999999997E-2</v>
      </c>
      <c r="G46">
        <v>0.11600000000000001</v>
      </c>
      <c r="H46">
        <v>0.24299999999999999</v>
      </c>
      <c r="I46">
        <v>0.45300000000000001</v>
      </c>
      <c r="J46">
        <v>0.53400000000000003</v>
      </c>
    </row>
    <row r="47" spans="1:10" x14ac:dyDescent="0.3">
      <c r="A47" t="s">
        <v>264</v>
      </c>
      <c r="B47">
        <v>0.16400000000000001</v>
      </c>
      <c r="C47">
        <v>0.155</v>
      </c>
      <c r="D47">
        <v>3.0000000000000001E-3</v>
      </c>
      <c r="E47">
        <v>7.0000000000000001E-3</v>
      </c>
      <c r="F47">
        <v>4.1000000000000002E-2</v>
      </c>
      <c r="G47">
        <v>0.11899999999999999</v>
      </c>
      <c r="H47">
        <v>0.24299999999999999</v>
      </c>
      <c r="I47">
        <v>0.48199999999999998</v>
      </c>
      <c r="J47">
        <v>0.55200000000000005</v>
      </c>
    </row>
    <row r="48" spans="1:10" x14ac:dyDescent="0.3">
      <c r="A48" t="s">
        <v>263</v>
      </c>
      <c r="B48">
        <v>0.13500000000000001</v>
      </c>
      <c r="C48">
        <v>0.13</v>
      </c>
      <c r="D48">
        <v>4.0000000000000001E-3</v>
      </c>
      <c r="E48">
        <v>8.0000000000000002E-3</v>
      </c>
      <c r="F48">
        <v>3.6999999999999998E-2</v>
      </c>
      <c r="G48">
        <v>9.4E-2</v>
      </c>
      <c r="H48">
        <v>0.19500000000000001</v>
      </c>
      <c r="I48">
        <v>0.39400000000000002</v>
      </c>
      <c r="J48">
        <v>0.48099999999999998</v>
      </c>
    </row>
    <row r="49" spans="1:10" x14ac:dyDescent="0.3">
      <c r="A49" t="s">
        <v>262</v>
      </c>
      <c r="B49">
        <v>0.14899999999999999</v>
      </c>
      <c r="C49">
        <v>0.14099999999999999</v>
      </c>
      <c r="D49">
        <v>4.0000000000000001E-3</v>
      </c>
      <c r="E49">
        <v>7.0000000000000001E-3</v>
      </c>
      <c r="F49">
        <v>4.1000000000000002E-2</v>
      </c>
      <c r="G49">
        <v>0.106</v>
      </c>
      <c r="H49">
        <v>0.219</v>
      </c>
      <c r="I49">
        <v>0.435</v>
      </c>
      <c r="J49">
        <v>0.52100000000000002</v>
      </c>
    </row>
    <row r="50" spans="1:10" x14ac:dyDescent="0.3">
      <c r="A50" t="s">
        <v>261</v>
      </c>
      <c r="B50">
        <v>0.16200000000000001</v>
      </c>
      <c r="C50">
        <v>0.161</v>
      </c>
      <c r="D50">
        <v>4.0000000000000001E-3</v>
      </c>
      <c r="E50">
        <v>6.0000000000000001E-3</v>
      </c>
      <c r="F50">
        <v>3.7999999999999999E-2</v>
      </c>
      <c r="G50">
        <v>0.105</v>
      </c>
      <c r="H50">
        <v>0.246</v>
      </c>
      <c r="I50">
        <v>0.48499999999999999</v>
      </c>
      <c r="J50">
        <v>0.57799999999999996</v>
      </c>
    </row>
    <row r="51" spans="1:10" x14ac:dyDescent="0.3">
      <c r="A51" t="s">
        <v>260</v>
      </c>
      <c r="B51">
        <v>0.185</v>
      </c>
      <c r="C51">
        <v>0.17599999999999999</v>
      </c>
      <c r="D51">
        <v>4.0000000000000001E-3</v>
      </c>
      <c r="E51">
        <v>6.0000000000000001E-3</v>
      </c>
      <c r="F51">
        <v>0.04</v>
      </c>
      <c r="G51">
        <v>0.127</v>
      </c>
      <c r="H51">
        <v>0.28799999999999998</v>
      </c>
      <c r="I51">
        <v>0.54200000000000004</v>
      </c>
      <c r="J51">
        <v>0.61499999999999999</v>
      </c>
    </row>
    <row r="52" spans="1:10" x14ac:dyDescent="0.3">
      <c r="A52" t="s">
        <v>259</v>
      </c>
      <c r="B52">
        <v>0.151</v>
      </c>
      <c r="C52">
        <v>0.14399999999999999</v>
      </c>
      <c r="D52">
        <v>4.0000000000000001E-3</v>
      </c>
      <c r="E52">
        <v>7.0000000000000001E-3</v>
      </c>
      <c r="F52">
        <v>3.9E-2</v>
      </c>
      <c r="G52">
        <v>0.106</v>
      </c>
      <c r="H52">
        <v>0.221</v>
      </c>
      <c r="I52">
        <v>0.441</v>
      </c>
      <c r="J52">
        <v>0.52900000000000003</v>
      </c>
    </row>
    <row r="53" spans="1:10" x14ac:dyDescent="0.3">
      <c r="A53" t="s">
        <v>258</v>
      </c>
      <c r="B53">
        <v>0.14799999999999999</v>
      </c>
      <c r="C53">
        <v>0.14099999999999999</v>
      </c>
      <c r="D53">
        <v>4.0000000000000001E-3</v>
      </c>
      <c r="E53">
        <v>7.0000000000000001E-3</v>
      </c>
      <c r="F53">
        <v>4.1000000000000002E-2</v>
      </c>
      <c r="G53">
        <v>0.10100000000000001</v>
      </c>
      <c r="H53">
        <v>0.21299999999999999</v>
      </c>
      <c r="I53">
        <v>0.42899999999999999</v>
      </c>
      <c r="J53">
        <v>0.51900000000000002</v>
      </c>
    </row>
    <row r="54" spans="1:10" x14ac:dyDescent="0.3">
      <c r="A54" t="s">
        <v>257</v>
      </c>
      <c r="B54">
        <v>0.151</v>
      </c>
      <c r="C54">
        <v>0.14599999999999999</v>
      </c>
      <c r="D54">
        <v>4.0000000000000001E-3</v>
      </c>
      <c r="E54">
        <v>7.0000000000000001E-3</v>
      </c>
      <c r="F54">
        <v>0.04</v>
      </c>
      <c r="G54">
        <v>0.10199999999999999</v>
      </c>
      <c r="H54">
        <v>0.219</v>
      </c>
      <c r="I54">
        <v>0.45</v>
      </c>
      <c r="J54">
        <v>0.52800000000000002</v>
      </c>
    </row>
    <row r="55" spans="1:10" x14ac:dyDescent="0.3">
      <c r="A55" t="s">
        <v>256</v>
      </c>
      <c r="B55">
        <v>0.161</v>
      </c>
      <c r="C55">
        <v>0.158</v>
      </c>
      <c r="D55">
        <v>3.0000000000000001E-3</v>
      </c>
      <c r="E55">
        <v>6.0000000000000001E-3</v>
      </c>
      <c r="F55">
        <v>3.7999999999999999E-2</v>
      </c>
      <c r="G55">
        <v>0.111</v>
      </c>
      <c r="H55">
        <v>0.23799999999999999</v>
      </c>
      <c r="I55">
        <v>0.48399999999999999</v>
      </c>
      <c r="J55">
        <v>0.57899999999999996</v>
      </c>
    </row>
    <row r="56" spans="1:10" x14ac:dyDescent="0.3">
      <c r="A56" t="s">
        <v>255</v>
      </c>
      <c r="B56">
        <v>0.128</v>
      </c>
      <c r="C56">
        <v>0.13300000000000001</v>
      </c>
      <c r="D56">
        <v>3.0000000000000001E-3</v>
      </c>
      <c r="E56">
        <v>7.0000000000000001E-3</v>
      </c>
      <c r="F56">
        <v>3.2000000000000001E-2</v>
      </c>
      <c r="G56">
        <v>8.2000000000000003E-2</v>
      </c>
      <c r="H56">
        <v>0.182</v>
      </c>
      <c r="I56">
        <v>0.40100000000000002</v>
      </c>
      <c r="J56">
        <v>0.49399999999999999</v>
      </c>
    </row>
    <row r="57" spans="1:10" x14ac:dyDescent="0.3">
      <c r="A57" t="s">
        <v>254</v>
      </c>
      <c r="B57">
        <v>7.0000000000000001E-3</v>
      </c>
      <c r="C57">
        <v>0.01</v>
      </c>
      <c r="D57">
        <v>0</v>
      </c>
      <c r="E57">
        <v>0</v>
      </c>
      <c r="F57">
        <v>2E-3</v>
      </c>
      <c r="G57">
        <v>5.0000000000000001E-3</v>
      </c>
      <c r="H57">
        <v>8.9999999999999993E-3</v>
      </c>
      <c r="I57">
        <v>2.1000000000000001E-2</v>
      </c>
      <c r="J57">
        <v>2.9000000000000001E-2</v>
      </c>
    </row>
    <row r="58" spans="1:10" x14ac:dyDescent="0.3">
      <c r="A58" t="s">
        <v>253</v>
      </c>
      <c r="B58">
        <v>7.0000000000000001E-3</v>
      </c>
      <c r="C58">
        <v>1.7000000000000001E-2</v>
      </c>
      <c r="D58">
        <v>0</v>
      </c>
      <c r="E58">
        <v>0</v>
      </c>
      <c r="F58">
        <v>1E-3</v>
      </c>
      <c r="G58">
        <v>3.0000000000000001E-3</v>
      </c>
      <c r="H58">
        <v>7.0000000000000001E-3</v>
      </c>
      <c r="I58">
        <v>2.5000000000000001E-2</v>
      </c>
      <c r="J58">
        <v>3.9E-2</v>
      </c>
    </row>
    <row r="59" spans="1:10" x14ac:dyDescent="0.3">
      <c r="A59" t="s">
        <v>252</v>
      </c>
      <c r="B59">
        <v>6.0000000000000001E-3</v>
      </c>
      <c r="C59">
        <v>1.4E-2</v>
      </c>
      <c r="D59">
        <v>0</v>
      </c>
      <c r="E59">
        <v>0</v>
      </c>
      <c r="F59">
        <v>1E-3</v>
      </c>
      <c r="G59">
        <v>2E-3</v>
      </c>
      <c r="H59">
        <v>7.0000000000000001E-3</v>
      </c>
      <c r="I59">
        <v>2.4E-2</v>
      </c>
      <c r="J59">
        <v>3.5000000000000003E-2</v>
      </c>
    </row>
    <row r="60" spans="1:10" x14ac:dyDescent="0.3">
      <c r="A60" t="s">
        <v>251</v>
      </c>
      <c r="B60">
        <v>7.0000000000000001E-3</v>
      </c>
      <c r="C60">
        <v>1.4999999999999999E-2</v>
      </c>
      <c r="D60">
        <v>0</v>
      </c>
      <c r="E60">
        <v>0</v>
      </c>
      <c r="F60">
        <v>1E-3</v>
      </c>
      <c r="G60">
        <v>3.0000000000000001E-3</v>
      </c>
      <c r="H60">
        <v>7.0000000000000001E-3</v>
      </c>
      <c r="I60">
        <v>2.8000000000000001E-2</v>
      </c>
      <c r="J60">
        <v>0.04</v>
      </c>
    </row>
    <row r="61" spans="1:10" x14ac:dyDescent="0.3">
      <c r="A61" t="s">
        <v>250</v>
      </c>
      <c r="B61">
        <v>0.01</v>
      </c>
      <c r="C61">
        <v>1.9E-2</v>
      </c>
      <c r="D61">
        <v>0</v>
      </c>
      <c r="E61">
        <v>0</v>
      </c>
      <c r="F61">
        <v>1E-3</v>
      </c>
      <c r="G61">
        <v>4.0000000000000001E-3</v>
      </c>
      <c r="H61">
        <v>1.0999999999999999E-2</v>
      </c>
      <c r="I61">
        <v>0.04</v>
      </c>
      <c r="J61">
        <v>0.06</v>
      </c>
    </row>
    <row r="62" spans="1:10" x14ac:dyDescent="0.3">
      <c r="A62" t="s">
        <v>249</v>
      </c>
      <c r="B62">
        <v>8.9999999999999993E-3</v>
      </c>
      <c r="C62">
        <v>1.7000000000000001E-2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3.5000000000000003E-2</v>
      </c>
      <c r="J62">
        <v>5.1999999999999998E-2</v>
      </c>
    </row>
    <row r="63" spans="1:10" x14ac:dyDescent="0.3">
      <c r="A63" t="s">
        <v>248</v>
      </c>
      <c r="B63">
        <v>8.0000000000000002E-3</v>
      </c>
      <c r="C63">
        <v>2.1000000000000001E-2</v>
      </c>
      <c r="D63">
        <v>0</v>
      </c>
      <c r="E63">
        <v>0</v>
      </c>
      <c r="F63">
        <v>1E-3</v>
      </c>
      <c r="G63">
        <v>3.0000000000000001E-3</v>
      </c>
      <c r="H63">
        <v>8.9999999999999993E-3</v>
      </c>
      <c r="I63">
        <v>3.2000000000000001E-2</v>
      </c>
      <c r="J63">
        <v>4.7E-2</v>
      </c>
    </row>
    <row r="64" spans="1:10" x14ac:dyDescent="0.3">
      <c r="A64" t="s">
        <v>247</v>
      </c>
      <c r="B64">
        <v>7.0000000000000001E-3</v>
      </c>
      <c r="C64">
        <v>0.02</v>
      </c>
      <c r="D64">
        <v>0</v>
      </c>
      <c r="E64">
        <v>0</v>
      </c>
      <c r="F64">
        <v>1E-3</v>
      </c>
      <c r="G64">
        <v>2E-3</v>
      </c>
      <c r="H64">
        <v>6.0000000000000001E-3</v>
      </c>
      <c r="I64">
        <v>2.4E-2</v>
      </c>
      <c r="J64">
        <v>3.9E-2</v>
      </c>
    </row>
    <row r="65" spans="1:10" x14ac:dyDescent="0.3">
      <c r="A65" t="s">
        <v>246</v>
      </c>
      <c r="B65">
        <v>8.0000000000000002E-3</v>
      </c>
      <c r="C65">
        <v>1.7000000000000001E-2</v>
      </c>
      <c r="D65">
        <v>0</v>
      </c>
      <c r="E65">
        <v>0</v>
      </c>
      <c r="F65">
        <v>1E-3</v>
      </c>
      <c r="G65">
        <v>3.0000000000000001E-3</v>
      </c>
      <c r="H65">
        <v>8.0000000000000002E-3</v>
      </c>
      <c r="I65">
        <v>0.03</v>
      </c>
      <c r="J65">
        <v>4.5999999999999999E-2</v>
      </c>
    </row>
    <row r="66" spans="1:10" x14ac:dyDescent="0.3">
      <c r="A66" t="s">
        <v>245</v>
      </c>
      <c r="B66">
        <v>1.0999999999999999E-2</v>
      </c>
      <c r="C66">
        <v>2.4E-2</v>
      </c>
      <c r="D66">
        <v>0</v>
      </c>
      <c r="E66">
        <v>0</v>
      </c>
      <c r="F66">
        <v>1E-3</v>
      </c>
      <c r="G66">
        <v>4.0000000000000001E-3</v>
      </c>
      <c r="H66">
        <v>1.0999999999999999E-2</v>
      </c>
      <c r="I66">
        <v>4.3999999999999997E-2</v>
      </c>
      <c r="J66">
        <v>6.7000000000000004E-2</v>
      </c>
    </row>
    <row r="67" spans="1:10" x14ac:dyDescent="0.3">
      <c r="A67" t="s">
        <v>244</v>
      </c>
      <c r="B67">
        <v>0.01</v>
      </c>
      <c r="C67">
        <v>1.7999999999999999E-2</v>
      </c>
      <c r="D67">
        <v>0</v>
      </c>
      <c r="E67">
        <v>0</v>
      </c>
      <c r="F67">
        <v>1E-3</v>
      </c>
      <c r="G67">
        <v>4.0000000000000001E-3</v>
      </c>
      <c r="H67">
        <v>1.0999999999999999E-2</v>
      </c>
      <c r="I67">
        <v>4.2999999999999997E-2</v>
      </c>
      <c r="J67">
        <v>6.6000000000000003E-2</v>
      </c>
    </row>
    <row r="68" spans="1:10" x14ac:dyDescent="0.3">
      <c r="A68" t="s">
        <v>243</v>
      </c>
      <c r="B68">
        <v>8.9999999999999993E-3</v>
      </c>
      <c r="C68">
        <v>0.02</v>
      </c>
      <c r="D68">
        <v>0</v>
      </c>
      <c r="E68">
        <v>0</v>
      </c>
      <c r="F68">
        <v>1E-3</v>
      </c>
      <c r="G68">
        <v>3.0000000000000001E-3</v>
      </c>
      <c r="H68">
        <v>0.01</v>
      </c>
      <c r="I68">
        <v>3.5999999999999997E-2</v>
      </c>
      <c r="J68">
        <v>5.3999999999999999E-2</v>
      </c>
    </row>
    <row r="69" spans="1:10" x14ac:dyDescent="0.3">
      <c r="A69" t="s">
        <v>242</v>
      </c>
      <c r="B69">
        <v>0.01</v>
      </c>
      <c r="C69">
        <v>1.9E-2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4.3999999999999997E-2</v>
      </c>
      <c r="J69">
        <v>6.2E-2</v>
      </c>
    </row>
    <row r="70" spans="1:10" x14ac:dyDescent="0.3">
      <c r="A70" t="s">
        <v>241</v>
      </c>
      <c r="B70">
        <v>0.01</v>
      </c>
      <c r="C70">
        <v>1.7999999999999999E-2</v>
      </c>
      <c r="D70">
        <v>0</v>
      </c>
      <c r="E70">
        <v>0</v>
      </c>
      <c r="F70">
        <v>1E-3</v>
      </c>
      <c r="G70">
        <v>4.0000000000000001E-3</v>
      </c>
      <c r="H70">
        <v>0.01</v>
      </c>
      <c r="I70">
        <v>4.2000000000000003E-2</v>
      </c>
      <c r="J70">
        <v>6.3E-2</v>
      </c>
    </row>
    <row r="71" spans="1:10" x14ac:dyDescent="0.3">
      <c r="A71" t="s">
        <v>240</v>
      </c>
      <c r="B71">
        <v>0.01</v>
      </c>
      <c r="C71">
        <v>1.7999999999999999E-2</v>
      </c>
      <c r="D71">
        <v>0</v>
      </c>
      <c r="E71">
        <v>0</v>
      </c>
      <c r="F71">
        <v>1E-3</v>
      </c>
      <c r="G71">
        <v>4.0000000000000001E-3</v>
      </c>
      <c r="H71">
        <v>0.01</v>
      </c>
      <c r="I71">
        <v>4.1000000000000002E-2</v>
      </c>
      <c r="J71">
        <v>0.06</v>
      </c>
    </row>
    <row r="72" spans="1:10" x14ac:dyDescent="0.3">
      <c r="A72" t="s">
        <v>239</v>
      </c>
      <c r="B72">
        <v>0.01</v>
      </c>
      <c r="C72">
        <v>1.7999999999999999E-2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4.3999999999999997E-2</v>
      </c>
      <c r="J72">
        <v>6.2E-2</v>
      </c>
    </row>
    <row r="73" spans="1:10" x14ac:dyDescent="0.3">
      <c r="A73" t="s">
        <v>238</v>
      </c>
      <c r="B73">
        <v>8.9999999999999993E-3</v>
      </c>
      <c r="C73">
        <v>1.4999999999999999E-2</v>
      </c>
      <c r="D73">
        <v>0</v>
      </c>
      <c r="E73">
        <v>0</v>
      </c>
      <c r="F73">
        <v>1E-3</v>
      </c>
      <c r="G73">
        <v>3.0000000000000001E-3</v>
      </c>
      <c r="H73">
        <v>0.01</v>
      </c>
      <c r="I73">
        <v>3.5000000000000003E-2</v>
      </c>
      <c r="J73">
        <v>4.9000000000000002E-2</v>
      </c>
    </row>
    <row r="74" spans="1:10" x14ac:dyDescent="0.3">
      <c r="A74" t="s">
        <v>237</v>
      </c>
      <c r="B74">
        <v>8.0000000000000002E-3</v>
      </c>
      <c r="C74">
        <v>1.4E-2</v>
      </c>
      <c r="D74">
        <v>0</v>
      </c>
      <c r="E74">
        <v>0</v>
      </c>
      <c r="F74">
        <v>1E-3</v>
      </c>
      <c r="G74">
        <v>3.0000000000000001E-3</v>
      </c>
      <c r="H74">
        <v>8.9999999999999993E-3</v>
      </c>
      <c r="I74">
        <v>3.1E-2</v>
      </c>
      <c r="J74">
        <v>4.4999999999999998E-2</v>
      </c>
    </row>
    <row r="75" spans="1:10" x14ac:dyDescent="0.3">
      <c r="A75" t="s">
        <v>236</v>
      </c>
      <c r="B75">
        <v>8.9999999999999993E-3</v>
      </c>
      <c r="C75">
        <v>1.6E-2</v>
      </c>
      <c r="D75">
        <v>0</v>
      </c>
      <c r="E75">
        <v>0</v>
      </c>
      <c r="F75">
        <v>1E-3</v>
      </c>
      <c r="G75">
        <v>3.0000000000000001E-3</v>
      </c>
      <c r="H75">
        <v>8.9999999999999993E-3</v>
      </c>
      <c r="I75">
        <v>3.5999999999999997E-2</v>
      </c>
      <c r="J75">
        <v>5.1999999999999998E-2</v>
      </c>
    </row>
    <row r="76" spans="1:10" x14ac:dyDescent="0.3">
      <c r="A76" t="s">
        <v>235</v>
      </c>
      <c r="B76">
        <v>0.01</v>
      </c>
      <c r="C76">
        <v>1.9E-2</v>
      </c>
      <c r="D76">
        <v>0</v>
      </c>
      <c r="E76">
        <v>0</v>
      </c>
      <c r="F76">
        <v>1E-3</v>
      </c>
      <c r="G76">
        <v>3.0000000000000001E-3</v>
      </c>
      <c r="H76">
        <v>0.01</v>
      </c>
      <c r="I76">
        <v>0.04</v>
      </c>
      <c r="J76">
        <v>5.8999999999999997E-2</v>
      </c>
    </row>
    <row r="77" spans="1:10" x14ac:dyDescent="0.3">
      <c r="A77" t="s">
        <v>234</v>
      </c>
      <c r="B77">
        <v>8.9999999999999993E-3</v>
      </c>
      <c r="C77">
        <v>1.9E-2</v>
      </c>
      <c r="D77">
        <v>0</v>
      </c>
      <c r="E77">
        <v>0</v>
      </c>
      <c r="F77">
        <v>1E-3</v>
      </c>
      <c r="G77">
        <v>3.0000000000000001E-3</v>
      </c>
      <c r="H77">
        <v>0.01</v>
      </c>
      <c r="I77">
        <v>3.7999999999999999E-2</v>
      </c>
      <c r="J77">
        <v>5.5E-2</v>
      </c>
    </row>
    <row r="78" spans="1:10" x14ac:dyDescent="0.3">
      <c r="A78" t="s">
        <v>233</v>
      </c>
      <c r="B78">
        <v>8.9999999999999993E-3</v>
      </c>
      <c r="C78">
        <v>0.02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3.2000000000000001E-2</v>
      </c>
      <c r="J78">
        <v>4.9000000000000002E-2</v>
      </c>
    </row>
    <row r="79" spans="1:10" x14ac:dyDescent="0.3">
      <c r="A79" t="s">
        <v>232</v>
      </c>
      <c r="B79">
        <v>8.9999999999999993E-3</v>
      </c>
      <c r="C79">
        <v>1.7999999999999999E-2</v>
      </c>
      <c r="D79">
        <v>0</v>
      </c>
      <c r="E79">
        <v>0</v>
      </c>
      <c r="F79">
        <v>1E-3</v>
      </c>
      <c r="G79">
        <v>3.0000000000000001E-3</v>
      </c>
      <c r="H79">
        <v>8.9999999999999993E-3</v>
      </c>
      <c r="I79">
        <v>3.4000000000000002E-2</v>
      </c>
      <c r="J79">
        <v>0.05</v>
      </c>
    </row>
    <row r="80" spans="1:10" x14ac:dyDescent="0.3">
      <c r="A80" t="s">
        <v>231</v>
      </c>
      <c r="B80">
        <v>8.0000000000000002E-3</v>
      </c>
      <c r="C80">
        <v>1.7000000000000001E-2</v>
      </c>
      <c r="D80">
        <v>0</v>
      </c>
      <c r="E80">
        <v>0</v>
      </c>
      <c r="F80">
        <v>1E-3</v>
      </c>
      <c r="G80">
        <v>3.0000000000000001E-3</v>
      </c>
      <c r="H80">
        <v>8.0000000000000002E-3</v>
      </c>
      <c r="I80">
        <v>0.03</v>
      </c>
      <c r="J80">
        <v>4.3999999999999997E-2</v>
      </c>
    </row>
    <row r="81" spans="1:10" x14ac:dyDescent="0.3">
      <c r="A81" t="s">
        <v>230</v>
      </c>
      <c r="B81">
        <v>0.46899999999999997</v>
      </c>
      <c r="C81">
        <v>0.14799999999999999</v>
      </c>
      <c r="D81">
        <v>0.182</v>
      </c>
      <c r="E81">
        <v>0.23</v>
      </c>
      <c r="F81">
        <v>0.36599999999999999</v>
      </c>
      <c r="G81">
        <v>0.46500000000000002</v>
      </c>
      <c r="H81">
        <v>0.56999999999999995</v>
      </c>
      <c r="I81">
        <v>0.72099999999999997</v>
      </c>
      <c r="J81">
        <v>0.75700000000000001</v>
      </c>
    </row>
    <row r="82" spans="1:10" x14ac:dyDescent="0.3">
      <c r="A82" t="s">
        <v>229</v>
      </c>
      <c r="B82">
        <v>0.54500000000000004</v>
      </c>
      <c r="C82">
        <v>0.248</v>
      </c>
      <c r="D82">
        <v>6.2E-2</v>
      </c>
      <c r="E82">
        <v>0.10100000000000001</v>
      </c>
      <c r="F82">
        <v>0.35899999999999999</v>
      </c>
      <c r="G82">
        <v>0.57499999999999996</v>
      </c>
      <c r="H82">
        <v>0.747</v>
      </c>
      <c r="I82">
        <v>0.90200000000000002</v>
      </c>
      <c r="J82">
        <v>0.93100000000000005</v>
      </c>
    </row>
    <row r="83" spans="1:10" x14ac:dyDescent="0.3">
      <c r="A83" t="s">
        <v>228</v>
      </c>
      <c r="B83">
        <v>0.55300000000000005</v>
      </c>
      <c r="C83">
        <v>0.26600000000000001</v>
      </c>
      <c r="D83">
        <v>0.05</v>
      </c>
      <c r="E83">
        <v>8.4000000000000005E-2</v>
      </c>
      <c r="F83">
        <v>0.34200000000000003</v>
      </c>
      <c r="G83">
        <v>0.59799999999999998</v>
      </c>
      <c r="H83">
        <v>0.78200000000000003</v>
      </c>
      <c r="I83">
        <v>0.91300000000000003</v>
      </c>
      <c r="J83">
        <v>0.94</v>
      </c>
    </row>
    <row r="84" spans="1:10" x14ac:dyDescent="0.3">
      <c r="A84" t="s">
        <v>227</v>
      </c>
      <c r="B84">
        <v>0.56200000000000006</v>
      </c>
      <c r="C84">
        <v>0.249</v>
      </c>
      <c r="D84">
        <v>5.8999999999999997E-2</v>
      </c>
      <c r="E84">
        <v>9.5000000000000001E-2</v>
      </c>
      <c r="F84">
        <v>0.38300000000000001</v>
      </c>
      <c r="G84">
        <v>0.60199999999999998</v>
      </c>
      <c r="H84">
        <v>0.76600000000000001</v>
      </c>
      <c r="I84">
        <v>0.90800000000000003</v>
      </c>
      <c r="J84">
        <v>0.93500000000000005</v>
      </c>
    </row>
    <row r="85" spans="1:10" x14ac:dyDescent="0.3">
      <c r="A85" t="s">
        <v>226</v>
      </c>
      <c r="B85">
        <v>0.41599999999999998</v>
      </c>
      <c r="C85">
        <v>0.223</v>
      </c>
      <c r="D85">
        <v>5.1999999999999998E-2</v>
      </c>
      <c r="E85">
        <v>8.1000000000000003E-2</v>
      </c>
      <c r="F85">
        <v>0.24</v>
      </c>
      <c r="G85">
        <v>0.39500000000000002</v>
      </c>
      <c r="H85">
        <v>0.56599999999999995</v>
      </c>
      <c r="I85">
        <v>0.82699999999999996</v>
      </c>
      <c r="J85">
        <v>0.88300000000000001</v>
      </c>
    </row>
    <row r="86" spans="1:10" x14ac:dyDescent="0.3">
      <c r="A86" t="s">
        <v>225</v>
      </c>
      <c r="B86">
        <v>0.44</v>
      </c>
      <c r="C86">
        <v>0.22700000000000001</v>
      </c>
      <c r="D86">
        <v>5.6000000000000001E-2</v>
      </c>
      <c r="E86">
        <v>9.0999999999999998E-2</v>
      </c>
      <c r="F86">
        <v>0.26400000000000001</v>
      </c>
      <c r="G86">
        <v>0.42499999999999999</v>
      </c>
      <c r="H86">
        <v>0.60399999999999998</v>
      </c>
      <c r="I86">
        <v>0.84199999999999997</v>
      </c>
      <c r="J86">
        <v>0.88300000000000001</v>
      </c>
    </row>
    <row r="87" spans="1:10" x14ac:dyDescent="0.3">
      <c r="A87" t="s">
        <v>224</v>
      </c>
      <c r="B87">
        <v>0.39700000000000002</v>
      </c>
      <c r="C87">
        <v>0.23200000000000001</v>
      </c>
      <c r="D87">
        <v>4.7E-2</v>
      </c>
      <c r="E87">
        <v>7.0999999999999994E-2</v>
      </c>
      <c r="F87">
        <v>0.20799999999999999</v>
      </c>
      <c r="G87">
        <v>0.36599999999999999</v>
      </c>
      <c r="H87">
        <v>0.55700000000000005</v>
      </c>
      <c r="I87">
        <v>0.83699999999999997</v>
      </c>
      <c r="J87">
        <v>0.88700000000000001</v>
      </c>
    </row>
    <row r="88" spans="1:10" x14ac:dyDescent="0.3">
      <c r="A88" t="s">
        <v>223</v>
      </c>
      <c r="B88">
        <v>0.221</v>
      </c>
      <c r="C88">
        <v>0.24</v>
      </c>
      <c r="D88">
        <v>1.6E-2</v>
      </c>
      <c r="E88">
        <v>2.4E-2</v>
      </c>
      <c r="F88">
        <v>6.7000000000000004E-2</v>
      </c>
      <c r="G88">
        <v>0.129</v>
      </c>
      <c r="H88">
        <v>0.249</v>
      </c>
      <c r="I88">
        <v>0.83299999999999996</v>
      </c>
      <c r="J88">
        <v>0.89800000000000002</v>
      </c>
    </row>
    <row r="89" spans="1:10" x14ac:dyDescent="0.3">
      <c r="A89" t="s">
        <v>222</v>
      </c>
      <c r="B89">
        <v>0.29699999999999999</v>
      </c>
      <c r="C89">
        <v>0.22800000000000001</v>
      </c>
      <c r="D89">
        <v>2.5999999999999999E-2</v>
      </c>
      <c r="E89">
        <v>4.1000000000000002E-2</v>
      </c>
      <c r="F89">
        <v>0.123</v>
      </c>
      <c r="G89">
        <v>0.23</v>
      </c>
      <c r="H89">
        <v>0.41199999999999998</v>
      </c>
      <c r="I89">
        <v>0.78900000000000003</v>
      </c>
      <c r="J89">
        <v>0.86799999999999999</v>
      </c>
    </row>
    <row r="90" spans="1:10" x14ac:dyDescent="0.3">
      <c r="A90" t="s">
        <v>221</v>
      </c>
      <c r="B90">
        <v>0.439</v>
      </c>
      <c r="C90">
        <v>0.22900000000000001</v>
      </c>
      <c r="D90">
        <v>5.3999999999999999E-2</v>
      </c>
      <c r="E90">
        <v>8.2000000000000003E-2</v>
      </c>
      <c r="F90">
        <v>0.26300000000000001</v>
      </c>
      <c r="G90">
        <v>0.42899999999999999</v>
      </c>
      <c r="H90">
        <v>0.60699999999999998</v>
      </c>
      <c r="I90">
        <v>0.84099999999999997</v>
      </c>
      <c r="J90">
        <v>0.88500000000000001</v>
      </c>
    </row>
    <row r="91" spans="1:10" x14ac:dyDescent="0.3">
      <c r="A91" t="s">
        <v>220</v>
      </c>
      <c r="B91">
        <v>0.47199999999999998</v>
      </c>
      <c r="C91">
        <v>0.23100000000000001</v>
      </c>
      <c r="D91">
        <v>6.6000000000000003E-2</v>
      </c>
      <c r="E91">
        <v>0.104</v>
      </c>
      <c r="F91">
        <v>0.29299999999999998</v>
      </c>
      <c r="G91">
        <v>0.47</v>
      </c>
      <c r="H91">
        <v>0.64200000000000002</v>
      </c>
      <c r="I91">
        <v>0.85899999999999999</v>
      </c>
      <c r="J91">
        <v>0.90200000000000002</v>
      </c>
    </row>
    <row r="92" spans="1:10" x14ac:dyDescent="0.3">
      <c r="A92" t="s">
        <v>219</v>
      </c>
      <c r="B92">
        <v>0.48</v>
      </c>
      <c r="C92">
        <v>0.23100000000000001</v>
      </c>
      <c r="D92">
        <v>6.3E-2</v>
      </c>
      <c r="E92">
        <v>0.1</v>
      </c>
      <c r="F92">
        <v>0.30299999999999999</v>
      </c>
      <c r="G92">
        <v>0.47799999999999998</v>
      </c>
      <c r="H92">
        <v>0.64900000000000002</v>
      </c>
      <c r="I92">
        <v>0.86199999999999999</v>
      </c>
      <c r="J92">
        <v>0.90100000000000002</v>
      </c>
    </row>
    <row r="93" spans="1:10" x14ac:dyDescent="0.3">
      <c r="A93" t="s">
        <v>218</v>
      </c>
      <c r="B93">
        <v>0.44800000000000001</v>
      </c>
      <c r="C93">
        <v>0.223</v>
      </c>
      <c r="D93">
        <v>6.4000000000000001E-2</v>
      </c>
      <c r="E93">
        <v>0.10100000000000001</v>
      </c>
      <c r="F93">
        <v>0.27100000000000002</v>
      </c>
      <c r="G93">
        <v>0.434</v>
      </c>
      <c r="H93">
        <v>0.61299999999999999</v>
      </c>
      <c r="I93">
        <v>0.84099999999999997</v>
      </c>
      <c r="J93">
        <v>0.88600000000000001</v>
      </c>
    </row>
    <row r="94" spans="1:10" x14ac:dyDescent="0.3">
      <c r="A94" t="s">
        <v>217</v>
      </c>
      <c r="B94">
        <v>0.47199999999999998</v>
      </c>
      <c r="C94">
        <v>0.22600000000000001</v>
      </c>
      <c r="D94">
        <v>6.8000000000000005E-2</v>
      </c>
      <c r="E94">
        <v>0.10199999999999999</v>
      </c>
      <c r="F94">
        <v>0.29699999999999999</v>
      </c>
      <c r="G94">
        <v>0.47399999999999998</v>
      </c>
      <c r="H94">
        <v>0.64300000000000002</v>
      </c>
      <c r="I94">
        <v>0.84699999999999998</v>
      </c>
      <c r="J94">
        <v>0.89500000000000002</v>
      </c>
    </row>
    <row r="95" spans="1:10" x14ac:dyDescent="0.3">
      <c r="A95" t="s">
        <v>216</v>
      </c>
      <c r="B95">
        <v>0.48199999999999998</v>
      </c>
      <c r="C95">
        <v>0.23</v>
      </c>
      <c r="D95">
        <v>7.1999999999999995E-2</v>
      </c>
      <c r="E95">
        <v>0.106</v>
      </c>
      <c r="F95">
        <v>0.30599999999999999</v>
      </c>
      <c r="G95">
        <v>0.48799999999999999</v>
      </c>
      <c r="H95">
        <v>0.66100000000000003</v>
      </c>
      <c r="I95">
        <v>0.85699999999999998</v>
      </c>
      <c r="J95">
        <v>0.89500000000000002</v>
      </c>
    </row>
    <row r="96" spans="1:10" x14ac:dyDescent="0.3">
      <c r="A96" t="s">
        <v>215</v>
      </c>
      <c r="B96">
        <v>0.42</v>
      </c>
      <c r="C96">
        <v>0.223</v>
      </c>
      <c r="D96">
        <v>5.8000000000000003E-2</v>
      </c>
      <c r="E96">
        <v>8.2000000000000003E-2</v>
      </c>
      <c r="F96">
        <v>0.24399999999999999</v>
      </c>
      <c r="G96">
        <v>0.40300000000000002</v>
      </c>
      <c r="H96">
        <v>0.57399999999999995</v>
      </c>
      <c r="I96">
        <v>0.82499999999999996</v>
      </c>
      <c r="J96">
        <v>0.88200000000000001</v>
      </c>
    </row>
    <row r="97" spans="1:10" x14ac:dyDescent="0.3">
      <c r="A97" t="s">
        <v>214</v>
      </c>
      <c r="B97">
        <v>0.47599999999999998</v>
      </c>
      <c r="C97">
        <v>0.22500000000000001</v>
      </c>
      <c r="D97">
        <v>6.5000000000000002E-2</v>
      </c>
      <c r="E97">
        <v>0.113</v>
      </c>
      <c r="F97">
        <v>0.30399999999999999</v>
      </c>
      <c r="G97">
        <v>0.47399999999999998</v>
      </c>
      <c r="H97">
        <v>0.64400000000000002</v>
      </c>
      <c r="I97">
        <v>0.85299999999999998</v>
      </c>
      <c r="J97">
        <v>0.90500000000000003</v>
      </c>
    </row>
    <row r="98" spans="1:10" x14ac:dyDescent="0.3">
      <c r="A98" t="s">
        <v>213</v>
      </c>
      <c r="B98">
        <v>0.51500000000000001</v>
      </c>
      <c r="C98">
        <v>0.23200000000000001</v>
      </c>
      <c r="D98">
        <v>7.1999999999999995E-2</v>
      </c>
      <c r="E98">
        <v>0.108</v>
      </c>
      <c r="F98">
        <v>0.34499999999999997</v>
      </c>
      <c r="G98">
        <v>0.52600000000000002</v>
      </c>
      <c r="H98">
        <v>0.69799999999999995</v>
      </c>
      <c r="I98">
        <v>0.873</v>
      </c>
      <c r="J98">
        <v>0.91300000000000003</v>
      </c>
    </row>
    <row r="99" spans="1:10" x14ac:dyDescent="0.3">
      <c r="A99" t="s">
        <v>212</v>
      </c>
      <c r="B99">
        <v>0.52400000000000002</v>
      </c>
      <c r="C99">
        <v>0.23400000000000001</v>
      </c>
      <c r="D99">
        <v>7.3999999999999996E-2</v>
      </c>
      <c r="E99">
        <v>0.113</v>
      </c>
      <c r="F99">
        <v>0.34799999999999998</v>
      </c>
      <c r="G99">
        <v>0.54</v>
      </c>
      <c r="H99">
        <v>0.71099999999999997</v>
      </c>
      <c r="I99">
        <v>0.88100000000000001</v>
      </c>
      <c r="J99">
        <v>0.91900000000000004</v>
      </c>
    </row>
    <row r="100" spans="1:10" x14ac:dyDescent="0.3">
      <c r="A100" t="s">
        <v>211</v>
      </c>
      <c r="B100">
        <v>0.46300000000000002</v>
      </c>
      <c r="C100">
        <v>0.22700000000000001</v>
      </c>
      <c r="D100">
        <v>7.2999999999999995E-2</v>
      </c>
      <c r="E100">
        <v>0.104</v>
      </c>
      <c r="F100">
        <v>0.28699999999999998</v>
      </c>
      <c r="G100">
        <v>0.45</v>
      </c>
      <c r="H100">
        <v>0.63600000000000001</v>
      </c>
      <c r="I100">
        <v>0.84099999999999997</v>
      </c>
      <c r="J100">
        <v>0.89200000000000002</v>
      </c>
    </row>
    <row r="101" spans="1:10" x14ac:dyDescent="0.3">
      <c r="A101" t="s">
        <v>210</v>
      </c>
      <c r="B101">
        <v>0.46100000000000002</v>
      </c>
      <c r="C101">
        <v>0.22600000000000001</v>
      </c>
      <c r="D101">
        <v>6.3E-2</v>
      </c>
      <c r="E101">
        <v>9.9000000000000005E-2</v>
      </c>
      <c r="F101">
        <v>0.28699999999999998</v>
      </c>
      <c r="G101">
        <v>0.45900000000000002</v>
      </c>
      <c r="H101">
        <v>0.626</v>
      </c>
      <c r="I101">
        <v>0.84599999999999997</v>
      </c>
      <c r="J101">
        <v>0.89</v>
      </c>
    </row>
    <row r="102" spans="1:10" x14ac:dyDescent="0.3">
      <c r="A102" t="s">
        <v>209</v>
      </c>
      <c r="B102">
        <v>0.46899999999999997</v>
      </c>
      <c r="C102">
        <v>0.23100000000000001</v>
      </c>
      <c r="D102">
        <v>6.3E-2</v>
      </c>
      <c r="E102">
        <v>0.104</v>
      </c>
      <c r="F102">
        <v>0.28799999999999998</v>
      </c>
      <c r="G102">
        <v>0.46700000000000003</v>
      </c>
      <c r="H102">
        <v>0.64500000000000002</v>
      </c>
      <c r="I102">
        <v>0.85499999999999998</v>
      </c>
      <c r="J102">
        <v>0.89900000000000002</v>
      </c>
    </row>
    <row r="103" spans="1:10" x14ac:dyDescent="0.3">
      <c r="A103" t="s">
        <v>208</v>
      </c>
      <c r="B103">
        <v>0.503</v>
      </c>
      <c r="C103">
        <v>0.23200000000000001</v>
      </c>
      <c r="D103">
        <v>6.5000000000000002E-2</v>
      </c>
      <c r="E103">
        <v>0.10100000000000001</v>
      </c>
      <c r="F103">
        <v>0.33300000000000002</v>
      </c>
      <c r="G103">
        <v>0.51</v>
      </c>
      <c r="H103">
        <v>0.68600000000000005</v>
      </c>
      <c r="I103">
        <v>0.878</v>
      </c>
      <c r="J103">
        <v>0.91400000000000003</v>
      </c>
    </row>
    <row r="104" spans="1:10" x14ac:dyDescent="0.3">
      <c r="A104" t="s">
        <v>207</v>
      </c>
      <c r="B104">
        <v>0.45100000000000001</v>
      </c>
      <c r="C104">
        <v>0.23499999999999999</v>
      </c>
      <c r="D104">
        <v>5.7000000000000002E-2</v>
      </c>
      <c r="E104">
        <v>8.3000000000000004E-2</v>
      </c>
      <c r="F104">
        <v>0.26500000000000001</v>
      </c>
      <c r="G104">
        <v>0.438</v>
      </c>
      <c r="H104">
        <v>0.63200000000000001</v>
      </c>
      <c r="I104">
        <v>0.85199999999999998</v>
      </c>
      <c r="J104">
        <v>0.90100000000000002</v>
      </c>
    </row>
    <row r="105" spans="1:10" x14ac:dyDescent="0.3">
      <c r="A105" t="s">
        <v>206</v>
      </c>
      <c r="B105">
        <v>0.34599999999999997</v>
      </c>
      <c r="C105">
        <v>0.124</v>
      </c>
      <c r="D105">
        <v>0.113</v>
      </c>
      <c r="E105">
        <v>0.14399999999999999</v>
      </c>
      <c r="F105">
        <v>0.25800000000000001</v>
      </c>
      <c r="G105">
        <v>0.34699999999999998</v>
      </c>
      <c r="H105">
        <v>0.43099999999999999</v>
      </c>
      <c r="I105">
        <v>0.54900000000000004</v>
      </c>
      <c r="J105">
        <v>0.59</v>
      </c>
    </row>
    <row r="106" spans="1:10" x14ac:dyDescent="0.3">
      <c r="A106" t="s">
        <v>205</v>
      </c>
      <c r="B106">
        <v>0.25800000000000001</v>
      </c>
      <c r="C106">
        <v>0.189</v>
      </c>
      <c r="D106">
        <v>0.02</v>
      </c>
      <c r="E106">
        <v>0.03</v>
      </c>
      <c r="F106">
        <v>0.108</v>
      </c>
      <c r="G106">
        <v>0.217</v>
      </c>
      <c r="H106">
        <v>0.36599999999999999</v>
      </c>
      <c r="I106">
        <v>0.625</v>
      </c>
      <c r="J106">
        <v>0.72599999999999998</v>
      </c>
    </row>
    <row r="107" spans="1:10" x14ac:dyDescent="0.3">
      <c r="A107" t="s">
        <v>204</v>
      </c>
      <c r="B107">
        <v>0.248</v>
      </c>
      <c r="C107">
        <v>0.19800000000000001</v>
      </c>
      <c r="D107">
        <v>1.7999999999999999E-2</v>
      </c>
      <c r="E107">
        <v>2.5999999999999999E-2</v>
      </c>
      <c r="F107">
        <v>9.1999999999999998E-2</v>
      </c>
      <c r="G107">
        <v>0.192</v>
      </c>
      <c r="H107">
        <v>0.35799999999999998</v>
      </c>
      <c r="I107">
        <v>0.65100000000000002</v>
      </c>
      <c r="J107">
        <v>0.754</v>
      </c>
    </row>
    <row r="108" spans="1:10" x14ac:dyDescent="0.3">
      <c r="A108" t="s">
        <v>203</v>
      </c>
      <c r="B108">
        <v>0.23100000000000001</v>
      </c>
      <c r="C108">
        <v>0.17199999999999999</v>
      </c>
      <c r="D108">
        <v>1.9E-2</v>
      </c>
      <c r="E108">
        <v>2.9000000000000001E-2</v>
      </c>
      <c r="F108">
        <v>9.8000000000000004E-2</v>
      </c>
      <c r="G108">
        <v>0.192</v>
      </c>
      <c r="H108">
        <v>0.32600000000000001</v>
      </c>
      <c r="I108">
        <v>0.56699999999999995</v>
      </c>
      <c r="J108">
        <v>0.67200000000000004</v>
      </c>
    </row>
    <row r="109" spans="1:10" x14ac:dyDescent="0.3">
      <c r="A109" t="s">
        <v>202</v>
      </c>
      <c r="B109">
        <v>0.376</v>
      </c>
      <c r="C109">
        <v>0.214</v>
      </c>
      <c r="D109">
        <v>3.5999999999999997E-2</v>
      </c>
      <c r="E109">
        <v>5.8999999999999997E-2</v>
      </c>
      <c r="F109">
        <v>0.20799999999999999</v>
      </c>
      <c r="G109">
        <v>0.35799999999999998</v>
      </c>
      <c r="H109">
        <v>0.52700000000000002</v>
      </c>
      <c r="I109">
        <v>0.76200000000000001</v>
      </c>
      <c r="J109">
        <v>0.82399999999999995</v>
      </c>
    </row>
    <row r="110" spans="1:10" x14ac:dyDescent="0.3">
      <c r="A110" t="s">
        <v>201</v>
      </c>
      <c r="B110">
        <v>0.34399999999999997</v>
      </c>
      <c r="C110">
        <v>0.2</v>
      </c>
      <c r="D110">
        <v>3.2000000000000001E-2</v>
      </c>
      <c r="E110">
        <v>5.2999999999999999E-2</v>
      </c>
      <c r="F110">
        <v>0.185</v>
      </c>
      <c r="G110">
        <v>0.33100000000000002</v>
      </c>
      <c r="H110">
        <v>0.47799999999999998</v>
      </c>
      <c r="I110">
        <v>0.70499999999999996</v>
      </c>
      <c r="J110">
        <v>0.77300000000000002</v>
      </c>
    </row>
    <row r="111" spans="1:10" x14ac:dyDescent="0.3">
      <c r="A111" t="s">
        <v>200</v>
      </c>
      <c r="B111">
        <v>0.41599999999999998</v>
      </c>
      <c r="C111">
        <v>0.22800000000000001</v>
      </c>
      <c r="D111">
        <v>3.2000000000000001E-2</v>
      </c>
      <c r="E111">
        <v>5.7000000000000002E-2</v>
      </c>
      <c r="F111">
        <v>0.23100000000000001</v>
      </c>
      <c r="G111">
        <v>0.41799999999999998</v>
      </c>
      <c r="H111">
        <v>0.58499999999999996</v>
      </c>
      <c r="I111">
        <v>0.80100000000000005</v>
      </c>
      <c r="J111">
        <v>0.85699999999999998</v>
      </c>
    </row>
    <row r="112" spans="1:10" x14ac:dyDescent="0.3">
      <c r="A112" t="s">
        <v>199</v>
      </c>
      <c r="B112">
        <v>0.66</v>
      </c>
      <c r="C112">
        <v>0.26200000000000001</v>
      </c>
      <c r="D112">
        <v>2.9000000000000001E-2</v>
      </c>
      <c r="E112">
        <v>5.5E-2</v>
      </c>
      <c r="F112">
        <v>0.58399999999999996</v>
      </c>
      <c r="G112">
        <v>0.746</v>
      </c>
      <c r="H112">
        <v>0.84499999999999997</v>
      </c>
      <c r="I112">
        <v>0.93300000000000005</v>
      </c>
      <c r="J112">
        <v>0.94699999999999995</v>
      </c>
    </row>
    <row r="113" spans="1:10" x14ac:dyDescent="0.3">
      <c r="A113" t="s">
        <v>198</v>
      </c>
      <c r="B113">
        <v>0.53400000000000003</v>
      </c>
      <c r="C113">
        <v>0.247</v>
      </c>
      <c r="D113">
        <v>0.04</v>
      </c>
      <c r="E113">
        <v>6.9000000000000006E-2</v>
      </c>
      <c r="F113">
        <v>0.35199999999999998</v>
      </c>
      <c r="G113">
        <v>0.58599999999999997</v>
      </c>
      <c r="H113">
        <v>0.72799999999999998</v>
      </c>
      <c r="I113">
        <v>0.86899999999999999</v>
      </c>
      <c r="J113">
        <v>0.90400000000000003</v>
      </c>
    </row>
    <row r="114" spans="1:10" x14ac:dyDescent="0.3">
      <c r="A114" t="s">
        <v>197</v>
      </c>
      <c r="B114">
        <v>0.32200000000000001</v>
      </c>
      <c r="C114">
        <v>0.19800000000000001</v>
      </c>
      <c r="D114">
        <v>3.3000000000000002E-2</v>
      </c>
      <c r="E114">
        <v>4.8000000000000001E-2</v>
      </c>
      <c r="F114">
        <v>0.16</v>
      </c>
      <c r="G114">
        <v>0.29699999999999999</v>
      </c>
      <c r="H114">
        <v>0.45400000000000001</v>
      </c>
      <c r="I114">
        <v>0.68700000000000006</v>
      </c>
      <c r="J114">
        <v>0.745</v>
      </c>
    </row>
    <row r="115" spans="1:10" x14ac:dyDescent="0.3">
      <c r="A115" t="s">
        <v>196</v>
      </c>
      <c r="B115">
        <v>0.29299999999999998</v>
      </c>
      <c r="C115">
        <v>0.192</v>
      </c>
      <c r="D115">
        <v>2.8000000000000001E-2</v>
      </c>
      <c r="E115">
        <v>4.2999999999999997E-2</v>
      </c>
      <c r="F115">
        <v>0.14299999999999999</v>
      </c>
      <c r="G115">
        <v>0.26200000000000001</v>
      </c>
      <c r="H115">
        <v>0.41299999999999998</v>
      </c>
      <c r="I115">
        <v>0.65100000000000002</v>
      </c>
      <c r="J115">
        <v>0.73499999999999999</v>
      </c>
    </row>
    <row r="116" spans="1:10" x14ac:dyDescent="0.3">
      <c r="A116" t="s">
        <v>195</v>
      </c>
      <c r="B116">
        <v>0.29499999999999998</v>
      </c>
      <c r="C116">
        <v>0.188</v>
      </c>
      <c r="D116">
        <v>2.5000000000000001E-2</v>
      </c>
      <c r="E116">
        <v>0.04</v>
      </c>
      <c r="F116">
        <v>0.14399999999999999</v>
      </c>
      <c r="G116">
        <v>0.27</v>
      </c>
      <c r="H116">
        <v>0.41699999999999998</v>
      </c>
      <c r="I116">
        <v>0.64700000000000002</v>
      </c>
      <c r="J116">
        <v>0.73499999999999999</v>
      </c>
    </row>
    <row r="117" spans="1:10" x14ac:dyDescent="0.3">
      <c r="A117" t="s">
        <v>194</v>
      </c>
      <c r="B117">
        <v>0.32700000000000001</v>
      </c>
      <c r="C117">
        <v>0.19700000000000001</v>
      </c>
      <c r="D117">
        <v>3.3000000000000002E-2</v>
      </c>
      <c r="E117">
        <v>0.05</v>
      </c>
      <c r="F117">
        <v>0.17100000000000001</v>
      </c>
      <c r="G117">
        <v>0.30299999999999999</v>
      </c>
      <c r="H117">
        <v>0.45500000000000002</v>
      </c>
      <c r="I117">
        <v>0.69299999999999995</v>
      </c>
      <c r="J117">
        <v>0.75800000000000001</v>
      </c>
    </row>
    <row r="118" spans="1:10" x14ac:dyDescent="0.3">
      <c r="A118" t="s">
        <v>193</v>
      </c>
      <c r="B118">
        <v>0.30099999999999999</v>
      </c>
      <c r="C118">
        <v>0.184</v>
      </c>
      <c r="D118">
        <v>2.7E-2</v>
      </c>
      <c r="E118">
        <v>4.7E-2</v>
      </c>
      <c r="F118">
        <v>0.157</v>
      </c>
      <c r="G118">
        <v>0.27900000000000003</v>
      </c>
      <c r="H118">
        <v>0.41699999999999998</v>
      </c>
      <c r="I118">
        <v>0.64</v>
      </c>
      <c r="J118">
        <v>0.71599999999999997</v>
      </c>
    </row>
    <row r="119" spans="1:10" x14ac:dyDescent="0.3">
      <c r="A119" t="s">
        <v>192</v>
      </c>
      <c r="B119">
        <v>0.28599999999999998</v>
      </c>
      <c r="C119">
        <v>0.184</v>
      </c>
      <c r="D119">
        <v>3.1E-2</v>
      </c>
      <c r="E119">
        <v>4.4999999999999998E-2</v>
      </c>
      <c r="F119">
        <v>0.13700000000000001</v>
      </c>
      <c r="G119">
        <v>0.25800000000000001</v>
      </c>
      <c r="H119">
        <v>0.39600000000000002</v>
      </c>
      <c r="I119">
        <v>0.63600000000000001</v>
      </c>
      <c r="J119">
        <v>0.72099999999999997</v>
      </c>
    </row>
    <row r="120" spans="1:10" x14ac:dyDescent="0.3">
      <c r="A120" t="s">
        <v>191</v>
      </c>
      <c r="B120">
        <v>0.36599999999999999</v>
      </c>
      <c r="C120">
        <v>0.20799999999999999</v>
      </c>
      <c r="D120">
        <v>3.5999999999999997E-2</v>
      </c>
      <c r="E120">
        <v>5.3999999999999999E-2</v>
      </c>
      <c r="F120">
        <v>0.20300000000000001</v>
      </c>
      <c r="G120">
        <v>0.35399999999999998</v>
      </c>
      <c r="H120">
        <v>0.51100000000000001</v>
      </c>
      <c r="I120">
        <v>0.74099999999999999</v>
      </c>
      <c r="J120">
        <v>0.80200000000000005</v>
      </c>
    </row>
    <row r="121" spans="1:10" x14ac:dyDescent="0.3">
      <c r="A121" t="s">
        <v>190</v>
      </c>
      <c r="B121">
        <v>0.31</v>
      </c>
      <c r="C121">
        <v>0.19</v>
      </c>
      <c r="D121">
        <v>2.8000000000000001E-2</v>
      </c>
      <c r="E121">
        <v>4.7E-2</v>
      </c>
      <c r="F121">
        <v>0.16</v>
      </c>
      <c r="G121">
        <v>0.28899999999999998</v>
      </c>
      <c r="H121">
        <v>0.43099999999999999</v>
      </c>
      <c r="I121">
        <v>0.65400000000000003</v>
      </c>
      <c r="J121">
        <v>0.73499999999999999</v>
      </c>
    </row>
    <row r="122" spans="1:10" x14ac:dyDescent="0.3">
      <c r="A122" t="s">
        <v>189</v>
      </c>
      <c r="B122">
        <v>0.26800000000000002</v>
      </c>
      <c r="C122">
        <v>0.18</v>
      </c>
      <c r="D122">
        <v>2.3E-2</v>
      </c>
      <c r="E122">
        <v>3.5999999999999997E-2</v>
      </c>
      <c r="F122">
        <v>0.127</v>
      </c>
      <c r="G122">
        <v>0.23599999999999999</v>
      </c>
      <c r="H122">
        <v>0.374</v>
      </c>
      <c r="I122">
        <v>0.60799999999999998</v>
      </c>
      <c r="J122">
        <v>0.69799999999999995</v>
      </c>
    </row>
    <row r="123" spans="1:10" x14ac:dyDescent="0.3">
      <c r="A123" t="s">
        <v>188</v>
      </c>
      <c r="B123">
        <v>0.23400000000000001</v>
      </c>
      <c r="C123">
        <v>0.16</v>
      </c>
      <c r="D123">
        <v>2.1999999999999999E-2</v>
      </c>
      <c r="E123">
        <v>3.4000000000000002E-2</v>
      </c>
      <c r="F123">
        <v>0.107</v>
      </c>
      <c r="G123">
        <v>0.20599999999999999</v>
      </c>
      <c r="H123">
        <v>0.32700000000000001</v>
      </c>
      <c r="I123">
        <v>0.54100000000000004</v>
      </c>
      <c r="J123">
        <v>0.625</v>
      </c>
    </row>
    <row r="124" spans="1:10" x14ac:dyDescent="0.3">
      <c r="A124" t="s">
        <v>187</v>
      </c>
      <c r="B124">
        <v>0.31900000000000001</v>
      </c>
      <c r="C124">
        <v>0.193</v>
      </c>
      <c r="D124">
        <v>3.2000000000000001E-2</v>
      </c>
      <c r="E124">
        <v>0.05</v>
      </c>
      <c r="F124">
        <v>0.16500000000000001</v>
      </c>
      <c r="G124">
        <v>0.29499999999999998</v>
      </c>
      <c r="H124">
        <v>0.44800000000000001</v>
      </c>
      <c r="I124">
        <v>0.67600000000000005</v>
      </c>
      <c r="J124">
        <v>0.752</v>
      </c>
    </row>
    <row r="125" spans="1:10" x14ac:dyDescent="0.3">
      <c r="A125" t="s">
        <v>186</v>
      </c>
      <c r="B125">
        <v>0.32200000000000001</v>
      </c>
      <c r="C125">
        <v>0.19800000000000001</v>
      </c>
      <c r="D125">
        <v>2.9000000000000001E-2</v>
      </c>
      <c r="E125">
        <v>4.9000000000000002E-2</v>
      </c>
      <c r="F125">
        <v>0.16200000000000001</v>
      </c>
      <c r="G125">
        <v>0.29899999999999999</v>
      </c>
      <c r="H125">
        <v>0.44900000000000001</v>
      </c>
      <c r="I125">
        <v>0.69099999999999995</v>
      </c>
      <c r="J125">
        <v>0.76800000000000002</v>
      </c>
    </row>
    <row r="126" spans="1:10" x14ac:dyDescent="0.3">
      <c r="A126" t="s">
        <v>185</v>
      </c>
      <c r="B126">
        <v>0.316</v>
      </c>
      <c r="C126">
        <v>0.191</v>
      </c>
      <c r="D126">
        <v>2.9000000000000001E-2</v>
      </c>
      <c r="E126">
        <v>4.4999999999999998E-2</v>
      </c>
      <c r="F126">
        <v>0.16400000000000001</v>
      </c>
      <c r="G126">
        <v>0.29499999999999998</v>
      </c>
      <c r="H126">
        <v>0.44500000000000001</v>
      </c>
      <c r="I126">
        <v>0.66</v>
      </c>
      <c r="J126">
        <v>0.73199999999999998</v>
      </c>
    </row>
    <row r="127" spans="1:10" x14ac:dyDescent="0.3">
      <c r="A127" t="s">
        <v>184</v>
      </c>
      <c r="B127">
        <v>0.27800000000000002</v>
      </c>
      <c r="C127">
        <v>0.184</v>
      </c>
      <c r="D127">
        <v>2.5000000000000001E-2</v>
      </c>
      <c r="E127">
        <v>0.04</v>
      </c>
      <c r="F127">
        <v>0.127</v>
      </c>
      <c r="G127">
        <v>0.249</v>
      </c>
      <c r="H127">
        <v>0.39600000000000002</v>
      </c>
      <c r="I127">
        <v>0.62</v>
      </c>
      <c r="J127">
        <v>0.70699999999999996</v>
      </c>
    </row>
    <row r="128" spans="1:10" x14ac:dyDescent="0.3">
      <c r="A128" t="s">
        <v>183</v>
      </c>
      <c r="B128">
        <v>0.35599999999999998</v>
      </c>
      <c r="C128">
        <v>0.214</v>
      </c>
      <c r="D128">
        <v>2.5000000000000001E-2</v>
      </c>
      <c r="E128">
        <v>4.2000000000000003E-2</v>
      </c>
      <c r="F128">
        <v>0.183</v>
      </c>
      <c r="G128">
        <v>0.33800000000000002</v>
      </c>
      <c r="H128">
        <v>0.51</v>
      </c>
      <c r="I128">
        <v>0.73499999999999999</v>
      </c>
      <c r="J128">
        <v>0.79400000000000004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313</v>
      </c>
    </row>
    <row r="3" spans="1:1" x14ac:dyDescent="0.3">
      <c r="A3" t="s">
        <v>325</v>
      </c>
    </row>
    <row r="4" spans="1:1" x14ac:dyDescent="0.3">
      <c r="A4" t="s">
        <v>313</v>
      </c>
    </row>
    <row r="6" spans="1:1" x14ac:dyDescent="0.3">
      <c r="A6" t="s">
        <v>324</v>
      </c>
    </row>
    <row r="9" spans="1:1" x14ac:dyDescent="0.3">
      <c r="A9" t="s">
        <v>1325</v>
      </c>
    </row>
    <row r="11" spans="1:1" x14ac:dyDescent="0.3">
      <c r="A11" t="s">
        <v>323</v>
      </c>
    </row>
    <row r="12" spans="1:1" x14ac:dyDescent="0.3">
      <c r="A12" t="s">
        <v>827</v>
      </c>
    </row>
    <row r="14" spans="1:1" x14ac:dyDescent="0.3">
      <c r="A14" t="s">
        <v>323</v>
      </c>
    </row>
    <row r="15" spans="1:1" x14ac:dyDescent="0.3">
      <c r="A15" t="s">
        <v>826</v>
      </c>
    </row>
    <row r="18" spans="1:1" x14ac:dyDescent="0.3">
      <c r="A18" t="s">
        <v>322</v>
      </c>
    </row>
    <row r="20" spans="1:1" x14ac:dyDescent="0.3">
      <c r="A20" t="s">
        <v>321</v>
      </c>
    </row>
    <row r="21" spans="1:1" x14ac:dyDescent="0.3">
      <c r="A21" t="s">
        <v>1324</v>
      </c>
    </row>
    <row r="22" spans="1:1" x14ac:dyDescent="0.3">
      <c r="A22" t="s">
        <v>1323</v>
      </c>
    </row>
    <row r="23" spans="1:1" x14ac:dyDescent="0.3">
      <c r="A23" t="s">
        <v>1322</v>
      </c>
    </row>
    <row r="24" spans="1:1" x14ac:dyDescent="0.3">
      <c r="A24" t="s">
        <v>1321</v>
      </c>
    </row>
    <row r="25" spans="1:1" x14ac:dyDescent="0.3">
      <c r="A25" t="s">
        <v>1320</v>
      </c>
    </row>
    <row r="26" spans="1:1" x14ac:dyDescent="0.3">
      <c r="A26" t="s">
        <v>1319</v>
      </c>
    </row>
    <row r="27" spans="1:1" x14ac:dyDescent="0.3">
      <c r="A27" t="s">
        <v>1318</v>
      </c>
    </row>
    <row r="28" spans="1:1" x14ac:dyDescent="0.3">
      <c r="A28" t="s">
        <v>1317</v>
      </c>
    </row>
    <row r="29" spans="1:1" x14ac:dyDescent="0.3">
      <c r="A29" t="s">
        <v>1316</v>
      </c>
    </row>
    <row r="30" spans="1:1" x14ac:dyDescent="0.3">
      <c r="A30" t="s">
        <v>1315</v>
      </c>
    </row>
    <row r="33" spans="1:1" x14ac:dyDescent="0.3">
      <c r="A33" t="s">
        <v>320</v>
      </c>
    </row>
    <row r="35" spans="1:1" x14ac:dyDescent="0.3">
      <c r="A35" t="s">
        <v>319</v>
      </c>
    </row>
    <row r="36" spans="1:1" x14ac:dyDescent="0.3">
      <c r="A36" t="s">
        <v>1314</v>
      </c>
    </row>
    <row r="37" spans="1:1" x14ac:dyDescent="0.3">
      <c r="A37" t="s">
        <v>318</v>
      </c>
    </row>
    <row r="38" spans="1:1" x14ac:dyDescent="0.3">
      <c r="A38" t="s">
        <v>317</v>
      </c>
    </row>
    <row r="39" spans="1:1" x14ac:dyDescent="0.3">
      <c r="A39" t="s">
        <v>316</v>
      </c>
    </row>
    <row r="40" spans="1:1" x14ac:dyDescent="0.3">
      <c r="A40" t="s">
        <v>315</v>
      </c>
    </row>
    <row r="41" spans="1:1" x14ac:dyDescent="0.3">
      <c r="A41" t="s">
        <v>1313</v>
      </c>
    </row>
    <row r="42" spans="1:1" x14ac:dyDescent="0.3">
      <c r="A42" t="s">
        <v>1312</v>
      </c>
    </row>
    <row r="43" spans="1:1" x14ac:dyDescent="0.3">
      <c r="A43" t="s">
        <v>1311</v>
      </c>
    </row>
    <row r="44" spans="1:1" x14ac:dyDescent="0.3">
      <c r="A44" t="s">
        <v>1310</v>
      </c>
    </row>
    <row r="45" spans="1:1" x14ac:dyDescent="0.3">
      <c r="A45" t="s">
        <v>1309</v>
      </c>
    </row>
    <row r="46" spans="1:1" x14ac:dyDescent="0.3">
      <c r="A46" t="s">
        <v>1308</v>
      </c>
    </row>
    <row r="47" spans="1:1" x14ac:dyDescent="0.3">
      <c r="A47" t="s">
        <v>1307</v>
      </c>
    </row>
    <row r="48" spans="1:1" x14ac:dyDescent="0.3">
      <c r="A48" t="s">
        <v>1306</v>
      </c>
    </row>
    <row r="49" spans="1:1" x14ac:dyDescent="0.3">
      <c r="A49" t="s">
        <v>1305</v>
      </c>
    </row>
    <row r="50" spans="1:1" x14ac:dyDescent="0.3">
      <c r="A50" t="s">
        <v>1304</v>
      </c>
    </row>
    <row r="51" spans="1:1" x14ac:dyDescent="0.3">
      <c r="A51" t="s">
        <v>1303</v>
      </c>
    </row>
    <row r="52" spans="1:1" x14ac:dyDescent="0.3">
      <c r="A52" t="s">
        <v>1302</v>
      </c>
    </row>
    <row r="53" spans="1:1" x14ac:dyDescent="0.3">
      <c r="A53" t="s">
        <v>1301</v>
      </c>
    </row>
    <row r="54" spans="1:1" x14ac:dyDescent="0.3">
      <c r="A54" t="s">
        <v>1300</v>
      </c>
    </row>
    <row r="55" spans="1:1" x14ac:dyDescent="0.3">
      <c r="A55" t="s">
        <v>1299</v>
      </c>
    </row>
    <row r="56" spans="1:1" x14ac:dyDescent="0.3">
      <c r="A56" t="s">
        <v>1298</v>
      </c>
    </row>
    <row r="57" spans="1:1" x14ac:dyDescent="0.3">
      <c r="A57" t="s">
        <v>1297</v>
      </c>
    </row>
    <row r="58" spans="1:1" x14ac:dyDescent="0.3">
      <c r="A58" t="s">
        <v>1296</v>
      </c>
    </row>
    <row r="59" spans="1:1" x14ac:dyDescent="0.3">
      <c r="A59" t="s">
        <v>1295</v>
      </c>
    </row>
    <row r="60" spans="1:1" x14ac:dyDescent="0.3">
      <c r="A60" t="s">
        <v>1294</v>
      </c>
    </row>
    <row r="61" spans="1:1" x14ac:dyDescent="0.3">
      <c r="A61" t="s">
        <v>1293</v>
      </c>
    </row>
    <row r="62" spans="1:1" x14ac:dyDescent="0.3">
      <c r="A62" t="s">
        <v>1292</v>
      </c>
    </row>
    <row r="63" spans="1:1" x14ac:dyDescent="0.3">
      <c r="A63" t="s">
        <v>1291</v>
      </c>
    </row>
    <row r="64" spans="1:1" x14ac:dyDescent="0.3">
      <c r="A64" t="s">
        <v>1290</v>
      </c>
    </row>
    <row r="65" spans="1:1" x14ac:dyDescent="0.3">
      <c r="A65" t="s">
        <v>1289</v>
      </c>
    </row>
    <row r="66" spans="1:1" x14ac:dyDescent="0.3">
      <c r="A66" t="s">
        <v>1288</v>
      </c>
    </row>
    <row r="67" spans="1:1" x14ac:dyDescent="0.3">
      <c r="A67" t="s">
        <v>1287</v>
      </c>
    </row>
    <row r="68" spans="1:1" x14ac:dyDescent="0.3">
      <c r="A68" t="s">
        <v>1286</v>
      </c>
    </row>
    <row r="69" spans="1:1" x14ac:dyDescent="0.3">
      <c r="A69" t="s">
        <v>1285</v>
      </c>
    </row>
    <row r="70" spans="1:1" x14ac:dyDescent="0.3">
      <c r="A70" t="s">
        <v>1284</v>
      </c>
    </row>
    <row r="71" spans="1:1" x14ac:dyDescent="0.3">
      <c r="A71" t="s">
        <v>1283</v>
      </c>
    </row>
    <row r="72" spans="1:1" x14ac:dyDescent="0.3">
      <c r="A72" t="s">
        <v>1282</v>
      </c>
    </row>
    <row r="73" spans="1:1" x14ac:dyDescent="0.3">
      <c r="A73" t="s">
        <v>1281</v>
      </c>
    </row>
    <row r="74" spans="1:1" x14ac:dyDescent="0.3">
      <c r="A74" t="s">
        <v>1280</v>
      </c>
    </row>
    <row r="75" spans="1:1" x14ac:dyDescent="0.3">
      <c r="A75" t="s">
        <v>1279</v>
      </c>
    </row>
    <row r="76" spans="1:1" x14ac:dyDescent="0.3">
      <c r="A76" t="s">
        <v>1278</v>
      </c>
    </row>
    <row r="77" spans="1:1" x14ac:dyDescent="0.3">
      <c r="A77" t="s">
        <v>1277</v>
      </c>
    </row>
    <row r="78" spans="1:1" x14ac:dyDescent="0.3">
      <c r="A78" t="s">
        <v>1276</v>
      </c>
    </row>
    <row r="79" spans="1:1" x14ac:dyDescent="0.3">
      <c r="A79" t="s">
        <v>1275</v>
      </c>
    </row>
    <row r="80" spans="1:1" x14ac:dyDescent="0.3">
      <c r="A80" t="s">
        <v>1274</v>
      </c>
    </row>
    <row r="81" spans="1:1" x14ac:dyDescent="0.3">
      <c r="A81" t="s">
        <v>1273</v>
      </c>
    </row>
    <row r="82" spans="1:1" x14ac:dyDescent="0.3">
      <c r="A82" t="s">
        <v>1272</v>
      </c>
    </row>
    <row r="83" spans="1:1" x14ac:dyDescent="0.3">
      <c r="A83" t="s">
        <v>1271</v>
      </c>
    </row>
    <row r="84" spans="1:1" x14ac:dyDescent="0.3">
      <c r="A84" t="s">
        <v>1270</v>
      </c>
    </row>
    <row r="85" spans="1:1" x14ac:dyDescent="0.3">
      <c r="A85" t="s">
        <v>1269</v>
      </c>
    </row>
    <row r="86" spans="1:1" x14ac:dyDescent="0.3">
      <c r="A86" t="s">
        <v>1268</v>
      </c>
    </row>
    <row r="87" spans="1:1" x14ac:dyDescent="0.3">
      <c r="A87" t="s">
        <v>1267</v>
      </c>
    </row>
    <row r="88" spans="1:1" x14ac:dyDescent="0.3">
      <c r="A88" t="s">
        <v>1266</v>
      </c>
    </row>
    <row r="89" spans="1:1" x14ac:dyDescent="0.3">
      <c r="A89" t="s">
        <v>1265</v>
      </c>
    </row>
    <row r="90" spans="1:1" x14ac:dyDescent="0.3">
      <c r="A90" t="s">
        <v>1264</v>
      </c>
    </row>
    <row r="91" spans="1:1" x14ac:dyDescent="0.3">
      <c r="A91" t="s">
        <v>1263</v>
      </c>
    </row>
    <row r="92" spans="1:1" x14ac:dyDescent="0.3">
      <c r="A92" t="s">
        <v>1262</v>
      </c>
    </row>
    <row r="93" spans="1:1" x14ac:dyDescent="0.3">
      <c r="A93" t="s">
        <v>1261</v>
      </c>
    </row>
    <row r="94" spans="1:1" x14ac:dyDescent="0.3">
      <c r="A94" t="s">
        <v>1260</v>
      </c>
    </row>
    <row r="95" spans="1:1" x14ac:dyDescent="0.3">
      <c r="A95" t="s">
        <v>1259</v>
      </c>
    </row>
    <row r="96" spans="1:1" x14ac:dyDescent="0.3">
      <c r="A96" t="s">
        <v>1258</v>
      </c>
    </row>
    <row r="97" spans="1:1" x14ac:dyDescent="0.3">
      <c r="A97" t="s">
        <v>1257</v>
      </c>
    </row>
    <row r="98" spans="1:1" x14ac:dyDescent="0.3">
      <c r="A98" t="s">
        <v>1256</v>
      </c>
    </row>
    <row r="99" spans="1:1" x14ac:dyDescent="0.3">
      <c r="A99" t="s">
        <v>1255</v>
      </c>
    </row>
    <row r="100" spans="1:1" x14ac:dyDescent="0.3">
      <c r="A100" t="s">
        <v>1254</v>
      </c>
    </row>
    <row r="101" spans="1:1" x14ac:dyDescent="0.3">
      <c r="A101" t="s">
        <v>1253</v>
      </c>
    </row>
    <row r="102" spans="1:1" x14ac:dyDescent="0.3">
      <c r="A102" t="s">
        <v>1252</v>
      </c>
    </row>
    <row r="103" spans="1:1" x14ac:dyDescent="0.3">
      <c r="A103" t="s">
        <v>1251</v>
      </c>
    </row>
    <row r="104" spans="1:1" x14ac:dyDescent="0.3">
      <c r="A104" t="s">
        <v>1250</v>
      </c>
    </row>
    <row r="105" spans="1:1" x14ac:dyDescent="0.3">
      <c r="A105" t="s">
        <v>1249</v>
      </c>
    </row>
    <row r="106" spans="1:1" x14ac:dyDescent="0.3">
      <c r="A106" t="s">
        <v>1248</v>
      </c>
    </row>
    <row r="107" spans="1:1" x14ac:dyDescent="0.3">
      <c r="A107" t="s">
        <v>1247</v>
      </c>
    </row>
    <row r="108" spans="1:1" x14ac:dyDescent="0.3">
      <c r="A108" t="s">
        <v>1246</v>
      </c>
    </row>
    <row r="109" spans="1:1" x14ac:dyDescent="0.3">
      <c r="A109" t="s">
        <v>1245</v>
      </c>
    </row>
    <row r="110" spans="1:1" x14ac:dyDescent="0.3">
      <c r="A110" t="s">
        <v>1244</v>
      </c>
    </row>
    <row r="111" spans="1:1" x14ac:dyDescent="0.3">
      <c r="A111" t="s">
        <v>1243</v>
      </c>
    </row>
    <row r="112" spans="1:1" x14ac:dyDescent="0.3">
      <c r="A112" t="s">
        <v>1242</v>
      </c>
    </row>
    <row r="113" spans="1:1" x14ac:dyDescent="0.3">
      <c r="A113" t="s">
        <v>1241</v>
      </c>
    </row>
    <row r="114" spans="1:1" x14ac:dyDescent="0.3">
      <c r="A114" t="s">
        <v>1240</v>
      </c>
    </row>
    <row r="115" spans="1:1" x14ac:dyDescent="0.3">
      <c r="A115" t="s">
        <v>1239</v>
      </c>
    </row>
    <row r="116" spans="1:1" x14ac:dyDescent="0.3">
      <c r="A116" t="s">
        <v>1238</v>
      </c>
    </row>
    <row r="117" spans="1:1" x14ac:dyDescent="0.3">
      <c r="A117" t="s">
        <v>1237</v>
      </c>
    </row>
    <row r="118" spans="1:1" x14ac:dyDescent="0.3">
      <c r="A118" t="s">
        <v>1236</v>
      </c>
    </row>
    <row r="119" spans="1:1" x14ac:dyDescent="0.3">
      <c r="A119" t="s">
        <v>1235</v>
      </c>
    </row>
    <row r="120" spans="1:1" x14ac:dyDescent="0.3">
      <c r="A120" t="s">
        <v>1234</v>
      </c>
    </row>
    <row r="121" spans="1:1" x14ac:dyDescent="0.3">
      <c r="A121" t="s">
        <v>1233</v>
      </c>
    </row>
    <row r="122" spans="1:1" x14ac:dyDescent="0.3">
      <c r="A122" t="s">
        <v>1232</v>
      </c>
    </row>
    <row r="123" spans="1:1" x14ac:dyDescent="0.3">
      <c r="A123" t="s">
        <v>1231</v>
      </c>
    </row>
    <row r="124" spans="1:1" x14ac:dyDescent="0.3">
      <c r="A124" t="s">
        <v>1230</v>
      </c>
    </row>
    <row r="125" spans="1:1" x14ac:dyDescent="0.3">
      <c r="A125" t="s">
        <v>1229</v>
      </c>
    </row>
    <row r="126" spans="1:1" x14ac:dyDescent="0.3">
      <c r="A126" t="s">
        <v>1228</v>
      </c>
    </row>
    <row r="127" spans="1:1" x14ac:dyDescent="0.3">
      <c r="A127" t="s">
        <v>1227</v>
      </c>
    </row>
    <row r="128" spans="1:1" x14ac:dyDescent="0.3">
      <c r="A128" t="s">
        <v>1226</v>
      </c>
    </row>
    <row r="129" spans="1:1" x14ac:dyDescent="0.3">
      <c r="A129" t="s">
        <v>1225</v>
      </c>
    </row>
    <row r="130" spans="1:1" x14ac:dyDescent="0.3">
      <c r="A130" t="s">
        <v>1224</v>
      </c>
    </row>
    <row r="131" spans="1:1" x14ac:dyDescent="0.3">
      <c r="A131" t="s">
        <v>1223</v>
      </c>
    </row>
    <row r="132" spans="1:1" x14ac:dyDescent="0.3">
      <c r="A132" t="s">
        <v>1222</v>
      </c>
    </row>
    <row r="133" spans="1:1" x14ac:dyDescent="0.3">
      <c r="A133" t="s">
        <v>1221</v>
      </c>
    </row>
    <row r="134" spans="1:1" x14ac:dyDescent="0.3">
      <c r="A134" t="s">
        <v>1220</v>
      </c>
    </row>
    <row r="135" spans="1:1" x14ac:dyDescent="0.3">
      <c r="A135" t="s">
        <v>1219</v>
      </c>
    </row>
    <row r="136" spans="1:1" x14ac:dyDescent="0.3">
      <c r="A136" t="s">
        <v>1218</v>
      </c>
    </row>
    <row r="137" spans="1:1" x14ac:dyDescent="0.3">
      <c r="A137" t="s">
        <v>1217</v>
      </c>
    </row>
    <row r="138" spans="1:1" x14ac:dyDescent="0.3">
      <c r="A138" t="s">
        <v>1216</v>
      </c>
    </row>
    <row r="139" spans="1:1" x14ac:dyDescent="0.3">
      <c r="A139" t="s">
        <v>1215</v>
      </c>
    </row>
    <row r="140" spans="1:1" x14ac:dyDescent="0.3">
      <c r="A140" t="s">
        <v>1214</v>
      </c>
    </row>
    <row r="141" spans="1:1" x14ac:dyDescent="0.3">
      <c r="A141" t="s">
        <v>1213</v>
      </c>
    </row>
    <row r="142" spans="1:1" x14ac:dyDescent="0.3">
      <c r="A142" t="s">
        <v>1212</v>
      </c>
    </row>
    <row r="143" spans="1:1" x14ac:dyDescent="0.3">
      <c r="A143" t="s">
        <v>1211</v>
      </c>
    </row>
    <row r="144" spans="1:1" x14ac:dyDescent="0.3">
      <c r="A144" t="s">
        <v>1210</v>
      </c>
    </row>
    <row r="145" spans="1:1" x14ac:dyDescent="0.3">
      <c r="A145" t="s">
        <v>1209</v>
      </c>
    </row>
    <row r="146" spans="1:1" x14ac:dyDescent="0.3">
      <c r="A146" t="s">
        <v>1208</v>
      </c>
    </row>
    <row r="147" spans="1:1" x14ac:dyDescent="0.3">
      <c r="A147" t="s">
        <v>1207</v>
      </c>
    </row>
    <row r="148" spans="1:1" x14ac:dyDescent="0.3">
      <c r="A148" t="s">
        <v>1206</v>
      </c>
    </row>
    <row r="149" spans="1:1" x14ac:dyDescent="0.3">
      <c r="A149" t="s">
        <v>1205</v>
      </c>
    </row>
    <row r="150" spans="1:1" x14ac:dyDescent="0.3">
      <c r="A150" t="s">
        <v>1204</v>
      </c>
    </row>
    <row r="151" spans="1:1" x14ac:dyDescent="0.3">
      <c r="A151" t="s">
        <v>1203</v>
      </c>
    </row>
    <row r="152" spans="1:1" x14ac:dyDescent="0.3">
      <c r="A152" t="s">
        <v>1202</v>
      </c>
    </row>
    <row r="153" spans="1:1" x14ac:dyDescent="0.3">
      <c r="A153" t="s">
        <v>1201</v>
      </c>
    </row>
    <row r="154" spans="1:1" x14ac:dyDescent="0.3">
      <c r="A154" t="s">
        <v>1200</v>
      </c>
    </row>
    <row r="155" spans="1:1" x14ac:dyDescent="0.3">
      <c r="A155" t="s">
        <v>1199</v>
      </c>
    </row>
    <row r="156" spans="1:1" x14ac:dyDescent="0.3">
      <c r="A156" t="s">
        <v>1198</v>
      </c>
    </row>
    <row r="157" spans="1:1" x14ac:dyDescent="0.3">
      <c r="A157" t="s">
        <v>1197</v>
      </c>
    </row>
    <row r="158" spans="1:1" x14ac:dyDescent="0.3">
      <c r="A158" t="s">
        <v>1196</v>
      </c>
    </row>
    <row r="159" spans="1:1" x14ac:dyDescent="0.3">
      <c r="A159" t="s">
        <v>1195</v>
      </c>
    </row>
    <row r="160" spans="1:1" x14ac:dyDescent="0.3">
      <c r="A160" t="s">
        <v>1194</v>
      </c>
    </row>
    <row r="161" spans="1:1" x14ac:dyDescent="0.3">
      <c r="A161" t="s">
        <v>1193</v>
      </c>
    </row>
    <row r="162" spans="1:1" x14ac:dyDescent="0.3">
      <c r="A162" t="s">
        <v>1192</v>
      </c>
    </row>
    <row r="163" spans="1:1" x14ac:dyDescent="0.3">
      <c r="A163" t="s">
        <v>1191</v>
      </c>
    </row>
    <row r="164" spans="1:1" x14ac:dyDescent="0.3">
      <c r="A164" t="s">
        <v>1190</v>
      </c>
    </row>
    <row r="165" spans="1:1" x14ac:dyDescent="0.3">
      <c r="A165" t="s">
        <v>1189</v>
      </c>
    </row>
    <row r="166" spans="1:1" x14ac:dyDescent="0.3">
      <c r="A166" t="s">
        <v>1188</v>
      </c>
    </row>
    <row r="167" spans="1:1" x14ac:dyDescent="0.3">
      <c r="A167" t="s">
        <v>1187</v>
      </c>
    </row>
    <row r="168" spans="1:1" x14ac:dyDescent="0.3">
      <c r="A168" t="s">
        <v>1186</v>
      </c>
    </row>
    <row r="169" spans="1:1" x14ac:dyDescent="0.3">
      <c r="A169" t="s">
        <v>1185</v>
      </c>
    </row>
    <row r="170" spans="1:1" x14ac:dyDescent="0.3">
      <c r="A170" t="s">
        <v>1184</v>
      </c>
    </row>
    <row r="171" spans="1:1" x14ac:dyDescent="0.3">
      <c r="A171" t="s">
        <v>1183</v>
      </c>
    </row>
    <row r="172" spans="1:1" x14ac:dyDescent="0.3">
      <c r="A172" t="s">
        <v>1182</v>
      </c>
    </row>
    <row r="173" spans="1:1" x14ac:dyDescent="0.3">
      <c r="A173" t="s">
        <v>1181</v>
      </c>
    </row>
    <row r="174" spans="1:1" x14ac:dyDescent="0.3">
      <c r="A174" t="s">
        <v>1180</v>
      </c>
    </row>
    <row r="175" spans="1:1" x14ac:dyDescent="0.3">
      <c r="A175" t="s">
        <v>1179</v>
      </c>
    </row>
    <row r="176" spans="1:1" x14ac:dyDescent="0.3">
      <c r="A176" t="s">
        <v>1178</v>
      </c>
    </row>
    <row r="177" spans="1:1" x14ac:dyDescent="0.3">
      <c r="A177" t="s">
        <v>1177</v>
      </c>
    </row>
    <row r="178" spans="1:1" x14ac:dyDescent="0.3">
      <c r="A178" t="s">
        <v>1176</v>
      </c>
    </row>
    <row r="179" spans="1:1" x14ac:dyDescent="0.3">
      <c r="A179" t="s">
        <v>1175</v>
      </c>
    </row>
    <row r="180" spans="1:1" x14ac:dyDescent="0.3">
      <c r="A180" t="s">
        <v>1174</v>
      </c>
    </row>
    <row r="181" spans="1:1" x14ac:dyDescent="0.3">
      <c r="A181" t="s">
        <v>1173</v>
      </c>
    </row>
    <row r="182" spans="1:1" x14ac:dyDescent="0.3">
      <c r="A182" t="s">
        <v>1172</v>
      </c>
    </row>
    <row r="183" spans="1:1" x14ac:dyDescent="0.3">
      <c r="A183" t="s">
        <v>1171</v>
      </c>
    </row>
    <row r="184" spans="1:1" x14ac:dyDescent="0.3">
      <c r="A184" t="s">
        <v>1170</v>
      </c>
    </row>
    <row r="185" spans="1:1" x14ac:dyDescent="0.3">
      <c r="A185" t="s">
        <v>1169</v>
      </c>
    </row>
    <row r="186" spans="1:1" x14ac:dyDescent="0.3">
      <c r="A186" t="s">
        <v>1168</v>
      </c>
    </row>
    <row r="187" spans="1:1" x14ac:dyDescent="0.3">
      <c r="A187" t="s">
        <v>1167</v>
      </c>
    </row>
    <row r="188" spans="1:1" x14ac:dyDescent="0.3">
      <c r="A188" t="s">
        <v>1166</v>
      </c>
    </row>
    <row r="189" spans="1:1" x14ac:dyDescent="0.3">
      <c r="A189" t="s">
        <v>1165</v>
      </c>
    </row>
    <row r="190" spans="1:1" x14ac:dyDescent="0.3">
      <c r="A190" t="s">
        <v>1164</v>
      </c>
    </row>
    <row r="191" spans="1:1" x14ac:dyDescent="0.3">
      <c r="A191" t="s">
        <v>1163</v>
      </c>
    </row>
    <row r="192" spans="1:1" x14ac:dyDescent="0.3">
      <c r="A192" t="s">
        <v>1162</v>
      </c>
    </row>
    <row r="193" spans="1:1" x14ac:dyDescent="0.3">
      <c r="A193" t="s">
        <v>1161</v>
      </c>
    </row>
    <row r="194" spans="1:1" x14ac:dyDescent="0.3">
      <c r="A194" t="s">
        <v>1160</v>
      </c>
    </row>
    <row r="195" spans="1:1" x14ac:dyDescent="0.3">
      <c r="A195" t="s">
        <v>1159</v>
      </c>
    </row>
    <row r="196" spans="1:1" x14ac:dyDescent="0.3">
      <c r="A196" t="s">
        <v>1158</v>
      </c>
    </row>
    <row r="197" spans="1:1" x14ac:dyDescent="0.3">
      <c r="A197" t="s">
        <v>1157</v>
      </c>
    </row>
    <row r="198" spans="1:1" x14ac:dyDescent="0.3">
      <c r="A198" t="s">
        <v>1156</v>
      </c>
    </row>
    <row r="199" spans="1:1" x14ac:dyDescent="0.3">
      <c r="A199" t="s">
        <v>1155</v>
      </c>
    </row>
    <row r="200" spans="1:1" x14ac:dyDescent="0.3">
      <c r="A200" t="s">
        <v>1154</v>
      </c>
    </row>
    <row r="201" spans="1:1" x14ac:dyDescent="0.3">
      <c r="A201" t="s">
        <v>1153</v>
      </c>
    </row>
    <row r="202" spans="1:1" x14ac:dyDescent="0.3">
      <c r="A202" t="s">
        <v>1152</v>
      </c>
    </row>
    <row r="203" spans="1:1" x14ac:dyDescent="0.3">
      <c r="A203" t="s">
        <v>1151</v>
      </c>
    </row>
    <row r="204" spans="1:1" x14ac:dyDescent="0.3">
      <c r="A204" t="s">
        <v>1150</v>
      </c>
    </row>
    <row r="205" spans="1:1" x14ac:dyDescent="0.3">
      <c r="A205" t="s">
        <v>1149</v>
      </c>
    </row>
    <row r="206" spans="1:1" x14ac:dyDescent="0.3">
      <c r="A206" t="s">
        <v>1148</v>
      </c>
    </row>
    <row r="207" spans="1:1" x14ac:dyDescent="0.3">
      <c r="A207" t="s">
        <v>1147</v>
      </c>
    </row>
    <row r="208" spans="1:1" x14ac:dyDescent="0.3">
      <c r="A208" t="s">
        <v>1146</v>
      </c>
    </row>
    <row r="209" spans="1:1" x14ac:dyDescent="0.3">
      <c r="A209" t="s">
        <v>1145</v>
      </c>
    </row>
    <row r="210" spans="1:1" x14ac:dyDescent="0.3">
      <c r="A210" t="s">
        <v>1144</v>
      </c>
    </row>
    <row r="211" spans="1:1" x14ac:dyDescent="0.3">
      <c r="A211" t="s">
        <v>1143</v>
      </c>
    </row>
    <row r="212" spans="1:1" x14ac:dyDescent="0.3">
      <c r="A212" t="s">
        <v>1142</v>
      </c>
    </row>
    <row r="213" spans="1:1" x14ac:dyDescent="0.3">
      <c r="A213" t="s">
        <v>1141</v>
      </c>
    </row>
    <row r="214" spans="1:1" x14ac:dyDescent="0.3">
      <c r="A214" t="s">
        <v>1140</v>
      </c>
    </row>
    <row r="215" spans="1:1" x14ac:dyDescent="0.3">
      <c r="A215" t="s">
        <v>1139</v>
      </c>
    </row>
    <row r="216" spans="1:1" x14ac:dyDescent="0.3">
      <c r="A216" t="s">
        <v>1138</v>
      </c>
    </row>
    <row r="217" spans="1:1" x14ac:dyDescent="0.3">
      <c r="A217" t="s">
        <v>1137</v>
      </c>
    </row>
    <row r="218" spans="1:1" x14ac:dyDescent="0.3">
      <c r="A218" t="s">
        <v>1136</v>
      </c>
    </row>
    <row r="219" spans="1:1" x14ac:dyDescent="0.3">
      <c r="A219" t="s">
        <v>1135</v>
      </c>
    </row>
    <row r="220" spans="1:1" x14ac:dyDescent="0.3">
      <c r="A220" t="s">
        <v>1134</v>
      </c>
    </row>
    <row r="221" spans="1:1" x14ac:dyDescent="0.3">
      <c r="A221" t="s">
        <v>1133</v>
      </c>
    </row>
    <row r="222" spans="1:1" x14ac:dyDescent="0.3">
      <c r="A222" t="s">
        <v>1132</v>
      </c>
    </row>
    <row r="223" spans="1:1" x14ac:dyDescent="0.3">
      <c r="A223" t="s">
        <v>1131</v>
      </c>
    </row>
    <row r="224" spans="1:1" x14ac:dyDescent="0.3">
      <c r="A224" t="s">
        <v>1130</v>
      </c>
    </row>
    <row r="225" spans="1:1" x14ac:dyDescent="0.3">
      <c r="A225" t="s">
        <v>1129</v>
      </c>
    </row>
    <row r="226" spans="1:1" x14ac:dyDescent="0.3">
      <c r="A226" t="s">
        <v>1128</v>
      </c>
    </row>
    <row r="227" spans="1:1" x14ac:dyDescent="0.3">
      <c r="A227" t="s">
        <v>1127</v>
      </c>
    </row>
    <row r="228" spans="1:1" x14ac:dyDescent="0.3">
      <c r="A228" t="s">
        <v>1126</v>
      </c>
    </row>
    <row r="229" spans="1:1" x14ac:dyDescent="0.3">
      <c r="A229" t="s">
        <v>1125</v>
      </c>
    </row>
    <row r="230" spans="1:1" x14ac:dyDescent="0.3">
      <c r="A230" t="s">
        <v>1124</v>
      </c>
    </row>
    <row r="231" spans="1:1" x14ac:dyDescent="0.3">
      <c r="A231" t="s">
        <v>1123</v>
      </c>
    </row>
    <row r="232" spans="1:1" x14ac:dyDescent="0.3">
      <c r="A232" t="s">
        <v>1122</v>
      </c>
    </row>
    <row r="233" spans="1:1" x14ac:dyDescent="0.3">
      <c r="A233" t="s">
        <v>1121</v>
      </c>
    </row>
    <row r="234" spans="1:1" x14ac:dyDescent="0.3">
      <c r="A234" t="s">
        <v>1120</v>
      </c>
    </row>
    <row r="235" spans="1:1" x14ac:dyDescent="0.3">
      <c r="A235" t="s">
        <v>1119</v>
      </c>
    </row>
    <row r="236" spans="1:1" x14ac:dyDescent="0.3">
      <c r="A236" t="s">
        <v>1118</v>
      </c>
    </row>
    <row r="237" spans="1:1" x14ac:dyDescent="0.3">
      <c r="A237" t="s">
        <v>1117</v>
      </c>
    </row>
    <row r="238" spans="1:1" x14ac:dyDescent="0.3">
      <c r="A238" t="s">
        <v>1116</v>
      </c>
    </row>
    <row r="239" spans="1:1" x14ac:dyDescent="0.3">
      <c r="A239" t="s">
        <v>1115</v>
      </c>
    </row>
    <row r="240" spans="1:1" x14ac:dyDescent="0.3">
      <c r="A240" t="s">
        <v>1114</v>
      </c>
    </row>
    <row r="241" spans="1:1" x14ac:dyDescent="0.3">
      <c r="A241" t="s">
        <v>1113</v>
      </c>
    </row>
    <row r="242" spans="1:1" x14ac:dyDescent="0.3">
      <c r="A242" t="s">
        <v>1112</v>
      </c>
    </row>
    <row r="243" spans="1:1" x14ac:dyDescent="0.3">
      <c r="A243" t="s">
        <v>1111</v>
      </c>
    </row>
    <row r="244" spans="1:1" x14ac:dyDescent="0.3">
      <c r="A244" t="s">
        <v>1110</v>
      </c>
    </row>
    <row r="245" spans="1:1" x14ac:dyDescent="0.3">
      <c r="A245" t="s">
        <v>1109</v>
      </c>
    </row>
    <row r="246" spans="1:1" x14ac:dyDescent="0.3">
      <c r="A246" t="s">
        <v>1108</v>
      </c>
    </row>
    <row r="247" spans="1:1" x14ac:dyDescent="0.3">
      <c r="A247" t="s">
        <v>1107</v>
      </c>
    </row>
    <row r="248" spans="1:1" x14ac:dyDescent="0.3">
      <c r="A248" t="s">
        <v>1106</v>
      </c>
    </row>
    <row r="249" spans="1:1" x14ac:dyDescent="0.3">
      <c r="A249" t="s">
        <v>1105</v>
      </c>
    </row>
    <row r="250" spans="1:1" x14ac:dyDescent="0.3">
      <c r="A250" t="s">
        <v>1104</v>
      </c>
    </row>
    <row r="251" spans="1:1" x14ac:dyDescent="0.3">
      <c r="A251" t="s">
        <v>1103</v>
      </c>
    </row>
    <row r="252" spans="1:1" x14ac:dyDescent="0.3">
      <c r="A252" t="s">
        <v>1102</v>
      </c>
    </row>
    <row r="253" spans="1:1" x14ac:dyDescent="0.3">
      <c r="A253" t="s">
        <v>1101</v>
      </c>
    </row>
    <row r="254" spans="1:1" x14ac:dyDescent="0.3">
      <c r="A254" t="s">
        <v>1100</v>
      </c>
    </row>
    <row r="255" spans="1:1" x14ac:dyDescent="0.3">
      <c r="A255" t="s">
        <v>1099</v>
      </c>
    </row>
    <row r="256" spans="1:1" x14ac:dyDescent="0.3">
      <c r="A256" t="s">
        <v>1098</v>
      </c>
    </row>
    <row r="257" spans="1:1" x14ac:dyDescent="0.3">
      <c r="A257" t="s">
        <v>1097</v>
      </c>
    </row>
    <row r="258" spans="1:1" x14ac:dyDescent="0.3">
      <c r="A258" t="s">
        <v>1096</v>
      </c>
    </row>
    <row r="259" spans="1:1" x14ac:dyDescent="0.3">
      <c r="A259" t="s">
        <v>1095</v>
      </c>
    </row>
    <row r="260" spans="1:1" x14ac:dyDescent="0.3">
      <c r="A260" t="s">
        <v>1094</v>
      </c>
    </row>
    <row r="261" spans="1:1" x14ac:dyDescent="0.3">
      <c r="A261" t="s">
        <v>1093</v>
      </c>
    </row>
    <row r="262" spans="1:1" x14ac:dyDescent="0.3">
      <c r="A262" t="s">
        <v>1092</v>
      </c>
    </row>
    <row r="263" spans="1:1" x14ac:dyDescent="0.3">
      <c r="A263" t="s">
        <v>1091</v>
      </c>
    </row>
    <row r="264" spans="1:1" x14ac:dyDescent="0.3">
      <c r="A264" t="s">
        <v>1090</v>
      </c>
    </row>
    <row r="265" spans="1:1" x14ac:dyDescent="0.3">
      <c r="A265" t="s">
        <v>1089</v>
      </c>
    </row>
    <row r="266" spans="1:1" x14ac:dyDescent="0.3">
      <c r="A266" t="s">
        <v>1088</v>
      </c>
    </row>
    <row r="267" spans="1:1" x14ac:dyDescent="0.3">
      <c r="A267" t="s">
        <v>1087</v>
      </c>
    </row>
    <row r="268" spans="1:1" x14ac:dyDescent="0.3">
      <c r="A268" t="s">
        <v>1086</v>
      </c>
    </row>
    <row r="269" spans="1:1" x14ac:dyDescent="0.3">
      <c r="A269" t="s">
        <v>1085</v>
      </c>
    </row>
    <row r="270" spans="1:1" x14ac:dyDescent="0.3">
      <c r="A270" t="s">
        <v>1084</v>
      </c>
    </row>
    <row r="271" spans="1:1" x14ac:dyDescent="0.3">
      <c r="A271" t="s">
        <v>1083</v>
      </c>
    </row>
    <row r="272" spans="1:1" x14ac:dyDescent="0.3">
      <c r="A272" t="s">
        <v>1082</v>
      </c>
    </row>
    <row r="273" spans="1:1" x14ac:dyDescent="0.3">
      <c r="A273" t="s">
        <v>1081</v>
      </c>
    </row>
    <row r="274" spans="1:1" x14ac:dyDescent="0.3">
      <c r="A274" t="s">
        <v>1080</v>
      </c>
    </row>
    <row r="275" spans="1:1" x14ac:dyDescent="0.3">
      <c r="A275" t="s">
        <v>1079</v>
      </c>
    </row>
    <row r="276" spans="1:1" x14ac:dyDescent="0.3">
      <c r="A276" t="s">
        <v>1078</v>
      </c>
    </row>
    <row r="277" spans="1:1" x14ac:dyDescent="0.3">
      <c r="A277" t="s">
        <v>1077</v>
      </c>
    </row>
    <row r="278" spans="1:1" x14ac:dyDescent="0.3">
      <c r="A278" t="s">
        <v>1076</v>
      </c>
    </row>
    <row r="279" spans="1:1" x14ac:dyDescent="0.3">
      <c r="A279" t="s">
        <v>1075</v>
      </c>
    </row>
    <row r="280" spans="1:1" x14ac:dyDescent="0.3">
      <c r="A280" t="s">
        <v>1074</v>
      </c>
    </row>
    <row r="281" spans="1:1" x14ac:dyDescent="0.3">
      <c r="A281" t="s">
        <v>1073</v>
      </c>
    </row>
    <row r="283" spans="1:1" x14ac:dyDescent="0.3">
      <c r="A283" t="s">
        <v>313</v>
      </c>
    </row>
    <row r="284" spans="1:1" x14ac:dyDescent="0.3">
      <c r="A284" t="s">
        <v>314</v>
      </c>
    </row>
    <row r="285" spans="1:1" x14ac:dyDescent="0.3">
      <c r="A285" t="s">
        <v>313</v>
      </c>
    </row>
    <row r="287" spans="1:1" x14ac:dyDescent="0.3">
      <c r="A287" t="s">
        <v>312</v>
      </c>
    </row>
    <row r="288" spans="1:1" x14ac:dyDescent="0.3">
      <c r="A288" t="s">
        <v>311</v>
      </c>
    </row>
    <row r="289" spans="1:1" x14ac:dyDescent="0.3">
      <c r="A289">
        <v>246</v>
      </c>
    </row>
    <row r="290" spans="1:1" x14ac:dyDescent="0.3">
      <c r="A290" t="s">
        <v>310</v>
      </c>
    </row>
    <row r="293" spans="1:1" x14ac:dyDescent="0.3">
      <c r="A293" t="s">
        <v>309</v>
      </c>
    </row>
    <row r="294" spans="1:1" x14ac:dyDescent="0.3">
      <c r="A294" t="s">
        <v>1072</v>
      </c>
    </row>
    <row r="297" spans="1:1" x14ac:dyDescent="0.3">
      <c r="A297" t="s">
        <v>308</v>
      </c>
    </row>
    <row r="299" spans="1:1" x14ac:dyDescent="0.3">
      <c r="A299" t="s">
        <v>307</v>
      </c>
    </row>
    <row r="300" spans="1:1" x14ac:dyDescent="0.3">
      <c r="A300" t="s">
        <v>1071</v>
      </c>
    </row>
    <row r="301" spans="1:1" x14ac:dyDescent="0.3">
      <c r="A301" t="s">
        <v>1070</v>
      </c>
    </row>
    <row r="302" spans="1:1" x14ac:dyDescent="0.3">
      <c r="A302" t="s">
        <v>1069</v>
      </c>
    </row>
    <row r="303" spans="1:1" x14ac:dyDescent="0.3">
      <c r="A303" t="s">
        <v>1068</v>
      </c>
    </row>
    <row r="304" spans="1:1" x14ac:dyDescent="0.3">
      <c r="A304" t="s">
        <v>1067</v>
      </c>
    </row>
    <row r="305" spans="1:1" x14ac:dyDescent="0.3">
      <c r="A305" t="s">
        <v>1066</v>
      </c>
    </row>
    <row r="306" spans="1:1" x14ac:dyDescent="0.3">
      <c r="A306" t="s">
        <v>1065</v>
      </c>
    </row>
    <row r="307" spans="1:1" x14ac:dyDescent="0.3">
      <c r="A307" t="s">
        <v>1064</v>
      </c>
    </row>
    <row r="308" spans="1:1" x14ac:dyDescent="0.3">
      <c r="A308" t="s">
        <v>1063</v>
      </c>
    </row>
    <row r="309" spans="1:1" x14ac:dyDescent="0.3">
      <c r="A309" t="s">
        <v>1062</v>
      </c>
    </row>
    <row r="310" spans="1:1" x14ac:dyDescent="0.3">
      <c r="A310" t="s">
        <v>1061</v>
      </c>
    </row>
    <row r="311" spans="1:1" x14ac:dyDescent="0.3">
      <c r="A311" t="s">
        <v>1060</v>
      </c>
    </row>
    <row r="312" spans="1:1" x14ac:dyDescent="0.3">
      <c r="A312" t="s">
        <v>1059</v>
      </c>
    </row>
    <row r="313" spans="1:1" x14ac:dyDescent="0.3">
      <c r="A313" t="s">
        <v>1058</v>
      </c>
    </row>
    <row r="314" spans="1:1" x14ac:dyDescent="0.3">
      <c r="A314" t="s">
        <v>1057</v>
      </c>
    </row>
    <row r="315" spans="1:1" x14ac:dyDescent="0.3">
      <c r="A315" t="s">
        <v>1056</v>
      </c>
    </row>
    <row r="316" spans="1:1" x14ac:dyDescent="0.3">
      <c r="A316" t="s">
        <v>1055</v>
      </c>
    </row>
    <row r="317" spans="1:1" x14ac:dyDescent="0.3">
      <c r="A317" t="s">
        <v>1054</v>
      </c>
    </row>
    <row r="318" spans="1:1" x14ac:dyDescent="0.3">
      <c r="A318" t="s">
        <v>1053</v>
      </c>
    </row>
    <row r="319" spans="1:1" x14ac:dyDescent="0.3">
      <c r="A319" t="s">
        <v>1052</v>
      </c>
    </row>
    <row r="320" spans="1:1" x14ac:dyDescent="0.3">
      <c r="A320" t="s">
        <v>1051</v>
      </c>
    </row>
    <row r="321" spans="1:1" x14ac:dyDescent="0.3">
      <c r="A321" t="s">
        <v>1050</v>
      </c>
    </row>
    <row r="322" spans="1:1" x14ac:dyDescent="0.3">
      <c r="A322" t="s">
        <v>1049</v>
      </c>
    </row>
    <row r="323" spans="1:1" x14ac:dyDescent="0.3">
      <c r="A323" t="s">
        <v>1048</v>
      </c>
    </row>
    <row r="324" spans="1:1" x14ac:dyDescent="0.3">
      <c r="A324" t="s">
        <v>1047</v>
      </c>
    </row>
    <row r="325" spans="1:1" x14ac:dyDescent="0.3">
      <c r="A325" t="s">
        <v>1046</v>
      </c>
    </row>
    <row r="326" spans="1:1" x14ac:dyDescent="0.3">
      <c r="A326" t="s">
        <v>1045</v>
      </c>
    </row>
    <row r="327" spans="1:1" x14ac:dyDescent="0.3">
      <c r="A327" t="s">
        <v>1044</v>
      </c>
    </row>
    <row r="328" spans="1:1" x14ac:dyDescent="0.3">
      <c r="A328" t="s">
        <v>1043</v>
      </c>
    </row>
    <row r="329" spans="1:1" x14ac:dyDescent="0.3">
      <c r="A329" t="s">
        <v>1042</v>
      </c>
    </row>
    <row r="330" spans="1:1" x14ac:dyDescent="0.3">
      <c r="A330" t="s">
        <v>1041</v>
      </c>
    </row>
    <row r="331" spans="1:1" x14ac:dyDescent="0.3">
      <c r="A331" t="s">
        <v>1040</v>
      </c>
    </row>
    <row r="332" spans="1:1" x14ac:dyDescent="0.3">
      <c r="A332" t="s">
        <v>1039</v>
      </c>
    </row>
    <row r="333" spans="1:1" x14ac:dyDescent="0.3">
      <c r="A333" t="s">
        <v>1038</v>
      </c>
    </row>
    <row r="334" spans="1:1" x14ac:dyDescent="0.3">
      <c r="A334" t="s">
        <v>1037</v>
      </c>
    </row>
    <row r="335" spans="1:1" x14ac:dyDescent="0.3">
      <c r="A335" t="s">
        <v>1036</v>
      </c>
    </row>
    <row r="336" spans="1:1" x14ac:dyDescent="0.3">
      <c r="A336" t="s">
        <v>1035</v>
      </c>
    </row>
    <row r="337" spans="1:1" x14ac:dyDescent="0.3">
      <c r="A337" t="s">
        <v>1034</v>
      </c>
    </row>
    <row r="338" spans="1:1" x14ac:dyDescent="0.3">
      <c r="A338" t="s">
        <v>1033</v>
      </c>
    </row>
    <row r="339" spans="1:1" x14ac:dyDescent="0.3">
      <c r="A339" t="s">
        <v>1032</v>
      </c>
    </row>
    <row r="340" spans="1:1" x14ac:dyDescent="0.3">
      <c r="A340" t="s">
        <v>1031</v>
      </c>
    </row>
    <row r="341" spans="1:1" x14ac:dyDescent="0.3">
      <c r="A341" t="s">
        <v>1030</v>
      </c>
    </row>
    <row r="342" spans="1:1" x14ac:dyDescent="0.3">
      <c r="A342" t="s">
        <v>1029</v>
      </c>
    </row>
    <row r="343" spans="1:1" x14ac:dyDescent="0.3">
      <c r="A343" t="s">
        <v>1028</v>
      </c>
    </row>
    <row r="344" spans="1:1" x14ac:dyDescent="0.3">
      <c r="A344" t="s">
        <v>1027</v>
      </c>
    </row>
    <row r="345" spans="1:1" x14ac:dyDescent="0.3">
      <c r="A345" t="s">
        <v>1026</v>
      </c>
    </row>
    <row r="346" spans="1:1" x14ac:dyDescent="0.3">
      <c r="A346" t="s">
        <v>1025</v>
      </c>
    </row>
    <row r="347" spans="1:1" x14ac:dyDescent="0.3">
      <c r="A347" t="s">
        <v>1024</v>
      </c>
    </row>
    <row r="348" spans="1:1" x14ac:dyDescent="0.3">
      <c r="A348" t="s">
        <v>1023</v>
      </c>
    </row>
    <row r="349" spans="1:1" x14ac:dyDescent="0.3">
      <c r="A349" t="s">
        <v>1022</v>
      </c>
    </row>
    <row r="350" spans="1:1" x14ac:dyDescent="0.3">
      <c r="A350" t="s">
        <v>1021</v>
      </c>
    </row>
    <row r="351" spans="1:1" x14ac:dyDescent="0.3">
      <c r="A351" t="s">
        <v>1020</v>
      </c>
    </row>
    <row r="352" spans="1:1" x14ac:dyDescent="0.3">
      <c r="A352" t="s">
        <v>1019</v>
      </c>
    </row>
    <row r="353" spans="1:1" x14ac:dyDescent="0.3">
      <c r="A353" t="s">
        <v>1018</v>
      </c>
    </row>
    <row r="354" spans="1:1" x14ac:dyDescent="0.3">
      <c r="A354" t="s">
        <v>1017</v>
      </c>
    </row>
    <row r="355" spans="1:1" x14ac:dyDescent="0.3">
      <c r="A355" t="s">
        <v>1016</v>
      </c>
    </row>
    <row r="356" spans="1:1" x14ac:dyDescent="0.3">
      <c r="A356" t="s">
        <v>1015</v>
      </c>
    </row>
    <row r="357" spans="1:1" x14ac:dyDescent="0.3">
      <c r="A357" t="s">
        <v>1014</v>
      </c>
    </row>
    <row r="358" spans="1:1" x14ac:dyDescent="0.3">
      <c r="A358" t="s">
        <v>1013</v>
      </c>
    </row>
    <row r="359" spans="1:1" x14ac:dyDescent="0.3">
      <c r="A359" t="s">
        <v>1012</v>
      </c>
    </row>
    <row r="360" spans="1:1" x14ac:dyDescent="0.3">
      <c r="A360" t="s">
        <v>1011</v>
      </c>
    </row>
    <row r="361" spans="1:1" x14ac:dyDescent="0.3">
      <c r="A361" t="s">
        <v>1010</v>
      </c>
    </row>
    <row r="362" spans="1:1" x14ac:dyDescent="0.3">
      <c r="A362" t="s">
        <v>1009</v>
      </c>
    </row>
    <row r="363" spans="1:1" x14ac:dyDescent="0.3">
      <c r="A363" t="s">
        <v>1008</v>
      </c>
    </row>
    <row r="364" spans="1:1" x14ac:dyDescent="0.3">
      <c r="A364" t="s">
        <v>1007</v>
      </c>
    </row>
    <row r="365" spans="1:1" x14ac:dyDescent="0.3">
      <c r="A365" t="s">
        <v>1006</v>
      </c>
    </row>
    <row r="366" spans="1:1" x14ac:dyDescent="0.3">
      <c r="A366" t="s">
        <v>1005</v>
      </c>
    </row>
    <row r="367" spans="1:1" x14ac:dyDescent="0.3">
      <c r="A367" t="s">
        <v>1004</v>
      </c>
    </row>
    <row r="368" spans="1:1" x14ac:dyDescent="0.3">
      <c r="A368" t="s">
        <v>1003</v>
      </c>
    </row>
    <row r="369" spans="1:1" x14ac:dyDescent="0.3">
      <c r="A369" t="s">
        <v>1002</v>
      </c>
    </row>
    <row r="370" spans="1:1" x14ac:dyDescent="0.3">
      <c r="A370" t="s">
        <v>1001</v>
      </c>
    </row>
    <row r="371" spans="1:1" x14ac:dyDescent="0.3">
      <c r="A371" t="s">
        <v>1000</v>
      </c>
    </row>
    <row r="372" spans="1:1" x14ac:dyDescent="0.3">
      <c r="A372" t="s">
        <v>999</v>
      </c>
    </row>
    <row r="373" spans="1:1" x14ac:dyDescent="0.3">
      <c r="A373" t="s">
        <v>998</v>
      </c>
    </row>
    <row r="374" spans="1:1" x14ac:dyDescent="0.3">
      <c r="A374" t="s">
        <v>997</v>
      </c>
    </row>
    <row r="375" spans="1:1" x14ac:dyDescent="0.3">
      <c r="A375" t="s">
        <v>996</v>
      </c>
    </row>
    <row r="376" spans="1:1" x14ac:dyDescent="0.3">
      <c r="A376" t="s">
        <v>995</v>
      </c>
    </row>
    <row r="377" spans="1:1" x14ac:dyDescent="0.3">
      <c r="A377" t="s">
        <v>994</v>
      </c>
    </row>
    <row r="378" spans="1:1" x14ac:dyDescent="0.3">
      <c r="A378" t="s">
        <v>993</v>
      </c>
    </row>
    <row r="379" spans="1:1" x14ac:dyDescent="0.3">
      <c r="A379" t="s">
        <v>992</v>
      </c>
    </row>
    <row r="380" spans="1:1" x14ac:dyDescent="0.3">
      <c r="A380" t="s">
        <v>991</v>
      </c>
    </row>
    <row r="381" spans="1:1" x14ac:dyDescent="0.3">
      <c r="A381" t="s">
        <v>990</v>
      </c>
    </row>
    <row r="382" spans="1:1" x14ac:dyDescent="0.3">
      <c r="A382" t="s">
        <v>989</v>
      </c>
    </row>
    <row r="383" spans="1:1" x14ac:dyDescent="0.3">
      <c r="A383" t="s">
        <v>988</v>
      </c>
    </row>
    <row r="384" spans="1:1" x14ac:dyDescent="0.3">
      <c r="A384" t="s">
        <v>987</v>
      </c>
    </row>
    <row r="385" spans="1:1" x14ac:dyDescent="0.3">
      <c r="A385" t="s">
        <v>986</v>
      </c>
    </row>
    <row r="386" spans="1:1" x14ac:dyDescent="0.3">
      <c r="A386" t="s">
        <v>985</v>
      </c>
    </row>
    <row r="387" spans="1:1" x14ac:dyDescent="0.3">
      <c r="A387" t="s">
        <v>984</v>
      </c>
    </row>
    <row r="388" spans="1:1" x14ac:dyDescent="0.3">
      <c r="A388" t="s">
        <v>983</v>
      </c>
    </row>
    <row r="389" spans="1:1" x14ac:dyDescent="0.3">
      <c r="A389" t="s">
        <v>982</v>
      </c>
    </row>
    <row r="390" spans="1:1" x14ac:dyDescent="0.3">
      <c r="A390" t="s">
        <v>981</v>
      </c>
    </row>
    <row r="391" spans="1:1" x14ac:dyDescent="0.3">
      <c r="A391" t="s">
        <v>980</v>
      </c>
    </row>
    <row r="392" spans="1:1" x14ac:dyDescent="0.3">
      <c r="A392" t="s">
        <v>979</v>
      </c>
    </row>
    <row r="393" spans="1:1" x14ac:dyDescent="0.3">
      <c r="A393" t="s">
        <v>978</v>
      </c>
    </row>
    <row r="394" spans="1:1" x14ac:dyDescent="0.3">
      <c r="A394" t="s">
        <v>977</v>
      </c>
    </row>
    <row r="395" spans="1:1" x14ac:dyDescent="0.3">
      <c r="A395" t="s">
        <v>976</v>
      </c>
    </row>
    <row r="396" spans="1:1" x14ac:dyDescent="0.3">
      <c r="A396" t="s">
        <v>975</v>
      </c>
    </row>
    <row r="397" spans="1:1" x14ac:dyDescent="0.3">
      <c r="A397" t="s">
        <v>974</v>
      </c>
    </row>
    <row r="398" spans="1:1" x14ac:dyDescent="0.3">
      <c r="A398" t="s">
        <v>973</v>
      </c>
    </row>
    <row r="399" spans="1:1" x14ac:dyDescent="0.3">
      <c r="A399" t="s">
        <v>972</v>
      </c>
    </row>
    <row r="400" spans="1:1" x14ac:dyDescent="0.3">
      <c r="A400" t="s">
        <v>971</v>
      </c>
    </row>
    <row r="401" spans="1:1" x14ac:dyDescent="0.3">
      <c r="A401" t="s">
        <v>970</v>
      </c>
    </row>
    <row r="402" spans="1:1" x14ac:dyDescent="0.3">
      <c r="A402" t="s">
        <v>969</v>
      </c>
    </row>
    <row r="403" spans="1:1" x14ac:dyDescent="0.3">
      <c r="A403" t="s">
        <v>968</v>
      </c>
    </row>
    <row r="404" spans="1:1" x14ac:dyDescent="0.3">
      <c r="A404" t="s">
        <v>967</v>
      </c>
    </row>
    <row r="405" spans="1:1" x14ac:dyDescent="0.3">
      <c r="A405" t="s">
        <v>966</v>
      </c>
    </row>
    <row r="406" spans="1:1" x14ac:dyDescent="0.3">
      <c r="A406" t="s">
        <v>965</v>
      </c>
    </row>
    <row r="407" spans="1:1" x14ac:dyDescent="0.3">
      <c r="A407" t="s">
        <v>964</v>
      </c>
    </row>
    <row r="408" spans="1:1" x14ac:dyDescent="0.3">
      <c r="A408" t="s">
        <v>963</v>
      </c>
    </row>
    <row r="409" spans="1:1" x14ac:dyDescent="0.3">
      <c r="A409" t="s">
        <v>962</v>
      </c>
    </row>
    <row r="410" spans="1:1" x14ac:dyDescent="0.3">
      <c r="A410" t="s">
        <v>961</v>
      </c>
    </row>
    <row r="411" spans="1:1" x14ac:dyDescent="0.3">
      <c r="A411" t="s">
        <v>960</v>
      </c>
    </row>
    <row r="412" spans="1:1" x14ac:dyDescent="0.3">
      <c r="A412" t="s">
        <v>959</v>
      </c>
    </row>
    <row r="413" spans="1:1" x14ac:dyDescent="0.3">
      <c r="A413" t="s">
        <v>958</v>
      </c>
    </row>
    <row r="414" spans="1:1" x14ac:dyDescent="0.3">
      <c r="A414" t="s">
        <v>957</v>
      </c>
    </row>
    <row r="415" spans="1:1" x14ac:dyDescent="0.3">
      <c r="A415" t="s">
        <v>956</v>
      </c>
    </row>
    <row r="416" spans="1:1" x14ac:dyDescent="0.3">
      <c r="A416" t="s">
        <v>955</v>
      </c>
    </row>
    <row r="417" spans="1:1" x14ac:dyDescent="0.3">
      <c r="A417" t="s">
        <v>954</v>
      </c>
    </row>
    <row r="418" spans="1:1" x14ac:dyDescent="0.3">
      <c r="A418" t="s">
        <v>953</v>
      </c>
    </row>
    <row r="419" spans="1:1" x14ac:dyDescent="0.3">
      <c r="A419" t="s">
        <v>952</v>
      </c>
    </row>
    <row r="420" spans="1:1" x14ac:dyDescent="0.3">
      <c r="A420" t="s">
        <v>951</v>
      </c>
    </row>
    <row r="421" spans="1:1" x14ac:dyDescent="0.3">
      <c r="A421" t="s">
        <v>950</v>
      </c>
    </row>
    <row r="422" spans="1:1" x14ac:dyDescent="0.3">
      <c r="A422" t="s">
        <v>949</v>
      </c>
    </row>
    <row r="423" spans="1:1" x14ac:dyDescent="0.3">
      <c r="A423" t="s">
        <v>948</v>
      </c>
    </row>
    <row r="424" spans="1:1" x14ac:dyDescent="0.3">
      <c r="A424" t="s">
        <v>947</v>
      </c>
    </row>
    <row r="425" spans="1:1" x14ac:dyDescent="0.3">
      <c r="A425" t="s">
        <v>946</v>
      </c>
    </row>
    <row r="426" spans="1:1" x14ac:dyDescent="0.3">
      <c r="A426" t="s">
        <v>945</v>
      </c>
    </row>
    <row r="427" spans="1:1" x14ac:dyDescent="0.3">
      <c r="A427" t="s">
        <v>944</v>
      </c>
    </row>
    <row r="428" spans="1:1" x14ac:dyDescent="0.3">
      <c r="A428" t="s">
        <v>943</v>
      </c>
    </row>
    <row r="429" spans="1:1" x14ac:dyDescent="0.3">
      <c r="A429" t="s">
        <v>942</v>
      </c>
    </row>
    <row r="430" spans="1:1" x14ac:dyDescent="0.3">
      <c r="A430" t="s">
        <v>941</v>
      </c>
    </row>
    <row r="431" spans="1:1" x14ac:dyDescent="0.3">
      <c r="A431" t="s">
        <v>940</v>
      </c>
    </row>
    <row r="432" spans="1:1" x14ac:dyDescent="0.3">
      <c r="A432" t="s">
        <v>939</v>
      </c>
    </row>
    <row r="433" spans="1:1" x14ac:dyDescent="0.3">
      <c r="A433" t="s">
        <v>938</v>
      </c>
    </row>
    <row r="434" spans="1:1" x14ac:dyDescent="0.3">
      <c r="A434" t="s">
        <v>937</v>
      </c>
    </row>
    <row r="435" spans="1:1" x14ac:dyDescent="0.3">
      <c r="A435" t="s">
        <v>936</v>
      </c>
    </row>
    <row r="436" spans="1:1" x14ac:dyDescent="0.3">
      <c r="A436" t="s">
        <v>935</v>
      </c>
    </row>
    <row r="437" spans="1:1" x14ac:dyDescent="0.3">
      <c r="A437" t="s">
        <v>934</v>
      </c>
    </row>
    <row r="438" spans="1:1" x14ac:dyDescent="0.3">
      <c r="A438" t="s">
        <v>933</v>
      </c>
    </row>
    <row r="439" spans="1:1" x14ac:dyDescent="0.3">
      <c r="A439" t="s">
        <v>932</v>
      </c>
    </row>
    <row r="440" spans="1:1" x14ac:dyDescent="0.3">
      <c r="A440" t="s">
        <v>931</v>
      </c>
    </row>
    <row r="441" spans="1:1" x14ac:dyDescent="0.3">
      <c r="A441" t="s">
        <v>930</v>
      </c>
    </row>
    <row r="442" spans="1:1" x14ac:dyDescent="0.3">
      <c r="A442" t="s">
        <v>929</v>
      </c>
    </row>
    <row r="443" spans="1:1" x14ac:dyDescent="0.3">
      <c r="A443" t="s">
        <v>928</v>
      </c>
    </row>
    <row r="444" spans="1:1" x14ac:dyDescent="0.3">
      <c r="A444" t="s">
        <v>927</v>
      </c>
    </row>
    <row r="445" spans="1:1" x14ac:dyDescent="0.3">
      <c r="A445" t="s">
        <v>926</v>
      </c>
    </row>
    <row r="446" spans="1:1" x14ac:dyDescent="0.3">
      <c r="A446" t="s">
        <v>925</v>
      </c>
    </row>
    <row r="447" spans="1:1" x14ac:dyDescent="0.3">
      <c r="A447" t="s">
        <v>924</v>
      </c>
    </row>
    <row r="448" spans="1:1" x14ac:dyDescent="0.3">
      <c r="A448" t="s">
        <v>923</v>
      </c>
    </row>
    <row r="449" spans="1:1" x14ac:dyDescent="0.3">
      <c r="A449" t="s">
        <v>922</v>
      </c>
    </row>
    <row r="450" spans="1:1" x14ac:dyDescent="0.3">
      <c r="A450" t="s">
        <v>921</v>
      </c>
    </row>
    <row r="451" spans="1:1" x14ac:dyDescent="0.3">
      <c r="A451" t="s">
        <v>920</v>
      </c>
    </row>
    <row r="452" spans="1:1" x14ac:dyDescent="0.3">
      <c r="A452" t="s">
        <v>919</v>
      </c>
    </row>
    <row r="453" spans="1:1" x14ac:dyDescent="0.3">
      <c r="A453" t="s">
        <v>918</v>
      </c>
    </row>
    <row r="454" spans="1:1" x14ac:dyDescent="0.3">
      <c r="A454" t="s">
        <v>917</v>
      </c>
    </row>
    <row r="455" spans="1:1" x14ac:dyDescent="0.3">
      <c r="A455" t="s">
        <v>916</v>
      </c>
    </row>
    <row r="456" spans="1:1" x14ac:dyDescent="0.3">
      <c r="A456" t="s">
        <v>915</v>
      </c>
    </row>
    <row r="457" spans="1:1" x14ac:dyDescent="0.3">
      <c r="A457" t="s">
        <v>914</v>
      </c>
    </row>
    <row r="458" spans="1:1" x14ac:dyDescent="0.3">
      <c r="A458" t="s">
        <v>913</v>
      </c>
    </row>
    <row r="459" spans="1:1" x14ac:dyDescent="0.3">
      <c r="A459" t="s">
        <v>912</v>
      </c>
    </row>
    <row r="460" spans="1:1" x14ac:dyDescent="0.3">
      <c r="A460" t="s">
        <v>911</v>
      </c>
    </row>
    <row r="461" spans="1:1" x14ac:dyDescent="0.3">
      <c r="A461" t="s">
        <v>910</v>
      </c>
    </row>
    <row r="462" spans="1:1" x14ac:dyDescent="0.3">
      <c r="A462" t="s">
        <v>909</v>
      </c>
    </row>
    <row r="463" spans="1:1" x14ac:dyDescent="0.3">
      <c r="A463" t="s">
        <v>908</v>
      </c>
    </row>
    <row r="464" spans="1:1" x14ac:dyDescent="0.3">
      <c r="A464" t="s">
        <v>907</v>
      </c>
    </row>
    <row r="465" spans="1:1" x14ac:dyDescent="0.3">
      <c r="A465" t="s">
        <v>906</v>
      </c>
    </row>
    <row r="466" spans="1:1" x14ac:dyDescent="0.3">
      <c r="A466" t="s">
        <v>905</v>
      </c>
    </row>
    <row r="467" spans="1:1" x14ac:dyDescent="0.3">
      <c r="A467" t="s">
        <v>904</v>
      </c>
    </row>
    <row r="468" spans="1:1" x14ac:dyDescent="0.3">
      <c r="A468" t="s">
        <v>903</v>
      </c>
    </row>
    <row r="469" spans="1:1" x14ac:dyDescent="0.3">
      <c r="A469" t="s">
        <v>902</v>
      </c>
    </row>
    <row r="470" spans="1:1" x14ac:dyDescent="0.3">
      <c r="A470" t="s">
        <v>901</v>
      </c>
    </row>
    <row r="471" spans="1:1" x14ac:dyDescent="0.3">
      <c r="A471" t="s">
        <v>900</v>
      </c>
    </row>
    <row r="472" spans="1:1" x14ac:dyDescent="0.3">
      <c r="A472" t="s">
        <v>899</v>
      </c>
    </row>
    <row r="473" spans="1:1" x14ac:dyDescent="0.3">
      <c r="A473" t="s">
        <v>898</v>
      </c>
    </row>
    <row r="474" spans="1:1" x14ac:dyDescent="0.3">
      <c r="A474" t="s">
        <v>897</v>
      </c>
    </row>
    <row r="475" spans="1:1" x14ac:dyDescent="0.3">
      <c r="A475" t="s">
        <v>896</v>
      </c>
    </row>
    <row r="476" spans="1:1" x14ac:dyDescent="0.3">
      <c r="A476" t="s">
        <v>895</v>
      </c>
    </row>
    <row r="477" spans="1:1" x14ac:dyDescent="0.3">
      <c r="A477" t="s">
        <v>894</v>
      </c>
    </row>
    <row r="478" spans="1:1" x14ac:dyDescent="0.3">
      <c r="A478" t="s">
        <v>893</v>
      </c>
    </row>
    <row r="479" spans="1:1" x14ac:dyDescent="0.3">
      <c r="A479" t="s">
        <v>892</v>
      </c>
    </row>
    <row r="480" spans="1:1" x14ac:dyDescent="0.3">
      <c r="A480" t="s">
        <v>891</v>
      </c>
    </row>
    <row r="481" spans="1:1" x14ac:dyDescent="0.3">
      <c r="A481" t="s">
        <v>890</v>
      </c>
    </row>
    <row r="482" spans="1:1" x14ac:dyDescent="0.3">
      <c r="A482" t="s">
        <v>889</v>
      </c>
    </row>
    <row r="483" spans="1:1" x14ac:dyDescent="0.3">
      <c r="A483" t="s">
        <v>888</v>
      </c>
    </row>
    <row r="484" spans="1:1" x14ac:dyDescent="0.3">
      <c r="A484" t="s">
        <v>887</v>
      </c>
    </row>
    <row r="485" spans="1:1" x14ac:dyDescent="0.3">
      <c r="A485" t="s">
        <v>886</v>
      </c>
    </row>
    <row r="486" spans="1:1" x14ac:dyDescent="0.3">
      <c r="A486" t="s">
        <v>885</v>
      </c>
    </row>
    <row r="487" spans="1:1" x14ac:dyDescent="0.3">
      <c r="A487" t="s">
        <v>884</v>
      </c>
    </row>
    <row r="488" spans="1:1" x14ac:dyDescent="0.3">
      <c r="A488" t="s">
        <v>883</v>
      </c>
    </row>
    <row r="489" spans="1:1" x14ac:dyDescent="0.3">
      <c r="A489" t="s">
        <v>882</v>
      </c>
    </row>
    <row r="490" spans="1:1" x14ac:dyDescent="0.3">
      <c r="A490" t="s">
        <v>881</v>
      </c>
    </row>
    <row r="491" spans="1:1" x14ac:dyDescent="0.3">
      <c r="A491" t="s">
        <v>880</v>
      </c>
    </row>
    <row r="492" spans="1:1" x14ac:dyDescent="0.3">
      <c r="A492" t="s">
        <v>879</v>
      </c>
    </row>
    <row r="493" spans="1:1" x14ac:dyDescent="0.3">
      <c r="A493" t="s">
        <v>878</v>
      </c>
    </row>
    <row r="494" spans="1:1" x14ac:dyDescent="0.3">
      <c r="A494" t="s">
        <v>877</v>
      </c>
    </row>
    <row r="495" spans="1:1" x14ac:dyDescent="0.3">
      <c r="A495" t="s">
        <v>876</v>
      </c>
    </row>
    <row r="496" spans="1:1" x14ac:dyDescent="0.3">
      <c r="A496" t="s">
        <v>875</v>
      </c>
    </row>
    <row r="497" spans="1:1" x14ac:dyDescent="0.3">
      <c r="A497" t="s">
        <v>874</v>
      </c>
    </row>
    <row r="498" spans="1:1" x14ac:dyDescent="0.3">
      <c r="A498" t="s">
        <v>873</v>
      </c>
    </row>
    <row r="499" spans="1:1" x14ac:dyDescent="0.3">
      <c r="A499" t="s">
        <v>872</v>
      </c>
    </row>
    <row r="500" spans="1:1" x14ac:dyDescent="0.3">
      <c r="A500" t="s">
        <v>871</v>
      </c>
    </row>
    <row r="501" spans="1:1" x14ac:dyDescent="0.3">
      <c r="A501" t="s">
        <v>870</v>
      </c>
    </row>
    <row r="502" spans="1:1" x14ac:dyDescent="0.3">
      <c r="A502" t="s">
        <v>869</v>
      </c>
    </row>
    <row r="503" spans="1:1" x14ac:dyDescent="0.3">
      <c r="A503" t="s">
        <v>868</v>
      </c>
    </row>
    <row r="504" spans="1:1" x14ac:dyDescent="0.3">
      <c r="A504" t="s">
        <v>867</v>
      </c>
    </row>
    <row r="505" spans="1:1" x14ac:dyDescent="0.3">
      <c r="A505" t="s">
        <v>866</v>
      </c>
    </row>
    <row r="506" spans="1:1" x14ac:dyDescent="0.3">
      <c r="A506" t="s">
        <v>865</v>
      </c>
    </row>
    <row r="507" spans="1:1" x14ac:dyDescent="0.3">
      <c r="A507" t="s">
        <v>864</v>
      </c>
    </row>
    <row r="508" spans="1:1" x14ac:dyDescent="0.3">
      <c r="A508" t="s">
        <v>863</v>
      </c>
    </row>
    <row r="509" spans="1:1" x14ac:dyDescent="0.3">
      <c r="A509" t="s">
        <v>862</v>
      </c>
    </row>
    <row r="510" spans="1:1" x14ac:dyDescent="0.3">
      <c r="A510" t="s">
        <v>861</v>
      </c>
    </row>
    <row r="511" spans="1:1" x14ac:dyDescent="0.3">
      <c r="A511" t="s">
        <v>860</v>
      </c>
    </row>
    <row r="512" spans="1:1" x14ac:dyDescent="0.3">
      <c r="A512" t="s">
        <v>859</v>
      </c>
    </row>
    <row r="513" spans="1:1" x14ac:dyDescent="0.3">
      <c r="A513" t="s">
        <v>858</v>
      </c>
    </row>
    <row r="514" spans="1:1" x14ac:dyDescent="0.3">
      <c r="A514" t="s">
        <v>857</v>
      </c>
    </row>
    <row r="515" spans="1:1" x14ac:dyDescent="0.3">
      <c r="A515" t="s">
        <v>856</v>
      </c>
    </row>
    <row r="516" spans="1:1" x14ac:dyDescent="0.3">
      <c r="A516" t="s">
        <v>855</v>
      </c>
    </row>
    <row r="517" spans="1:1" x14ac:dyDescent="0.3">
      <c r="A517" t="s">
        <v>854</v>
      </c>
    </row>
    <row r="518" spans="1:1" x14ac:dyDescent="0.3">
      <c r="A518" t="s">
        <v>853</v>
      </c>
    </row>
    <row r="519" spans="1:1" x14ac:dyDescent="0.3">
      <c r="A519" t="s">
        <v>852</v>
      </c>
    </row>
    <row r="520" spans="1:1" x14ac:dyDescent="0.3">
      <c r="A520" t="s">
        <v>851</v>
      </c>
    </row>
    <row r="521" spans="1:1" x14ac:dyDescent="0.3">
      <c r="A521" t="s">
        <v>850</v>
      </c>
    </row>
    <row r="522" spans="1:1" x14ac:dyDescent="0.3">
      <c r="A522" t="s">
        <v>849</v>
      </c>
    </row>
    <row r="523" spans="1:1" x14ac:dyDescent="0.3">
      <c r="A523" t="s">
        <v>848</v>
      </c>
    </row>
    <row r="524" spans="1:1" x14ac:dyDescent="0.3">
      <c r="A524" t="s">
        <v>847</v>
      </c>
    </row>
    <row r="525" spans="1:1" x14ac:dyDescent="0.3">
      <c r="A525" t="s">
        <v>846</v>
      </c>
    </row>
    <row r="526" spans="1:1" x14ac:dyDescent="0.3">
      <c r="A526" t="s">
        <v>845</v>
      </c>
    </row>
    <row r="527" spans="1:1" x14ac:dyDescent="0.3">
      <c r="A527" t="s">
        <v>844</v>
      </c>
    </row>
    <row r="528" spans="1:1" x14ac:dyDescent="0.3">
      <c r="A528" t="s">
        <v>843</v>
      </c>
    </row>
    <row r="529" spans="1:1" x14ac:dyDescent="0.3">
      <c r="A529" t="s">
        <v>842</v>
      </c>
    </row>
    <row r="530" spans="1:1" x14ac:dyDescent="0.3">
      <c r="A530" t="s">
        <v>841</v>
      </c>
    </row>
    <row r="531" spans="1:1" x14ac:dyDescent="0.3">
      <c r="A531" t="s">
        <v>840</v>
      </c>
    </row>
    <row r="532" spans="1:1" x14ac:dyDescent="0.3">
      <c r="A532" t="s">
        <v>839</v>
      </c>
    </row>
    <row r="533" spans="1:1" x14ac:dyDescent="0.3">
      <c r="A533" t="s">
        <v>838</v>
      </c>
    </row>
    <row r="534" spans="1:1" x14ac:dyDescent="0.3">
      <c r="A534" t="s">
        <v>837</v>
      </c>
    </row>
    <row r="535" spans="1:1" x14ac:dyDescent="0.3">
      <c r="A535" t="s">
        <v>836</v>
      </c>
    </row>
    <row r="536" spans="1:1" x14ac:dyDescent="0.3">
      <c r="A536" t="s">
        <v>835</v>
      </c>
    </row>
    <row r="537" spans="1:1" x14ac:dyDescent="0.3">
      <c r="A537" t="s">
        <v>834</v>
      </c>
    </row>
    <row r="538" spans="1:1" x14ac:dyDescent="0.3">
      <c r="A538" t="s">
        <v>833</v>
      </c>
    </row>
    <row r="539" spans="1:1" x14ac:dyDescent="0.3">
      <c r="A539" t="s">
        <v>832</v>
      </c>
    </row>
    <row r="540" spans="1:1" x14ac:dyDescent="0.3">
      <c r="A540" t="s">
        <v>831</v>
      </c>
    </row>
    <row r="541" spans="1:1" x14ac:dyDescent="0.3">
      <c r="A541" t="s">
        <v>830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A29" sqref="A29:XFD29"/>
    </sheetView>
  </sheetViews>
  <sheetFormatPr defaultRowHeight="16.5" x14ac:dyDescent="0.3"/>
  <cols>
    <col min="1" max="1" width="7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39" t="s">
        <v>72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Y1" s="2"/>
    </row>
    <row r="2" spans="1:25" ht="17.25" thickBot="1" x14ac:dyDescent="0.35">
      <c r="Y2" s="3"/>
    </row>
    <row r="3" spans="1:25" ht="26.25" customHeight="1" thickBot="1" x14ac:dyDescent="0.35">
      <c r="A3" s="140" t="s">
        <v>1</v>
      </c>
      <c r="B3" s="142" t="s">
        <v>62</v>
      </c>
      <c r="C3" s="142" t="s">
        <v>63</v>
      </c>
      <c r="D3" s="140" t="s">
        <v>7</v>
      </c>
      <c r="E3" s="144" t="s">
        <v>8</v>
      </c>
      <c r="F3" s="145"/>
      <c r="G3" s="146" t="s">
        <v>9</v>
      </c>
      <c r="H3" s="146"/>
      <c r="I3" s="146"/>
      <c r="J3" s="146"/>
      <c r="K3" s="146"/>
      <c r="L3" s="137" t="s">
        <v>56</v>
      </c>
      <c r="M3" s="138"/>
      <c r="N3" s="138"/>
      <c r="O3" s="138"/>
      <c r="P3" s="138"/>
      <c r="Q3" s="138"/>
      <c r="R3" s="138"/>
      <c r="S3" s="138"/>
      <c r="T3" s="138"/>
      <c r="U3" s="9"/>
      <c r="V3" s="9"/>
      <c r="W3" s="9"/>
      <c r="X3" s="9"/>
      <c r="Y3" s="147" t="s">
        <v>10</v>
      </c>
    </row>
    <row r="4" spans="1:25" ht="33.75" customHeight="1" thickBot="1" x14ac:dyDescent="0.35">
      <c r="A4" s="141"/>
      <c r="B4" s="141"/>
      <c r="C4" s="141"/>
      <c r="D4" s="14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48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25.2</v>
      </c>
      <c r="I5" s="27">
        <v>7.09</v>
      </c>
      <c r="J5" s="27">
        <v>7.65</v>
      </c>
      <c r="K5" s="76">
        <v>118</v>
      </c>
      <c r="L5" s="56"/>
      <c r="M5" s="53"/>
      <c r="N5" s="53"/>
      <c r="O5" s="53">
        <v>2.4790000000000001</v>
      </c>
      <c r="P5" s="53"/>
      <c r="Q5" s="53"/>
      <c r="R5" s="53"/>
      <c r="S5" s="53"/>
      <c r="T5" s="53">
        <v>6.4429999999999996</v>
      </c>
      <c r="U5" s="53">
        <v>3.61</v>
      </c>
      <c r="V5" s="53">
        <v>-3.39</v>
      </c>
      <c r="W5" s="53"/>
      <c r="X5" s="53"/>
      <c r="Y5" s="63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25.9</v>
      </c>
      <c r="I6" s="28">
        <v>7.31</v>
      </c>
      <c r="J6" s="28">
        <v>7.42</v>
      </c>
      <c r="K6" s="74">
        <v>125</v>
      </c>
      <c r="L6" s="57"/>
      <c r="M6" s="54"/>
      <c r="N6" s="54"/>
      <c r="O6" s="54">
        <v>1.2849999999999999</v>
      </c>
      <c r="P6" s="54"/>
      <c r="Q6" s="54"/>
      <c r="R6" s="54"/>
      <c r="S6" s="54"/>
      <c r="T6" s="54">
        <v>9.0939999999999994</v>
      </c>
      <c r="U6" s="54">
        <v>2.93</v>
      </c>
      <c r="V6" s="54">
        <v>-2.93</v>
      </c>
      <c r="W6" s="54"/>
      <c r="X6" s="54"/>
      <c r="Y6" s="64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26.3</v>
      </c>
      <c r="I7" s="28">
        <v>7.23</v>
      </c>
      <c r="J7" s="28">
        <v>7.08</v>
      </c>
      <c r="K7" s="74">
        <v>115</v>
      </c>
      <c r="L7" s="57"/>
      <c r="M7" s="54"/>
      <c r="N7" s="54"/>
      <c r="O7" s="54">
        <v>1.1259999999999999</v>
      </c>
      <c r="P7" s="54"/>
      <c r="Q7" s="54"/>
      <c r="R7" s="54"/>
      <c r="S7" s="54"/>
      <c r="T7" s="54">
        <v>7.5380000000000003</v>
      </c>
      <c r="U7" s="58">
        <v>2.5299999999999998</v>
      </c>
      <c r="V7" s="58">
        <v>-0.8</v>
      </c>
      <c r="W7" s="58"/>
      <c r="X7" s="54"/>
      <c r="Y7" s="64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25.9</v>
      </c>
      <c r="I8" s="28">
        <v>7.21</v>
      </c>
      <c r="J8" s="28">
        <v>7.11</v>
      </c>
      <c r="K8" s="74">
        <v>119</v>
      </c>
      <c r="L8" s="57"/>
      <c r="M8" s="54"/>
      <c r="N8" s="54"/>
      <c r="O8" s="54">
        <v>0.96599999999999997</v>
      </c>
      <c r="P8" s="54"/>
      <c r="Q8" s="54"/>
      <c r="R8" s="54"/>
      <c r="S8" s="54"/>
      <c r="T8" s="54">
        <v>9.9960000000000004</v>
      </c>
      <c r="U8" s="55">
        <v>2.85</v>
      </c>
      <c r="V8" s="55">
        <v>-0.42</v>
      </c>
      <c r="W8" s="55"/>
      <c r="X8" s="55"/>
      <c r="Y8" s="64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23.01</v>
      </c>
      <c r="I9" s="72">
        <v>7.53</v>
      </c>
      <c r="J9" s="72">
        <v>8.75</v>
      </c>
      <c r="K9" s="73">
        <v>89</v>
      </c>
      <c r="L9" s="59"/>
      <c r="M9" s="60"/>
      <c r="N9" s="60"/>
      <c r="O9" s="61">
        <v>1.81</v>
      </c>
      <c r="P9" s="61"/>
      <c r="Q9" s="61"/>
      <c r="R9" s="61"/>
      <c r="S9" s="61"/>
      <c r="T9" s="61">
        <v>6.7130000000000001</v>
      </c>
      <c r="U9" s="61">
        <v>3.75</v>
      </c>
      <c r="V9" s="61">
        <v>-0.27</v>
      </c>
      <c r="W9" s="61"/>
      <c r="X9" s="61"/>
      <c r="Y9" s="65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23.51</v>
      </c>
      <c r="I10" s="72">
        <v>7.38</v>
      </c>
      <c r="J10" s="72">
        <v>8.7100000000000009</v>
      </c>
      <c r="K10" s="73">
        <v>95</v>
      </c>
      <c r="L10" s="59"/>
      <c r="M10" s="60"/>
      <c r="N10" s="60"/>
      <c r="O10" s="60">
        <v>1.5860000000000001</v>
      </c>
      <c r="P10" s="60"/>
      <c r="Q10" s="60"/>
      <c r="R10" s="60"/>
      <c r="S10" s="60"/>
      <c r="T10" s="60">
        <v>10.242000000000001</v>
      </c>
      <c r="U10" s="60">
        <v>6.21</v>
      </c>
      <c r="V10" s="60">
        <v>-0.08</v>
      </c>
      <c r="W10" s="60"/>
      <c r="X10" s="60"/>
      <c r="Y10" s="65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23.58</v>
      </c>
      <c r="I11" s="72">
        <v>7.27</v>
      </c>
      <c r="J11" s="72">
        <v>8.19</v>
      </c>
      <c r="K11" s="73">
        <v>107</v>
      </c>
      <c r="L11" s="59"/>
      <c r="M11" s="60"/>
      <c r="N11" s="60"/>
      <c r="O11" s="60">
        <v>1.9059999999999999</v>
      </c>
      <c r="P11" s="60"/>
      <c r="Q11" s="60"/>
      <c r="R11" s="60"/>
      <c r="S11" s="60"/>
      <c r="T11" s="60">
        <v>11.489000000000001</v>
      </c>
      <c r="U11" s="60">
        <v>6.45</v>
      </c>
      <c r="V11" s="60">
        <v>-0.33</v>
      </c>
      <c r="W11" s="60"/>
      <c r="X11" s="60"/>
      <c r="Y11" s="65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23.03</v>
      </c>
      <c r="I12" s="72">
        <v>7.12</v>
      </c>
      <c r="J12" s="72">
        <v>7.6</v>
      </c>
      <c r="K12" s="73">
        <v>298</v>
      </c>
      <c r="L12" s="59"/>
      <c r="M12" s="60"/>
      <c r="N12" s="60"/>
      <c r="O12" s="60">
        <v>0.76500000000000001</v>
      </c>
      <c r="P12" s="60"/>
      <c r="Q12" s="60"/>
      <c r="R12" s="60"/>
      <c r="S12" s="60"/>
      <c r="T12" s="60">
        <v>35.637</v>
      </c>
      <c r="U12" s="60">
        <v>6.36</v>
      </c>
      <c r="V12" s="60">
        <v>0.05</v>
      </c>
      <c r="W12" s="60"/>
      <c r="X12" s="60"/>
      <c r="Y12" s="65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24.8</v>
      </c>
      <c r="I13" s="72">
        <v>7.08</v>
      </c>
      <c r="J13" s="72">
        <v>7.06</v>
      </c>
      <c r="K13" s="73">
        <v>141</v>
      </c>
      <c r="L13" s="59"/>
      <c r="M13" s="60"/>
      <c r="N13" s="60"/>
      <c r="O13" s="60">
        <v>2.2280000000000002</v>
      </c>
      <c r="P13" s="60"/>
      <c r="Q13" s="60"/>
      <c r="R13" s="60"/>
      <c r="S13" s="60"/>
      <c r="T13" s="60">
        <v>12.307</v>
      </c>
      <c r="U13" s="62">
        <v>6.09</v>
      </c>
      <c r="V13" s="62">
        <v>-2.75</v>
      </c>
      <c r="W13" s="62"/>
      <c r="X13" s="62"/>
      <c r="Y13" s="65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28.53</v>
      </c>
      <c r="I14" s="28">
        <v>7.9</v>
      </c>
      <c r="J14" s="28">
        <v>5.95</v>
      </c>
      <c r="K14" s="74">
        <v>226</v>
      </c>
      <c r="L14" s="57"/>
      <c r="M14" s="54"/>
      <c r="N14" s="54"/>
      <c r="O14" s="58">
        <v>1.1559999999999999</v>
      </c>
      <c r="P14" s="58"/>
      <c r="Q14" s="58"/>
      <c r="R14" s="58"/>
      <c r="S14" s="58"/>
      <c r="T14" s="58">
        <v>12.255000000000001</v>
      </c>
      <c r="U14" s="58">
        <v>9.75</v>
      </c>
      <c r="V14" s="58">
        <v>6.08</v>
      </c>
      <c r="W14" s="58"/>
      <c r="X14" s="58"/>
      <c r="Y14" s="64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28.3</v>
      </c>
      <c r="I15" s="28">
        <v>7.46</v>
      </c>
      <c r="J15" s="28">
        <v>6.9</v>
      </c>
      <c r="K15" s="74">
        <v>224</v>
      </c>
      <c r="L15" s="57"/>
      <c r="M15" s="54"/>
      <c r="N15" s="54"/>
      <c r="O15" s="54">
        <v>0.82799999999999996</v>
      </c>
      <c r="P15" s="54"/>
      <c r="Q15" s="54"/>
      <c r="R15" s="54"/>
      <c r="S15" s="54"/>
      <c r="T15" s="54">
        <v>14.507999999999999</v>
      </c>
      <c r="U15" s="54">
        <v>10.69</v>
      </c>
      <c r="V15" s="54">
        <v>2.96</v>
      </c>
      <c r="W15" s="54"/>
      <c r="X15" s="54"/>
      <c r="Y15" s="64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28.42</v>
      </c>
      <c r="I16" s="28">
        <v>7.42</v>
      </c>
      <c r="J16" s="28">
        <v>6.67</v>
      </c>
      <c r="K16" s="74">
        <v>234</v>
      </c>
      <c r="L16" s="57"/>
      <c r="M16" s="54"/>
      <c r="N16" s="54"/>
      <c r="O16" s="54">
        <v>1.163</v>
      </c>
      <c r="P16" s="54"/>
      <c r="Q16" s="54"/>
      <c r="R16" s="54"/>
      <c r="S16" s="54"/>
      <c r="T16" s="54">
        <v>15.346</v>
      </c>
      <c r="U16" s="54">
        <v>10.63</v>
      </c>
      <c r="V16" s="54">
        <v>2.95</v>
      </c>
      <c r="W16" s="54"/>
      <c r="X16" s="54"/>
      <c r="Y16" s="64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27.1</v>
      </c>
      <c r="I17" s="28">
        <v>7.04</v>
      </c>
      <c r="J17" s="28">
        <v>6.21</v>
      </c>
      <c r="K17" s="74">
        <v>139</v>
      </c>
      <c r="L17" s="57"/>
      <c r="M17" s="54"/>
      <c r="N17" s="54"/>
      <c r="O17" s="54">
        <v>1.129</v>
      </c>
      <c r="P17" s="54"/>
      <c r="Q17" s="54"/>
      <c r="R17" s="54"/>
      <c r="S17" s="54"/>
      <c r="T17" s="54">
        <v>6.3780000000000001</v>
      </c>
      <c r="U17" s="54">
        <v>7.91</v>
      </c>
      <c r="V17" s="54">
        <v>1.52</v>
      </c>
      <c r="W17" s="54"/>
      <c r="X17" s="54"/>
      <c r="Y17" s="64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26.3</v>
      </c>
      <c r="I18" s="28">
        <v>7.01</v>
      </c>
      <c r="J18" s="28">
        <v>7.04</v>
      </c>
      <c r="K18" s="74">
        <v>157</v>
      </c>
      <c r="L18" s="57"/>
      <c r="M18" s="54"/>
      <c r="N18" s="54"/>
      <c r="O18" s="54">
        <v>1.1659999999999999</v>
      </c>
      <c r="P18" s="54"/>
      <c r="Q18" s="54"/>
      <c r="R18" s="54"/>
      <c r="S18" s="54"/>
      <c r="T18" s="54">
        <v>13.02</v>
      </c>
      <c r="U18" s="54">
        <v>7.65</v>
      </c>
      <c r="V18" s="54">
        <v>2.33</v>
      </c>
      <c r="W18" s="54"/>
      <c r="X18" s="54"/>
      <c r="Y18" s="64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26.5</v>
      </c>
      <c r="I19" s="28">
        <v>7.01</v>
      </c>
      <c r="J19" s="28">
        <v>6.16</v>
      </c>
      <c r="K19" s="74">
        <v>103</v>
      </c>
      <c r="L19" s="57"/>
      <c r="M19" s="54"/>
      <c r="N19" s="54"/>
      <c r="O19" s="54">
        <v>1.204</v>
      </c>
      <c r="P19" s="54"/>
      <c r="Q19" s="54"/>
      <c r="R19" s="54"/>
      <c r="S19" s="54"/>
      <c r="T19" s="54">
        <v>4.8440000000000003</v>
      </c>
      <c r="U19" s="55">
        <v>9.67</v>
      </c>
      <c r="V19" s="55">
        <v>2.44</v>
      </c>
      <c r="W19" s="55"/>
      <c r="X19" s="55"/>
      <c r="Y19" s="64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26.22</v>
      </c>
      <c r="I20" s="72">
        <v>7.77</v>
      </c>
      <c r="J20" s="72">
        <v>115.1</v>
      </c>
      <c r="K20" s="73">
        <v>7.3</v>
      </c>
      <c r="L20" s="59"/>
      <c r="M20" s="60"/>
      <c r="N20" s="60"/>
      <c r="O20" s="61">
        <v>1.4379999999999999</v>
      </c>
      <c r="P20" s="61"/>
      <c r="Q20" s="61"/>
      <c r="R20" s="61"/>
      <c r="S20" s="61"/>
      <c r="T20" s="61">
        <v>6.7939999999999996</v>
      </c>
      <c r="U20" s="61">
        <v>7.01</v>
      </c>
      <c r="V20" s="61">
        <v>-0.65</v>
      </c>
      <c r="W20" s="61"/>
      <c r="X20" s="61"/>
      <c r="Y20" s="65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26.7</v>
      </c>
      <c r="I21" s="72">
        <v>7.1</v>
      </c>
      <c r="J21" s="72">
        <v>7.12</v>
      </c>
      <c r="K21" s="73">
        <v>109.8</v>
      </c>
      <c r="L21" s="59"/>
      <c r="M21" s="60"/>
      <c r="N21" s="60"/>
      <c r="O21" s="60">
        <v>1.1299999999999999</v>
      </c>
      <c r="P21" s="60"/>
      <c r="Q21" s="60"/>
      <c r="R21" s="60"/>
      <c r="S21" s="60"/>
      <c r="T21" s="60">
        <v>6.6559999999999997</v>
      </c>
      <c r="U21" s="60">
        <v>7.55</v>
      </c>
      <c r="V21" s="60">
        <v>0.45</v>
      </c>
      <c r="W21" s="60"/>
      <c r="X21" s="60"/>
      <c r="Y21" s="65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26.52</v>
      </c>
      <c r="I22" s="72">
        <v>7.06</v>
      </c>
      <c r="J22" s="72">
        <v>6.9</v>
      </c>
      <c r="K22" s="73">
        <v>119</v>
      </c>
      <c r="L22" s="59"/>
      <c r="M22" s="60"/>
      <c r="N22" s="60"/>
      <c r="O22" s="60">
        <v>1.2490000000000001</v>
      </c>
      <c r="P22" s="60"/>
      <c r="Q22" s="60"/>
      <c r="R22" s="60"/>
      <c r="S22" s="60"/>
      <c r="T22" s="60">
        <v>8.0779999999999994</v>
      </c>
      <c r="U22" s="60">
        <v>7.87</v>
      </c>
      <c r="V22" s="60">
        <v>0.56000000000000005</v>
      </c>
      <c r="W22" s="60"/>
      <c r="X22" s="60"/>
      <c r="Y22" s="65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</v>
      </c>
      <c r="I23" s="72">
        <v>7.11</v>
      </c>
      <c r="J23" s="72">
        <v>7.1</v>
      </c>
      <c r="K23" s="73">
        <v>94.2</v>
      </c>
      <c r="L23" s="59"/>
      <c r="M23" s="60"/>
      <c r="N23" s="60"/>
      <c r="O23" s="60">
        <v>0.73599999999999999</v>
      </c>
      <c r="P23" s="60"/>
      <c r="Q23" s="60"/>
      <c r="R23" s="60"/>
      <c r="S23" s="60"/>
      <c r="T23" s="60">
        <v>5.6630000000000003</v>
      </c>
      <c r="U23" s="60">
        <v>7.59</v>
      </c>
      <c r="V23" s="60">
        <v>2.76</v>
      </c>
      <c r="W23" s="60"/>
      <c r="X23" s="60"/>
      <c r="Y23" s="65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26.82</v>
      </c>
      <c r="I24" s="72">
        <v>7.32</v>
      </c>
      <c r="J24" s="72">
        <v>7.24</v>
      </c>
      <c r="K24" s="73">
        <v>75</v>
      </c>
      <c r="L24" s="59"/>
      <c r="M24" s="60"/>
      <c r="N24" s="60"/>
      <c r="O24" s="60">
        <v>0.59599999999999997</v>
      </c>
      <c r="P24" s="60"/>
      <c r="Q24" s="60"/>
      <c r="R24" s="60"/>
      <c r="S24" s="60"/>
      <c r="T24" s="60">
        <v>3.7</v>
      </c>
      <c r="U24" s="62">
        <v>6.34</v>
      </c>
      <c r="V24" s="62">
        <v>3.38</v>
      </c>
      <c r="W24" s="62"/>
      <c r="X24" s="62"/>
      <c r="Y24" s="65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23.24</v>
      </c>
      <c r="I25" s="28">
        <v>8</v>
      </c>
      <c r="J25" s="28">
        <v>9.0299999999999994</v>
      </c>
      <c r="K25" s="74">
        <v>96</v>
      </c>
      <c r="L25" s="57"/>
      <c r="M25" s="54"/>
      <c r="N25" s="54"/>
      <c r="O25" s="58">
        <v>1.2</v>
      </c>
      <c r="P25" s="58"/>
      <c r="Q25" s="58"/>
      <c r="R25" s="58"/>
      <c r="S25" s="58"/>
      <c r="T25" s="58">
        <v>7.3719999999999999</v>
      </c>
      <c r="U25" s="58">
        <v>5.44</v>
      </c>
      <c r="V25" s="58">
        <v>-0.64</v>
      </c>
      <c r="W25" s="58"/>
      <c r="X25" s="58"/>
      <c r="Y25" s="64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24.14</v>
      </c>
      <c r="I26" s="28">
        <v>7.76</v>
      </c>
      <c r="J26" s="28">
        <v>8.14</v>
      </c>
      <c r="K26" s="74">
        <v>127</v>
      </c>
      <c r="L26" s="57"/>
      <c r="M26" s="55"/>
      <c r="N26" s="55"/>
      <c r="O26" s="55">
        <v>0.98799999999999999</v>
      </c>
      <c r="P26" s="55"/>
      <c r="Q26" s="55"/>
      <c r="R26" s="55"/>
      <c r="S26" s="55"/>
      <c r="T26" s="55">
        <v>13.813000000000001</v>
      </c>
      <c r="U26" s="55">
        <v>7.87</v>
      </c>
      <c r="V26" s="55">
        <v>0.48</v>
      </c>
      <c r="W26" s="55"/>
      <c r="X26" s="55"/>
      <c r="Y26" s="66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23.86</v>
      </c>
      <c r="I27" s="75">
        <v>7.6</v>
      </c>
      <c r="J27" s="75">
        <v>8.23</v>
      </c>
      <c r="K27" s="77">
        <v>115</v>
      </c>
      <c r="L27" s="57"/>
      <c r="M27" s="55"/>
      <c r="N27" s="55"/>
      <c r="O27" s="55">
        <v>1.2649999999999999</v>
      </c>
      <c r="P27" s="55"/>
      <c r="Q27" s="55"/>
      <c r="R27" s="55"/>
      <c r="S27" s="55"/>
      <c r="T27" s="55">
        <v>12.028</v>
      </c>
      <c r="U27" s="55">
        <v>7.22</v>
      </c>
      <c r="V27" s="55">
        <v>-0.87</v>
      </c>
      <c r="W27" s="55"/>
      <c r="X27" s="55"/>
      <c r="Y27" s="66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23.77</v>
      </c>
      <c r="I28" s="28">
        <v>7.53</v>
      </c>
      <c r="J28" s="28">
        <v>8.26</v>
      </c>
      <c r="K28" s="74">
        <v>109</v>
      </c>
      <c r="L28" s="57"/>
      <c r="M28" s="54"/>
      <c r="N28" s="54"/>
      <c r="O28" s="54">
        <v>1.34</v>
      </c>
      <c r="P28" s="54"/>
      <c r="Q28" s="54"/>
      <c r="R28" s="54"/>
      <c r="S28" s="54"/>
      <c r="T28" s="54">
        <v>11.419</v>
      </c>
      <c r="U28" s="54">
        <v>7.92</v>
      </c>
      <c r="V28" s="54">
        <v>0.46</v>
      </c>
      <c r="W28" s="54"/>
      <c r="X28" s="54"/>
      <c r="Y28" s="64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A29" sqref="A29:XFD30"/>
    </sheetView>
  </sheetViews>
  <sheetFormatPr defaultRowHeight="16.5" x14ac:dyDescent="0.3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39" t="s">
        <v>73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Y1" s="2"/>
    </row>
    <row r="2" spans="1:25" ht="17.25" thickBot="1" x14ac:dyDescent="0.35">
      <c r="Y2" s="3"/>
    </row>
    <row r="3" spans="1:25" ht="26.25" customHeight="1" thickBot="1" x14ac:dyDescent="0.35">
      <c r="A3" s="140" t="s">
        <v>1</v>
      </c>
      <c r="B3" s="142" t="s">
        <v>62</v>
      </c>
      <c r="C3" s="142" t="s">
        <v>63</v>
      </c>
      <c r="D3" s="140" t="s">
        <v>7</v>
      </c>
      <c r="E3" s="144" t="s">
        <v>8</v>
      </c>
      <c r="F3" s="145"/>
      <c r="G3" s="146" t="s">
        <v>9</v>
      </c>
      <c r="H3" s="146"/>
      <c r="I3" s="146"/>
      <c r="J3" s="146"/>
      <c r="K3" s="146"/>
      <c r="L3" s="137" t="s">
        <v>56</v>
      </c>
      <c r="M3" s="138"/>
      <c r="N3" s="138"/>
      <c r="O3" s="138"/>
      <c r="P3" s="138"/>
      <c r="Q3" s="138"/>
      <c r="R3" s="138"/>
      <c r="S3" s="138"/>
      <c r="T3" s="138"/>
      <c r="U3" s="9"/>
      <c r="V3" s="9"/>
      <c r="W3" s="9"/>
      <c r="X3" s="9"/>
      <c r="Y3" s="147" t="s">
        <v>10</v>
      </c>
    </row>
    <row r="4" spans="1:25" ht="33.75" customHeight="1" thickBot="1" x14ac:dyDescent="0.35">
      <c r="A4" s="141"/>
      <c r="B4" s="141"/>
      <c r="C4" s="141"/>
      <c r="D4" s="143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64</v>
      </c>
      <c r="U4" s="51" t="s">
        <v>77</v>
      </c>
      <c r="V4" s="4" t="s">
        <v>78</v>
      </c>
      <c r="W4" s="4" t="s">
        <v>131</v>
      </c>
      <c r="X4" s="10" t="s">
        <v>76</v>
      </c>
      <c r="Y4" s="148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24.4</v>
      </c>
      <c r="I5" s="27">
        <v>7.39</v>
      </c>
      <c r="J5" s="27">
        <v>7.85</v>
      </c>
      <c r="K5" s="76">
        <v>149</v>
      </c>
      <c r="L5" s="56"/>
      <c r="M5" s="53"/>
      <c r="N5" s="53"/>
      <c r="O5" s="53">
        <v>3.9780000000000002</v>
      </c>
      <c r="P5" s="53"/>
      <c r="Q5" s="53"/>
      <c r="R5" s="53"/>
      <c r="S5" s="53"/>
      <c r="T5" s="53">
        <v>7.827</v>
      </c>
      <c r="U5" s="53">
        <v>3.22</v>
      </c>
      <c r="V5" s="53">
        <v>-1.83</v>
      </c>
      <c r="W5" s="37"/>
      <c r="X5" s="37"/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26</v>
      </c>
      <c r="I6" s="28">
        <v>7.39</v>
      </c>
      <c r="J6" s="28">
        <v>7.32</v>
      </c>
      <c r="K6" s="74">
        <v>136</v>
      </c>
      <c r="L6" s="57"/>
      <c r="M6" s="54"/>
      <c r="N6" s="54"/>
      <c r="O6" s="54">
        <v>2.569</v>
      </c>
      <c r="P6" s="54"/>
      <c r="Q6" s="54"/>
      <c r="R6" s="54"/>
      <c r="S6" s="54"/>
      <c r="T6" s="54">
        <v>8.0570000000000004</v>
      </c>
      <c r="U6" s="54">
        <v>3.19</v>
      </c>
      <c r="V6" s="54">
        <v>-2.63</v>
      </c>
      <c r="W6" s="38"/>
      <c r="X6" s="38"/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26.4</v>
      </c>
      <c r="I7" s="28">
        <v>7.36</v>
      </c>
      <c r="J7" s="28">
        <v>7.25</v>
      </c>
      <c r="K7" s="74">
        <v>131</v>
      </c>
      <c r="L7" s="57"/>
      <c r="M7" s="54"/>
      <c r="N7" s="54"/>
      <c r="O7" s="54">
        <v>1.444</v>
      </c>
      <c r="P7" s="54"/>
      <c r="Q7" s="54"/>
      <c r="R7" s="54"/>
      <c r="S7" s="54"/>
      <c r="T7" s="54">
        <v>8.9469999999999992</v>
      </c>
      <c r="U7" s="58">
        <v>4.1900000000000004</v>
      </c>
      <c r="V7" s="58">
        <v>-0.87</v>
      </c>
      <c r="W7" s="39"/>
      <c r="X7" s="38"/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26.5</v>
      </c>
      <c r="I8" s="28">
        <v>7.15</v>
      </c>
      <c r="J8" s="28">
        <v>5.89</v>
      </c>
      <c r="K8" s="74">
        <v>148</v>
      </c>
      <c r="L8" s="57"/>
      <c r="M8" s="54"/>
      <c r="N8" s="54"/>
      <c r="O8" s="54">
        <v>1.0980000000000001</v>
      </c>
      <c r="P8" s="54"/>
      <c r="Q8" s="54"/>
      <c r="R8" s="54"/>
      <c r="S8" s="54"/>
      <c r="T8" s="54">
        <v>10.225</v>
      </c>
      <c r="U8" s="55">
        <v>4.33</v>
      </c>
      <c r="V8" s="55">
        <v>-0.2</v>
      </c>
      <c r="W8" s="40"/>
      <c r="X8" s="40"/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24.01</v>
      </c>
      <c r="I9" s="72">
        <v>7.4</v>
      </c>
      <c r="J9" s="72">
        <v>8.84</v>
      </c>
      <c r="K9" s="73">
        <v>97</v>
      </c>
      <c r="L9" s="59"/>
      <c r="M9" s="60"/>
      <c r="N9" s="60"/>
      <c r="O9" s="61">
        <v>1.875</v>
      </c>
      <c r="P9" s="61"/>
      <c r="Q9" s="61"/>
      <c r="R9" s="61"/>
      <c r="S9" s="61"/>
      <c r="T9" s="61">
        <v>7.718</v>
      </c>
      <c r="U9" s="61">
        <v>2.75</v>
      </c>
      <c r="V9" s="61">
        <v>-0.63</v>
      </c>
      <c r="W9" s="47"/>
      <c r="X9" s="47"/>
      <c r="Y9" s="4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24.87</v>
      </c>
      <c r="I10" s="72">
        <v>7.3</v>
      </c>
      <c r="J10" s="72">
        <v>8.6300000000000008</v>
      </c>
      <c r="K10" s="73">
        <v>100</v>
      </c>
      <c r="L10" s="59"/>
      <c r="M10" s="60"/>
      <c r="N10" s="60"/>
      <c r="O10" s="60">
        <v>1.4830000000000001</v>
      </c>
      <c r="P10" s="60"/>
      <c r="Q10" s="60"/>
      <c r="R10" s="60"/>
      <c r="S10" s="60"/>
      <c r="T10" s="60">
        <v>10.952999999999999</v>
      </c>
      <c r="U10" s="60">
        <v>6.46</v>
      </c>
      <c r="V10" s="60">
        <v>-0.38</v>
      </c>
      <c r="W10" s="49"/>
      <c r="X10" s="49"/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24.62</v>
      </c>
      <c r="I11" s="72">
        <v>7.22</v>
      </c>
      <c r="J11" s="72">
        <v>8.1</v>
      </c>
      <c r="K11" s="73">
        <v>105</v>
      </c>
      <c r="L11" s="59"/>
      <c r="M11" s="60"/>
      <c r="N11" s="60"/>
      <c r="O11" s="60">
        <v>1.696</v>
      </c>
      <c r="P11" s="60"/>
      <c r="Q11" s="60"/>
      <c r="R11" s="60"/>
      <c r="S11" s="60"/>
      <c r="T11" s="60">
        <v>11.271000000000001</v>
      </c>
      <c r="U11" s="60">
        <v>6.72</v>
      </c>
      <c r="V11" s="60">
        <v>-1.21</v>
      </c>
      <c r="W11" s="49"/>
      <c r="X11" s="49"/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25.2</v>
      </c>
      <c r="I12" s="72">
        <v>7.05</v>
      </c>
      <c r="J12" s="72">
        <v>5.66</v>
      </c>
      <c r="K12" s="73">
        <v>559</v>
      </c>
      <c r="L12" s="59"/>
      <c r="M12" s="60"/>
      <c r="N12" s="60"/>
      <c r="O12" s="60">
        <v>0.85299999999999998</v>
      </c>
      <c r="P12" s="60"/>
      <c r="Q12" s="60"/>
      <c r="R12" s="60"/>
      <c r="S12" s="60"/>
      <c r="T12" s="60">
        <v>28.981999999999999</v>
      </c>
      <c r="U12" s="60">
        <v>9.0299999999999994</v>
      </c>
      <c r="V12" s="60">
        <v>-1.96</v>
      </c>
      <c r="W12" s="49"/>
      <c r="X12" s="49"/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25.8</v>
      </c>
      <c r="I13" s="72">
        <v>7.14</v>
      </c>
      <c r="J13" s="72">
        <v>5.81</v>
      </c>
      <c r="K13" s="73">
        <v>189</v>
      </c>
      <c r="L13" s="59"/>
      <c r="M13" s="60"/>
      <c r="N13" s="60"/>
      <c r="O13" s="60">
        <v>1.9219999999999999</v>
      </c>
      <c r="P13" s="60"/>
      <c r="Q13" s="60"/>
      <c r="R13" s="60"/>
      <c r="S13" s="60"/>
      <c r="T13" s="60">
        <v>16.257999999999999</v>
      </c>
      <c r="U13" s="62">
        <v>5.56</v>
      </c>
      <c r="V13" s="62">
        <v>-2.61</v>
      </c>
      <c r="W13" s="50"/>
      <c r="X13" s="50"/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26.69</v>
      </c>
      <c r="I14" s="28">
        <v>6.99</v>
      </c>
      <c r="J14" s="28">
        <v>6.15</v>
      </c>
      <c r="K14" s="74">
        <v>153</v>
      </c>
      <c r="L14" s="57"/>
      <c r="M14" s="54"/>
      <c r="N14" s="54"/>
      <c r="O14" s="58">
        <v>1.387</v>
      </c>
      <c r="P14" s="58"/>
      <c r="Q14" s="58"/>
      <c r="R14" s="58"/>
      <c r="S14" s="58"/>
      <c r="T14" s="58">
        <v>7.6609999999999996</v>
      </c>
      <c r="U14" s="58">
        <v>6.03</v>
      </c>
      <c r="V14" s="58">
        <v>0.6</v>
      </c>
      <c r="W14" s="39"/>
      <c r="X14" s="39"/>
      <c r="Y14" s="21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27.5</v>
      </c>
      <c r="I15" s="28">
        <v>6.97</v>
      </c>
      <c r="J15" s="28">
        <v>7.01</v>
      </c>
      <c r="K15" s="74">
        <v>188</v>
      </c>
      <c r="L15" s="57"/>
      <c r="M15" s="54"/>
      <c r="N15" s="54"/>
      <c r="O15" s="54">
        <v>1.341</v>
      </c>
      <c r="P15" s="54"/>
      <c r="Q15" s="54"/>
      <c r="R15" s="54"/>
      <c r="S15" s="54"/>
      <c r="T15" s="54">
        <v>10.664</v>
      </c>
      <c r="U15" s="54">
        <v>8.3699999999999992</v>
      </c>
      <c r="V15" s="54">
        <v>4.18</v>
      </c>
      <c r="W15" s="38"/>
      <c r="X15" s="38"/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28.35</v>
      </c>
      <c r="I16" s="28">
        <v>7.16</v>
      </c>
      <c r="J16" s="28">
        <v>6.93</v>
      </c>
      <c r="K16" s="74">
        <v>211</v>
      </c>
      <c r="L16" s="57"/>
      <c r="M16" s="54"/>
      <c r="N16" s="54"/>
      <c r="O16" s="54">
        <v>1.1830000000000001</v>
      </c>
      <c r="P16" s="54"/>
      <c r="Q16" s="54"/>
      <c r="R16" s="54"/>
      <c r="S16" s="54"/>
      <c r="T16" s="54">
        <v>12.348000000000001</v>
      </c>
      <c r="U16" s="54">
        <v>9.42</v>
      </c>
      <c r="V16" s="54">
        <v>3.71</v>
      </c>
      <c r="W16" s="38"/>
      <c r="X16" s="38"/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26.8</v>
      </c>
      <c r="I17" s="28">
        <v>7.21</v>
      </c>
      <c r="J17" s="28">
        <v>7.09</v>
      </c>
      <c r="K17" s="74">
        <v>133</v>
      </c>
      <c r="L17" s="57"/>
      <c r="M17" s="54"/>
      <c r="N17" s="54"/>
      <c r="O17" s="54">
        <v>1.1459999999999999</v>
      </c>
      <c r="P17" s="54"/>
      <c r="Q17" s="54"/>
      <c r="R17" s="54"/>
      <c r="S17" s="54"/>
      <c r="T17" s="54">
        <v>9.5359999999999996</v>
      </c>
      <c r="U17" s="54">
        <v>6.38</v>
      </c>
      <c r="V17" s="54">
        <v>1.37</v>
      </c>
      <c r="W17" s="38"/>
      <c r="X17" s="38"/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27.2</v>
      </c>
      <c r="I18" s="28">
        <v>7.21</v>
      </c>
      <c r="J18" s="28">
        <v>5.91</v>
      </c>
      <c r="K18" s="74">
        <v>161</v>
      </c>
      <c r="L18" s="57"/>
      <c r="M18" s="54"/>
      <c r="N18" s="54"/>
      <c r="O18" s="54">
        <v>1.0580000000000001</v>
      </c>
      <c r="P18" s="54"/>
      <c r="Q18" s="54"/>
      <c r="R18" s="54"/>
      <c r="S18" s="54"/>
      <c r="T18" s="54">
        <v>8.0690000000000008</v>
      </c>
      <c r="U18" s="54">
        <v>8.02</v>
      </c>
      <c r="V18" s="54">
        <v>1.72</v>
      </c>
      <c r="W18" s="38"/>
      <c r="X18" s="38"/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27.5</v>
      </c>
      <c r="I19" s="28">
        <v>7.16</v>
      </c>
      <c r="J19" s="28">
        <v>5.79</v>
      </c>
      <c r="K19" s="74">
        <v>122</v>
      </c>
      <c r="L19" s="57"/>
      <c r="M19" s="54"/>
      <c r="N19" s="54"/>
      <c r="O19" s="54">
        <v>1.196</v>
      </c>
      <c r="P19" s="54"/>
      <c r="Q19" s="54"/>
      <c r="R19" s="54"/>
      <c r="S19" s="54"/>
      <c r="T19" s="54">
        <v>5.6020000000000003</v>
      </c>
      <c r="U19" s="55">
        <v>8.82</v>
      </c>
      <c r="V19" s="55">
        <v>1.1100000000000001</v>
      </c>
      <c r="W19" s="40"/>
      <c r="X19" s="40"/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27.65</v>
      </c>
      <c r="I20" s="72">
        <v>7.45</v>
      </c>
      <c r="J20" s="72">
        <v>7.26</v>
      </c>
      <c r="K20" s="73">
        <v>116</v>
      </c>
      <c r="L20" s="59"/>
      <c r="M20" s="60"/>
      <c r="N20" s="60"/>
      <c r="O20" s="61">
        <v>1.145</v>
      </c>
      <c r="P20" s="61"/>
      <c r="Q20" s="61"/>
      <c r="R20" s="61"/>
      <c r="S20" s="61"/>
      <c r="T20" s="61">
        <v>6.92</v>
      </c>
      <c r="U20" s="61">
        <v>8</v>
      </c>
      <c r="V20" s="61">
        <v>0.13</v>
      </c>
      <c r="W20" s="47"/>
      <c r="X20" s="47"/>
      <c r="Y20" s="4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27.5</v>
      </c>
      <c r="I21" s="72">
        <v>7.2</v>
      </c>
      <c r="J21" s="72">
        <v>7.2</v>
      </c>
      <c r="K21" s="73">
        <v>151.80000000000001</v>
      </c>
      <c r="L21" s="59"/>
      <c r="M21" s="60"/>
      <c r="N21" s="60"/>
      <c r="O21" s="60">
        <v>1.5629999999999999</v>
      </c>
      <c r="P21" s="60"/>
      <c r="Q21" s="60"/>
      <c r="R21" s="60"/>
      <c r="S21" s="60"/>
      <c r="T21" s="60">
        <v>10.048999999999999</v>
      </c>
      <c r="U21" s="60">
        <v>9.5299999999999994</v>
      </c>
      <c r="V21" s="60">
        <v>1.35</v>
      </c>
      <c r="W21" s="49"/>
      <c r="X21" s="49"/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27.2</v>
      </c>
      <c r="I22" s="72">
        <v>7.16</v>
      </c>
      <c r="J22" s="72">
        <v>7.05</v>
      </c>
      <c r="K22" s="73">
        <v>155</v>
      </c>
      <c r="L22" s="59"/>
      <c r="M22" s="60"/>
      <c r="N22" s="60"/>
      <c r="O22" s="60">
        <v>1.5569999999999999</v>
      </c>
      <c r="P22" s="60"/>
      <c r="Q22" s="60"/>
      <c r="R22" s="60"/>
      <c r="S22" s="60"/>
      <c r="T22" s="60">
        <v>11.33</v>
      </c>
      <c r="U22" s="60">
        <v>9.59</v>
      </c>
      <c r="V22" s="60">
        <v>0.75</v>
      </c>
      <c r="W22" s="49"/>
      <c r="X22" s="49"/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27.81</v>
      </c>
      <c r="I23" s="72">
        <v>7.2</v>
      </c>
      <c r="J23" s="72">
        <v>6.61</v>
      </c>
      <c r="K23" s="73">
        <v>185</v>
      </c>
      <c r="L23" s="59"/>
      <c r="M23" s="60"/>
      <c r="N23" s="60"/>
      <c r="O23" s="60">
        <v>1.1890000000000001</v>
      </c>
      <c r="P23" s="60"/>
      <c r="Q23" s="60"/>
      <c r="R23" s="60"/>
      <c r="S23" s="60"/>
      <c r="T23" s="60">
        <v>13.75</v>
      </c>
      <c r="U23" s="60">
        <v>9.9</v>
      </c>
      <c r="V23" s="60">
        <v>3.24</v>
      </c>
      <c r="W23" s="49"/>
      <c r="X23" s="49"/>
      <c r="Y23" s="48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27.87</v>
      </c>
      <c r="I24" s="72">
        <v>7.15</v>
      </c>
      <c r="J24" s="72">
        <v>6.84</v>
      </c>
      <c r="K24" s="73">
        <v>157</v>
      </c>
      <c r="L24" s="59"/>
      <c r="M24" s="60"/>
      <c r="N24" s="60"/>
      <c r="O24" s="60">
        <v>1.5349999999999999</v>
      </c>
      <c r="P24" s="60"/>
      <c r="Q24" s="60"/>
      <c r="R24" s="60"/>
      <c r="S24" s="60"/>
      <c r="T24" s="60">
        <v>8.0259999999999998</v>
      </c>
      <c r="U24" s="62">
        <v>4.67</v>
      </c>
      <c r="V24" s="62">
        <v>-0.27</v>
      </c>
      <c r="W24" s="50"/>
      <c r="X24" s="50"/>
      <c r="Y24" s="4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24.49</v>
      </c>
      <c r="I25" s="28">
        <v>7.58</v>
      </c>
      <c r="J25" s="28">
        <v>8.7799999999999994</v>
      </c>
      <c r="K25" s="74">
        <v>104</v>
      </c>
      <c r="L25" s="57"/>
      <c r="M25" s="54"/>
      <c r="N25" s="54"/>
      <c r="O25" s="58">
        <v>0.97099999999999997</v>
      </c>
      <c r="P25" s="58"/>
      <c r="Q25" s="58"/>
      <c r="R25" s="58"/>
      <c r="S25" s="58"/>
      <c r="T25" s="58">
        <v>9.0559999999999992</v>
      </c>
      <c r="U25" s="58">
        <v>7.49</v>
      </c>
      <c r="V25" s="58">
        <v>2.5299999999999998</v>
      </c>
      <c r="W25" s="86">
        <v>19.471254481382001</v>
      </c>
      <c r="X25" s="86">
        <v>12.907176930257224</v>
      </c>
      <c r="Y25" s="21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24.99</v>
      </c>
      <c r="I26" s="28">
        <v>7.34</v>
      </c>
      <c r="J26" s="28">
        <v>8.39</v>
      </c>
      <c r="K26" s="74">
        <v>120</v>
      </c>
      <c r="L26" s="57"/>
      <c r="M26" s="55"/>
      <c r="N26" s="55"/>
      <c r="O26" s="55">
        <v>0.90300000000000002</v>
      </c>
      <c r="P26" s="55"/>
      <c r="Q26" s="55"/>
      <c r="R26" s="55"/>
      <c r="S26" s="55"/>
      <c r="T26" s="55">
        <v>12.510999999999999</v>
      </c>
      <c r="U26" s="55">
        <v>7.75</v>
      </c>
      <c r="V26" s="55">
        <v>0.71</v>
      </c>
      <c r="W26" s="87">
        <v>22.854924018188399</v>
      </c>
      <c r="X26" s="87">
        <v>9.4441078766691611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24.92</v>
      </c>
      <c r="I27" s="75">
        <v>7.34</v>
      </c>
      <c r="J27" s="75">
        <v>8.36</v>
      </c>
      <c r="K27" s="77">
        <v>118</v>
      </c>
      <c r="L27" s="57"/>
      <c r="M27" s="55"/>
      <c r="N27" s="55"/>
      <c r="O27" s="55">
        <v>0.995</v>
      </c>
      <c r="P27" s="55"/>
      <c r="Q27" s="55"/>
      <c r="R27" s="55"/>
      <c r="S27" s="55"/>
      <c r="T27" s="55">
        <v>12.52</v>
      </c>
      <c r="U27" s="55">
        <v>7.59</v>
      </c>
      <c r="V27" s="55">
        <v>0.8</v>
      </c>
      <c r="W27" s="87">
        <v>25.8221336469378</v>
      </c>
      <c r="X27" s="87">
        <v>8.4464970045217687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25.3</v>
      </c>
      <c r="I28" s="28">
        <v>7.45</v>
      </c>
      <c r="J28" s="28">
        <v>8.76</v>
      </c>
      <c r="K28" s="74">
        <v>117</v>
      </c>
      <c r="L28" s="57"/>
      <c r="M28" s="54"/>
      <c r="N28" s="54"/>
      <c r="O28" s="54">
        <v>1.143</v>
      </c>
      <c r="P28" s="54"/>
      <c r="Q28" s="54"/>
      <c r="R28" s="54"/>
      <c r="S28" s="54"/>
      <c r="T28" s="54">
        <v>12.462999999999999</v>
      </c>
      <c r="U28" s="54">
        <v>8.11</v>
      </c>
      <c r="V28" s="54">
        <v>0.65</v>
      </c>
      <c r="W28" s="85">
        <v>25.467237180056902</v>
      </c>
      <c r="X28" s="85">
        <v>8.6977047867102808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7"/>
  <sheetViews>
    <sheetView zoomScale="80" zoomScaleNormal="80" workbookViewId="0">
      <selection activeCell="Z5" sqref="Z5"/>
    </sheetView>
  </sheetViews>
  <sheetFormatPr defaultRowHeight="16.5" x14ac:dyDescent="0.3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52" ht="18" thickBot="1" x14ac:dyDescent="0.35">
      <c r="Z1" s="130" t="s">
        <v>178</v>
      </c>
      <c r="AA1" s="132" t="s">
        <v>130</v>
      </c>
      <c r="AB1" s="133" t="s">
        <v>78</v>
      </c>
      <c r="AC1" s="130"/>
      <c r="AD1" s="130" t="s">
        <v>179</v>
      </c>
      <c r="AE1" s="132" t="s">
        <v>130</v>
      </c>
      <c r="AF1" s="133" t="s">
        <v>78</v>
      </c>
      <c r="AG1" s="130"/>
      <c r="AH1" s="130" t="s">
        <v>180</v>
      </c>
      <c r="AI1" s="132" t="s">
        <v>130</v>
      </c>
      <c r="AJ1" s="133" t="s">
        <v>78</v>
      </c>
      <c r="AK1" s="130"/>
      <c r="AL1" s="130" t="s">
        <v>181</v>
      </c>
      <c r="AM1" s="132" t="s">
        <v>130</v>
      </c>
      <c r="AN1" s="133" t="s">
        <v>78</v>
      </c>
      <c r="AO1" s="130"/>
      <c r="AP1" s="130" t="s">
        <v>182</v>
      </c>
      <c r="AQ1" s="132" t="s">
        <v>130</v>
      </c>
      <c r="AR1" s="133" t="s">
        <v>78</v>
      </c>
    </row>
    <row r="2" spans="1:52" x14ac:dyDescent="0.3">
      <c r="Z2" s="130" t="s">
        <v>1326</v>
      </c>
      <c r="AA2" s="130">
        <v>14.393076923076922</v>
      </c>
      <c r="AB2" s="130">
        <v>3.0961538461538463</v>
      </c>
      <c r="AC2" s="130"/>
      <c r="AD2" s="130" t="s">
        <v>1326</v>
      </c>
      <c r="AE2" s="130">
        <v>16.518750000000001</v>
      </c>
      <c r="AF2" s="130">
        <v>7.1087500000000006</v>
      </c>
      <c r="AG2" s="130"/>
      <c r="AH2" s="130" t="s">
        <v>1326</v>
      </c>
      <c r="AI2" s="130">
        <v>1.0669999999999999</v>
      </c>
      <c r="AJ2" s="130">
        <v>9.8279999999999994</v>
      </c>
      <c r="AK2" s="130"/>
      <c r="AL2" s="130" t="s">
        <v>1326</v>
      </c>
      <c r="AM2" s="130">
        <v>1.71</v>
      </c>
      <c r="AN2" s="130">
        <v>45.81</v>
      </c>
      <c r="AO2" s="130"/>
      <c r="AP2" s="130" t="s">
        <v>1326</v>
      </c>
      <c r="AQ2" s="130">
        <v>3.2174999999999998</v>
      </c>
      <c r="AR2" s="130">
        <v>2.1549999999999998</v>
      </c>
    </row>
    <row r="3" spans="1:52" ht="26.25" customHeight="1" x14ac:dyDescent="0.3">
      <c r="Z3" s="130" t="s">
        <v>1327</v>
      </c>
      <c r="AA3" s="130">
        <v>4.6701059670621854</v>
      </c>
      <c r="AB3" s="130">
        <v>2.3733750176402744</v>
      </c>
      <c r="AC3" s="130"/>
      <c r="AD3" s="130" t="s">
        <v>1327</v>
      </c>
      <c r="AE3" s="130">
        <v>6.2245522383687808</v>
      </c>
      <c r="AF3" s="130">
        <v>4.8294946681821687</v>
      </c>
      <c r="AG3" s="130"/>
      <c r="AH3" s="130" t="s">
        <v>1327</v>
      </c>
      <c r="AI3" s="130">
        <v>0.488794435320207</v>
      </c>
      <c r="AJ3" s="130">
        <v>5.2026454809068055</v>
      </c>
      <c r="AK3" s="130"/>
      <c r="AL3" s="130" t="s">
        <v>1327</v>
      </c>
      <c r="AM3" s="130">
        <v>1.5603845679831623</v>
      </c>
      <c r="AN3" s="130">
        <v>5.7261068798966068</v>
      </c>
      <c r="AO3" s="130"/>
      <c r="AP3" s="130" t="s">
        <v>1327</v>
      </c>
      <c r="AQ3" s="130">
        <v>2.1496228905155834</v>
      </c>
      <c r="AR3" s="130">
        <v>3.8310349217187487</v>
      </c>
    </row>
    <row r="4" spans="1:52" ht="33.75" customHeight="1" x14ac:dyDescent="0.3">
      <c r="Y4" s="5" t="s">
        <v>1349</v>
      </c>
    </row>
    <row r="5" spans="1:52" ht="32.25" customHeight="1" x14ac:dyDescent="0.3">
      <c r="A5" s="139" t="s">
        <v>74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</row>
    <row r="6" spans="1:52" ht="20.100000000000001" customHeight="1" thickBot="1" x14ac:dyDescent="0.35">
      <c r="Y6" s="134"/>
      <c r="AG6" t="s">
        <v>328</v>
      </c>
      <c r="AI6" t="s">
        <v>329</v>
      </c>
    </row>
    <row r="7" spans="1:52" ht="20.100000000000001" customHeight="1" thickBot="1" x14ac:dyDescent="0.35">
      <c r="A7" s="140" t="s">
        <v>1</v>
      </c>
      <c r="B7" s="142" t="s">
        <v>62</v>
      </c>
      <c r="C7" s="142" t="s">
        <v>63</v>
      </c>
      <c r="D7" s="140" t="s">
        <v>7</v>
      </c>
      <c r="E7" s="144" t="s">
        <v>8</v>
      </c>
      <c r="F7" s="145"/>
      <c r="G7" s="146" t="s">
        <v>9</v>
      </c>
      <c r="H7" s="146"/>
      <c r="I7" s="146"/>
      <c r="J7" s="146"/>
      <c r="K7" s="146"/>
      <c r="L7" s="137" t="s">
        <v>56</v>
      </c>
      <c r="M7" s="138"/>
      <c r="N7" s="138"/>
      <c r="O7" s="138"/>
      <c r="P7" s="138"/>
      <c r="Q7" s="138"/>
      <c r="R7" s="138"/>
      <c r="S7" s="138"/>
      <c r="T7" s="138"/>
      <c r="U7" s="9"/>
      <c r="V7" s="9"/>
      <c r="W7" s="9"/>
      <c r="X7" s="9"/>
      <c r="Y7" s="147" t="s">
        <v>10</v>
      </c>
      <c r="Z7" s="114" t="s">
        <v>327</v>
      </c>
      <c r="AE7">
        <v>100</v>
      </c>
      <c r="AG7" s="114" t="s">
        <v>1338</v>
      </c>
      <c r="AL7">
        <v>100</v>
      </c>
      <c r="AN7" s="114" t="s">
        <v>1339</v>
      </c>
      <c r="AS7">
        <v>100</v>
      </c>
      <c r="AU7" s="114" t="s">
        <v>1341</v>
      </c>
      <c r="AZ7">
        <v>100</v>
      </c>
    </row>
    <row r="8" spans="1:52" ht="20.100000000000001" customHeight="1" thickBot="1" x14ac:dyDescent="0.35">
      <c r="A8" s="141"/>
      <c r="B8" s="141"/>
      <c r="C8" s="141"/>
      <c r="D8" s="143"/>
      <c r="E8" s="1" t="s">
        <v>0</v>
      </c>
      <c r="F8" s="4" t="s">
        <v>11</v>
      </c>
      <c r="G8" s="4" t="s">
        <v>12</v>
      </c>
      <c r="H8" s="4" t="s">
        <v>13</v>
      </c>
      <c r="I8" s="4" t="s">
        <v>14</v>
      </c>
      <c r="J8" s="51" t="s">
        <v>15</v>
      </c>
      <c r="K8" s="51" t="s">
        <v>16</v>
      </c>
      <c r="L8" s="51" t="s">
        <v>6</v>
      </c>
      <c r="M8" s="51" t="s">
        <v>51</v>
      </c>
      <c r="N8" s="51" t="s">
        <v>125</v>
      </c>
      <c r="O8" s="51" t="s">
        <v>126</v>
      </c>
      <c r="P8" s="51" t="s">
        <v>127</v>
      </c>
      <c r="Q8" s="51" t="s">
        <v>53</v>
      </c>
      <c r="R8" s="51" t="s">
        <v>54</v>
      </c>
      <c r="S8" s="51" t="s">
        <v>128</v>
      </c>
      <c r="T8" s="51" t="s">
        <v>129</v>
      </c>
      <c r="U8" s="51" t="s">
        <v>130</v>
      </c>
      <c r="V8" s="4" t="s">
        <v>78</v>
      </c>
      <c r="W8" s="4" t="s">
        <v>131</v>
      </c>
      <c r="X8" s="10" t="s">
        <v>76</v>
      </c>
      <c r="Y8" s="148"/>
      <c r="Z8" s="114" t="s">
        <v>178</v>
      </c>
      <c r="AA8" s="114" t="s">
        <v>179</v>
      </c>
      <c r="AB8" s="114" t="s">
        <v>180</v>
      </c>
      <c r="AC8" s="114" t="s">
        <v>181</v>
      </c>
      <c r="AD8" s="114" t="s">
        <v>182</v>
      </c>
      <c r="AE8" s="115" t="s">
        <v>326</v>
      </c>
      <c r="AG8" s="114" t="s">
        <v>178</v>
      </c>
      <c r="AH8" s="114" t="s">
        <v>179</v>
      </c>
      <c r="AI8" s="114" t="s">
        <v>180</v>
      </c>
      <c r="AJ8" s="114" t="s">
        <v>181</v>
      </c>
      <c r="AK8" s="114" t="s">
        <v>182</v>
      </c>
      <c r="AL8" s="115" t="s">
        <v>326</v>
      </c>
      <c r="AN8" s="114" t="s">
        <v>178</v>
      </c>
      <c r="AO8" s="114" t="s">
        <v>179</v>
      </c>
      <c r="AP8" s="114" t="s">
        <v>180</v>
      </c>
      <c r="AQ8" s="114" t="s">
        <v>181</v>
      </c>
      <c r="AR8" s="114" t="s">
        <v>182</v>
      </c>
      <c r="AS8" s="115" t="s">
        <v>326</v>
      </c>
      <c r="AU8" s="114" t="s">
        <v>178</v>
      </c>
      <c r="AV8" s="114" t="s">
        <v>179</v>
      </c>
      <c r="AW8" s="114" t="s">
        <v>180</v>
      </c>
      <c r="AX8" s="114" t="s">
        <v>181</v>
      </c>
      <c r="AY8" s="114" t="s">
        <v>182</v>
      </c>
      <c r="AZ8" s="115" t="s">
        <v>326</v>
      </c>
    </row>
    <row r="9" spans="1:52" ht="20.100000000000001" customHeight="1" x14ac:dyDescent="0.3">
      <c r="A9" s="11">
        <v>1</v>
      </c>
      <c r="B9" s="12" t="s">
        <v>17</v>
      </c>
      <c r="C9" s="12" t="s">
        <v>17</v>
      </c>
      <c r="D9" s="13" t="s">
        <v>18</v>
      </c>
      <c r="E9" s="36">
        <v>45558</v>
      </c>
      <c r="F9" s="15"/>
      <c r="G9" s="13" t="s">
        <v>134</v>
      </c>
      <c r="H9" s="27">
        <v>21.3</v>
      </c>
      <c r="I9" s="27">
        <v>7.95</v>
      </c>
      <c r="J9" s="27">
        <v>8.6199999999999992</v>
      </c>
      <c r="K9" s="76">
        <v>127</v>
      </c>
      <c r="L9" s="56"/>
      <c r="M9" s="53"/>
      <c r="N9" s="53"/>
      <c r="O9" s="53">
        <v>2.032</v>
      </c>
      <c r="P9" s="53"/>
      <c r="Q9" s="53"/>
      <c r="R9" s="53"/>
      <c r="S9" s="53"/>
      <c r="T9" s="53">
        <v>8.7530000000000001</v>
      </c>
      <c r="U9" s="107">
        <v>2.82</v>
      </c>
      <c r="V9" s="107">
        <v>-0.84</v>
      </c>
      <c r="W9" s="53"/>
      <c r="X9" s="53"/>
      <c r="Y9" s="63"/>
      <c r="Z9" s="116">
        <v>21.26</v>
      </c>
      <c r="AA9" s="116">
        <v>3.21</v>
      </c>
      <c r="AB9" s="116">
        <v>1.01</v>
      </c>
      <c r="AC9" s="116">
        <v>0.16</v>
      </c>
      <c r="AD9" s="116">
        <v>74.36</v>
      </c>
      <c r="AE9" s="116">
        <f>SUM(Z9:AD9)</f>
        <v>100</v>
      </c>
      <c r="AG9" s="116">
        <v>20.3</v>
      </c>
      <c r="AH9" s="116">
        <v>6.4</v>
      </c>
      <c r="AI9" s="116">
        <v>14.7</v>
      </c>
      <c r="AJ9" s="116">
        <v>0.8</v>
      </c>
      <c r="AK9" s="116">
        <v>57.8</v>
      </c>
      <c r="AL9" s="116">
        <f>SUM(AG9:AK9)</f>
        <v>100</v>
      </c>
      <c r="AN9" s="130">
        <v>9.9599999999999991</v>
      </c>
      <c r="AO9" s="130">
        <v>15.620000000000001</v>
      </c>
      <c r="AP9" s="130">
        <v>25.81</v>
      </c>
      <c r="AQ9" s="130">
        <v>3.0300000000000002</v>
      </c>
      <c r="AR9" s="130">
        <v>45.58</v>
      </c>
      <c r="AS9" s="130">
        <f>SUM(AN9:AR9)</f>
        <v>100</v>
      </c>
      <c r="AU9" s="130">
        <v>10.620000000000001</v>
      </c>
      <c r="AV9" s="130">
        <v>6.11</v>
      </c>
      <c r="AW9" s="130">
        <v>24.759999999999998</v>
      </c>
      <c r="AX9" s="130">
        <v>1.1499999999999999</v>
      </c>
      <c r="AY9" s="130">
        <v>57.36</v>
      </c>
      <c r="AZ9" s="130">
        <f>SUM(AU9:AY9)</f>
        <v>100</v>
      </c>
    </row>
    <row r="10" spans="1:52" ht="20.100000000000001" customHeight="1" x14ac:dyDescent="0.3">
      <c r="A10" s="25">
        <v>2</v>
      </c>
      <c r="B10" s="17" t="s">
        <v>17</v>
      </c>
      <c r="C10" s="17" t="s">
        <v>17</v>
      </c>
      <c r="D10" s="18" t="s">
        <v>20</v>
      </c>
      <c r="E10" s="26">
        <v>45558</v>
      </c>
      <c r="F10" s="20"/>
      <c r="G10" s="18" t="s">
        <v>134</v>
      </c>
      <c r="H10" s="28">
        <v>21.8</v>
      </c>
      <c r="I10" s="28">
        <v>7.39</v>
      </c>
      <c r="J10" s="28">
        <v>8.4600000000000009</v>
      </c>
      <c r="K10" s="74">
        <v>138</v>
      </c>
      <c r="L10" s="57"/>
      <c r="M10" s="54"/>
      <c r="N10" s="54"/>
      <c r="O10" s="54">
        <v>2.137</v>
      </c>
      <c r="P10" s="54"/>
      <c r="Q10" s="54"/>
      <c r="R10" s="54"/>
      <c r="S10" s="54"/>
      <c r="T10" s="54">
        <v>8.5760000000000005</v>
      </c>
      <c r="U10" s="108">
        <v>2.78</v>
      </c>
      <c r="V10" s="108">
        <v>-2.58</v>
      </c>
      <c r="W10" s="54"/>
      <c r="X10" s="54"/>
      <c r="Y10" s="64"/>
      <c r="Z10" s="116">
        <v>28.3</v>
      </c>
      <c r="AA10" s="116">
        <v>2.96</v>
      </c>
      <c r="AB10" s="116">
        <v>1.0900000000000001</v>
      </c>
      <c r="AC10" s="116">
        <v>0.23</v>
      </c>
      <c r="AD10" s="116">
        <v>67.42</v>
      </c>
      <c r="AE10" s="116">
        <f t="shared" ref="AE10:AE32" si="0">SUM(Z10:AD10)</f>
        <v>100</v>
      </c>
      <c r="AG10" s="116">
        <v>13.700000000000001</v>
      </c>
      <c r="AH10" s="116">
        <v>4.5999999999999996</v>
      </c>
      <c r="AI10" s="116">
        <v>18.899999999999999</v>
      </c>
      <c r="AJ10" s="116">
        <v>0.8</v>
      </c>
      <c r="AK10" s="116">
        <v>62</v>
      </c>
      <c r="AL10" s="116">
        <f t="shared" ref="AL10:AL32" si="1">SUM(AG10:AK10)</f>
        <v>100</v>
      </c>
      <c r="AN10" s="130">
        <v>9.5299999999999994</v>
      </c>
      <c r="AO10" s="130">
        <v>18.11</v>
      </c>
      <c r="AP10" s="130">
        <v>24.08</v>
      </c>
      <c r="AQ10" s="130">
        <v>3.54</v>
      </c>
      <c r="AR10" s="130">
        <v>44.74</v>
      </c>
      <c r="AS10" s="130">
        <f t="shared" ref="AS10:AS32" si="2">SUM(AN10:AR10)</f>
        <v>100</v>
      </c>
      <c r="AU10" s="130">
        <v>10.190000000000001</v>
      </c>
      <c r="AV10" s="130">
        <v>5.33</v>
      </c>
      <c r="AW10" s="130">
        <v>22.040000000000003</v>
      </c>
      <c r="AX10" s="130">
        <v>0.73</v>
      </c>
      <c r="AY10" s="130">
        <v>61.71</v>
      </c>
      <c r="AZ10" s="130">
        <f t="shared" ref="AZ10:AZ32" si="3">SUM(AU10:AY10)</f>
        <v>100</v>
      </c>
    </row>
    <row r="11" spans="1:52" ht="20.100000000000001" customHeight="1" x14ac:dyDescent="0.3">
      <c r="A11" s="25">
        <v>3</v>
      </c>
      <c r="B11" s="17" t="s">
        <v>17</v>
      </c>
      <c r="C11" s="17" t="s">
        <v>17</v>
      </c>
      <c r="D11" s="18" t="s">
        <v>21</v>
      </c>
      <c r="E11" s="26">
        <v>45558</v>
      </c>
      <c r="F11" s="20"/>
      <c r="G11" s="18" t="s">
        <v>134</v>
      </c>
      <c r="H11" s="28">
        <v>21.9</v>
      </c>
      <c r="I11" s="28">
        <v>7.53</v>
      </c>
      <c r="J11" s="28">
        <v>8.41</v>
      </c>
      <c r="K11" s="74">
        <v>146</v>
      </c>
      <c r="L11" s="57"/>
      <c r="M11" s="54"/>
      <c r="N11" s="54"/>
      <c r="O11" s="54">
        <v>2.1419999999999999</v>
      </c>
      <c r="P11" s="54"/>
      <c r="Q11" s="54"/>
      <c r="R11" s="54"/>
      <c r="S11" s="54"/>
      <c r="T11" s="54">
        <v>8.8390000000000004</v>
      </c>
      <c r="U11" s="109">
        <v>3.38</v>
      </c>
      <c r="V11" s="109">
        <v>-1.92</v>
      </c>
      <c r="W11" s="58"/>
      <c r="X11" s="54"/>
      <c r="Y11" s="64"/>
      <c r="Z11" s="116">
        <v>18.5</v>
      </c>
      <c r="AA11" s="116">
        <v>4.26</v>
      </c>
      <c r="AB11" s="116">
        <v>1.81</v>
      </c>
      <c r="AC11" s="116">
        <v>0.12</v>
      </c>
      <c r="AD11" s="116">
        <v>75.31</v>
      </c>
      <c r="AE11" s="116">
        <f t="shared" si="0"/>
        <v>100</v>
      </c>
      <c r="AG11" s="116">
        <v>15</v>
      </c>
      <c r="AH11" s="116">
        <v>5</v>
      </c>
      <c r="AI11" s="116">
        <v>18.3</v>
      </c>
      <c r="AJ11" s="116">
        <v>1.0999999999999999</v>
      </c>
      <c r="AK11" s="116">
        <v>60.6</v>
      </c>
      <c r="AL11" s="116">
        <f t="shared" si="1"/>
        <v>100</v>
      </c>
      <c r="AN11" s="130">
        <v>10.100000000000001</v>
      </c>
      <c r="AO11" s="130">
        <v>17.419999999999998</v>
      </c>
      <c r="AP11" s="130">
        <v>24.36</v>
      </c>
      <c r="AQ11" s="130">
        <v>3.5700000000000003</v>
      </c>
      <c r="AR11" s="130">
        <v>44.55</v>
      </c>
      <c r="AS11" s="130">
        <f t="shared" si="2"/>
        <v>100</v>
      </c>
      <c r="AU11" s="130">
        <v>11.61</v>
      </c>
      <c r="AV11" s="130">
        <v>6.2399999999999993</v>
      </c>
      <c r="AW11" s="130">
        <v>21.82</v>
      </c>
      <c r="AX11" s="130">
        <v>0.88</v>
      </c>
      <c r="AY11" s="130">
        <v>59.45</v>
      </c>
      <c r="AZ11" s="130">
        <f t="shared" si="3"/>
        <v>100</v>
      </c>
    </row>
    <row r="12" spans="1:52" ht="20.100000000000001" customHeight="1" x14ac:dyDescent="0.3">
      <c r="A12" s="25">
        <v>4</v>
      </c>
      <c r="B12" s="17" t="s">
        <v>17</v>
      </c>
      <c r="C12" s="17" t="s">
        <v>17</v>
      </c>
      <c r="D12" s="18" t="s">
        <v>22</v>
      </c>
      <c r="E12" s="26">
        <v>45558</v>
      </c>
      <c r="F12" s="20"/>
      <c r="G12" s="18" t="s">
        <v>134</v>
      </c>
      <c r="H12" s="28">
        <v>23</v>
      </c>
      <c r="I12" s="28">
        <v>7.34</v>
      </c>
      <c r="J12" s="28">
        <v>6.53</v>
      </c>
      <c r="K12" s="74">
        <v>219</v>
      </c>
      <c r="L12" s="57"/>
      <c r="M12" s="54"/>
      <c r="N12" s="54"/>
      <c r="O12" s="54">
        <v>1.7010000000000001</v>
      </c>
      <c r="P12" s="54"/>
      <c r="Q12" s="54"/>
      <c r="R12" s="54"/>
      <c r="S12" s="54"/>
      <c r="T12" s="54">
        <v>13.954000000000001</v>
      </c>
      <c r="U12" s="108">
        <v>4.46</v>
      </c>
      <c r="V12" s="110">
        <v>-2.14</v>
      </c>
      <c r="W12" s="55"/>
      <c r="X12" s="55"/>
      <c r="Y12" s="64"/>
      <c r="Z12" s="116">
        <v>28.22</v>
      </c>
      <c r="AA12" s="116">
        <v>1.73</v>
      </c>
      <c r="AB12" s="116">
        <v>1.81</v>
      </c>
      <c r="AC12" s="116">
        <v>0.23</v>
      </c>
      <c r="AD12" s="116">
        <v>68.010000000000005</v>
      </c>
      <c r="AE12" s="116">
        <f t="shared" si="0"/>
        <v>100</v>
      </c>
      <c r="AG12" s="116">
        <v>16.600000000000001</v>
      </c>
      <c r="AH12" s="116">
        <v>5.6000000000000005</v>
      </c>
      <c r="AI12" s="116">
        <v>17.399999999999999</v>
      </c>
      <c r="AJ12" s="116">
        <v>0.89999999999999991</v>
      </c>
      <c r="AK12" s="116">
        <v>59.5</v>
      </c>
      <c r="AL12" s="116">
        <f t="shared" si="1"/>
        <v>100</v>
      </c>
      <c r="AN12" s="130">
        <v>12.950000000000001</v>
      </c>
      <c r="AO12" s="130">
        <v>14.860000000000001</v>
      </c>
      <c r="AP12" s="130">
        <v>20.71</v>
      </c>
      <c r="AQ12" s="130">
        <v>3.46</v>
      </c>
      <c r="AR12" s="130">
        <v>48.02</v>
      </c>
      <c r="AS12" s="130">
        <f t="shared" si="2"/>
        <v>100</v>
      </c>
      <c r="AU12" s="130">
        <v>14.21</v>
      </c>
      <c r="AV12" s="130">
        <v>7.4700000000000006</v>
      </c>
      <c r="AW12" s="130">
        <v>19.16</v>
      </c>
      <c r="AX12" s="130">
        <v>0.85000000000000009</v>
      </c>
      <c r="AY12" s="130">
        <v>58.309999999999995</v>
      </c>
      <c r="AZ12" s="130">
        <f t="shared" si="3"/>
        <v>100</v>
      </c>
    </row>
    <row r="13" spans="1:52" ht="20.100000000000001" customHeight="1" x14ac:dyDescent="0.3">
      <c r="A13" s="41">
        <v>5</v>
      </c>
      <c r="B13" s="42" t="s">
        <v>23</v>
      </c>
      <c r="C13" s="42" t="s">
        <v>23</v>
      </c>
      <c r="D13" s="43" t="s">
        <v>24</v>
      </c>
      <c r="E13" s="44">
        <v>45558</v>
      </c>
      <c r="F13" s="45"/>
      <c r="G13" s="43" t="s">
        <v>134</v>
      </c>
      <c r="H13" s="72">
        <v>20.79</v>
      </c>
      <c r="I13" s="72">
        <v>7.66</v>
      </c>
      <c r="J13" s="72">
        <v>10.26</v>
      </c>
      <c r="K13" s="73">
        <v>84</v>
      </c>
      <c r="L13" s="59"/>
      <c r="M13" s="60"/>
      <c r="N13" s="60"/>
      <c r="O13" s="61">
        <v>1.752</v>
      </c>
      <c r="P13" s="61"/>
      <c r="Q13" s="61"/>
      <c r="R13" s="61"/>
      <c r="S13" s="61"/>
      <c r="T13" s="61">
        <v>7.3540000000000001</v>
      </c>
      <c r="U13" s="111">
        <v>1.98</v>
      </c>
      <c r="V13" s="111">
        <v>2.0499999999999998</v>
      </c>
      <c r="W13" s="61"/>
      <c r="X13" s="61"/>
      <c r="Y13" s="65"/>
      <c r="Z13" s="116">
        <v>2.3199999999999998</v>
      </c>
      <c r="AA13" s="116">
        <v>1.79</v>
      </c>
      <c r="AB13" s="116">
        <v>4.92</v>
      </c>
      <c r="AC13" s="116">
        <v>1.96</v>
      </c>
      <c r="AD13" s="116">
        <v>89.01</v>
      </c>
      <c r="AE13" s="116">
        <f t="shared" si="0"/>
        <v>100</v>
      </c>
      <c r="AG13" s="116">
        <v>13.8</v>
      </c>
      <c r="AH13" s="116">
        <v>5.0999999999999996</v>
      </c>
      <c r="AI13" s="116">
        <v>19</v>
      </c>
      <c r="AJ13" s="116">
        <v>1</v>
      </c>
      <c r="AK13" s="116">
        <v>61.1</v>
      </c>
      <c r="AL13" s="116">
        <f t="shared" si="1"/>
        <v>100</v>
      </c>
      <c r="AN13" s="130">
        <v>11.19</v>
      </c>
      <c r="AO13" s="130">
        <v>7.3</v>
      </c>
      <c r="AP13" s="130">
        <v>29.970000000000002</v>
      </c>
      <c r="AQ13" s="130">
        <v>4.55</v>
      </c>
      <c r="AR13" s="130">
        <v>46.99</v>
      </c>
      <c r="AS13" s="130">
        <f t="shared" si="2"/>
        <v>100</v>
      </c>
      <c r="AU13" s="130">
        <v>9.42</v>
      </c>
      <c r="AV13" s="130">
        <v>6.1899999999999995</v>
      </c>
      <c r="AW13" s="130">
        <v>31.990000000000002</v>
      </c>
      <c r="AX13" s="130">
        <v>2.41</v>
      </c>
      <c r="AY13" s="130">
        <v>49.99</v>
      </c>
      <c r="AZ13" s="130">
        <f t="shared" si="3"/>
        <v>100</v>
      </c>
    </row>
    <row r="14" spans="1:52" ht="20.100000000000001" customHeight="1" x14ac:dyDescent="0.3">
      <c r="A14" s="41">
        <v>6</v>
      </c>
      <c r="B14" s="42" t="s">
        <v>23</v>
      </c>
      <c r="C14" s="42" t="s">
        <v>23</v>
      </c>
      <c r="D14" s="43" t="s">
        <v>25</v>
      </c>
      <c r="E14" s="44">
        <v>45558</v>
      </c>
      <c r="F14" s="45"/>
      <c r="G14" s="43" t="s">
        <v>134</v>
      </c>
      <c r="H14" s="72">
        <v>21.45</v>
      </c>
      <c r="I14" s="72">
        <v>7.49</v>
      </c>
      <c r="J14" s="72">
        <v>10.199999999999999</v>
      </c>
      <c r="K14" s="73">
        <v>120</v>
      </c>
      <c r="L14" s="59"/>
      <c r="M14" s="60"/>
      <c r="N14" s="60"/>
      <c r="O14" s="60">
        <v>1.67</v>
      </c>
      <c r="P14" s="60"/>
      <c r="Q14" s="60"/>
      <c r="R14" s="60"/>
      <c r="S14" s="60"/>
      <c r="T14" s="60">
        <v>12.948</v>
      </c>
      <c r="U14" s="112">
        <v>8.43</v>
      </c>
      <c r="V14" s="112">
        <v>0.78</v>
      </c>
      <c r="W14" s="60"/>
      <c r="X14" s="60"/>
      <c r="Y14" s="65"/>
      <c r="Z14" s="116">
        <v>16.260000000000002</v>
      </c>
      <c r="AA14" s="116">
        <v>0.26</v>
      </c>
      <c r="AB14" s="116">
        <v>2.61</v>
      </c>
      <c r="AC14" s="116">
        <v>0.16</v>
      </c>
      <c r="AD14" s="116">
        <v>80.709999999999994</v>
      </c>
      <c r="AE14" s="116">
        <f t="shared" si="0"/>
        <v>100</v>
      </c>
      <c r="AG14" s="116">
        <v>27.800000000000004</v>
      </c>
      <c r="AH14" s="116">
        <v>9.4</v>
      </c>
      <c r="AI14" s="116">
        <v>13</v>
      </c>
      <c r="AJ14" s="116">
        <v>1</v>
      </c>
      <c r="AK14" s="116">
        <v>48.8</v>
      </c>
      <c r="AL14" s="116">
        <f t="shared" si="1"/>
        <v>100</v>
      </c>
      <c r="AN14" s="130">
        <v>26.33</v>
      </c>
      <c r="AO14" s="130">
        <v>15.160000000000002</v>
      </c>
      <c r="AP14" s="130">
        <v>18.66</v>
      </c>
      <c r="AQ14" s="130">
        <v>2.5299999999999998</v>
      </c>
      <c r="AR14" s="130">
        <v>37.32</v>
      </c>
      <c r="AS14" s="130">
        <f t="shared" si="2"/>
        <v>100</v>
      </c>
      <c r="AU14" s="130">
        <v>27.54</v>
      </c>
      <c r="AV14" s="130">
        <v>16.5</v>
      </c>
      <c r="AW14" s="130">
        <v>15.160000000000002</v>
      </c>
      <c r="AX14" s="130">
        <v>1.8800000000000001</v>
      </c>
      <c r="AY14" s="130">
        <v>38.92</v>
      </c>
      <c r="AZ14" s="130">
        <f t="shared" si="3"/>
        <v>100</v>
      </c>
    </row>
    <row r="15" spans="1:52" ht="20.100000000000001" customHeight="1" x14ac:dyDescent="0.3">
      <c r="A15" s="41">
        <v>7</v>
      </c>
      <c r="B15" s="42" t="s">
        <v>23</v>
      </c>
      <c r="C15" s="42" t="s">
        <v>23</v>
      </c>
      <c r="D15" s="43" t="s">
        <v>26</v>
      </c>
      <c r="E15" s="44">
        <v>45558</v>
      </c>
      <c r="F15" s="45"/>
      <c r="G15" s="43" t="s">
        <v>134</v>
      </c>
      <c r="H15" s="72">
        <v>21.76</v>
      </c>
      <c r="I15" s="72">
        <v>7.44</v>
      </c>
      <c r="J15" s="72">
        <v>9.6300000000000008</v>
      </c>
      <c r="K15" s="73">
        <v>144</v>
      </c>
      <c r="L15" s="59"/>
      <c r="M15" s="60"/>
      <c r="N15" s="60"/>
      <c r="O15" s="60">
        <v>1.84</v>
      </c>
      <c r="P15" s="60"/>
      <c r="Q15" s="60"/>
      <c r="R15" s="60"/>
      <c r="S15" s="60"/>
      <c r="T15" s="60">
        <v>14.073</v>
      </c>
      <c r="U15" s="112">
        <v>8.25</v>
      </c>
      <c r="V15" s="112">
        <v>-0.35</v>
      </c>
      <c r="W15" s="60"/>
      <c r="X15" s="60"/>
      <c r="Y15" s="65"/>
      <c r="Z15" s="116">
        <v>16.32</v>
      </c>
      <c r="AA15" s="116">
        <v>1.32</v>
      </c>
      <c r="AB15" s="116">
        <v>1.1000000000000001</v>
      </c>
      <c r="AC15" s="116">
        <v>0.18</v>
      </c>
      <c r="AD15" s="116">
        <v>81.08</v>
      </c>
      <c r="AE15" s="116">
        <f t="shared" si="0"/>
        <v>100</v>
      </c>
      <c r="AG15" s="116">
        <v>26.3</v>
      </c>
      <c r="AH15" s="116">
        <v>8.9</v>
      </c>
      <c r="AI15" s="116">
        <v>12.6</v>
      </c>
      <c r="AJ15" s="116">
        <v>1</v>
      </c>
      <c r="AK15" s="116">
        <v>51.2</v>
      </c>
      <c r="AL15" s="116">
        <f t="shared" si="1"/>
        <v>100</v>
      </c>
      <c r="AN15" s="130">
        <v>25.77</v>
      </c>
      <c r="AO15" s="130">
        <v>18.91</v>
      </c>
      <c r="AP15" s="130">
        <v>14.67</v>
      </c>
      <c r="AQ15" s="130">
        <v>2.96</v>
      </c>
      <c r="AR15" s="130">
        <v>37.69</v>
      </c>
      <c r="AS15" s="130">
        <f t="shared" si="2"/>
        <v>100</v>
      </c>
      <c r="AU15" s="130">
        <v>26.619999999999997</v>
      </c>
      <c r="AV15" s="130">
        <v>15.010000000000002</v>
      </c>
      <c r="AW15" s="130">
        <v>14.69</v>
      </c>
      <c r="AX15" s="130">
        <v>1.48</v>
      </c>
      <c r="AY15" s="130">
        <v>42.199999999999996</v>
      </c>
      <c r="AZ15" s="130">
        <f t="shared" si="3"/>
        <v>99.999999999999986</v>
      </c>
    </row>
    <row r="16" spans="1:52" ht="20.100000000000001" customHeight="1" x14ac:dyDescent="0.3">
      <c r="A16" s="41">
        <v>8</v>
      </c>
      <c r="B16" s="42" t="s">
        <v>23</v>
      </c>
      <c r="C16" s="42" t="s">
        <v>27</v>
      </c>
      <c r="D16" s="43" t="s">
        <v>68</v>
      </c>
      <c r="E16" s="44">
        <v>45558</v>
      </c>
      <c r="F16" s="45"/>
      <c r="G16" s="43" t="s">
        <v>134</v>
      </c>
      <c r="H16" s="72">
        <v>21.59</v>
      </c>
      <c r="I16" s="72">
        <v>7.28</v>
      </c>
      <c r="J16" s="72">
        <v>8.57</v>
      </c>
      <c r="K16" s="73">
        <v>339</v>
      </c>
      <c r="L16" s="59"/>
      <c r="M16" s="60"/>
      <c r="N16" s="60"/>
      <c r="O16" s="60">
        <v>0.70099999999999996</v>
      </c>
      <c r="P16" s="60"/>
      <c r="Q16" s="60"/>
      <c r="R16" s="60"/>
      <c r="S16" s="60"/>
      <c r="T16" s="60">
        <v>30.856000000000002</v>
      </c>
      <c r="U16" s="112">
        <v>12.56</v>
      </c>
      <c r="V16" s="112">
        <v>4.07</v>
      </c>
      <c r="W16" s="60"/>
      <c r="X16" s="60"/>
      <c r="Y16" s="65"/>
      <c r="Z16" s="118">
        <v>71.540000000000006</v>
      </c>
      <c r="AA16" s="118">
        <v>11.05</v>
      </c>
      <c r="AB16" s="118">
        <v>2.29</v>
      </c>
      <c r="AC16" s="118">
        <v>1.1599999999999999</v>
      </c>
      <c r="AD16" s="118">
        <v>13.96</v>
      </c>
      <c r="AE16" s="118">
        <f t="shared" si="0"/>
        <v>100</v>
      </c>
      <c r="AF16" s="114"/>
      <c r="AG16" s="116">
        <v>41.099999999999994</v>
      </c>
      <c r="AH16" s="116">
        <v>14.7</v>
      </c>
      <c r="AI16" s="116">
        <v>9.9</v>
      </c>
      <c r="AJ16" s="116">
        <v>1.0999999999999999</v>
      </c>
      <c r="AK16" s="116">
        <v>33.200000000000003</v>
      </c>
      <c r="AL16" s="118">
        <f t="shared" si="1"/>
        <v>100</v>
      </c>
      <c r="AN16" s="130">
        <v>29.720000000000002</v>
      </c>
      <c r="AO16" s="130">
        <v>32.379999999999995</v>
      </c>
      <c r="AP16" s="130">
        <v>12.98</v>
      </c>
      <c r="AQ16" s="130">
        <v>3.06</v>
      </c>
      <c r="AR16" s="130">
        <v>21.86</v>
      </c>
      <c r="AS16" s="130">
        <f t="shared" si="2"/>
        <v>100</v>
      </c>
      <c r="AU16" s="130">
        <v>38.49</v>
      </c>
      <c r="AV16" s="130">
        <v>27.889999999999997</v>
      </c>
      <c r="AW16" s="130">
        <v>11.42</v>
      </c>
      <c r="AX16" s="130">
        <v>3.56</v>
      </c>
      <c r="AY16" s="130">
        <v>18.64</v>
      </c>
      <c r="AZ16" s="130">
        <f t="shared" si="3"/>
        <v>100</v>
      </c>
    </row>
    <row r="17" spans="1:52" ht="20.100000000000001" customHeight="1" x14ac:dyDescent="0.3">
      <c r="A17" s="41">
        <v>9</v>
      </c>
      <c r="B17" s="42" t="s">
        <v>23</v>
      </c>
      <c r="C17" s="42" t="s">
        <v>27</v>
      </c>
      <c r="D17" s="43" t="s">
        <v>30</v>
      </c>
      <c r="E17" s="44">
        <v>45558</v>
      </c>
      <c r="F17" s="45"/>
      <c r="G17" s="43" t="s">
        <v>134</v>
      </c>
      <c r="H17" s="72">
        <v>21.84</v>
      </c>
      <c r="I17" s="72">
        <v>7.29</v>
      </c>
      <c r="J17" s="72">
        <v>8.7100000000000009</v>
      </c>
      <c r="K17" s="73">
        <v>221</v>
      </c>
      <c r="L17" s="59"/>
      <c r="M17" s="60"/>
      <c r="N17" s="60"/>
      <c r="O17" s="60">
        <v>1.857</v>
      </c>
      <c r="P17" s="60"/>
      <c r="Q17" s="60"/>
      <c r="R17" s="60"/>
      <c r="S17" s="60"/>
      <c r="T17" s="60">
        <v>21.363</v>
      </c>
      <c r="U17" s="112">
        <v>7.14</v>
      </c>
      <c r="V17" s="113">
        <v>-2.67</v>
      </c>
      <c r="W17" s="62"/>
      <c r="X17" s="62"/>
      <c r="Y17" s="65"/>
      <c r="Z17" s="116">
        <v>28.2</v>
      </c>
      <c r="AA17" s="116">
        <v>4.5599999999999996</v>
      </c>
      <c r="AB17" s="116">
        <v>1.81</v>
      </c>
      <c r="AC17" s="116">
        <v>0.12</v>
      </c>
      <c r="AD17" s="116">
        <v>65.31</v>
      </c>
      <c r="AE17" s="116">
        <f t="shared" si="0"/>
        <v>100</v>
      </c>
      <c r="AG17" s="116">
        <v>21.4</v>
      </c>
      <c r="AH17" s="116">
        <v>7.3</v>
      </c>
      <c r="AI17" s="116">
        <v>14.099999999999998</v>
      </c>
      <c r="AJ17" s="116">
        <v>0.89999999999999991</v>
      </c>
      <c r="AK17" s="116">
        <v>56.3</v>
      </c>
      <c r="AL17" s="116">
        <f t="shared" si="1"/>
        <v>100</v>
      </c>
      <c r="AN17" s="130">
        <v>22.95</v>
      </c>
      <c r="AO17" s="130">
        <v>21</v>
      </c>
      <c r="AP17" s="130">
        <v>12.97</v>
      </c>
      <c r="AQ17" s="130">
        <v>2.97</v>
      </c>
      <c r="AR17" s="130">
        <v>40.11</v>
      </c>
      <c r="AS17" s="130">
        <f t="shared" si="2"/>
        <v>100</v>
      </c>
      <c r="AU17" s="130">
        <v>22.23</v>
      </c>
      <c r="AV17" s="130">
        <v>11.14</v>
      </c>
      <c r="AW17" s="130">
        <v>14.59</v>
      </c>
      <c r="AX17" s="130">
        <v>0.85</v>
      </c>
      <c r="AY17" s="130">
        <v>51.190000000000005</v>
      </c>
      <c r="AZ17" s="130">
        <f t="shared" si="3"/>
        <v>100.00000000000001</v>
      </c>
    </row>
    <row r="18" spans="1:52" ht="20.100000000000001" customHeight="1" x14ac:dyDescent="0.3">
      <c r="A18" s="25">
        <v>10</v>
      </c>
      <c r="B18" s="17" t="s">
        <v>31</v>
      </c>
      <c r="C18" s="17" t="s">
        <v>31</v>
      </c>
      <c r="D18" s="18" t="s">
        <v>32</v>
      </c>
      <c r="E18" s="26">
        <v>45558</v>
      </c>
      <c r="F18" s="20"/>
      <c r="G18" s="18" t="s">
        <v>134</v>
      </c>
      <c r="H18" s="28">
        <v>22.67</v>
      </c>
      <c r="I18" s="28">
        <v>7.61</v>
      </c>
      <c r="J18" s="28">
        <v>7.83</v>
      </c>
      <c r="K18" s="74">
        <v>137.19999999999999</v>
      </c>
      <c r="L18" s="57"/>
      <c r="M18" s="54"/>
      <c r="N18" s="54"/>
      <c r="O18" s="58">
        <v>2.1589999999999998</v>
      </c>
      <c r="P18" s="58"/>
      <c r="Q18" s="58"/>
      <c r="R18" s="58"/>
      <c r="S18" s="58"/>
      <c r="T18" s="58">
        <v>5.758</v>
      </c>
      <c r="U18" s="109">
        <v>4.8</v>
      </c>
      <c r="V18" s="109">
        <v>-0.72</v>
      </c>
      <c r="W18" s="58"/>
      <c r="X18" s="58"/>
      <c r="Y18" s="64"/>
      <c r="Z18" s="116">
        <v>12.84</v>
      </c>
      <c r="AA18" s="116">
        <v>1.96</v>
      </c>
      <c r="AB18" s="116">
        <v>1.58</v>
      </c>
      <c r="AC18" s="116">
        <v>0.12</v>
      </c>
      <c r="AD18" s="116">
        <v>83.5</v>
      </c>
      <c r="AE18" s="116">
        <f t="shared" si="0"/>
        <v>100</v>
      </c>
      <c r="AG18" s="116">
        <v>18.099999999999998</v>
      </c>
      <c r="AH18" s="116">
        <v>6.2</v>
      </c>
      <c r="AI18" s="116">
        <v>17.299999999999997</v>
      </c>
      <c r="AJ18" s="116">
        <v>1</v>
      </c>
      <c r="AK18" s="116">
        <v>57.4</v>
      </c>
      <c r="AL18" s="116">
        <f t="shared" si="1"/>
        <v>100</v>
      </c>
      <c r="AN18" s="130">
        <v>15.340000000000002</v>
      </c>
      <c r="AO18" s="130">
        <v>12.839999999999998</v>
      </c>
      <c r="AP18" s="130">
        <v>22.62</v>
      </c>
      <c r="AQ18" s="130">
        <v>2.78</v>
      </c>
      <c r="AR18" s="130">
        <v>46.42</v>
      </c>
      <c r="AS18" s="130">
        <f t="shared" si="2"/>
        <v>100</v>
      </c>
      <c r="AU18" s="130">
        <v>15.620000000000001</v>
      </c>
      <c r="AV18" s="130">
        <v>8.91</v>
      </c>
      <c r="AW18" s="130">
        <v>20.22</v>
      </c>
      <c r="AX18" s="130">
        <v>1.21</v>
      </c>
      <c r="AY18" s="130">
        <v>54.04</v>
      </c>
      <c r="AZ18" s="130">
        <f t="shared" si="3"/>
        <v>100</v>
      </c>
    </row>
    <row r="19" spans="1:52" ht="20.100000000000001" customHeight="1" x14ac:dyDescent="0.3">
      <c r="A19" s="25">
        <v>11</v>
      </c>
      <c r="B19" s="17" t="s">
        <v>31</v>
      </c>
      <c r="C19" s="17" t="s">
        <v>31</v>
      </c>
      <c r="D19" s="18" t="s">
        <v>69</v>
      </c>
      <c r="E19" s="26">
        <v>45558</v>
      </c>
      <c r="F19" s="20"/>
      <c r="G19" s="18" t="s">
        <v>134</v>
      </c>
      <c r="H19" s="28">
        <v>22.91</v>
      </c>
      <c r="I19" s="28">
        <v>7.07</v>
      </c>
      <c r="J19" s="28">
        <v>8.25</v>
      </c>
      <c r="K19" s="74">
        <v>127.6</v>
      </c>
      <c r="L19" s="57"/>
      <c r="M19" s="54"/>
      <c r="N19" s="54"/>
      <c r="O19" s="54">
        <v>2.1850000000000001</v>
      </c>
      <c r="P19" s="54"/>
      <c r="Q19" s="54"/>
      <c r="R19" s="54"/>
      <c r="S19" s="54"/>
      <c r="T19" s="54">
        <v>5.5590000000000002</v>
      </c>
      <c r="U19" s="108">
        <v>5.13</v>
      </c>
      <c r="V19" s="108">
        <v>-0.4</v>
      </c>
      <c r="W19" s="54"/>
      <c r="X19" s="54"/>
      <c r="Y19" s="64"/>
      <c r="Z19" s="116">
        <v>15.98</v>
      </c>
      <c r="AA19" s="116">
        <v>2.65</v>
      </c>
      <c r="AB19" s="116">
        <v>1.29</v>
      </c>
      <c r="AC19" s="116">
        <v>0.23</v>
      </c>
      <c r="AD19" s="116">
        <v>79.849999999999994</v>
      </c>
      <c r="AE19" s="116">
        <f t="shared" si="0"/>
        <v>100</v>
      </c>
      <c r="AG19" s="116">
        <v>18.899999999999999</v>
      </c>
      <c r="AH19" s="116">
        <v>6.3</v>
      </c>
      <c r="AI19" s="116">
        <v>17.2</v>
      </c>
      <c r="AJ19" s="116">
        <v>1</v>
      </c>
      <c r="AK19" s="116">
        <v>56.599999999999994</v>
      </c>
      <c r="AL19" s="116">
        <f t="shared" si="1"/>
        <v>100</v>
      </c>
      <c r="AN19" s="130">
        <v>15.440000000000001</v>
      </c>
      <c r="AO19" s="130">
        <v>10.75</v>
      </c>
      <c r="AP19" s="130">
        <v>19.62</v>
      </c>
      <c r="AQ19" s="130">
        <v>3.02</v>
      </c>
      <c r="AR19" s="130">
        <v>51.17</v>
      </c>
      <c r="AS19" s="130">
        <f t="shared" si="2"/>
        <v>100</v>
      </c>
      <c r="AU19" s="130">
        <v>16.64</v>
      </c>
      <c r="AV19" s="130">
        <v>9.68</v>
      </c>
      <c r="AW19" s="130">
        <v>19.98</v>
      </c>
      <c r="AX19" s="130">
        <v>1.31</v>
      </c>
      <c r="AY19" s="130">
        <v>52.39</v>
      </c>
      <c r="AZ19" s="130">
        <f t="shared" si="3"/>
        <v>100</v>
      </c>
    </row>
    <row r="20" spans="1:52" ht="20.100000000000001" customHeight="1" x14ac:dyDescent="0.3">
      <c r="A20" s="25">
        <v>12</v>
      </c>
      <c r="B20" s="17" t="s">
        <v>31</v>
      </c>
      <c r="C20" s="17" t="s">
        <v>31</v>
      </c>
      <c r="D20" s="18" t="s">
        <v>34</v>
      </c>
      <c r="E20" s="26">
        <v>45558</v>
      </c>
      <c r="F20" s="20"/>
      <c r="G20" s="18" t="s">
        <v>134</v>
      </c>
      <c r="H20" s="28">
        <v>23.08</v>
      </c>
      <c r="I20" s="28">
        <v>7.06</v>
      </c>
      <c r="J20" s="28">
        <v>8.19</v>
      </c>
      <c r="K20" s="74">
        <v>129.5</v>
      </c>
      <c r="L20" s="57"/>
      <c r="M20" s="54"/>
      <c r="N20" s="54"/>
      <c r="O20" s="54">
        <v>2.1640000000000001</v>
      </c>
      <c r="P20" s="54"/>
      <c r="Q20" s="54"/>
      <c r="R20" s="54"/>
      <c r="S20" s="54"/>
      <c r="T20" s="54">
        <v>5.7969999999999997</v>
      </c>
      <c r="U20" s="108">
        <v>4.9400000000000004</v>
      </c>
      <c r="V20" s="108">
        <v>-0.57999999999999996</v>
      </c>
      <c r="W20" s="54"/>
      <c r="X20" s="54"/>
      <c r="Y20" s="64"/>
      <c r="Z20" s="116">
        <v>7.19</v>
      </c>
      <c r="AA20" s="116">
        <v>1.38</v>
      </c>
      <c r="AB20" s="116">
        <v>1.42</v>
      </c>
      <c r="AC20" s="116">
        <v>0.19</v>
      </c>
      <c r="AD20" s="116">
        <v>89.82</v>
      </c>
      <c r="AE20" s="116">
        <f t="shared" si="0"/>
        <v>100</v>
      </c>
      <c r="AG20" s="116">
        <v>18.2</v>
      </c>
      <c r="AH20" s="116">
        <v>6.3</v>
      </c>
      <c r="AI20" s="116">
        <v>17.2</v>
      </c>
      <c r="AJ20" s="116">
        <v>1</v>
      </c>
      <c r="AK20" s="116">
        <v>57.3</v>
      </c>
      <c r="AL20" s="116">
        <f t="shared" si="1"/>
        <v>100</v>
      </c>
      <c r="AN20" s="130">
        <v>14.82</v>
      </c>
      <c r="AO20" s="130">
        <v>11.3</v>
      </c>
      <c r="AP20" s="130">
        <v>22.009999999999998</v>
      </c>
      <c r="AQ20" s="130">
        <v>2.7199999999999998</v>
      </c>
      <c r="AR20" s="130">
        <v>49.15</v>
      </c>
      <c r="AS20" s="130">
        <f t="shared" si="2"/>
        <v>100</v>
      </c>
      <c r="AU20" s="130">
        <v>16.059999999999999</v>
      </c>
      <c r="AV20" s="130">
        <v>9.2299999999999986</v>
      </c>
      <c r="AW20" s="130">
        <v>20.119999999999997</v>
      </c>
      <c r="AX20" s="130">
        <v>1.25</v>
      </c>
      <c r="AY20" s="130">
        <v>53.339999999999996</v>
      </c>
      <c r="AZ20" s="130">
        <f t="shared" si="3"/>
        <v>100</v>
      </c>
    </row>
    <row r="21" spans="1:52" ht="20.100000000000001" customHeight="1" x14ac:dyDescent="0.3">
      <c r="A21" s="25">
        <v>13</v>
      </c>
      <c r="B21" s="17" t="s">
        <v>31</v>
      </c>
      <c r="C21" s="17" t="s">
        <v>35</v>
      </c>
      <c r="D21" s="18" t="s">
        <v>36</v>
      </c>
      <c r="E21" s="26">
        <v>45558</v>
      </c>
      <c r="F21" s="20"/>
      <c r="G21" s="18" t="s">
        <v>81</v>
      </c>
      <c r="H21" s="28">
        <v>22.77</v>
      </c>
      <c r="I21" s="28">
        <v>6.66</v>
      </c>
      <c r="J21" s="28">
        <v>7</v>
      </c>
      <c r="K21" s="74">
        <v>186.2</v>
      </c>
      <c r="L21" s="57"/>
      <c r="M21" s="54"/>
      <c r="N21" s="54"/>
      <c r="O21" s="54">
        <v>3.5609999999999999</v>
      </c>
      <c r="P21" s="54"/>
      <c r="Q21" s="54"/>
      <c r="R21" s="54"/>
      <c r="S21" s="54"/>
      <c r="T21" s="54">
        <v>9.6140000000000008</v>
      </c>
      <c r="U21" s="108">
        <v>7.83</v>
      </c>
      <c r="V21" s="108">
        <v>0.59</v>
      </c>
      <c r="W21" s="54"/>
      <c r="X21" s="54"/>
      <c r="Y21" s="64"/>
      <c r="Z21" s="116">
        <v>13.73</v>
      </c>
      <c r="AA21" s="116">
        <v>1.48</v>
      </c>
      <c r="AB21" s="116">
        <v>1.1499999999999999</v>
      </c>
      <c r="AC21" s="116">
        <v>0.1</v>
      </c>
      <c r="AD21" s="116">
        <v>83.54</v>
      </c>
      <c r="AE21" s="116">
        <f t="shared" si="0"/>
        <v>100</v>
      </c>
      <c r="AG21" s="116">
        <v>26</v>
      </c>
      <c r="AH21" s="116">
        <v>8.9</v>
      </c>
      <c r="AI21" s="116">
        <v>13.700000000000001</v>
      </c>
      <c r="AJ21" s="116">
        <v>1</v>
      </c>
      <c r="AK21" s="116">
        <v>50.4</v>
      </c>
      <c r="AL21" s="116">
        <f t="shared" si="1"/>
        <v>100</v>
      </c>
      <c r="AN21" s="130">
        <v>25.990000000000002</v>
      </c>
      <c r="AO21" s="130">
        <v>14.71</v>
      </c>
      <c r="AP21" s="130">
        <v>16.14</v>
      </c>
      <c r="AQ21" s="130">
        <v>2.4</v>
      </c>
      <c r="AR21" s="130">
        <v>40.760000000000005</v>
      </c>
      <c r="AS21" s="130">
        <f t="shared" si="2"/>
        <v>100</v>
      </c>
      <c r="AU21" s="130">
        <v>25.369999999999997</v>
      </c>
      <c r="AV21" s="130">
        <v>15.22</v>
      </c>
      <c r="AW21" s="130">
        <v>16.07</v>
      </c>
      <c r="AX21" s="130">
        <v>1.77</v>
      </c>
      <c r="AY21" s="130">
        <v>41.57</v>
      </c>
      <c r="AZ21" s="130">
        <f t="shared" si="3"/>
        <v>100</v>
      </c>
    </row>
    <row r="22" spans="1:52" ht="20.100000000000001" customHeight="1" x14ac:dyDescent="0.3">
      <c r="A22" s="25">
        <v>14</v>
      </c>
      <c r="B22" s="17" t="s">
        <v>31</v>
      </c>
      <c r="C22" s="17" t="s">
        <v>5</v>
      </c>
      <c r="D22" s="18" t="s">
        <v>29</v>
      </c>
      <c r="E22" s="26">
        <v>45558</v>
      </c>
      <c r="F22" s="20"/>
      <c r="G22" s="18" t="s">
        <v>81</v>
      </c>
      <c r="H22" s="28">
        <v>23.64</v>
      </c>
      <c r="I22" s="28">
        <v>6.72</v>
      </c>
      <c r="J22" s="28">
        <v>8.16</v>
      </c>
      <c r="K22" s="74">
        <v>175.1</v>
      </c>
      <c r="L22" s="57"/>
      <c r="M22" s="54"/>
      <c r="N22" s="54"/>
      <c r="O22" s="54">
        <v>1.7789999999999999</v>
      </c>
      <c r="P22" s="54"/>
      <c r="Q22" s="54"/>
      <c r="R22" s="54"/>
      <c r="S22" s="54"/>
      <c r="T22" s="54">
        <v>11.368</v>
      </c>
      <c r="U22" s="108">
        <v>6.56</v>
      </c>
      <c r="V22" s="108">
        <v>0.87</v>
      </c>
      <c r="W22" s="54"/>
      <c r="X22" s="54"/>
      <c r="Y22" s="64"/>
      <c r="Z22" s="116">
        <v>18.579999999999998</v>
      </c>
      <c r="AA22" s="116">
        <v>3.49</v>
      </c>
      <c r="AB22" s="116">
        <v>1.62</v>
      </c>
      <c r="AC22" s="116">
        <v>0.19</v>
      </c>
      <c r="AD22" s="116">
        <v>76.12</v>
      </c>
      <c r="AE22" s="116">
        <f t="shared" si="0"/>
        <v>100</v>
      </c>
      <c r="AG22" s="116">
        <v>23.1</v>
      </c>
      <c r="AH22" s="116">
        <v>7.8</v>
      </c>
      <c r="AI22" s="116">
        <v>14.899999999999999</v>
      </c>
      <c r="AJ22" s="116">
        <v>1</v>
      </c>
      <c r="AK22" s="116">
        <v>53.2</v>
      </c>
      <c r="AL22" s="116">
        <f t="shared" si="1"/>
        <v>100</v>
      </c>
      <c r="AN22" s="130">
        <v>25.31</v>
      </c>
      <c r="AO22" s="130">
        <v>12.65</v>
      </c>
      <c r="AP22" s="130">
        <v>18.72</v>
      </c>
      <c r="AQ22" s="130">
        <v>2.77</v>
      </c>
      <c r="AR22" s="130">
        <v>40.550000000000004</v>
      </c>
      <c r="AS22" s="130">
        <f t="shared" si="2"/>
        <v>100</v>
      </c>
      <c r="AU22" s="130">
        <v>21.54</v>
      </c>
      <c r="AV22" s="130">
        <v>13.420000000000002</v>
      </c>
      <c r="AW22" s="130">
        <v>18.52</v>
      </c>
      <c r="AX22" s="130">
        <v>1.81</v>
      </c>
      <c r="AY22" s="130">
        <v>44.71</v>
      </c>
      <c r="AZ22" s="130">
        <f t="shared" si="3"/>
        <v>100</v>
      </c>
    </row>
    <row r="23" spans="1:52" ht="20.100000000000001" customHeight="1" x14ac:dyDescent="0.3">
      <c r="A23" s="25">
        <v>15</v>
      </c>
      <c r="B23" s="17" t="s">
        <v>31</v>
      </c>
      <c r="C23" s="17" t="s">
        <v>35</v>
      </c>
      <c r="D23" s="18" t="s">
        <v>29</v>
      </c>
      <c r="E23" s="26">
        <v>45558</v>
      </c>
      <c r="F23" s="20"/>
      <c r="G23" s="18" t="s">
        <v>81</v>
      </c>
      <c r="H23" s="28">
        <v>23.04</v>
      </c>
      <c r="I23" s="28">
        <v>6.58</v>
      </c>
      <c r="J23" s="28">
        <v>6.6</v>
      </c>
      <c r="K23" s="74">
        <v>183.5</v>
      </c>
      <c r="L23" s="57"/>
      <c r="M23" s="54"/>
      <c r="N23" s="54"/>
      <c r="O23" s="54">
        <v>3.331</v>
      </c>
      <c r="P23" s="54"/>
      <c r="Q23" s="54"/>
      <c r="R23" s="54"/>
      <c r="S23" s="54"/>
      <c r="T23" s="54">
        <v>8.9570000000000007</v>
      </c>
      <c r="U23" s="108">
        <v>8.2100000000000009</v>
      </c>
      <c r="V23" s="110">
        <v>1.84</v>
      </c>
      <c r="W23" s="55"/>
      <c r="X23" s="55"/>
      <c r="Y23" s="64"/>
      <c r="Z23" s="116">
        <v>20.55</v>
      </c>
      <c r="AA23" s="116">
        <v>3.57</v>
      </c>
      <c r="AB23" s="116">
        <v>1.96</v>
      </c>
      <c r="AC23" s="116">
        <v>0.14000000000000001</v>
      </c>
      <c r="AD23" s="116">
        <v>73.78</v>
      </c>
      <c r="AE23" s="116">
        <f t="shared" si="0"/>
        <v>100</v>
      </c>
      <c r="AG23" s="116">
        <v>28.199999999999996</v>
      </c>
      <c r="AH23" s="116">
        <v>9.6</v>
      </c>
      <c r="AI23" s="116">
        <v>12.9</v>
      </c>
      <c r="AJ23" s="116">
        <v>1.0999999999999999</v>
      </c>
      <c r="AK23" s="116">
        <v>48.199999999999996</v>
      </c>
      <c r="AL23" s="116">
        <f t="shared" si="1"/>
        <v>100</v>
      </c>
      <c r="AN23" s="130">
        <v>23.28</v>
      </c>
      <c r="AO23" s="130">
        <v>18.05</v>
      </c>
      <c r="AP23" s="130">
        <v>25.41</v>
      </c>
      <c r="AQ23" s="130">
        <v>2.39</v>
      </c>
      <c r="AR23" s="130">
        <v>30.869999999999997</v>
      </c>
      <c r="AS23" s="130">
        <f t="shared" si="2"/>
        <v>100</v>
      </c>
      <c r="AU23" s="130">
        <v>26.840000000000003</v>
      </c>
      <c r="AV23" s="130">
        <v>17.18</v>
      </c>
      <c r="AW23" s="130">
        <v>16.23</v>
      </c>
      <c r="AX23" s="130">
        <v>2.34</v>
      </c>
      <c r="AY23" s="130">
        <v>37.409999999999997</v>
      </c>
      <c r="AZ23" s="130">
        <f t="shared" si="3"/>
        <v>100</v>
      </c>
    </row>
    <row r="24" spans="1:52" ht="19.5" customHeight="1" x14ac:dyDescent="0.3">
      <c r="A24" s="41">
        <v>16</v>
      </c>
      <c r="B24" s="42" t="s">
        <v>38</v>
      </c>
      <c r="C24" s="42" t="s">
        <v>38</v>
      </c>
      <c r="D24" s="43" t="s">
        <v>39</v>
      </c>
      <c r="E24" s="44">
        <v>45558</v>
      </c>
      <c r="F24" s="45"/>
      <c r="G24" s="43" t="s">
        <v>81</v>
      </c>
      <c r="H24" s="72">
        <v>23.98</v>
      </c>
      <c r="I24" s="72">
        <v>7.05</v>
      </c>
      <c r="J24" s="72">
        <v>7.93</v>
      </c>
      <c r="K24" s="73">
        <v>141.9</v>
      </c>
      <c r="L24" s="59"/>
      <c r="M24" s="60"/>
      <c r="N24" s="60"/>
      <c r="O24" s="61">
        <v>2.0390000000000001</v>
      </c>
      <c r="P24" s="61"/>
      <c r="Q24" s="61"/>
      <c r="R24" s="61"/>
      <c r="S24" s="61"/>
      <c r="T24" s="61">
        <v>7.2519999999999998</v>
      </c>
      <c r="U24" s="111">
        <v>5.64</v>
      </c>
      <c r="V24" s="111">
        <v>1.92</v>
      </c>
      <c r="W24" s="61"/>
      <c r="X24" s="61"/>
      <c r="Y24" s="65"/>
      <c r="Z24" s="116">
        <v>31.45</v>
      </c>
      <c r="AA24" s="116">
        <v>2.17</v>
      </c>
      <c r="AB24" s="116">
        <v>1.57</v>
      </c>
      <c r="AC24" s="116">
        <v>0.17</v>
      </c>
      <c r="AD24" s="116">
        <v>64.64</v>
      </c>
      <c r="AE24" s="116">
        <f t="shared" si="0"/>
        <v>100</v>
      </c>
      <c r="AG24" s="116">
        <v>21.099999999999998</v>
      </c>
      <c r="AH24" s="116">
        <v>7.5</v>
      </c>
      <c r="AI24" s="116">
        <v>16.400000000000002</v>
      </c>
      <c r="AJ24" s="116">
        <v>1</v>
      </c>
      <c r="AK24" s="116">
        <v>54</v>
      </c>
      <c r="AL24" s="116">
        <f t="shared" si="1"/>
        <v>100</v>
      </c>
      <c r="AN24" s="130">
        <v>19.7</v>
      </c>
      <c r="AO24" s="130">
        <v>10.25</v>
      </c>
      <c r="AP24" s="130">
        <v>24.64</v>
      </c>
      <c r="AQ24" s="130">
        <v>2.88</v>
      </c>
      <c r="AR24" s="130">
        <v>42.53</v>
      </c>
      <c r="AS24" s="130">
        <f t="shared" si="2"/>
        <v>100</v>
      </c>
      <c r="AU24" s="130">
        <v>18.940000000000001</v>
      </c>
      <c r="AV24" s="130">
        <v>12.53</v>
      </c>
      <c r="AW24" s="130">
        <v>21.29</v>
      </c>
      <c r="AX24" s="130">
        <v>2.2200000000000002</v>
      </c>
      <c r="AY24" s="130">
        <v>45.019999999999996</v>
      </c>
      <c r="AZ24" s="130">
        <f t="shared" si="3"/>
        <v>100</v>
      </c>
    </row>
    <row r="25" spans="1:52" ht="20.100000000000001" customHeight="1" x14ac:dyDescent="0.3">
      <c r="A25" s="41">
        <v>17</v>
      </c>
      <c r="B25" s="42" t="s">
        <v>38</v>
      </c>
      <c r="C25" s="42" t="s">
        <v>38</v>
      </c>
      <c r="D25" s="43" t="s">
        <v>41</v>
      </c>
      <c r="E25" s="44">
        <v>45558</v>
      </c>
      <c r="F25" s="45"/>
      <c r="G25" s="43" t="s">
        <v>81</v>
      </c>
      <c r="H25" s="72">
        <v>24.82</v>
      </c>
      <c r="I25" s="72">
        <v>7.65</v>
      </c>
      <c r="J25" s="72">
        <v>7.92</v>
      </c>
      <c r="K25" s="73">
        <v>193.3</v>
      </c>
      <c r="L25" s="59"/>
      <c r="M25" s="60"/>
      <c r="N25" s="60"/>
      <c r="O25" s="60">
        <v>2.0710000000000002</v>
      </c>
      <c r="P25" s="60"/>
      <c r="Q25" s="60"/>
      <c r="R25" s="60"/>
      <c r="S25" s="60"/>
      <c r="T25" s="60">
        <v>12.406000000000001</v>
      </c>
      <c r="U25" s="112">
        <v>8</v>
      </c>
      <c r="V25" s="112">
        <v>2.11</v>
      </c>
      <c r="W25" s="60"/>
      <c r="X25" s="60"/>
      <c r="Y25" s="65"/>
      <c r="Z25" s="116">
        <v>30.69</v>
      </c>
      <c r="AA25" s="116">
        <v>1.37</v>
      </c>
      <c r="AB25" s="116">
        <v>0.99</v>
      </c>
      <c r="AC25" s="116">
        <v>0.05</v>
      </c>
      <c r="AD25" s="116">
        <v>66.900000000000006</v>
      </c>
      <c r="AE25" s="116">
        <f t="shared" si="0"/>
        <v>100</v>
      </c>
      <c r="AG25" s="116">
        <v>27.400000000000002</v>
      </c>
      <c r="AH25" s="116">
        <v>9.3000000000000007</v>
      </c>
      <c r="AI25" s="116">
        <v>13.3</v>
      </c>
      <c r="AJ25" s="116">
        <v>1</v>
      </c>
      <c r="AK25" s="116">
        <v>49</v>
      </c>
      <c r="AL25" s="116">
        <f t="shared" si="1"/>
        <v>100</v>
      </c>
      <c r="AN25" s="130">
        <v>21.45</v>
      </c>
      <c r="AO25" s="130">
        <v>18.850000000000001</v>
      </c>
      <c r="AP25" s="130">
        <v>21.099999999999998</v>
      </c>
      <c r="AQ25" s="130">
        <v>2.68</v>
      </c>
      <c r="AR25" s="130">
        <v>35.92</v>
      </c>
      <c r="AS25" s="130">
        <f t="shared" si="2"/>
        <v>100</v>
      </c>
      <c r="AU25" s="130">
        <v>26.08</v>
      </c>
      <c r="AV25" s="130">
        <v>17.03</v>
      </c>
      <c r="AW25" s="130">
        <v>16.79</v>
      </c>
      <c r="AX25" s="130">
        <v>2.4700000000000002</v>
      </c>
      <c r="AY25" s="130">
        <v>37.630000000000003</v>
      </c>
      <c r="AZ25" s="130">
        <f t="shared" si="3"/>
        <v>100</v>
      </c>
    </row>
    <row r="26" spans="1:52" ht="20.100000000000001" customHeight="1" x14ac:dyDescent="0.3">
      <c r="A26" s="41">
        <v>18</v>
      </c>
      <c r="B26" s="42" t="s">
        <v>38</v>
      </c>
      <c r="C26" s="42" t="s">
        <v>38</v>
      </c>
      <c r="D26" s="43" t="s">
        <v>42</v>
      </c>
      <c r="E26" s="44">
        <v>45558</v>
      </c>
      <c r="F26" s="45"/>
      <c r="G26" s="43" t="s">
        <v>81</v>
      </c>
      <c r="H26" s="72">
        <v>24.52</v>
      </c>
      <c r="I26" s="72">
        <v>7.51</v>
      </c>
      <c r="J26" s="72">
        <v>7.4</v>
      </c>
      <c r="K26" s="73">
        <v>208.7</v>
      </c>
      <c r="L26" s="59"/>
      <c r="M26" s="60"/>
      <c r="N26" s="60"/>
      <c r="O26" s="60">
        <v>1.972</v>
      </c>
      <c r="P26" s="60"/>
      <c r="Q26" s="60"/>
      <c r="R26" s="60"/>
      <c r="S26" s="60"/>
      <c r="T26" s="60">
        <v>13.935</v>
      </c>
      <c r="U26" s="112">
        <v>8.16</v>
      </c>
      <c r="V26" s="112">
        <v>1.79</v>
      </c>
      <c r="W26" s="60"/>
      <c r="X26" s="60"/>
      <c r="Y26" s="65"/>
      <c r="Z26" s="116">
        <v>35.53</v>
      </c>
      <c r="AA26" s="116">
        <v>1.05</v>
      </c>
      <c r="AB26" s="116">
        <v>1.23</v>
      </c>
      <c r="AC26" s="116">
        <v>0.2</v>
      </c>
      <c r="AD26" s="116">
        <v>61.99</v>
      </c>
      <c r="AE26" s="116">
        <f t="shared" si="0"/>
        <v>100</v>
      </c>
      <c r="AG26" s="116">
        <v>27.200000000000003</v>
      </c>
      <c r="AH26" s="116">
        <v>9.3000000000000007</v>
      </c>
      <c r="AI26" s="116">
        <v>13.3</v>
      </c>
      <c r="AJ26" s="116">
        <v>1</v>
      </c>
      <c r="AK26" s="116">
        <v>49.2</v>
      </c>
      <c r="AL26" s="116">
        <f t="shared" si="1"/>
        <v>100</v>
      </c>
      <c r="AN26" s="130">
        <v>23.03</v>
      </c>
      <c r="AO26" s="130">
        <v>17.919999999999998</v>
      </c>
      <c r="AP26" s="130">
        <v>25.46</v>
      </c>
      <c r="AQ26" s="130">
        <v>2.48</v>
      </c>
      <c r="AR26" s="130">
        <v>31.11</v>
      </c>
      <c r="AS26" s="130">
        <f t="shared" si="2"/>
        <v>100</v>
      </c>
      <c r="AU26" s="130">
        <v>26.650000000000002</v>
      </c>
      <c r="AV26" s="130">
        <v>17.03</v>
      </c>
      <c r="AW26" s="130">
        <v>16.29</v>
      </c>
      <c r="AX26" s="130">
        <v>2.31</v>
      </c>
      <c r="AY26" s="130">
        <v>37.72</v>
      </c>
      <c r="AZ26" s="130">
        <f t="shared" si="3"/>
        <v>100</v>
      </c>
    </row>
    <row r="27" spans="1:52" ht="20.100000000000001" customHeight="1" x14ac:dyDescent="0.3">
      <c r="A27" s="41">
        <v>19</v>
      </c>
      <c r="B27" s="42" t="s">
        <v>38</v>
      </c>
      <c r="C27" s="42" t="s">
        <v>43</v>
      </c>
      <c r="D27" s="43" t="s">
        <v>40</v>
      </c>
      <c r="E27" s="44">
        <v>45558</v>
      </c>
      <c r="F27" s="45"/>
      <c r="G27" s="43" t="s">
        <v>81</v>
      </c>
      <c r="H27" s="72">
        <v>25.86</v>
      </c>
      <c r="I27" s="72">
        <v>7.46</v>
      </c>
      <c r="J27" s="72">
        <v>6.9</v>
      </c>
      <c r="K27" s="73">
        <v>309.10000000000002</v>
      </c>
      <c r="L27" s="59"/>
      <c r="M27" s="60"/>
      <c r="N27" s="60"/>
      <c r="O27" s="60">
        <v>2.605</v>
      </c>
      <c r="P27" s="60"/>
      <c r="Q27" s="60"/>
      <c r="R27" s="60"/>
      <c r="S27" s="60"/>
      <c r="T27" s="60">
        <v>30.437000000000001</v>
      </c>
      <c r="U27" s="112">
        <v>9.75</v>
      </c>
      <c r="V27" s="112">
        <v>1.59</v>
      </c>
      <c r="W27" s="60"/>
      <c r="X27" s="60"/>
      <c r="Y27" s="65"/>
      <c r="Z27" s="116">
        <v>19.88</v>
      </c>
      <c r="AA27" s="116">
        <v>1.02</v>
      </c>
      <c r="AB27" s="116">
        <v>1.01</v>
      </c>
      <c r="AC27" s="116">
        <v>0.34</v>
      </c>
      <c r="AD27" s="116">
        <v>77.75</v>
      </c>
      <c r="AE27" s="116">
        <f t="shared" si="0"/>
        <v>100</v>
      </c>
      <c r="AG27" s="116">
        <v>31.900000000000002</v>
      </c>
      <c r="AH27" s="116">
        <v>11.1</v>
      </c>
      <c r="AI27" s="116">
        <v>11.899999999999999</v>
      </c>
      <c r="AJ27" s="116">
        <v>0.89999999999999991</v>
      </c>
      <c r="AK27" s="116">
        <v>44.2</v>
      </c>
      <c r="AL27" s="116">
        <f t="shared" si="1"/>
        <v>100</v>
      </c>
      <c r="AN27" s="130">
        <v>32.83</v>
      </c>
      <c r="AO27" s="130">
        <v>22.79</v>
      </c>
      <c r="AP27" s="130">
        <v>13.469999999999999</v>
      </c>
      <c r="AQ27" s="130">
        <v>2.96</v>
      </c>
      <c r="AR27" s="130">
        <v>27.950000000000003</v>
      </c>
      <c r="AS27" s="130">
        <f t="shared" si="2"/>
        <v>100</v>
      </c>
      <c r="AU27" s="130">
        <v>32.04</v>
      </c>
      <c r="AV27" s="130">
        <v>19.830000000000002</v>
      </c>
      <c r="AW27" s="130">
        <v>13.56</v>
      </c>
      <c r="AX27" s="130">
        <v>2.2599999999999998</v>
      </c>
      <c r="AY27" s="130">
        <v>32.31</v>
      </c>
      <c r="AZ27" s="130">
        <f t="shared" si="3"/>
        <v>100.00000000000001</v>
      </c>
    </row>
    <row r="28" spans="1:52" ht="20.100000000000001" customHeight="1" x14ac:dyDescent="0.3">
      <c r="A28" s="41">
        <v>20</v>
      </c>
      <c r="B28" s="42" t="s">
        <v>38</v>
      </c>
      <c r="C28" s="42" t="s">
        <v>43</v>
      </c>
      <c r="D28" s="43" t="s">
        <v>44</v>
      </c>
      <c r="E28" s="44">
        <v>45558</v>
      </c>
      <c r="F28" s="45"/>
      <c r="G28" s="43" t="s">
        <v>81</v>
      </c>
      <c r="H28" s="72">
        <v>24.21</v>
      </c>
      <c r="I28" s="72">
        <v>7.08</v>
      </c>
      <c r="J28" s="72">
        <v>7.84</v>
      </c>
      <c r="K28" s="73">
        <v>274.8</v>
      </c>
      <c r="L28" s="59"/>
      <c r="M28" s="60"/>
      <c r="N28" s="60"/>
      <c r="O28" s="60">
        <v>1.569</v>
      </c>
      <c r="P28" s="60"/>
      <c r="Q28" s="60"/>
      <c r="R28" s="60"/>
      <c r="S28" s="60"/>
      <c r="T28" s="60">
        <v>21.135999999999999</v>
      </c>
      <c r="U28" s="113">
        <v>9.39</v>
      </c>
      <c r="V28" s="113">
        <v>2.5</v>
      </c>
      <c r="W28" s="62"/>
      <c r="X28" s="62"/>
      <c r="Y28" s="65"/>
      <c r="Z28" s="118">
        <v>51.43</v>
      </c>
      <c r="AA28" s="118">
        <v>3.86</v>
      </c>
      <c r="AB28" s="118">
        <v>0.94</v>
      </c>
      <c r="AC28" s="118">
        <v>0.18</v>
      </c>
      <c r="AD28" s="118">
        <v>43.59</v>
      </c>
      <c r="AE28" s="118">
        <f t="shared" si="0"/>
        <v>100</v>
      </c>
      <c r="AF28" s="114"/>
      <c r="AG28" s="116">
        <v>31.1</v>
      </c>
      <c r="AH28" s="116">
        <v>11</v>
      </c>
      <c r="AI28" s="116">
        <v>12.1</v>
      </c>
      <c r="AJ28" s="116">
        <v>1.0999999999999999</v>
      </c>
      <c r="AK28" s="116">
        <v>44.7</v>
      </c>
      <c r="AL28" s="118">
        <f t="shared" si="1"/>
        <v>100</v>
      </c>
      <c r="AN28" s="130">
        <v>22.720000000000002</v>
      </c>
      <c r="AO28" s="130">
        <v>26.46</v>
      </c>
      <c r="AP28" s="130">
        <v>17.150000000000002</v>
      </c>
      <c r="AQ28" s="130">
        <v>2.94</v>
      </c>
      <c r="AR28" s="130">
        <v>30.73</v>
      </c>
      <c r="AS28" s="130">
        <f t="shared" si="2"/>
        <v>100.00000000000001</v>
      </c>
      <c r="AU28" s="130">
        <v>30.9</v>
      </c>
      <c r="AV28" s="130">
        <v>20.09</v>
      </c>
      <c r="AW28" s="130">
        <v>14.56</v>
      </c>
      <c r="AX28" s="130">
        <v>2.7199999999999998</v>
      </c>
      <c r="AY28" s="130">
        <v>31.730000000000004</v>
      </c>
      <c r="AZ28" s="130">
        <f t="shared" si="3"/>
        <v>100</v>
      </c>
    </row>
    <row r="29" spans="1:52" ht="20.100000000000001" customHeight="1" x14ac:dyDescent="0.3">
      <c r="A29" s="25">
        <v>21</v>
      </c>
      <c r="B29" s="17" t="s">
        <v>45</v>
      </c>
      <c r="C29" s="17" t="s">
        <v>45</v>
      </c>
      <c r="D29" s="18" t="s">
        <v>46</v>
      </c>
      <c r="E29" s="26">
        <v>45558</v>
      </c>
      <c r="F29" s="20"/>
      <c r="G29" s="18" t="s">
        <v>81</v>
      </c>
      <c r="H29" s="28">
        <v>21.7</v>
      </c>
      <c r="I29" s="28">
        <v>8.42</v>
      </c>
      <c r="J29" s="28">
        <v>10.36</v>
      </c>
      <c r="K29" s="74">
        <v>104</v>
      </c>
      <c r="L29" s="57"/>
      <c r="M29" s="54"/>
      <c r="N29" s="54"/>
      <c r="O29" s="58">
        <v>2.0310000000000001</v>
      </c>
      <c r="P29" s="58"/>
      <c r="Q29" s="58"/>
      <c r="R29" s="58"/>
      <c r="S29" s="58"/>
      <c r="T29" s="58">
        <v>5.9089999999999998</v>
      </c>
      <c r="U29" s="109">
        <v>2.19</v>
      </c>
      <c r="V29" s="109">
        <v>-0.53</v>
      </c>
      <c r="W29" s="58"/>
      <c r="X29" s="58"/>
      <c r="Y29" s="64"/>
      <c r="Z29" s="116">
        <v>17.989999999999998</v>
      </c>
      <c r="AA29" s="116">
        <v>2.92</v>
      </c>
      <c r="AB29" s="116">
        <v>1.29</v>
      </c>
      <c r="AC29" s="116">
        <v>0.18</v>
      </c>
      <c r="AD29" s="116">
        <v>77.62</v>
      </c>
      <c r="AE29" s="116">
        <f t="shared" si="0"/>
        <v>100</v>
      </c>
      <c r="AG29" s="116">
        <v>13.4</v>
      </c>
      <c r="AH29" s="116">
        <v>4.7</v>
      </c>
      <c r="AI29" s="116">
        <v>19.2</v>
      </c>
      <c r="AJ29" s="116">
        <v>0.89999999999999991</v>
      </c>
      <c r="AK29" s="116">
        <v>61.8</v>
      </c>
      <c r="AL29" s="116">
        <f t="shared" si="1"/>
        <v>100</v>
      </c>
      <c r="AN29" s="130">
        <v>10.07</v>
      </c>
      <c r="AO29" s="130">
        <v>15.440000000000001</v>
      </c>
      <c r="AP29" s="130">
        <v>25.95</v>
      </c>
      <c r="AQ29" s="130">
        <v>3.74</v>
      </c>
      <c r="AR29" s="130">
        <v>44.800000000000004</v>
      </c>
      <c r="AS29" s="130">
        <f t="shared" si="2"/>
        <v>100</v>
      </c>
      <c r="AU29" s="130">
        <v>9.379999999999999</v>
      </c>
      <c r="AV29" s="130">
        <v>5.52</v>
      </c>
      <c r="AW29" s="130">
        <v>26.87</v>
      </c>
      <c r="AX29" s="130">
        <v>1.25</v>
      </c>
      <c r="AY29" s="130">
        <v>56.98</v>
      </c>
      <c r="AZ29" s="130">
        <f t="shared" si="3"/>
        <v>100</v>
      </c>
    </row>
    <row r="30" spans="1:52" ht="20.100000000000001" customHeight="1" x14ac:dyDescent="0.3">
      <c r="A30" s="25">
        <v>22</v>
      </c>
      <c r="B30" s="17" t="s">
        <v>45</v>
      </c>
      <c r="C30" s="17" t="s">
        <v>45</v>
      </c>
      <c r="D30" s="22" t="s">
        <v>47</v>
      </c>
      <c r="E30" s="26">
        <v>45558</v>
      </c>
      <c r="F30" s="23"/>
      <c r="G30" s="18" t="s">
        <v>81</v>
      </c>
      <c r="H30" s="28">
        <v>20.96</v>
      </c>
      <c r="I30" s="28">
        <v>7.9</v>
      </c>
      <c r="J30" s="28">
        <v>10.15</v>
      </c>
      <c r="K30" s="74">
        <v>101</v>
      </c>
      <c r="L30" s="57"/>
      <c r="M30" s="55"/>
      <c r="N30" s="55"/>
      <c r="O30" s="55">
        <v>2.3380000000000001</v>
      </c>
      <c r="P30" s="55"/>
      <c r="Q30" s="55"/>
      <c r="R30" s="55"/>
      <c r="S30" s="55"/>
      <c r="T30" s="55">
        <v>7.3620000000000001</v>
      </c>
      <c r="U30" s="110">
        <v>4.6100000000000003</v>
      </c>
      <c r="V30" s="110">
        <v>-0.06</v>
      </c>
      <c r="W30" s="55"/>
      <c r="X30" s="55"/>
      <c r="Y30" s="66"/>
      <c r="Z30" s="116">
        <v>15.21</v>
      </c>
      <c r="AA30" s="116">
        <v>1.1100000000000001</v>
      </c>
      <c r="AB30" s="116">
        <v>0.87</v>
      </c>
      <c r="AC30" s="116">
        <v>0.14000000000000001</v>
      </c>
      <c r="AD30" s="116">
        <v>82.67</v>
      </c>
      <c r="AE30" s="116">
        <f t="shared" si="0"/>
        <v>100</v>
      </c>
      <c r="AG30" s="116">
        <v>18.399999999999999</v>
      </c>
      <c r="AH30" s="116">
        <v>6.2</v>
      </c>
      <c r="AI30" s="116">
        <v>17.2</v>
      </c>
      <c r="AJ30" s="116">
        <v>0.89999999999999991</v>
      </c>
      <c r="AK30" s="116">
        <v>57.3</v>
      </c>
      <c r="AL30" s="116">
        <f t="shared" si="1"/>
        <v>100</v>
      </c>
      <c r="AN30" s="130">
        <v>14.67</v>
      </c>
      <c r="AO30" s="130">
        <v>13.750000000000002</v>
      </c>
      <c r="AP30" s="130">
        <v>23.21</v>
      </c>
      <c r="AQ30" s="130">
        <v>2.8400000000000003</v>
      </c>
      <c r="AR30" s="130">
        <v>45.53</v>
      </c>
      <c r="AS30" s="130">
        <f t="shared" si="2"/>
        <v>100</v>
      </c>
      <c r="AU30" s="130">
        <v>15.21</v>
      </c>
      <c r="AV30" s="130">
        <v>9.01</v>
      </c>
      <c r="AW30" s="130">
        <v>21.45</v>
      </c>
      <c r="AX30" s="130">
        <v>1.39</v>
      </c>
      <c r="AY30" s="130">
        <v>52.94</v>
      </c>
      <c r="AZ30" s="130">
        <f t="shared" si="3"/>
        <v>100</v>
      </c>
    </row>
    <row r="31" spans="1:52" ht="20.100000000000001" customHeight="1" x14ac:dyDescent="0.3">
      <c r="A31" s="25">
        <v>23</v>
      </c>
      <c r="B31" s="17" t="s">
        <v>45</v>
      </c>
      <c r="C31" s="17" t="s">
        <v>45</v>
      </c>
      <c r="D31" s="22" t="s">
        <v>29</v>
      </c>
      <c r="E31" s="26">
        <v>45558</v>
      </c>
      <c r="F31" s="23"/>
      <c r="G31" s="18" t="s">
        <v>81</v>
      </c>
      <c r="H31" s="75">
        <v>21.12</v>
      </c>
      <c r="I31" s="75">
        <v>7.79</v>
      </c>
      <c r="J31" s="75">
        <v>10.23</v>
      </c>
      <c r="K31" s="77">
        <v>97</v>
      </c>
      <c r="L31" s="57"/>
      <c r="M31" s="55"/>
      <c r="N31" s="55"/>
      <c r="O31" s="55">
        <v>2.2559999999999998</v>
      </c>
      <c r="P31" s="55"/>
      <c r="Q31" s="55"/>
      <c r="R31" s="55"/>
      <c r="S31" s="55"/>
      <c r="T31" s="55">
        <v>7.5640000000000001</v>
      </c>
      <c r="U31" s="110">
        <v>3.61</v>
      </c>
      <c r="V31" s="110">
        <v>-2.4700000000000002</v>
      </c>
      <c r="W31" s="55"/>
      <c r="X31" s="55"/>
      <c r="Y31" s="66"/>
      <c r="Z31" s="116">
        <v>12.84</v>
      </c>
      <c r="AA31" s="116">
        <v>1.96</v>
      </c>
      <c r="AB31" s="116">
        <v>1.58</v>
      </c>
      <c r="AC31" s="116">
        <v>0.12</v>
      </c>
      <c r="AD31" s="116">
        <v>83.5</v>
      </c>
      <c r="AE31" s="116">
        <f t="shared" si="0"/>
        <v>100</v>
      </c>
      <c r="AG31" s="116">
        <v>14.299999999999999</v>
      </c>
      <c r="AH31" s="116">
        <v>5.2</v>
      </c>
      <c r="AI31" s="116">
        <v>18</v>
      </c>
      <c r="AJ31" s="116">
        <v>0.89999999999999991</v>
      </c>
      <c r="AK31" s="116">
        <v>61.6</v>
      </c>
      <c r="AL31" s="116">
        <f t="shared" si="1"/>
        <v>100</v>
      </c>
      <c r="AN31" s="130">
        <v>10.37</v>
      </c>
      <c r="AO31" s="130">
        <v>20.3</v>
      </c>
      <c r="AP31" s="130">
        <v>21.07</v>
      </c>
      <c r="AQ31" s="130">
        <v>4.32</v>
      </c>
      <c r="AR31" s="130">
        <v>43.94</v>
      </c>
      <c r="AS31" s="130">
        <f t="shared" si="2"/>
        <v>100</v>
      </c>
      <c r="AU31" s="130">
        <v>11.98</v>
      </c>
      <c r="AV31" s="130">
        <v>6.22</v>
      </c>
      <c r="AW31" s="130">
        <v>20.46</v>
      </c>
      <c r="AX31" s="130">
        <v>0.77</v>
      </c>
      <c r="AY31" s="130">
        <v>60.57</v>
      </c>
      <c r="AZ31" s="130">
        <f t="shared" si="3"/>
        <v>100</v>
      </c>
    </row>
    <row r="32" spans="1:52" ht="20.100000000000001" customHeight="1" x14ac:dyDescent="0.3">
      <c r="A32" s="25">
        <v>24</v>
      </c>
      <c r="B32" s="17" t="s">
        <v>45</v>
      </c>
      <c r="C32" s="17" t="s">
        <v>45</v>
      </c>
      <c r="D32" s="18" t="s">
        <v>48</v>
      </c>
      <c r="E32" s="26">
        <v>45558</v>
      </c>
      <c r="F32" s="20"/>
      <c r="G32" s="18" t="s">
        <v>134</v>
      </c>
      <c r="H32" s="28">
        <v>21.15</v>
      </c>
      <c r="I32" s="28">
        <v>7.79</v>
      </c>
      <c r="J32" s="28">
        <v>10.44</v>
      </c>
      <c r="K32" s="74">
        <v>99</v>
      </c>
      <c r="L32" s="57"/>
      <c r="M32" s="54"/>
      <c r="N32" s="54"/>
      <c r="O32" s="54">
        <v>2.2269999999999999</v>
      </c>
      <c r="P32" s="54"/>
      <c r="Q32" s="54"/>
      <c r="R32" s="54"/>
      <c r="S32" s="54"/>
      <c r="T32" s="54">
        <v>7.851</v>
      </c>
      <c r="U32" s="108">
        <v>5.78</v>
      </c>
      <c r="V32" s="108">
        <v>1.18</v>
      </c>
      <c r="W32" s="54"/>
      <c r="X32" s="54"/>
      <c r="Y32" s="64"/>
      <c r="Z32" s="116">
        <v>19.11</v>
      </c>
      <c r="AA32" s="116">
        <v>0.87</v>
      </c>
      <c r="AB32" s="116">
        <v>1.8</v>
      </c>
      <c r="AC32" s="116">
        <v>0.21</v>
      </c>
      <c r="AD32" s="116">
        <v>78.010000000000005</v>
      </c>
      <c r="AE32" s="116">
        <f t="shared" si="0"/>
        <v>100</v>
      </c>
      <c r="AG32" s="116">
        <v>20.9</v>
      </c>
      <c r="AH32" s="116">
        <v>7.3</v>
      </c>
      <c r="AI32" s="116">
        <v>16.100000000000001</v>
      </c>
      <c r="AJ32" s="116">
        <v>1</v>
      </c>
      <c r="AK32" s="116">
        <v>54.7</v>
      </c>
      <c r="AL32" s="116">
        <f t="shared" si="1"/>
        <v>100</v>
      </c>
      <c r="AN32" s="130">
        <v>22.73</v>
      </c>
      <c r="AO32" s="130">
        <v>9.2799999999999994</v>
      </c>
      <c r="AP32" s="130">
        <v>22.82</v>
      </c>
      <c r="AQ32" s="130">
        <v>3.2199999999999998</v>
      </c>
      <c r="AR32" s="130">
        <v>41.949999999999996</v>
      </c>
      <c r="AS32" s="130">
        <f t="shared" si="2"/>
        <v>100</v>
      </c>
      <c r="AU32" s="130">
        <v>19.18</v>
      </c>
      <c r="AV32" s="130">
        <v>12.18</v>
      </c>
      <c r="AW32" s="130">
        <v>20.309999999999999</v>
      </c>
      <c r="AX32" s="130">
        <v>1.9</v>
      </c>
      <c r="AY32" s="130">
        <v>46.43</v>
      </c>
      <c r="AZ32" s="130">
        <f t="shared" si="3"/>
        <v>100</v>
      </c>
    </row>
    <row r="33" spans="1:37" ht="20.100000000000001" customHeight="1" x14ac:dyDescent="0.3"/>
    <row r="34" spans="1:37" ht="20.100000000000001" customHeight="1" x14ac:dyDescent="0.3"/>
    <row r="35" spans="1:37" ht="20.100000000000001" customHeight="1" x14ac:dyDescent="0.3"/>
    <row r="36" spans="1:37" ht="17.25" thickBot="1" x14ac:dyDescent="0.35">
      <c r="AC36" s="5" t="s">
        <v>1352</v>
      </c>
    </row>
    <row r="37" spans="1:37" ht="19.5" thickBot="1" x14ac:dyDescent="0.35">
      <c r="A37" s="140" t="s">
        <v>1</v>
      </c>
      <c r="B37" s="142" t="s">
        <v>62</v>
      </c>
      <c r="C37" s="142" t="s">
        <v>63</v>
      </c>
      <c r="D37" s="140" t="s">
        <v>7</v>
      </c>
      <c r="E37" s="144" t="s">
        <v>8</v>
      </c>
      <c r="F37" s="145"/>
      <c r="G37" s="146" t="s">
        <v>9</v>
      </c>
      <c r="H37" s="146"/>
      <c r="I37" s="146"/>
      <c r="J37" s="146"/>
      <c r="K37" s="146"/>
      <c r="L37" s="137" t="s">
        <v>56</v>
      </c>
      <c r="M37" s="138"/>
      <c r="N37" s="138"/>
      <c r="O37" s="138"/>
      <c r="P37" s="138"/>
      <c r="Q37" s="138"/>
      <c r="R37" s="138"/>
      <c r="S37" s="138"/>
      <c r="T37" s="138"/>
      <c r="U37" s="9"/>
      <c r="V37" s="9"/>
      <c r="W37" s="9"/>
      <c r="X37" s="9"/>
      <c r="Y37" s="147" t="s">
        <v>10</v>
      </c>
      <c r="Z37" s="114" t="s">
        <v>1338</v>
      </c>
      <c r="AE37">
        <v>100</v>
      </c>
      <c r="AG37" s="114" t="s">
        <v>1351</v>
      </c>
    </row>
    <row r="38" spans="1:37" ht="18.75" thickBot="1" x14ac:dyDescent="0.35">
      <c r="A38" s="141"/>
      <c r="B38" s="141"/>
      <c r="C38" s="141"/>
      <c r="D38" s="143"/>
      <c r="E38" s="1" t="s">
        <v>0</v>
      </c>
      <c r="F38" s="4" t="s">
        <v>11</v>
      </c>
      <c r="G38" s="4" t="s">
        <v>12</v>
      </c>
      <c r="H38" s="4" t="s">
        <v>13</v>
      </c>
      <c r="I38" s="4" t="s">
        <v>14</v>
      </c>
      <c r="J38" s="51" t="s">
        <v>15</v>
      </c>
      <c r="K38" s="51" t="s">
        <v>16</v>
      </c>
      <c r="L38" s="51" t="s">
        <v>6</v>
      </c>
      <c r="M38" s="51" t="s">
        <v>51</v>
      </c>
      <c r="N38" s="51" t="s">
        <v>125</v>
      </c>
      <c r="O38" s="51" t="s">
        <v>126</v>
      </c>
      <c r="P38" s="51" t="s">
        <v>127</v>
      </c>
      <c r="Q38" s="51" t="s">
        <v>53</v>
      </c>
      <c r="R38" s="51" t="s">
        <v>54</v>
      </c>
      <c r="S38" s="51" t="s">
        <v>128</v>
      </c>
      <c r="T38" s="51" t="s">
        <v>129</v>
      </c>
      <c r="U38" s="51" t="s">
        <v>130</v>
      </c>
      <c r="V38" s="4" t="s">
        <v>78</v>
      </c>
      <c r="W38" s="4" t="s">
        <v>131</v>
      </c>
      <c r="X38" s="10" t="s">
        <v>76</v>
      </c>
      <c r="Y38" s="148"/>
      <c r="Z38" s="114" t="s">
        <v>178</v>
      </c>
      <c r="AA38" s="114" t="s">
        <v>179</v>
      </c>
      <c r="AB38" s="114" t="s">
        <v>180</v>
      </c>
      <c r="AC38" s="114" t="s">
        <v>181</v>
      </c>
      <c r="AD38" s="114" t="s">
        <v>182</v>
      </c>
      <c r="AE38" s="115" t="s">
        <v>326</v>
      </c>
      <c r="AG38" s="114" t="s">
        <v>178</v>
      </c>
      <c r="AH38" s="114" t="s">
        <v>179</v>
      </c>
      <c r="AI38" s="114" t="s">
        <v>180</v>
      </c>
      <c r="AJ38" s="114" t="s">
        <v>181</v>
      </c>
      <c r="AK38" s="114" t="s">
        <v>182</v>
      </c>
    </row>
    <row r="39" spans="1:37" x14ac:dyDescent="0.3">
      <c r="A39" s="11">
        <v>1</v>
      </c>
      <c r="B39" s="12" t="s">
        <v>17</v>
      </c>
      <c r="C39" s="12" t="s">
        <v>17</v>
      </c>
      <c r="D39" s="13" t="s">
        <v>18</v>
      </c>
      <c r="E39" s="36">
        <v>45558</v>
      </c>
      <c r="F39" s="15"/>
      <c r="G39" s="13" t="s">
        <v>134</v>
      </c>
      <c r="H39" s="27">
        <v>21.3</v>
      </c>
      <c r="I39" s="27">
        <v>7.95</v>
      </c>
      <c r="J39" s="27">
        <v>8.6199999999999992</v>
      </c>
      <c r="K39" s="76">
        <v>127</v>
      </c>
      <c r="L39" s="56"/>
      <c r="M39" s="53"/>
      <c r="N39" s="53"/>
      <c r="O39" s="53">
        <v>2.032</v>
      </c>
      <c r="P39" s="53"/>
      <c r="Q39" s="53"/>
      <c r="R39" s="53"/>
      <c r="S39" s="53"/>
      <c r="T39" s="53">
        <v>8.7530000000000001</v>
      </c>
      <c r="U39" s="107">
        <v>2.82</v>
      </c>
      <c r="V39" s="107">
        <v>-0.84</v>
      </c>
      <c r="W39" s="53"/>
      <c r="X39" s="53"/>
      <c r="Y39" s="63"/>
      <c r="Z39" s="116">
        <v>20.3</v>
      </c>
      <c r="AA39" s="116">
        <v>6.4</v>
      </c>
      <c r="AB39" s="116">
        <v>14.7</v>
      </c>
      <c r="AC39" s="116">
        <v>0.8</v>
      </c>
      <c r="AD39" s="116">
        <v>57.8</v>
      </c>
      <c r="AE39" s="116">
        <f>SUM(Z39:AD39)</f>
        <v>100</v>
      </c>
      <c r="AG39" s="117">
        <v>9.9000000000000005E-2</v>
      </c>
      <c r="AH39" s="117">
        <v>4.8000000000000001E-2</v>
      </c>
      <c r="AI39" s="117">
        <v>0.121</v>
      </c>
      <c r="AJ39" s="117">
        <v>1.2999999999999999E-2</v>
      </c>
      <c r="AK39" s="117">
        <v>0.16</v>
      </c>
    </row>
    <row r="40" spans="1:37" x14ac:dyDescent="0.3">
      <c r="A40" s="25">
        <v>2</v>
      </c>
      <c r="B40" s="17" t="s">
        <v>17</v>
      </c>
      <c r="C40" s="17" t="s">
        <v>17</v>
      </c>
      <c r="D40" s="18" t="s">
        <v>20</v>
      </c>
      <c r="E40" s="26">
        <v>45558</v>
      </c>
      <c r="F40" s="20"/>
      <c r="G40" s="18" t="s">
        <v>134</v>
      </c>
      <c r="H40" s="28">
        <v>21.8</v>
      </c>
      <c r="I40" s="28">
        <v>7.39</v>
      </c>
      <c r="J40" s="28">
        <v>8.4600000000000009</v>
      </c>
      <c r="K40" s="74">
        <v>138</v>
      </c>
      <c r="L40" s="57"/>
      <c r="M40" s="54"/>
      <c r="N40" s="54"/>
      <c r="O40" s="54">
        <v>2.137</v>
      </c>
      <c r="P40" s="54"/>
      <c r="Q40" s="54"/>
      <c r="R40" s="54"/>
      <c r="S40" s="54"/>
      <c r="T40" s="54">
        <v>8.5760000000000005</v>
      </c>
      <c r="U40" s="108">
        <v>2.78</v>
      </c>
      <c r="V40" s="108">
        <v>-2.58</v>
      </c>
      <c r="W40" s="54"/>
      <c r="X40" s="54"/>
      <c r="Y40" s="64"/>
      <c r="Z40" s="116">
        <v>13.700000000000001</v>
      </c>
      <c r="AA40" s="116">
        <v>4.5999999999999996</v>
      </c>
      <c r="AB40" s="116">
        <v>18.899999999999999</v>
      </c>
      <c r="AC40" s="116">
        <v>0.8</v>
      </c>
      <c r="AD40" s="116">
        <v>62</v>
      </c>
      <c r="AE40" s="116">
        <f t="shared" ref="AE40:AE62" si="4">SUM(Z40:AD40)</f>
        <v>100</v>
      </c>
      <c r="AG40" s="117">
        <v>0.13400000000000001</v>
      </c>
      <c r="AH40" s="117">
        <v>5.6000000000000001E-2</v>
      </c>
      <c r="AI40" s="117">
        <v>0.222</v>
      </c>
      <c r="AJ40" s="117">
        <v>1.9E-2</v>
      </c>
      <c r="AK40" s="117">
        <v>0.255</v>
      </c>
    </row>
    <row r="41" spans="1:37" x14ac:dyDescent="0.3">
      <c r="A41" s="25">
        <v>3</v>
      </c>
      <c r="B41" s="17" t="s">
        <v>17</v>
      </c>
      <c r="C41" s="17" t="s">
        <v>17</v>
      </c>
      <c r="D41" s="18" t="s">
        <v>21</v>
      </c>
      <c r="E41" s="26">
        <v>45558</v>
      </c>
      <c r="F41" s="20"/>
      <c r="G41" s="18" t="s">
        <v>134</v>
      </c>
      <c r="H41" s="28">
        <v>21.9</v>
      </c>
      <c r="I41" s="28">
        <v>7.53</v>
      </c>
      <c r="J41" s="28">
        <v>8.41</v>
      </c>
      <c r="K41" s="74">
        <v>146</v>
      </c>
      <c r="L41" s="57"/>
      <c r="M41" s="54"/>
      <c r="N41" s="54"/>
      <c r="O41" s="54">
        <v>2.1419999999999999</v>
      </c>
      <c r="P41" s="54"/>
      <c r="Q41" s="54"/>
      <c r="R41" s="54"/>
      <c r="S41" s="54"/>
      <c r="T41" s="54">
        <v>8.8390000000000004</v>
      </c>
      <c r="U41" s="109">
        <v>3.38</v>
      </c>
      <c r="V41" s="109">
        <v>-1.92</v>
      </c>
      <c r="W41" s="58"/>
      <c r="X41" s="54"/>
      <c r="Y41" s="64"/>
      <c r="Z41" s="116">
        <v>15</v>
      </c>
      <c r="AA41" s="116">
        <v>5</v>
      </c>
      <c r="AB41" s="116">
        <v>18.3</v>
      </c>
      <c r="AC41" s="116">
        <v>1.0999999999999999</v>
      </c>
      <c r="AD41" s="116">
        <v>60.6</v>
      </c>
      <c r="AE41" s="116">
        <f t="shared" si="4"/>
        <v>100</v>
      </c>
      <c r="AG41" s="117">
        <v>0.14199999999999999</v>
      </c>
      <c r="AH41" s="117">
        <v>5.8999999999999997E-2</v>
      </c>
      <c r="AI41" s="117">
        <v>0.21</v>
      </c>
      <c r="AJ41" s="117">
        <v>2.3E-2</v>
      </c>
      <c r="AK41" s="117">
        <v>0.249</v>
      </c>
    </row>
    <row r="42" spans="1:37" x14ac:dyDescent="0.3">
      <c r="A42" s="25">
        <v>4</v>
      </c>
      <c r="B42" s="17" t="s">
        <v>17</v>
      </c>
      <c r="C42" s="17" t="s">
        <v>17</v>
      </c>
      <c r="D42" s="18" t="s">
        <v>22</v>
      </c>
      <c r="E42" s="26">
        <v>45558</v>
      </c>
      <c r="F42" s="20"/>
      <c r="G42" s="18" t="s">
        <v>134</v>
      </c>
      <c r="H42" s="28">
        <v>23</v>
      </c>
      <c r="I42" s="28">
        <v>7.34</v>
      </c>
      <c r="J42" s="28">
        <v>6.53</v>
      </c>
      <c r="K42" s="74">
        <v>219</v>
      </c>
      <c r="L42" s="57"/>
      <c r="M42" s="54"/>
      <c r="N42" s="54"/>
      <c r="O42" s="54">
        <v>1.7010000000000001</v>
      </c>
      <c r="P42" s="54"/>
      <c r="Q42" s="54"/>
      <c r="R42" s="54"/>
      <c r="S42" s="54"/>
      <c r="T42" s="54">
        <v>13.954000000000001</v>
      </c>
      <c r="U42" s="108">
        <v>4.46</v>
      </c>
      <c r="V42" s="110">
        <v>-2.14</v>
      </c>
      <c r="W42" s="55"/>
      <c r="X42" s="55"/>
      <c r="Y42" s="64"/>
      <c r="Z42" s="116">
        <v>16.600000000000001</v>
      </c>
      <c r="AA42" s="116">
        <v>5.6000000000000005</v>
      </c>
      <c r="AB42" s="116">
        <v>17.399999999999999</v>
      </c>
      <c r="AC42" s="116">
        <v>0.89999999999999991</v>
      </c>
      <c r="AD42" s="116">
        <v>59.5</v>
      </c>
      <c r="AE42" s="116">
        <f t="shared" si="4"/>
        <v>100</v>
      </c>
      <c r="AG42" s="117">
        <v>0.152</v>
      </c>
      <c r="AH42" s="117">
        <v>6.6000000000000003E-2</v>
      </c>
      <c r="AI42" s="117">
        <v>0.193</v>
      </c>
      <c r="AJ42" s="117">
        <v>2.1999999999999999E-2</v>
      </c>
      <c r="AK42" s="117">
        <v>0.24399999999999999</v>
      </c>
    </row>
    <row r="43" spans="1:37" x14ac:dyDescent="0.3">
      <c r="A43" s="41">
        <v>5</v>
      </c>
      <c r="B43" s="42" t="s">
        <v>23</v>
      </c>
      <c r="C43" s="42" t="s">
        <v>23</v>
      </c>
      <c r="D43" s="43" t="s">
        <v>24</v>
      </c>
      <c r="E43" s="44">
        <v>45558</v>
      </c>
      <c r="F43" s="45"/>
      <c r="G43" s="43" t="s">
        <v>134</v>
      </c>
      <c r="H43" s="72">
        <v>20.79</v>
      </c>
      <c r="I43" s="72">
        <v>7.66</v>
      </c>
      <c r="J43" s="72">
        <v>10.26</v>
      </c>
      <c r="K43" s="73">
        <v>84</v>
      </c>
      <c r="L43" s="59"/>
      <c r="M43" s="60"/>
      <c r="N43" s="60"/>
      <c r="O43" s="61">
        <v>1.752</v>
      </c>
      <c r="P43" s="61"/>
      <c r="Q43" s="61"/>
      <c r="R43" s="61"/>
      <c r="S43" s="61"/>
      <c r="T43" s="61">
        <v>7.3540000000000001</v>
      </c>
      <c r="U43" s="111">
        <v>1.98</v>
      </c>
      <c r="V43" s="111">
        <v>2.0499999999999998</v>
      </c>
      <c r="W43" s="61"/>
      <c r="X43" s="61"/>
      <c r="Y43" s="65"/>
      <c r="Z43" s="116">
        <v>13.8</v>
      </c>
      <c r="AA43" s="116">
        <v>5.0999999999999996</v>
      </c>
      <c r="AB43" s="116">
        <v>19</v>
      </c>
      <c r="AC43" s="116">
        <v>1</v>
      </c>
      <c r="AD43" s="116">
        <v>61.1</v>
      </c>
      <c r="AE43" s="116">
        <f t="shared" si="4"/>
        <v>100</v>
      </c>
      <c r="AG43" s="117">
        <v>0.14299999999999999</v>
      </c>
      <c r="AH43" s="117">
        <v>6.4000000000000001E-2</v>
      </c>
      <c r="AI43" s="117">
        <v>0.218</v>
      </c>
      <c r="AJ43" s="117">
        <v>2.3E-2</v>
      </c>
      <c r="AK43" s="117">
        <v>0.253</v>
      </c>
    </row>
    <row r="44" spans="1:37" x14ac:dyDescent="0.3">
      <c r="A44" s="41">
        <v>6</v>
      </c>
      <c r="B44" s="42" t="s">
        <v>23</v>
      </c>
      <c r="C44" s="42" t="s">
        <v>23</v>
      </c>
      <c r="D44" s="43" t="s">
        <v>25</v>
      </c>
      <c r="E44" s="44">
        <v>45558</v>
      </c>
      <c r="F44" s="45"/>
      <c r="G44" s="43" t="s">
        <v>134</v>
      </c>
      <c r="H44" s="72">
        <v>21.45</v>
      </c>
      <c r="I44" s="72">
        <v>7.49</v>
      </c>
      <c r="J44" s="72">
        <v>10.199999999999999</v>
      </c>
      <c r="K44" s="73">
        <v>120</v>
      </c>
      <c r="L44" s="59"/>
      <c r="M44" s="60"/>
      <c r="N44" s="60"/>
      <c r="O44" s="60">
        <v>1.67</v>
      </c>
      <c r="P44" s="60"/>
      <c r="Q44" s="60"/>
      <c r="R44" s="60"/>
      <c r="S44" s="60"/>
      <c r="T44" s="60">
        <v>12.948</v>
      </c>
      <c r="U44" s="112">
        <v>8.43</v>
      </c>
      <c r="V44" s="112">
        <v>0.78</v>
      </c>
      <c r="W44" s="60"/>
      <c r="X44" s="60"/>
      <c r="Y44" s="65"/>
      <c r="Z44" s="116">
        <v>27.800000000000004</v>
      </c>
      <c r="AA44" s="116">
        <v>9.4</v>
      </c>
      <c r="AB44" s="116">
        <v>13</v>
      </c>
      <c r="AC44" s="116">
        <v>1</v>
      </c>
      <c r="AD44" s="116">
        <v>48.8</v>
      </c>
      <c r="AE44" s="116">
        <f t="shared" si="4"/>
        <v>100</v>
      </c>
      <c r="AG44" s="117">
        <v>0.19600000000000001</v>
      </c>
      <c r="AH44" s="117">
        <v>0.109</v>
      </c>
      <c r="AI44" s="117">
        <v>0.13</v>
      </c>
      <c r="AJ44" s="117">
        <v>0.02</v>
      </c>
      <c r="AK44" s="117">
        <v>0.22800000000000001</v>
      </c>
    </row>
    <row r="45" spans="1:37" x14ac:dyDescent="0.3">
      <c r="A45" s="41">
        <v>7</v>
      </c>
      <c r="B45" s="42" t="s">
        <v>23</v>
      </c>
      <c r="C45" s="42" t="s">
        <v>23</v>
      </c>
      <c r="D45" s="43" t="s">
        <v>26</v>
      </c>
      <c r="E45" s="44">
        <v>45558</v>
      </c>
      <c r="F45" s="45"/>
      <c r="G45" s="43" t="s">
        <v>134</v>
      </c>
      <c r="H45" s="72">
        <v>21.76</v>
      </c>
      <c r="I45" s="72">
        <v>7.44</v>
      </c>
      <c r="J45" s="72">
        <v>9.6300000000000008</v>
      </c>
      <c r="K45" s="73">
        <v>144</v>
      </c>
      <c r="L45" s="59"/>
      <c r="M45" s="60"/>
      <c r="N45" s="60"/>
      <c r="O45" s="60">
        <v>1.84</v>
      </c>
      <c r="P45" s="60"/>
      <c r="Q45" s="60"/>
      <c r="R45" s="60"/>
      <c r="S45" s="60"/>
      <c r="T45" s="60">
        <v>14.073</v>
      </c>
      <c r="U45" s="112">
        <v>8.25</v>
      </c>
      <c r="V45" s="112">
        <v>-0.35</v>
      </c>
      <c r="W45" s="60"/>
      <c r="X45" s="60"/>
      <c r="Y45" s="65"/>
      <c r="Z45" s="116">
        <v>26.3</v>
      </c>
      <c r="AA45" s="116">
        <v>8.9</v>
      </c>
      <c r="AB45" s="116">
        <v>12.6</v>
      </c>
      <c r="AC45" s="116">
        <v>1</v>
      </c>
      <c r="AD45" s="116">
        <v>51.2</v>
      </c>
      <c r="AE45" s="116">
        <f t="shared" si="4"/>
        <v>100</v>
      </c>
      <c r="AG45" s="117">
        <v>0.191</v>
      </c>
      <c r="AH45" s="117">
        <v>0.104</v>
      </c>
      <c r="AI45" s="117">
        <v>0.129</v>
      </c>
      <c r="AJ45" s="117">
        <v>2.1999999999999999E-2</v>
      </c>
      <c r="AK45" s="117">
        <v>0.23100000000000001</v>
      </c>
    </row>
    <row r="46" spans="1:37" x14ac:dyDescent="0.3">
      <c r="A46" s="41">
        <v>8</v>
      </c>
      <c r="B46" s="42" t="s">
        <v>23</v>
      </c>
      <c r="C46" s="42" t="s">
        <v>27</v>
      </c>
      <c r="D46" s="43" t="s">
        <v>68</v>
      </c>
      <c r="E46" s="44">
        <v>45558</v>
      </c>
      <c r="F46" s="45"/>
      <c r="G46" s="43" t="s">
        <v>134</v>
      </c>
      <c r="H46" s="72">
        <v>21.59</v>
      </c>
      <c r="I46" s="72">
        <v>7.28</v>
      </c>
      <c r="J46" s="72">
        <v>8.57</v>
      </c>
      <c r="K46" s="73">
        <v>339</v>
      </c>
      <c r="L46" s="59"/>
      <c r="M46" s="60"/>
      <c r="N46" s="60"/>
      <c r="O46" s="60">
        <v>0.70099999999999996</v>
      </c>
      <c r="P46" s="60"/>
      <c r="Q46" s="60"/>
      <c r="R46" s="60"/>
      <c r="S46" s="60"/>
      <c r="T46" s="60">
        <v>30.856000000000002</v>
      </c>
      <c r="U46" s="112">
        <v>12.56</v>
      </c>
      <c r="V46" s="112">
        <v>4.07</v>
      </c>
      <c r="W46" s="60"/>
      <c r="X46" s="60"/>
      <c r="Y46" s="65"/>
      <c r="Z46" s="116">
        <v>41.099999999999994</v>
      </c>
      <c r="AA46" s="116">
        <v>14.7</v>
      </c>
      <c r="AB46" s="116">
        <v>9.9</v>
      </c>
      <c r="AC46" s="116">
        <v>1.0999999999999999</v>
      </c>
      <c r="AD46" s="116">
        <v>33.200000000000003</v>
      </c>
      <c r="AE46" s="118">
        <f t="shared" si="4"/>
        <v>100</v>
      </c>
      <c r="AG46" s="117">
        <v>0.23200000000000001</v>
      </c>
      <c r="AH46" s="117">
        <v>0.16500000000000001</v>
      </c>
      <c r="AI46" s="117">
        <v>0.09</v>
      </c>
      <c r="AJ46" s="117">
        <v>2.1000000000000001E-2</v>
      </c>
      <c r="AK46" s="117">
        <v>0.19900000000000001</v>
      </c>
    </row>
    <row r="47" spans="1:37" x14ac:dyDescent="0.3">
      <c r="A47" s="41">
        <v>9</v>
      </c>
      <c r="B47" s="42" t="s">
        <v>23</v>
      </c>
      <c r="C47" s="42" t="s">
        <v>27</v>
      </c>
      <c r="D47" s="43" t="s">
        <v>30</v>
      </c>
      <c r="E47" s="44">
        <v>45558</v>
      </c>
      <c r="F47" s="45"/>
      <c r="G47" s="43" t="s">
        <v>134</v>
      </c>
      <c r="H47" s="72">
        <v>21.84</v>
      </c>
      <c r="I47" s="72">
        <v>7.29</v>
      </c>
      <c r="J47" s="72">
        <v>8.7100000000000009</v>
      </c>
      <c r="K47" s="73">
        <v>221</v>
      </c>
      <c r="L47" s="59"/>
      <c r="M47" s="60"/>
      <c r="N47" s="60"/>
      <c r="O47" s="60">
        <v>1.857</v>
      </c>
      <c r="P47" s="60"/>
      <c r="Q47" s="60"/>
      <c r="R47" s="60"/>
      <c r="S47" s="60"/>
      <c r="T47" s="60">
        <v>21.363</v>
      </c>
      <c r="U47" s="112">
        <v>7.14</v>
      </c>
      <c r="V47" s="113">
        <v>-2.67</v>
      </c>
      <c r="W47" s="62"/>
      <c r="X47" s="62"/>
      <c r="Y47" s="65"/>
      <c r="Z47" s="116">
        <v>21.4</v>
      </c>
      <c r="AA47" s="116">
        <v>7.3</v>
      </c>
      <c r="AB47" s="116">
        <v>14.099999999999998</v>
      </c>
      <c r="AC47" s="116">
        <v>0.89999999999999991</v>
      </c>
      <c r="AD47" s="116">
        <v>56.3</v>
      </c>
      <c r="AE47" s="116">
        <f t="shared" si="4"/>
        <v>100</v>
      </c>
      <c r="AG47" s="117">
        <v>0.17499999999999999</v>
      </c>
      <c r="AH47" s="117">
        <v>9.0999999999999998E-2</v>
      </c>
      <c r="AI47" s="117">
        <v>0.155</v>
      </c>
      <c r="AJ47" s="117">
        <v>2.1999999999999999E-2</v>
      </c>
      <c r="AK47" s="117">
        <v>0.24399999999999999</v>
      </c>
    </row>
    <row r="48" spans="1:37" x14ac:dyDescent="0.3">
      <c r="A48" s="25">
        <v>10</v>
      </c>
      <c r="B48" s="17" t="s">
        <v>31</v>
      </c>
      <c r="C48" s="17" t="s">
        <v>31</v>
      </c>
      <c r="D48" s="18" t="s">
        <v>32</v>
      </c>
      <c r="E48" s="26">
        <v>45558</v>
      </c>
      <c r="F48" s="20"/>
      <c r="G48" s="18" t="s">
        <v>134</v>
      </c>
      <c r="H48" s="28">
        <v>22.67</v>
      </c>
      <c r="I48" s="28">
        <v>7.61</v>
      </c>
      <c r="J48" s="28">
        <v>7.83</v>
      </c>
      <c r="K48" s="74">
        <v>137.19999999999999</v>
      </c>
      <c r="L48" s="57"/>
      <c r="M48" s="54"/>
      <c r="N48" s="54"/>
      <c r="O48" s="58">
        <v>2.1589999999999998</v>
      </c>
      <c r="P48" s="58"/>
      <c r="Q48" s="58"/>
      <c r="R48" s="58"/>
      <c r="S48" s="58"/>
      <c r="T48" s="58">
        <v>5.758</v>
      </c>
      <c r="U48" s="109">
        <v>4.8</v>
      </c>
      <c r="V48" s="109">
        <v>-0.72</v>
      </c>
      <c r="W48" s="58"/>
      <c r="X48" s="58"/>
      <c r="Y48" s="64"/>
      <c r="Z48" s="116">
        <v>18.099999999999998</v>
      </c>
      <c r="AA48" s="116">
        <v>6.2</v>
      </c>
      <c r="AB48" s="116">
        <v>17.299999999999997</v>
      </c>
      <c r="AC48" s="116">
        <v>1</v>
      </c>
      <c r="AD48" s="116">
        <v>57.4</v>
      </c>
      <c r="AE48" s="116">
        <f t="shared" si="4"/>
        <v>100</v>
      </c>
      <c r="AG48" s="117">
        <v>0.154</v>
      </c>
      <c r="AH48" s="117">
        <v>7.1999999999999995E-2</v>
      </c>
      <c r="AI48" s="117">
        <v>0.189</v>
      </c>
      <c r="AJ48" s="117">
        <v>2.1000000000000001E-2</v>
      </c>
      <c r="AK48" s="117">
        <v>0.23899999999999999</v>
      </c>
    </row>
    <row r="49" spans="1:37" x14ac:dyDescent="0.3">
      <c r="A49" s="25">
        <v>11</v>
      </c>
      <c r="B49" s="17" t="s">
        <v>31</v>
      </c>
      <c r="C49" s="17" t="s">
        <v>31</v>
      </c>
      <c r="D49" s="18" t="s">
        <v>69</v>
      </c>
      <c r="E49" s="26">
        <v>45558</v>
      </c>
      <c r="F49" s="20"/>
      <c r="G49" s="18" t="s">
        <v>134</v>
      </c>
      <c r="H49" s="28">
        <v>22.91</v>
      </c>
      <c r="I49" s="28">
        <v>7.07</v>
      </c>
      <c r="J49" s="28">
        <v>8.25</v>
      </c>
      <c r="K49" s="74">
        <v>127.6</v>
      </c>
      <c r="L49" s="57"/>
      <c r="M49" s="54"/>
      <c r="N49" s="54"/>
      <c r="O49" s="54">
        <v>2.1850000000000001</v>
      </c>
      <c r="P49" s="54"/>
      <c r="Q49" s="54"/>
      <c r="R49" s="54"/>
      <c r="S49" s="54"/>
      <c r="T49" s="54">
        <v>5.5590000000000002</v>
      </c>
      <c r="U49" s="108">
        <v>5.13</v>
      </c>
      <c r="V49" s="108">
        <v>-0.4</v>
      </c>
      <c r="W49" s="54"/>
      <c r="X49" s="54"/>
      <c r="Y49" s="64"/>
      <c r="Z49" s="116">
        <v>18.899999999999999</v>
      </c>
      <c r="AA49" s="116">
        <v>6.3</v>
      </c>
      <c r="AB49" s="116">
        <v>17.2</v>
      </c>
      <c r="AC49" s="116">
        <v>1</v>
      </c>
      <c r="AD49" s="116">
        <v>56.599999999999994</v>
      </c>
      <c r="AE49" s="116">
        <f t="shared" si="4"/>
        <v>100</v>
      </c>
      <c r="AG49" s="117">
        <v>0.157</v>
      </c>
      <c r="AH49" s="117">
        <v>7.1999999999999995E-2</v>
      </c>
      <c r="AI49" s="117">
        <v>0.185</v>
      </c>
      <c r="AJ49" s="117">
        <v>2.5999999999999999E-2</v>
      </c>
      <c r="AK49" s="117">
        <v>0.23799999999999999</v>
      </c>
    </row>
    <row r="50" spans="1:37" x14ac:dyDescent="0.3">
      <c r="A50" s="25">
        <v>12</v>
      </c>
      <c r="B50" s="17" t="s">
        <v>31</v>
      </c>
      <c r="C50" s="17" t="s">
        <v>31</v>
      </c>
      <c r="D50" s="18" t="s">
        <v>34</v>
      </c>
      <c r="E50" s="26">
        <v>45558</v>
      </c>
      <c r="F50" s="20"/>
      <c r="G50" s="18" t="s">
        <v>134</v>
      </c>
      <c r="H50" s="28">
        <v>23.08</v>
      </c>
      <c r="I50" s="28">
        <v>7.06</v>
      </c>
      <c r="J50" s="28">
        <v>8.19</v>
      </c>
      <c r="K50" s="74">
        <v>129.5</v>
      </c>
      <c r="L50" s="57"/>
      <c r="M50" s="54"/>
      <c r="N50" s="54"/>
      <c r="O50" s="54">
        <v>2.1640000000000001</v>
      </c>
      <c r="P50" s="54"/>
      <c r="Q50" s="54"/>
      <c r="R50" s="54"/>
      <c r="S50" s="54"/>
      <c r="T50" s="54">
        <v>5.7969999999999997</v>
      </c>
      <c r="U50" s="108">
        <v>4.9400000000000004</v>
      </c>
      <c r="V50" s="108">
        <v>-0.57999999999999996</v>
      </c>
      <c r="W50" s="54"/>
      <c r="X50" s="54"/>
      <c r="Y50" s="64"/>
      <c r="Z50" s="116">
        <v>18.2</v>
      </c>
      <c r="AA50" s="116">
        <v>6.3</v>
      </c>
      <c r="AB50" s="116">
        <v>17.2</v>
      </c>
      <c r="AC50" s="116">
        <v>1</v>
      </c>
      <c r="AD50" s="116">
        <v>57.3</v>
      </c>
      <c r="AE50" s="116">
        <f t="shared" si="4"/>
        <v>100</v>
      </c>
      <c r="AG50" s="117">
        <v>0.156</v>
      </c>
      <c r="AH50" s="117">
        <v>7.2999999999999995E-2</v>
      </c>
      <c r="AI50" s="117">
        <v>0.186</v>
      </c>
      <c r="AJ50" s="117">
        <v>2.3E-2</v>
      </c>
      <c r="AK50" s="117">
        <v>0.23799999999999999</v>
      </c>
    </row>
    <row r="51" spans="1:37" x14ac:dyDescent="0.3">
      <c r="A51" s="25">
        <v>13</v>
      </c>
      <c r="B51" s="17" t="s">
        <v>31</v>
      </c>
      <c r="C51" s="17" t="s">
        <v>35</v>
      </c>
      <c r="D51" s="18" t="s">
        <v>36</v>
      </c>
      <c r="E51" s="26">
        <v>45558</v>
      </c>
      <c r="F51" s="20"/>
      <c r="G51" s="18" t="s">
        <v>81</v>
      </c>
      <c r="H51" s="28">
        <v>22.77</v>
      </c>
      <c r="I51" s="28">
        <v>6.66</v>
      </c>
      <c r="J51" s="28">
        <v>7</v>
      </c>
      <c r="K51" s="74">
        <v>186.2</v>
      </c>
      <c r="L51" s="57"/>
      <c r="M51" s="54"/>
      <c r="N51" s="54"/>
      <c r="O51" s="54">
        <v>3.5609999999999999</v>
      </c>
      <c r="P51" s="54"/>
      <c r="Q51" s="54"/>
      <c r="R51" s="54"/>
      <c r="S51" s="54"/>
      <c r="T51" s="54">
        <v>9.6140000000000008</v>
      </c>
      <c r="U51" s="108">
        <v>7.83</v>
      </c>
      <c r="V51" s="108">
        <v>0.59</v>
      </c>
      <c r="W51" s="54"/>
      <c r="X51" s="54"/>
      <c r="Y51" s="64"/>
      <c r="Z51" s="116">
        <v>26</v>
      </c>
      <c r="AA51" s="116">
        <v>8.9</v>
      </c>
      <c r="AB51" s="116">
        <v>13.700000000000001</v>
      </c>
      <c r="AC51" s="116">
        <v>1</v>
      </c>
      <c r="AD51" s="116">
        <v>50.4</v>
      </c>
      <c r="AE51" s="116">
        <f t="shared" si="4"/>
        <v>100</v>
      </c>
      <c r="AG51" s="117">
        <v>0.187</v>
      </c>
      <c r="AH51" s="117">
        <v>0.10199999999999999</v>
      </c>
      <c r="AI51" s="117">
        <v>0.13600000000000001</v>
      </c>
      <c r="AJ51" s="117">
        <v>2.1999999999999999E-2</v>
      </c>
      <c r="AK51" s="117">
        <v>0.23100000000000001</v>
      </c>
    </row>
    <row r="52" spans="1:37" x14ac:dyDescent="0.3">
      <c r="A52" s="25">
        <v>14</v>
      </c>
      <c r="B52" s="17" t="s">
        <v>31</v>
      </c>
      <c r="C52" s="17" t="s">
        <v>5</v>
      </c>
      <c r="D52" s="18" t="s">
        <v>29</v>
      </c>
      <c r="E52" s="26">
        <v>45558</v>
      </c>
      <c r="F52" s="20"/>
      <c r="G52" s="18" t="s">
        <v>81</v>
      </c>
      <c r="H52" s="28">
        <v>23.64</v>
      </c>
      <c r="I52" s="28">
        <v>6.72</v>
      </c>
      <c r="J52" s="28">
        <v>8.16</v>
      </c>
      <c r="K52" s="74">
        <v>175.1</v>
      </c>
      <c r="L52" s="57"/>
      <c r="M52" s="54"/>
      <c r="N52" s="54"/>
      <c r="O52" s="54">
        <v>1.7789999999999999</v>
      </c>
      <c r="P52" s="54"/>
      <c r="Q52" s="54"/>
      <c r="R52" s="54"/>
      <c r="S52" s="54"/>
      <c r="T52" s="54">
        <v>11.368</v>
      </c>
      <c r="U52" s="108">
        <v>6.56</v>
      </c>
      <c r="V52" s="108">
        <v>0.87</v>
      </c>
      <c r="W52" s="54"/>
      <c r="X52" s="54"/>
      <c r="Y52" s="64"/>
      <c r="Z52" s="116">
        <v>23.1</v>
      </c>
      <c r="AA52" s="116">
        <v>7.8</v>
      </c>
      <c r="AB52" s="116">
        <v>14.899999999999999</v>
      </c>
      <c r="AC52" s="116">
        <v>1</v>
      </c>
      <c r="AD52" s="116">
        <v>53.2</v>
      </c>
      <c r="AE52" s="116">
        <f t="shared" si="4"/>
        <v>100</v>
      </c>
      <c r="AG52" s="117">
        <v>0.17899999999999999</v>
      </c>
      <c r="AH52" s="117">
        <v>9.0999999999999998E-2</v>
      </c>
      <c r="AI52" s="117">
        <v>0.153</v>
      </c>
      <c r="AJ52" s="117">
        <v>2.5000000000000001E-2</v>
      </c>
      <c r="AK52" s="117">
        <v>0.23300000000000001</v>
      </c>
    </row>
    <row r="53" spans="1:37" x14ac:dyDescent="0.3">
      <c r="A53" s="25">
        <v>15</v>
      </c>
      <c r="B53" s="17" t="s">
        <v>31</v>
      </c>
      <c r="C53" s="17" t="s">
        <v>35</v>
      </c>
      <c r="D53" s="18" t="s">
        <v>29</v>
      </c>
      <c r="E53" s="26">
        <v>45558</v>
      </c>
      <c r="F53" s="20"/>
      <c r="G53" s="18" t="s">
        <v>81</v>
      </c>
      <c r="H53" s="28">
        <v>23.04</v>
      </c>
      <c r="I53" s="28">
        <v>6.58</v>
      </c>
      <c r="J53" s="28">
        <v>6.6</v>
      </c>
      <c r="K53" s="74">
        <v>183.5</v>
      </c>
      <c r="L53" s="57"/>
      <c r="M53" s="54"/>
      <c r="N53" s="54"/>
      <c r="O53" s="54">
        <v>3.331</v>
      </c>
      <c r="P53" s="54"/>
      <c r="Q53" s="54"/>
      <c r="R53" s="54"/>
      <c r="S53" s="54"/>
      <c r="T53" s="54">
        <v>8.9570000000000007</v>
      </c>
      <c r="U53" s="108">
        <v>8.2100000000000009</v>
      </c>
      <c r="V53" s="110">
        <v>1.84</v>
      </c>
      <c r="W53" s="55"/>
      <c r="X53" s="55"/>
      <c r="Y53" s="64"/>
      <c r="Z53" s="116">
        <v>28.199999999999996</v>
      </c>
      <c r="AA53" s="116">
        <v>9.6</v>
      </c>
      <c r="AB53" s="116">
        <v>12.9</v>
      </c>
      <c r="AC53" s="116">
        <v>1.0999999999999999</v>
      </c>
      <c r="AD53" s="116">
        <v>48.199999999999996</v>
      </c>
      <c r="AE53" s="116">
        <f t="shared" si="4"/>
        <v>100</v>
      </c>
      <c r="AG53" s="117">
        <v>0.19800000000000001</v>
      </c>
      <c r="AH53" s="117">
        <v>0.11</v>
      </c>
      <c r="AI53" s="117">
        <v>0.128</v>
      </c>
      <c r="AJ53" s="117">
        <v>2.1999999999999999E-2</v>
      </c>
      <c r="AK53" s="117">
        <v>0.23</v>
      </c>
    </row>
    <row r="54" spans="1:37" x14ac:dyDescent="0.3">
      <c r="A54" s="41">
        <v>16</v>
      </c>
      <c r="B54" s="42" t="s">
        <v>38</v>
      </c>
      <c r="C54" s="42" t="s">
        <v>38</v>
      </c>
      <c r="D54" s="43" t="s">
        <v>39</v>
      </c>
      <c r="E54" s="44">
        <v>45558</v>
      </c>
      <c r="F54" s="45"/>
      <c r="G54" s="43" t="s">
        <v>81</v>
      </c>
      <c r="H54" s="72">
        <v>23.98</v>
      </c>
      <c r="I54" s="72">
        <v>7.05</v>
      </c>
      <c r="J54" s="72">
        <v>7.93</v>
      </c>
      <c r="K54" s="73">
        <v>141.9</v>
      </c>
      <c r="L54" s="59"/>
      <c r="M54" s="60"/>
      <c r="N54" s="60"/>
      <c r="O54" s="61">
        <v>2.0390000000000001</v>
      </c>
      <c r="P54" s="61"/>
      <c r="Q54" s="61"/>
      <c r="R54" s="61"/>
      <c r="S54" s="61"/>
      <c r="T54" s="61">
        <v>7.2519999999999998</v>
      </c>
      <c r="U54" s="111">
        <v>5.64</v>
      </c>
      <c r="V54" s="111">
        <v>1.92</v>
      </c>
      <c r="W54" s="61"/>
      <c r="X54" s="61"/>
      <c r="Y54" s="65"/>
      <c r="Z54" s="116">
        <v>21.099999999999998</v>
      </c>
      <c r="AA54" s="116">
        <v>7.5</v>
      </c>
      <c r="AB54" s="116">
        <v>16.400000000000002</v>
      </c>
      <c r="AC54" s="116">
        <v>1</v>
      </c>
      <c r="AD54" s="116">
        <v>54</v>
      </c>
      <c r="AE54" s="116">
        <f t="shared" si="4"/>
        <v>100</v>
      </c>
      <c r="AG54" s="117">
        <v>0.17100000000000001</v>
      </c>
      <c r="AH54" s="117">
        <v>8.5999999999999993E-2</v>
      </c>
      <c r="AI54" s="117">
        <v>0.16800000000000001</v>
      </c>
      <c r="AJ54" s="117">
        <v>2.1000000000000001E-2</v>
      </c>
      <c r="AK54" s="117">
        <v>0.23400000000000001</v>
      </c>
    </row>
    <row r="55" spans="1:37" x14ac:dyDescent="0.3">
      <c r="A55" s="41">
        <v>17</v>
      </c>
      <c r="B55" s="42" t="s">
        <v>38</v>
      </c>
      <c r="C55" s="42" t="s">
        <v>38</v>
      </c>
      <c r="D55" s="43" t="s">
        <v>41</v>
      </c>
      <c r="E55" s="44">
        <v>45558</v>
      </c>
      <c r="F55" s="45"/>
      <c r="G55" s="43" t="s">
        <v>81</v>
      </c>
      <c r="H55" s="72">
        <v>24.82</v>
      </c>
      <c r="I55" s="72">
        <v>7.65</v>
      </c>
      <c r="J55" s="72">
        <v>7.92</v>
      </c>
      <c r="K55" s="73">
        <v>193.3</v>
      </c>
      <c r="L55" s="59"/>
      <c r="M55" s="60"/>
      <c r="N55" s="60"/>
      <c r="O55" s="60">
        <v>2.0710000000000002</v>
      </c>
      <c r="P55" s="60"/>
      <c r="Q55" s="60"/>
      <c r="R55" s="60"/>
      <c r="S55" s="60"/>
      <c r="T55" s="60">
        <v>12.406000000000001</v>
      </c>
      <c r="U55" s="112">
        <v>8</v>
      </c>
      <c r="V55" s="112">
        <v>2.11</v>
      </c>
      <c r="W55" s="60"/>
      <c r="X55" s="60"/>
      <c r="Y55" s="65"/>
      <c r="Z55" s="116">
        <v>27.400000000000002</v>
      </c>
      <c r="AA55" s="116">
        <v>9.3000000000000007</v>
      </c>
      <c r="AB55" s="116">
        <v>13.3</v>
      </c>
      <c r="AC55" s="116">
        <v>1</v>
      </c>
      <c r="AD55" s="116">
        <v>49</v>
      </c>
      <c r="AE55" s="116">
        <f t="shared" si="4"/>
        <v>100</v>
      </c>
      <c r="AG55" s="117">
        <v>0.193</v>
      </c>
      <c r="AH55" s="117">
        <v>0.106</v>
      </c>
      <c r="AI55" s="117">
        <v>0.13100000000000001</v>
      </c>
      <c r="AJ55" s="117">
        <v>1.7999999999999999E-2</v>
      </c>
      <c r="AK55" s="117">
        <v>0.23</v>
      </c>
    </row>
    <row r="56" spans="1:37" x14ac:dyDescent="0.3">
      <c r="A56" s="41">
        <v>18</v>
      </c>
      <c r="B56" s="42" t="s">
        <v>38</v>
      </c>
      <c r="C56" s="42" t="s">
        <v>38</v>
      </c>
      <c r="D56" s="43" t="s">
        <v>42</v>
      </c>
      <c r="E56" s="44">
        <v>45558</v>
      </c>
      <c r="F56" s="45"/>
      <c r="G56" s="43" t="s">
        <v>81</v>
      </c>
      <c r="H56" s="72">
        <v>24.52</v>
      </c>
      <c r="I56" s="72">
        <v>7.51</v>
      </c>
      <c r="J56" s="72">
        <v>7.4</v>
      </c>
      <c r="K56" s="73">
        <v>208.7</v>
      </c>
      <c r="L56" s="59"/>
      <c r="M56" s="60"/>
      <c r="N56" s="60"/>
      <c r="O56" s="60">
        <v>1.972</v>
      </c>
      <c r="P56" s="60"/>
      <c r="Q56" s="60"/>
      <c r="R56" s="60"/>
      <c r="S56" s="60"/>
      <c r="T56" s="60">
        <v>13.935</v>
      </c>
      <c r="U56" s="112">
        <v>8.16</v>
      </c>
      <c r="V56" s="112">
        <v>1.79</v>
      </c>
      <c r="W56" s="60"/>
      <c r="X56" s="60"/>
      <c r="Y56" s="65"/>
      <c r="Z56" s="116">
        <v>27.200000000000003</v>
      </c>
      <c r="AA56" s="116">
        <v>9.3000000000000007</v>
      </c>
      <c r="AB56" s="116">
        <v>13.3</v>
      </c>
      <c r="AC56" s="116">
        <v>1</v>
      </c>
      <c r="AD56" s="116">
        <v>49.2</v>
      </c>
      <c r="AE56" s="116">
        <f t="shared" si="4"/>
        <v>100</v>
      </c>
      <c r="AG56" s="117">
        <v>0.192</v>
      </c>
      <c r="AH56" s="117">
        <v>0.106</v>
      </c>
      <c r="AI56" s="117">
        <v>0.13200000000000001</v>
      </c>
      <c r="AJ56" s="117">
        <v>0.02</v>
      </c>
      <c r="AK56" s="117">
        <v>0.23100000000000001</v>
      </c>
    </row>
    <row r="57" spans="1:37" x14ac:dyDescent="0.3">
      <c r="A57" s="41">
        <v>19</v>
      </c>
      <c r="B57" s="42" t="s">
        <v>38</v>
      </c>
      <c r="C57" s="42" t="s">
        <v>43</v>
      </c>
      <c r="D57" s="43" t="s">
        <v>40</v>
      </c>
      <c r="E57" s="44">
        <v>45558</v>
      </c>
      <c r="F57" s="45"/>
      <c r="G57" s="43" t="s">
        <v>81</v>
      </c>
      <c r="H57" s="72">
        <v>25.86</v>
      </c>
      <c r="I57" s="72">
        <v>7.46</v>
      </c>
      <c r="J57" s="72">
        <v>6.9</v>
      </c>
      <c r="K57" s="73">
        <v>309.10000000000002</v>
      </c>
      <c r="L57" s="59"/>
      <c r="M57" s="60"/>
      <c r="N57" s="60"/>
      <c r="O57" s="60">
        <v>2.605</v>
      </c>
      <c r="P57" s="60"/>
      <c r="Q57" s="60"/>
      <c r="R57" s="60"/>
      <c r="S57" s="60"/>
      <c r="T57" s="60">
        <v>30.437000000000001</v>
      </c>
      <c r="U57" s="112">
        <v>9.75</v>
      </c>
      <c r="V57" s="112">
        <v>1.59</v>
      </c>
      <c r="W57" s="60"/>
      <c r="X57" s="60"/>
      <c r="Y57" s="65"/>
      <c r="Z57" s="116">
        <v>31.900000000000002</v>
      </c>
      <c r="AA57" s="116">
        <v>11.1</v>
      </c>
      <c r="AB57" s="116">
        <v>11.899999999999999</v>
      </c>
      <c r="AC57" s="116">
        <v>0.89999999999999991</v>
      </c>
      <c r="AD57" s="116">
        <v>44.2</v>
      </c>
      <c r="AE57" s="116">
        <f t="shared" si="4"/>
        <v>100</v>
      </c>
      <c r="AG57" s="117">
        <v>0.20399999999999999</v>
      </c>
      <c r="AH57" s="117">
        <v>0.125</v>
      </c>
      <c r="AI57" s="117">
        <v>0.113</v>
      </c>
      <c r="AJ57" s="117">
        <v>1.7999999999999999E-2</v>
      </c>
      <c r="AK57" s="117">
        <v>0.222</v>
      </c>
    </row>
    <row r="58" spans="1:37" x14ac:dyDescent="0.3">
      <c r="A58" s="41">
        <v>20</v>
      </c>
      <c r="B58" s="42" t="s">
        <v>38</v>
      </c>
      <c r="C58" s="42" t="s">
        <v>43</v>
      </c>
      <c r="D58" s="43" t="s">
        <v>44</v>
      </c>
      <c r="E58" s="44">
        <v>45558</v>
      </c>
      <c r="F58" s="45"/>
      <c r="G58" s="43" t="s">
        <v>81</v>
      </c>
      <c r="H58" s="72">
        <v>24.21</v>
      </c>
      <c r="I58" s="72">
        <v>7.08</v>
      </c>
      <c r="J58" s="72">
        <v>7.84</v>
      </c>
      <c r="K58" s="73">
        <v>274.8</v>
      </c>
      <c r="L58" s="59"/>
      <c r="M58" s="60"/>
      <c r="N58" s="60"/>
      <c r="O58" s="60">
        <v>1.569</v>
      </c>
      <c r="P58" s="60"/>
      <c r="Q58" s="60"/>
      <c r="R58" s="60"/>
      <c r="S58" s="60"/>
      <c r="T58" s="60">
        <v>21.135999999999999</v>
      </c>
      <c r="U58" s="113">
        <v>9.39</v>
      </c>
      <c r="V58" s="113">
        <v>2.5</v>
      </c>
      <c r="W58" s="62"/>
      <c r="X58" s="62"/>
      <c r="Y58" s="65"/>
      <c r="Z58" s="116">
        <v>31.1</v>
      </c>
      <c r="AA58" s="116">
        <v>11</v>
      </c>
      <c r="AB58" s="116">
        <v>12.1</v>
      </c>
      <c r="AC58" s="116">
        <v>1.0999999999999999</v>
      </c>
      <c r="AD58" s="116">
        <v>44.7</v>
      </c>
      <c r="AE58" s="118">
        <f t="shared" si="4"/>
        <v>100</v>
      </c>
      <c r="AG58" s="117">
        <v>0.20399999999999999</v>
      </c>
      <c r="AH58" s="117">
        <v>0.123</v>
      </c>
      <c r="AI58" s="117">
        <v>0.115</v>
      </c>
      <c r="AJ58" s="117">
        <v>2.1000000000000001E-2</v>
      </c>
      <c r="AK58" s="117">
        <v>0.22500000000000001</v>
      </c>
    </row>
    <row r="59" spans="1:37" x14ac:dyDescent="0.3">
      <c r="A59" s="25">
        <v>21</v>
      </c>
      <c r="B59" s="17" t="s">
        <v>45</v>
      </c>
      <c r="C59" s="17" t="s">
        <v>45</v>
      </c>
      <c r="D59" s="18" t="s">
        <v>46</v>
      </c>
      <c r="E59" s="26">
        <v>45558</v>
      </c>
      <c r="F59" s="20"/>
      <c r="G59" s="18" t="s">
        <v>81</v>
      </c>
      <c r="H59" s="28">
        <v>21.7</v>
      </c>
      <c r="I59" s="28">
        <v>8.42</v>
      </c>
      <c r="J59" s="28">
        <v>10.36</v>
      </c>
      <c r="K59" s="74">
        <v>104</v>
      </c>
      <c r="L59" s="57"/>
      <c r="M59" s="54"/>
      <c r="N59" s="54"/>
      <c r="O59" s="58">
        <v>2.0310000000000001</v>
      </c>
      <c r="P59" s="58"/>
      <c r="Q59" s="58"/>
      <c r="R59" s="58"/>
      <c r="S59" s="58"/>
      <c r="T59" s="58">
        <v>5.9089999999999998</v>
      </c>
      <c r="U59" s="109">
        <v>2.19</v>
      </c>
      <c r="V59" s="109">
        <v>-0.53</v>
      </c>
      <c r="W59" s="58"/>
      <c r="X59" s="58"/>
      <c r="Y59" s="64"/>
      <c r="Z59" s="116">
        <v>13.4</v>
      </c>
      <c r="AA59" s="116">
        <v>4.7</v>
      </c>
      <c r="AB59" s="116">
        <v>19.2</v>
      </c>
      <c r="AC59" s="116">
        <v>0.89999999999999991</v>
      </c>
      <c r="AD59" s="116">
        <v>61.8</v>
      </c>
      <c r="AE59" s="116">
        <f t="shared" si="4"/>
        <v>100</v>
      </c>
      <c r="AG59" s="117">
        <v>0.13400000000000001</v>
      </c>
      <c r="AH59" s="117">
        <v>0.06</v>
      </c>
      <c r="AI59" s="117">
        <v>0.221</v>
      </c>
      <c r="AJ59" s="117">
        <v>2.1000000000000001E-2</v>
      </c>
      <c r="AK59" s="117">
        <v>0.253</v>
      </c>
    </row>
    <row r="60" spans="1:37" x14ac:dyDescent="0.3">
      <c r="A60" s="25">
        <v>22</v>
      </c>
      <c r="B60" s="17" t="s">
        <v>45</v>
      </c>
      <c r="C60" s="17" t="s">
        <v>45</v>
      </c>
      <c r="D60" s="22" t="s">
        <v>47</v>
      </c>
      <c r="E60" s="26">
        <v>45558</v>
      </c>
      <c r="F60" s="23"/>
      <c r="G60" s="18" t="s">
        <v>81</v>
      </c>
      <c r="H60" s="28">
        <v>20.96</v>
      </c>
      <c r="I60" s="28">
        <v>7.9</v>
      </c>
      <c r="J60" s="28">
        <v>10.15</v>
      </c>
      <c r="K60" s="74">
        <v>101</v>
      </c>
      <c r="L60" s="57"/>
      <c r="M60" s="55"/>
      <c r="N60" s="55"/>
      <c r="O60" s="55">
        <v>2.3380000000000001</v>
      </c>
      <c r="P60" s="55"/>
      <c r="Q60" s="55"/>
      <c r="R60" s="55"/>
      <c r="S60" s="55"/>
      <c r="T60" s="55">
        <v>7.3620000000000001</v>
      </c>
      <c r="U60" s="110">
        <v>4.6100000000000003</v>
      </c>
      <c r="V60" s="110">
        <v>-0.06</v>
      </c>
      <c r="W60" s="55"/>
      <c r="X60" s="55"/>
      <c r="Y60" s="66"/>
      <c r="Z60" s="116">
        <v>18.399999999999999</v>
      </c>
      <c r="AA60" s="116">
        <v>6.2</v>
      </c>
      <c r="AB60" s="116">
        <v>17.2</v>
      </c>
      <c r="AC60" s="116">
        <v>0.89999999999999991</v>
      </c>
      <c r="AD60" s="116">
        <v>57.3</v>
      </c>
      <c r="AE60" s="116">
        <f t="shared" si="4"/>
        <v>100</v>
      </c>
      <c r="AG60" s="117">
        <v>0.16</v>
      </c>
      <c r="AH60" s="117">
        <v>7.2999999999999995E-2</v>
      </c>
      <c r="AI60" s="117">
        <v>0.186</v>
      </c>
      <c r="AJ60" s="117">
        <v>1.7999999999999999E-2</v>
      </c>
      <c r="AK60" s="117">
        <v>0.23799999999999999</v>
      </c>
    </row>
    <row r="61" spans="1:37" x14ac:dyDescent="0.3">
      <c r="A61" s="25">
        <v>23</v>
      </c>
      <c r="B61" s="17" t="s">
        <v>45</v>
      </c>
      <c r="C61" s="17" t="s">
        <v>45</v>
      </c>
      <c r="D61" s="22" t="s">
        <v>29</v>
      </c>
      <c r="E61" s="26">
        <v>45558</v>
      </c>
      <c r="F61" s="23"/>
      <c r="G61" s="18" t="s">
        <v>81</v>
      </c>
      <c r="H61" s="75">
        <v>21.12</v>
      </c>
      <c r="I61" s="75">
        <v>7.79</v>
      </c>
      <c r="J61" s="75">
        <v>10.23</v>
      </c>
      <c r="K61" s="77">
        <v>97</v>
      </c>
      <c r="L61" s="57"/>
      <c r="M61" s="55"/>
      <c r="N61" s="55"/>
      <c r="O61" s="55">
        <v>2.2559999999999998</v>
      </c>
      <c r="P61" s="55"/>
      <c r="Q61" s="55"/>
      <c r="R61" s="55"/>
      <c r="S61" s="55"/>
      <c r="T61" s="55">
        <v>7.5640000000000001</v>
      </c>
      <c r="U61" s="110">
        <v>3.61</v>
      </c>
      <c r="V61" s="110">
        <v>-2.4700000000000002</v>
      </c>
      <c r="W61" s="55"/>
      <c r="X61" s="55"/>
      <c r="Y61" s="66"/>
      <c r="Z61" s="116">
        <v>14.299999999999999</v>
      </c>
      <c r="AA61" s="116">
        <v>5.2</v>
      </c>
      <c r="AB61" s="116">
        <v>18</v>
      </c>
      <c r="AC61" s="116">
        <v>0.89999999999999991</v>
      </c>
      <c r="AD61" s="116">
        <v>61.6</v>
      </c>
      <c r="AE61" s="116">
        <f t="shared" si="4"/>
        <v>100</v>
      </c>
      <c r="AG61" s="117">
        <v>0.13500000000000001</v>
      </c>
      <c r="AH61" s="117">
        <v>6.3E-2</v>
      </c>
      <c r="AI61" s="117">
        <v>0.20699999999999999</v>
      </c>
      <c r="AJ61" s="117">
        <v>2.3E-2</v>
      </c>
      <c r="AK61" s="117">
        <v>0.247</v>
      </c>
    </row>
    <row r="62" spans="1:37" x14ac:dyDescent="0.3">
      <c r="A62" s="25">
        <v>24</v>
      </c>
      <c r="B62" s="17" t="s">
        <v>45</v>
      </c>
      <c r="C62" s="17" t="s">
        <v>45</v>
      </c>
      <c r="D62" s="18" t="s">
        <v>48</v>
      </c>
      <c r="E62" s="26">
        <v>45558</v>
      </c>
      <c r="F62" s="20"/>
      <c r="G62" s="18" t="s">
        <v>134</v>
      </c>
      <c r="H62" s="28">
        <v>21.15</v>
      </c>
      <c r="I62" s="28">
        <v>7.79</v>
      </c>
      <c r="J62" s="28">
        <v>10.44</v>
      </c>
      <c r="K62" s="74">
        <v>99</v>
      </c>
      <c r="L62" s="57"/>
      <c r="M62" s="54"/>
      <c r="N62" s="54"/>
      <c r="O62" s="54">
        <v>2.2269999999999999</v>
      </c>
      <c r="P62" s="54"/>
      <c r="Q62" s="54"/>
      <c r="R62" s="54"/>
      <c r="S62" s="54"/>
      <c r="T62" s="54">
        <v>7.851</v>
      </c>
      <c r="U62" s="108">
        <v>5.78</v>
      </c>
      <c r="V62" s="108">
        <v>1.18</v>
      </c>
      <c r="W62" s="54"/>
      <c r="X62" s="54"/>
      <c r="Y62" s="64"/>
      <c r="Z62" s="116">
        <v>20.9</v>
      </c>
      <c r="AA62" s="116">
        <v>7.3</v>
      </c>
      <c r="AB62" s="116">
        <v>16.100000000000001</v>
      </c>
      <c r="AC62" s="116">
        <v>1</v>
      </c>
      <c r="AD62" s="116">
        <v>54.7</v>
      </c>
      <c r="AE62" s="116">
        <f t="shared" si="4"/>
        <v>100</v>
      </c>
      <c r="AG62" s="117">
        <v>0.16600000000000001</v>
      </c>
      <c r="AH62" s="117">
        <v>8.7999999999999995E-2</v>
      </c>
      <c r="AI62" s="117">
        <v>0.16700000000000001</v>
      </c>
      <c r="AJ62" s="117">
        <v>2.3E-2</v>
      </c>
      <c r="AK62" s="117">
        <v>0.23100000000000001</v>
      </c>
    </row>
    <row r="67" spans="1:45" x14ac:dyDescent="0.3">
      <c r="AJ67" s="134" t="s">
        <v>1353</v>
      </c>
      <c r="AS67" t="s">
        <v>1354</v>
      </c>
    </row>
    <row r="68" spans="1:45" ht="20.100000000000001" customHeight="1" thickBot="1" x14ac:dyDescent="0.35">
      <c r="Z68" t="s">
        <v>1335</v>
      </c>
    </row>
    <row r="69" spans="1:45" ht="20.100000000000001" customHeight="1" thickBot="1" x14ac:dyDescent="0.35">
      <c r="A69" s="124" t="s">
        <v>1</v>
      </c>
      <c r="B69" s="126" t="s">
        <v>62</v>
      </c>
      <c r="C69" s="126" t="s">
        <v>63</v>
      </c>
      <c r="D69" s="124" t="s">
        <v>7</v>
      </c>
      <c r="E69" s="128" t="s">
        <v>8</v>
      </c>
      <c r="F69" s="129"/>
      <c r="G69" s="119" t="s">
        <v>9</v>
      </c>
      <c r="H69" s="119"/>
      <c r="I69" s="119"/>
      <c r="J69" s="119"/>
      <c r="K69" s="119"/>
      <c r="L69" s="120" t="s">
        <v>56</v>
      </c>
      <c r="M69" s="121"/>
      <c r="N69" s="121"/>
      <c r="O69" s="121"/>
      <c r="P69" s="121"/>
      <c r="Q69" s="121"/>
      <c r="R69" s="121"/>
      <c r="S69" s="121"/>
      <c r="T69" s="121"/>
      <c r="U69" s="9"/>
      <c r="V69" s="9"/>
      <c r="W69" s="9"/>
      <c r="X69" s="9"/>
      <c r="Y69" s="122" t="s">
        <v>10</v>
      </c>
      <c r="Z69" s="114" t="s">
        <v>1340</v>
      </c>
      <c r="AE69">
        <v>1</v>
      </c>
      <c r="AG69" s="114" t="s">
        <v>1334</v>
      </c>
    </row>
    <row r="70" spans="1:45" ht="20.100000000000001" customHeight="1" thickBot="1" x14ac:dyDescent="0.35">
      <c r="A70" s="125"/>
      <c r="B70" s="125"/>
      <c r="C70" s="125"/>
      <c r="D70" s="127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51" t="s">
        <v>15</v>
      </c>
      <c r="K70" s="51" t="s">
        <v>16</v>
      </c>
      <c r="L70" s="51" t="s">
        <v>6</v>
      </c>
      <c r="M70" s="51" t="s">
        <v>51</v>
      </c>
      <c r="N70" s="51" t="s">
        <v>125</v>
      </c>
      <c r="O70" s="51" t="s">
        <v>126</v>
      </c>
      <c r="P70" s="51" t="s">
        <v>127</v>
      </c>
      <c r="Q70" s="51" t="s">
        <v>53</v>
      </c>
      <c r="R70" s="51" t="s">
        <v>54</v>
      </c>
      <c r="S70" s="51" t="s">
        <v>128</v>
      </c>
      <c r="T70" s="51" t="s">
        <v>129</v>
      </c>
      <c r="U70" s="51" t="s">
        <v>130</v>
      </c>
      <c r="V70" s="4" t="s">
        <v>78</v>
      </c>
      <c r="W70" s="4" t="s">
        <v>131</v>
      </c>
      <c r="X70" s="10" t="s">
        <v>76</v>
      </c>
      <c r="Y70" s="123"/>
      <c r="Z70" s="114" t="s">
        <v>178</v>
      </c>
      <c r="AA70" s="114" t="s">
        <v>179</v>
      </c>
      <c r="AB70" s="114" t="s">
        <v>180</v>
      </c>
      <c r="AC70" s="114" t="s">
        <v>181</v>
      </c>
      <c r="AD70" s="114" t="s">
        <v>182</v>
      </c>
      <c r="AE70" s="115" t="s">
        <v>326</v>
      </c>
      <c r="AG70" s="114" t="s">
        <v>178</v>
      </c>
      <c r="AH70" s="114" t="s">
        <v>179</v>
      </c>
      <c r="AI70" s="114" t="s">
        <v>180</v>
      </c>
      <c r="AJ70" s="114" t="s">
        <v>181</v>
      </c>
      <c r="AK70" s="114" t="s">
        <v>182</v>
      </c>
    </row>
    <row r="71" spans="1:45" ht="20.100000000000001" customHeight="1" x14ac:dyDescent="0.3">
      <c r="A71" s="11">
        <v>1</v>
      </c>
      <c r="B71" s="12" t="s">
        <v>17</v>
      </c>
      <c r="C71" s="12" t="s">
        <v>17</v>
      </c>
      <c r="D71" s="13" t="s">
        <v>18</v>
      </c>
      <c r="E71" s="36">
        <v>45558</v>
      </c>
      <c r="F71" s="15"/>
      <c r="G71" s="13" t="s">
        <v>134</v>
      </c>
      <c r="H71" s="27">
        <v>21.3</v>
      </c>
      <c r="I71" s="27">
        <v>7.95</v>
      </c>
      <c r="J71" s="27">
        <v>8.6199999999999992</v>
      </c>
      <c r="K71" s="76">
        <v>127</v>
      </c>
      <c r="L71" s="56"/>
      <c r="M71" s="53"/>
      <c r="N71" s="53"/>
      <c r="O71" s="53">
        <v>2.032</v>
      </c>
      <c r="P71" s="53"/>
      <c r="Q71" s="53"/>
      <c r="R71" s="53"/>
      <c r="S71" s="53"/>
      <c r="T71" s="53">
        <v>8.7530000000000001</v>
      </c>
      <c r="U71" s="107">
        <v>2.82</v>
      </c>
      <c r="V71" s="107">
        <v>-0.84</v>
      </c>
      <c r="W71" s="53"/>
      <c r="X71" s="53"/>
      <c r="Y71" s="63"/>
      <c r="Z71" s="130">
        <v>9.9599999999999991</v>
      </c>
      <c r="AA71" s="130">
        <v>15.620000000000001</v>
      </c>
      <c r="AB71" s="130">
        <v>25.81</v>
      </c>
      <c r="AC71" s="130">
        <v>3.0300000000000002</v>
      </c>
      <c r="AD71" s="130">
        <v>45.58</v>
      </c>
      <c r="AE71" s="130">
        <f>SUM(Z71:AD71)</f>
        <v>100</v>
      </c>
      <c r="AG71" s="117">
        <v>5.7799999999999997E-2</v>
      </c>
      <c r="AH71" s="117">
        <v>7.4399999999999994E-2</v>
      </c>
      <c r="AI71" s="117">
        <v>0.11219999999999999</v>
      </c>
      <c r="AJ71" s="117">
        <v>2.2100000000000002E-2</v>
      </c>
      <c r="AK71" s="117">
        <v>0.13669999999999999</v>
      </c>
    </row>
    <row r="72" spans="1:45" ht="20.100000000000001" customHeight="1" x14ac:dyDescent="0.3">
      <c r="A72" s="25">
        <v>2</v>
      </c>
      <c r="B72" s="17" t="s">
        <v>17</v>
      </c>
      <c r="C72" s="17" t="s">
        <v>17</v>
      </c>
      <c r="D72" s="18" t="s">
        <v>20</v>
      </c>
      <c r="E72" s="26">
        <v>45558</v>
      </c>
      <c r="F72" s="20"/>
      <c r="G72" s="18" t="s">
        <v>134</v>
      </c>
      <c r="H72" s="28">
        <v>21.8</v>
      </c>
      <c r="I72" s="28">
        <v>7.39</v>
      </c>
      <c r="J72" s="28">
        <v>8.4600000000000009</v>
      </c>
      <c r="K72" s="74">
        <v>138</v>
      </c>
      <c r="L72" s="57"/>
      <c r="M72" s="54"/>
      <c r="N72" s="54"/>
      <c r="O72" s="54">
        <v>2.137</v>
      </c>
      <c r="P72" s="54"/>
      <c r="Q72" s="54"/>
      <c r="R72" s="54"/>
      <c r="S72" s="54"/>
      <c r="T72" s="54">
        <v>8.5760000000000005</v>
      </c>
      <c r="U72" s="108">
        <v>2.78</v>
      </c>
      <c r="V72" s="108">
        <v>-2.58</v>
      </c>
      <c r="W72" s="54"/>
      <c r="X72" s="54"/>
      <c r="Y72" s="64"/>
      <c r="Z72" s="130">
        <v>9.5299999999999994</v>
      </c>
      <c r="AA72" s="130">
        <v>18.11</v>
      </c>
      <c r="AB72" s="130">
        <v>24.08</v>
      </c>
      <c r="AC72" s="130">
        <v>3.54</v>
      </c>
      <c r="AD72" s="130">
        <v>44.74</v>
      </c>
      <c r="AE72" s="130">
        <f t="shared" ref="AE72:AE94" si="5">SUM(Z72:AD72)</f>
        <v>100</v>
      </c>
      <c r="AG72" s="117">
        <v>6.4600000000000005E-2</v>
      </c>
      <c r="AH72" s="117">
        <v>0.10009999999999999</v>
      </c>
      <c r="AI72" s="117">
        <v>0.1232</v>
      </c>
      <c r="AJ72" s="117">
        <v>2.58E-2</v>
      </c>
      <c r="AK72" s="117">
        <v>0.13420000000000001</v>
      </c>
    </row>
    <row r="73" spans="1:45" ht="20.100000000000001" customHeight="1" x14ac:dyDescent="0.3">
      <c r="A73" s="25">
        <v>3</v>
      </c>
      <c r="B73" s="17" t="s">
        <v>17</v>
      </c>
      <c r="C73" s="17" t="s">
        <v>17</v>
      </c>
      <c r="D73" s="18" t="s">
        <v>21</v>
      </c>
      <c r="E73" s="26">
        <v>45558</v>
      </c>
      <c r="F73" s="20"/>
      <c r="G73" s="18" t="s">
        <v>134</v>
      </c>
      <c r="H73" s="28">
        <v>21.9</v>
      </c>
      <c r="I73" s="28">
        <v>7.53</v>
      </c>
      <c r="J73" s="28">
        <v>8.41</v>
      </c>
      <c r="K73" s="74">
        <v>146</v>
      </c>
      <c r="L73" s="57"/>
      <c r="M73" s="54"/>
      <c r="N73" s="54"/>
      <c r="O73" s="54">
        <v>2.1419999999999999</v>
      </c>
      <c r="P73" s="54"/>
      <c r="Q73" s="54"/>
      <c r="R73" s="54"/>
      <c r="S73" s="54"/>
      <c r="T73" s="54">
        <v>8.8390000000000004</v>
      </c>
      <c r="U73" s="109">
        <v>3.38</v>
      </c>
      <c r="V73" s="109">
        <v>-1.92</v>
      </c>
      <c r="W73" s="58"/>
      <c r="X73" s="54"/>
      <c r="Y73" s="64"/>
      <c r="Z73" s="130">
        <v>10.100000000000001</v>
      </c>
      <c r="AA73" s="130">
        <v>17.419999999999998</v>
      </c>
      <c r="AB73" s="130">
        <v>24.36</v>
      </c>
      <c r="AC73" s="130">
        <v>3.5700000000000003</v>
      </c>
      <c r="AD73" s="130">
        <v>44.55</v>
      </c>
      <c r="AE73" s="130">
        <f t="shared" si="5"/>
        <v>100</v>
      </c>
      <c r="AG73" s="117">
        <v>5.9700000000000003E-2</v>
      </c>
      <c r="AH73" s="117">
        <v>9.06E-2</v>
      </c>
      <c r="AI73" s="117">
        <v>0.12479999999999999</v>
      </c>
      <c r="AJ73" s="117">
        <v>1.9900000000000001E-2</v>
      </c>
      <c r="AK73" s="117">
        <v>0.12770000000000001</v>
      </c>
    </row>
    <row r="74" spans="1:45" ht="20.100000000000001" customHeight="1" x14ac:dyDescent="0.3">
      <c r="A74" s="25">
        <v>4</v>
      </c>
      <c r="B74" s="17" t="s">
        <v>17</v>
      </c>
      <c r="C74" s="17" t="s">
        <v>17</v>
      </c>
      <c r="D74" s="18" t="s">
        <v>22</v>
      </c>
      <c r="E74" s="26">
        <v>45558</v>
      </c>
      <c r="F74" s="20"/>
      <c r="G74" s="18" t="s">
        <v>134</v>
      </c>
      <c r="H74" s="28">
        <v>23</v>
      </c>
      <c r="I74" s="28">
        <v>7.34</v>
      </c>
      <c r="J74" s="28">
        <v>6.53</v>
      </c>
      <c r="K74" s="74">
        <v>219</v>
      </c>
      <c r="L74" s="57"/>
      <c r="M74" s="54"/>
      <c r="N74" s="54"/>
      <c r="O74" s="54">
        <v>1.7010000000000001</v>
      </c>
      <c r="P74" s="54"/>
      <c r="Q74" s="54"/>
      <c r="R74" s="54"/>
      <c r="S74" s="54"/>
      <c r="T74" s="54">
        <v>13.954000000000001</v>
      </c>
      <c r="U74" s="108">
        <v>4.46</v>
      </c>
      <c r="V74" s="110">
        <v>-2.14</v>
      </c>
      <c r="W74" s="55"/>
      <c r="X74" s="55"/>
      <c r="Y74" s="64"/>
      <c r="Z74" s="130">
        <v>12.950000000000001</v>
      </c>
      <c r="AA74" s="130">
        <v>14.860000000000001</v>
      </c>
      <c r="AB74" s="130">
        <v>20.71</v>
      </c>
      <c r="AC74" s="130">
        <v>3.46</v>
      </c>
      <c r="AD74" s="130">
        <v>48.02</v>
      </c>
      <c r="AE74" s="130">
        <f t="shared" si="5"/>
        <v>100</v>
      </c>
      <c r="AG74" s="117">
        <v>4.9099999999999998E-2</v>
      </c>
      <c r="AH74" s="117">
        <v>5.3999999999999999E-2</v>
      </c>
      <c r="AI74" s="117">
        <v>0.1225</v>
      </c>
      <c r="AJ74" s="117">
        <v>1.83E-2</v>
      </c>
      <c r="AK74" s="117">
        <v>0.1158</v>
      </c>
    </row>
    <row r="75" spans="1:45" ht="20.100000000000001" customHeight="1" x14ac:dyDescent="0.3">
      <c r="A75" s="41">
        <v>5</v>
      </c>
      <c r="B75" s="42" t="s">
        <v>23</v>
      </c>
      <c r="C75" s="42" t="s">
        <v>23</v>
      </c>
      <c r="D75" s="43" t="s">
        <v>24</v>
      </c>
      <c r="E75" s="44">
        <v>45558</v>
      </c>
      <c r="F75" s="45"/>
      <c r="G75" s="43" t="s">
        <v>134</v>
      </c>
      <c r="H75" s="72">
        <v>20.79</v>
      </c>
      <c r="I75" s="72">
        <v>7.66</v>
      </c>
      <c r="J75" s="72">
        <v>10.26</v>
      </c>
      <c r="K75" s="73">
        <v>84</v>
      </c>
      <c r="L75" s="59"/>
      <c r="M75" s="60"/>
      <c r="N75" s="60"/>
      <c r="O75" s="61">
        <v>1.752</v>
      </c>
      <c r="P75" s="61"/>
      <c r="Q75" s="61"/>
      <c r="R75" s="61"/>
      <c r="S75" s="61"/>
      <c r="T75" s="61">
        <v>7.3540000000000001</v>
      </c>
      <c r="U75" s="111">
        <v>1.98</v>
      </c>
      <c r="V75" s="111">
        <v>2.0499999999999998</v>
      </c>
      <c r="W75" s="61"/>
      <c r="X75" s="61"/>
      <c r="Y75" s="65"/>
      <c r="Z75" s="130">
        <v>11.19</v>
      </c>
      <c r="AA75" s="130">
        <v>7.3</v>
      </c>
      <c r="AB75" s="130">
        <v>29.970000000000002</v>
      </c>
      <c r="AC75" s="130">
        <v>4.55</v>
      </c>
      <c r="AD75" s="130">
        <v>46.99</v>
      </c>
      <c r="AE75" s="130">
        <f t="shared" si="5"/>
        <v>100</v>
      </c>
      <c r="AG75" s="117">
        <v>4.4299999999999999E-2</v>
      </c>
      <c r="AH75" s="117">
        <v>4.0399999999999998E-2</v>
      </c>
      <c r="AI75" s="117">
        <v>8.3699999999999997E-2</v>
      </c>
      <c r="AJ75" s="117">
        <v>1.9199999999999998E-2</v>
      </c>
      <c r="AK75" s="117">
        <v>0.14779999999999999</v>
      </c>
    </row>
    <row r="76" spans="1:45" ht="20.100000000000001" customHeight="1" x14ac:dyDescent="0.3">
      <c r="A76" s="41">
        <v>6</v>
      </c>
      <c r="B76" s="42" t="s">
        <v>23</v>
      </c>
      <c r="C76" s="42" t="s">
        <v>23</v>
      </c>
      <c r="D76" s="43" t="s">
        <v>25</v>
      </c>
      <c r="E76" s="44">
        <v>45558</v>
      </c>
      <c r="F76" s="45"/>
      <c r="G76" s="43" t="s">
        <v>134</v>
      </c>
      <c r="H76" s="72">
        <v>21.45</v>
      </c>
      <c r="I76" s="72">
        <v>7.49</v>
      </c>
      <c r="J76" s="72">
        <v>10.199999999999999</v>
      </c>
      <c r="K76" s="73">
        <v>120</v>
      </c>
      <c r="L76" s="59"/>
      <c r="M76" s="60"/>
      <c r="N76" s="60"/>
      <c r="O76" s="60">
        <v>1.67</v>
      </c>
      <c r="P76" s="60"/>
      <c r="Q76" s="60"/>
      <c r="R76" s="60"/>
      <c r="S76" s="60"/>
      <c r="T76" s="60">
        <v>12.948</v>
      </c>
      <c r="U76" s="112">
        <v>8.43</v>
      </c>
      <c r="V76" s="112">
        <v>0.78</v>
      </c>
      <c r="W76" s="60"/>
      <c r="X76" s="60"/>
      <c r="Y76" s="65"/>
      <c r="Z76" s="130">
        <v>26.33</v>
      </c>
      <c r="AA76" s="130">
        <v>15.160000000000002</v>
      </c>
      <c r="AB76" s="130">
        <v>18.66</v>
      </c>
      <c r="AC76" s="130">
        <v>2.5299999999999998</v>
      </c>
      <c r="AD76" s="130">
        <v>37.32</v>
      </c>
      <c r="AE76" s="130">
        <f t="shared" si="5"/>
        <v>100</v>
      </c>
      <c r="AG76" s="117">
        <v>9.8000000000000004E-2</v>
      </c>
      <c r="AH76" s="117">
        <v>5.5399999999999998E-2</v>
      </c>
      <c r="AI76" s="117">
        <v>0.1061</v>
      </c>
      <c r="AJ76" s="117">
        <v>1.5800000000000002E-2</v>
      </c>
      <c r="AK76" s="117">
        <v>3.6999999999999998E-2</v>
      </c>
    </row>
    <row r="77" spans="1:45" ht="20.100000000000001" customHeight="1" x14ac:dyDescent="0.3">
      <c r="A77" s="41">
        <v>7</v>
      </c>
      <c r="B77" s="42" t="s">
        <v>23</v>
      </c>
      <c r="C77" s="42" t="s">
        <v>23</v>
      </c>
      <c r="D77" s="43" t="s">
        <v>26</v>
      </c>
      <c r="E77" s="44">
        <v>45558</v>
      </c>
      <c r="F77" s="45"/>
      <c r="G77" s="43" t="s">
        <v>134</v>
      </c>
      <c r="H77" s="72">
        <v>21.76</v>
      </c>
      <c r="I77" s="72">
        <v>7.44</v>
      </c>
      <c r="J77" s="72">
        <v>9.6300000000000008</v>
      </c>
      <c r="K77" s="73">
        <v>144</v>
      </c>
      <c r="L77" s="59"/>
      <c r="M77" s="60"/>
      <c r="N77" s="60"/>
      <c r="O77" s="60">
        <v>1.84</v>
      </c>
      <c r="P77" s="60"/>
      <c r="Q77" s="60"/>
      <c r="R77" s="60"/>
      <c r="S77" s="60"/>
      <c r="T77" s="60">
        <v>14.073</v>
      </c>
      <c r="U77" s="112">
        <v>8.25</v>
      </c>
      <c r="V77" s="112">
        <v>-0.35</v>
      </c>
      <c r="W77" s="60"/>
      <c r="X77" s="60"/>
      <c r="Y77" s="65"/>
      <c r="Z77" s="130">
        <v>25.77</v>
      </c>
      <c r="AA77" s="130">
        <v>18.91</v>
      </c>
      <c r="AB77" s="130">
        <v>14.67</v>
      </c>
      <c r="AC77" s="130">
        <v>2.96</v>
      </c>
      <c r="AD77" s="130">
        <v>37.69</v>
      </c>
      <c r="AE77" s="130">
        <f t="shared" si="5"/>
        <v>100</v>
      </c>
      <c r="AG77" s="117">
        <v>9.4100000000000003E-2</v>
      </c>
      <c r="AH77" s="117">
        <v>4.9799999999999997E-2</v>
      </c>
      <c r="AI77" s="117">
        <v>0.13120000000000001</v>
      </c>
      <c r="AJ77" s="117">
        <v>1.72E-2</v>
      </c>
      <c r="AK77" s="117">
        <v>5.7099999999999998E-2</v>
      </c>
    </row>
    <row r="78" spans="1:45" ht="20.100000000000001" customHeight="1" x14ac:dyDescent="0.3">
      <c r="A78" s="41">
        <v>8</v>
      </c>
      <c r="B78" s="42" t="s">
        <v>23</v>
      </c>
      <c r="C78" s="42" t="s">
        <v>27</v>
      </c>
      <c r="D78" s="43" t="s">
        <v>68</v>
      </c>
      <c r="E78" s="44">
        <v>45558</v>
      </c>
      <c r="F78" s="45"/>
      <c r="G78" s="43" t="s">
        <v>134</v>
      </c>
      <c r="H78" s="72">
        <v>21.59</v>
      </c>
      <c r="I78" s="72">
        <v>7.28</v>
      </c>
      <c r="J78" s="72">
        <v>8.57</v>
      </c>
      <c r="K78" s="73">
        <v>339</v>
      </c>
      <c r="L78" s="59"/>
      <c r="M78" s="60"/>
      <c r="N78" s="60"/>
      <c r="O78" s="60">
        <v>0.70099999999999996</v>
      </c>
      <c r="P78" s="60"/>
      <c r="Q78" s="60"/>
      <c r="R78" s="60"/>
      <c r="S78" s="60"/>
      <c r="T78" s="60">
        <v>30.856000000000002</v>
      </c>
      <c r="U78" s="112">
        <v>12.56</v>
      </c>
      <c r="V78" s="112">
        <v>4.07</v>
      </c>
      <c r="W78" s="60"/>
      <c r="X78" s="60"/>
      <c r="Y78" s="65"/>
      <c r="Z78" s="130">
        <v>29.720000000000002</v>
      </c>
      <c r="AA78" s="130">
        <v>32.379999999999995</v>
      </c>
      <c r="AB78" s="130">
        <v>12.98</v>
      </c>
      <c r="AC78" s="130">
        <v>3.06</v>
      </c>
      <c r="AD78" s="130">
        <v>21.86</v>
      </c>
      <c r="AE78" s="130">
        <f t="shared" si="5"/>
        <v>100</v>
      </c>
      <c r="AG78" s="117">
        <v>0.1047</v>
      </c>
      <c r="AH78" s="117">
        <v>0.1178</v>
      </c>
      <c r="AI78" s="117">
        <v>0.1077</v>
      </c>
      <c r="AJ78" s="117">
        <v>1.7899999999999999E-2</v>
      </c>
      <c r="AK78" s="117">
        <v>0.1071</v>
      </c>
    </row>
    <row r="79" spans="1:45" ht="20.100000000000001" customHeight="1" x14ac:dyDescent="0.3">
      <c r="A79" s="41">
        <v>9</v>
      </c>
      <c r="B79" s="42" t="s">
        <v>23</v>
      </c>
      <c r="C79" s="42" t="s">
        <v>27</v>
      </c>
      <c r="D79" s="43" t="s">
        <v>30</v>
      </c>
      <c r="E79" s="44">
        <v>45558</v>
      </c>
      <c r="F79" s="45"/>
      <c r="G79" s="43" t="s">
        <v>134</v>
      </c>
      <c r="H79" s="72">
        <v>21.84</v>
      </c>
      <c r="I79" s="72">
        <v>7.29</v>
      </c>
      <c r="J79" s="72">
        <v>8.7100000000000009</v>
      </c>
      <c r="K79" s="73">
        <v>221</v>
      </c>
      <c r="L79" s="59"/>
      <c r="M79" s="60"/>
      <c r="N79" s="60"/>
      <c r="O79" s="60">
        <v>1.857</v>
      </c>
      <c r="P79" s="60"/>
      <c r="Q79" s="60"/>
      <c r="R79" s="60"/>
      <c r="S79" s="60"/>
      <c r="T79" s="60">
        <v>21.363</v>
      </c>
      <c r="U79" s="112">
        <v>7.14</v>
      </c>
      <c r="V79" s="113">
        <v>-2.67</v>
      </c>
      <c r="W79" s="62"/>
      <c r="X79" s="62"/>
      <c r="Y79" s="65"/>
      <c r="Z79" s="130">
        <v>22.95</v>
      </c>
      <c r="AA79" s="130">
        <v>21</v>
      </c>
      <c r="AB79" s="130">
        <v>12.97</v>
      </c>
      <c r="AC79" s="130">
        <v>2.97</v>
      </c>
      <c r="AD79" s="130">
        <v>40.11</v>
      </c>
      <c r="AE79" s="130">
        <f t="shared" si="5"/>
        <v>100</v>
      </c>
      <c r="AG79" s="117">
        <v>6.5000000000000002E-2</v>
      </c>
      <c r="AH79" s="117">
        <v>6.9500000000000006E-2</v>
      </c>
      <c r="AI79" s="117">
        <v>0.13730000000000001</v>
      </c>
      <c r="AJ79" s="117">
        <v>2.01E-2</v>
      </c>
      <c r="AK79" s="117">
        <v>4.8899999999999999E-2</v>
      </c>
    </row>
    <row r="80" spans="1:45" ht="20.100000000000001" customHeight="1" x14ac:dyDescent="0.3">
      <c r="A80" s="25">
        <v>10</v>
      </c>
      <c r="B80" s="17" t="s">
        <v>31</v>
      </c>
      <c r="C80" s="17" t="s">
        <v>31</v>
      </c>
      <c r="D80" s="18" t="s">
        <v>32</v>
      </c>
      <c r="E80" s="26">
        <v>45558</v>
      </c>
      <c r="F80" s="20"/>
      <c r="G80" s="18" t="s">
        <v>134</v>
      </c>
      <c r="H80" s="28">
        <v>22.67</v>
      </c>
      <c r="I80" s="28">
        <v>7.61</v>
      </c>
      <c r="J80" s="28">
        <v>7.83</v>
      </c>
      <c r="K80" s="74">
        <v>137.19999999999999</v>
      </c>
      <c r="L80" s="57"/>
      <c r="M80" s="54"/>
      <c r="N80" s="54"/>
      <c r="O80" s="58">
        <v>2.1589999999999998</v>
      </c>
      <c r="P80" s="58"/>
      <c r="Q80" s="58"/>
      <c r="R80" s="58"/>
      <c r="S80" s="58"/>
      <c r="T80" s="58">
        <v>5.758</v>
      </c>
      <c r="U80" s="109">
        <v>4.8</v>
      </c>
      <c r="V80" s="109">
        <v>-0.72</v>
      </c>
      <c r="W80" s="58"/>
      <c r="X80" s="58"/>
      <c r="Y80" s="64"/>
      <c r="Z80" s="130">
        <v>15.340000000000002</v>
      </c>
      <c r="AA80" s="130">
        <v>12.839999999999998</v>
      </c>
      <c r="AB80" s="130">
        <v>22.62</v>
      </c>
      <c r="AC80" s="130">
        <v>2.78</v>
      </c>
      <c r="AD80" s="130">
        <v>46.42</v>
      </c>
      <c r="AE80" s="130">
        <f t="shared" si="5"/>
        <v>100</v>
      </c>
      <c r="AG80" s="117">
        <v>3.0599999999999999E-2</v>
      </c>
      <c r="AH80" s="117">
        <v>3.1399999999999997E-2</v>
      </c>
      <c r="AI80" s="117">
        <v>0.13039999999999999</v>
      </c>
      <c r="AJ80" s="117">
        <v>1.9199999999999998E-2</v>
      </c>
      <c r="AK80" s="117">
        <v>0.1191</v>
      </c>
    </row>
    <row r="81" spans="1:37" ht="20.100000000000001" customHeight="1" x14ac:dyDescent="0.3">
      <c r="A81" s="25">
        <v>11</v>
      </c>
      <c r="B81" s="17" t="s">
        <v>31</v>
      </c>
      <c r="C81" s="17" t="s">
        <v>31</v>
      </c>
      <c r="D81" s="18" t="s">
        <v>69</v>
      </c>
      <c r="E81" s="26">
        <v>45558</v>
      </c>
      <c r="F81" s="20"/>
      <c r="G81" s="18" t="s">
        <v>134</v>
      </c>
      <c r="H81" s="28">
        <v>22.91</v>
      </c>
      <c r="I81" s="28">
        <v>7.07</v>
      </c>
      <c r="J81" s="28">
        <v>8.25</v>
      </c>
      <c r="K81" s="74">
        <v>127.6</v>
      </c>
      <c r="L81" s="57"/>
      <c r="M81" s="54"/>
      <c r="N81" s="54"/>
      <c r="O81" s="54">
        <v>2.1850000000000001</v>
      </c>
      <c r="P81" s="54"/>
      <c r="Q81" s="54"/>
      <c r="R81" s="54"/>
      <c r="S81" s="54"/>
      <c r="T81" s="54">
        <v>5.5590000000000002</v>
      </c>
      <c r="U81" s="108">
        <v>5.13</v>
      </c>
      <c r="V81" s="108">
        <v>-0.4</v>
      </c>
      <c r="W81" s="54"/>
      <c r="X81" s="54"/>
      <c r="Y81" s="64"/>
      <c r="Z81" s="130">
        <v>15.440000000000001</v>
      </c>
      <c r="AA81" s="130">
        <v>10.75</v>
      </c>
      <c r="AB81" s="130">
        <v>19.62</v>
      </c>
      <c r="AC81" s="130">
        <v>3.02</v>
      </c>
      <c r="AD81" s="130">
        <v>51.17</v>
      </c>
      <c r="AE81" s="130">
        <f t="shared" si="5"/>
        <v>100</v>
      </c>
      <c r="AG81" s="117">
        <v>3.15E-2</v>
      </c>
      <c r="AH81" s="117">
        <v>2.8799999999999999E-2</v>
      </c>
      <c r="AI81" s="117">
        <v>0.1232</v>
      </c>
      <c r="AJ81" s="117">
        <v>1.8100000000000002E-2</v>
      </c>
      <c r="AK81" s="117">
        <v>0.1202</v>
      </c>
    </row>
    <row r="82" spans="1:37" ht="20.100000000000001" customHeight="1" x14ac:dyDescent="0.3">
      <c r="A82" s="25">
        <v>12</v>
      </c>
      <c r="B82" s="17" t="s">
        <v>31</v>
      </c>
      <c r="C82" s="17" t="s">
        <v>31</v>
      </c>
      <c r="D82" s="18" t="s">
        <v>34</v>
      </c>
      <c r="E82" s="26">
        <v>45558</v>
      </c>
      <c r="F82" s="20"/>
      <c r="G82" s="18" t="s">
        <v>134</v>
      </c>
      <c r="H82" s="28">
        <v>23.08</v>
      </c>
      <c r="I82" s="28">
        <v>7.06</v>
      </c>
      <c r="J82" s="28">
        <v>8.19</v>
      </c>
      <c r="K82" s="74">
        <v>129.5</v>
      </c>
      <c r="L82" s="57"/>
      <c r="M82" s="54"/>
      <c r="N82" s="54"/>
      <c r="O82" s="54">
        <v>2.1640000000000001</v>
      </c>
      <c r="P82" s="54"/>
      <c r="Q82" s="54"/>
      <c r="R82" s="54"/>
      <c r="S82" s="54"/>
      <c r="T82" s="54">
        <v>5.7969999999999997</v>
      </c>
      <c r="U82" s="108">
        <v>4.9400000000000004</v>
      </c>
      <c r="V82" s="108">
        <v>-0.57999999999999996</v>
      </c>
      <c r="W82" s="54"/>
      <c r="X82" s="54"/>
      <c r="Y82" s="64"/>
      <c r="Z82" s="130">
        <v>14.82</v>
      </c>
      <c r="AA82" s="130">
        <v>11.3</v>
      </c>
      <c r="AB82" s="130">
        <v>22.009999999999998</v>
      </c>
      <c r="AC82" s="130">
        <v>2.7199999999999998</v>
      </c>
      <c r="AD82" s="130">
        <v>49.15</v>
      </c>
      <c r="AE82" s="130">
        <f t="shared" si="5"/>
        <v>100</v>
      </c>
      <c r="AG82" s="117">
        <v>3.3300000000000003E-2</v>
      </c>
      <c r="AH82" s="117">
        <v>2.0400000000000001E-2</v>
      </c>
      <c r="AI82" s="117">
        <v>0.1239</v>
      </c>
      <c r="AJ82" s="117">
        <v>1.9099999999999999E-2</v>
      </c>
      <c r="AK82" s="117">
        <v>0.1162</v>
      </c>
    </row>
    <row r="83" spans="1:37" ht="20.100000000000001" customHeight="1" x14ac:dyDescent="0.3">
      <c r="A83" s="25">
        <v>13</v>
      </c>
      <c r="B83" s="17" t="s">
        <v>31</v>
      </c>
      <c r="C83" s="17" t="s">
        <v>35</v>
      </c>
      <c r="D83" s="18" t="s">
        <v>36</v>
      </c>
      <c r="E83" s="26">
        <v>45558</v>
      </c>
      <c r="F83" s="20"/>
      <c r="G83" s="18" t="s">
        <v>81</v>
      </c>
      <c r="H83" s="28">
        <v>22.77</v>
      </c>
      <c r="I83" s="28">
        <v>6.66</v>
      </c>
      <c r="J83" s="28">
        <v>7</v>
      </c>
      <c r="K83" s="74">
        <v>186.2</v>
      </c>
      <c r="L83" s="57"/>
      <c r="M83" s="54"/>
      <c r="N83" s="54"/>
      <c r="O83" s="54">
        <v>3.5609999999999999</v>
      </c>
      <c r="P83" s="54"/>
      <c r="Q83" s="54"/>
      <c r="R83" s="54"/>
      <c r="S83" s="54"/>
      <c r="T83" s="54">
        <v>9.6140000000000008</v>
      </c>
      <c r="U83" s="108">
        <v>7.83</v>
      </c>
      <c r="V83" s="108">
        <v>0.59</v>
      </c>
      <c r="W83" s="54"/>
      <c r="X83" s="54"/>
      <c r="Y83" s="64"/>
      <c r="Z83" s="130">
        <v>25.990000000000002</v>
      </c>
      <c r="AA83" s="130">
        <v>14.71</v>
      </c>
      <c r="AB83" s="130">
        <v>16.14</v>
      </c>
      <c r="AC83" s="130">
        <v>2.4</v>
      </c>
      <c r="AD83" s="130">
        <v>40.760000000000005</v>
      </c>
      <c r="AE83" s="130">
        <f t="shared" si="5"/>
        <v>100</v>
      </c>
      <c r="AG83" s="117">
        <v>9.3899999999999997E-2</v>
      </c>
      <c r="AH83" s="117">
        <v>4.4900000000000002E-2</v>
      </c>
      <c r="AI83" s="117">
        <v>0.11650000000000001</v>
      </c>
      <c r="AJ83" s="117">
        <v>1.67E-2</v>
      </c>
      <c r="AK83" s="117">
        <v>6.7400000000000002E-2</v>
      </c>
    </row>
    <row r="84" spans="1:37" ht="20.100000000000001" customHeight="1" x14ac:dyDescent="0.3">
      <c r="A84" s="25">
        <v>14</v>
      </c>
      <c r="B84" s="17" t="s">
        <v>31</v>
      </c>
      <c r="C84" s="17" t="s">
        <v>5</v>
      </c>
      <c r="D84" s="18" t="s">
        <v>29</v>
      </c>
      <c r="E84" s="26">
        <v>45558</v>
      </c>
      <c r="F84" s="20"/>
      <c r="G84" s="18" t="s">
        <v>81</v>
      </c>
      <c r="H84" s="28">
        <v>23.64</v>
      </c>
      <c r="I84" s="28">
        <v>6.72</v>
      </c>
      <c r="J84" s="28">
        <v>8.16</v>
      </c>
      <c r="K84" s="74">
        <v>175.1</v>
      </c>
      <c r="L84" s="57"/>
      <c r="M84" s="54"/>
      <c r="N84" s="54"/>
      <c r="O84" s="54">
        <v>1.7789999999999999</v>
      </c>
      <c r="P84" s="54"/>
      <c r="Q84" s="54"/>
      <c r="R84" s="54"/>
      <c r="S84" s="54"/>
      <c r="T84" s="54">
        <v>11.368</v>
      </c>
      <c r="U84" s="108">
        <v>6.56</v>
      </c>
      <c r="V84" s="108">
        <v>0.87</v>
      </c>
      <c r="W84" s="54"/>
      <c r="X84" s="54"/>
      <c r="Y84" s="64"/>
      <c r="Z84" s="130">
        <v>25.31</v>
      </c>
      <c r="AA84" s="130">
        <v>12.65</v>
      </c>
      <c r="AB84" s="130">
        <v>18.72</v>
      </c>
      <c r="AC84" s="130">
        <v>2.77</v>
      </c>
      <c r="AD84" s="130">
        <v>40.550000000000004</v>
      </c>
      <c r="AE84" s="130">
        <f t="shared" si="5"/>
        <v>100</v>
      </c>
      <c r="AG84" s="117">
        <v>7.7200000000000005E-2</v>
      </c>
      <c r="AH84" s="117">
        <v>4.3200000000000002E-2</v>
      </c>
      <c r="AI84" s="117">
        <v>0.1176</v>
      </c>
      <c r="AJ84" s="117">
        <v>1.9300000000000001E-2</v>
      </c>
      <c r="AK84" s="117">
        <v>4.5600000000000002E-2</v>
      </c>
    </row>
    <row r="85" spans="1:37" ht="20.100000000000001" customHeight="1" x14ac:dyDescent="0.3">
      <c r="A85" s="25">
        <v>15</v>
      </c>
      <c r="B85" s="17" t="s">
        <v>31</v>
      </c>
      <c r="C85" s="17" t="s">
        <v>35</v>
      </c>
      <c r="D85" s="18" t="s">
        <v>29</v>
      </c>
      <c r="E85" s="26">
        <v>45558</v>
      </c>
      <c r="F85" s="20"/>
      <c r="G85" s="18" t="s">
        <v>81</v>
      </c>
      <c r="H85" s="28">
        <v>23.04</v>
      </c>
      <c r="I85" s="28">
        <v>6.58</v>
      </c>
      <c r="J85" s="28">
        <v>6.6</v>
      </c>
      <c r="K85" s="74">
        <v>183.5</v>
      </c>
      <c r="L85" s="57"/>
      <c r="M85" s="54"/>
      <c r="N85" s="54"/>
      <c r="O85" s="54">
        <v>3.331</v>
      </c>
      <c r="P85" s="54"/>
      <c r="Q85" s="54"/>
      <c r="R85" s="54"/>
      <c r="S85" s="54"/>
      <c r="T85" s="54">
        <v>8.9570000000000007</v>
      </c>
      <c r="U85" s="108">
        <v>8.2100000000000009</v>
      </c>
      <c r="V85" s="110">
        <v>1.84</v>
      </c>
      <c r="W85" s="55"/>
      <c r="X85" s="55"/>
      <c r="Y85" s="64"/>
      <c r="Z85" s="130">
        <v>23.28</v>
      </c>
      <c r="AA85" s="130">
        <v>18.05</v>
      </c>
      <c r="AB85" s="130">
        <v>25.41</v>
      </c>
      <c r="AC85" s="130">
        <v>2.39</v>
      </c>
      <c r="AD85" s="130">
        <v>30.869999999999997</v>
      </c>
      <c r="AE85" s="130">
        <f t="shared" si="5"/>
        <v>100</v>
      </c>
      <c r="AG85" s="117">
        <v>8.5599999999999996E-2</v>
      </c>
      <c r="AH85" s="117">
        <v>3.7600000000000001E-2</v>
      </c>
      <c r="AI85" s="117">
        <v>0.10680000000000001</v>
      </c>
      <c r="AJ85" s="117">
        <v>1.7100000000000001E-2</v>
      </c>
      <c r="AK85" s="117">
        <v>7.46E-2</v>
      </c>
    </row>
    <row r="86" spans="1:37" ht="20.100000000000001" customHeight="1" x14ac:dyDescent="0.3">
      <c r="A86" s="41">
        <v>16</v>
      </c>
      <c r="B86" s="42" t="s">
        <v>38</v>
      </c>
      <c r="C86" s="42" t="s">
        <v>38</v>
      </c>
      <c r="D86" s="43" t="s">
        <v>39</v>
      </c>
      <c r="E86" s="44">
        <v>45558</v>
      </c>
      <c r="F86" s="45"/>
      <c r="G86" s="43" t="s">
        <v>81</v>
      </c>
      <c r="H86" s="72">
        <v>23.98</v>
      </c>
      <c r="I86" s="72">
        <v>7.05</v>
      </c>
      <c r="J86" s="72">
        <v>7.93</v>
      </c>
      <c r="K86" s="73">
        <v>141.9</v>
      </c>
      <c r="L86" s="59"/>
      <c r="M86" s="60"/>
      <c r="N86" s="60"/>
      <c r="O86" s="61">
        <v>2.0390000000000001</v>
      </c>
      <c r="P86" s="61"/>
      <c r="Q86" s="61"/>
      <c r="R86" s="61"/>
      <c r="S86" s="61"/>
      <c r="T86" s="61">
        <v>7.2519999999999998</v>
      </c>
      <c r="U86" s="111">
        <v>5.64</v>
      </c>
      <c r="V86" s="111">
        <v>1.92</v>
      </c>
      <c r="W86" s="61"/>
      <c r="X86" s="61"/>
      <c r="Y86" s="65"/>
      <c r="Z86" s="130">
        <v>19.7</v>
      </c>
      <c r="AA86" s="130">
        <v>10.25</v>
      </c>
      <c r="AB86" s="130">
        <v>24.64</v>
      </c>
      <c r="AC86" s="130">
        <v>2.88</v>
      </c>
      <c r="AD86" s="130">
        <v>42.53</v>
      </c>
      <c r="AE86" s="130">
        <f t="shared" si="5"/>
        <v>100</v>
      </c>
      <c r="AG86" s="117">
        <v>4.6600000000000003E-2</v>
      </c>
      <c r="AH86" s="117">
        <v>4.0500000000000001E-2</v>
      </c>
      <c r="AI86" s="117">
        <v>0.1003</v>
      </c>
      <c r="AJ86" s="117">
        <v>1.9400000000000001E-2</v>
      </c>
      <c r="AK86" s="117">
        <v>6.3200000000000006E-2</v>
      </c>
    </row>
    <row r="87" spans="1:37" ht="20.100000000000001" customHeight="1" x14ac:dyDescent="0.3">
      <c r="A87" s="41">
        <v>17</v>
      </c>
      <c r="B87" s="42" t="s">
        <v>38</v>
      </c>
      <c r="C87" s="42" t="s">
        <v>38</v>
      </c>
      <c r="D87" s="43" t="s">
        <v>41</v>
      </c>
      <c r="E87" s="44">
        <v>45558</v>
      </c>
      <c r="F87" s="45"/>
      <c r="G87" s="43" t="s">
        <v>81</v>
      </c>
      <c r="H87" s="72">
        <v>24.82</v>
      </c>
      <c r="I87" s="72">
        <v>7.65</v>
      </c>
      <c r="J87" s="72">
        <v>7.92</v>
      </c>
      <c r="K87" s="73">
        <v>193.3</v>
      </c>
      <c r="L87" s="59"/>
      <c r="M87" s="60"/>
      <c r="N87" s="60"/>
      <c r="O87" s="60">
        <v>2.0710000000000002</v>
      </c>
      <c r="P87" s="60"/>
      <c r="Q87" s="60"/>
      <c r="R87" s="60"/>
      <c r="S87" s="60"/>
      <c r="T87" s="60">
        <v>12.406000000000001</v>
      </c>
      <c r="U87" s="112">
        <v>8</v>
      </c>
      <c r="V87" s="112">
        <v>2.11</v>
      </c>
      <c r="W87" s="60"/>
      <c r="X87" s="60"/>
      <c r="Y87" s="65"/>
      <c r="Z87" s="130">
        <v>21.45</v>
      </c>
      <c r="AA87" s="130">
        <v>18.850000000000001</v>
      </c>
      <c r="AB87" s="130">
        <v>21.099999999999998</v>
      </c>
      <c r="AC87" s="130">
        <v>2.68</v>
      </c>
      <c r="AD87" s="130">
        <v>35.92</v>
      </c>
      <c r="AE87" s="130">
        <f t="shared" si="5"/>
        <v>100</v>
      </c>
      <c r="AG87" s="117">
        <v>7.8E-2</v>
      </c>
      <c r="AH87" s="117">
        <v>5.2499999999999998E-2</v>
      </c>
      <c r="AI87" s="117">
        <v>9.0499999999999997E-2</v>
      </c>
      <c r="AJ87" s="117">
        <v>1.6899999999999998E-2</v>
      </c>
      <c r="AK87" s="117">
        <v>5.7099999999999998E-2</v>
      </c>
    </row>
    <row r="88" spans="1:37" ht="20.100000000000001" customHeight="1" x14ac:dyDescent="0.3">
      <c r="A88" s="41">
        <v>18</v>
      </c>
      <c r="B88" s="42" t="s">
        <v>38</v>
      </c>
      <c r="C88" s="42" t="s">
        <v>38</v>
      </c>
      <c r="D88" s="43" t="s">
        <v>42</v>
      </c>
      <c r="E88" s="44">
        <v>45558</v>
      </c>
      <c r="F88" s="45"/>
      <c r="G88" s="43" t="s">
        <v>81</v>
      </c>
      <c r="H88" s="72">
        <v>24.52</v>
      </c>
      <c r="I88" s="72">
        <v>7.51</v>
      </c>
      <c r="J88" s="72">
        <v>7.4</v>
      </c>
      <c r="K88" s="73">
        <v>208.7</v>
      </c>
      <c r="L88" s="59"/>
      <c r="M88" s="60"/>
      <c r="N88" s="60"/>
      <c r="O88" s="60">
        <v>1.972</v>
      </c>
      <c r="P88" s="60"/>
      <c r="Q88" s="60"/>
      <c r="R88" s="60"/>
      <c r="S88" s="60"/>
      <c r="T88" s="60">
        <v>13.935</v>
      </c>
      <c r="U88" s="112">
        <v>8.16</v>
      </c>
      <c r="V88" s="112">
        <v>1.79</v>
      </c>
      <c r="W88" s="60"/>
      <c r="X88" s="60"/>
      <c r="Y88" s="65"/>
      <c r="Z88" s="130">
        <v>23.03</v>
      </c>
      <c r="AA88" s="130">
        <v>17.919999999999998</v>
      </c>
      <c r="AB88" s="130">
        <v>25.46</v>
      </c>
      <c r="AC88" s="130">
        <v>2.48</v>
      </c>
      <c r="AD88" s="130">
        <v>31.11</v>
      </c>
      <c r="AE88" s="130">
        <f t="shared" si="5"/>
        <v>100</v>
      </c>
      <c r="AG88" s="117">
        <v>8.4699999999999998E-2</v>
      </c>
      <c r="AH88" s="117">
        <v>3.7400000000000003E-2</v>
      </c>
      <c r="AI88" s="117">
        <v>0.1069</v>
      </c>
      <c r="AJ88" s="117">
        <v>1.72E-2</v>
      </c>
      <c r="AK88" s="117">
        <v>7.4499999999999997E-2</v>
      </c>
    </row>
    <row r="89" spans="1:37" ht="20.100000000000001" customHeight="1" x14ac:dyDescent="0.3">
      <c r="A89" s="41">
        <v>19</v>
      </c>
      <c r="B89" s="42" t="s">
        <v>38</v>
      </c>
      <c r="C89" s="42" t="s">
        <v>43</v>
      </c>
      <c r="D89" s="43" t="s">
        <v>40</v>
      </c>
      <c r="E89" s="44">
        <v>45558</v>
      </c>
      <c r="F89" s="45"/>
      <c r="G89" s="43" t="s">
        <v>81</v>
      </c>
      <c r="H89" s="72">
        <v>25.86</v>
      </c>
      <c r="I89" s="72">
        <v>7.46</v>
      </c>
      <c r="J89" s="72">
        <v>6.9</v>
      </c>
      <c r="K89" s="73">
        <v>309.10000000000002</v>
      </c>
      <c r="L89" s="59"/>
      <c r="M89" s="60"/>
      <c r="N89" s="60"/>
      <c r="O89" s="60">
        <v>2.605</v>
      </c>
      <c r="P89" s="60"/>
      <c r="Q89" s="60"/>
      <c r="R89" s="60"/>
      <c r="S89" s="60"/>
      <c r="T89" s="60">
        <v>30.437000000000001</v>
      </c>
      <c r="U89" s="112">
        <v>9.75</v>
      </c>
      <c r="V89" s="112">
        <v>1.59</v>
      </c>
      <c r="W89" s="60"/>
      <c r="X89" s="60"/>
      <c r="Y89" s="65"/>
      <c r="Z89" s="130">
        <v>32.83</v>
      </c>
      <c r="AA89" s="130">
        <v>22.79</v>
      </c>
      <c r="AB89" s="130">
        <v>13.469999999999999</v>
      </c>
      <c r="AC89" s="130">
        <v>2.96</v>
      </c>
      <c r="AD89" s="130">
        <v>27.950000000000003</v>
      </c>
      <c r="AE89" s="130">
        <f t="shared" si="5"/>
        <v>100</v>
      </c>
      <c r="AG89" s="117">
        <v>0.11600000000000001</v>
      </c>
      <c r="AH89" s="117">
        <v>5.4100000000000002E-2</v>
      </c>
      <c r="AI89" s="117">
        <v>0.104</v>
      </c>
      <c r="AJ89" s="117">
        <v>1.84E-2</v>
      </c>
      <c r="AK89" s="117">
        <v>6.6100000000000006E-2</v>
      </c>
    </row>
    <row r="90" spans="1:37" ht="20.100000000000001" customHeight="1" x14ac:dyDescent="0.3">
      <c r="A90" s="41">
        <v>20</v>
      </c>
      <c r="B90" s="42" t="s">
        <v>38</v>
      </c>
      <c r="C90" s="42" t="s">
        <v>43</v>
      </c>
      <c r="D90" s="43" t="s">
        <v>44</v>
      </c>
      <c r="E90" s="44">
        <v>45558</v>
      </c>
      <c r="F90" s="45"/>
      <c r="G90" s="43" t="s">
        <v>81</v>
      </c>
      <c r="H90" s="72">
        <v>24.21</v>
      </c>
      <c r="I90" s="72">
        <v>7.08</v>
      </c>
      <c r="J90" s="72">
        <v>7.84</v>
      </c>
      <c r="K90" s="73">
        <v>274.8</v>
      </c>
      <c r="L90" s="59"/>
      <c r="M90" s="60"/>
      <c r="N90" s="60"/>
      <c r="O90" s="60">
        <v>1.569</v>
      </c>
      <c r="P90" s="60"/>
      <c r="Q90" s="60"/>
      <c r="R90" s="60"/>
      <c r="S90" s="60"/>
      <c r="T90" s="60">
        <v>21.135999999999999</v>
      </c>
      <c r="U90" s="113">
        <v>9.39</v>
      </c>
      <c r="V90" s="113">
        <v>2.5</v>
      </c>
      <c r="W90" s="62"/>
      <c r="X90" s="62"/>
      <c r="Y90" s="65"/>
      <c r="Z90" s="130">
        <v>22.720000000000002</v>
      </c>
      <c r="AA90" s="130">
        <v>26.46</v>
      </c>
      <c r="AB90" s="130">
        <v>17.150000000000002</v>
      </c>
      <c r="AC90" s="130">
        <v>2.94</v>
      </c>
      <c r="AD90" s="130">
        <v>30.73</v>
      </c>
      <c r="AE90" s="130">
        <f t="shared" si="5"/>
        <v>100.00000000000001</v>
      </c>
      <c r="AG90" s="117">
        <v>9.2600000000000002E-2</v>
      </c>
      <c r="AH90" s="117">
        <v>7.17E-2</v>
      </c>
      <c r="AI90" s="117">
        <v>0.1032</v>
      </c>
      <c r="AJ90" s="117">
        <v>1.7899999999999999E-2</v>
      </c>
      <c r="AK90" s="117">
        <v>6.2799999999999995E-2</v>
      </c>
    </row>
    <row r="91" spans="1:37" ht="20.100000000000001" customHeight="1" x14ac:dyDescent="0.3">
      <c r="A91" s="25">
        <v>21</v>
      </c>
      <c r="B91" s="17" t="s">
        <v>45</v>
      </c>
      <c r="C91" s="17" t="s">
        <v>45</v>
      </c>
      <c r="D91" s="18" t="s">
        <v>46</v>
      </c>
      <c r="E91" s="26">
        <v>45558</v>
      </c>
      <c r="F91" s="20"/>
      <c r="G91" s="18" t="s">
        <v>81</v>
      </c>
      <c r="H91" s="28">
        <v>21.7</v>
      </c>
      <c r="I91" s="28">
        <v>8.42</v>
      </c>
      <c r="J91" s="28">
        <v>10.36</v>
      </c>
      <c r="K91" s="74">
        <v>104</v>
      </c>
      <c r="L91" s="57"/>
      <c r="M91" s="54"/>
      <c r="N91" s="54"/>
      <c r="O91" s="58">
        <v>2.0310000000000001</v>
      </c>
      <c r="P91" s="58"/>
      <c r="Q91" s="58"/>
      <c r="R91" s="58"/>
      <c r="S91" s="58"/>
      <c r="T91" s="58">
        <v>5.9089999999999998</v>
      </c>
      <c r="U91" s="109">
        <v>2.19</v>
      </c>
      <c r="V91" s="109">
        <v>-0.53</v>
      </c>
      <c r="W91" s="58"/>
      <c r="X91" s="58"/>
      <c r="Y91" s="64"/>
      <c r="Z91" s="130">
        <v>10.07</v>
      </c>
      <c r="AA91" s="130">
        <v>15.440000000000001</v>
      </c>
      <c r="AB91" s="130">
        <v>25.95</v>
      </c>
      <c r="AC91" s="130">
        <v>3.74</v>
      </c>
      <c r="AD91" s="130">
        <v>44.800000000000004</v>
      </c>
      <c r="AE91" s="130">
        <f t="shared" si="5"/>
        <v>100</v>
      </c>
      <c r="AG91" s="117">
        <v>5.9799999999999999E-2</v>
      </c>
      <c r="AH91" s="117">
        <v>8.4000000000000005E-2</v>
      </c>
      <c r="AI91" s="117">
        <v>0.1116</v>
      </c>
      <c r="AJ91" s="117">
        <v>2.3E-2</v>
      </c>
      <c r="AK91" s="117">
        <v>0.14099999999999999</v>
      </c>
    </row>
    <row r="92" spans="1:37" ht="20.100000000000001" customHeight="1" x14ac:dyDescent="0.3">
      <c r="A92" s="25">
        <v>22</v>
      </c>
      <c r="B92" s="17" t="s">
        <v>45</v>
      </c>
      <c r="C92" s="17" t="s">
        <v>45</v>
      </c>
      <c r="D92" s="22" t="s">
        <v>47</v>
      </c>
      <c r="E92" s="26">
        <v>45558</v>
      </c>
      <c r="F92" s="23"/>
      <c r="G92" s="18" t="s">
        <v>81</v>
      </c>
      <c r="H92" s="28">
        <v>20.96</v>
      </c>
      <c r="I92" s="28">
        <v>7.9</v>
      </c>
      <c r="J92" s="28">
        <v>10.15</v>
      </c>
      <c r="K92" s="74">
        <v>101</v>
      </c>
      <c r="L92" s="57"/>
      <c r="M92" s="55"/>
      <c r="N92" s="55"/>
      <c r="O92" s="55">
        <v>2.3380000000000001</v>
      </c>
      <c r="P92" s="55"/>
      <c r="Q92" s="55"/>
      <c r="R92" s="55"/>
      <c r="S92" s="55"/>
      <c r="T92" s="55">
        <v>7.3620000000000001</v>
      </c>
      <c r="U92" s="110">
        <v>4.6100000000000003</v>
      </c>
      <c r="V92" s="110">
        <v>-0.06</v>
      </c>
      <c r="W92" s="55"/>
      <c r="X92" s="55"/>
      <c r="Y92" s="66"/>
      <c r="Z92" s="130">
        <v>14.67</v>
      </c>
      <c r="AA92" s="130">
        <v>13.750000000000002</v>
      </c>
      <c r="AB92" s="130">
        <v>23.21</v>
      </c>
      <c r="AC92" s="130">
        <v>2.8400000000000003</v>
      </c>
      <c r="AD92" s="130">
        <v>45.53</v>
      </c>
      <c r="AE92" s="130">
        <f t="shared" si="5"/>
        <v>100</v>
      </c>
      <c r="AG92" s="117">
        <v>3.3599999999999998E-2</v>
      </c>
      <c r="AH92" s="117">
        <v>4.5100000000000001E-2</v>
      </c>
      <c r="AI92" s="117">
        <v>0.1143</v>
      </c>
      <c r="AJ92" s="117">
        <v>1.89E-2</v>
      </c>
      <c r="AK92" s="117">
        <v>9.7199999999999995E-2</v>
      </c>
    </row>
    <row r="93" spans="1:37" ht="20.100000000000001" customHeight="1" x14ac:dyDescent="0.3">
      <c r="A93" s="25">
        <v>23</v>
      </c>
      <c r="B93" s="17" t="s">
        <v>45</v>
      </c>
      <c r="C93" s="17" t="s">
        <v>45</v>
      </c>
      <c r="D93" s="22" t="s">
        <v>29</v>
      </c>
      <c r="E93" s="26">
        <v>45558</v>
      </c>
      <c r="F93" s="23"/>
      <c r="G93" s="18" t="s">
        <v>81</v>
      </c>
      <c r="H93" s="75">
        <v>21.12</v>
      </c>
      <c r="I93" s="75">
        <v>7.79</v>
      </c>
      <c r="J93" s="75">
        <v>10.23</v>
      </c>
      <c r="K93" s="77">
        <v>97</v>
      </c>
      <c r="L93" s="57"/>
      <c r="M93" s="55"/>
      <c r="N93" s="55"/>
      <c r="O93" s="55">
        <v>2.2559999999999998</v>
      </c>
      <c r="P93" s="55"/>
      <c r="Q93" s="55"/>
      <c r="R93" s="55"/>
      <c r="S93" s="55"/>
      <c r="T93" s="55">
        <v>7.5640000000000001</v>
      </c>
      <c r="U93" s="110">
        <v>3.61</v>
      </c>
      <c r="V93" s="110">
        <v>-2.4700000000000002</v>
      </c>
      <c r="W93" s="55"/>
      <c r="X93" s="55"/>
      <c r="Y93" s="66"/>
      <c r="Z93" s="130">
        <v>10.37</v>
      </c>
      <c r="AA93" s="130">
        <v>20.3</v>
      </c>
      <c r="AB93" s="130">
        <v>21.07</v>
      </c>
      <c r="AC93" s="130">
        <v>4.32</v>
      </c>
      <c r="AD93" s="130">
        <v>43.94</v>
      </c>
      <c r="AE93" s="130">
        <f t="shared" si="5"/>
        <v>100</v>
      </c>
      <c r="AG93" s="117">
        <v>5.6899999999999999E-2</v>
      </c>
      <c r="AH93" s="117">
        <v>0.1263</v>
      </c>
      <c r="AI93" s="117">
        <v>0.1258</v>
      </c>
      <c r="AJ93" s="117">
        <v>2.3E-2</v>
      </c>
      <c r="AK93" s="117">
        <v>0.12839999999999999</v>
      </c>
    </row>
    <row r="94" spans="1:37" ht="20.100000000000001" customHeight="1" x14ac:dyDescent="0.3">
      <c r="A94" s="25">
        <v>24</v>
      </c>
      <c r="B94" s="17" t="s">
        <v>45</v>
      </c>
      <c r="C94" s="17" t="s">
        <v>45</v>
      </c>
      <c r="D94" s="18" t="s">
        <v>48</v>
      </c>
      <c r="E94" s="26">
        <v>45558</v>
      </c>
      <c r="F94" s="20"/>
      <c r="G94" s="18" t="s">
        <v>134</v>
      </c>
      <c r="H94" s="28">
        <v>21.15</v>
      </c>
      <c r="I94" s="28">
        <v>7.79</v>
      </c>
      <c r="J94" s="28">
        <v>10.44</v>
      </c>
      <c r="K94" s="74">
        <v>99</v>
      </c>
      <c r="L94" s="57"/>
      <c r="M94" s="54"/>
      <c r="N94" s="54"/>
      <c r="O94" s="54">
        <v>2.2269999999999999</v>
      </c>
      <c r="P94" s="54"/>
      <c r="Q94" s="54"/>
      <c r="R94" s="54"/>
      <c r="S94" s="54"/>
      <c r="T94" s="54">
        <v>7.851</v>
      </c>
      <c r="U94" s="108">
        <v>5.78</v>
      </c>
      <c r="V94" s="108">
        <v>1.18</v>
      </c>
      <c r="W94" s="54"/>
      <c r="X94" s="54"/>
      <c r="Y94" s="64"/>
      <c r="Z94" s="130">
        <v>22.73</v>
      </c>
      <c r="AA94" s="130">
        <v>9.2799999999999994</v>
      </c>
      <c r="AB94" s="130">
        <v>22.82</v>
      </c>
      <c r="AC94" s="130">
        <v>3.2199999999999998</v>
      </c>
      <c r="AD94" s="130">
        <v>41.949999999999996</v>
      </c>
      <c r="AE94" s="130">
        <f t="shared" si="5"/>
        <v>100</v>
      </c>
      <c r="AG94" s="117">
        <v>5.8500000000000003E-2</v>
      </c>
      <c r="AH94" s="117">
        <v>4.9099999999999998E-2</v>
      </c>
      <c r="AI94" s="117">
        <v>0.106</v>
      </c>
      <c r="AJ94" s="117">
        <v>0.02</v>
      </c>
      <c r="AK94" s="117">
        <v>6.3200000000000006E-2</v>
      </c>
    </row>
    <row r="95" spans="1:37" ht="20.100000000000001" customHeight="1" x14ac:dyDescent="0.3"/>
    <row r="96" spans="1:37" ht="20.100000000000001" customHeight="1" x14ac:dyDescent="0.3"/>
    <row r="97" spans="1:46" ht="20.100000000000001" customHeight="1" x14ac:dyDescent="0.3">
      <c r="AJ97" s="134" t="s">
        <v>1353</v>
      </c>
    </row>
    <row r="98" spans="1:46" ht="20.100000000000001" customHeight="1" thickBot="1" x14ac:dyDescent="0.35">
      <c r="Z98" t="s">
        <v>1337</v>
      </c>
    </row>
    <row r="99" spans="1:46" ht="20.100000000000001" customHeight="1" thickBot="1" x14ac:dyDescent="0.35">
      <c r="A99" s="124" t="s">
        <v>1</v>
      </c>
      <c r="B99" s="126" t="s">
        <v>62</v>
      </c>
      <c r="C99" s="126" t="s">
        <v>63</v>
      </c>
      <c r="D99" s="124" t="s">
        <v>7</v>
      </c>
      <c r="E99" s="128" t="s">
        <v>8</v>
      </c>
      <c r="F99" s="129"/>
      <c r="G99" s="119" t="s">
        <v>9</v>
      </c>
      <c r="H99" s="119"/>
      <c r="I99" s="119"/>
      <c r="J99" s="119"/>
      <c r="K99" s="119"/>
      <c r="L99" s="120" t="s">
        <v>56</v>
      </c>
      <c r="M99" s="121"/>
      <c r="N99" s="121"/>
      <c r="O99" s="121"/>
      <c r="P99" s="121"/>
      <c r="Q99" s="121"/>
      <c r="R99" s="121"/>
      <c r="S99" s="121"/>
      <c r="T99" s="121"/>
      <c r="U99" s="9"/>
      <c r="V99" s="9"/>
      <c r="W99" s="9"/>
      <c r="X99" s="9"/>
      <c r="Y99" s="122" t="s">
        <v>10</v>
      </c>
      <c r="Z99" s="114" t="s">
        <v>1342</v>
      </c>
      <c r="AE99">
        <v>1</v>
      </c>
      <c r="AG99" s="114" t="s">
        <v>1336</v>
      </c>
    </row>
    <row r="100" spans="1:46" ht="20.100000000000001" customHeight="1" thickBot="1" x14ac:dyDescent="0.35">
      <c r="A100" s="125"/>
      <c r="B100" s="125"/>
      <c r="C100" s="125"/>
      <c r="D100" s="127"/>
      <c r="E100" s="1" t="s">
        <v>0</v>
      </c>
      <c r="F100" s="4" t="s">
        <v>11</v>
      </c>
      <c r="G100" s="4" t="s">
        <v>12</v>
      </c>
      <c r="H100" s="4" t="s">
        <v>13</v>
      </c>
      <c r="I100" s="4" t="s">
        <v>14</v>
      </c>
      <c r="J100" s="51" t="s">
        <v>15</v>
      </c>
      <c r="K100" s="51" t="s">
        <v>16</v>
      </c>
      <c r="L100" s="51" t="s">
        <v>6</v>
      </c>
      <c r="M100" s="51" t="s">
        <v>51</v>
      </c>
      <c r="N100" s="51" t="s">
        <v>125</v>
      </c>
      <c r="O100" s="51" t="s">
        <v>126</v>
      </c>
      <c r="P100" s="51" t="s">
        <v>127</v>
      </c>
      <c r="Q100" s="51" t="s">
        <v>53</v>
      </c>
      <c r="R100" s="51" t="s">
        <v>54</v>
      </c>
      <c r="S100" s="51" t="s">
        <v>128</v>
      </c>
      <c r="T100" s="51" t="s">
        <v>129</v>
      </c>
      <c r="U100" s="51" t="s">
        <v>130</v>
      </c>
      <c r="V100" s="4" t="s">
        <v>78</v>
      </c>
      <c r="W100" s="4" t="s">
        <v>131</v>
      </c>
      <c r="X100" s="10" t="s">
        <v>76</v>
      </c>
      <c r="Y100" s="123"/>
      <c r="Z100" s="114" t="s">
        <v>178</v>
      </c>
      <c r="AA100" s="114" t="s">
        <v>179</v>
      </c>
      <c r="AB100" s="114" t="s">
        <v>180</v>
      </c>
      <c r="AC100" s="114" t="s">
        <v>181</v>
      </c>
      <c r="AD100" s="114" t="s">
        <v>182</v>
      </c>
      <c r="AE100" s="115" t="s">
        <v>326</v>
      </c>
      <c r="AG100" s="114" t="s">
        <v>178</v>
      </c>
      <c r="AH100" s="114" t="s">
        <v>179</v>
      </c>
      <c r="AI100" s="114" t="s">
        <v>180</v>
      </c>
      <c r="AJ100" s="114" t="s">
        <v>181</v>
      </c>
      <c r="AK100" s="114" t="s">
        <v>182</v>
      </c>
    </row>
    <row r="101" spans="1:46" ht="20.100000000000001" customHeight="1" x14ac:dyDescent="0.3">
      <c r="A101" s="11">
        <v>1</v>
      </c>
      <c r="B101" s="12" t="s">
        <v>17</v>
      </c>
      <c r="C101" s="12" t="s">
        <v>17</v>
      </c>
      <c r="D101" s="13" t="s">
        <v>18</v>
      </c>
      <c r="E101" s="36">
        <v>45558</v>
      </c>
      <c r="F101" s="15"/>
      <c r="G101" s="13" t="s">
        <v>134</v>
      </c>
      <c r="H101" s="27">
        <v>21.3</v>
      </c>
      <c r="I101" s="27">
        <v>7.95</v>
      </c>
      <c r="J101" s="27">
        <v>8.6199999999999992</v>
      </c>
      <c r="K101" s="76">
        <v>127</v>
      </c>
      <c r="L101" s="56"/>
      <c r="M101" s="53"/>
      <c r="N101" s="53"/>
      <c r="O101" s="53">
        <v>2.032</v>
      </c>
      <c r="P101" s="53"/>
      <c r="Q101" s="53"/>
      <c r="R101" s="53"/>
      <c r="S101" s="53"/>
      <c r="T101" s="53">
        <v>8.7530000000000001</v>
      </c>
      <c r="U101" s="107">
        <v>2.82</v>
      </c>
      <c r="V101" s="107">
        <v>-0.84</v>
      </c>
      <c r="W101" s="53"/>
      <c r="X101" s="53"/>
      <c r="Y101" s="63"/>
      <c r="Z101" s="130">
        <v>10.620000000000001</v>
      </c>
      <c r="AA101" s="130">
        <v>6.11</v>
      </c>
      <c r="AB101" s="130">
        <v>24.759999999999998</v>
      </c>
      <c r="AC101" s="130">
        <v>1.1499999999999999</v>
      </c>
      <c r="AD101" s="130">
        <v>57.36</v>
      </c>
      <c r="AE101" s="130">
        <f>SUM(Z101:AD101)</f>
        <v>100</v>
      </c>
      <c r="AG101" s="117">
        <v>4.4000000000000003E-3</v>
      </c>
      <c r="AH101" s="117">
        <v>2E-3</v>
      </c>
      <c r="AI101" s="117">
        <v>1.49E-2</v>
      </c>
      <c r="AJ101" s="117">
        <v>1.4E-3</v>
      </c>
      <c r="AK101" s="117">
        <v>1.6899999999999998E-2</v>
      </c>
    </row>
    <row r="102" spans="1:46" ht="20.100000000000001" customHeight="1" x14ac:dyDescent="0.3">
      <c r="A102" s="25">
        <v>2</v>
      </c>
      <c r="B102" s="17" t="s">
        <v>17</v>
      </c>
      <c r="C102" s="17" t="s">
        <v>17</v>
      </c>
      <c r="D102" s="18" t="s">
        <v>20</v>
      </c>
      <c r="E102" s="26">
        <v>45558</v>
      </c>
      <c r="F102" s="20"/>
      <c r="G102" s="18" t="s">
        <v>134</v>
      </c>
      <c r="H102" s="28">
        <v>21.8</v>
      </c>
      <c r="I102" s="28">
        <v>7.39</v>
      </c>
      <c r="J102" s="28">
        <v>8.4600000000000009</v>
      </c>
      <c r="K102" s="74">
        <v>138</v>
      </c>
      <c r="L102" s="57"/>
      <c r="M102" s="54"/>
      <c r="N102" s="54"/>
      <c r="O102" s="54">
        <v>2.137</v>
      </c>
      <c r="P102" s="54"/>
      <c r="Q102" s="54"/>
      <c r="R102" s="54"/>
      <c r="S102" s="54"/>
      <c r="T102" s="54">
        <v>8.5760000000000005</v>
      </c>
      <c r="U102" s="108">
        <v>2.78</v>
      </c>
      <c r="V102" s="108">
        <v>-2.58</v>
      </c>
      <c r="W102" s="54"/>
      <c r="X102" s="54"/>
      <c r="Y102" s="64"/>
      <c r="Z102" s="130">
        <v>10.190000000000001</v>
      </c>
      <c r="AA102" s="130">
        <v>5.33</v>
      </c>
      <c r="AB102" s="130">
        <v>22.040000000000003</v>
      </c>
      <c r="AC102" s="130">
        <v>0.73</v>
      </c>
      <c r="AD102" s="130">
        <v>61.71</v>
      </c>
      <c r="AE102" s="130">
        <f t="shared" ref="AE102:AE124" si="6">SUM(Z102:AD102)</f>
        <v>100</v>
      </c>
      <c r="AG102" s="117">
        <v>5.4999999999999997E-3</v>
      </c>
      <c r="AH102" s="117">
        <v>1.5E-3</v>
      </c>
      <c r="AI102" s="117">
        <v>1.7600000000000001E-2</v>
      </c>
      <c r="AJ102" s="117">
        <v>1.2999999999999999E-3</v>
      </c>
      <c r="AK102" s="117">
        <v>2.06E-2</v>
      </c>
    </row>
    <row r="103" spans="1:46" ht="20.100000000000001" customHeight="1" x14ac:dyDescent="0.3">
      <c r="A103" s="25">
        <v>3</v>
      </c>
      <c r="B103" s="17" t="s">
        <v>17</v>
      </c>
      <c r="C103" s="17" t="s">
        <v>17</v>
      </c>
      <c r="D103" s="18" t="s">
        <v>21</v>
      </c>
      <c r="E103" s="26">
        <v>45558</v>
      </c>
      <c r="F103" s="20"/>
      <c r="G103" s="18" t="s">
        <v>134</v>
      </c>
      <c r="H103" s="28">
        <v>21.9</v>
      </c>
      <c r="I103" s="28">
        <v>7.53</v>
      </c>
      <c r="J103" s="28">
        <v>8.41</v>
      </c>
      <c r="K103" s="74">
        <v>146</v>
      </c>
      <c r="L103" s="57"/>
      <c r="M103" s="54"/>
      <c r="N103" s="54"/>
      <c r="O103" s="54">
        <v>2.1419999999999999</v>
      </c>
      <c r="P103" s="54"/>
      <c r="Q103" s="54"/>
      <c r="R103" s="54"/>
      <c r="S103" s="54"/>
      <c r="T103" s="54">
        <v>8.8390000000000004</v>
      </c>
      <c r="U103" s="109">
        <v>3.38</v>
      </c>
      <c r="V103" s="109">
        <v>-1.92</v>
      </c>
      <c r="W103" s="58"/>
      <c r="X103" s="54"/>
      <c r="Y103" s="64"/>
      <c r="Z103" s="130">
        <v>11.61</v>
      </c>
      <c r="AA103" s="130">
        <v>6.2399999999999993</v>
      </c>
      <c r="AB103" s="130">
        <v>21.82</v>
      </c>
      <c r="AC103" s="130">
        <v>0.88</v>
      </c>
      <c r="AD103" s="130">
        <v>59.45</v>
      </c>
      <c r="AE103" s="130">
        <f t="shared" si="6"/>
        <v>100</v>
      </c>
      <c r="AG103" s="117">
        <v>6.4000000000000003E-3</v>
      </c>
      <c r="AH103" s="117">
        <v>2E-3</v>
      </c>
      <c r="AI103" s="117">
        <v>1.5800000000000002E-2</v>
      </c>
      <c r="AJ103" s="117">
        <v>1.2999999999999999E-3</v>
      </c>
      <c r="AK103" s="117">
        <v>1.8700000000000001E-2</v>
      </c>
    </row>
    <row r="104" spans="1:46" ht="20.100000000000001" customHeight="1" x14ac:dyDescent="0.3">
      <c r="A104" s="25">
        <v>4</v>
      </c>
      <c r="B104" s="17" t="s">
        <v>17</v>
      </c>
      <c r="C104" s="17" t="s">
        <v>17</v>
      </c>
      <c r="D104" s="18" t="s">
        <v>22</v>
      </c>
      <c r="E104" s="26">
        <v>45558</v>
      </c>
      <c r="F104" s="20"/>
      <c r="G104" s="18" t="s">
        <v>134</v>
      </c>
      <c r="H104" s="28">
        <v>23</v>
      </c>
      <c r="I104" s="28">
        <v>7.34</v>
      </c>
      <c r="J104" s="28">
        <v>6.53</v>
      </c>
      <c r="K104" s="74">
        <v>219</v>
      </c>
      <c r="L104" s="57"/>
      <c r="M104" s="54"/>
      <c r="N104" s="54"/>
      <c r="O104" s="54">
        <v>1.7010000000000001</v>
      </c>
      <c r="P104" s="54"/>
      <c r="Q104" s="54"/>
      <c r="R104" s="54"/>
      <c r="S104" s="54"/>
      <c r="T104" s="54">
        <v>13.954000000000001</v>
      </c>
      <c r="U104" s="108">
        <v>4.46</v>
      </c>
      <c r="V104" s="110">
        <v>-2.14</v>
      </c>
      <c r="W104" s="55"/>
      <c r="X104" s="55"/>
      <c r="Y104" s="64"/>
      <c r="Z104" s="130">
        <v>14.21</v>
      </c>
      <c r="AA104" s="130">
        <v>7.4700000000000006</v>
      </c>
      <c r="AB104" s="130">
        <v>19.16</v>
      </c>
      <c r="AC104" s="130">
        <v>0.85000000000000009</v>
      </c>
      <c r="AD104" s="130">
        <v>58.309999999999995</v>
      </c>
      <c r="AE104" s="130">
        <f t="shared" si="6"/>
        <v>100</v>
      </c>
      <c r="AG104" s="117">
        <v>1.01E-2</v>
      </c>
      <c r="AH104" s="117">
        <v>1.8E-3</v>
      </c>
      <c r="AI104" s="117">
        <v>1.15E-2</v>
      </c>
      <c r="AJ104" s="117">
        <v>1.2999999999999999E-3</v>
      </c>
      <c r="AK104" s="117">
        <v>1.9599999999999999E-2</v>
      </c>
    </row>
    <row r="105" spans="1:46" ht="20.100000000000001" customHeight="1" x14ac:dyDescent="0.3">
      <c r="A105" s="41">
        <v>5</v>
      </c>
      <c r="B105" s="42" t="s">
        <v>23</v>
      </c>
      <c r="C105" s="42" t="s">
        <v>23</v>
      </c>
      <c r="D105" s="43" t="s">
        <v>24</v>
      </c>
      <c r="E105" s="44">
        <v>45558</v>
      </c>
      <c r="F105" s="45"/>
      <c r="G105" s="43" t="s">
        <v>134</v>
      </c>
      <c r="H105" s="72">
        <v>20.79</v>
      </c>
      <c r="I105" s="72">
        <v>7.66</v>
      </c>
      <c r="J105" s="72">
        <v>10.26</v>
      </c>
      <c r="K105" s="73">
        <v>84</v>
      </c>
      <c r="L105" s="59"/>
      <c r="M105" s="60"/>
      <c r="N105" s="60"/>
      <c r="O105" s="61">
        <v>1.752</v>
      </c>
      <c r="P105" s="61"/>
      <c r="Q105" s="61"/>
      <c r="R105" s="61"/>
      <c r="S105" s="61"/>
      <c r="T105" s="61">
        <v>7.3540000000000001</v>
      </c>
      <c r="U105" s="111">
        <v>1.98</v>
      </c>
      <c r="V105" s="111">
        <v>2.0499999999999998</v>
      </c>
      <c r="W105" s="61"/>
      <c r="X105" s="61"/>
      <c r="Y105" s="65"/>
      <c r="Z105" s="130">
        <v>9.42</v>
      </c>
      <c r="AA105" s="130">
        <v>6.1899999999999995</v>
      </c>
      <c r="AB105" s="130">
        <v>31.990000000000002</v>
      </c>
      <c r="AC105" s="130">
        <v>2.41</v>
      </c>
      <c r="AD105" s="130">
        <v>49.99</v>
      </c>
      <c r="AE105" s="130">
        <f t="shared" si="6"/>
        <v>100</v>
      </c>
      <c r="AG105" s="117">
        <v>2.3E-3</v>
      </c>
      <c r="AH105" s="117">
        <v>1E-3</v>
      </c>
      <c r="AI105" s="117">
        <v>1.52E-2</v>
      </c>
      <c r="AJ105" s="117">
        <v>1.1999999999999999E-3</v>
      </c>
      <c r="AK105" s="117">
        <v>1.6199999999999999E-2</v>
      </c>
    </row>
    <row r="106" spans="1:46" ht="20.100000000000001" customHeight="1" x14ac:dyDescent="0.3">
      <c r="A106" s="41">
        <v>6</v>
      </c>
      <c r="B106" s="42" t="s">
        <v>23</v>
      </c>
      <c r="C106" s="42" t="s">
        <v>23</v>
      </c>
      <c r="D106" s="43" t="s">
        <v>25</v>
      </c>
      <c r="E106" s="44">
        <v>45558</v>
      </c>
      <c r="F106" s="45"/>
      <c r="G106" s="43" t="s">
        <v>134</v>
      </c>
      <c r="H106" s="72">
        <v>21.45</v>
      </c>
      <c r="I106" s="72">
        <v>7.49</v>
      </c>
      <c r="J106" s="72">
        <v>10.199999999999999</v>
      </c>
      <c r="K106" s="73">
        <v>120</v>
      </c>
      <c r="L106" s="59"/>
      <c r="M106" s="60"/>
      <c r="N106" s="60"/>
      <c r="O106" s="60">
        <v>1.67</v>
      </c>
      <c r="P106" s="60"/>
      <c r="Q106" s="60"/>
      <c r="R106" s="60"/>
      <c r="S106" s="60"/>
      <c r="T106" s="60">
        <v>12.948</v>
      </c>
      <c r="U106" s="112">
        <v>8.43</v>
      </c>
      <c r="V106" s="112">
        <v>0.78</v>
      </c>
      <c r="W106" s="60"/>
      <c r="X106" s="60"/>
      <c r="Y106" s="65"/>
      <c r="Z106" s="130">
        <v>27.54</v>
      </c>
      <c r="AA106" s="130">
        <v>16.5</v>
      </c>
      <c r="AB106" s="130">
        <v>15.160000000000002</v>
      </c>
      <c r="AC106" s="130">
        <v>1.8800000000000001</v>
      </c>
      <c r="AD106" s="130">
        <v>38.92</v>
      </c>
      <c r="AE106" s="130">
        <f t="shared" si="6"/>
        <v>100</v>
      </c>
      <c r="AG106" s="117">
        <v>1.21E-2</v>
      </c>
      <c r="AH106" s="117">
        <v>2.7000000000000001E-3</v>
      </c>
      <c r="AI106" s="117">
        <v>4.7999999999999996E-3</v>
      </c>
      <c r="AJ106" s="117">
        <v>1.6999999999999999E-3</v>
      </c>
      <c r="AK106" s="117">
        <v>1.0800000000000001E-2</v>
      </c>
    </row>
    <row r="107" spans="1:46" ht="20.100000000000001" customHeight="1" x14ac:dyDescent="0.3">
      <c r="A107" s="41">
        <v>7</v>
      </c>
      <c r="B107" s="42" t="s">
        <v>23</v>
      </c>
      <c r="C107" s="42" t="s">
        <v>23</v>
      </c>
      <c r="D107" s="43" t="s">
        <v>26</v>
      </c>
      <c r="E107" s="44">
        <v>45558</v>
      </c>
      <c r="F107" s="45"/>
      <c r="G107" s="43" t="s">
        <v>134</v>
      </c>
      <c r="H107" s="72">
        <v>21.76</v>
      </c>
      <c r="I107" s="72">
        <v>7.44</v>
      </c>
      <c r="J107" s="72">
        <v>9.6300000000000008</v>
      </c>
      <c r="K107" s="73">
        <v>144</v>
      </c>
      <c r="L107" s="59"/>
      <c r="M107" s="60"/>
      <c r="N107" s="60"/>
      <c r="O107" s="60">
        <v>1.84</v>
      </c>
      <c r="P107" s="60"/>
      <c r="Q107" s="60"/>
      <c r="R107" s="60"/>
      <c r="S107" s="60"/>
      <c r="T107" s="60">
        <v>14.073</v>
      </c>
      <c r="U107" s="112">
        <v>8.25</v>
      </c>
      <c r="V107" s="112">
        <v>-0.35</v>
      </c>
      <c r="W107" s="60"/>
      <c r="X107" s="60"/>
      <c r="Y107" s="65"/>
      <c r="Z107" s="130">
        <v>26.619999999999997</v>
      </c>
      <c r="AA107" s="130">
        <v>15.010000000000002</v>
      </c>
      <c r="AB107" s="130">
        <v>14.69</v>
      </c>
      <c r="AC107" s="130">
        <v>1.48</v>
      </c>
      <c r="AD107" s="130">
        <v>42.199999999999996</v>
      </c>
      <c r="AE107" s="130">
        <f t="shared" si="6"/>
        <v>99.999999999999986</v>
      </c>
      <c r="AG107" s="117">
        <v>1.44E-2</v>
      </c>
      <c r="AH107" s="117">
        <v>1.6000000000000001E-3</v>
      </c>
      <c r="AI107" s="117">
        <v>5.4000000000000003E-3</v>
      </c>
      <c r="AJ107" s="117">
        <v>1.6999999999999999E-3</v>
      </c>
      <c r="AK107" s="117">
        <v>1.32E-2</v>
      </c>
      <c r="AT107" t="s">
        <v>1355</v>
      </c>
    </row>
    <row r="108" spans="1:46" ht="20.100000000000001" customHeight="1" x14ac:dyDescent="0.3">
      <c r="A108" s="41">
        <v>8</v>
      </c>
      <c r="B108" s="42" t="s">
        <v>23</v>
      </c>
      <c r="C108" s="42" t="s">
        <v>27</v>
      </c>
      <c r="D108" s="43" t="s">
        <v>68</v>
      </c>
      <c r="E108" s="44">
        <v>45558</v>
      </c>
      <c r="F108" s="45"/>
      <c r="G108" s="43" t="s">
        <v>134</v>
      </c>
      <c r="H108" s="72">
        <v>21.59</v>
      </c>
      <c r="I108" s="72">
        <v>7.28</v>
      </c>
      <c r="J108" s="72">
        <v>8.57</v>
      </c>
      <c r="K108" s="73">
        <v>339</v>
      </c>
      <c r="L108" s="59"/>
      <c r="M108" s="60"/>
      <c r="N108" s="60"/>
      <c r="O108" s="60">
        <v>0.70099999999999996</v>
      </c>
      <c r="P108" s="60"/>
      <c r="Q108" s="60"/>
      <c r="R108" s="60"/>
      <c r="S108" s="60"/>
      <c r="T108" s="60">
        <v>30.856000000000002</v>
      </c>
      <c r="U108" s="112">
        <v>12.56</v>
      </c>
      <c r="V108" s="112">
        <v>4.07</v>
      </c>
      <c r="W108" s="60"/>
      <c r="X108" s="60"/>
      <c r="Y108" s="65"/>
      <c r="Z108" s="130">
        <v>38.49</v>
      </c>
      <c r="AA108" s="130">
        <v>27.889999999999997</v>
      </c>
      <c r="AB108" s="130">
        <v>11.42</v>
      </c>
      <c r="AC108" s="130">
        <v>3.56</v>
      </c>
      <c r="AD108" s="130">
        <v>18.64</v>
      </c>
      <c r="AE108" s="130">
        <f t="shared" si="6"/>
        <v>100</v>
      </c>
      <c r="AG108" s="117">
        <v>6.4999999999999997E-3</v>
      </c>
      <c r="AH108" s="117">
        <v>6.4999999999999997E-3</v>
      </c>
      <c r="AI108" s="117">
        <v>1.2999999999999999E-3</v>
      </c>
      <c r="AJ108" s="117">
        <v>2.3999999999999998E-3</v>
      </c>
      <c r="AK108" s="117">
        <v>2.0999999999999999E-3</v>
      </c>
    </row>
    <row r="109" spans="1:46" ht="20.100000000000001" customHeight="1" x14ac:dyDescent="0.3">
      <c r="A109" s="41">
        <v>9</v>
      </c>
      <c r="B109" s="42" t="s">
        <v>23</v>
      </c>
      <c r="C109" s="42" t="s">
        <v>27</v>
      </c>
      <c r="D109" s="43" t="s">
        <v>30</v>
      </c>
      <c r="E109" s="44">
        <v>45558</v>
      </c>
      <c r="F109" s="45"/>
      <c r="G109" s="43" t="s">
        <v>134</v>
      </c>
      <c r="H109" s="72">
        <v>21.84</v>
      </c>
      <c r="I109" s="72">
        <v>7.29</v>
      </c>
      <c r="J109" s="72">
        <v>8.7100000000000009</v>
      </c>
      <c r="K109" s="73">
        <v>221</v>
      </c>
      <c r="L109" s="59"/>
      <c r="M109" s="60"/>
      <c r="N109" s="60"/>
      <c r="O109" s="60">
        <v>1.857</v>
      </c>
      <c r="P109" s="60"/>
      <c r="Q109" s="60"/>
      <c r="R109" s="60"/>
      <c r="S109" s="60"/>
      <c r="T109" s="60">
        <v>21.363</v>
      </c>
      <c r="U109" s="112">
        <v>7.14</v>
      </c>
      <c r="V109" s="113">
        <v>-2.67</v>
      </c>
      <c r="W109" s="62"/>
      <c r="X109" s="62"/>
      <c r="Y109" s="65"/>
      <c r="Z109" s="130">
        <v>22.23</v>
      </c>
      <c r="AA109" s="130">
        <v>11.14</v>
      </c>
      <c r="AB109" s="130">
        <v>14.59</v>
      </c>
      <c r="AC109" s="130">
        <v>0.85</v>
      </c>
      <c r="AD109" s="130">
        <v>51.190000000000005</v>
      </c>
      <c r="AE109" s="130">
        <f t="shared" si="6"/>
        <v>100.00000000000001</v>
      </c>
      <c r="AG109" s="117">
        <v>1.18E-2</v>
      </c>
      <c r="AH109" s="117">
        <v>1.9E-3</v>
      </c>
      <c r="AI109" s="117">
        <v>8.2000000000000007E-3</v>
      </c>
      <c r="AJ109" s="117">
        <v>1.5E-3</v>
      </c>
      <c r="AK109" s="117">
        <v>1.23E-2</v>
      </c>
    </row>
    <row r="110" spans="1:46" ht="20.100000000000001" customHeight="1" x14ac:dyDescent="0.3">
      <c r="A110" s="25">
        <v>10</v>
      </c>
      <c r="B110" s="17" t="s">
        <v>31</v>
      </c>
      <c r="C110" s="17" t="s">
        <v>31</v>
      </c>
      <c r="D110" s="18" t="s">
        <v>32</v>
      </c>
      <c r="E110" s="26">
        <v>45558</v>
      </c>
      <c r="F110" s="20"/>
      <c r="G110" s="18" t="s">
        <v>134</v>
      </c>
      <c r="H110" s="28">
        <v>22.67</v>
      </c>
      <c r="I110" s="28">
        <v>7.61</v>
      </c>
      <c r="J110" s="28">
        <v>7.83</v>
      </c>
      <c r="K110" s="74">
        <v>137.19999999999999</v>
      </c>
      <c r="L110" s="57"/>
      <c r="M110" s="54"/>
      <c r="N110" s="54"/>
      <c r="O110" s="58">
        <v>2.1589999999999998</v>
      </c>
      <c r="P110" s="58"/>
      <c r="Q110" s="58"/>
      <c r="R110" s="58"/>
      <c r="S110" s="58"/>
      <c r="T110" s="58">
        <v>5.758</v>
      </c>
      <c r="U110" s="109">
        <v>4.8</v>
      </c>
      <c r="V110" s="109">
        <v>-0.72</v>
      </c>
      <c r="W110" s="58"/>
      <c r="X110" s="58"/>
      <c r="Y110" s="64"/>
      <c r="Z110" s="130">
        <v>15.620000000000001</v>
      </c>
      <c r="AA110" s="130">
        <v>8.91</v>
      </c>
      <c r="AB110" s="130">
        <v>20.22</v>
      </c>
      <c r="AC110" s="130">
        <v>1.21</v>
      </c>
      <c r="AD110" s="130">
        <v>54.04</v>
      </c>
      <c r="AE110" s="130">
        <f t="shared" si="6"/>
        <v>100</v>
      </c>
      <c r="AG110" s="117">
        <v>8.6999999999999994E-3</v>
      </c>
      <c r="AH110" s="117">
        <v>1.1999999999999999E-3</v>
      </c>
      <c r="AI110" s="117">
        <v>9.5999999999999992E-3</v>
      </c>
      <c r="AJ110" s="117">
        <v>1.4E-3</v>
      </c>
      <c r="AK110" s="117">
        <v>1.7100000000000001E-2</v>
      </c>
    </row>
    <row r="111" spans="1:46" ht="20.100000000000001" customHeight="1" x14ac:dyDescent="0.3">
      <c r="A111" s="25">
        <v>11</v>
      </c>
      <c r="B111" s="17" t="s">
        <v>31</v>
      </c>
      <c r="C111" s="17" t="s">
        <v>31</v>
      </c>
      <c r="D111" s="18" t="s">
        <v>69</v>
      </c>
      <c r="E111" s="26">
        <v>45558</v>
      </c>
      <c r="F111" s="20"/>
      <c r="G111" s="18" t="s">
        <v>134</v>
      </c>
      <c r="H111" s="28">
        <v>22.91</v>
      </c>
      <c r="I111" s="28">
        <v>7.07</v>
      </c>
      <c r="J111" s="28">
        <v>8.25</v>
      </c>
      <c r="K111" s="74">
        <v>127.6</v>
      </c>
      <c r="L111" s="57"/>
      <c r="M111" s="54"/>
      <c r="N111" s="54"/>
      <c r="O111" s="54">
        <v>2.1850000000000001</v>
      </c>
      <c r="P111" s="54"/>
      <c r="Q111" s="54"/>
      <c r="R111" s="54"/>
      <c r="S111" s="54"/>
      <c r="T111" s="54">
        <v>5.5590000000000002</v>
      </c>
      <c r="U111" s="108">
        <v>5.13</v>
      </c>
      <c r="V111" s="108">
        <v>-0.4</v>
      </c>
      <c r="W111" s="54"/>
      <c r="X111" s="54"/>
      <c r="Y111" s="64"/>
      <c r="Z111" s="130">
        <v>16.64</v>
      </c>
      <c r="AA111" s="130">
        <v>9.68</v>
      </c>
      <c r="AB111" s="130">
        <v>19.98</v>
      </c>
      <c r="AC111" s="130">
        <v>1.31</v>
      </c>
      <c r="AD111" s="130">
        <v>52.39</v>
      </c>
      <c r="AE111" s="130">
        <f t="shared" si="6"/>
        <v>100</v>
      </c>
      <c r="AG111" s="117">
        <v>7.7999999999999996E-3</v>
      </c>
      <c r="AH111" s="117">
        <v>5.9999999999999995E-4</v>
      </c>
      <c r="AI111" s="117">
        <v>8.3999999999999995E-3</v>
      </c>
      <c r="AJ111" s="117">
        <v>1.4E-3</v>
      </c>
      <c r="AK111" s="117">
        <v>1.49E-2</v>
      </c>
    </row>
    <row r="112" spans="1:46" ht="20.100000000000001" customHeight="1" x14ac:dyDescent="0.3">
      <c r="A112" s="25">
        <v>12</v>
      </c>
      <c r="B112" s="17" t="s">
        <v>31</v>
      </c>
      <c r="C112" s="17" t="s">
        <v>31</v>
      </c>
      <c r="D112" s="18" t="s">
        <v>34</v>
      </c>
      <c r="E112" s="26">
        <v>45558</v>
      </c>
      <c r="F112" s="20"/>
      <c r="G112" s="18" t="s">
        <v>134</v>
      </c>
      <c r="H112" s="28">
        <v>23.08</v>
      </c>
      <c r="I112" s="28">
        <v>7.06</v>
      </c>
      <c r="J112" s="28">
        <v>8.19</v>
      </c>
      <c r="K112" s="74">
        <v>129.5</v>
      </c>
      <c r="L112" s="57"/>
      <c r="M112" s="54"/>
      <c r="N112" s="54"/>
      <c r="O112" s="54">
        <v>2.1640000000000001</v>
      </c>
      <c r="P112" s="54"/>
      <c r="Q112" s="54"/>
      <c r="R112" s="54"/>
      <c r="S112" s="54"/>
      <c r="T112" s="54">
        <v>5.7969999999999997</v>
      </c>
      <c r="U112" s="108">
        <v>4.9400000000000004</v>
      </c>
      <c r="V112" s="108">
        <v>-0.57999999999999996</v>
      </c>
      <c r="W112" s="54"/>
      <c r="X112" s="54"/>
      <c r="Y112" s="64"/>
      <c r="Z112" s="130">
        <v>16.059999999999999</v>
      </c>
      <c r="AA112" s="130">
        <v>9.2299999999999986</v>
      </c>
      <c r="AB112" s="130">
        <v>20.119999999999997</v>
      </c>
      <c r="AC112" s="130">
        <v>1.25</v>
      </c>
      <c r="AD112" s="130">
        <v>53.339999999999996</v>
      </c>
      <c r="AE112" s="130">
        <f t="shared" si="6"/>
        <v>100</v>
      </c>
      <c r="AG112" s="117">
        <v>8.3999999999999995E-3</v>
      </c>
      <c r="AH112" s="117">
        <v>8.9999999999999998E-4</v>
      </c>
      <c r="AI112" s="117">
        <v>8.8999999999999999E-3</v>
      </c>
      <c r="AJ112" s="117">
        <v>1.4E-3</v>
      </c>
      <c r="AK112" s="117">
        <v>1.61E-2</v>
      </c>
    </row>
    <row r="113" spans="1:37" ht="20.100000000000001" customHeight="1" x14ac:dyDescent="0.3">
      <c r="A113" s="25">
        <v>13</v>
      </c>
      <c r="B113" s="17" t="s">
        <v>31</v>
      </c>
      <c r="C113" s="17" t="s">
        <v>35</v>
      </c>
      <c r="D113" s="18" t="s">
        <v>36</v>
      </c>
      <c r="E113" s="26">
        <v>45558</v>
      </c>
      <c r="F113" s="20"/>
      <c r="G113" s="18" t="s">
        <v>81</v>
      </c>
      <c r="H113" s="28">
        <v>22.77</v>
      </c>
      <c r="I113" s="28">
        <v>6.66</v>
      </c>
      <c r="J113" s="28">
        <v>7</v>
      </c>
      <c r="K113" s="74">
        <v>186.2</v>
      </c>
      <c r="L113" s="57"/>
      <c r="M113" s="54"/>
      <c r="N113" s="54"/>
      <c r="O113" s="54">
        <v>3.5609999999999999</v>
      </c>
      <c r="P113" s="54"/>
      <c r="Q113" s="54"/>
      <c r="R113" s="54"/>
      <c r="S113" s="54"/>
      <c r="T113" s="54">
        <v>9.6140000000000008</v>
      </c>
      <c r="U113" s="108">
        <v>7.83</v>
      </c>
      <c r="V113" s="108">
        <v>0.59</v>
      </c>
      <c r="W113" s="54"/>
      <c r="X113" s="54"/>
      <c r="Y113" s="64"/>
      <c r="Z113" s="130">
        <v>25.369999999999997</v>
      </c>
      <c r="AA113" s="130">
        <v>15.22</v>
      </c>
      <c r="AB113" s="130">
        <v>16.07</v>
      </c>
      <c r="AC113" s="130">
        <v>1.77</v>
      </c>
      <c r="AD113" s="130">
        <v>41.57</v>
      </c>
      <c r="AE113" s="130">
        <f t="shared" si="6"/>
        <v>100</v>
      </c>
      <c r="AG113" s="117">
        <v>1.17E-2</v>
      </c>
      <c r="AH113" s="117">
        <v>2.2000000000000001E-3</v>
      </c>
      <c r="AI113" s="117">
        <v>5.0000000000000001E-3</v>
      </c>
      <c r="AJ113" s="117">
        <v>1.6000000000000001E-3</v>
      </c>
      <c r="AK113" s="117">
        <v>1.11E-2</v>
      </c>
    </row>
    <row r="114" spans="1:37" ht="20.100000000000001" customHeight="1" x14ac:dyDescent="0.3">
      <c r="A114" s="25">
        <v>14</v>
      </c>
      <c r="B114" s="17" t="s">
        <v>31</v>
      </c>
      <c r="C114" s="17" t="s">
        <v>5</v>
      </c>
      <c r="D114" s="18" t="s">
        <v>29</v>
      </c>
      <c r="E114" s="26">
        <v>45558</v>
      </c>
      <c r="F114" s="20"/>
      <c r="G114" s="18" t="s">
        <v>81</v>
      </c>
      <c r="H114" s="28">
        <v>23.64</v>
      </c>
      <c r="I114" s="28">
        <v>6.72</v>
      </c>
      <c r="J114" s="28">
        <v>8.16</v>
      </c>
      <c r="K114" s="74">
        <v>175.1</v>
      </c>
      <c r="L114" s="57"/>
      <c r="M114" s="54"/>
      <c r="N114" s="54"/>
      <c r="O114" s="54">
        <v>1.7789999999999999</v>
      </c>
      <c r="P114" s="54"/>
      <c r="Q114" s="54"/>
      <c r="R114" s="54"/>
      <c r="S114" s="54"/>
      <c r="T114" s="54">
        <v>11.368</v>
      </c>
      <c r="U114" s="108">
        <v>6.56</v>
      </c>
      <c r="V114" s="108">
        <v>0.87</v>
      </c>
      <c r="W114" s="54"/>
      <c r="X114" s="54"/>
      <c r="Y114" s="64"/>
      <c r="Z114" s="130">
        <v>21.54</v>
      </c>
      <c r="AA114" s="130">
        <v>13.420000000000002</v>
      </c>
      <c r="AB114" s="130">
        <v>18.52</v>
      </c>
      <c r="AC114" s="130">
        <v>1.81</v>
      </c>
      <c r="AD114" s="130">
        <v>44.71</v>
      </c>
      <c r="AE114" s="130">
        <f t="shared" si="6"/>
        <v>100</v>
      </c>
      <c r="AG114" s="117">
        <v>3.8E-3</v>
      </c>
      <c r="AH114" s="117">
        <v>3.7000000000000002E-3</v>
      </c>
      <c r="AI114" s="117">
        <v>6.1000000000000004E-3</v>
      </c>
      <c r="AJ114" s="117">
        <v>1.1999999999999999E-3</v>
      </c>
      <c r="AK114" s="117">
        <v>4.3E-3</v>
      </c>
    </row>
    <row r="115" spans="1:37" ht="20.100000000000001" customHeight="1" x14ac:dyDescent="0.3">
      <c r="A115" s="25">
        <v>15</v>
      </c>
      <c r="B115" s="17" t="s">
        <v>31</v>
      </c>
      <c r="C115" s="17" t="s">
        <v>35</v>
      </c>
      <c r="D115" s="18" t="s">
        <v>29</v>
      </c>
      <c r="E115" s="26">
        <v>45558</v>
      </c>
      <c r="F115" s="20"/>
      <c r="G115" s="18" t="s">
        <v>81</v>
      </c>
      <c r="H115" s="28">
        <v>23.04</v>
      </c>
      <c r="I115" s="28">
        <v>6.58</v>
      </c>
      <c r="J115" s="28">
        <v>6.6</v>
      </c>
      <c r="K115" s="74">
        <v>183.5</v>
      </c>
      <c r="L115" s="57"/>
      <c r="M115" s="54"/>
      <c r="N115" s="54"/>
      <c r="O115" s="54">
        <v>3.331</v>
      </c>
      <c r="P115" s="54"/>
      <c r="Q115" s="54"/>
      <c r="R115" s="54"/>
      <c r="S115" s="54"/>
      <c r="T115" s="54">
        <v>8.9570000000000007</v>
      </c>
      <c r="U115" s="108">
        <v>8.2100000000000009</v>
      </c>
      <c r="V115" s="110">
        <v>1.84</v>
      </c>
      <c r="W115" s="55"/>
      <c r="X115" s="55"/>
      <c r="Y115" s="64"/>
      <c r="Z115" s="130">
        <v>26.840000000000003</v>
      </c>
      <c r="AA115" s="130">
        <v>17.18</v>
      </c>
      <c r="AB115" s="130">
        <v>16.23</v>
      </c>
      <c r="AC115" s="130">
        <v>2.34</v>
      </c>
      <c r="AD115" s="130">
        <v>37.409999999999997</v>
      </c>
      <c r="AE115" s="130">
        <f t="shared" si="6"/>
        <v>100</v>
      </c>
      <c r="AG115" s="117">
        <v>0.01</v>
      </c>
      <c r="AH115" s="117">
        <v>2.8999999999999998E-3</v>
      </c>
      <c r="AI115" s="117">
        <v>4.3E-3</v>
      </c>
      <c r="AJ115" s="117">
        <v>1.5E-3</v>
      </c>
      <c r="AK115" s="117">
        <v>9.1999999999999998E-3</v>
      </c>
    </row>
    <row r="116" spans="1:37" ht="20.100000000000001" customHeight="1" x14ac:dyDescent="0.3">
      <c r="A116" s="41">
        <v>16</v>
      </c>
      <c r="B116" s="42" t="s">
        <v>38</v>
      </c>
      <c r="C116" s="42" t="s">
        <v>38</v>
      </c>
      <c r="D116" s="43" t="s">
        <v>39</v>
      </c>
      <c r="E116" s="44">
        <v>45558</v>
      </c>
      <c r="F116" s="45"/>
      <c r="G116" s="43" t="s">
        <v>81</v>
      </c>
      <c r="H116" s="72">
        <v>23.98</v>
      </c>
      <c r="I116" s="72">
        <v>7.05</v>
      </c>
      <c r="J116" s="72">
        <v>7.93</v>
      </c>
      <c r="K116" s="73">
        <v>141.9</v>
      </c>
      <c r="L116" s="59"/>
      <c r="M116" s="60"/>
      <c r="N116" s="60"/>
      <c r="O116" s="61">
        <v>2.0390000000000001</v>
      </c>
      <c r="P116" s="61"/>
      <c r="Q116" s="61"/>
      <c r="R116" s="61"/>
      <c r="S116" s="61"/>
      <c r="T116" s="61">
        <v>7.2519999999999998</v>
      </c>
      <c r="U116" s="111">
        <v>5.64</v>
      </c>
      <c r="V116" s="111">
        <v>1.92</v>
      </c>
      <c r="W116" s="61"/>
      <c r="X116" s="61"/>
      <c r="Y116" s="65"/>
      <c r="Z116" s="130">
        <v>18.940000000000001</v>
      </c>
      <c r="AA116" s="130">
        <v>12.53</v>
      </c>
      <c r="AB116" s="130">
        <v>21.29</v>
      </c>
      <c r="AC116" s="130">
        <v>2.2200000000000002</v>
      </c>
      <c r="AD116" s="130">
        <v>45.019999999999996</v>
      </c>
      <c r="AE116" s="130">
        <f t="shared" si="6"/>
        <v>100</v>
      </c>
      <c r="AG116" s="117">
        <v>3.3999999999999998E-3</v>
      </c>
      <c r="AH116" s="117">
        <v>3.0000000000000001E-3</v>
      </c>
      <c r="AI116" s="117">
        <v>6.7000000000000002E-3</v>
      </c>
      <c r="AJ116" s="117">
        <v>1.1000000000000001E-3</v>
      </c>
      <c r="AK116" s="117">
        <v>7.7999999999999996E-3</v>
      </c>
    </row>
    <row r="117" spans="1:37" ht="20.100000000000001" customHeight="1" x14ac:dyDescent="0.3">
      <c r="A117" s="41">
        <v>17</v>
      </c>
      <c r="B117" s="42" t="s">
        <v>38</v>
      </c>
      <c r="C117" s="42" t="s">
        <v>38</v>
      </c>
      <c r="D117" s="43" t="s">
        <v>41</v>
      </c>
      <c r="E117" s="44">
        <v>45558</v>
      </c>
      <c r="F117" s="45"/>
      <c r="G117" s="43" t="s">
        <v>81</v>
      </c>
      <c r="H117" s="72">
        <v>24.82</v>
      </c>
      <c r="I117" s="72">
        <v>7.65</v>
      </c>
      <c r="J117" s="72">
        <v>7.92</v>
      </c>
      <c r="K117" s="73">
        <v>193.3</v>
      </c>
      <c r="L117" s="59"/>
      <c r="M117" s="60"/>
      <c r="N117" s="60"/>
      <c r="O117" s="60">
        <v>2.0710000000000002</v>
      </c>
      <c r="P117" s="60"/>
      <c r="Q117" s="60"/>
      <c r="R117" s="60"/>
      <c r="S117" s="60"/>
      <c r="T117" s="60">
        <v>12.406000000000001</v>
      </c>
      <c r="U117" s="112">
        <v>8</v>
      </c>
      <c r="V117" s="112">
        <v>2.11</v>
      </c>
      <c r="W117" s="60"/>
      <c r="X117" s="60"/>
      <c r="Y117" s="65"/>
      <c r="Z117" s="130">
        <v>26.08</v>
      </c>
      <c r="AA117" s="130">
        <v>17.03</v>
      </c>
      <c r="AB117" s="130">
        <v>16.79</v>
      </c>
      <c r="AC117" s="130">
        <v>2.4700000000000002</v>
      </c>
      <c r="AD117" s="130">
        <v>37.630000000000003</v>
      </c>
      <c r="AE117" s="130">
        <f t="shared" si="6"/>
        <v>100</v>
      </c>
      <c r="AG117" s="117">
        <v>9.5999999999999992E-3</v>
      </c>
      <c r="AH117" s="117">
        <v>3.0000000000000001E-3</v>
      </c>
      <c r="AI117" s="117">
        <v>4.0000000000000001E-3</v>
      </c>
      <c r="AJ117" s="117">
        <v>1.4E-3</v>
      </c>
      <c r="AK117" s="117">
        <v>8.8000000000000005E-3</v>
      </c>
    </row>
    <row r="118" spans="1:37" ht="20.100000000000001" customHeight="1" x14ac:dyDescent="0.3">
      <c r="A118" s="41">
        <v>18</v>
      </c>
      <c r="B118" s="42" t="s">
        <v>38</v>
      </c>
      <c r="C118" s="42" t="s">
        <v>38</v>
      </c>
      <c r="D118" s="43" t="s">
        <v>42</v>
      </c>
      <c r="E118" s="44">
        <v>45558</v>
      </c>
      <c r="F118" s="45"/>
      <c r="G118" s="43" t="s">
        <v>81</v>
      </c>
      <c r="H118" s="72">
        <v>24.52</v>
      </c>
      <c r="I118" s="72">
        <v>7.51</v>
      </c>
      <c r="J118" s="72">
        <v>7.4</v>
      </c>
      <c r="K118" s="73">
        <v>208.7</v>
      </c>
      <c r="L118" s="59"/>
      <c r="M118" s="60"/>
      <c r="N118" s="60"/>
      <c r="O118" s="60">
        <v>1.972</v>
      </c>
      <c r="P118" s="60"/>
      <c r="Q118" s="60"/>
      <c r="R118" s="60"/>
      <c r="S118" s="60"/>
      <c r="T118" s="60">
        <v>13.935</v>
      </c>
      <c r="U118" s="112">
        <v>8.16</v>
      </c>
      <c r="V118" s="112">
        <v>1.79</v>
      </c>
      <c r="W118" s="60"/>
      <c r="X118" s="60"/>
      <c r="Y118" s="65"/>
      <c r="Z118" s="130">
        <v>26.650000000000002</v>
      </c>
      <c r="AA118" s="130">
        <v>17.03</v>
      </c>
      <c r="AB118" s="130">
        <v>16.29</v>
      </c>
      <c r="AC118" s="130">
        <v>2.31</v>
      </c>
      <c r="AD118" s="130">
        <v>37.72</v>
      </c>
      <c r="AE118" s="130">
        <f t="shared" si="6"/>
        <v>100</v>
      </c>
      <c r="AG118" s="117">
        <v>1.0200000000000001E-2</v>
      </c>
      <c r="AH118" s="117">
        <v>2.8999999999999998E-3</v>
      </c>
      <c r="AI118" s="117">
        <v>4.1999999999999997E-3</v>
      </c>
      <c r="AJ118" s="117">
        <v>1.5E-3</v>
      </c>
      <c r="AK118" s="117">
        <v>9.2999999999999992E-3</v>
      </c>
    </row>
    <row r="119" spans="1:37" ht="20.100000000000001" customHeight="1" x14ac:dyDescent="0.3">
      <c r="A119" s="41">
        <v>19</v>
      </c>
      <c r="B119" s="42" t="s">
        <v>38</v>
      </c>
      <c r="C119" s="42" t="s">
        <v>43</v>
      </c>
      <c r="D119" s="43" t="s">
        <v>40</v>
      </c>
      <c r="E119" s="44">
        <v>45558</v>
      </c>
      <c r="F119" s="45"/>
      <c r="G119" s="43" t="s">
        <v>81</v>
      </c>
      <c r="H119" s="72">
        <v>25.86</v>
      </c>
      <c r="I119" s="72">
        <v>7.46</v>
      </c>
      <c r="J119" s="72">
        <v>6.9</v>
      </c>
      <c r="K119" s="73">
        <v>309.10000000000002</v>
      </c>
      <c r="L119" s="59"/>
      <c r="M119" s="60"/>
      <c r="N119" s="60"/>
      <c r="O119" s="60">
        <v>2.605</v>
      </c>
      <c r="P119" s="60"/>
      <c r="Q119" s="60"/>
      <c r="R119" s="60"/>
      <c r="S119" s="60"/>
      <c r="T119" s="60">
        <v>30.437000000000001</v>
      </c>
      <c r="U119" s="112">
        <v>9.75</v>
      </c>
      <c r="V119" s="112">
        <v>1.59</v>
      </c>
      <c r="W119" s="60"/>
      <c r="X119" s="60"/>
      <c r="Y119" s="65"/>
      <c r="Z119" s="130">
        <v>32.04</v>
      </c>
      <c r="AA119" s="130">
        <v>19.830000000000002</v>
      </c>
      <c r="AB119" s="130">
        <v>13.56</v>
      </c>
      <c r="AC119" s="130">
        <v>2.2599999999999998</v>
      </c>
      <c r="AD119" s="130">
        <v>32.31</v>
      </c>
      <c r="AE119" s="130">
        <f t="shared" si="6"/>
        <v>100.00000000000001</v>
      </c>
      <c r="AG119" s="117">
        <v>9.4000000000000004E-3</v>
      </c>
      <c r="AH119" s="117">
        <v>4.8999999999999998E-3</v>
      </c>
      <c r="AI119" s="117">
        <v>4.5999999999999999E-3</v>
      </c>
      <c r="AJ119" s="117">
        <v>1.8E-3</v>
      </c>
      <c r="AK119" s="117">
        <v>6.1999999999999998E-3</v>
      </c>
    </row>
    <row r="120" spans="1:37" ht="20.100000000000001" customHeight="1" x14ac:dyDescent="0.3">
      <c r="A120" s="41">
        <v>20</v>
      </c>
      <c r="B120" s="42" t="s">
        <v>38</v>
      </c>
      <c r="C120" s="42" t="s">
        <v>43</v>
      </c>
      <c r="D120" s="43" t="s">
        <v>44</v>
      </c>
      <c r="E120" s="44">
        <v>45558</v>
      </c>
      <c r="F120" s="45"/>
      <c r="G120" s="43" t="s">
        <v>81</v>
      </c>
      <c r="H120" s="72">
        <v>24.21</v>
      </c>
      <c r="I120" s="72">
        <v>7.08</v>
      </c>
      <c r="J120" s="72">
        <v>7.84</v>
      </c>
      <c r="K120" s="73">
        <v>274.8</v>
      </c>
      <c r="L120" s="59"/>
      <c r="M120" s="60"/>
      <c r="N120" s="60"/>
      <c r="O120" s="60">
        <v>1.569</v>
      </c>
      <c r="P120" s="60"/>
      <c r="Q120" s="60"/>
      <c r="R120" s="60"/>
      <c r="S120" s="60"/>
      <c r="T120" s="60">
        <v>21.135999999999999</v>
      </c>
      <c r="U120" s="113">
        <v>9.39</v>
      </c>
      <c r="V120" s="113">
        <v>2.5</v>
      </c>
      <c r="W120" s="62"/>
      <c r="X120" s="62"/>
      <c r="Y120" s="65"/>
      <c r="Z120" s="130">
        <v>30.9</v>
      </c>
      <c r="AA120" s="130">
        <v>20.09</v>
      </c>
      <c r="AB120" s="130">
        <v>14.56</v>
      </c>
      <c r="AC120" s="130">
        <v>2.7199999999999998</v>
      </c>
      <c r="AD120" s="130">
        <v>31.730000000000004</v>
      </c>
      <c r="AE120" s="130">
        <f t="shared" si="6"/>
        <v>100</v>
      </c>
      <c r="AG120" s="117">
        <v>7.4000000000000003E-3</v>
      </c>
      <c r="AH120" s="117">
        <v>6.0000000000000001E-3</v>
      </c>
      <c r="AI120" s="117">
        <v>4.1999999999999997E-3</v>
      </c>
      <c r="AJ120" s="117">
        <v>1.6000000000000001E-3</v>
      </c>
      <c r="AK120" s="117">
        <v>4.3E-3</v>
      </c>
    </row>
    <row r="121" spans="1:37" ht="20.100000000000001" customHeight="1" x14ac:dyDescent="0.3">
      <c r="A121" s="25">
        <v>21</v>
      </c>
      <c r="B121" s="17" t="s">
        <v>45</v>
      </c>
      <c r="C121" s="17" t="s">
        <v>45</v>
      </c>
      <c r="D121" s="18" t="s">
        <v>46</v>
      </c>
      <c r="E121" s="26">
        <v>45558</v>
      </c>
      <c r="F121" s="20"/>
      <c r="G121" s="18" t="s">
        <v>81</v>
      </c>
      <c r="H121" s="28">
        <v>21.7</v>
      </c>
      <c r="I121" s="28">
        <v>8.42</v>
      </c>
      <c r="J121" s="28">
        <v>10.36</v>
      </c>
      <c r="K121" s="74">
        <v>104</v>
      </c>
      <c r="L121" s="57"/>
      <c r="M121" s="54"/>
      <c r="N121" s="54"/>
      <c r="O121" s="58">
        <v>2.0310000000000001</v>
      </c>
      <c r="P121" s="58"/>
      <c r="Q121" s="58"/>
      <c r="R121" s="58"/>
      <c r="S121" s="58"/>
      <c r="T121" s="58">
        <v>5.9089999999999998</v>
      </c>
      <c r="U121" s="109">
        <v>2.19</v>
      </c>
      <c r="V121" s="109">
        <v>-0.53</v>
      </c>
      <c r="W121" s="58"/>
      <c r="X121" s="58"/>
      <c r="Y121" s="64"/>
      <c r="Z121" s="130">
        <v>9.379999999999999</v>
      </c>
      <c r="AA121" s="130">
        <v>5.52</v>
      </c>
      <c r="AB121" s="130">
        <v>26.87</v>
      </c>
      <c r="AC121" s="130">
        <v>1.25</v>
      </c>
      <c r="AD121" s="130">
        <v>56.98</v>
      </c>
      <c r="AE121" s="130">
        <f t="shared" si="6"/>
        <v>100</v>
      </c>
      <c r="AG121" s="117">
        <v>2.3999999999999998E-3</v>
      </c>
      <c r="AH121" s="117">
        <v>1E-3</v>
      </c>
      <c r="AI121" s="117">
        <v>1.46E-2</v>
      </c>
      <c r="AJ121" s="117">
        <v>1.4E-3</v>
      </c>
      <c r="AK121" s="117">
        <v>1.7100000000000001E-2</v>
      </c>
    </row>
    <row r="122" spans="1:37" ht="20.100000000000001" customHeight="1" x14ac:dyDescent="0.3">
      <c r="A122" s="25">
        <v>22</v>
      </c>
      <c r="B122" s="17" t="s">
        <v>45</v>
      </c>
      <c r="C122" s="17" t="s">
        <v>45</v>
      </c>
      <c r="D122" s="22" t="s">
        <v>47</v>
      </c>
      <c r="E122" s="26">
        <v>45558</v>
      </c>
      <c r="F122" s="23"/>
      <c r="G122" s="18" t="s">
        <v>81</v>
      </c>
      <c r="H122" s="28">
        <v>20.96</v>
      </c>
      <c r="I122" s="28">
        <v>7.9</v>
      </c>
      <c r="J122" s="28">
        <v>10.15</v>
      </c>
      <c r="K122" s="74">
        <v>101</v>
      </c>
      <c r="L122" s="57"/>
      <c r="M122" s="55"/>
      <c r="N122" s="55"/>
      <c r="O122" s="55">
        <v>2.3380000000000001</v>
      </c>
      <c r="P122" s="55"/>
      <c r="Q122" s="55"/>
      <c r="R122" s="55"/>
      <c r="S122" s="55"/>
      <c r="T122" s="55">
        <v>7.3620000000000001</v>
      </c>
      <c r="U122" s="110">
        <v>4.6100000000000003</v>
      </c>
      <c r="V122" s="110">
        <v>-0.06</v>
      </c>
      <c r="W122" s="55"/>
      <c r="X122" s="55"/>
      <c r="Y122" s="66"/>
      <c r="Z122" s="130">
        <v>15.21</v>
      </c>
      <c r="AA122" s="130">
        <v>9.01</v>
      </c>
      <c r="AB122" s="130">
        <v>21.45</v>
      </c>
      <c r="AC122" s="130">
        <v>1.39</v>
      </c>
      <c r="AD122" s="130">
        <v>52.94</v>
      </c>
      <c r="AE122" s="130">
        <f t="shared" si="6"/>
        <v>100</v>
      </c>
      <c r="AG122" s="117">
        <v>7.4999999999999997E-3</v>
      </c>
      <c r="AH122" s="117">
        <v>1.8E-3</v>
      </c>
      <c r="AI122" s="117">
        <v>1.06E-2</v>
      </c>
      <c r="AJ122" s="117">
        <v>1.2999999999999999E-3</v>
      </c>
      <c r="AK122" s="117">
        <v>1.67E-2</v>
      </c>
    </row>
    <row r="123" spans="1:37" ht="20.100000000000001" customHeight="1" x14ac:dyDescent="0.3">
      <c r="A123" s="25">
        <v>23</v>
      </c>
      <c r="B123" s="17" t="s">
        <v>45</v>
      </c>
      <c r="C123" s="17" t="s">
        <v>45</v>
      </c>
      <c r="D123" s="22" t="s">
        <v>29</v>
      </c>
      <c r="E123" s="26">
        <v>45558</v>
      </c>
      <c r="F123" s="23"/>
      <c r="G123" s="18" t="s">
        <v>81</v>
      </c>
      <c r="H123" s="75">
        <v>21.12</v>
      </c>
      <c r="I123" s="75">
        <v>7.79</v>
      </c>
      <c r="J123" s="75">
        <v>10.23</v>
      </c>
      <c r="K123" s="77">
        <v>97</v>
      </c>
      <c r="L123" s="57"/>
      <c r="M123" s="55"/>
      <c r="N123" s="55"/>
      <c r="O123" s="55">
        <v>2.2559999999999998</v>
      </c>
      <c r="P123" s="55"/>
      <c r="Q123" s="55"/>
      <c r="R123" s="55"/>
      <c r="S123" s="55"/>
      <c r="T123" s="55">
        <v>7.5640000000000001</v>
      </c>
      <c r="U123" s="110">
        <v>3.61</v>
      </c>
      <c r="V123" s="110">
        <v>-2.4700000000000002</v>
      </c>
      <c r="W123" s="55"/>
      <c r="X123" s="55"/>
      <c r="Y123" s="66"/>
      <c r="Z123" s="130">
        <v>11.98</v>
      </c>
      <c r="AA123" s="130">
        <v>6.22</v>
      </c>
      <c r="AB123" s="130">
        <v>20.46</v>
      </c>
      <c r="AC123" s="130">
        <v>0.77</v>
      </c>
      <c r="AD123" s="130">
        <v>60.57</v>
      </c>
      <c r="AE123" s="130">
        <f t="shared" si="6"/>
        <v>100</v>
      </c>
      <c r="AG123" s="117">
        <v>7.7999999999999996E-3</v>
      </c>
      <c r="AH123" s="117">
        <v>1.6999999999999999E-3</v>
      </c>
      <c r="AI123" s="117">
        <v>1.4999999999999999E-2</v>
      </c>
      <c r="AJ123" s="117">
        <v>1.2999999999999999E-3</v>
      </c>
      <c r="AK123" s="117">
        <v>1.95E-2</v>
      </c>
    </row>
    <row r="124" spans="1:37" ht="20.100000000000001" customHeight="1" x14ac:dyDescent="0.3">
      <c r="A124" s="25">
        <v>24</v>
      </c>
      <c r="B124" s="17" t="s">
        <v>45</v>
      </c>
      <c r="C124" s="17" t="s">
        <v>45</v>
      </c>
      <c r="D124" s="18" t="s">
        <v>48</v>
      </c>
      <c r="E124" s="26">
        <v>45558</v>
      </c>
      <c r="F124" s="20"/>
      <c r="G124" s="18" t="s">
        <v>134</v>
      </c>
      <c r="H124" s="28">
        <v>21.15</v>
      </c>
      <c r="I124" s="28">
        <v>7.79</v>
      </c>
      <c r="J124" s="28">
        <v>10.44</v>
      </c>
      <c r="K124" s="74">
        <v>99</v>
      </c>
      <c r="L124" s="57"/>
      <c r="M124" s="54"/>
      <c r="N124" s="54"/>
      <c r="O124" s="54">
        <v>2.2269999999999999</v>
      </c>
      <c r="P124" s="54"/>
      <c r="Q124" s="54"/>
      <c r="R124" s="54"/>
      <c r="S124" s="54"/>
      <c r="T124" s="54">
        <v>7.851</v>
      </c>
      <c r="U124" s="108">
        <v>5.78</v>
      </c>
      <c r="V124" s="108">
        <v>1.18</v>
      </c>
      <c r="W124" s="54"/>
      <c r="X124" s="54"/>
      <c r="Y124" s="64"/>
      <c r="Z124" s="130">
        <v>19.18</v>
      </c>
      <c r="AA124" s="130">
        <v>12.18</v>
      </c>
      <c r="AB124" s="130">
        <v>20.309999999999999</v>
      </c>
      <c r="AC124" s="130">
        <v>1.9</v>
      </c>
      <c r="AD124" s="130">
        <v>46.43</v>
      </c>
      <c r="AE124" s="130">
        <f t="shared" si="6"/>
        <v>100</v>
      </c>
      <c r="AG124" s="117">
        <v>3.7000000000000002E-3</v>
      </c>
      <c r="AH124" s="117">
        <v>2.8E-3</v>
      </c>
      <c r="AI124" s="117">
        <v>6.8999999999999999E-3</v>
      </c>
      <c r="AJ124" s="117">
        <v>1.1999999999999999E-3</v>
      </c>
      <c r="AK124" s="117">
        <v>8.0000000000000002E-3</v>
      </c>
    </row>
    <row r="125" spans="1:37" ht="20.100000000000001" customHeight="1" x14ac:dyDescent="0.3"/>
    <row r="126" spans="1:37" ht="20.100000000000001" customHeight="1" x14ac:dyDescent="0.3"/>
    <row r="127" spans="1:37" ht="20.100000000000001" customHeight="1" x14ac:dyDescent="0.3"/>
    <row r="128" spans="1:37" ht="20.100000000000001" customHeight="1" thickBot="1" x14ac:dyDescent="0.35">
      <c r="Z128" t="s">
        <v>1350</v>
      </c>
    </row>
    <row r="129" spans="1:42" ht="20.100000000000001" customHeight="1" thickBot="1" x14ac:dyDescent="0.35">
      <c r="A129" s="124" t="s">
        <v>1</v>
      </c>
      <c r="B129" s="126" t="s">
        <v>62</v>
      </c>
      <c r="C129" s="126" t="s">
        <v>63</v>
      </c>
      <c r="D129" s="124" t="s">
        <v>7</v>
      </c>
      <c r="E129" s="128" t="s">
        <v>8</v>
      </c>
      <c r="F129" s="129"/>
      <c r="G129" s="119" t="s">
        <v>9</v>
      </c>
      <c r="H129" s="119"/>
      <c r="I129" s="119"/>
      <c r="J129" s="119"/>
      <c r="K129" s="119"/>
      <c r="L129" s="120" t="s">
        <v>56</v>
      </c>
      <c r="M129" s="121"/>
      <c r="N129" s="121"/>
      <c r="O129" s="121"/>
      <c r="P129" s="121"/>
      <c r="Q129" s="121"/>
      <c r="R129" s="121"/>
      <c r="S129" s="121"/>
      <c r="T129" s="121"/>
      <c r="U129" s="9"/>
      <c r="V129" s="9"/>
      <c r="W129" s="9"/>
      <c r="X129" s="9"/>
      <c r="Y129" s="122" t="s">
        <v>10</v>
      </c>
      <c r="Z129" s="114" t="s">
        <v>1343</v>
      </c>
      <c r="AF129" s="114" t="s">
        <v>1344</v>
      </c>
      <c r="AL129" s="114" t="s">
        <v>1345</v>
      </c>
    </row>
    <row r="130" spans="1:42" ht="20.100000000000001" customHeight="1" thickBot="1" x14ac:dyDescent="0.35">
      <c r="A130" s="125"/>
      <c r="B130" s="125"/>
      <c r="C130" s="125"/>
      <c r="D130" s="127"/>
      <c r="E130" s="1" t="s">
        <v>0</v>
      </c>
      <c r="F130" s="4" t="s">
        <v>11</v>
      </c>
      <c r="G130" s="4" t="s">
        <v>12</v>
      </c>
      <c r="H130" s="4" t="s">
        <v>13</v>
      </c>
      <c r="I130" s="4" t="s">
        <v>14</v>
      </c>
      <c r="J130" s="51" t="s">
        <v>15</v>
      </c>
      <c r="K130" s="51" t="s">
        <v>16</v>
      </c>
      <c r="L130" s="51" t="s">
        <v>6</v>
      </c>
      <c r="M130" s="51" t="s">
        <v>51</v>
      </c>
      <c r="N130" s="51" t="s">
        <v>125</v>
      </c>
      <c r="O130" s="51" t="s">
        <v>126</v>
      </c>
      <c r="P130" s="51" t="s">
        <v>127</v>
      </c>
      <c r="Q130" s="51" t="s">
        <v>53</v>
      </c>
      <c r="R130" s="51" t="s">
        <v>54</v>
      </c>
      <c r="S130" s="51" t="s">
        <v>128</v>
      </c>
      <c r="T130" s="51" t="s">
        <v>129</v>
      </c>
      <c r="U130" s="51" t="s">
        <v>130</v>
      </c>
      <c r="V130" s="4" t="s">
        <v>78</v>
      </c>
      <c r="W130" s="4" t="s">
        <v>131</v>
      </c>
      <c r="X130" s="10" t="s">
        <v>76</v>
      </c>
      <c r="Y130" s="123"/>
      <c r="Z130" s="114" t="s">
        <v>178</v>
      </c>
      <c r="AA130" s="114" t="s">
        <v>179</v>
      </c>
      <c r="AB130" s="114" t="s">
        <v>180</v>
      </c>
      <c r="AC130" s="114" t="s">
        <v>181</v>
      </c>
      <c r="AD130" s="114" t="s">
        <v>182</v>
      </c>
      <c r="AF130" s="114" t="s">
        <v>178</v>
      </c>
      <c r="AG130" s="114" t="s">
        <v>179</v>
      </c>
      <c r="AH130" s="114" t="s">
        <v>180</v>
      </c>
      <c r="AI130" s="114" t="s">
        <v>181</v>
      </c>
      <c r="AJ130" s="114" t="s">
        <v>182</v>
      </c>
      <c r="AL130" s="114" t="s">
        <v>178</v>
      </c>
      <c r="AM130" s="114" t="s">
        <v>179</v>
      </c>
      <c r="AN130" s="114" t="s">
        <v>180</v>
      </c>
      <c r="AO130" s="114" t="s">
        <v>181</v>
      </c>
      <c r="AP130" s="114" t="s">
        <v>182</v>
      </c>
    </row>
    <row r="131" spans="1:42" ht="20.100000000000001" customHeight="1" x14ac:dyDescent="0.3">
      <c r="A131" s="11">
        <v>1</v>
      </c>
      <c r="B131" s="12" t="s">
        <v>17</v>
      </c>
      <c r="C131" s="12" t="s">
        <v>17</v>
      </c>
      <c r="D131" s="13" t="s">
        <v>18</v>
      </c>
      <c r="E131" s="36">
        <v>45558</v>
      </c>
      <c r="F131" s="15"/>
      <c r="G131" s="13" t="s">
        <v>134</v>
      </c>
      <c r="H131" s="27">
        <v>21.3</v>
      </c>
      <c r="I131" s="27">
        <v>7.95</v>
      </c>
      <c r="J131" s="27">
        <v>8.6199999999999992</v>
      </c>
      <c r="K131" s="76">
        <v>127</v>
      </c>
      <c r="L131" s="56"/>
      <c r="M131" s="53"/>
      <c r="N131" s="53"/>
      <c r="O131" s="53">
        <v>2.032</v>
      </c>
      <c r="P131" s="53"/>
      <c r="Q131" s="53"/>
      <c r="R131" s="53"/>
      <c r="S131" s="53"/>
      <c r="T131" s="53">
        <v>8.7530000000000001</v>
      </c>
      <c r="U131" s="107">
        <v>2.82</v>
      </c>
      <c r="V131" s="107">
        <v>-0.84</v>
      </c>
      <c r="W131" s="53"/>
      <c r="X131" s="53"/>
      <c r="Y131" s="63"/>
      <c r="Z131" s="117">
        <f t="shared" ref="Z131:Z154" si="7">Z9/AG9</f>
        <v>1.0472906403940887</v>
      </c>
      <c r="AA131" s="117">
        <f t="shared" ref="AA131:AA154" si="8">AA9/AH9</f>
        <v>0.50156249999999991</v>
      </c>
      <c r="AB131" s="117">
        <f t="shared" ref="AB131:AB154" si="9">AB9/AI9</f>
        <v>6.8707482993197289E-2</v>
      </c>
      <c r="AC131" s="117">
        <f t="shared" ref="AC131:AC154" si="10">AC9/AJ9</f>
        <v>0.19999999999999998</v>
      </c>
      <c r="AD131" s="117">
        <f t="shared" ref="AD131:AD154" si="11">AD9/AK9</f>
        <v>1.2865051903114186</v>
      </c>
      <c r="AF131" s="117">
        <f t="shared" ref="AF131:AF154" si="12">Z9/AN9</f>
        <v>2.1345381526104421</v>
      </c>
      <c r="AG131" s="117">
        <f t="shared" ref="AG131:AG154" si="13">AA9/AO9</f>
        <v>0.20550576184378999</v>
      </c>
      <c r="AH131" s="117">
        <f t="shared" ref="AH131:AH154" si="14">AB9/AP9</f>
        <v>3.9132119333591633E-2</v>
      </c>
      <c r="AI131" s="117">
        <f t="shared" ref="AI131:AI154" si="15">AC9/AQ9</f>
        <v>5.2805280528052799E-2</v>
      </c>
      <c r="AJ131" s="117">
        <f t="shared" ref="AJ131:AJ154" si="16">AD9/AR9</f>
        <v>1.6314172882843352</v>
      </c>
      <c r="AL131" s="117">
        <f t="shared" ref="AL131:AL154" si="17">Z9/AU9</f>
        <v>2.0018832391713746</v>
      </c>
      <c r="AM131" s="117">
        <f t="shared" ref="AM131:AM154" si="18">AA9/AV9</f>
        <v>0.5253682487725041</v>
      </c>
      <c r="AN131" s="117">
        <f t="shared" ref="AN131:AN154" si="19">AB9/AW9</f>
        <v>4.0791599353796448E-2</v>
      </c>
      <c r="AO131" s="117">
        <f t="shared" ref="AO131:AO154" si="20">AC9/AX9</f>
        <v>0.1391304347826087</v>
      </c>
      <c r="AP131" s="117">
        <f t="shared" ref="AP131:AP154" si="21">AD9/AY9</f>
        <v>1.296373779637378</v>
      </c>
    </row>
    <row r="132" spans="1:42" ht="20.100000000000001" customHeight="1" x14ac:dyDescent="0.3">
      <c r="A132" s="25">
        <v>2</v>
      </c>
      <c r="B132" s="17" t="s">
        <v>17</v>
      </c>
      <c r="C132" s="17" t="s">
        <v>17</v>
      </c>
      <c r="D132" s="18" t="s">
        <v>20</v>
      </c>
      <c r="E132" s="26">
        <v>45558</v>
      </c>
      <c r="F132" s="20"/>
      <c r="G132" s="18" t="s">
        <v>134</v>
      </c>
      <c r="H132" s="28">
        <v>21.8</v>
      </c>
      <c r="I132" s="28">
        <v>7.39</v>
      </c>
      <c r="J132" s="28">
        <v>8.4600000000000009</v>
      </c>
      <c r="K132" s="74">
        <v>138</v>
      </c>
      <c r="L132" s="57"/>
      <c r="M132" s="54"/>
      <c r="N132" s="54"/>
      <c r="O132" s="54">
        <v>2.137</v>
      </c>
      <c r="P132" s="54"/>
      <c r="Q132" s="54"/>
      <c r="R132" s="54"/>
      <c r="S132" s="54"/>
      <c r="T132" s="54">
        <v>8.5760000000000005</v>
      </c>
      <c r="U132" s="108">
        <v>2.78</v>
      </c>
      <c r="V132" s="108">
        <v>-2.58</v>
      </c>
      <c r="W132" s="54"/>
      <c r="X132" s="54"/>
      <c r="Y132" s="64"/>
      <c r="Z132" s="117">
        <f t="shared" si="7"/>
        <v>2.0656934306569341</v>
      </c>
      <c r="AA132" s="117">
        <f t="shared" si="8"/>
        <v>0.64347826086956528</v>
      </c>
      <c r="AB132" s="117">
        <f t="shared" si="9"/>
        <v>5.767195767195768E-2</v>
      </c>
      <c r="AC132" s="117">
        <f t="shared" si="10"/>
        <v>0.28749999999999998</v>
      </c>
      <c r="AD132" s="117">
        <f t="shared" si="11"/>
        <v>1.0874193548387097</v>
      </c>
      <c r="AF132" s="117">
        <f t="shared" si="12"/>
        <v>2.9695697796432321</v>
      </c>
      <c r="AG132" s="117">
        <f t="shared" si="13"/>
        <v>0.16344561016013254</v>
      </c>
      <c r="AH132" s="117">
        <f t="shared" si="14"/>
        <v>4.5265780730897015E-2</v>
      </c>
      <c r="AI132" s="117">
        <f t="shared" si="15"/>
        <v>6.4971751412429377E-2</v>
      </c>
      <c r="AJ132" s="117">
        <f t="shared" si="16"/>
        <v>1.5069289226642826</v>
      </c>
      <c r="AL132" s="117">
        <f t="shared" si="17"/>
        <v>2.7772325809617269</v>
      </c>
      <c r="AM132" s="117">
        <f t="shared" si="18"/>
        <v>0.55534709193245779</v>
      </c>
      <c r="AN132" s="117">
        <f t="shared" si="19"/>
        <v>4.9455535390199631E-2</v>
      </c>
      <c r="AO132" s="117">
        <f t="shared" si="20"/>
        <v>0.31506849315068497</v>
      </c>
      <c r="AP132" s="117">
        <f t="shared" si="21"/>
        <v>1.0925295738129963</v>
      </c>
    </row>
    <row r="133" spans="1:42" ht="20.100000000000001" customHeight="1" x14ac:dyDescent="0.3">
      <c r="A133" s="25">
        <v>3</v>
      </c>
      <c r="B133" s="17" t="s">
        <v>17</v>
      </c>
      <c r="C133" s="17" t="s">
        <v>17</v>
      </c>
      <c r="D133" s="18" t="s">
        <v>21</v>
      </c>
      <c r="E133" s="26">
        <v>45558</v>
      </c>
      <c r="F133" s="20"/>
      <c r="G133" s="18" t="s">
        <v>134</v>
      </c>
      <c r="H133" s="28">
        <v>21.9</v>
      </c>
      <c r="I133" s="28">
        <v>7.53</v>
      </c>
      <c r="J133" s="28">
        <v>8.41</v>
      </c>
      <c r="K133" s="74">
        <v>146</v>
      </c>
      <c r="L133" s="57"/>
      <c r="M133" s="54"/>
      <c r="N133" s="54"/>
      <c r="O133" s="54">
        <v>2.1419999999999999</v>
      </c>
      <c r="P133" s="54"/>
      <c r="Q133" s="54"/>
      <c r="R133" s="54"/>
      <c r="S133" s="54"/>
      <c r="T133" s="54">
        <v>8.8390000000000004</v>
      </c>
      <c r="U133" s="109">
        <v>3.38</v>
      </c>
      <c r="V133" s="109">
        <v>-1.92</v>
      </c>
      <c r="W133" s="58"/>
      <c r="X133" s="54"/>
      <c r="Y133" s="64"/>
      <c r="Z133" s="117">
        <f t="shared" si="7"/>
        <v>1.2333333333333334</v>
      </c>
      <c r="AA133" s="117">
        <f t="shared" si="8"/>
        <v>0.85199999999999998</v>
      </c>
      <c r="AB133" s="117">
        <f t="shared" si="9"/>
        <v>9.8907103825136608E-2</v>
      </c>
      <c r="AC133" s="117">
        <f t="shared" si="10"/>
        <v>0.1090909090909091</v>
      </c>
      <c r="AD133" s="117">
        <f t="shared" si="11"/>
        <v>1.2427392739273928</v>
      </c>
      <c r="AF133" s="117">
        <f t="shared" si="12"/>
        <v>1.8316831683168315</v>
      </c>
      <c r="AG133" s="117">
        <f t="shared" si="13"/>
        <v>0.24454649827784158</v>
      </c>
      <c r="AH133" s="117">
        <f t="shared" si="14"/>
        <v>7.430213464696224E-2</v>
      </c>
      <c r="AI133" s="117">
        <f t="shared" si="15"/>
        <v>3.3613445378151259E-2</v>
      </c>
      <c r="AJ133" s="117">
        <f t="shared" si="16"/>
        <v>1.6904601571268238</v>
      </c>
      <c r="AL133" s="117">
        <f t="shared" si="17"/>
        <v>1.5934539190353145</v>
      </c>
      <c r="AM133" s="117">
        <f t="shared" si="18"/>
        <v>0.68269230769230771</v>
      </c>
      <c r="AN133" s="117">
        <f t="shared" si="19"/>
        <v>8.2951420714940424E-2</v>
      </c>
      <c r="AO133" s="117">
        <f t="shared" si="20"/>
        <v>0.13636363636363635</v>
      </c>
      <c r="AP133" s="117">
        <f t="shared" si="21"/>
        <v>1.2667788057190916</v>
      </c>
    </row>
    <row r="134" spans="1:42" ht="20.100000000000001" customHeight="1" x14ac:dyDescent="0.3">
      <c r="A134" s="25">
        <v>4</v>
      </c>
      <c r="B134" s="17" t="s">
        <v>17</v>
      </c>
      <c r="C134" s="17" t="s">
        <v>17</v>
      </c>
      <c r="D134" s="18" t="s">
        <v>22</v>
      </c>
      <c r="E134" s="26">
        <v>45558</v>
      </c>
      <c r="F134" s="20"/>
      <c r="G134" s="18" t="s">
        <v>134</v>
      </c>
      <c r="H134" s="28">
        <v>23</v>
      </c>
      <c r="I134" s="28">
        <v>7.34</v>
      </c>
      <c r="J134" s="28">
        <v>6.53</v>
      </c>
      <c r="K134" s="74">
        <v>219</v>
      </c>
      <c r="L134" s="57"/>
      <c r="M134" s="54"/>
      <c r="N134" s="54"/>
      <c r="O134" s="54">
        <v>1.7010000000000001</v>
      </c>
      <c r="P134" s="54"/>
      <c r="Q134" s="54"/>
      <c r="R134" s="54"/>
      <c r="S134" s="54"/>
      <c r="T134" s="54">
        <v>13.954000000000001</v>
      </c>
      <c r="U134" s="108">
        <v>4.46</v>
      </c>
      <c r="V134" s="110">
        <v>-2.14</v>
      </c>
      <c r="W134" s="55"/>
      <c r="X134" s="55"/>
      <c r="Y134" s="64"/>
      <c r="Z134" s="117">
        <f t="shared" si="7"/>
        <v>1.6999999999999997</v>
      </c>
      <c r="AA134" s="117">
        <f t="shared" si="8"/>
        <v>0.30892857142857139</v>
      </c>
      <c r="AB134" s="117">
        <f t="shared" si="9"/>
        <v>0.10402298850574714</v>
      </c>
      <c r="AC134" s="117">
        <f t="shared" si="10"/>
        <v>0.25555555555555559</v>
      </c>
      <c r="AD134" s="117">
        <f t="shared" si="11"/>
        <v>1.1430252100840337</v>
      </c>
      <c r="AF134" s="117">
        <f t="shared" si="12"/>
        <v>2.179150579150579</v>
      </c>
      <c r="AG134" s="117">
        <f t="shared" si="13"/>
        <v>0.11641991924629878</v>
      </c>
      <c r="AH134" s="117">
        <f t="shared" si="14"/>
        <v>8.7397392563978757E-2</v>
      </c>
      <c r="AI134" s="117">
        <f t="shared" si="15"/>
        <v>6.6473988439306367E-2</v>
      </c>
      <c r="AJ134" s="117">
        <f t="shared" si="16"/>
        <v>1.4162848812994586</v>
      </c>
      <c r="AL134" s="117">
        <f t="shared" si="17"/>
        <v>1.9859254046446162</v>
      </c>
      <c r="AM134" s="117">
        <f t="shared" si="18"/>
        <v>0.23159303882195445</v>
      </c>
      <c r="AN134" s="117">
        <f t="shared" si="19"/>
        <v>9.4467640918580384E-2</v>
      </c>
      <c r="AO134" s="117">
        <f t="shared" si="20"/>
        <v>0.27058823529411763</v>
      </c>
      <c r="AP134" s="117">
        <f t="shared" si="21"/>
        <v>1.1663522551877896</v>
      </c>
    </row>
    <row r="135" spans="1:42" ht="20.100000000000001" customHeight="1" x14ac:dyDescent="0.3">
      <c r="A135" s="41">
        <v>5</v>
      </c>
      <c r="B135" s="42" t="s">
        <v>23</v>
      </c>
      <c r="C135" s="42" t="s">
        <v>23</v>
      </c>
      <c r="D135" s="43" t="s">
        <v>24</v>
      </c>
      <c r="E135" s="44">
        <v>45558</v>
      </c>
      <c r="F135" s="45"/>
      <c r="G135" s="43" t="s">
        <v>134</v>
      </c>
      <c r="H135" s="72">
        <v>20.79</v>
      </c>
      <c r="I135" s="72">
        <v>7.66</v>
      </c>
      <c r="J135" s="72">
        <v>10.26</v>
      </c>
      <c r="K135" s="73">
        <v>84</v>
      </c>
      <c r="L135" s="59"/>
      <c r="M135" s="60"/>
      <c r="N135" s="60"/>
      <c r="O135" s="61">
        <v>1.752</v>
      </c>
      <c r="P135" s="61"/>
      <c r="Q135" s="61"/>
      <c r="R135" s="61"/>
      <c r="S135" s="61"/>
      <c r="T135" s="61">
        <v>7.3540000000000001</v>
      </c>
      <c r="U135" s="111">
        <v>1.98</v>
      </c>
      <c r="V135" s="111">
        <v>2.0499999999999998</v>
      </c>
      <c r="W135" s="61"/>
      <c r="X135" s="61"/>
      <c r="Y135" s="65"/>
      <c r="Z135" s="117">
        <f t="shared" si="7"/>
        <v>0.1681159420289855</v>
      </c>
      <c r="AA135" s="117">
        <f t="shared" si="8"/>
        <v>0.35098039215686277</v>
      </c>
      <c r="AB135" s="117">
        <f t="shared" si="9"/>
        <v>0.25894736842105265</v>
      </c>
      <c r="AC135" s="117">
        <f t="shared" si="10"/>
        <v>1.96</v>
      </c>
      <c r="AD135" s="117">
        <f t="shared" si="11"/>
        <v>1.4567921440261866</v>
      </c>
      <c r="AF135" s="117">
        <f t="shared" si="12"/>
        <v>0.20732797140303844</v>
      </c>
      <c r="AG135" s="117">
        <f t="shared" si="13"/>
        <v>0.24520547945205481</v>
      </c>
      <c r="AH135" s="117">
        <f t="shared" si="14"/>
        <v>0.16416416416416416</v>
      </c>
      <c r="AI135" s="117">
        <f t="shared" si="15"/>
        <v>0.43076923076923079</v>
      </c>
      <c r="AJ135" s="117">
        <f t="shared" si="16"/>
        <v>1.894232815492658</v>
      </c>
      <c r="AL135" s="117">
        <f t="shared" si="17"/>
        <v>0.2462845010615711</v>
      </c>
      <c r="AM135" s="117">
        <f t="shared" si="18"/>
        <v>0.28917609046849763</v>
      </c>
      <c r="AN135" s="117">
        <f t="shared" si="19"/>
        <v>0.15379806189434198</v>
      </c>
      <c r="AO135" s="117">
        <f t="shared" si="20"/>
        <v>0.81327800829875507</v>
      </c>
      <c r="AP135" s="117">
        <f t="shared" si="21"/>
        <v>1.7805561112222446</v>
      </c>
    </row>
    <row r="136" spans="1:42" ht="20.100000000000001" customHeight="1" x14ac:dyDescent="0.3">
      <c r="A136" s="41">
        <v>6</v>
      </c>
      <c r="B136" s="42" t="s">
        <v>23</v>
      </c>
      <c r="C136" s="42" t="s">
        <v>23</v>
      </c>
      <c r="D136" s="43" t="s">
        <v>25</v>
      </c>
      <c r="E136" s="44">
        <v>45558</v>
      </c>
      <c r="F136" s="45"/>
      <c r="G136" s="43" t="s">
        <v>134</v>
      </c>
      <c r="H136" s="72">
        <v>21.45</v>
      </c>
      <c r="I136" s="72">
        <v>7.49</v>
      </c>
      <c r="J136" s="72">
        <v>10.199999999999999</v>
      </c>
      <c r="K136" s="73">
        <v>120</v>
      </c>
      <c r="L136" s="59"/>
      <c r="M136" s="60"/>
      <c r="N136" s="60"/>
      <c r="O136" s="60">
        <v>1.67</v>
      </c>
      <c r="P136" s="60"/>
      <c r="Q136" s="60"/>
      <c r="R136" s="60"/>
      <c r="S136" s="60"/>
      <c r="T136" s="60">
        <v>12.948</v>
      </c>
      <c r="U136" s="112">
        <v>8.43</v>
      </c>
      <c r="V136" s="112">
        <v>0.78</v>
      </c>
      <c r="W136" s="60"/>
      <c r="X136" s="60"/>
      <c r="Y136" s="65"/>
      <c r="Z136" s="117">
        <f t="shared" si="7"/>
        <v>0.58489208633093526</v>
      </c>
      <c r="AA136" s="117">
        <f t="shared" si="8"/>
        <v>2.7659574468085105E-2</v>
      </c>
      <c r="AB136" s="117">
        <f t="shared" si="9"/>
        <v>0.20076923076923076</v>
      </c>
      <c r="AC136" s="117">
        <f t="shared" si="10"/>
        <v>0.16</v>
      </c>
      <c r="AD136" s="117">
        <f t="shared" si="11"/>
        <v>1.6538934426229508</v>
      </c>
      <c r="AF136" s="117">
        <f t="shared" si="12"/>
        <v>0.6175465248765668</v>
      </c>
      <c r="AG136" s="117">
        <f t="shared" si="13"/>
        <v>1.7150395778364115E-2</v>
      </c>
      <c r="AH136" s="117">
        <f t="shared" si="14"/>
        <v>0.13987138263665594</v>
      </c>
      <c r="AI136" s="117">
        <f t="shared" si="15"/>
        <v>6.3241106719367599E-2</v>
      </c>
      <c r="AJ136" s="117">
        <f t="shared" si="16"/>
        <v>2.162647374062165</v>
      </c>
      <c r="AL136" s="117">
        <f t="shared" si="17"/>
        <v>0.59041394335511987</v>
      </c>
      <c r="AM136" s="117">
        <f t="shared" si="18"/>
        <v>1.5757575757575758E-2</v>
      </c>
      <c r="AN136" s="117">
        <f t="shared" si="19"/>
        <v>0.17216358839050128</v>
      </c>
      <c r="AO136" s="117">
        <f t="shared" si="20"/>
        <v>8.5106382978723402E-2</v>
      </c>
      <c r="AP136" s="117">
        <f t="shared" si="21"/>
        <v>2.0737410071942444</v>
      </c>
    </row>
    <row r="137" spans="1:42" ht="20.100000000000001" customHeight="1" x14ac:dyDescent="0.3">
      <c r="A137" s="41">
        <v>7</v>
      </c>
      <c r="B137" s="42" t="s">
        <v>23</v>
      </c>
      <c r="C137" s="42" t="s">
        <v>23</v>
      </c>
      <c r="D137" s="43" t="s">
        <v>26</v>
      </c>
      <c r="E137" s="44">
        <v>45558</v>
      </c>
      <c r="F137" s="45"/>
      <c r="G137" s="43" t="s">
        <v>134</v>
      </c>
      <c r="H137" s="72">
        <v>21.76</v>
      </c>
      <c r="I137" s="72">
        <v>7.44</v>
      </c>
      <c r="J137" s="72">
        <v>9.6300000000000008</v>
      </c>
      <c r="K137" s="73">
        <v>144</v>
      </c>
      <c r="L137" s="59"/>
      <c r="M137" s="60"/>
      <c r="N137" s="60"/>
      <c r="O137" s="60">
        <v>1.84</v>
      </c>
      <c r="P137" s="60"/>
      <c r="Q137" s="60"/>
      <c r="R137" s="60"/>
      <c r="S137" s="60"/>
      <c r="T137" s="60">
        <v>14.073</v>
      </c>
      <c r="U137" s="112">
        <v>8.25</v>
      </c>
      <c r="V137" s="112">
        <v>-0.35</v>
      </c>
      <c r="W137" s="60"/>
      <c r="X137" s="60"/>
      <c r="Y137" s="65"/>
      <c r="Z137" s="117">
        <f t="shared" si="7"/>
        <v>0.620532319391635</v>
      </c>
      <c r="AA137" s="117">
        <f t="shared" si="8"/>
        <v>0.14831460674157304</v>
      </c>
      <c r="AB137" s="117">
        <f t="shared" si="9"/>
        <v>8.7301587301587311E-2</v>
      </c>
      <c r="AC137" s="117">
        <f t="shared" si="10"/>
        <v>0.18</v>
      </c>
      <c r="AD137" s="117">
        <f t="shared" si="11"/>
        <v>1.5835937499999999</v>
      </c>
      <c r="AF137" s="117">
        <f t="shared" si="12"/>
        <v>0.63329452852153667</v>
      </c>
      <c r="AG137" s="117">
        <f t="shared" si="13"/>
        <v>6.9804336329984132E-2</v>
      </c>
      <c r="AH137" s="117">
        <f t="shared" si="14"/>
        <v>7.4982958418541246E-2</v>
      </c>
      <c r="AI137" s="117">
        <f t="shared" si="15"/>
        <v>6.0810810810810807E-2</v>
      </c>
      <c r="AJ137" s="117">
        <f t="shared" si="16"/>
        <v>2.1512337490050411</v>
      </c>
      <c r="AL137" s="117">
        <f t="shared" si="17"/>
        <v>0.61307287753568751</v>
      </c>
      <c r="AM137" s="117">
        <f t="shared" si="18"/>
        <v>8.7941372418387731E-2</v>
      </c>
      <c r="AN137" s="117">
        <f t="shared" si="19"/>
        <v>7.4880871341048344E-2</v>
      </c>
      <c r="AO137" s="117">
        <f t="shared" si="20"/>
        <v>0.12162162162162161</v>
      </c>
      <c r="AP137" s="117">
        <f t="shared" si="21"/>
        <v>1.9213270142180097</v>
      </c>
    </row>
    <row r="138" spans="1:42" ht="20.100000000000001" customHeight="1" x14ac:dyDescent="0.3">
      <c r="A138" s="41">
        <v>8</v>
      </c>
      <c r="B138" s="42" t="s">
        <v>23</v>
      </c>
      <c r="C138" s="42" t="s">
        <v>27</v>
      </c>
      <c r="D138" s="43" t="s">
        <v>68</v>
      </c>
      <c r="E138" s="44">
        <v>45558</v>
      </c>
      <c r="F138" s="45"/>
      <c r="G138" s="43" t="s">
        <v>134</v>
      </c>
      <c r="H138" s="72">
        <v>21.59</v>
      </c>
      <c r="I138" s="72">
        <v>7.28</v>
      </c>
      <c r="J138" s="72">
        <v>8.57</v>
      </c>
      <c r="K138" s="73">
        <v>339</v>
      </c>
      <c r="L138" s="59"/>
      <c r="M138" s="60"/>
      <c r="N138" s="60"/>
      <c r="O138" s="60">
        <v>0.70099999999999996</v>
      </c>
      <c r="P138" s="60"/>
      <c r="Q138" s="60"/>
      <c r="R138" s="60"/>
      <c r="S138" s="60"/>
      <c r="T138" s="60">
        <v>30.856000000000002</v>
      </c>
      <c r="U138" s="112">
        <v>12.56</v>
      </c>
      <c r="V138" s="112">
        <v>4.07</v>
      </c>
      <c r="W138" s="60"/>
      <c r="X138" s="60"/>
      <c r="Y138" s="65"/>
      <c r="Z138" s="117">
        <f t="shared" si="7"/>
        <v>1.7406326034063264</v>
      </c>
      <c r="AA138" s="117">
        <f t="shared" si="8"/>
        <v>0.7517006802721089</v>
      </c>
      <c r="AB138" s="117">
        <f t="shared" si="9"/>
        <v>0.2313131313131313</v>
      </c>
      <c r="AC138" s="117">
        <f t="shared" si="10"/>
        <v>1.0545454545454547</v>
      </c>
      <c r="AD138" s="117">
        <f t="shared" si="11"/>
        <v>0.42048192771084336</v>
      </c>
      <c r="AF138" s="117">
        <f t="shared" si="12"/>
        <v>2.4071332436069985</v>
      </c>
      <c r="AG138" s="117">
        <f t="shared" si="13"/>
        <v>0.34126003705991359</v>
      </c>
      <c r="AH138" s="117">
        <f t="shared" si="14"/>
        <v>0.17642526964560862</v>
      </c>
      <c r="AI138" s="117">
        <f t="shared" si="15"/>
        <v>0.37908496732026142</v>
      </c>
      <c r="AJ138" s="117">
        <f t="shared" si="16"/>
        <v>0.63860933211344928</v>
      </c>
      <c r="AL138" s="117">
        <f t="shared" si="17"/>
        <v>1.8586645882047286</v>
      </c>
      <c r="AM138" s="117">
        <f t="shared" si="18"/>
        <v>0.3961993546073862</v>
      </c>
      <c r="AN138" s="117">
        <f t="shared" si="19"/>
        <v>0.20052539404553416</v>
      </c>
      <c r="AO138" s="117">
        <f t="shared" si="20"/>
        <v>0.32584269662921345</v>
      </c>
      <c r="AP138" s="117">
        <f t="shared" si="21"/>
        <v>0.74892703862660948</v>
      </c>
    </row>
    <row r="139" spans="1:42" ht="20.100000000000001" customHeight="1" x14ac:dyDescent="0.3">
      <c r="A139" s="41">
        <v>9</v>
      </c>
      <c r="B139" s="42" t="s">
        <v>23</v>
      </c>
      <c r="C139" s="42" t="s">
        <v>27</v>
      </c>
      <c r="D139" s="43" t="s">
        <v>30</v>
      </c>
      <c r="E139" s="44">
        <v>45558</v>
      </c>
      <c r="F139" s="45"/>
      <c r="G139" s="43" t="s">
        <v>134</v>
      </c>
      <c r="H139" s="72">
        <v>21.84</v>
      </c>
      <c r="I139" s="72">
        <v>7.29</v>
      </c>
      <c r="J139" s="72">
        <v>8.7100000000000009</v>
      </c>
      <c r="K139" s="73">
        <v>221</v>
      </c>
      <c r="L139" s="59"/>
      <c r="M139" s="60"/>
      <c r="N139" s="60"/>
      <c r="O139" s="60">
        <v>1.857</v>
      </c>
      <c r="P139" s="60"/>
      <c r="Q139" s="60"/>
      <c r="R139" s="60"/>
      <c r="S139" s="60"/>
      <c r="T139" s="60">
        <v>21.363</v>
      </c>
      <c r="U139" s="112">
        <v>7.14</v>
      </c>
      <c r="V139" s="113">
        <v>-2.67</v>
      </c>
      <c r="W139" s="62"/>
      <c r="X139" s="62"/>
      <c r="Y139" s="65"/>
      <c r="Z139" s="117">
        <f t="shared" si="7"/>
        <v>1.3177570093457944</v>
      </c>
      <c r="AA139" s="117">
        <f t="shared" si="8"/>
        <v>0.62465753424657533</v>
      </c>
      <c r="AB139" s="117">
        <f t="shared" si="9"/>
        <v>0.12836879432624115</v>
      </c>
      <c r="AC139" s="117">
        <f t="shared" si="10"/>
        <v>0.13333333333333333</v>
      </c>
      <c r="AD139" s="117">
        <f t="shared" si="11"/>
        <v>1.1600355239786857</v>
      </c>
      <c r="AF139" s="117">
        <f t="shared" si="12"/>
        <v>1.2287581699346406</v>
      </c>
      <c r="AG139" s="117">
        <f t="shared" si="13"/>
        <v>0.21714285714285714</v>
      </c>
      <c r="AH139" s="117">
        <f t="shared" si="14"/>
        <v>0.13955281418658441</v>
      </c>
      <c r="AI139" s="117">
        <f t="shared" si="15"/>
        <v>4.0404040404040401E-2</v>
      </c>
      <c r="AJ139" s="117">
        <f t="shared" si="16"/>
        <v>1.6282722513089005</v>
      </c>
      <c r="AL139" s="117">
        <f t="shared" si="17"/>
        <v>1.2685560053981106</v>
      </c>
      <c r="AM139" s="117">
        <f t="shared" si="18"/>
        <v>0.40933572710951521</v>
      </c>
      <c r="AN139" s="117">
        <f t="shared" si="19"/>
        <v>0.12405757368060316</v>
      </c>
      <c r="AO139" s="117">
        <f t="shared" si="20"/>
        <v>0.14117647058823529</v>
      </c>
      <c r="AP139" s="117">
        <f t="shared" si="21"/>
        <v>1.2758351240476655</v>
      </c>
    </row>
    <row r="140" spans="1:42" ht="20.100000000000001" customHeight="1" x14ac:dyDescent="0.3">
      <c r="A140" s="25">
        <v>10</v>
      </c>
      <c r="B140" s="17" t="s">
        <v>31</v>
      </c>
      <c r="C140" s="17" t="s">
        <v>31</v>
      </c>
      <c r="D140" s="18" t="s">
        <v>32</v>
      </c>
      <c r="E140" s="26">
        <v>45558</v>
      </c>
      <c r="F140" s="20"/>
      <c r="G140" s="18" t="s">
        <v>134</v>
      </c>
      <c r="H140" s="28">
        <v>22.67</v>
      </c>
      <c r="I140" s="28">
        <v>7.61</v>
      </c>
      <c r="J140" s="28">
        <v>7.83</v>
      </c>
      <c r="K140" s="74">
        <v>137.19999999999999</v>
      </c>
      <c r="L140" s="57"/>
      <c r="M140" s="54"/>
      <c r="N140" s="54"/>
      <c r="O140" s="58">
        <v>2.1589999999999998</v>
      </c>
      <c r="P140" s="58"/>
      <c r="Q140" s="58"/>
      <c r="R140" s="58"/>
      <c r="S140" s="58"/>
      <c r="T140" s="58">
        <v>5.758</v>
      </c>
      <c r="U140" s="109">
        <v>4.8</v>
      </c>
      <c r="V140" s="109">
        <v>-0.72</v>
      </c>
      <c r="W140" s="58"/>
      <c r="X140" s="58"/>
      <c r="Y140" s="64"/>
      <c r="Z140" s="117">
        <f t="shared" si="7"/>
        <v>0.70939226519337029</v>
      </c>
      <c r="AA140" s="117">
        <f t="shared" si="8"/>
        <v>0.31612903225806449</v>
      </c>
      <c r="AB140" s="117">
        <f t="shared" si="9"/>
        <v>9.1329479768786151E-2</v>
      </c>
      <c r="AC140" s="117">
        <f t="shared" si="10"/>
        <v>0.12</v>
      </c>
      <c r="AD140" s="117">
        <f t="shared" si="11"/>
        <v>1.4547038327526132</v>
      </c>
      <c r="AF140" s="117">
        <f t="shared" si="12"/>
        <v>0.83702737940026062</v>
      </c>
      <c r="AG140" s="117">
        <f t="shared" si="13"/>
        <v>0.15264797507788164</v>
      </c>
      <c r="AH140" s="117">
        <f t="shared" si="14"/>
        <v>6.9849690539345713E-2</v>
      </c>
      <c r="AI140" s="117">
        <f t="shared" si="15"/>
        <v>4.3165467625899283E-2</v>
      </c>
      <c r="AJ140" s="117">
        <f t="shared" si="16"/>
        <v>1.7987936234381732</v>
      </c>
      <c r="AL140" s="117">
        <f t="shared" si="17"/>
        <v>0.82202304737515997</v>
      </c>
      <c r="AM140" s="117">
        <f t="shared" si="18"/>
        <v>0.21997755331088664</v>
      </c>
      <c r="AN140" s="117">
        <f t="shared" si="19"/>
        <v>7.8140454995054412E-2</v>
      </c>
      <c r="AO140" s="117">
        <f t="shared" si="20"/>
        <v>9.9173553719008267E-2</v>
      </c>
      <c r="AP140" s="117">
        <f t="shared" si="21"/>
        <v>1.5451517394522576</v>
      </c>
    </row>
    <row r="141" spans="1:42" ht="20.100000000000001" customHeight="1" x14ac:dyDescent="0.3">
      <c r="A141" s="25">
        <v>11</v>
      </c>
      <c r="B141" s="17" t="s">
        <v>31</v>
      </c>
      <c r="C141" s="17" t="s">
        <v>31</v>
      </c>
      <c r="D141" s="18" t="s">
        <v>69</v>
      </c>
      <c r="E141" s="26">
        <v>45558</v>
      </c>
      <c r="F141" s="20"/>
      <c r="G141" s="18" t="s">
        <v>134</v>
      </c>
      <c r="H141" s="28">
        <v>22.91</v>
      </c>
      <c r="I141" s="28">
        <v>7.07</v>
      </c>
      <c r="J141" s="28">
        <v>8.25</v>
      </c>
      <c r="K141" s="74">
        <v>127.6</v>
      </c>
      <c r="L141" s="57"/>
      <c r="M141" s="54"/>
      <c r="N141" s="54"/>
      <c r="O141" s="54">
        <v>2.1850000000000001</v>
      </c>
      <c r="P141" s="54"/>
      <c r="Q141" s="54"/>
      <c r="R141" s="54"/>
      <c r="S141" s="54"/>
      <c r="T141" s="54">
        <v>5.5590000000000002</v>
      </c>
      <c r="U141" s="108">
        <v>5.13</v>
      </c>
      <c r="V141" s="108">
        <v>-0.4</v>
      </c>
      <c r="W141" s="54"/>
      <c r="X141" s="54"/>
      <c r="Y141" s="64"/>
      <c r="Z141" s="117">
        <f t="shared" si="7"/>
        <v>0.84550264550264553</v>
      </c>
      <c r="AA141" s="117">
        <f t="shared" si="8"/>
        <v>0.42063492063492064</v>
      </c>
      <c r="AB141" s="117">
        <f t="shared" si="9"/>
        <v>7.5000000000000011E-2</v>
      </c>
      <c r="AC141" s="117">
        <f t="shared" si="10"/>
        <v>0.23</v>
      </c>
      <c r="AD141" s="117">
        <f t="shared" si="11"/>
        <v>1.4107773851590106</v>
      </c>
      <c r="AF141" s="117">
        <f t="shared" si="12"/>
        <v>1.0349740932642486</v>
      </c>
      <c r="AG141" s="117">
        <f t="shared" si="13"/>
        <v>0.24651162790697673</v>
      </c>
      <c r="AH141" s="117">
        <f t="shared" si="14"/>
        <v>6.5749235474006115E-2</v>
      </c>
      <c r="AI141" s="117">
        <f t="shared" si="15"/>
        <v>7.6158940397350994E-2</v>
      </c>
      <c r="AJ141" s="117">
        <f t="shared" si="16"/>
        <v>1.5604846589798709</v>
      </c>
      <c r="AL141" s="117">
        <f t="shared" si="17"/>
        <v>0.96033653846153844</v>
      </c>
      <c r="AM141" s="117">
        <f t="shared" si="18"/>
        <v>0.2737603305785124</v>
      </c>
      <c r="AN141" s="117">
        <f t="shared" si="19"/>
        <v>6.4564564564564567E-2</v>
      </c>
      <c r="AO141" s="117">
        <f t="shared" si="20"/>
        <v>0.17557251908396945</v>
      </c>
      <c r="AP141" s="117">
        <f t="shared" si="21"/>
        <v>1.5241458293567474</v>
      </c>
    </row>
    <row r="142" spans="1:42" ht="20.100000000000001" customHeight="1" x14ac:dyDescent="0.3">
      <c r="A142" s="25">
        <v>12</v>
      </c>
      <c r="B142" s="17" t="s">
        <v>31</v>
      </c>
      <c r="C142" s="17" t="s">
        <v>31</v>
      </c>
      <c r="D142" s="18" t="s">
        <v>34</v>
      </c>
      <c r="E142" s="26">
        <v>45558</v>
      </c>
      <c r="F142" s="20"/>
      <c r="G142" s="18" t="s">
        <v>134</v>
      </c>
      <c r="H142" s="28">
        <v>23.08</v>
      </c>
      <c r="I142" s="28">
        <v>7.06</v>
      </c>
      <c r="J142" s="28">
        <v>8.19</v>
      </c>
      <c r="K142" s="74">
        <v>129.5</v>
      </c>
      <c r="L142" s="57"/>
      <c r="M142" s="54"/>
      <c r="N142" s="54"/>
      <c r="O142" s="54">
        <v>2.1640000000000001</v>
      </c>
      <c r="P142" s="54"/>
      <c r="Q142" s="54"/>
      <c r="R142" s="54"/>
      <c r="S142" s="54"/>
      <c r="T142" s="54">
        <v>5.7969999999999997</v>
      </c>
      <c r="U142" s="108">
        <v>4.9400000000000004</v>
      </c>
      <c r="V142" s="108">
        <v>-0.57999999999999996</v>
      </c>
      <c r="W142" s="54"/>
      <c r="X142" s="54"/>
      <c r="Y142" s="64"/>
      <c r="Z142" s="117">
        <f t="shared" si="7"/>
        <v>0.39505494505494509</v>
      </c>
      <c r="AA142" s="117">
        <f t="shared" si="8"/>
        <v>0.21904761904761905</v>
      </c>
      <c r="AB142" s="117">
        <f t="shared" si="9"/>
        <v>8.2558139534883723E-2</v>
      </c>
      <c r="AC142" s="117">
        <f t="shared" si="10"/>
        <v>0.19</v>
      </c>
      <c r="AD142" s="117">
        <f t="shared" si="11"/>
        <v>1.5675392670157067</v>
      </c>
      <c r="AF142" s="117">
        <f t="shared" si="12"/>
        <v>0.4851551956815115</v>
      </c>
      <c r="AG142" s="117">
        <f t="shared" si="13"/>
        <v>0.12212389380530972</v>
      </c>
      <c r="AH142" s="117">
        <f t="shared" si="14"/>
        <v>6.4516129032258063E-2</v>
      </c>
      <c r="AI142" s="117">
        <f t="shared" si="15"/>
        <v>6.985294117647059E-2</v>
      </c>
      <c r="AJ142" s="117">
        <f t="shared" si="16"/>
        <v>1.8274669379450661</v>
      </c>
      <c r="AL142" s="117">
        <f t="shared" si="17"/>
        <v>0.44769613947696146</v>
      </c>
      <c r="AM142" s="117">
        <f t="shared" si="18"/>
        <v>0.14951245937161431</v>
      </c>
      <c r="AN142" s="117">
        <f t="shared" si="19"/>
        <v>7.0576540755467196E-2</v>
      </c>
      <c r="AO142" s="117">
        <f t="shared" si="20"/>
        <v>0.152</v>
      </c>
      <c r="AP142" s="117">
        <f t="shared" si="21"/>
        <v>1.6839145106861642</v>
      </c>
    </row>
    <row r="143" spans="1:42" ht="20.100000000000001" customHeight="1" x14ac:dyDescent="0.3">
      <c r="A143" s="25">
        <v>13</v>
      </c>
      <c r="B143" s="17" t="s">
        <v>31</v>
      </c>
      <c r="C143" s="17" t="s">
        <v>35</v>
      </c>
      <c r="D143" s="18" t="s">
        <v>36</v>
      </c>
      <c r="E143" s="26">
        <v>45558</v>
      </c>
      <c r="F143" s="20"/>
      <c r="G143" s="18" t="s">
        <v>81</v>
      </c>
      <c r="H143" s="28">
        <v>22.77</v>
      </c>
      <c r="I143" s="28">
        <v>6.66</v>
      </c>
      <c r="J143" s="28">
        <v>7</v>
      </c>
      <c r="K143" s="74">
        <v>186.2</v>
      </c>
      <c r="L143" s="57"/>
      <c r="M143" s="54"/>
      <c r="N143" s="54"/>
      <c r="O143" s="54">
        <v>3.5609999999999999</v>
      </c>
      <c r="P143" s="54"/>
      <c r="Q143" s="54"/>
      <c r="R143" s="54"/>
      <c r="S143" s="54"/>
      <c r="T143" s="54">
        <v>9.6140000000000008</v>
      </c>
      <c r="U143" s="108">
        <v>7.83</v>
      </c>
      <c r="V143" s="108">
        <v>0.59</v>
      </c>
      <c r="W143" s="54"/>
      <c r="X143" s="54"/>
      <c r="Y143" s="64"/>
      <c r="Z143" s="117">
        <f t="shared" si="7"/>
        <v>0.52807692307692311</v>
      </c>
      <c r="AA143" s="117">
        <f t="shared" si="8"/>
        <v>0.16629213483146066</v>
      </c>
      <c r="AB143" s="117">
        <f t="shared" si="9"/>
        <v>8.3941605839416039E-2</v>
      </c>
      <c r="AC143" s="117">
        <f t="shared" si="10"/>
        <v>0.1</v>
      </c>
      <c r="AD143" s="117">
        <f t="shared" si="11"/>
        <v>1.6575396825396826</v>
      </c>
      <c r="AF143" s="117">
        <f t="shared" si="12"/>
        <v>0.52828010773374368</v>
      </c>
      <c r="AG143" s="117">
        <f t="shared" si="13"/>
        <v>0.10061182868796736</v>
      </c>
      <c r="AH143" s="117">
        <f t="shared" si="14"/>
        <v>7.1251548946716231E-2</v>
      </c>
      <c r="AI143" s="117">
        <f t="shared" si="15"/>
        <v>4.1666666666666671E-2</v>
      </c>
      <c r="AJ143" s="117">
        <f t="shared" si="16"/>
        <v>2.0495583905789991</v>
      </c>
      <c r="AL143" s="117">
        <f t="shared" si="17"/>
        <v>0.54119038234134809</v>
      </c>
      <c r="AM143" s="117">
        <f t="shared" si="18"/>
        <v>9.724047306176084E-2</v>
      </c>
      <c r="AN143" s="117">
        <f t="shared" si="19"/>
        <v>7.1561916614810192E-2</v>
      </c>
      <c r="AO143" s="117">
        <f t="shared" si="20"/>
        <v>5.6497175141242938E-2</v>
      </c>
      <c r="AP143" s="117">
        <f t="shared" si="21"/>
        <v>2.0096223237911959</v>
      </c>
    </row>
    <row r="144" spans="1:42" ht="20.100000000000001" customHeight="1" x14ac:dyDescent="0.3">
      <c r="A144" s="25">
        <v>14</v>
      </c>
      <c r="B144" s="17" t="s">
        <v>31</v>
      </c>
      <c r="C144" s="17" t="s">
        <v>5</v>
      </c>
      <c r="D144" s="18" t="s">
        <v>29</v>
      </c>
      <c r="E144" s="26">
        <v>45558</v>
      </c>
      <c r="F144" s="20"/>
      <c r="G144" s="18" t="s">
        <v>81</v>
      </c>
      <c r="H144" s="28">
        <v>23.64</v>
      </c>
      <c r="I144" s="28">
        <v>6.72</v>
      </c>
      <c r="J144" s="28">
        <v>8.16</v>
      </c>
      <c r="K144" s="74">
        <v>175.1</v>
      </c>
      <c r="L144" s="57"/>
      <c r="M144" s="54"/>
      <c r="N144" s="54"/>
      <c r="O144" s="54">
        <v>1.7789999999999999</v>
      </c>
      <c r="P144" s="54"/>
      <c r="Q144" s="54"/>
      <c r="R144" s="54"/>
      <c r="S144" s="54"/>
      <c r="T144" s="54">
        <v>11.368</v>
      </c>
      <c r="U144" s="108">
        <v>6.56</v>
      </c>
      <c r="V144" s="108">
        <v>0.87</v>
      </c>
      <c r="W144" s="54"/>
      <c r="X144" s="54"/>
      <c r="Y144" s="64"/>
      <c r="Z144" s="117">
        <f t="shared" si="7"/>
        <v>0.80432900432900423</v>
      </c>
      <c r="AA144" s="117">
        <f t="shared" si="8"/>
        <v>0.44743589743589746</v>
      </c>
      <c r="AB144" s="117">
        <f t="shared" si="9"/>
        <v>0.10872483221476512</v>
      </c>
      <c r="AC144" s="117">
        <f t="shared" si="10"/>
        <v>0.19</v>
      </c>
      <c r="AD144" s="117">
        <f t="shared" si="11"/>
        <v>1.430827067669173</v>
      </c>
      <c r="AF144" s="117">
        <f t="shared" si="12"/>
        <v>0.73409719478467006</v>
      </c>
      <c r="AG144" s="117">
        <f t="shared" si="13"/>
        <v>0.27588932806324112</v>
      </c>
      <c r="AH144" s="117">
        <f t="shared" si="14"/>
        <v>8.653846153846155E-2</v>
      </c>
      <c r="AI144" s="117">
        <f t="shared" si="15"/>
        <v>6.8592057761732855E-2</v>
      </c>
      <c r="AJ144" s="117">
        <f t="shared" si="16"/>
        <v>1.8771886559802713</v>
      </c>
      <c r="AL144" s="117">
        <f t="shared" si="17"/>
        <v>0.86258124419684301</v>
      </c>
      <c r="AM144" s="117">
        <f t="shared" si="18"/>
        <v>0.26005961251862891</v>
      </c>
      <c r="AN144" s="117">
        <f t="shared" si="19"/>
        <v>8.7473002159827215E-2</v>
      </c>
      <c r="AO144" s="117">
        <f t="shared" si="20"/>
        <v>0.10497237569060773</v>
      </c>
      <c r="AP144" s="117">
        <f t="shared" si="21"/>
        <v>1.7025273987922165</v>
      </c>
    </row>
    <row r="145" spans="1:42" ht="20.100000000000001" customHeight="1" x14ac:dyDescent="0.3">
      <c r="A145" s="25">
        <v>15</v>
      </c>
      <c r="B145" s="17" t="s">
        <v>31</v>
      </c>
      <c r="C145" s="17" t="s">
        <v>35</v>
      </c>
      <c r="D145" s="18" t="s">
        <v>29</v>
      </c>
      <c r="E145" s="26">
        <v>45558</v>
      </c>
      <c r="F145" s="20"/>
      <c r="G145" s="18" t="s">
        <v>81</v>
      </c>
      <c r="H145" s="28">
        <v>23.04</v>
      </c>
      <c r="I145" s="28">
        <v>6.58</v>
      </c>
      <c r="J145" s="28">
        <v>6.6</v>
      </c>
      <c r="K145" s="74">
        <v>183.5</v>
      </c>
      <c r="L145" s="57"/>
      <c r="M145" s="54"/>
      <c r="N145" s="54"/>
      <c r="O145" s="54">
        <v>3.331</v>
      </c>
      <c r="P145" s="54"/>
      <c r="Q145" s="54"/>
      <c r="R145" s="54"/>
      <c r="S145" s="54"/>
      <c r="T145" s="54">
        <v>8.9570000000000007</v>
      </c>
      <c r="U145" s="108">
        <v>8.2100000000000009</v>
      </c>
      <c r="V145" s="110">
        <v>1.84</v>
      </c>
      <c r="W145" s="55"/>
      <c r="X145" s="55"/>
      <c r="Y145" s="64"/>
      <c r="Z145" s="117">
        <f t="shared" si="7"/>
        <v>0.72872340425531923</v>
      </c>
      <c r="AA145" s="117">
        <f t="shared" si="8"/>
        <v>0.37187500000000001</v>
      </c>
      <c r="AB145" s="117">
        <f t="shared" si="9"/>
        <v>0.15193798449612403</v>
      </c>
      <c r="AC145" s="117">
        <f t="shared" si="10"/>
        <v>0.12727272727272729</v>
      </c>
      <c r="AD145" s="117">
        <f t="shared" si="11"/>
        <v>1.5307053941908715</v>
      </c>
      <c r="AF145" s="117">
        <f t="shared" si="12"/>
        <v>0.88273195876288657</v>
      </c>
      <c r="AG145" s="117">
        <f t="shared" si="13"/>
        <v>0.19778393351800552</v>
      </c>
      <c r="AH145" s="117">
        <f t="shared" si="14"/>
        <v>7.7134986225895319E-2</v>
      </c>
      <c r="AI145" s="117">
        <f t="shared" si="15"/>
        <v>5.8577405857740586E-2</v>
      </c>
      <c r="AJ145" s="117">
        <f t="shared" si="16"/>
        <v>2.3900226757369616</v>
      </c>
      <c r="AL145" s="117">
        <f t="shared" si="17"/>
        <v>0.7656482861400894</v>
      </c>
      <c r="AM145" s="117">
        <f t="shared" si="18"/>
        <v>0.20779976717112922</v>
      </c>
      <c r="AN145" s="117">
        <f t="shared" si="19"/>
        <v>0.12076401725200246</v>
      </c>
      <c r="AO145" s="117">
        <f t="shared" si="20"/>
        <v>5.9829059829059839E-2</v>
      </c>
      <c r="AP145" s="117">
        <f t="shared" si="21"/>
        <v>1.9721999465383588</v>
      </c>
    </row>
    <row r="146" spans="1:42" ht="20.100000000000001" customHeight="1" x14ac:dyDescent="0.3">
      <c r="A146" s="41">
        <v>16</v>
      </c>
      <c r="B146" s="42" t="s">
        <v>38</v>
      </c>
      <c r="C146" s="42" t="s">
        <v>38</v>
      </c>
      <c r="D146" s="43" t="s">
        <v>39</v>
      </c>
      <c r="E146" s="44">
        <v>45558</v>
      </c>
      <c r="F146" s="45"/>
      <c r="G146" s="43" t="s">
        <v>81</v>
      </c>
      <c r="H146" s="72">
        <v>23.98</v>
      </c>
      <c r="I146" s="72">
        <v>7.05</v>
      </c>
      <c r="J146" s="72">
        <v>7.93</v>
      </c>
      <c r="K146" s="73">
        <v>141.9</v>
      </c>
      <c r="L146" s="59"/>
      <c r="M146" s="60"/>
      <c r="N146" s="60"/>
      <c r="O146" s="61">
        <v>2.0390000000000001</v>
      </c>
      <c r="P146" s="61"/>
      <c r="Q146" s="61"/>
      <c r="R146" s="61"/>
      <c r="S146" s="61"/>
      <c r="T146" s="61">
        <v>7.2519999999999998</v>
      </c>
      <c r="U146" s="111">
        <v>5.64</v>
      </c>
      <c r="V146" s="111">
        <v>1.92</v>
      </c>
      <c r="W146" s="61"/>
      <c r="X146" s="61"/>
      <c r="Y146" s="65"/>
      <c r="Z146" s="117">
        <f t="shared" si="7"/>
        <v>1.4905213270142181</v>
      </c>
      <c r="AA146" s="117">
        <f t="shared" si="8"/>
        <v>0.28933333333333333</v>
      </c>
      <c r="AB146" s="117">
        <f t="shared" si="9"/>
        <v>9.5731707317073159E-2</v>
      </c>
      <c r="AC146" s="117">
        <f t="shared" si="10"/>
        <v>0.17</v>
      </c>
      <c r="AD146" s="117">
        <f t="shared" si="11"/>
        <v>1.1970370370370371</v>
      </c>
      <c r="AF146" s="117">
        <f t="shared" si="12"/>
        <v>1.5964467005076142</v>
      </c>
      <c r="AG146" s="117">
        <f t="shared" si="13"/>
        <v>0.21170731707317073</v>
      </c>
      <c r="AH146" s="117">
        <f t="shared" si="14"/>
        <v>6.3717532467532464E-2</v>
      </c>
      <c r="AI146" s="117">
        <f t="shared" si="15"/>
        <v>5.9027777777777783E-2</v>
      </c>
      <c r="AJ146" s="117">
        <f t="shared" si="16"/>
        <v>1.5198683282388901</v>
      </c>
      <c r="AL146" s="117">
        <f t="shared" si="17"/>
        <v>1.6605068637803588</v>
      </c>
      <c r="AM146" s="117">
        <f t="shared" si="18"/>
        <v>0.17318435754189945</v>
      </c>
      <c r="AN146" s="117">
        <f t="shared" si="19"/>
        <v>7.374354156881166E-2</v>
      </c>
      <c r="AO146" s="117">
        <f t="shared" si="20"/>
        <v>7.6576576576576572E-2</v>
      </c>
      <c r="AP146" s="117">
        <f t="shared" si="21"/>
        <v>1.4358063083074191</v>
      </c>
    </row>
    <row r="147" spans="1:42" ht="20.100000000000001" customHeight="1" x14ac:dyDescent="0.3">
      <c r="A147" s="41">
        <v>17</v>
      </c>
      <c r="B147" s="42" t="s">
        <v>38</v>
      </c>
      <c r="C147" s="42" t="s">
        <v>38</v>
      </c>
      <c r="D147" s="43" t="s">
        <v>41</v>
      </c>
      <c r="E147" s="44">
        <v>45558</v>
      </c>
      <c r="F147" s="45"/>
      <c r="G147" s="43" t="s">
        <v>81</v>
      </c>
      <c r="H147" s="72">
        <v>24.82</v>
      </c>
      <c r="I147" s="72">
        <v>7.65</v>
      </c>
      <c r="J147" s="72">
        <v>7.92</v>
      </c>
      <c r="K147" s="73">
        <v>193.3</v>
      </c>
      <c r="L147" s="59"/>
      <c r="M147" s="60"/>
      <c r="N147" s="60"/>
      <c r="O147" s="60">
        <v>2.0710000000000002</v>
      </c>
      <c r="P147" s="60"/>
      <c r="Q147" s="60"/>
      <c r="R147" s="60"/>
      <c r="S147" s="60"/>
      <c r="T147" s="60">
        <v>12.406000000000001</v>
      </c>
      <c r="U147" s="112">
        <v>8</v>
      </c>
      <c r="V147" s="112">
        <v>2.11</v>
      </c>
      <c r="W147" s="60"/>
      <c r="X147" s="60"/>
      <c r="Y147" s="65"/>
      <c r="Z147" s="117">
        <f t="shared" si="7"/>
        <v>1.1200729927007298</v>
      </c>
      <c r="AA147" s="117">
        <f t="shared" si="8"/>
        <v>0.14731182795698924</v>
      </c>
      <c r="AB147" s="117">
        <f t="shared" si="9"/>
        <v>7.4436090225563911E-2</v>
      </c>
      <c r="AC147" s="117">
        <f t="shared" si="10"/>
        <v>0.05</v>
      </c>
      <c r="AD147" s="117">
        <f t="shared" si="11"/>
        <v>1.3653061224489798</v>
      </c>
      <c r="AF147" s="117">
        <f t="shared" si="12"/>
        <v>1.4307692307692308</v>
      </c>
      <c r="AG147" s="117">
        <f t="shared" si="13"/>
        <v>7.2679045092838193E-2</v>
      </c>
      <c r="AH147" s="117">
        <f t="shared" si="14"/>
        <v>4.6919431279620859E-2</v>
      </c>
      <c r="AI147" s="117">
        <f t="shared" si="15"/>
        <v>1.8656716417910446E-2</v>
      </c>
      <c r="AJ147" s="117">
        <f t="shared" si="16"/>
        <v>1.8624721603563474</v>
      </c>
      <c r="AL147" s="117">
        <f t="shared" si="17"/>
        <v>1.1767638036809818</v>
      </c>
      <c r="AM147" s="117">
        <f t="shared" si="18"/>
        <v>8.0446271285965945E-2</v>
      </c>
      <c r="AN147" s="117">
        <f t="shared" si="19"/>
        <v>5.896366885050626E-2</v>
      </c>
      <c r="AO147" s="117">
        <f t="shared" si="20"/>
        <v>2.0242914979757085E-2</v>
      </c>
      <c r="AP147" s="117">
        <f t="shared" si="21"/>
        <v>1.7778368323146425</v>
      </c>
    </row>
    <row r="148" spans="1:42" ht="20.100000000000001" customHeight="1" x14ac:dyDescent="0.3">
      <c r="A148" s="41">
        <v>18</v>
      </c>
      <c r="B148" s="42" t="s">
        <v>38</v>
      </c>
      <c r="C148" s="42" t="s">
        <v>38</v>
      </c>
      <c r="D148" s="43" t="s">
        <v>42</v>
      </c>
      <c r="E148" s="44">
        <v>45558</v>
      </c>
      <c r="F148" s="45"/>
      <c r="G148" s="43" t="s">
        <v>81</v>
      </c>
      <c r="H148" s="72">
        <v>24.52</v>
      </c>
      <c r="I148" s="72">
        <v>7.51</v>
      </c>
      <c r="J148" s="72">
        <v>7.4</v>
      </c>
      <c r="K148" s="73">
        <v>208.7</v>
      </c>
      <c r="L148" s="59"/>
      <c r="M148" s="60"/>
      <c r="N148" s="60"/>
      <c r="O148" s="60">
        <v>1.972</v>
      </c>
      <c r="P148" s="60"/>
      <c r="Q148" s="60"/>
      <c r="R148" s="60"/>
      <c r="S148" s="60"/>
      <c r="T148" s="60">
        <v>13.935</v>
      </c>
      <c r="U148" s="112">
        <v>8.16</v>
      </c>
      <c r="V148" s="112">
        <v>1.79</v>
      </c>
      <c r="W148" s="60"/>
      <c r="X148" s="60"/>
      <c r="Y148" s="65"/>
      <c r="Z148" s="117">
        <f t="shared" si="7"/>
        <v>1.3062499999999999</v>
      </c>
      <c r="AA148" s="117">
        <f t="shared" si="8"/>
        <v>0.11290322580645161</v>
      </c>
      <c r="AB148" s="117">
        <f t="shared" si="9"/>
        <v>9.2481203007518789E-2</v>
      </c>
      <c r="AC148" s="117">
        <f t="shared" si="10"/>
        <v>0.2</v>
      </c>
      <c r="AD148" s="117">
        <f t="shared" si="11"/>
        <v>1.259959349593496</v>
      </c>
      <c r="AF148" s="117">
        <f t="shared" si="12"/>
        <v>1.5427702996092054</v>
      </c>
      <c r="AG148" s="117">
        <f t="shared" si="13"/>
        <v>5.8593750000000007E-2</v>
      </c>
      <c r="AH148" s="117">
        <f t="shared" si="14"/>
        <v>4.8311076197957575E-2</v>
      </c>
      <c r="AI148" s="117">
        <f t="shared" si="15"/>
        <v>8.0645161290322592E-2</v>
      </c>
      <c r="AJ148" s="117">
        <f t="shared" si="16"/>
        <v>1.9926068788171007</v>
      </c>
      <c r="AL148" s="117">
        <f t="shared" si="17"/>
        <v>1.3332082551594746</v>
      </c>
      <c r="AM148" s="117">
        <f t="shared" si="18"/>
        <v>6.1655901350557839E-2</v>
      </c>
      <c r="AN148" s="117">
        <f t="shared" si="19"/>
        <v>7.550644567219153E-2</v>
      </c>
      <c r="AO148" s="117">
        <f t="shared" si="20"/>
        <v>8.6580086580086577E-2</v>
      </c>
      <c r="AP148" s="117">
        <f t="shared" si="21"/>
        <v>1.6434252386002122</v>
      </c>
    </row>
    <row r="149" spans="1:42" ht="20.100000000000001" customHeight="1" x14ac:dyDescent="0.3">
      <c r="A149" s="41">
        <v>19</v>
      </c>
      <c r="B149" s="42" t="s">
        <v>38</v>
      </c>
      <c r="C149" s="42" t="s">
        <v>43</v>
      </c>
      <c r="D149" s="43" t="s">
        <v>40</v>
      </c>
      <c r="E149" s="44">
        <v>45558</v>
      </c>
      <c r="F149" s="45"/>
      <c r="G149" s="43" t="s">
        <v>81</v>
      </c>
      <c r="H149" s="72">
        <v>25.86</v>
      </c>
      <c r="I149" s="72">
        <v>7.46</v>
      </c>
      <c r="J149" s="72">
        <v>6.9</v>
      </c>
      <c r="K149" s="73">
        <v>309.10000000000002</v>
      </c>
      <c r="L149" s="59"/>
      <c r="M149" s="60"/>
      <c r="N149" s="60"/>
      <c r="O149" s="60">
        <v>2.605</v>
      </c>
      <c r="P149" s="60"/>
      <c r="Q149" s="60"/>
      <c r="R149" s="60"/>
      <c r="S149" s="60"/>
      <c r="T149" s="60">
        <v>30.437000000000001</v>
      </c>
      <c r="U149" s="112">
        <v>9.75</v>
      </c>
      <c r="V149" s="112">
        <v>1.59</v>
      </c>
      <c r="W149" s="60"/>
      <c r="X149" s="60"/>
      <c r="Y149" s="65"/>
      <c r="Z149" s="117">
        <f t="shared" si="7"/>
        <v>0.62319749216300935</v>
      </c>
      <c r="AA149" s="117">
        <f t="shared" si="8"/>
        <v>9.1891891891891897E-2</v>
      </c>
      <c r="AB149" s="117">
        <f t="shared" si="9"/>
        <v>8.487394957983195E-2</v>
      </c>
      <c r="AC149" s="117">
        <f t="shared" si="10"/>
        <v>0.37777777777777782</v>
      </c>
      <c r="AD149" s="117">
        <f t="shared" si="11"/>
        <v>1.7590497737556561</v>
      </c>
      <c r="AF149" s="117">
        <f t="shared" si="12"/>
        <v>0.60554371002132201</v>
      </c>
      <c r="AG149" s="117">
        <f t="shared" si="13"/>
        <v>4.4756472136902155E-2</v>
      </c>
      <c r="AH149" s="117">
        <f t="shared" si="14"/>
        <v>7.4981440237564964E-2</v>
      </c>
      <c r="AI149" s="117">
        <f t="shared" si="15"/>
        <v>0.11486486486486487</v>
      </c>
      <c r="AJ149" s="117">
        <f t="shared" si="16"/>
        <v>2.7817531305903396</v>
      </c>
      <c r="AL149" s="117">
        <f t="shared" si="17"/>
        <v>0.62047440699126089</v>
      </c>
      <c r="AM149" s="117">
        <f t="shared" si="18"/>
        <v>5.143721633888048E-2</v>
      </c>
      <c r="AN149" s="117">
        <f t="shared" si="19"/>
        <v>7.4483775811209435E-2</v>
      </c>
      <c r="AO149" s="117">
        <f t="shared" si="20"/>
        <v>0.15044247787610621</v>
      </c>
      <c r="AP149" s="117">
        <f t="shared" si="21"/>
        <v>2.4063757350665429</v>
      </c>
    </row>
    <row r="150" spans="1:42" ht="20.100000000000001" customHeight="1" x14ac:dyDescent="0.3">
      <c r="A150" s="41">
        <v>20</v>
      </c>
      <c r="B150" s="42" t="s">
        <v>38</v>
      </c>
      <c r="C150" s="42" t="s">
        <v>43</v>
      </c>
      <c r="D150" s="43" t="s">
        <v>44</v>
      </c>
      <c r="E150" s="44">
        <v>45558</v>
      </c>
      <c r="F150" s="45"/>
      <c r="G150" s="43" t="s">
        <v>81</v>
      </c>
      <c r="H150" s="72">
        <v>24.21</v>
      </c>
      <c r="I150" s="72">
        <v>7.08</v>
      </c>
      <c r="J150" s="72">
        <v>7.84</v>
      </c>
      <c r="K150" s="73">
        <v>274.8</v>
      </c>
      <c r="L150" s="59"/>
      <c r="M150" s="60"/>
      <c r="N150" s="60"/>
      <c r="O150" s="60">
        <v>1.569</v>
      </c>
      <c r="P150" s="60"/>
      <c r="Q150" s="60"/>
      <c r="R150" s="60"/>
      <c r="S150" s="60"/>
      <c r="T150" s="60">
        <v>21.135999999999999</v>
      </c>
      <c r="U150" s="113">
        <v>9.39</v>
      </c>
      <c r="V150" s="113">
        <v>2.5</v>
      </c>
      <c r="W150" s="62"/>
      <c r="X150" s="62"/>
      <c r="Y150" s="65"/>
      <c r="Z150" s="117">
        <f t="shared" si="7"/>
        <v>1.6536977491961413</v>
      </c>
      <c r="AA150" s="117">
        <f t="shared" si="8"/>
        <v>0.35090909090909089</v>
      </c>
      <c r="AB150" s="117">
        <f t="shared" si="9"/>
        <v>7.768595041322314E-2</v>
      </c>
      <c r="AC150" s="117">
        <f t="shared" si="10"/>
        <v>0.16363636363636366</v>
      </c>
      <c r="AD150" s="117">
        <f t="shared" si="11"/>
        <v>0.97516778523489933</v>
      </c>
      <c r="AF150" s="117">
        <f t="shared" si="12"/>
        <v>2.263644366197183</v>
      </c>
      <c r="AG150" s="117">
        <f t="shared" si="13"/>
        <v>0.145880574452003</v>
      </c>
      <c r="AH150" s="117">
        <f t="shared" si="14"/>
        <v>5.481049562682215E-2</v>
      </c>
      <c r="AI150" s="117">
        <f t="shared" si="15"/>
        <v>6.1224489795918366E-2</v>
      </c>
      <c r="AJ150" s="117">
        <f t="shared" si="16"/>
        <v>1.4184835665473479</v>
      </c>
      <c r="AL150" s="117">
        <f t="shared" si="17"/>
        <v>1.6644012944983819</v>
      </c>
      <c r="AM150" s="117">
        <f t="shared" si="18"/>
        <v>0.19213539074166253</v>
      </c>
      <c r="AN150" s="117">
        <f t="shared" si="19"/>
        <v>6.4560439560439553E-2</v>
      </c>
      <c r="AO150" s="117">
        <f t="shared" si="20"/>
        <v>6.6176470588235295E-2</v>
      </c>
      <c r="AP150" s="117">
        <f t="shared" si="21"/>
        <v>1.3737787582729277</v>
      </c>
    </row>
    <row r="151" spans="1:42" ht="20.100000000000001" customHeight="1" x14ac:dyDescent="0.3">
      <c r="A151" s="25">
        <v>21</v>
      </c>
      <c r="B151" s="17" t="s">
        <v>45</v>
      </c>
      <c r="C151" s="17" t="s">
        <v>45</v>
      </c>
      <c r="D151" s="18" t="s">
        <v>46</v>
      </c>
      <c r="E151" s="26">
        <v>45558</v>
      </c>
      <c r="F151" s="20"/>
      <c r="G151" s="18" t="s">
        <v>81</v>
      </c>
      <c r="H151" s="28">
        <v>21.7</v>
      </c>
      <c r="I151" s="28">
        <v>8.42</v>
      </c>
      <c r="J151" s="28">
        <v>10.36</v>
      </c>
      <c r="K151" s="74">
        <v>104</v>
      </c>
      <c r="L151" s="57"/>
      <c r="M151" s="54"/>
      <c r="N151" s="54"/>
      <c r="O151" s="58">
        <v>2.0310000000000001</v>
      </c>
      <c r="P151" s="58"/>
      <c r="Q151" s="58"/>
      <c r="R151" s="58"/>
      <c r="S151" s="58"/>
      <c r="T151" s="58">
        <v>5.9089999999999998</v>
      </c>
      <c r="U151" s="109">
        <v>2.19</v>
      </c>
      <c r="V151" s="109">
        <v>-0.53</v>
      </c>
      <c r="W151" s="58"/>
      <c r="X151" s="58"/>
      <c r="Y151" s="64"/>
      <c r="Z151" s="117">
        <f t="shared" si="7"/>
        <v>1.3425373134328358</v>
      </c>
      <c r="AA151" s="117">
        <f t="shared" si="8"/>
        <v>0.62127659574468086</v>
      </c>
      <c r="AB151" s="117">
        <f t="shared" si="9"/>
        <v>6.7187500000000011E-2</v>
      </c>
      <c r="AC151" s="117">
        <f t="shared" si="10"/>
        <v>0.2</v>
      </c>
      <c r="AD151" s="117">
        <f t="shared" si="11"/>
        <v>1.2559870550161814</v>
      </c>
      <c r="AF151" s="117">
        <f t="shared" si="12"/>
        <v>1.7864945382323731</v>
      </c>
      <c r="AG151" s="117">
        <f t="shared" si="13"/>
        <v>0.18911917098445594</v>
      </c>
      <c r="AH151" s="117">
        <f t="shared" si="14"/>
        <v>4.971098265895954E-2</v>
      </c>
      <c r="AI151" s="117">
        <f t="shared" si="15"/>
        <v>4.8128342245989303E-2</v>
      </c>
      <c r="AJ151" s="117">
        <f t="shared" si="16"/>
        <v>1.7325892857142857</v>
      </c>
      <c r="AL151" s="117">
        <f t="shared" si="17"/>
        <v>1.9179104477611941</v>
      </c>
      <c r="AM151" s="117">
        <f t="shared" si="18"/>
        <v>0.52898550724637683</v>
      </c>
      <c r="AN151" s="117">
        <f t="shared" si="19"/>
        <v>4.8008931894305919E-2</v>
      </c>
      <c r="AO151" s="117">
        <f t="shared" si="20"/>
        <v>0.14399999999999999</v>
      </c>
      <c r="AP151" s="117">
        <f t="shared" si="21"/>
        <v>1.3622323622323624</v>
      </c>
    </row>
    <row r="152" spans="1:42" ht="20.100000000000001" customHeight="1" x14ac:dyDescent="0.3">
      <c r="A152" s="25">
        <v>22</v>
      </c>
      <c r="B152" s="17" t="s">
        <v>45</v>
      </c>
      <c r="C152" s="17" t="s">
        <v>45</v>
      </c>
      <c r="D152" s="22" t="s">
        <v>47</v>
      </c>
      <c r="E152" s="26">
        <v>45558</v>
      </c>
      <c r="F152" s="23"/>
      <c r="G152" s="18" t="s">
        <v>81</v>
      </c>
      <c r="H152" s="28">
        <v>20.96</v>
      </c>
      <c r="I152" s="28">
        <v>7.9</v>
      </c>
      <c r="J152" s="28">
        <v>10.15</v>
      </c>
      <c r="K152" s="74">
        <v>101</v>
      </c>
      <c r="L152" s="57"/>
      <c r="M152" s="55"/>
      <c r="N152" s="55"/>
      <c r="O152" s="55">
        <v>2.3380000000000001</v>
      </c>
      <c r="P152" s="55"/>
      <c r="Q152" s="55"/>
      <c r="R152" s="55"/>
      <c r="S152" s="55"/>
      <c r="T152" s="55">
        <v>7.3620000000000001</v>
      </c>
      <c r="U152" s="110">
        <v>4.6100000000000003</v>
      </c>
      <c r="V152" s="110">
        <v>-0.06</v>
      </c>
      <c r="W152" s="55"/>
      <c r="X152" s="55"/>
      <c r="Y152" s="66"/>
      <c r="Z152" s="117">
        <f t="shared" si="7"/>
        <v>0.82663043478260878</v>
      </c>
      <c r="AA152" s="117">
        <f t="shared" si="8"/>
        <v>0.17903225806451614</v>
      </c>
      <c r="AB152" s="117">
        <f t="shared" si="9"/>
        <v>5.058139534883721E-2</v>
      </c>
      <c r="AC152" s="117">
        <f t="shared" si="10"/>
        <v>0.15555555555555559</v>
      </c>
      <c r="AD152" s="117">
        <f t="shared" si="11"/>
        <v>1.4427574171029669</v>
      </c>
      <c r="AF152" s="117">
        <f t="shared" si="12"/>
        <v>1.0368098159509203</v>
      </c>
      <c r="AG152" s="117">
        <f t="shared" si="13"/>
        <v>8.0727272727272731E-2</v>
      </c>
      <c r="AH152" s="117">
        <f t="shared" si="14"/>
        <v>3.7483843171046964E-2</v>
      </c>
      <c r="AI152" s="117">
        <f t="shared" si="15"/>
        <v>4.9295774647887321E-2</v>
      </c>
      <c r="AJ152" s="117">
        <f t="shared" si="16"/>
        <v>1.8157258950142763</v>
      </c>
      <c r="AL152" s="117">
        <f t="shared" si="17"/>
        <v>1</v>
      </c>
      <c r="AM152" s="117">
        <f t="shared" si="18"/>
        <v>0.12319644839067703</v>
      </c>
      <c r="AN152" s="117">
        <f t="shared" si="19"/>
        <v>4.0559440559440559E-2</v>
      </c>
      <c r="AO152" s="117">
        <f t="shared" si="20"/>
        <v>0.10071942446043167</v>
      </c>
      <c r="AP152" s="117">
        <f t="shared" si="21"/>
        <v>1.5615791462032491</v>
      </c>
    </row>
    <row r="153" spans="1:42" ht="20.100000000000001" customHeight="1" x14ac:dyDescent="0.3">
      <c r="A153" s="25">
        <v>23</v>
      </c>
      <c r="B153" s="17" t="s">
        <v>45</v>
      </c>
      <c r="C153" s="17" t="s">
        <v>45</v>
      </c>
      <c r="D153" s="22" t="s">
        <v>29</v>
      </c>
      <c r="E153" s="26">
        <v>45558</v>
      </c>
      <c r="F153" s="23"/>
      <c r="G153" s="18" t="s">
        <v>81</v>
      </c>
      <c r="H153" s="75">
        <v>21.12</v>
      </c>
      <c r="I153" s="75">
        <v>7.79</v>
      </c>
      <c r="J153" s="75">
        <v>10.23</v>
      </c>
      <c r="K153" s="77">
        <v>97</v>
      </c>
      <c r="L153" s="57"/>
      <c r="M153" s="55"/>
      <c r="N153" s="55"/>
      <c r="O153" s="55">
        <v>2.2559999999999998</v>
      </c>
      <c r="P153" s="55"/>
      <c r="Q153" s="55"/>
      <c r="R153" s="55"/>
      <c r="S153" s="55"/>
      <c r="T153" s="55">
        <v>7.5640000000000001</v>
      </c>
      <c r="U153" s="110">
        <v>3.61</v>
      </c>
      <c r="V153" s="110">
        <v>-2.4700000000000002</v>
      </c>
      <c r="W153" s="55"/>
      <c r="X153" s="55"/>
      <c r="Y153" s="66"/>
      <c r="Z153" s="117">
        <f t="shared" si="7"/>
        <v>0.89790209790209796</v>
      </c>
      <c r="AA153" s="117">
        <f t="shared" si="8"/>
        <v>0.37692307692307692</v>
      </c>
      <c r="AB153" s="117">
        <f t="shared" si="9"/>
        <v>8.7777777777777788E-2</v>
      </c>
      <c r="AC153" s="117">
        <f t="shared" si="10"/>
        <v>0.13333333333333333</v>
      </c>
      <c r="AD153" s="117">
        <f t="shared" si="11"/>
        <v>1.3555194805194806</v>
      </c>
      <c r="AF153" s="117">
        <f t="shared" si="12"/>
        <v>1.2381870781099327</v>
      </c>
      <c r="AG153" s="117">
        <f t="shared" si="13"/>
        <v>9.6551724137931033E-2</v>
      </c>
      <c r="AH153" s="117">
        <f t="shared" si="14"/>
        <v>7.4988134788799246E-2</v>
      </c>
      <c r="AI153" s="117">
        <f t="shared" si="15"/>
        <v>2.7777777777777776E-2</v>
      </c>
      <c r="AJ153" s="117">
        <f t="shared" si="16"/>
        <v>1.9003186162949477</v>
      </c>
      <c r="AL153" s="117">
        <f t="shared" si="17"/>
        <v>1.0717863105175292</v>
      </c>
      <c r="AM153" s="117">
        <f t="shared" si="18"/>
        <v>0.31511254019292606</v>
      </c>
      <c r="AN153" s="117">
        <f t="shared" si="19"/>
        <v>7.7223851417399805E-2</v>
      </c>
      <c r="AO153" s="117">
        <f t="shared" si="20"/>
        <v>0.15584415584415584</v>
      </c>
      <c r="AP153" s="117">
        <f t="shared" si="21"/>
        <v>1.3785702492983325</v>
      </c>
    </row>
    <row r="154" spans="1:42" ht="20.100000000000001" customHeight="1" x14ac:dyDescent="0.3">
      <c r="A154" s="25">
        <v>24</v>
      </c>
      <c r="B154" s="17" t="s">
        <v>45</v>
      </c>
      <c r="C154" s="17" t="s">
        <v>45</v>
      </c>
      <c r="D154" s="18" t="s">
        <v>48</v>
      </c>
      <c r="E154" s="26">
        <v>45558</v>
      </c>
      <c r="F154" s="20"/>
      <c r="G154" s="18" t="s">
        <v>134</v>
      </c>
      <c r="H154" s="28">
        <v>21.15</v>
      </c>
      <c r="I154" s="28">
        <v>7.79</v>
      </c>
      <c r="J154" s="28">
        <v>10.44</v>
      </c>
      <c r="K154" s="74">
        <v>99</v>
      </c>
      <c r="L154" s="57"/>
      <c r="M154" s="54"/>
      <c r="N154" s="54"/>
      <c r="O154" s="54">
        <v>2.2269999999999999</v>
      </c>
      <c r="P154" s="54"/>
      <c r="Q154" s="54"/>
      <c r="R154" s="54"/>
      <c r="S154" s="54"/>
      <c r="T154" s="54">
        <v>7.851</v>
      </c>
      <c r="U154" s="108">
        <v>5.78</v>
      </c>
      <c r="V154" s="108">
        <v>1.18</v>
      </c>
      <c r="W154" s="54"/>
      <c r="X154" s="54"/>
      <c r="Y154" s="64"/>
      <c r="Z154" s="117">
        <f t="shared" si="7"/>
        <v>0.91435406698564592</v>
      </c>
      <c r="AA154" s="117">
        <f t="shared" si="8"/>
        <v>0.11917808219178082</v>
      </c>
      <c r="AB154" s="117">
        <f t="shared" si="9"/>
        <v>0.11180124223602483</v>
      </c>
      <c r="AC154" s="117">
        <f t="shared" si="10"/>
        <v>0.21</v>
      </c>
      <c r="AD154" s="117">
        <f t="shared" si="11"/>
        <v>1.4261425959780623</v>
      </c>
      <c r="AF154" s="117">
        <f t="shared" si="12"/>
        <v>0.84073911130664314</v>
      </c>
      <c r="AG154" s="117">
        <f t="shared" si="13"/>
        <v>9.375E-2</v>
      </c>
      <c r="AH154" s="117">
        <f t="shared" si="14"/>
        <v>7.8878177037686237E-2</v>
      </c>
      <c r="AI154" s="117">
        <f t="shared" si="15"/>
        <v>6.5217391304347824E-2</v>
      </c>
      <c r="AJ154" s="117">
        <f t="shared" si="16"/>
        <v>1.859594755661502</v>
      </c>
      <c r="AL154" s="117">
        <f t="shared" si="17"/>
        <v>0.9963503649635036</v>
      </c>
      <c r="AM154" s="117">
        <f t="shared" si="18"/>
        <v>7.1428571428571425E-2</v>
      </c>
      <c r="AN154" s="117">
        <f t="shared" si="19"/>
        <v>8.862629246676515E-2</v>
      </c>
      <c r="AO154" s="117">
        <f t="shared" si="20"/>
        <v>0.11052631578947368</v>
      </c>
      <c r="AP154" s="117">
        <f t="shared" si="21"/>
        <v>1.6801636872711609</v>
      </c>
    </row>
    <row r="155" spans="1:42" ht="20.100000000000001" customHeight="1" x14ac:dyDescent="0.3"/>
    <row r="156" spans="1:42" ht="20.100000000000001" customHeight="1" x14ac:dyDescent="0.3"/>
    <row r="157" spans="1:42" ht="20.100000000000001" customHeight="1" x14ac:dyDescent="0.3"/>
    <row r="158" spans="1:42" ht="20.100000000000001" customHeight="1" thickBot="1" x14ac:dyDescent="0.35">
      <c r="Z158" t="s">
        <v>1350</v>
      </c>
    </row>
    <row r="159" spans="1:42" ht="20.100000000000001" customHeight="1" thickBot="1" x14ac:dyDescent="0.35">
      <c r="A159" s="124" t="s">
        <v>1</v>
      </c>
      <c r="B159" s="126" t="s">
        <v>62</v>
      </c>
      <c r="C159" s="126" t="s">
        <v>63</v>
      </c>
      <c r="D159" s="124" t="s">
        <v>7</v>
      </c>
      <c r="E159" s="128" t="s">
        <v>8</v>
      </c>
      <c r="F159" s="129"/>
      <c r="G159" s="119" t="s">
        <v>9</v>
      </c>
      <c r="H159" s="119"/>
      <c r="I159" s="119"/>
      <c r="J159" s="119"/>
      <c r="K159" s="119"/>
      <c r="L159" s="120" t="s">
        <v>56</v>
      </c>
      <c r="M159" s="121"/>
      <c r="N159" s="121"/>
      <c r="O159" s="121"/>
      <c r="P159" s="121"/>
      <c r="Q159" s="121"/>
      <c r="R159" s="121"/>
      <c r="S159" s="121"/>
      <c r="T159" s="121"/>
      <c r="U159" s="9"/>
      <c r="V159" s="9"/>
      <c r="W159" s="9"/>
      <c r="X159" s="9"/>
      <c r="Y159" s="122" t="s">
        <v>10</v>
      </c>
      <c r="Z159" s="114" t="s">
        <v>1346</v>
      </c>
      <c r="AF159" s="114" t="s">
        <v>1347</v>
      </c>
      <c r="AL159" s="114" t="s">
        <v>1348</v>
      </c>
    </row>
    <row r="160" spans="1:42" ht="20.100000000000001" customHeight="1" thickBot="1" x14ac:dyDescent="0.35">
      <c r="A160" s="125"/>
      <c r="B160" s="125"/>
      <c r="C160" s="125"/>
      <c r="D160" s="127"/>
      <c r="E160" s="1" t="s">
        <v>0</v>
      </c>
      <c r="F160" s="4" t="s">
        <v>11</v>
      </c>
      <c r="G160" s="4" t="s">
        <v>12</v>
      </c>
      <c r="H160" s="4" t="s">
        <v>13</v>
      </c>
      <c r="I160" s="4" t="s">
        <v>14</v>
      </c>
      <c r="J160" s="51" t="s">
        <v>15</v>
      </c>
      <c r="K160" s="51" t="s">
        <v>16</v>
      </c>
      <c r="L160" s="51" t="s">
        <v>6</v>
      </c>
      <c r="M160" s="51" t="s">
        <v>51</v>
      </c>
      <c r="N160" s="51" t="s">
        <v>125</v>
      </c>
      <c r="O160" s="51" t="s">
        <v>126</v>
      </c>
      <c r="P160" s="51" t="s">
        <v>127</v>
      </c>
      <c r="Q160" s="51" t="s">
        <v>53</v>
      </c>
      <c r="R160" s="51" t="s">
        <v>54</v>
      </c>
      <c r="S160" s="51" t="s">
        <v>128</v>
      </c>
      <c r="T160" s="51" t="s">
        <v>129</v>
      </c>
      <c r="U160" s="51" t="s">
        <v>130</v>
      </c>
      <c r="V160" s="4" t="s">
        <v>78</v>
      </c>
      <c r="W160" s="4" t="s">
        <v>131</v>
      </c>
      <c r="X160" s="10" t="s">
        <v>76</v>
      </c>
      <c r="Y160" s="123"/>
      <c r="Z160" s="114" t="s">
        <v>178</v>
      </c>
      <c r="AA160" s="114" t="s">
        <v>179</v>
      </c>
      <c r="AB160" s="114" t="s">
        <v>180</v>
      </c>
      <c r="AC160" s="114" t="s">
        <v>181</v>
      </c>
      <c r="AD160" s="114" t="s">
        <v>182</v>
      </c>
      <c r="AF160" s="114" t="s">
        <v>178</v>
      </c>
      <c r="AG160" s="114" t="s">
        <v>179</v>
      </c>
      <c r="AH160" s="114" t="s">
        <v>180</v>
      </c>
      <c r="AI160" s="114" t="s">
        <v>181</v>
      </c>
      <c r="AJ160" s="114" t="s">
        <v>182</v>
      </c>
      <c r="AL160" s="114" t="s">
        <v>178</v>
      </c>
      <c r="AM160" s="114" t="s">
        <v>179</v>
      </c>
      <c r="AN160" s="114" t="s">
        <v>180</v>
      </c>
      <c r="AO160" s="114" t="s">
        <v>181</v>
      </c>
      <c r="AP160" s="114" t="s">
        <v>182</v>
      </c>
    </row>
    <row r="161" spans="1:42" ht="20.100000000000001" customHeight="1" x14ac:dyDescent="0.3">
      <c r="A161" s="11">
        <v>1</v>
      </c>
      <c r="B161" s="12" t="s">
        <v>17</v>
      </c>
      <c r="C161" s="12" t="s">
        <v>17</v>
      </c>
      <c r="D161" s="13" t="s">
        <v>18</v>
      </c>
      <c r="E161" s="36">
        <v>45558</v>
      </c>
      <c r="F161" s="15"/>
      <c r="G161" s="13" t="s">
        <v>134</v>
      </c>
      <c r="H161" s="27">
        <v>21.3</v>
      </c>
      <c r="I161" s="27">
        <v>7.95</v>
      </c>
      <c r="J161" s="27">
        <v>8.6199999999999992</v>
      </c>
      <c r="K161" s="76">
        <v>127</v>
      </c>
      <c r="L161" s="56"/>
      <c r="M161" s="53"/>
      <c r="N161" s="53"/>
      <c r="O161" s="53">
        <v>2.032</v>
      </c>
      <c r="P161" s="53"/>
      <c r="Q161" s="53"/>
      <c r="R161" s="53"/>
      <c r="S161" s="53"/>
      <c r="T161" s="53">
        <v>8.7530000000000001</v>
      </c>
      <c r="U161" s="107">
        <v>2.82</v>
      </c>
      <c r="V161" s="107">
        <v>-0.84</v>
      </c>
      <c r="W161" s="53"/>
      <c r="X161" s="53"/>
      <c r="Y161" s="63"/>
      <c r="Z161" s="117">
        <f t="shared" ref="Z161:Z184" si="22">AG9/AN9</f>
        <v>2.0381526104417675</v>
      </c>
      <c r="AA161" s="117">
        <f t="shared" ref="AA161:AA184" si="23">AH9/AO9</f>
        <v>0.40973111395646605</v>
      </c>
      <c r="AB161" s="117">
        <f t="shared" ref="AB161:AB184" si="24">AI9/AP9</f>
        <v>0.56954668733049207</v>
      </c>
      <c r="AC161" s="117">
        <f t="shared" ref="AC161:AC184" si="25">AJ9/AQ9</f>
        <v>0.264026402640264</v>
      </c>
      <c r="AD161" s="117">
        <f t="shared" ref="AD161:AD184" si="26">AK9/AR9</f>
        <v>1.2681000438788943</v>
      </c>
      <c r="AF161" s="117">
        <f t="shared" ref="AF161:AF184" si="27">AG9/AU9</f>
        <v>1.911487758945386</v>
      </c>
      <c r="AG161" s="117">
        <f t="shared" ref="AG161:AG184" si="28">AH9/AV9</f>
        <v>1.0474631751227497</v>
      </c>
      <c r="AH161" s="117">
        <f t="shared" ref="AH161:AH184" si="29">AI9/AW9</f>
        <v>0.59369951534733445</v>
      </c>
      <c r="AI161" s="117">
        <f t="shared" ref="AI161:AI184" si="30">AJ9/AX9</f>
        <v>0.69565217391304357</v>
      </c>
      <c r="AJ161" s="117">
        <f t="shared" ref="AJ161:AJ184" si="31">AK9/AY9</f>
        <v>1.0076708507670851</v>
      </c>
      <c r="AL161" s="117">
        <f t="shared" ref="AL161:AL184" si="32">AN9/AU9</f>
        <v>0.93785310734463256</v>
      </c>
      <c r="AM161" s="117">
        <f t="shared" ref="AM161:AM184" si="33">AO9/AV9</f>
        <v>2.5564648117839606</v>
      </c>
      <c r="AN161" s="117">
        <f t="shared" ref="AN161:AN184" si="34">AP9/AW9</f>
        <v>1.0424071082390953</v>
      </c>
      <c r="AO161" s="117">
        <f t="shared" ref="AO161:AO184" si="35">AQ9/AX9</f>
        <v>2.6347826086956525</v>
      </c>
      <c r="AP161" s="117">
        <f t="shared" ref="AP161:AP184" si="36">AR9/AY9</f>
        <v>0.79463040446304045</v>
      </c>
    </row>
    <row r="162" spans="1:42" ht="20.100000000000001" customHeight="1" x14ac:dyDescent="0.3">
      <c r="A162" s="25">
        <v>2</v>
      </c>
      <c r="B162" s="17" t="s">
        <v>17</v>
      </c>
      <c r="C162" s="17" t="s">
        <v>17</v>
      </c>
      <c r="D162" s="18" t="s">
        <v>20</v>
      </c>
      <c r="E162" s="26">
        <v>45558</v>
      </c>
      <c r="F162" s="20"/>
      <c r="G162" s="18" t="s">
        <v>134</v>
      </c>
      <c r="H162" s="28">
        <v>21.8</v>
      </c>
      <c r="I162" s="28">
        <v>7.39</v>
      </c>
      <c r="J162" s="28">
        <v>8.4600000000000009</v>
      </c>
      <c r="K162" s="74">
        <v>138</v>
      </c>
      <c r="L162" s="57"/>
      <c r="M162" s="54"/>
      <c r="N162" s="54"/>
      <c r="O162" s="54">
        <v>2.137</v>
      </c>
      <c r="P162" s="54"/>
      <c r="Q162" s="54"/>
      <c r="R162" s="54"/>
      <c r="S162" s="54"/>
      <c r="T162" s="54">
        <v>8.5760000000000005</v>
      </c>
      <c r="U162" s="108">
        <v>2.78</v>
      </c>
      <c r="V162" s="108">
        <v>-2.58</v>
      </c>
      <c r="W162" s="54"/>
      <c r="X162" s="54"/>
      <c r="Y162" s="64"/>
      <c r="Z162" s="117">
        <f t="shared" si="22"/>
        <v>1.4375655823714588</v>
      </c>
      <c r="AA162" s="117">
        <f t="shared" si="23"/>
        <v>0.25400331308669244</v>
      </c>
      <c r="AB162" s="117">
        <f t="shared" si="24"/>
        <v>0.78488372093023251</v>
      </c>
      <c r="AC162" s="117">
        <f t="shared" si="25"/>
        <v>0.22598870056497175</v>
      </c>
      <c r="AD162" s="117">
        <f t="shared" si="26"/>
        <v>1.3857845328565042</v>
      </c>
      <c r="AF162" s="117">
        <f t="shared" si="27"/>
        <v>1.3444553483807653</v>
      </c>
      <c r="AG162" s="117">
        <f t="shared" si="28"/>
        <v>0.86303939962476539</v>
      </c>
      <c r="AH162" s="117">
        <f t="shared" si="29"/>
        <v>0.85753176043557156</v>
      </c>
      <c r="AI162" s="117">
        <f t="shared" si="30"/>
        <v>1.0958904109589043</v>
      </c>
      <c r="AJ162" s="117">
        <f t="shared" si="31"/>
        <v>1.0046994004213254</v>
      </c>
      <c r="AL162" s="117">
        <f t="shared" si="32"/>
        <v>0.93523061825318921</v>
      </c>
      <c r="AM162" s="117">
        <f t="shared" si="33"/>
        <v>3.3977485928705438</v>
      </c>
      <c r="AN162" s="117">
        <f t="shared" si="34"/>
        <v>1.0925589836660614</v>
      </c>
      <c r="AO162" s="117">
        <f t="shared" si="35"/>
        <v>4.8493150684931505</v>
      </c>
      <c r="AP162" s="117">
        <f t="shared" si="36"/>
        <v>0.72500405120725975</v>
      </c>
    </row>
    <row r="163" spans="1:42" ht="20.100000000000001" customHeight="1" x14ac:dyDescent="0.3">
      <c r="A163" s="25">
        <v>3</v>
      </c>
      <c r="B163" s="17" t="s">
        <v>17</v>
      </c>
      <c r="C163" s="17" t="s">
        <v>17</v>
      </c>
      <c r="D163" s="18" t="s">
        <v>21</v>
      </c>
      <c r="E163" s="26">
        <v>45558</v>
      </c>
      <c r="F163" s="20"/>
      <c r="G163" s="18" t="s">
        <v>134</v>
      </c>
      <c r="H163" s="28">
        <v>21.9</v>
      </c>
      <c r="I163" s="28">
        <v>7.53</v>
      </c>
      <c r="J163" s="28">
        <v>8.41</v>
      </c>
      <c r="K163" s="74">
        <v>146</v>
      </c>
      <c r="L163" s="57"/>
      <c r="M163" s="54"/>
      <c r="N163" s="54"/>
      <c r="O163" s="54">
        <v>2.1419999999999999</v>
      </c>
      <c r="P163" s="54"/>
      <c r="Q163" s="54"/>
      <c r="R163" s="54"/>
      <c r="S163" s="54"/>
      <c r="T163" s="54">
        <v>8.8390000000000004</v>
      </c>
      <c r="U163" s="109">
        <v>3.38</v>
      </c>
      <c r="V163" s="109">
        <v>-1.92</v>
      </c>
      <c r="W163" s="58"/>
      <c r="X163" s="54"/>
      <c r="Y163" s="64"/>
      <c r="Z163" s="117">
        <f t="shared" si="22"/>
        <v>1.4851485148514849</v>
      </c>
      <c r="AA163" s="117">
        <f t="shared" si="23"/>
        <v>0.28702640642939153</v>
      </c>
      <c r="AB163" s="117">
        <f t="shared" si="24"/>
        <v>0.75123152709359609</v>
      </c>
      <c r="AC163" s="117">
        <f t="shared" si="25"/>
        <v>0.30812324929971985</v>
      </c>
      <c r="AD163" s="117">
        <f t="shared" si="26"/>
        <v>1.3602693602693603</v>
      </c>
      <c r="AF163" s="117">
        <f t="shared" si="27"/>
        <v>1.2919896640826873</v>
      </c>
      <c r="AG163" s="117">
        <f t="shared" si="28"/>
        <v>0.80128205128205132</v>
      </c>
      <c r="AH163" s="117">
        <f t="shared" si="29"/>
        <v>0.83868010999083409</v>
      </c>
      <c r="AI163" s="117">
        <f t="shared" si="30"/>
        <v>1.2499999999999998</v>
      </c>
      <c r="AJ163" s="117">
        <f t="shared" si="31"/>
        <v>1.0193439865433136</v>
      </c>
      <c r="AL163" s="117">
        <f t="shared" si="32"/>
        <v>0.86993970714900959</v>
      </c>
      <c r="AM163" s="117">
        <f t="shared" si="33"/>
        <v>2.7916666666666665</v>
      </c>
      <c r="AN163" s="117">
        <f t="shared" si="34"/>
        <v>1.1164069660861595</v>
      </c>
      <c r="AO163" s="117">
        <f t="shared" si="35"/>
        <v>4.0568181818181825</v>
      </c>
      <c r="AP163" s="117">
        <f t="shared" si="36"/>
        <v>0.74936921783010924</v>
      </c>
    </row>
    <row r="164" spans="1:42" ht="20.100000000000001" customHeight="1" x14ac:dyDescent="0.3">
      <c r="A164" s="25">
        <v>4</v>
      </c>
      <c r="B164" s="17" t="s">
        <v>17</v>
      </c>
      <c r="C164" s="17" t="s">
        <v>17</v>
      </c>
      <c r="D164" s="18" t="s">
        <v>22</v>
      </c>
      <c r="E164" s="26">
        <v>45558</v>
      </c>
      <c r="F164" s="20"/>
      <c r="G164" s="18" t="s">
        <v>134</v>
      </c>
      <c r="H164" s="28">
        <v>23</v>
      </c>
      <c r="I164" s="28">
        <v>7.34</v>
      </c>
      <c r="J164" s="28">
        <v>6.53</v>
      </c>
      <c r="K164" s="74">
        <v>219</v>
      </c>
      <c r="L164" s="57"/>
      <c r="M164" s="54"/>
      <c r="N164" s="54"/>
      <c r="O164" s="54">
        <v>1.7010000000000001</v>
      </c>
      <c r="P164" s="54"/>
      <c r="Q164" s="54"/>
      <c r="R164" s="54"/>
      <c r="S164" s="54"/>
      <c r="T164" s="54">
        <v>13.954000000000001</v>
      </c>
      <c r="U164" s="108">
        <v>4.46</v>
      </c>
      <c r="V164" s="110">
        <v>-2.14</v>
      </c>
      <c r="W164" s="55"/>
      <c r="X164" s="55"/>
      <c r="Y164" s="64"/>
      <c r="Z164" s="117">
        <f t="shared" si="22"/>
        <v>1.281853281853282</v>
      </c>
      <c r="AA164" s="117">
        <f t="shared" si="23"/>
        <v>0.37685060565275907</v>
      </c>
      <c r="AB164" s="117">
        <f t="shared" si="24"/>
        <v>0.84017382906808291</v>
      </c>
      <c r="AC164" s="117">
        <f t="shared" si="25"/>
        <v>0.26011560693641617</v>
      </c>
      <c r="AD164" s="117">
        <f t="shared" si="26"/>
        <v>1.2390670553935859</v>
      </c>
      <c r="AF164" s="117">
        <f t="shared" si="27"/>
        <v>1.1681914144968333</v>
      </c>
      <c r="AG164" s="117">
        <f t="shared" si="28"/>
        <v>0.74966532797858099</v>
      </c>
      <c r="AH164" s="117">
        <f t="shared" si="29"/>
        <v>0.90814196242171186</v>
      </c>
      <c r="AI164" s="117">
        <f t="shared" si="30"/>
        <v>1.0588235294117645</v>
      </c>
      <c r="AJ164" s="117">
        <f t="shared" si="31"/>
        <v>1.0204081632653061</v>
      </c>
      <c r="AL164" s="117">
        <f t="shared" si="32"/>
        <v>0.91133004926108374</v>
      </c>
      <c r="AM164" s="117">
        <f t="shared" si="33"/>
        <v>1.9892904953145918</v>
      </c>
      <c r="AN164" s="117">
        <f t="shared" si="34"/>
        <v>1.0808977035490606</v>
      </c>
      <c r="AO164" s="117">
        <f t="shared" si="35"/>
        <v>4.0705882352941174</v>
      </c>
      <c r="AP164" s="117">
        <f t="shared" si="36"/>
        <v>0.82352941176470595</v>
      </c>
    </row>
    <row r="165" spans="1:42" ht="20.100000000000001" customHeight="1" x14ac:dyDescent="0.3">
      <c r="A165" s="41">
        <v>5</v>
      </c>
      <c r="B165" s="42" t="s">
        <v>23</v>
      </c>
      <c r="C165" s="42" t="s">
        <v>23</v>
      </c>
      <c r="D165" s="43" t="s">
        <v>24</v>
      </c>
      <c r="E165" s="44">
        <v>45558</v>
      </c>
      <c r="F165" s="45"/>
      <c r="G165" s="43" t="s">
        <v>134</v>
      </c>
      <c r="H165" s="72">
        <v>20.79</v>
      </c>
      <c r="I165" s="72">
        <v>7.66</v>
      </c>
      <c r="J165" s="72">
        <v>10.26</v>
      </c>
      <c r="K165" s="73">
        <v>84</v>
      </c>
      <c r="L165" s="59"/>
      <c r="M165" s="60"/>
      <c r="N165" s="60"/>
      <c r="O165" s="61">
        <v>1.752</v>
      </c>
      <c r="P165" s="61"/>
      <c r="Q165" s="61"/>
      <c r="R165" s="61"/>
      <c r="S165" s="61"/>
      <c r="T165" s="61">
        <v>7.3540000000000001</v>
      </c>
      <c r="U165" s="111">
        <v>1.98</v>
      </c>
      <c r="V165" s="111">
        <v>2.0499999999999998</v>
      </c>
      <c r="W165" s="61"/>
      <c r="X165" s="61"/>
      <c r="Y165" s="65"/>
      <c r="Z165" s="117">
        <f t="shared" si="22"/>
        <v>1.2332439678284184</v>
      </c>
      <c r="AA165" s="117">
        <f t="shared" si="23"/>
        <v>0.69863013698630139</v>
      </c>
      <c r="AB165" s="117">
        <f t="shared" si="24"/>
        <v>0.63396730063396722</v>
      </c>
      <c r="AC165" s="117">
        <f t="shared" si="25"/>
        <v>0.21978021978021978</v>
      </c>
      <c r="AD165" s="117">
        <f t="shared" si="26"/>
        <v>1.3002766546073632</v>
      </c>
      <c r="AF165" s="117">
        <f t="shared" si="27"/>
        <v>1.4649681528662422</v>
      </c>
      <c r="AG165" s="117">
        <f t="shared" si="28"/>
        <v>0.8239095315024233</v>
      </c>
      <c r="AH165" s="117">
        <f t="shared" si="29"/>
        <v>0.59393560487652386</v>
      </c>
      <c r="AI165" s="117">
        <f t="shared" si="30"/>
        <v>0.41493775933609955</v>
      </c>
      <c r="AJ165" s="117">
        <f t="shared" si="31"/>
        <v>1.2222444488897779</v>
      </c>
      <c r="AL165" s="117">
        <f t="shared" si="32"/>
        <v>1.1878980891719744</v>
      </c>
      <c r="AM165" s="117">
        <f t="shared" si="33"/>
        <v>1.1793214862681745</v>
      </c>
      <c r="AN165" s="117">
        <f t="shared" si="34"/>
        <v>0.9368552672710222</v>
      </c>
      <c r="AO165" s="117">
        <f t="shared" si="35"/>
        <v>1.8879668049792528</v>
      </c>
      <c r="AP165" s="117">
        <f t="shared" si="36"/>
        <v>0.9399879975995199</v>
      </c>
    </row>
    <row r="166" spans="1:42" ht="20.100000000000001" customHeight="1" x14ac:dyDescent="0.3">
      <c r="A166" s="41">
        <v>6</v>
      </c>
      <c r="B166" s="42" t="s">
        <v>23</v>
      </c>
      <c r="C166" s="42" t="s">
        <v>23</v>
      </c>
      <c r="D166" s="43" t="s">
        <v>25</v>
      </c>
      <c r="E166" s="44">
        <v>45558</v>
      </c>
      <c r="F166" s="45"/>
      <c r="G166" s="43" t="s">
        <v>134</v>
      </c>
      <c r="H166" s="72">
        <v>21.45</v>
      </c>
      <c r="I166" s="72">
        <v>7.49</v>
      </c>
      <c r="J166" s="72">
        <v>10.199999999999999</v>
      </c>
      <c r="K166" s="73">
        <v>120</v>
      </c>
      <c r="L166" s="59"/>
      <c r="M166" s="60"/>
      <c r="N166" s="60"/>
      <c r="O166" s="60">
        <v>1.67</v>
      </c>
      <c r="P166" s="60"/>
      <c r="Q166" s="60"/>
      <c r="R166" s="60"/>
      <c r="S166" s="60"/>
      <c r="T166" s="60">
        <v>12.948</v>
      </c>
      <c r="U166" s="112">
        <v>8.43</v>
      </c>
      <c r="V166" s="112">
        <v>0.78</v>
      </c>
      <c r="W166" s="60"/>
      <c r="X166" s="60"/>
      <c r="Y166" s="65"/>
      <c r="Z166" s="117">
        <f t="shared" si="22"/>
        <v>1.0558298518799851</v>
      </c>
      <c r="AA166" s="117">
        <f t="shared" si="23"/>
        <v>0.62005277044854878</v>
      </c>
      <c r="AB166" s="117">
        <f t="shared" si="24"/>
        <v>0.69667738478027863</v>
      </c>
      <c r="AC166" s="117">
        <f t="shared" si="25"/>
        <v>0.39525691699604748</v>
      </c>
      <c r="AD166" s="117">
        <f t="shared" si="26"/>
        <v>1.307609860664523</v>
      </c>
      <c r="AF166" s="117">
        <f t="shared" si="27"/>
        <v>1.0094408133623822</v>
      </c>
      <c r="AG166" s="117">
        <f t="shared" si="28"/>
        <v>0.5696969696969697</v>
      </c>
      <c r="AH166" s="117">
        <f t="shared" si="29"/>
        <v>0.85751978891820568</v>
      </c>
      <c r="AI166" s="117">
        <f t="shared" si="30"/>
        <v>0.53191489361702127</v>
      </c>
      <c r="AJ166" s="117">
        <f t="shared" si="31"/>
        <v>1.2538540596094552</v>
      </c>
      <c r="AL166" s="117">
        <f t="shared" si="32"/>
        <v>0.95606390704429922</v>
      </c>
      <c r="AM166" s="117">
        <f t="shared" si="33"/>
        <v>0.91878787878787893</v>
      </c>
      <c r="AN166" s="117">
        <f t="shared" si="34"/>
        <v>1.2308707124010552</v>
      </c>
      <c r="AO166" s="117">
        <f t="shared" si="35"/>
        <v>1.3457446808510636</v>
      </c>
      <c r="AP166" s="117">
        <f t="shared" si="36"/>
        <v>0.95889003083247681</v>
      </c>
    </row>
    <row r="167" spans="1:42" ht="20.100000000000001" customHeight="1" x14ac:dyDescent="0.3">
      <c r="A167" s="41">
        <v>7</v>
      </c>
      <c r="B167" s="42" t="s">
        <v>23</v>
      </c>
      <c r="C167" s="42" t="s">
        <v>23</v>
      </c>
      <c r="D167" s="43" t="s">
        <v>26</v>
      </c>
      <c r="E167" s="44">
        <v>45558</v>
      </c>
      <c r="F167" s="45"/>
      <c r="G167" s="43" t="s">
        <v>134</v>
      </c>
      <c r="H167" s="72">
        <v>21.76</v>
      </c>
      <c r="I167" s="72">
        <v>7.44</v>
      </c>
      <c r="J167" s="72">
        <v>9.6300000000000008</v>
      </c>
      <c r="K167" s="73">
        <v>144</v>
      </c>
      <c r="L167" s="59"/>
      <c r="M167" s="60"/>
      <c r="N167" s="60"/>
      <c r="O167" s="60">
        <v>1.84</v>
      </c>
      <c r="P167" s="60"/>
      <c r="Q167" s="60"/>
      <c r="R167" s="60"/>
      <c r="S167" s="60"/>
      <c r="T167" s="60">
        <v>14.073</v>
      </c>
      <c r="U167" s="112">
        <v>8.25</v>
      </c>
      <c r="V167" s="112">
        <v>-0.35</v>
      </c>
      <c r="W167" s="60"/>
      <c r="X167" s="60"/>
      <c r="Y167" s="65"/>
      <c r="Z167" s="117">
        <f t="shared" si="22"/>
        <v>1.0205665502522314</v>
      </c>
      <c r="AA167" s="117">
        <f t="shared" si="23"/>
        <v>0.4706504494976203</v>
      </c>
      <c r="AB167" s="117">
        <f t="shared" si="24"/>
        <v>0.85889570552147232</v>
      </c>
      <c r="AC167" s="117">
        <f t="shared" si="25"/>
        <v>0.33783783783783783</v>
      </c>
      <c r="AD167" s="117">
        <f t="shared" si="26"/>
        <v>1.3584505173786152</v>
      </c>
      <c r="AF167" s="117">
        <f t="shared" si="27"/>
        <v>0.98797896318557488</v>
      </c>
      <c r="AG167" s="117">
        <f t="shared" si="28"/>
        <v>0.59293804130579608</v>
      </c>
      <c r="AH167" s="117">
        <f t="shared" si="29"/>
        <v>0.85772634445200813</v>
      </c>
      <c r="AI167" s="117">
        <f t="shared" si="30"/>
        <v>0.67567567567567566</v>
      </c>
      <c r="AJ167" s="117">
        <f t="shared" si="31"/>
        <v>1.2132701421800949</v>
      </c>
      <c r="AL167" s="117">
        <f t="shared" si="32"/>
        <v>0.96806912096168307</v>
      </c>
      <c r="AM167" s="117">
        <f t="shared" si="33"/>
        <v>1.2598267821452365</v>
      </c>
      <c r="AN167" s="117">
        <f t="shared" si="34"/>
        <v>0.99863852961198096</v>
      </c>
      <c r="AO167" s="117">
        <f t="shared" si="35"/>
        <v>2</v>
      </c>
      <c r="AP167" s="117">
        <f t="shared" si="36"/>
        <v>0.89312796208530809</v>
      </c>
    </row>
    <row r="168" spans="1:42" ht="20.100000000000001" customHeight="1" x14ac:dyDescent="0.3">
      <c r="A168" s="41">
        <v>8</v>
      </c>
      <c r="B168" s="42" t="s">
        <v>23</v>
      </c>
      <c r="C168" s="42" t="s">
        <v>27</v>
      </c>
      <c r="D168" s="43" t="s">
        <v>68</v>
      </c>
      <c r="E168" s="44">
        <v>45558</v>
      </c>
      <c r="F168" s="45"/>
      <c r="G168" s="43" t="s">
        <v>134</v>
      </c>
      <c r="H168" s="72">
        <v>21.59</v>
      </c>
      <c r="I168" s="72">
        <v>7.28</v>
      </c>
      <c r="J168" s="72">
        <v>8.57</v>
      </c>
      <c r="K168" s="73">
        <v>339</v>
      </c>
      <c r="L168" s="59"/>
      <c r="M168" s="60"/>
      <c r="N168" s="60"/>
      <c r="O168" s="60">
        <v>0.70099999999999996</v>
      </c>
      <c r="P168" s="60"/>
      <c r="Q168" s="60"/>
      <c r="R168" s="60"/>
      <c r="S168" s="60"/>
      <c r="T168" s="60">
        <v>30.856000000000002</v>
      </c>
      <c r="U168" s="112">
        <v>12.56</v>
      </c>
      <c r="V168" s="112">
        <v>4.07</v>
      </c>
      <c r="W168" s="60"/>
      <c r="X168" s="60"/>
      <c r="Y168" s="65"/>
      <c r="Z168" s="117">
        <f t="shared" si="22"/>
        <v>1.3829071332436067</v>
      </c>
      <c r="AA168" s="117">
        <f t="shared" si="23"/>
        <v>0.45398394070413839</v>
      </c>
      <c r="AB168" s="117">
        <f t="shared" si="24"/>
        <v>0.76271186440677963</v>
      </c>
      <c r="AC168" s="117">
        <f t="shared" si="25"/>
        <v>0.35947712418300648</v>
      </c>
      <c r="AD168" s="117">
        <f t="shared" si="26"/>
        <v>1.5187557182067706</v>
      </c>
      <c r="AF168" s="117">
        <f t="shared" si="27"/>
        <v>1.0678098207326576</v>
      </c>
      <c r="AG168" s="117">
        <f t="shared" si="28"/>
        <v>0.52707063463607029</v>
      </c>
      <c r="AH168" s="117">
        <f t="shared" si="29"/>
        <v>0.86690017513134854</v>
      </c>
      <c r="AI168" s="117">
        <f t="shared" si="30"/>
        <v>0.3089887640449438</v>
      </c>
      <c r="AJ168" s="117">
        <f t="shared" si="31"/>
        <v>1.7811158798283262</v>
      </c>
      <c r="AL168" s="117">
        <f t="shared" si="32"/>
        <v>0.77214861002857882</v>
      </c>
      <c r="AM168" s="117">
        <f t="shared" si="33"/>
        <v>1.160989602007888</v>
      </c>
      <c r="AN168" s="117">
        <f t="shared" si="34"/>
        <v>1.1366024518388793</v>
      </c>
      <c r="AO168" s="117">
        <f t="shared" si="35"/>
        <v>0.8595505617977528</v>
      </c>
      <c r="AP168" s="117">
        <f t="shared" si="36"/>
        <v>1.1727467811158798</v>
      </c>
    </row>
    <row r="169" spans="1:42" ht="20.100000000000001" customHeight="1" x14ac:dyDescent="0.3">
      <c r="A169" s="41">
        <v>9</v>
      </c>
      <c r="B169" s="42" t="s">
        <v>23</v>
      </c>
      <c r="C169" s="42" t="s">
        <v>27</v>
      </c>
      <c r="D169" s="43" t="s">
        <v>30</v>
      </c>
      <c r="E169" s="44">
        <v>45558</v>
      </c>
      <c r="F169" s="45"/>
      <c r="G169" s="43" t="s">
        <v>134</v>
      </c>
      <c r="H169" s="72">
        <v>21.84</v>
      </c>
      <c r="I169" s="72">
        <v>7.29</v>
      </c>
      <c r="J169" s="72">
        <v>8.7100000000000009</v>
      </c>
      <c r="K169" s="73">
        <v>221</v>
      </c>
      <c r="L169" s="59"/>
      <c r="M169" s="60"/>
      <c r="N169" s="60"/>
      <c r="O169" s="60">
        <v>1.857</v>
      </c>
      <c r="P169" s="60"/>
      <c r="Q169" s="60"/>
      <c r="R169" s="60"/>
      <c r="S169" s="60"/>
      <c r="T169" s="60">
        <v>21.363</v>
      </c>
      <c r="U169" s="112">
        <v>7.14</v>
      </c>
      <c r="V169" s="113">
        <v>-2.67</v>
      </c>
      <c r="W169" s="62"/>
      <c r="X169" s="62"/>
      <c r="Y169" s="65"/>
      <c r="Z169" s="117">
        <f t="shared" si="22"/>
        <v>0.93246187363834421</v>
      </c>
      <c r="AA169" s="117">
        <f t="shared" si="23"/>
        <v>0.34761904761904761</v>
      </c>
      <c r="AB169" s="117">
        <f t="shared" si="24"/>
        <v>1.0871241326137238</v>
      </c>
      <c r="AC169" s="117">
        <f t="shared" si="25"/>
        <v>0.30303030303030298</v>
      </c>
      <c r="AD169" s="117">
        <f t="shared" si="26"/>
        <v>1.4036399900274246</v>
      </c>
      <c r="AF169" s="117">
        <f t="shared" si="27"/>
        <v>0.96266306792622569</v>
      </c>
      <c r="AG169" s="117">
        <f t="shared" si="28"/>
        <v>0.65529622980251345</v>
      </c>
      <c r="AH169" s="117">
        <f t="shared" si="29"/>
        <v>0.96641535298149406</v>
      </c>
      <c r="AI169" s="117">
        <f t="shared" si="30"/>
        <v>1.0588235294117647</v>
      </c>
      <c r="AJ169" s="117">
        <f t="shared" si="31"/>
        <v>1.0998241844110177</v>
      </c>
      <c r="AL169" s="117">
        <f t="shared" si="32"/>
        <v>1.0323886639676112</v>
      </c>
      <c r="AM169" s="117">
        <f t="shared" si="33"/>
        <v>1.8850987432675044</v>
      </c>
      <c r="AN169" s="117">
        <f t="shared" si="34"/>
        <v>0.8889650445510624</v>
      </c>
      <c r="AO169" s="117">
        <f t="shared" si="35"/>
        <v>3.494117647058824</v>
      </c>
      <c r="AP169" s="117">
        <f t="shared" si="36"/>
        <v>0.78355147489744081</v>
      </c>
    </row>
    <row r="170" spans="1:42" ht="20.100000000000001" customHeight="1" x14ac:dyDescent="0.3">
      <c r="A170" s="25">
        <v>10</v>
      </c>
      <c r="B170" s="17" t="s">
        <v>31</v>
      </c>
      <c r="C170" s="17" t="s">
        <v>31</v>
      </c>
      <c r="D170" s="18" t="s">
        <v>32</v>
      </c>
      <c r="E170" s="26">
        <v>45558</v>
      </c>
      <c r="F170" s="20"/>
      <c r="G170" s="18" t="s">
        <v>134</v>
      </c>
      <c r="H170" s="28">
        <v>22.67</v>
      </c>
      <c r="I170" s="28">
        <v>7.61</v>
      </c>
      <c r="J170" s="28">
        <v>7.83</v>
      </c>
      <c r="K170" s="74">
        <v>137.19999999999999</v>
      </c>
      <c r="L170" s="57"/>
      <c r="M170" s="54"/>
      <c r="N170" s="54"/>
      <c r="O170" s="58">
        <v>2.1589999999999998</v>
      </c>
      <c r="P170" s="58"/>
      <c r="Q170" s="58"/>
      <c r="R170" s="58"/>
      <c r="S170" s="58"/>
      <c r="T170" s="58">
        <v>5.758</v>
      </c>
      <c r="U170" s="109">
        <v>4.8</v>
      </c>
      <c r="V170" s="109">
        <v>-0.72</v>
      </c>
      <c r="W170" s="58"/>
      <c r="X170" s="58"/>
      <c r="Y170" s="64"/>
      <c r="Z170" s="117">
        <f t="shared" si="22"/>
        <v>1.1799217731421119</v>
      </c>
      <c r="AA170" s="117">
        <f t="shared" si="23"/>
        <v>0.48286604361370727</v>
      </c>
      <c r="AB170" s="117">
        <f t="shared" si="24"/>
        <v>0.76480990274093708</v>
      </c>
      <c r="AC170" s="117">
        <f t="shared" si="25"/>
        <v>0.35971223021582738</v>
      </c>
      <c r="AD170" s="117">
        <f t="shared" si="26"/>
        <v>1.2365359758724688</v>
      </c>
      <c r="AF170" s="117">
        <f t="shared" si="27"/>
        <v>1.1587708066581304</v>
      </c>
      <c r="AG170" s="117">
        <f t="shared" si="28"/>
        <v>0.69584736251402923</v>
      </c>
      <c r="AH170" s="117">
        <f t="shared" si="29"/>
        <v>0.85558852621167147</v>
      </c>
      <c r="AI170" s="117">
        <f t="shared" si="30"/>
        <v>0.82644628099173556</v>
      </c>
      <c r="AJ170" s="117">
        <f t="shared" si="31"/>
        <v>1.0621761658031088</v>
      </c>
      <c r="AL170" s="117">
        <f t="shared" si="32"/>
        <v>0.98207426376440465</v>
      </c>
      <c r="AM170" s="117">
        <f t="shared" si="33"/>
        <v>1.4410774410774407</v>
      </c>
      <c r="AN170" s="117">
        <f t="shared" si="34"/>
        <v>1.1186943620178043</v>
      </c>
      <c r="AO170" s="117">
        <f t="shared" si="35"/>
        <v>2.2975206611570247</v>
      </c>
      <c r="AP170" s="117">
        <f t="shared" si="36"/>
        <v>0.85899333826794966</v>
      </c>
    </row>
    <row r="171" spans="1:42" ht="20.100000000000001" customHeight="1" x14ac:dyDescent="0.3">
      <c r="A171" s="25">
        <v>11</v>
      </c>
      <c r="B171" s="17" t="s">
        <v>31</v>
      </c>
      <c r="C171" s="17" t="s">
        <v>31</v>
      </c>
      <c r="D171" s="18" t="s">
        <v>69</v>
      </c>
      <c r="E171" s="26">
        <v>45558</v>
      </c>
      <c r="F171" s="20"/>
      <c r="G171" s="18" t="s">
        <v>134</v>
      </c>
      <c r="H171" s="28">
        <v>22.91</v>
      </c>
      <c r="I171" s="28">
        <v>7.07</v>
      </c>
      <c r="J171" s="28">
        <v>8.25</v>
      </c>
      <c r="K171" s="74">
        <v>127.6</v>
      </c>
      <c r="L171" s="57"/>
      <c r="M171" s="54"/>
      <c r="N171" s="54"/>
      <c r="O171" s="54">
        <v>2.1850000000000001</v>
      </c>
      <c r="P171" s="54"/>
      <c r="Q171" s="54"/>
      <c r="R171" s="54"/>
      <c r="S171" s="54"/>
      <c r="T171" s="54">
        <v>5.5590000000000002</v>
      </c>
      <c r="U171" s="108">
        <v>5.13</v>
      </c>
      <c r="V171" s="108">
        <v>-0.4</v>
      </c>
      <c r="W171" s="54"/>
      <c r="X171" s="54"/>
      <c r="Y171" s="64"/>
      <c r="Z171" s="117">
        <f t="shared" si="22"/>
        <v>1.2240932642487046</v>
      </c>
      <c r="AA171" s="117">
        <f t="shared" si="23"/>
        <v>0.586046511627907</v>
      </c>
      <c r="AB171" s="117">
        <f t="shared" si="24"/>
        <v>0.87665647298674809</v>
      </c>
      <c r="AC171" s="117">
        <f t="shared" si="25"/>
        <v>0.33112582781456956</v>
      </c>
      <c r="AD171" s="117">
        <f t="shared" si="26"/>
        <v>1.1061168653507913</v>
      </c>
      <c r="AF171" s="117">
        <f t="shared" si="27"/>
        <v>1.1358173076923075</v>
      </c>
      <c r="AG171" s="117">
        <f t="shared" si="28"/>
        <v>0.65082644628099173</v>
      </c>
      <c r="AH171" s="117">
        <f t="shared" si="29"/>
        <v>0.86086086086086078</v>
      </c>
      <c r="AI171" s="117">
        <f t="shared" si="30"/>
        <v>0.76335877862595414</v>
      </c>
      <c r="AJ171" s="117">
        <f t="shared" si="31"/>
        <v>1.0803588471082266</v>
      </c>
      <c r="AL171" s="117">
        <f t="shared" si="32"/>
        <v>0.92788461538461542</v>
      </c>
      <c r="AM171" s="117">
        <f t="shared" si="33"/>
        <v>1.1105371900826446</v>
      </c>
      <c r="AN171" s="117">
        <f t="shared" si="34"/>
        <v>0.98198198198198205</v>
      </c>
      <c r="AO171" s="117">
        <f t="shared" si="35"/>
        <v>2.3053435114503817</v>
      </c>
      <c r="AP171" s="117">
        <f t="shared" si="36"/>
        <v>0.97671311318954002</v>
      </c>
    </row>
    <row r="172" spans="1:42" ht="20.100000000000001" customHeight="1" x14ac:dyDescent="0.3">
      <c r="A172" s="25">
        <v>12</v>
      </c>
      <c r="B172" s="17" t="s">
        <v>31</v>
      </c>
      <c r="C172" s="17" t="s">
        <v>31</v>
      </c>
      <c r="D172" s="18" t="s">
        <v>34</v>
      </c>
      <c r="E172" s="26">
        <v>45558</v>
      </c>
      <c r="F172" s="20"/>
      <c r="G172" s="18" t="s">
        <v>134</v>
      </c>
      <c r="H172" s="28">
        <v>23.08</v>
      </c>
      <c r="I172" s="28">
        <v>7.06</v>
      </c>
      <c r="J172" s="28">
        <v>8.19</v>
      </c>
      <c r="K172" s="74">
        <v>129.5</v>
      </c>
      <c r="L172" s="57"/>
      <c r="M172" s="54"/>
      <c r="N172" s="54"/>
      <c r="O172" s="54">
        <v>2.1640000000000001</v>
      </c>
      <c r="P172" s="54"/>
      <c r="Q172" s="54"/>
      <c r="R172" s="54"/>
      <c r="S172" s="54"/>
      <c r="T172" s="54">
        <v>5.7969999999999997</v>
      </c>
      <c r="U172" s="108">
        <v>4.9400000000000004</v>
      </c>
      <c r="V172" s="108">
        <v>-0.57999999999999996</v>
      </c>
      <c r="W172" s="54"/>
      <c r="X172" s="54"/>
      <c r="Y172" s="64"/>
      <c r="Z172" s="117">
        <f t="shared" si="22"/>
        <v>1.2280701754385963</v>
      </c>
      <c r="AA172" s="117">
        <f t="shared" si="23"/>
        <v>0.55752212389380529</v>
      </c>
      <c r="AB172" s="117">
        <f t="shared" si="24"/>
        <v>0.781462971376647</v>
      </c>
      <c r="AC172" s="117">
        <f t="shared" si="25"/>
        <v>0.36764705882352944</v>
      </c>
      <c r="AD172" s="117">
        <f t="shared" si="26"/>
        <v>1.1658189216683621</v>
      </c>
      <c r="AF172" s="117">
        <f t="shared" si="27"/>
        <v>1.1332503113325032</v>
      </c>
      <c r="AG172" s="117">
        <f t="shared" si="28"/>
        <v>0.68255687973997836</v>
      </c>
      <c r="AH172" s="117">
        <f t="shared" si="29"/>
        <v>0.85487077534791256</v>
      </c>
      <c r="AI172" s="117">
        <f t="shared" si="30"/>
        <v>0.8</v>
      </c>
      <c r="AJ172" s="117">
        <f t="shared" si="31"/>
        <v>1.0742407199100112</v>
      </c>
      <c r="AL172" s="117">
        <f t="shared" si="32"/>
        <v>0.92278953922789553</v>
      </c>
      <c r="AM172" s="117">
        <f t="shared" si="33"/>
        <v>1.2242686890574217</v>
      </c>
      <c r="AN172" s="117">
        <f t="shared" si="34"/>
        <v>1.0939363817097416</v>
      </c>
      <c r="AO172" s="117">
        <f t="shared" si="35"/>
        <v>2.1759999999999997</v>
      </c>
      <c r="AP172" s="117">
        <f t="shared" si="36"/>
        <v>0.92144731908511435</v>
      </c>
    </row>
    <row r="173" spans="1:42" ht="20.100000000000001" customHeight="1" x14ac:dyDescent="0.3">
      <c r="A173" s="25">
        <v>13</v>
      </c>
      <c r="B173" s="17" t="s">
        <v>31</v>
      </c>
      <c r="C173" s="17" t="s">
        <v>35</v>
      </c>
      <c r="D173" s="18" t="s">
        <v>36</v>
      </c>
      <c r="E173" s="26">
        <v>45558</v>
      </c>
      <c r="F173" s="20"/>
      <c r="G173" s="18" t="s">
        <v>81</v>
      </c>
      <c r="H173" s="28">
        <v>22.77</v>
      </c>
      <c r="I173" s="28">
        <v>6.66</v>
      </c>
      <c r="J173" s="28">
        <v>7</v>
      </c>
      <c r="K173" s="74">
        <v>186.2</v>
      </c>
      <c r="L173" s="57"/>
      <c r="M173" s="54"/>
      <c r="N173" s="54"/>
      <c r="O173" s="54">
        <v>3.5609999999999999</v>
      </c>
      <c r="P173" s="54"/>
      <c r="Q173" s="54"/>
      <c r="R173" s="54"/>
      <c r="S173" s="54"/>
      <c r="T173" s="54">
        <v>9.6140000000000008</v>
      </c>
      <c r="U173" s="108">
        <v>7.83</v>
      </c>
      <c r="V173" s="108">
        <v>0.59</v>
      </c>
      <c r="W173" s="54"/>
      <c r="X173" s="54"/>
      <c r="Y173" s="64"/>
      <c r="Z173" s="117">
        <f t="shared" si="22"/>
        <v>1.000384763370527</v>
      </c>
      <c r="AA173" s="117">
        <f t="shared" si="23"/>
        <v>0.60503059143439841</v>
      </c>
      <c r="AB173" s="117">
        <f t="shared" si="24"/>
        <v>0.84882280049566294</v>
      </c>
      <c r="AC173" s="117">
        <f t="shared" si="25"/>
        <v>0.41666666666666669</v>
      </c>
      <c r="AD173" s="117">
        <f t="shared" si="26"/>
        <v>1.2365063788027475</v>
      </c>
      <c r="AF173" s="117">
        <f t="shared" si="27"/>
        <v>1.0248324793062673</v>
      </c>
      <c r="AG173" s="117">
        <f t="shared" si="28"/>
        <v>0.58475689881734561</v>
      </c>
      <c r="AH173" s="117">
        <f t="shared" si="29"/>
        <v>0.8525202240199129</v>
      </c>
      <c r="AI173" s="117">
        <f t="shared" si="30"/>
        <v>0.56497175141242939</v>
      </c>
      <c r="AJ173" s="117">
        <f t="shared" si="31"/>
        <v>1.2124127976906423</v>
      </c>
      <c r="AL173" s="117">
        <f t="shared" si="32"/>
        <v>1.0244383129680728</v>
      </c>
      <c r="AM173" s="117">
        <f t="shared" si="33"/>
        <v>0.96649145860709595</v>
      </c>
      <c r="AN173" s="117">
        <f t="shared" si="34"/>
        <v>1.0043559427504667</v>
      </c>
      <c r="AO173" s="117">
        <f t="shared" si="35"/>
        <v>1.3559322033898304</v>
      </c>
      <c r="AP173" s="117">
        <f t="shared" si="36"/>
        <v>0.98051479432282906</v>
      </c>
    </row>
    <row r="174" spans="1:42" ht="20.100000000000001" customHeight="1" x14ac:dyDescent="0.3">
      <c r="A174" s="25">
        <v>14</v>
      </c>
      <c r="B174" s="17" t="s">
        <v>31</v>
      </c>
      <c r="C174" s="17" t="s">
        <v>5</v>
      </c>
      <c r="D174" s="18" t="s">
        <v>29</v>
      </c>
      <c r="E174" s="26">
        <v>45558</v>
      </c>
      <c r="F174" s="20"/>
      <c r="G174" s="18" t="s">
        <v>81</v>
      </c>
      <c r="H174" s="28">
        <v>23.64</v>
      </c>
      <c r="I174" s="28">
        <v>6.72</v>
      </c>
      <c r="J174" s="28">
        <v>8.16</v>
      </c>
      <c r="K174" s="74">
        <v>175.1</v>
      </c>
      <c r="L174" s="57"/>
      <c r="M174" s="54"/>
      <c r="N174" s="54"/>
      <c r="O174" s="54">
        <v>1.7789999999999999</v>
      </c>
      <c r="P174" s="54"/>
      <c r="Q174" s="54"/>
      <c r="R174" s="54"/>
      <c r="S174" s="54"/>
      <c r="T174" s="54">
        <v>11.368</v>
      </c>
      <c r="U174" s="108">
        <v>6.56</v>
      </c>
      <c r="V174" s="108">
        <v>0.87</v>
      </c>
      <c r="W174" s="54"/>
      <c r="X174" s="54"/>
      <c r="Y174" s="64"/>
      <c r="Z174" s="117">
        <f t="shared" si="22"/>
        <v>0.91268273409719491</v>
      </c>
      <c r="AA174" s="117">
        <f t="shared" si="23"/>
        <v>0.61660079051383399</v>
      </c>
      <c r="AB174" s="117">
        <f t="shared" si="24"/>
        <v>0.79594017094017089</v>
      </c>
      <c r="AC174" s="117">
        <f t="shared" si="25"/>
        <v>0.36101083032490977</v>
      </c>
      <c r="AD174" s="117">
        <f t="shared" si="26"/>
        <v>1.311960542540074</v>
      </c>
      <c r="AF174" s="117">
        <f t="shared" si="27"/>
        <v>1.0724233983286908</v>
      </c>
      <c r="AG174" s="117">
        <f t="shared" si="28"/>
        <v>0.58122205663189264</v>
      </c>
      <c r="AH174" s="117">
        <f t="shared" si="29"/>
        <v>0.80453563714902798</v>
      </c>
      <c r="AI174" s="117">
        <f t="shared" si="30"/>
        <v>0.5524861878453039</v>
      </c>
      <c r="AJ174" s="117">
        <f t="shared" si="31"/>
        <v>1.1898904048311341</v>
      </c>
      <c r="AL174" s="117">
        <f t="shared" si="32"/>
        <v>1.1750232126276694</v>
      </c>
      <c r="AM174" s="117">
        <f t="shared" si="33"/>
        <v>0.94262295081967207</v>
      </c>
      <c r="AN174" s="117">
        <f t="shared" si="34"/>
        <v>1.0107991360691144</v>
      </c>
      <c r="AO174" s="117">
        <f t="shared" si="35"/>
        <v>1.5303867403314917</v>
      </c>
      <c r="AP174" s="117">
        <f t="shared" si="36"/>
        <v>0.90695593826884369</v>
      </c>
    </row>
    <row r="175" spans="1:42" ht="20.100000000000001" customHeight="1" x14ac:dyDescent="0.3">
      <c r="A175" s="25">
        <v>15</v>
      </c>
      <c r="B175" s="17" t="s">
        <v>31</v>
      </c>
      <c r="C175" s="17" t="s">
        <v>35</v>
      </c>
      <c r="D175" s="18" t="s">
        <v>29</v>
      </c>
      <c r="E175" s="26">
        <v>45558</v>
      </c>
      <c r="F175" s="20"/>
      <c r="G175" s="18" t="s">
        <v>81</v>
      </c>
      <c r="H175" s="28">
        <v>23.04</v>
      </c>
      <c r="I175" s="28">
        <v>6.58</v>
      </c>
      <c r="J175" s="28">
        <v>6.6</v>
      </c>
      <c r="K175" s="74">
        <v>183.5</v>
      </c>
      <c r="L175" s="57"/>
      <c r="M175" s="54"/>
      <c r="N175" s="54"/>
      <c r="O175" s="54">
        <v>3.331</v>
      </c>
      <c r="P175" s="54"/>
      <c r="Q175" s="54"/>
      <c r="R175" s="54"/>
      <c r="S175" s="54"/>
      <c r="T175" s="54">
        <v>8.9570000000000007</v>
      </c>
      <c r="U175" s="108">
        <v>8.2100000000000009</v>
      </c>
      <c r="V175" s="110">
        <v>1.84</v>
      </c>
      <c r="W175" s="55"/>
      <c r="X175" s="55"/>
      <c r="Y175" s="64"/>
      <c r="Z175" s="117">
        <f t="shared" si="22"/>
        <v>1.2113402061855667</v>
      </c>
      <c r="AA175" s="117">
        <f t="shared" si="23"/>
        <v>0.53185595567867028</v>
      </c>
      <c r="AB175" s="117">
        <f t="shared" si="24"/>
        <v>0.50767414403778044</v>
      </c>
      <c r="AC175" s="117">
        <f t="shared" si="25"/>
        <v>0.46025104602510453</v>
      </c>
      <c r="AD175" s="117">
        <f t="shared" si="26"/>
        <v>1.561386459345643</v>
      </c>
      <c r="AF175" s="117">
        <f t="shared" si="27"/>
        <v>1.050670640834575</v>
      </c>
      <c r="AG175" s="117">
        <f t="shared" si="28"/>
        <v>0.55878928987194409</v>
      </c>
      <c r="AH175" s="117">
        <f t="shared" si="29"/>
        <v>0.79482439926062842</v>
      </c>
      <c r="AI175" s="117">
        <f t="shared" si="30"/>
        <v>0.47008547008547008</v>
      </c>
      <c r="AJ175" s="117">
        <f t="shared" si="31"/>
        <v>1.2884255546645282</v>
      </c>
      <c r="AL175" s="117">
        <f t="shared" si="32"/>
        <v>0.86736214605067052</v>
      </c>
      <c r="AM175" s="117">
        <f t="shared" si="33"/>
        <v>1.050640279394645</v>
      </c>
      <c r="AN175" s="117">
        <f t="shared" si="34"/>
        <v>1.5656192236598891</v>
      </c>
      <c r="AO175" s="117">
        <f t="shared" si="35"/>
        <v>1.0213675213675215</v>
      </c>
      <c r="AP175" s="117">
        <f t="shared" si="36"/>
        <v>0.82518043303929434</v>
      </c>
    </row>
    <row r="176" spans="1:42" ht="20.100000000000001" customHeight="1" x14ac:dyDescent="0.3">
      <c r="A176" s="41">
        <v>16</v>
      </c>
      <c r="B176" s="42" t="s">
        <v>38</v>
      </c>
      <c r="C176" s="42" t="s">
        <v>38</v>
      </c>
      <c r="D176" s="43" t="s">
        <v>39</v>
      </c>
      <c r="E176" s="44">
        <v>45558</v>
      </c>
      <c r="F176" s="45"/>
      <c r="G176" s="43" t="s">
        <v>81</v>
      </c>
      <c r="H176" s="72">
        <v>23.98</v>
      </c>
      <c r="I176" s="72">
        <v>7.05</v>
      </c>
      <c r="J176" s="72">
        <v>7.93</v>
      </c>
      <c r="K176" s="73">
        <v>141.9</v>
      </c>
      <c r="L176" s="59"/>
      <c r="M176" s="60"/>
      <c r="N176" s="60"/>
      <c r="O176" s="61">
        <v>2.0390000000000001</v>
      </c>
      <c r="P176" s="61"/>
      <c r="Q176" s="61"/>
      <c r="R176" s="61"/>
      <c r="S176" s="61"/>
      <c r="T176" s="61">
        <v>7.2519999999999998</v>
      </c>
      <c r="U176" s="111">
        <v>5.64</v>
      </c>
      <c r="V176" s="111">
        <v>1.92</v>
      </c>
      <c r="W176" s="61"/>
      <c r="X176" s="61"/>
      <c r="Y176" s="65"/>
      <c r="Z176" s="117">
        <f t="shared" si="22"/>
        <v>1.0710659898477157</v>
      </c>
      <c r="AA176" s="117">
        <f t="shared" si="23"/>
        <v>0.73170731707317072</v>
      </c>
      <c r="AB176" s="117">
        <f t="shared" si="24"/>
        <v>0.66558441558441561</v>
      </c>
      <c r="AC176" s="117">
        <f t="shared" si="25"/>
        <v>0.34722222222222221</v>
      </c>
      <c r="AD176" s="117">
        <f t="shared" si="26"/>
        <v>1.269691982130261</v>
      </c>
      <c r="AF176" s="117">
        <f t="shared" si="27"/>
        <v>1.1140443505807813</v>
      </c>
      <c r="AG176" s="117">
        <f t="shared" si="28"/>
        <v>0.59856344772545889</v>
      </c>
      <c r="AH176" s="117">
        <f t="shared" si="29"/>
        <v>0.77031470173790528</v>
      </c>
      <c r="AI176" s="117">
        <f t="shared" si="30"/>
        <v>0.4504504504504504</v>
      </c>
      <c r="AJ176" s="117">
        <f t="shared" si="31"/>
        <v>1.1994669035984009</v>
      </c>
      <c r="AL176" s="117">
        <f t="shared" si="32"/>
        <v>1.0401267159450895</v>
      </c>
      <c r="AM176" s="117">
        <f t="shared" si="33"/>
        <v>0.81803671189146054</v>
      </c>
      <c r="AN176" s="117">
        <f t="shared" si="34"/>
        <v>1.15735086895256</v>
      </c>
      <c r="AO176" s="117">
        <f t="shared" si="35"/>
        <v>1.2972972972972971</v>
      </c>
      <c r="AP176" s="117">
        <f t="shared" si="36"/>
        <v>0.94469124833407381</v>
      </c>
    </row>
    <row r="177" spans="1:42" ht="20.100000000000001" customHeight="1" x14ac:dyDescent="0.3">
      <c r="A177" s="41">
        <v>17</v>
      </c>
      <c r="B177" s="42" t="s">
        <v>38</v>
      </c>
      <c r="C177" s="42" t="s">
        <v>38</v>
      </c>
      <c r="D177" s="43" t="s">
        <v>41</v>
      </c>
      <c r="E177" s="44">
        <v>45558</v>
      </c>
      <c r="F177" s="45"/>
      <c r="G177" s="43" t="s">
        <v>81</v>
      </c>
      <c r="H177" s="72">
        <v>24.82</v>
      </c>
      <c r="I177" s="72">
        <v>7.65</v>
      </c>
      <c r="J177" s="72">
        <v>7.92</v>
      </c>
      <c r="K177" s="73">
        <v>193.3</v>
      </c>
      <c r="L177" s="59"/>
      <c r="M177" s="60"/>
      <c r="N177" s="60"/>
      <c r="O177" s="60">
        <v>2.0710000000000002</v>
      </c>
      <c r="P177" s="60"/>
      <c r="Q177" s="60"/>
      <c r="R177" s="60"/>
      <c r="S177" s="60"/>
      <c r="T177" s="60">
        <v>12.406000000000001</v>
      </c>
      <c r="U177" s="112">
        <v>8</v>
      </c>
      <c r="V177" s="112">
        <v>2.11</v>
      </c>
      <c r="W177" s="60"/>
      <c r="X177" s="60"/>
      <c r="Y177" s="65"/>
      <c r="Z177" s="117">
        <f t="shared" si="22"/>
        <v>1.2773892773892774</v>
      </c>
      <c r="AA177" s="117">
        <f t="shared" si="23"/>
        <v>0.49336870026525198</v>
      </c>
      <c r="AB177" s="117">
        <f t="shared" si="24"/>
        <v>0.63033175355450244</v>
      </c>
      <c r="AC177" s="117">
        <f t="shared" si="25"/>
        <v>0.37313432835820892</v>
      </c>
      <c r="AD177" s="117">
        <f t="shared" si="26"/>
        <v>1.3641425389755011</v>
      </c>
      <c r="AF177" s="117">
        <f t="shared" si="27"/>
        <v>1.0506134969325154</v>
      </c>
      <c r="AG177" s="117">
        <f t="shared" si="28"/>
        <v>0.54609512624779799</v>
      </c>
      <c r="AH177" s="117">
        <f t="shared" si="29"/>
        <v>0.7921381774865992</v>
      </c>
      <c r="AI177" s="117">
        <f t="shared" si="30"/>
        <v>0.40485829959514169</v>
      </c>
      <c r="AJ177" s="117">
        <f t="shared" si="31"/>
        <v>1.3021525378687218</v>
      </c>
      <c r="AL177" s="117">
        <f t="shared" si="32"/>
        <v>0.82246932515337423</v>
      </c>
      <c r="AM177" s="117">
        <f t="shared" si="33"/>
        <v>1.1068702290076335</v>
      </c>
      <c r="AN177" s="117">
        <f t="shared" si="34"/>
        <v>1.2567004169148301</v>
      </c>
      <c r="AO177" s="117">
        <f t="shared" si="35"/>
        <v>1.0850202429149798</v>
      </c>
      <c r="AP177" s="117">
        <f t="shared" si="36"/>
        <v>0.9545575338825405</v>
      </c>
    </row>
    <row r="178" spans="1:42" ht="20.100000000000001" customHeight="1" x14ac:dyDescent="0.3">
      <c r="A178" s="41">
        <v>18</v>
      </c>
      <c r="B178" s="42" t="s">
        <v>38</v>
      </c>
      <c r="C178" s="42" t="s">
        <v>38</v>
      </c>
      <c r="D178" s="43" t="s">
        <v>42</v>
      </c>
      <c r="E178" s="44">
        <v>45558</v>
      </c>
      <c r="F178" s="45"/>
      <c r="G178" s="43" t="s">
        <v>81</v>
      </c>
      <c r="H178" s="72">
        <v>24.52</v>
      </c>
      <c r="I178" s="72">
        <v>7.51</v>
      </c>
      <c r="J178" s="72">
        <v>7.4</v>
      </c>
      <c r="K178" s="73">
        <v>208.7</v>
      </c>
      <c r="L178" s="59"/>
      <c r="M178" s="60"/>
      <c r="N178" s="60"/>
      <c r="O178" s="60">
        <v>1.972</v>
      </c>
      <c r="P178" s="60"/>
      <c r="Q178" s="60"/>
      <c r="R178" s="60"/>
      <c r="S178" s="60"/>
      <c r="T178" s="60">
        <v>13.935</v>
      </c>
      <c r="U178" s="112">
        <v>8.16</v>
      </c>
      <c r="V178" s="112">
        <v>1.79</v>
      </c>
      <c r="W178" s="60"/>
      <c r="X178" s="60"/>
      <c r="Y178" s="65"/>
      <c r="Z178" s="117">
        <f t="shared" si="22"/>
        <v>1.181068171949631</v>
      </c>
      <c r="AA178" s="117">
        <f t="shared" si="23"/>
        <v>0.51897321428571441</v>
      </c>
      <c r="AB178" s="117">
        <f t="shared" si="24"/>
        <v>0.5223880597014926</v>
      </c>
      <c r="AC178" s="117">
        <f t="shared" si="25"/>
        <v>0.40322580645161293</v>
      </c>
      <c r="AD178" s="117">
        <f t="shared" si="26"/>
        <v>1.5814850530376086</v>
      </c>
      <c r="AF178" s="117">
        <f t="shared" si="27"/>
        <v>1.0206378986866791</v>
      </c>
      <c r="AG178" s="117">
        <f t="shared" si="28"/>
        <v>0.54609512624779799</v>
      </c>
      <c r="AH178" s="117">
        <f t="shared" si="29"/>
        <v>0.81645181092694918</v>
      </c>
      <c r="AI178" s="117">
        <f t="shared" si="30"/>
        <v>0.4329004329004329</v>
      </c>
      <c r="AJ178" s="117">
        <f t="shared" si="31"/>
        <v>1.3043478260869565</v>
      </c>
      <c r="AL178" s="117">
        <f t="shared" si="32"/>
        <v>0.86416510318949336</v>
      </c>
      <c r="AM178" s="117">
        <f t="shared" si="33"/>
        <v>1.0522607163828537</v>
      </c>
      <c r="AN178" s="117">
        <f t="shared" si="34"/>
        <v>1.5629220380601598</v>
      </c>
      <c r="AO178" s="117">
        <f t="shared" si="35"/>
        <v>1.0735930735930737</v>
      </c>
      <c r="AP178" s="117">
        <f t="shared" si="36"/>
        <v>0.82476139978791096</v>
      </c>
    </row>
    <row r="179" spans="1:42" ht="20.100000000000001" customHeight="1" x14ac:dyDescent="0.3">
      <c r="A179" s="41">
        <v>19</v>
      </c>
      <c r="B179" s="42" t="s">
        <v>38</v>
      </c>
      <c r="C179" s="42" t="s">
        <v>43</v>
      </c>
      <c r="D179" s="43" t="s">
        <v>40</v>
      </c>
      <c r="E179" s="44">
        <v>45558</v>
      </c>
      <c r="F179" s="45"/>
      <c r="G179" s="43" t="s">
        <v>81</v>
      </c>
      <c r="H179" s="72">
        <v>25.86</v>
      </c>
      <c r="I179" s="72">
        <v>7.46</v>
      </c>
      <c r="J179" s="72">
        <v>6.9</v>
      </c>
      <c r="K179" s="73">
        <v>309.10000000000002</v>
      </c>
      <c r="L179" s="59"/>
      <c r="M179" s="60"/>
      <c r="N179" s="60"/>
      <c r="O179" s="60">
        <v>2.605</v>
      </c>
      <c r="P179" s="60"/>
      <c r="Q179" s="60"/>
      <c r="R179" s="60"/>
      <c r="S179" s="60"/>
      <c r="T179" s="60">
        <v>30.437000000000001</v>
      </c>
      <c r="U179" s="112">
        <v>9.75</v>
      </c>
      <c r="V179" s="112">
        <v>1.59</v>
      </c>
      <c r="W179" s="60"/>
      <c r="X179" s="60"/>
      <c r="Y179" s="65"/>
      <c r="Z179" s="117">
        <f t="shared" si="22"/>
        <v>0.97167225098994836</v>
      </c>
      <c r="AA179" s="117">
        <f t="shared" si="23"/>
        <v>0.48705572619569987</v>
      </c>
      <c r="AB179" s="117">
        <f t="shared" si="24"/>
        <v>0.8834446919079435</v>
      </c>
      <c r="AC179" s="117">
        <f t="shared" si="25"/>
        <v>0.304054054054054</v>
      </c>
      <c r="AD179" s="117">
        <f t="shared" si="26"/>
        <v>1.5813953488372092</v>
      </c>
      <c r="AF179" s="117">
        <f t="shared" si="27"/>
        <v>0.99563046192259685</v>
      </c>
      <c r="AG179" s="117">
        <f t="shared" si="28"/>
        <v>0.55975794251134636</v>
      </c>
      <c r="AH179" s="117">
        <f t="shared" si="29"/>
        <v>0.87758112094395269</v>
      </c>
      <c r="AI179" s="117">
        <f t="shared" si="30"/>
        <v>0.39823008849557523</v>
      </c>
      <c r="AJ179" s="117">
        <f t="shared" si="31"/>
        <v>1.367997523986382</v>
      </c>
      <c r="AL179" s="117">
        <f t="shared" si="32"/>
        <v>1.0246566791510612</v>
      </c>
      <c r="AM179" s="117">
        <f t="shared" si="33"/>
        <v>1.1492687846696923</v>
      </c>
      <c r="AN179" s="117">
        <f t="shared" si="34"/>
        <v>0.99336283185840701</v>
      </c>
      <c r="AO179" s="117">
        <f t="shared" si="35"/>
        <v>1.3097345132743363</v>
      </c>
      <c r="AP179" s="117">
        <f t="shared" si="36"/>
        <v>0.86505725781491805</v>
      </c>
    </row>
    <row r="180" spans="1:42" ht="20.100000000000001" customHeight="1" x14ac:dyDescent="0.3">
      <c r="A180" s="41">
        <v>20</v>
      </c>
      <c r="B180" s="42" t="s">
        <v>38</v>
      </c>
      <c r="C180" s="42" t="s">
        <v>43</v>
      </c>
      <c r="D180" s="43" t="s">
        <v>44</v>
      </c>
      <c r="E180" s="44">
        <v>45558</v>
      </c>
      <c r="F180" s="45"/>
      <c r="G180" s="43" t="s">
        <v>81</v>
      </c>
      <c r="H180" s="72">
        <v>24.21</v>
      </c>
      <c r="I180" s="72">
        <v>7.08</v>
      </c>
      <c r="J180" s="72">
        <v>7.84</v>
      </c>
      <c r="K180" s="73">
        <v>274.8</v>
      </c>
      <c r="L180" s="59"/>
      <c r="M180" s="60"/>
      <c r="N180" s="60"/>
      <c r="O180" s="60">
        <v>1.569</v>
      </c>
      <c r="P180" s="60"/>
      <c r="Q180" s="60"/>
      <c r="R180" s="60"/>
      <c r="S180" s="60"/>
      <c r="T180" s="60">
        <v>21.135999999999999</v>
      </c>
      <c r="U180" s="113">
        <v>9.39</v>
      </c>
      <c r="V180" s="113">
        <v>2.5</v>
      </c>
      <c r="W180" s="62"/>
      <c r="X180" s="62"/>
      <c r="Y180" s="65"/>
      <c r="Z180" s="117">
        <f t="shared" si="22"/>
        <v>1.368838028169014</v>
      </c>
      <c r="AA180" s="117">
        <f t="shared" si="23"/>
        <v>0.41572184429327286</v>
      </c>
      <c r="AB180" s="117">
        <f t="shared" si="24"/>
        <v>0.70553935860058303</v>
      </c>
      <c r="AC180" s="117">
        <f t="shared" si="25"/>
        <v>0.37414965986394555</v>
      </c>
      <c r="AD180" s="117">
        <f t="shared" si="26"/>
        <v>1.454604620891637</v>
      </c>
      <c r="AF180" s="117">
        <f t="shared" si="27"/>
        <v>1.0064724919093853</v>
      </c>
      <c r="AG180" s="117">
        <f t="shared" si="28"/>
        <v>0.54753608760577399</v>
      </c>
      <c r="AH180" s="117">
        <f t="shared" si="29"/>
        <v>0.83104395604395598</v>
      </c>
      <c r="AI180" s="117">
        <f t="shared" si="30"/>
        <v>0.40441176470588236</v>
      </c>
      <c r="AJ180" s="117">
        <f t="shared" si="31"/>
        <v>1.4087614245193822</v>
      </c>
      <c r="AL180" s="117">
        <f t="shared" si="32"/>
        <v>0.73527508090614901</v>
      </c>
      <c r="AM180" s="117">
        <f t="shared" si="33"/>
        <v>1.3170731707317074</v>
      </c>
      <c r="AN180" s="117">
        <f t="shared" si="34"/>
        <v>1.1778846153846154</v>
      </c>
      <c r="AO180" s="117">
        <f t="shared" si="35"/>
        <v>1.0808823529411766</v>
      </c>
      <c r="AP180" s="117">
        <f t="shared" si="36"/>
        <v>0.96848408446265355</v>
      </c>
    </row>
    <row r="181" spans="1:42" ht="20.100000000000001" customHeight="1" x14ac:dyDescent="0.3">
      <c r="A181" s="25">
        <v>21</v>
      </c>
      <c r="B181" s="17" t="s">
        <v>45</v>
      </c>
      <c r="C181" s="17" t="s">
        <v>45</v>
      </c>
      <c r="D181" s="18" t="s">
        <v>46</v>
      </c>
      <c r="E181" s="26">
        <v>45558</v>
      </c>
      <c r="F181" s="20"/>
      <c r="G181" s="18" t="s">
        <v>81</v>
      </c>
      <c r="H181" s="28">
        <v>21.7</v>
      </c>
      <c r="I181" s="28">
        <v>8.42</v>
      </c>
      <c r="J181" s="28">
        <v>10.36</v>
      </c>
      <c r="K181" s="74">
        <v>104</v>
      </c>
      <c r="L181" s="57"/>
      <c r="M181" s="54"/>
      <c r="N181" s="54"/>
      <c r="O181" s="58">
        <v>2.0310000000000001</v>
      </c>
      <c r="P181" s="58"/>
      <c r="Q181" s="58"/>
      <c r="R181" s="58"/>
      <c r="S181" s="58"/>
      <c r="T181" s="58">
        <v>5.9089999999999998</v>
      </c>
      <c r="U181" s="109">
        <v>2.19</v>
      </c>
      <c r="V181" s="109">
        <v>-0.53</v>
      </c>
      <c r="W181" s="58"/>
      <c r="X181" s="58"/>
      <c r="Y181" s="64"/>
      <c r="Z181" s="117">
        <f t="shared" si="22"/>
        <v>1.3306852035749752</v>
      </c>
      <c r="AA181" s="117">
        <f t="shared" si="23"/>
        <v>0.30440414507772018</v>
      </c>
      <c r="AB181" s="117">
        <f t="shared" si="24"/>
        <v>0.73988439306358378</v>
      </c>
      <c r="AC181" s="117">
        <f t="shared" si="25"/>
        <v>0.24064171122994649</v>
      </c>
      <c r="AD181" s="117">
        <f t="shared" si="26"/>
        <v>1.3794642857142856</v>
      </c>
      <c r="AF181" s="117">
        <f t="shared" si="27"/>
        <v>1.4285714285714288</v>
      </c>
      <c r="AG181" s="117">
        <f t="shared" si="28"/>
        <v>0.85144927536231896</v>
      </c>
      <c r="AH181" s="117">
        <f t="shared" si="29"/>
        <v>0.71455154447339031</v>
      </c>
      <c r="AI181" s="117">
        <f t="shared" si="30"/>
        <v>0.72</v>
      </c>
      <c r="AJ181" s="117">
        <f t="shared" si="31"/>
        <v>1.0845910845910847</v>
      </c>
      <c r="AL181" s="117">
        <f t="shared" si="32"/>
        <v>1.0735607675906185</v>
      </c>
      <c r="AM181" s="117">
        <f t="shared" si="33"/>
        <v>2.7971014492753628</v>
      </c>
      <c r="AN181" s="117">
        <f t="shared" si="34"/>
        <v>0.96576107182731663</v>
      </c>
      <c r="AO181" s="117">
        <f t="shared" si="35"/>
        <v>2.992</v>
      </c>
      <c r="AP181" s="117">
        <f t="shared" si="36"/>
        <v>0.7862407862407863</v>
      </c>
    </row>
    <row r="182" spans="1:42" ht="20.100000000000001" customHeight="1" x14ac:dyDescent="0.3">
      <c r="A182" s="25">
        <v>22</v>
      </c>
      <c r="B182" s="17" t="s">
        <v>45</v>
      </c>
      <c r="C182" s="17" t="s">
        <v>45</v>
      </c>
      <c r="D182" s="22" t="s">
        <v>47</v>
      </c>
      <c r="E182" s="26">
        <v>45558</v>
      </c>
      <c r="F182" s="23"/>
      <c r="G182" s="18" t="s">
        <v>81</v>
      </c>
      <c r="H182" s="28">
        <v>20.96</v>
      </c>
      <c r="I182" s="28">
        <v>7.9</v>
      </c>
      <c r="J182" s="28">
        <v>10.15</v>
      </c>
      <c r="K182" s="74">
        <v>101</v>
      </c>
      <c r="L182" s="57"/>
      <c r="M182" s="55"/>
      <c r="N182" s="55"/>
      <c r="O182" s="55">
        <v>2.3380000000000001</v>
      </c>
      <c r="P182" s="55"/>
      <c r="Q182" s="55"/>
      <c r="R182" s="55"/>
      <c r="S182" s="55"/>
      <c r="T182" s="55">
        <v>7.3620000000000001</v>
      </c>
      <c r="U182" s="110">
        <v>4.6100000000000003</v>
      </c>
      <c r="V182" s="110">
        <v>-0.06</v>
      </c>
      <c r="W182" s="55"/>
      <c r="X182" s="55"/>
      <c r="Y182" s="66"/>
      <c r="Z182" s="117">
        <f t="shared" si="22"/>
        <v>1.2542603953646898</v>
      </c>
      <c r="AA182" s="117">
        <f t="shared" si="23"/>
        <v>0.45090909090909087</v>
      </c>
      <c r="AB182" s="117">
        <f t="shared" si="24"/>
        <v>0.74105988797931921</v>
      </c>
      <c r="AC182" s="117">
        <f t="shared" si="25"/>
        <v>0.31690140845070414</v>
      </c>
      <c r="AD182" s="117">
        <f t="shared" si="26"/>
        <v>1.2585108719525586</v>
      </c>
      <c r="AF182" s="117">
        <f t="shared" si="27"/>
        <v>1.2097304404996712</v>
      </c>
      <c r="AG182" s="117">
        <f t="shared" si="28"/>
        <v>0.68812430632630417</v>
      </c>
      <c r="AH182" s="117">
        <f t="shared" si="29"/>
        <v>0.80186480186480191</v>
      </c>
      <c r="AI182" s="117">
        <f t="shared" si="30"/>
        <v>0.64748201438848918</v>
      </c>
      <c r="AJ182" s="117">
        <f t="shared" si="31"/>
        <v>1.0823573857196827</v>
      </c>
      <c r="AL182" s="117">
        <f t="shared" si="32"/>
        <v>0.96449704142011827</v>
      </c>
      <c r="AM182" s="117">
        <f t="shared" si="33"/>
        <v>1.5260821309655941</v>
      </c>
      <c r="AN182" s="117">
        <f t="shared" si="34"/>
        <v>1.0820512820512822</v>
      </c>
      <c r="AO182" s="117">
        <f t="shared" si="35"/>
        <v>2.0431654676258995</v>
      </c>
      <c r="AP182" s="117">
        <f t="shared" si="36"/>
        <v>0.86003022289384212</v>
      </c>
    </row>
    <row r="183" spans="1:42" ht="20.100000000000001" customHeight="1" x14ac:dyDescent="0.3">
      <c r="A183" s="25">
        <v>23</v>
      </c>
      <c r="B183" s="17" t="s">
        <v>45</v>
      </c>
      <c r="C183" s="17" t="s">
        <v>45</v>
      </c>
      <c r="D183" s="22" t="s">
        <v>29</v>
      </c>
      <c r="E183" s="26">
        <v>45558</v>
      </c>
      <c r="F183" s="23"/>
      <c r="G183" s="18" t="s">
        <v>81</v>
      </c>
      <c r="H183" s="75">
        <v>21.12</v>
      </c>
      <c r="I183" s="75">
        <v>7.79</v>
      </c>
      <c r="J183" s="75">
        <v>10.23</v>
      </c>
      <c r="K183" s="77">
        <v>97</v>
      </c>
      <c r="L183" s="57"/>
      <c r="M183" s="55"/>
      <c r="N183" s="55"/>
      <c r="O183" s="55">
        <v>2.2559999999999998</v>
      </c>
      <c r="P183" s="55"/>
      <c r="Q183" s="55"/>
      <c r="R183" s="55"/>
      <c r="S183" s="55"/>
      <c r="T183" s="55">
        <v>7.5640000000000001</v>
      </c>
      <c r="U183" s="110">
        <v>3.61</v>
      </c>
      <c r="V183" s="110">
        <v>-2.4700000000000002</v>
      </c>
      <c r="W183" s="55"/>
      <c r="X183" s="55"/>
      <c r="Y183" s="66"/>
      <c r="Z183" s="117">
        <f t="shared" si="22"/>
        <v>1.3789778206364514</v>
      </c>
      <c r="AA183" s="117">
        <f t="shared" si="23"/>
        <v>0.25615763546798032</v>
      </c>
      <c r="AB183" s="117">
        <f t="shared" si="24"/>
        <v>0.85429520645467483</v>
      </c>
      <c r="AC183" s="117">
        <f t="shared" si="25"/>
        <v>0.20833333333333329</v>
      </c>
      <c r="AD183" s="117">
        <f t="shared" si="26"/>
        <v>1.4019116977696859</v>
      </c>
      <c r="AF183" s="117">
        <f t="shared" si="27"/>
        <v>1.1936560934891485</v>
      </c>
      <c r="AG183" s="117">
        <f t="shared" si="28"/>
        <v>0.83601286173633449</v>
      </c>
      <c r="AH183" s="117">
        <f t="shared" si="29"/>
        <v>0.87976539589442815</v>
      </c>
      <c r="AI183" s="117">
        <f t="shared" si="30"/>
        <v>1.1688311688311688</v>
      </c>
      <c r="AJ183" s="117">
        <f t="shared" si="31"/>
        <v>1.0170051180452369</v>
      </c>
      <c r="AL183" s="117">
        <f t="shared" si="32"/>
        <v>0.86560934891485797</v>
      </c>
      <c r="AM183" s="117">
        <f t="shared" si="33"/>
        <v>3.2636655948553055</v>
      </c>
      <c r="AN183" s="117">
        <f t="shared" si="34"/>
        <v>1.0298142717497556</v>
      </c>
      <c r="AO183" s="117">
        <f t="shared" si="35"/>
        <v>5.6103896103896105</v>
      </c>
      <c r="AP183" s="117">
        <f t="shared" si="36"/>
        <v>0.72544163777447579</v>
      </c>
    </row>
    <row r="184" spans="1:42" ht="20.100000000000001" customHeight="1" x14ac:dyDescent="0.3">
      <c r="A184" s="25">
        <v>24</v>
      </c>
      <c r="B184" s="17" t="s">
        <v>45</v>
      </c>
      <c r="C184" s="17" t="s">
        <v>45</v>
      </c>
      <c r="D184" s="18" t="s">
        <v>48</v>
      </c>
      <c r="E184" s="26">
        <v>45558</v>
      </c>
      <c r="F184" s="20"/>
      <c r="G184" s="18" t="s">
        <v>134</v>
      </c>
      <c r="H184" s="28">
        <v>21.15</v>
      </c>
      <c r="I184" s="28">
        <v>7.79</v>
      </c>
      <c r="J184" s="28">
        <v>10.44</v>
      </c>
      <c r="K184" s="74">
        <v>99</v>
      </c>
      <c r="L184" s="57"/>
      <c r="M184" s="54"/>
      <c r="N184" s="54"/>
      <c r="O184" s="54">
        <v>2.2269999999999999</v>
      </c>
      <c r="P184" s="54"/>
      <c r="Q184" s="54"/>
      <c r="R184" s="54"/>
      <c r="S184" s="54"/>
      <c r="T184" s="54">
        <v>7.851</v>
      </c>
      <c r="U184" s="108">
        <v>5.78</v>
      </c>
      <c r="V184" s="108">
        <v>1.18</v>
      </c>
      <c r="W184" s="54"/>
      <c r="X184" s="54"/>
      <c r="Y184" s="64"/>
      <c r="Z184" s="117">
        <f t="shared" si="22"/>
        <v>0.91948966124065101</v>
      </c>
      <c r="AA184" s="117">
        <f t="shared" si="23"/>
        <v>0.78663793103448276</v>
      </c>
      <c r="AB184" s="117">
        <f t="shared" si="24"/>
        <v>0.70552147239263807</v>
      </c>
      <c r="AC184" s="117">
        <f t="shared" si="25"/>
        <v>0.31055900621118016</v>
      </c>
      <c r="AD184" s="117">
        <f t="shared" si="26"/>
        <v>1.3039332538736592</v>
      </c>
      <c r="AF184" s="117">
        <f t="shared" si="27"/>
        <v>1.0896767466110531</v>
      </c>
      <c r="AG184" s="117">
        <f t="shared" si="28"/>
        <v>0.59934318555008215</v>
      </c>
      <c r="AH184" s="117">
        <f t="shared" si="29"/>
        <v>0.79271294928606606</v>
      </c>
      <c r="AI184" s="117">
        <f t="shared" si="30"/>
        <v>0.52631578947368418</v>
      </c>
      <c r="AJ184" s="117">
        <f t="shared" si="31"/>
        <v>1.1781175963816499</v>
      </c>
      <c r="AL184" s="117">
        <f t="shared" si="32"/>
        <v>1.1850886339937434</v>
      </c>
      <c r="AM184" s="117">
        <f t="shared" si="33"/>
        <v>0.76190476190476186</v>
      </c>
      <c r="AN184" s="117">
        <f t="shared" si="34"/>
        <v>1.1235844411619893</v>
      </c>
      <c r="AO184" s="117">
        <f t="shared" si="35"/>
        <v>1.6947368421052631</v>
      </c>
      <c r="AP184" s="117">
        <f t="shared" si="36"/>
        <v>0.90351066121042423</v>
      </c>
    </row>
    <row r="185" spans="1:42" ht="20.100000000000001" customHeight="1" x14ac:dyDescent="0.3"/>
    <row r="186" spans="1:42" ht="20.100000000000001" customHeight="1" x14ac:dyDescent="0.3"/>
    <row r="187" spans="1:42" ht="20.100000000000001" customHeight="1" x14ac:dyDescent="0.3"/>
    <row r="188" spans="1:42" ht="20.100000000000001" customHeight="1" x14ac:dyDescent="0.3"/>
    <row r="189" spans="1:42" ht="20.100000000000001" customHeight="1" x14ac:dyDescent="0.3"/>
    <row r="190" spans="1:42" ht="20.100000000000001" customHeight="1" x14ac:dyDescent="0.3"/>
    <row r="191" spans="1:42" ht="20.100000000000001" customHeight="1" x14ac:dyDescent="0.3"/>
    <row r="192" spans="1:4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</sheetData>
  <mergeCells count="17">
    <mergeCell ref="L7:T7"/>
    <mergeCell ref="Y7:Y8"/>
    <mergeCell ref="A5:K5"/>
    <mergeCell ref="A7:A8"/>
    <mergeCell ref="B7:B8"/>
    <mergeCell ref="C7:C8"/>
    <mergeCell ref="D7:D8"/>
    <mergeCell ref="E7:F7"/>
    <mergeCell ref="G7:K7"/>
    <mergeCell ref="G37:K37"/>
    <mergeCell ref="L37:T37"/>
    <mergeCell ref="Y37:Y38"/>
    <mergeCell ref="A37:A38"/>
    <mergeCell ref="B37:B38"/>
    <mergeCell ref="C37:C38"/>
    <mergeCell ref="D37:D38"/>
    <mergeCell ref="E37:F37"/>
  </mergeCells>
  <phoneticPr fontId="1" type="noConversion"/>
  <conditionalFormatting sqref="Z9:AD3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{87EE5A70-229A-4806-9EC0-2AE604F8DB5E}</x14:id>
        </ext>
      </extLst>
    </cfRule>
  </conditionalFormatting>
  <conditionalFormatting sqref="Z39:AD6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{1CBB0F58-4C11-46AB-A0F6-DDD325B80599}</x14:id>
        </ext>
      </extLst>
    </cfRule>
  </conditionalFormatting>
  <conditionalFormatting sqref="Z71:AD9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{52B8EC59-1EF8-42A8-AD75-C0B6CCEB196D}</x14:id>
        </ext>
      </extLst>
    </cfRule>
  </conditionalFormatting>
  <conditionalFormatting sqref="Z101:AD12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{4A335DA3-28DF-4F29-A951-6A6339564425}</x14:id>
        </ext>
      </extLst>
    </cfRule>
  </conditionalFormatting>
  <conditionalFormatting sqref="AG9:AK3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{0A3A2955-77D5-4C35-ACB5-49767C1CEB38}</x14:id>
        </ext>
      </extLst>
    </cfRule>
  </conditionalFormatting>
  <conditionalFormatting sqref="AG39:AK6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{FE6C6099-251A-477C-9BC1-764943456365}</x14:id>
        </ext>
      </extLst>
    </cfRule>
  </conditionalFormatting>
  <conditionalFormatting sqref="AG71:AK9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{30F0278B-E502-4E4A-886B-BAE10FF002D6}</x14:id>
        </ext>
      </extLst>
    </cfRule>
  </conditionalFormatting>
  <conditionalFormatting sqref="AG101:AK124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{5A131F64-C861-495F-A603-D27EC238869C}</x14:id>
        </ext>
      </extLst>
    </cfRule>
  </conditionalFormatting>
  <conditionalFormatting sqref="AN9:AR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{CC33D5A4-9DB0-4F3C-A8F2-2F78BA326AB8}</x14:id>
        </ext>
      </extLst>
    </cfRule>
  </conditionalFormatting>
  <conditionalFormatting sqref="AU9:AY3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{98CA0CD4-1CDD-4713-9EE7-C6CEE1B5B459}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E5A70-229A-4806-9EC0-2AE604F8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Z9:AD32</xm:sqref>
        </x14:conditionalFormatting>
        <x14:conditionalFormatting xmlns:xm="http://schemas.microsoft.com/office/excel/2006/main">
          <x14:cfRule type="dataBar" id="{1CBB0F58-4C11-46AB-A0F6-DDD325B80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Z39:AD62</xm:sqref>
        </x14:conditionalFormatting>
        <x14:conditionalFormatting xmlns:xm="http://schemas.microsoft.com/office/excel/2006/main">
          <x14:cfRule type="dataBar" id="{52B8EC59-1EF8-42A8-AD75-C0B6CCEB1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4A335DA3-28DF-4F29-A951-6A63395644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Z101:AD124</xm:sqref>
        </x14:conditionalFormatting>
        <x14:conditionalFormatting xmlns:xm="http://schemas.microsoft.com/office/excel/2006/main">
          <x14:cfRule type="dataBar" id="{0A3A2955-77D5-4C35-ACB5-49767C1C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AG9:AK32</xm:sqref>
        </x14:conditionalFormatting>
        <x14:conditionalFormatting xmlns:xm="http://schemas.microsoft.com/office/excel/2006/main">
          <x14:cfRule type="dataBar" id="{FE6C6099-251A-477C-9BC1-7649434563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AG39:AK62</xm:sqref>
        </x14:conditionalFormatting>
        <x14:conditionalFormatting xmlns:xm="http://schemas.microsoft.com/office/excel/2006/main">
          <x14:cfRule type="dataBar" id="{30F0278B-E502-4E4A-886B-BAE10FF002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A131F64-C861-495F-A603-D27EC238869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AG101:AK124</xm:sqref>
        </x14:conditionalFormatting>
        <x14:conditionalFormatting xmlns:xm="http://schemas.microsoft.com/office/excel/2006/main">
          <x14:cfRule type="dataBar" id="{CC33D5A4-9DB0-4F3C-A8F2-2F78BA326A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AN9:AR32</xm:sqref>
        </x14:conditionalFormatting>
        <x14:conditionalFormatting xmlns:xm="http://schemas.microsoft.com/office/excel/2006/main">
          <x14:cfRule type="dataBar" id="{98CA0CD4-1CDD-4713-9EE7-C6CEE1B5B4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AU9:AY32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C105" sqref="C105:C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305</v>
      </c>
    </row>
    <row r="3" spans="1:10" x14ac:dyDescent="0.3">
      <c r="A3" t="s">
        <v>306</v>
      </c>
    </row>
    <row r="4" spans="1:10" x14ac:dyDescent="0.3">
      <c r="A4" t="s">
        <v>305</v>
      </c>
    </row>
    <row r="6" spans="1:10" x14ac:dyDescent="0.3">
      <c r="A6" t="s">
        <v>330</v>
      </c>
    </row>
    <row r="8" spans="1:10" x14ac:dyDescent="0.3">
      <c r="B8" t="s">
        <v>304</v>
      </c>
      <c r="C8" t="s">
        <v>303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 x14ac:dyDescent="0.3">
      <c r="A9" t="s">
        <v>302</v>
      </c>
      <c r="B9">
        <v>0.14699999999999999</v>
      </c>
      <c r="C9">
        <v>0.121</v>
      </c>
      <c r="D9">
        <v>4.0000000000000001E-3</v>
      </c>
      <c r="E9">
        <v>8.9999999999999993E-3</v>
      </c>
      <c r="F9">
        <v>5.0999999999999997E-2</v>
      </c>
      <c r="G9">
        <v>0.113</v>
      </c>
      <c r="H9">
        <v>0.218</v>
      </c>
      <c r="I9">
        <v>0.38700000000000001</v>
      </c>
      <c r="J9">
        <v>0.438</v>
      </c>
    </row>
    <row r="10" spans="1:10" x14ac:dyDescent="0.3">
      <c r="A10" t="s">
        <v>301</v>
      </c>
      <c r="B10">
        <v>0.189</v>
      </c>
      <c r="C10">
        <v>0.222</v>
      </c>
      <c r="D10">
        <v>1E-3</v>
      </c>
      <c r="E10">
        <v>3.0000000000000001E-3</v>
      </c>
      <c r="F10">
        <v>2.4E-2</v>
      </c>
      <c r="G10">
        <v>8.7999999999999995E-2</v>
      </c>
      <c r="H10">
        <v>0.28999999999999998</v>
      </c>
      <c r="I10">
        <v>0.68500000000000005</v>
      </c>
      <c r="J10">
        <v>0.77900000000000003</v>
      </c>
    </row>
    <row r="11" spans="1:10" x14ac:dyDescent="0.3">
      <c r="A11" t="s">
        <v>300</v>
      </c>
      <c r="B11">
        <v>0.183</v>
      </c>
      <c r="C11">
        <v>0.21</v>
      </c>
      <c r="D11">
        <v>1E-3</v>
      </c>
      <c r="E11">
        <v>3.0000000000000001E-3</v>
      </c>
      <c r="F11">
        <v>2.5000000000000001E-2</v>
      </c>
      <c r="G11">
        <v>9.1999999999999998E-2</v>
      </c>
      <c r="H11">
        <v>0.27700000000000002</v>
      </c>
      <c r="I11">
        <v>0.63900000000000001</v>
      </c>
      <c r="J11">
        <v>0.71599999999999997</v>
      </c>
    </row>
    <row r="12" spans="1:10" x14ac:dyDescent="0.3">
      <c r="A12" t="s">
        <v>299</v>
      </c>
      <c r="B12">
        <v>0.17399999999999999</v>
      </c>
      <c r="C12">
        <v>0.193</v>
      </c>
      <c r="D12">
        <v>2E-3</v>
      </c>
      <c r="E12">
        <v>4.0000000000000001E-3</v>
      </c>
      <c r="F12">
        <v>2.5999999999999999E-2</v>
      </c>
      <c r="G12">
        <v>9.1999999999999998E-2</v>
      </c>
      <c r="H12">
        <v>0.26500000000000001</v>
      </c>
      <c r="I12">
        <v>0.59199999999999997</v>
      </c>
      <c r="J12">
        <v>0.68600000000000005</v>
      </c>
    </row>
    <row r="13" spans="1:10" x14ac:dyDescent="0.3">
      <c r="A13" t="s">
        <v>298</v>
      </c>
      <c r="B13">
        <v>0.19</v>
      </c>
      <c r="C13">
        <v>0.218</v>
      </c>
      <c r="D13">
        <v>1E-3</v>
      </c>
      <c r="E13">
        <v>3.0000000000000001E-3</v>
      </c>
      <c r="F13">
        <v>2.5999999999999999E-2</v>
      </c>
      <c r="G13">
        <v>9.7000000000000003E-2</v>
      </c>
      <c r="H13">
        <v>0.28100000000000003</v>
      </c>
      <c r="I13">
        <v>0.68</v>
      </c>
      <c r="J13">
        <v>0.77300000000000002</v>
      </c>
    </row>
    <row r="14" spans="1:10" x14ac:dyDescent="0.3">
      <c r="A14" t="s">
        <v>297</v>
      </c>
      <c r="B14">
        <v>0.13</v>
      </c>
      <c r="C14">
        <v>0.13</v>
      </c>
      <c r="D14">
        <v>2E-3</v>
      </c>
      <c r="E14">
        <v>4.0000000000000001E-3</v>
      </c>
      <c r="F14">
        <v>0.03</v>
      </c>
      <c r="G14">
        <v>8.5000000000000006E-2</v>
      </c>
      <c r="H14">
        <v>0.19</v>
      </c>
      <c r="I14">
        <v>0.40100000000000002</v>
      </c>
      <c r="J14">
        <v>0.48499999999999999</v>
      </c>
    </row>
    <row r="15" spans="1:10" x14ac:dyDescent="0.3">
      <c r="A15" t="s">
        <v>296</v>
      </c>
      <c r="B15">
        <v>0.126</v>
      </c>
      <c r="C15">
        <v>0.129</v>
      </c>
      <c r="D15">
        <v>2E-3</v>
      </c>
      <c r="E15">
        <v>4.0000000000000001E-3</v>
      </c>
      <c r="F15">
        <v>2.8000000000000001E-2</v>
      </c>
      <c r="G15">
        <v>0.08</v>
      </c>
      <c r="H15">
        <v>0.19</v>
      </c>
      <c r="I15">
        <v>0.39600000000000002</v>
      </c>
      <c r="J15">
        <v>0.46800000000000003</v>
      </c>
    </row>
    <row r="16" spans="1:10" x14ac:dyDescent="0.3">
      <c r="A16" t="s">
        <v>295</v>
      </c>
      <c r="B16">
        <v>9.9000000000000005E-2</v>
      </c>
      <c r="C16">
        <v>0.09</v>
      </c>
      <c r="D16">
        <v>2E-3</v>
      </c>
      <c r="E16">
        <v>4.0000000000000001E-3</v>
      </c>
      <c r="F16">
        <v>2.9000000000000001E-2</v>
      </c>
      <c r="G16">
        <v>7.2999999999999995E-2</v>
      </c>
      <c r="H16">
        <v>0.14299999999999999</v>
      </c>
      <c r="I16">
        <v>0.28199999999999997</v>
      </c>
      <c r="J16">
        <v>0.32900000000000001</v>
      </c>
    </row>
    <row r="17" spans="1:10" x14ac:dyDescent="0.3">
      <c r="A17" t="s">
        <v>294</v>
      </c>
      <c r="B17">
        <v>0.14099999999999999</v>
      </c>
      <c r="C17">
        <v>0.155</v>
      </c>
      <c r="D17">
        <v>2E-3</v>
      </c>
      <c r="E17">
        <v>3.0000000000000001E-3</v>
      </c>
      <c r="F17">
        <v>2.5999999999999999E-2</v>
      </c>
      <c r="G17">
        <v>7.9000000000000001E-2</v>
      </c>
      <c r="H17">
        <v>0.20599999999999999</v>
      </c>
      <c r="I17">
        <v>0.48399999999999999</v>
      </c>
      <c r="J17">
        <v>0.56599999999999995</v>
      </c>
    </row>
    <row r="18" spans="1:10" x14ac:dyDescent="0.3">
      <c r="A18" t="s">
        <v>293</v>
      </c>
      <c r="B18">
        <v>0.17299999999999999</v>
      </c>
      <c r="C18">
        <v>0.189</v>
      </c>
      <c r="D18">
        <v>2E-3</v>
      </c>
      <c r="E18">
        <v>3.0000000000000001E-3</v>
      </c>
      <c r="F18">
        <v>2.9000000000000001E-2</v>
      </c>
      <c r="G18">
        <v>9.9000000000000005E-2</v>
      </c>
      <c r="H18">
        <v>0.26400000000000001</v>
      </c>
      <c r="I18">
        <v>0.58499999999999996</v>
      </c>
      <c r="J18">
        <v>0.66400000000000003</v>
      </c>
    </row>
    <row r="19" spans="1:10" x14ac:dyDescent="0.3">
      <c r="A19" t="s">
        <v>292</v>
      </c>
      <c r="B19">
        <v>0.17199999999999999</v>
      </c>
      <c r="C19">
        <v>0.185</v>
      </c>
      <c r="D19">
        <v>2E-3</v>
      </c>
      <c r="E19">
        <v>4.0000000000000001E-3</v>
      </c>
      <c r="F19">
        <v>2.9000000000000001E-2</v>
      </c>
      <c r="G19">
        <v>9.9000000000000005E-2</v>
      </c>
      <c r="H19">
        <v>0.25800000000000001</v>
      </c>
      <c r="I19">
        <v>0.56499999999999995</v>
      </c>
      <c r="J19">
        <v>0.65600000000000003</v>
      </c>
    </row>
    <row r="20" spans="1:10" x14ac:dyDescent="0.3">
      <c r="A20" t="s">
        <v>291</v>
      </c>
      <c r="B20">
        <v>0.17199999999999999</v>
      </c>
      <c r="C20">
        <v>0.186</v>
      </c>
      <c r="D20">
        <v>2E-3</v>
      </c>
      <c r="E20">
        <v>3.0000000000000001E-3</v>
      </c>
      <c r="F20">
        <v>2.9000000000000001E-2</v>
      </c>
      <c r="G20">
        <v>0.10100000000000001</v>
      </c>
      <c r="H20">
        <v>0.25600000000000001</v>
      </c>
      <c r="I20">
        <v>0.57499999999999996</v>
      </c>
      <c r="J20">
        <v>0.65300000000000002</v>
      </c>
    </row>
    <row r="21" spans="1:10" x14ac:dyDescent="0.3">
      <c r="A21" t="s">
        <v>290</v>
      </c>
      <c r="B21">
        <v>0.13700000000000001</v>
      </c>
      <c r="C21">
        <v>0.13600000000000001</v>
      </c>
      <c r="D21">
        <v>2E-3</v>
      </c>
      <c r="E21">
        <v>4.0000000000000001E-3</v>
      </c>
      <c r="F21">
        <v>0.03</v>
      </c>
      <c r="G21">
        <v>9.1999999999999998E-2</v>
      </c>
      <c r="H21">
        <v>0.20599999999999999</v>
      </c>
      <c r="I21">
        <v>0.42699999999999999</v>
      </c>
      <c r="J21">
        <v>0.48099999999999998</v>
      </c>
    </row>
    <row r="22" spans="1:10" x14ac:dyDescent="0.3">
      <c r="A22" t="s">
        <v>289</v>
      </c>
      <c r="B22">
        <v>0.14899999999999999</v>
      </c>
      <c r="C22">
        <v>0.153</v>
      </c>
      <c r="D22">
        <v>2E-3</v>
      </c>
      <c r="E22">
        <v>4.0000000000000001E-3</v>
      </c>
      <c r="F22">
        <v>0.03</v>
      </c>
      <c r="G22">
        <v>9.4E-2</v>
      </c>
      <c r="H22">
        <v>0.217</v>
      </c>
      <c r="I22">
        <v>0.47399999999999998</v>
      </c>
      <c r="J22">
        <v>0.54900000000000004</v>
      </c>
    </row>
    <row r="23" spans="1:10" x14ac:dyDescent="0.3">
      <c r="A23" t="s">
        <v>288</v>
      </c>
      <c r="B23">
        <v>0.129</v>
      </c>
      <c r="C23">
        <v>0.128</v>
      </c>
      <c r="D23">
        <v>2E-3</v>
      </c>
      <c r="E23">
        <v>4.0000000000000001E-3</v>
      </c>
      <c r="F23">
        <v>3.1E-2</v>
      </c>
      <c r="G23">
        <v>8.5999999999999993E-2</v>
      </c>
      <c r="H23">
        <v>0.19</v>
      </c>
      <c r="I23">
        <v>0.40699999999999997</v>
      </c>
      <c r="J23">
        <v>0.46400000000000002</v>
      </c>
    </row>
    <row r="24" spans="1:10" x14ac:dyDescent="0.3">
      <c r="A24" t="s">
        <v>287</v>
      </c>
      <c r="B24">
        <v>0.16400000000000001</v>
      </c>
      <c r="C24">
        <v>0.16800000000000001</v>
      </c>
      <c r="D24">
        <v>2E-3</v>
      </c>
      <c r="E24">
        <v>5.0000000000000001E-3</v>
      </c>
      <c r="F24">
        <v>3.1E-2</v>
      </c>
      <c r="G24">
        <v>0.105</v>
      </c>
      <c r="H24">
        <v>0.253</v>
      </c>
      <c r="I24">
        <v>0.51600000000000001</v>
      </c>
      <c r="J24">
        <v>0.60799999999999998</v>
      </c>
    </row>
    <row r="25" spans="1:10" x14ac:dyDescent="0.3">
      <c r="A25" t="s">
        <v>286</v>
      </c>
      <c r="B25">
        <v>0.13300000000000001</v>
      </c>
      <c r="C25">
        <v>0.13100000000000001</v>
      </c>
      <c r="D25">
        <v>2E-3</v>
      </c>
      <c r="E25">
        <v>5.0000000000000001E-3</v>
      </c>
      <c r="F25">
        <v>3.3000000000000002E-2</v>
      </c>
      <c r="G25">
        <v>9.0999999999999998E-2</v>
      </c>
      <c r="H25">
        <v>0.19700000000000001</v>
      </c>
      <c r="I25">
        <v>0.40600000000000003</v>
      </c>
      <c r="J25">
        <v>0.48799999999999999</v>
      </c>
    </row>
    <row r="26" spans="1:10" x14ac:dyDescent="0.3">
      <c r="A26" t="s">
        <v>285</v>
      </c>
      <c r="B26">
        <v>0.13300000000000001</v>
      </c>
      <c r="C26">
        <v>0.13200000000000001</v>
      </c>
      <c r="D26">
        <v>2E-3</v>
      </c>
      <c r="E26">
        <v>4.0000000000000001E-3</v>
      </c>
      <c r="F26">
        <v>3.3000000000000002E-2</v>
      </c>
      <c r="G26">
        <v>8.8999999999999996E-2</v>
      </c>
      <c r="H26">
        <v>0.19400000000000001</v>
      </c>
      <c r="I26">
        <v>0.41099999999999998</v>
      </c>
      <c r="J26">
        <v>0.47899999999999998</v>
      </c>
    </row>
    <row r="27" spans="1:10" x14ac:dyDescent="0.3">
      <c r="A27" t="s">
        <v>284</v>
      </c>
      <c r="B27">
        <v>0.11899999999999999</v>
      </c>
      <c r="C27">
        <v>0.113</v>
      </c>
      <c r="D27">
        <v>2E-3</v>
      </c>
      <c r="E27">
        <v>5.0000000000000001E-3</v>
      </c>
      <c r="F27">
        <v>0.03</v>
      </c>
      <c r="G27">
        <v>8.3000000000000004E-2</v>
      </c>
      <c r="H27">
        <v>0.17899999999999999</v>
      </c>
      <c r="I27">
        <v>0.35499999999999998</v>
      </c>
      <c r="J27">
        <v>0.41</v>
      </c>
    </row>
    <row r="28" spans="1:10" x14ac:dyDescent="0.3">
      <c r="A28" t="s">
        <v>283</v>
      </c>
      <c r="B28">
        <v>0.121</v>
      </c>
      <c r="C28">
        <v>0.115</v>
      </c>
      <c r="D28">
        <v>2E-3</v>
      </c>
      <c r="E28">
        <v>5.0000000000000001E-3</v>
      </c>
      <c r="F28">
        <v>3.2000000000000001E-2</v>
      </c>
      <c r="G28">
        <v>8.5000000000000006E-2</v>
      </c>
      <c r="H28">
        <v>0.18</v>
      </c>
      <c r="I28">
        <v>0.35099999999999998</v>
      </c>
      <c r="J28">
        <v>0.41399999999999998</v>
      </c>
    </row>
    <row r="29" spans="1:10" x14ac:dyDescent="0.3">
      <c r="A29" t="s">
        <v>282</v>
      </c>
      <c r="B29">
        <v>0.192</v>
      </c>
      <c r="C29">
        <v>0.221</v>
      </c>
      <c r="D29">
        <v>1E-3</v>
      </c>
      <c r="E29">
        <v>3.0000000000000001E-3</v>
      </c>
      <c r="F29">
        <v>2.5000000000000001E-2</v>
      </c>
      <c r="G29">
        <v>9.2999999999999999E-2</v>
      </c>
      <c r="H29">
        <v>0.29299999999999998</v>
      </c>
      <c r="I29">
        <v>0.68400000000000005</v>
      </c>
      <c r="J29">
        <v>0.76300000000000001</v>
      </c>
    </row>
    <row r="30" spans="1:10" x14ac:dyDescent="0.3">
      <c r="A30" t="s">
        <v>281</v>
      </c>
      <c r="B30">
        <v>0.17299999999999999</v>
      </c>
      <c r="C30">
        <v>0.186</v>
      </c>
      <c r="D30">
        <v>2E-3</v>
      </c>
      <c r="E30">
        <v>4.0000000000000001E-3</v>
      </c>
      <c r="F30">
        <v>0.03</v>
      </c>
      <c r="G30">
        <v>0.1</v>
      </c>
      <c r="H30">
        <v>0.25900000000000001</v>
      </c>
      <c r="I30">
        <v>0.58399999999999996</v>
      </c>
      <c r="J30">
        <v>0.66300000000000003</v>
      </c>
    </row>
    <row r="31" spans="1:10" x14ac:dyDescent="0.3">
      <c r="A31" t="s">
        <v>280</v>
      </c>
      <c r="B31">
        <v>0.18</v>
      </c>
      <c r="C31">
        <v>0.20699999999999999</v>
      </c>
      <c r="D31">
        <v>2E-3</v>
      </c>
      <c r="E31">
        <v>3.0000000000000001E-3</v>
      </c>
      <c r="F31">
        <v>2.4E-2</v>
      </c>
      <c r="G31">
        <v>0.09</v>
      </c>
      <c r="H31">
        <v>0.27600000000000002</v>
      </c>
      <c r="I31">
        <v>0.64100000000000001</v>
      </c>
      <c r="J31">
        <v>0.71199999999999997</v>
      </c>
    </row>
    <row r="32" spans="1:10" x14ac:dyDescent="0.3">
      <c r="A32" t="s">
        <v>279</v>
      </c>
      <c r="B32">
        <v>0.161</v>
      </c>
      <c r="C32">
        <v>0.16700000000000001</v>
      </c>
      <c r="D32">
        <v>1E-3</v>
      </c>
      <c r="E32">
        <v>3.0000000000000001E-3</v>
      </c>
      <c r="F32">
        <v>2.9000000000000001E-2</v>
      </c>
      <c r="G32">
        <v>9.7000000000000003E-2</v>
      </c>
      <c r="H32">
        <v>0.25</v>
      </c>
      <c r="I32">
        <v>0.51400000000000001</v>
      </c>
      <c r="J32">
        <v>0.58599999999999997</v>
      </c>
    </row>
    <row r="33" spans="1:10" x14ac:dyDescent="0.3">
      <c r="A33" t="s">
        <v>278</v>
      </c>
      <c r="B33">
        <v>6.4000000000000001E-2</v>
      </c>
      <c r="C33">
        <v>4.8000000000000001E-2</v>
      </c>
      <c r="D33">
        <v>4.0000000000000001E-3</v>
      </c>
      <c r="E33">
        <v>7.0000000000000001E-3</v>
      </c>
      <c r="F33">
        <v>2.7E-2</v>
      </c>
      <c r="G33">
        <v>5.5E-2</v>
      </c>
      <c r="H33">
        <v>8.8999999999999996E-2</v>
      </c>
      <c r="I33">
        <v>0.155</v>
      </c>
      <c r="J33">
        <v>0.18</v>
      </c>
    </row>
    <row r="34" spans="1:10" x14ac:dyDescent="0.3">
      <c r="A34" t="s">
        <v>277</v>
      </c>
      <c r="B34">
        <v>4.5999999999999999E-2</v>
      </c>
      <c r="C34">
        <v>5.6000000000000001E-2</v>
      </c>
      <c r="D34">
        <v>1E-3</v>
      </c>
      <c r="E34">
        <v>2E-3</v>
      </c>
      <c r="F34">
        <v>0.01</v>
      </c>
      <c r="G34">
        <v>2.8000000000000001E-2</v>
      </c>
      <c r="H34">
        <v>6.0999999999999999E-2</v>
      </c>
      <c r="I34">
        <v>0.153</v>
      </c>
      <c r="J34">
        <v>0.20200000000000001</v>
      </c>
    </row>
    <row r="35" spans="1:10" x14ac:dyDescent="0.3">
      <c r="A35" t="s">
        <v>276</v>
      </c>
      <c r="B35">
        <v>0.05</v>
      </c>
      <c r="C35">
        <v>5.8999999999999997E-2</v>
      </c>
      <c r="D35">
        <v>1E-3</v>
      </c>
      <c r="E35">
        <v>2E-3</v>
      </c>
      <c r="F35">
        <v>1.2E-2</v>
      </c>
      <c r="G35">
        <v>0.03</v>
      </c>
      <c r="H35">
        <v>6.6000000000000003E-2</v>
      </c>
      <c r="I35">
        <v>0.16400000000000001</v>
      </c>
      <c r="J35">
        <v>0.20699999999999999</v>
      </c>
    </row>
    <row r="36" spans="1:10" x14ac:dyDescent="0.3">
      <c r="A36" t="s">
        <v>275</v>
      </c>
      <c r="B36">
        <v>5.6000000000000001E-2</v>
      </c>
      <c r="C36">
        <v>6.6000000000000003E-2</v>
      </c>
      <c r="D36">
        <v>1E-3</v>
      </c>
      <c r="E36">
        <v>2E-3</v>
      </c>
      <c r="F36">
        <v>1.2999999999999999E-2</v>
      </c>
      <c r="G36">
        <v>3.4000000000000002E-2</v>
      </c>
      <c r="H36">
        <v>7.4999999999999997E-2</v>
      </c>
      <c r="I36">
        <v>0.183</v>
      </c>
      <c r="J36">
        <v>0.23100000000000001</v>
      </c>
    </row>
    <row r="37" spans="1:10" x14ac:dyDescent="0.3">
      <c r="A37" t="s">
        <v>274</v>
      </c>
      <c r="B37">
        <v>5.0999999999999997E-2</v>
      </c>
      <c r="C37">
        <v>6.4000000000000001E-2</v>
      </c>
      <c r="D37">
        <v>1E-3</v>
      </c>
      <c r="E37">
        <v>2E-3</v>
      </c>
      <c r="F37">
        <v>1.0999999999999999E-2</v>
      </c>
      <c r="G37">
        <v>0.03</v>
      </c>
      <c r="H37">
        <v>6.4000000000000001E-2</v>
      </c>
      <c r="I37">
        <v>0.17599999999999999</v>
      </c>
      <c r="J37">
        <v>0.214</v>
      </c>
    </row>
    <row r="38" spans="1:10" x14ac:dyDescent="0.3">
      <c r="A38" t="s">
        <v>273</v>
      </c>
      <c r="B38">
        <v>9.4E-2</v>
      </c>
      <c r="C38">
        <v>0.109</v>
      </c>
      <c r="D38">
        <v>2E-3</v>
      </c>
      <c r="E38">
        <v>3.0000000000000001E-3</v>
      </c>
      <c r="F38">
        <v>1.7999999999999999E-2</v>
      </c>
      <c r="G38">
        <v>5.1999999999999998E-2</v>
      </c>
      <c r="H38">
        <v>0.13300000000000001</v>
      </c>
      <c r="I38">
        <v>0.32500000000000001</v>
      </c>
      <c r="J38">
        <v>0.40300000000000002</v>
      </c>
    </row>
    <row r="39" spans="1:10" x14ac:dyDescent="0.3">
      <c r="A39" t="s">
        <v>272</v>
      </c>
      <c r="B39">
        <v>8.8999999999999996E-2</v>
      </c>
      <c r="C39">
        <v>0.104</v>
      </c>
      <c r="D39">
        <v>2E-3</v>
      </c>
      <c r="E39">
        <v>3.0000000000000001E-3</v>
      </c>
      <c r="F39">
        <v>1.7999999999999999E-2</v>
      </c>
      <c r="G39">
        <v>4.8000000000000001E-2</v>
      </c>
      <c r="H39">
        <v>0.126</v>
      </c>
      <c r="I39">
        <v>0.308</v>
      </c>
      <c r="J39">
        <v>0.374</v>
      </c>
    </row>
    <row r="40" spans="1:10" x14ac:dyDescent="0.3">
      <c r="A40" t="s">
        <v>271</v>
      </c>
      <c r="B40">
        <v>0.14699999999999999</v>
      </c>
      <c r="C40">
        <v>0.16500000000000001</v>
      </c>
      <c r="D40">
        <v>1E-3</v>
      </c>
      <c r="E40">
        <v>3.0000000000000001E-3</v>
      </c>
      <c r="F40">
        <v>1.9E-2</v>
      </c>
      <c r="G40">
        <v>7.6999999999999999E-2</v>
      </c>
      <c r="H40">
        <v>0.23200000000000001</v>
      </c>
      <c r="I40">
        <v>0.49</v>
      </c>
      <c r="J40">
        <v>0.56100000000000005</v>
      </c>
    </row>
    <row r="41" spans="1:10" x14ac:dyDescent="0.3">
      <c r="A41" t="s">
        <v>270</v>
      </c>
      <c r="B41">
        <v>7.2999999999999995E-2</v>
      </c>
      <c r="C41">
        <v>9.0999999999999998E-2</v>
      </c>
      <c r="D41">
        <v>1E-3</v>
      </c>
      <c r="E41">
        <v>2E-3</v>
      </c>
      <c r="F41">
        <v>1.2999999999999999E-2</v>
      </c>
      <c r="G41">
        <v>3.9E-2</v>
      </c>
      <c r="H41">
        <v>9.7000000000000003E-2</v>
      </c>
      <c r="I41">
        <v>0.26400000000000001</v>
      </c>
      <c r="J41">
        <v>0.317</v>
      </c>
    </row>
    <row r="42" spans="1:10" x14ac:dyDescent="0.3">
      <c r="A42" t="s">
        <v>269</v>
      </c>
      <c r="B42">
        <v>6.2E-2</v>
      </c>
      <c r="C42">
        <v>7.1999999999999995E-2</v>
      </c>
      <c r="D42">
        <v>1E-3</v>
      </c>
      <c r="E42">
        <v>3.0000000000000001E-3</v>
      </c>
      <c r="F42">
        <v>1.4E-2</v>
      </c>
      <c r="G42">
        <v>3.6999999999999998E-2</v>
      </c>
      <c r="H42">
        <v>8.3000000000000004E-2</v>
      </c>
      <c r="I42">
        <v>0.21299999999999999</v>
      </c>
      <c r="J42">
        <v>0.26400000000000001</v>
      </c>
    </row>
    <row r="43" spans="1:10" x14ac:dyDescent="0.3">
      <c r="A43" t="s">
        <v>268</v>
      </c>
      <c r="B43">
        <v>6.3E-2</v>
      </c>
      <c r="C43">
        <v>7.1999999999999995E-2</v>
      </c>
      <c r="D43">
        <v>1E-3</v>
      </c>
      <c r="E43">
        <v>2E-3</v>
      </c>
      <c r="F43">
        <v>1.2999999999999999E-2</v>
      </c>
      <c r="G43">
        <v>3.7999999999999999E-2</v>
      </c>
      <c r="H43">
        <v>8.6999999999999994E-2</v>
      </c>
      <c r="I43">
        <v>0.21099999999999999</v>
      </c>
      <c r="J43">
        <v>0.26900000000000002</v>
      </c>
    </row>
    <row r="44" spans="1:10" x14ac:dyDescent="0.3">
      <c r="A44" t="s">
        <v>267</v>
      </c>
      <c r="B44">
        <v>6.3E-2</v>
      </c>
      <c r="C44">
        <v>7.2999999999999995E-2</v>
      </c>
      <c r="D44">
        <v>1E-3</v>
      </c>
      <c r="E44">
        <v>3.0000000000000001E-3</v>
      </c>
      <c r="F44">
        <v>1.2999999999999999E-2</v>
      </c>
      <c r="G44">
        <v>3.6999999999999998E-2</v>
      </c>
      <c r="H44">
        <v>8.6999999999999994E-2</v>
      </c>
      <c r="I44">
        <v>0.217</v>
      </c>
      <c r="J44">
        <v>0.27600000000000002</v>
      </c>
    </row>
    <row r="45" spans="1:10" x14ac:dyDescent="0.3">
      <c r="A45" t="s">
        <v>266</v>
      </c>
      <c r="B45">
        <v>8.8999999999999996E-2</v>
      </c>
      <c r="C45">
        <v>0.10199999999999999</v>
      </c>
      <c r="D45">
        <v>2E-3</v>
      </c>
      <c r="E45">
        <v>3.0000000000000001E-3</v>
      </c>
      <c r="F45">
        <v>1.7999999999999999E-2</v>
      </c>
      <c r="G45">
        <v>5.1999999999999998E-2</v>
      </c>
      <c r="H45">
        <v>0.125</v>
      </c>
      <c r="I45">
        <v>0.30399999999999999</v>
      </c>
      <c r="J45">
        <v>0.373</v>
      </c>
    </row>
    <row r="46" spans="1:10" x14ac:dyDescent="0.3">
      <c r="A46" t="s">
        <v>265</v>
      </c>
      <c r="B46">
        <v>7.8E-2</v>
      </c>
      <c r="C46">
        <v>9.0999999999999998E-2</v>
      </c>
      <c r="D46">
        <v>2E-3</v>
      </c>
      <c r="E46">
        <v>3.0000000000000001E-3</v>
      </c>
      <c r="F46">
        <v>1.6E-2</v>
      </c>
      <c r="G46">
        <v>4.5999999999999999E-2</v>
      </c>
      <c r="H46">
        <v>0.105</v>
      </c>
      <c r="I46">
        <v>0.25900000000000001</v>
      </c>
      <c r="J46">
        <v>0.33100000000000002</v>
      </c>
    </row>
    <row r="47" spans="1:10" x14ac:dyDescent="0.3">
      <c r="A47" t="s">
        <v>264</v>
      </c>
      <c r="B47">
        <v>9.6000000000000002E-2</v>
      </c>
      <c r="C47">
        <v>0.11</v>
      </c>
      <c r="D47">
        <v>2E-3</v>
      </c>
      <c r="E47">
        <v>3.0000000000000001E-3</v>
      </c>
      <c r="F47">
        <v>1.7000000000000001E-2</v>
      </c>
      <c r="G47">
        <v>5.3999999999999999E-2</v>
      </c>
      <c r="H47">
        <v>0.13600000000000001</v>
      </c>
      <c r="I47">
        <v>0.33</v>
      </c>
      <c r="J47">
        <v>0.39</v>
      </c>
    </row>
    <row r="48" spans="1:10" x14ac:dyDescent="0.3">
      <c r="A48" t="s">
        <v>263</v>
      </c>
      <c r="B48">
        <v>7.4999999999999997E-2</v>
      </c>
      <c r="C48">
        <v>8.5999999999999993E-2</v>
      </c>
      <c r="D48">
        <v>1E-3</v>
      </c>
      <c r="E48">
        <v>3.0000000000000001E-3</v>
      </c>
      <c r="F48">
        <v>1.6E-2</v>
      </c>
      <c r="G48">
        <v>4.2999999999999997E-2</v>
      </c>
      <c r="H48">
        <v>0.10199999999999999</v>
      </c>
      <c r="I48">
        <v>0.247</v>
      </c>
      <c r="J48">
        <v>0.314</v>
      </c>
    </row>
    <row r="49" spans="1:10" x14ac:dyDescent="0.3">
      <c r="A49" t="s">
        <v>262</v>
      </c>
      <c r="B49">
        <v>9.2999999999999999E-2</v>
      </c>
      <c r="C49">
        <v>0.106</v>
      </c>
      <c r="D49">
        <v>1E-3</v>
      </c>
      <c r="E49">
        <v>3.0000000000000001E-3</v>
      </c>
      <c r="F49">
        <v>1.7999999999999999E-2</v>
      </c>
      <c r="G49">
        <v>5.2999999999999999E-2</v>
      </c>
      <c r="H49">
        <v>0.13100000000000001</v>
      </c>
      <c r="I49">
        <v>0.315</v>
      </c>
      <c r="J49">
        <v>0.39400000000000002</v>
      </c>
    </row>
    <row r="50" spans="1:10" x14ac:dyDescent="0.3">
      <c r="A50" t="s">
        <v>261</v>
      </c>
      <c r="B50">
        <v>9.4E-2</v>
      </c>
      <c r="C50">
        <v>0.106</v>
      </c>
      <c r="D50">
        <v>1E-3</v>
      </c>
      <c r="E50">
        <v>3.0000000000000001E-3</v>
      </c>
      <c r="F50">
        <v>1.7000000000000001E-2</v>
      </c>
      <c r="G50">
        <v>5.3999999999999999E-2</v>
      </c>
      <c r="H50">
        <v>0.13500000000000001</v>
      </c>
      <c r="I50">
        <v>0.311</v>
      </c>
      <c r="J50">
        <v>0.376</v>
      </c>
    </row>
    <row r="51" spans="1:10" x14ac:dyDescent="0.3">
      <c r="A51" t="s">
        <v>260</v>
      </c>
      <c r="B51">
        <v>0.111</v>
      </c>
      <c r="C51">
        <v>0.125</v>
      </c>
      <c r="D51">
        <v>2E-3</v>
      </c>
      <c r="E51">
        <v>3.0000000000000001E-3</v>
      </c>
      <c r="F51">
        <v>0.02</v>
      </c>
      <c r="G51">
        <v>0.06</v>
      </c>
      <c r="H51">
        <v>0.16500000000000001</v>
      </c>
      <c r="I51">
        <v>0.36699999999999999</v>
      </c>
      <c r="J51">
        <v>0.42699999999999999</v>
      </c>
    </row>
    <row r="52" spans="1:10" x14ac:dyDescent="0.3">
      <c r="A52" t="s">
        <v>259</v>
      </c>
      <c r="B52">
        <v>0.11</v>
      </c>
      <c r="C52">
        <v>0.123</v>
      </c>
      <c r="D52">
        <v>2E-3</v>
      </c>
      <c r="E52">
        <v>3.0000000000000001E-3</v>
      </c>
      <c r="F52">
        <v>1.9E-2</v>
      </c>
      <c r="G52">
        <v>0.06</v>
      </c>
      <c r="H52">
        <v>0.16400000000000001</v>
      </c>
      <c r="I52">
        <v>0.36299999999999999</v>
      </c>
      <c r="J52">
        <v>0.42799999999999999</v>
      </c>
    </row>
    <row r="53" spans="1:10" x14ac:dyDescent="0.3">
      <c r="A53" t="s">
        <v>258</v>
      </c>
      <c r="B53">
        <v>4.7E-2</v>
      </c>
      <c r="C53">
        <v>0.06</v>
      </c>
      <c r="D53">
        <v>1E-3</v>
      </c>
      <c r="E53">
        <v>2E-3</v>
      </c>
      <c r="F53">
        <v>1.0999999999999999E-2</v>
      </c>
      <c r="G53">
        <v>2.8000000000000001E-2</v>
      </c>
      <c r="H53">
        <v>6.0999999999999999E-2</v>
      </c>
      <c r="I53">
        <v>0.158</v>
      </c>
      <c r="J53">
        <v>0.20799999999999999</v>
      </c>
    </row>
    <row r="54" spans="1:10" x14ac:dyDescent="0.3">
      <c r="A54" t="s">
        <v>257</v>
      </c>
      <c r="B54">
        <v>6.2E-2</v>
      </c>
      <c r="C54">
        <v>7.2999999999999995E-2</v>
      </c>
      <c r="D54">
        <v>1E-3</v>
      </c>
      <c r="E54">
        <v>3.0000000000000001E-3</v>
      </c>
      <c r="F54">
        <v>1.4E-2</v>
      </c>
      <c r="G54">
        <v>3.5999999999999997E-2</v>
      </c>
      <c r="H54">
        <v>8.3000000000000004E-2</v>
      </c>
      <c r="I54">
        <v>0.20399999999999999</v>
      </c>
      <c r="J54">
        <v>0.26</v>
      </c>
    </row>
    <row r="55" spans="1:10" x14ac:dyDescent="0.3">
      <c r="A55" t="s">
        <v>256</v>
      </c>
      <c r="B55">
        <v>5.2999999999999999E-2</v>
      </c>
      <c r="C55">
        <v>6.3E-2</v>
      </c>
      <c r="D55">
        <v>1E-3</v>
      </c>
      <c r="E55">
        <v>2E-3</v>
      </c>
      <c r="F55">
        <v>1.0999999999999999E-2</v>
      </c>
      <c r="G55">
        <v>3.1E-2</v>
      </c>
      <c r="H55">
        <v>7.1999999999999995E-2</v>
      </c>
      <c r="I55">
        <v>0.17699999999999999</v>
      </c>
      <c r="J55">
        <v>0.22</v>
      </c>
    </row>
    <row r="56" spans="1:10" x14ac:dyDescent="0.3">
      <c r="A56" t="s">
        <v>255</v>
      </c>
      <c r="B56">
        <v>7.2999999999999995E-2</v>
      </c>
      <c r="C56">
        <v>8.7999999999999995E-2</v>
      </c>
      <c r="D56">
        <v>1E-3</v>
      </c>
      <c r="E56">
        <v>3.0000000000000001E-3</v>
      </c>
      <c r="F56">
        <v>1.4E-2</v>
      </c>
      <c r="G56">
        <v>4.1000000000000002E-2</v>
      </c>
      <c r="H56">
        <v>9.8000000000000004E-2</v>
      </c>
      <c r="I56">
        <v>0.248</v>
      </c>
      <c r="J56">
        <v>0.32300000000000001</v>
      </c>
    </row>
    <row r="57" spans="1:10" x14ac:dyDescent="0.3">
      <c r="A57" t="s">
        <v>254</v>
      </c>
      <c r="B57">
        <v>8.0000000000000002E-3</v>
      </c>
      <c r="C57">
        <v>1.2999999999999999E-2</v>
      </c>
      <c r="D57">
        <v>0</v>
      </c>
      <c r="E57">
        <v>0</v>
      </c>
      <c r="F57">
        <v>2E-3</v>
      </c>
      <c r="G57">
        <v>4.0000000000000001E-3</v>
      </c>
      <c r="H57">
        <v>8.9999999999999993E-3</v>
      </c>
      <c r="I57">
        <v>2.5000000000000001E-2</v>
      </c>
      <c r="J57">
        <v>3.6999999999999998E-2</v>
      </c>
    </row>
    <row r="58" spans="1:10" x14ac:dyDescent="0.3">
      <c r="A58" t="s">
        <v>253</v>
      </c>
      <c r="B58">
        <v>8.0000000000000002E-3</v>
      </c>
      <c r="C58">
        <v>1.9E-2</v>
      </c>
      <c r="D58">
        <v>0</v>
      </c>
      <c r="E58">
        <v>0</v>
      </c>
      <c r="F58">
        <v>1E-3</v>
      </c>
      <c r="G58">
        <v>3.0000000000000001E-3</v>
      </c>
      <c r="H58">
        <v>8.0000000000000002E-3</v>
      </c>
      <c r="I58">
        <v>0.03</v>
      </c>
      <c r="J58">
        <v>4.3999999999999997E-2</v>
      </c>
    </row>
    <row r="59" spans="1:10" x14ac:dyDescent="0.3">
      <c r="A59" t="s">
        <v>252</v>
      </c>
      <c r="B59">
        <v>8.9999999999999993E-3</v>
      </c>
      <c r="C59">
        <v>2.3E-2</v>
      </c>
      <c r="D59">
        <v>0</v>
      </c>
      <c r="E59">
        <v>0</v>
      </c>
      <c r="F59">
        <v>1E-3</v>
      </c>
      <c r="G59">
        <v>3.0000000000000001E-3</v>
      </c>
      <c r="H59">
        <v>8.9999999999999993E-3</v>
      </c>
      <c r="I59">
        <v>3.7999999999999999E-2</v>
      </c>
      <c r="J59">
        <v>5.8999999999999997E-2</v>
      </c>
    </row>
    <row r="60" spans="1:10" x14ac:dyDescent="0.3">
      <c r="A60" t="s">
        <v>251</v>
      </c>
      <c r="B60">
        <v>8.9999999999999993E-3</v>
      </c>
      <c r="C60">
        <v>2.1999999999999999E-2</v>
      </c>
      <c r="D60">
        <v>0</v>
      </c>
      <c r="E60">
        <v>0</v>
      </c>
      <c r="F60">
        <v>1E-3</v>
      </c>
      <c r="G60">
        <v>3.0000000000000001E-3</v>
      </c>
      <c r="H60">
        <v>8.9999999999999993E-3</v>
      </c>
      <c r="I60">
        <v>3.5000000000000003E-2</v>
      </c>
      <c r="J60">
        <v>5.8000000000000003E-2</v>
      </c>
    </row>
    <row r="61" spans="1:10" x14ac:dyDescent="0.3">
      <c r="A61" t="s">
        <v>250</v>
      </c>
      <c r="B61">
        <v>0.01</v>
      </c>
      <c r="C61">
        <v>2.3E-2</v>
      </c>
      <c r="D61">
        <v>0</v>
      </c>
      <c r="E61">
        <v>0</v>
      </c>
      <c r="F61">
        <v>1E-3</v>
      </c>
      <c r="G61">
        <v>3.0000000000000001E-3</v>
      </c>
      <c r="H61">
        <v>8.9999999999999993E-3</v>
      </c>
      <c r="I61">
        <v>4.2000000000000003E-2</v>
      </c>
      <c r="J61">
        <v>5.8000000000000003E-2</v>
      </c>
    </row>
    <row r="62" spans="1:10" x14ac:dyDescent="0.3">
      <c r="A62" t="s">
        <v>249</v>
      </c>
      <c r="B62">
        <v>0.01</v>
      </c>
      <c r="C62">
        <v>0.02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4.2000000000000003E-2</v>
      </c>
      <c r="J62">
        <v>6.4000000000000001E-2</v>
      </c>
    </row>
    <row r="63" spans="1:10" x14ac:dyDescent="0.3">
      <c r="A63" t="s">
        <v>248</v>
      </c>
      <c r="B63">
        <v>0.01</v>
      </c>
      <c r="C63">
        <v>2.1999999999999999E-2</v>
      </c>
      <c r="D63">
        <v>0</v>
      </c>
      <c r="E63">
        <v>0</v>
      </c>
      <c r="F63">
        <v>1E-3</v>
      </c>
      <c r="G63">
        <v>3.0000000000000001E-3</v>
      </c>
      <c r="H63">
        <v>0.01</v>
      </c>
      <c r="I63">
        <v>3.7999999999999999E-2</v>
      </c>
      <c r="J63">
        <v>5.8999999999999997E-2</v>
      </c>
    </row>
    <row r="64" spans="1:10" x14ac:dyDescent="0.3">
      <c r="A64" t="s">
        <v>247</v>
      </c>
      <c r="B64">
        <v>1.0999999999999999E-2</v>
      </c>
      <c r="C64">
        <v>2.1000000000000001E-2</v>
      </c>
      <c r="D64">
        <v>0</v>
      </c>
      <c r="E64">
        <v>0</v>
      </c>
      <c r="F64">
        <v>1E-3</v>
      </c>
      <c r="G64">
        <v>4.0000000000000001E-3</v>
      </c>
      <c r="H64">
        <v>1.0999999999999999E-2</v>
      </c>
      <c r="I64">
        <v>4.5999999999999999E-2</v>
      </c>
      <c r="J64">
        <v>6.9000000000000006E-2</v>
      </c>
    </row>
    <row r="65" spans="1:10" x14ac:dyDescent="0.3">
      <c r="A65" t="s">
        <v>246</v>
      </c>
      <c r="B65">
        <v>8.9999999999999993E-3</v>
      </c>
      <c r="C65">
        <v>2.1999999999999999E-2</v>
      </c>
      <c r="D65">
        <v>0</v>
      </c>
      <c r="E65">
        <v>0</v>
      </c>
      <c r="F65">
        <v>1E-3</v>
      </c>
      <c r="G65">
        <v>3.0000000000000001E-3</v>
      </c>
      <c r="H65">
        <v>8.9999999999999993E-3</v>
      </c>
      <c r="I65">
        <v>3.5000000000000003E-2</v>
      </c>
      <c r="J65">
        <v>5.6000000000000001E-2</v>
      </c>
    </row>
    <row r="66" spans="1:10" x14ac:dyDescent="0.3">
      <c r="A66" t="s">
        <v>245</v>
      </c>
      <c r="B66">
        <v>0.01</v>
      </c>
      <c r="C66">
        <v>2.1000000000000001E-2</v>
      </c>
      <c r="D66">
        <v>0</v>
      </c>
      <c r="E66">
        <v>0</v>
      </c>
      <c r="F66">
        <v>1E-3</v>
      </c>
      <c r="G66">
        <v>3.0000000000000001E-3</v>
      </c>
      <c r="H66">
        <v>0.01</v>
      </c>
      <c r="I66">
        <v>3.6999999999999998E-2</v>
      </c>
      <c r="J66">
        <v>5.7000000000000002E-2</v>
      </c>
    </row>
    <row r="67" spans="1:10" x14ac:dyDescent="0.3">
      <c r="A67" t="s">
        <v>244</v>
      </c>
      <c r="B67">
        <v>0.01</v>
      </c>
      <c r="C67">
        <v>2.5999999999999999E-2</v>
      </c>
      <c r="D67">
        <v>0</v>
      </c>
      <c r="E67">
        <v>0</v>
      </c>
      <c r="F67">
        <v>1E-3</v>
      </c>
      <c r="G67">
        <v>3.0000000000000001E-3</v>
      </c>
      <c r="H67">
        <v>0.01</v>
      </c>
      <c r="I67">
        <v>4.2999999999999997E-2</v>
      </c>
      <c r="J67">
        <v>6.5000000000000002E-2</v>
      </c>
    </row>
    <row r="68" spans="1:10" x14ac:dyDescent="0.3">
      <c r="A68" t="s">
        <v>243</v>
      </c>
      <c r="B68">
        <v>0.01</v>
      </c>
      <c r="C68">
        <v>2.3E-2</v>
      </c>
      <c r="D68">
        <v>0</v>
      </c>
      <c r="E68">
        <v>0</v>
      </c>
      <c r="F68">
        <v>1E-3</v>
      </c>
      <c r="G68">
        <v>3.0000000000000001E-3</v>
      </c>
      <c r="H68">
        <v>8.9999999999999993E-3</v>
      </c>
      <c r="I68">
        <v>3.6999999999999998E-2</v>
      </c>
      <c r="J68">
        <v>0.06</v>
      </c>
    </row>
    <row r="69" spans="1:10" x14ac:dyDescent="0.3">
      <c r="A69" t="s">
        <v>242</v>
      </c>
      <c r="B69">
        <v>0.01</v>
      </c>
      <c r="C69">
        <v>2.1999999999999999E-2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3.9E-2</v>
      </c>
      <c r="J69">
        <v>6.0999999999999999E-2</v>
      </c>
    </row>
    <row r="70" spans="1:10" x14ac:dyDescent="0.3">
      <c r="A70" t="s">
        <v>241</v>
      </c>
      <c r="B70">
        <v>0.01</v>
      </c>
      <c r="C70">
        <v>2.5000000000000001E-2</v>
      </c>
      <c r="D70">
        <v>0</v>
      </c>
      <c r="E70">
        <v>0</v>
      </c>
      <c r="F70">
        <v>1E-3</v>
      </c>
      <c r="G70">
        <v>3.0000000000000001E-3</v>
      </c>
      <c r="H70">
        <v>0.01</v>
      </c>
      <c r="I70">
        <v>4.1000000000000002E-2</v>
      </c>
      <c r="J70">
        <v>6.4000000000000001E-2</v>
      </c>
    </row>
    <row r="71" spans="1:10" x14ac:dyDescent="0.3">
      <c r="A71" t="s">
        <v>240</v>
      </c>
      <c r="B71">
        <v>1.0999999999999999E-2</v>
      </c>
      <c r="C71">
        <v>2.1999999999999999E-2</v>
      </c>
      <c r="D71">
        <v>0</v>
      </c>
      <c r="E71">
        <v>0</v>
      </c>
      <c r="F71">
        <v>1E-3</v>
      </c>
      <c r="G71">
        <v>4.0000000000000001E-3</v>
      </c>
      <c r="H71">
        <v>1.0999999999999999E-2</v>
      </c>
      <c r="I71">
        <v>4.4999999999999998E-2</v>
      </c>
      <c r="J71">
        <v>6.6000000000000003E-2</v>
      </c>
    </row>
    <row r="72" spans="1:10" x14ac:dyDescent="0.3">
      <c r="A72" t="s">
        <v>239</v>
      </c>
      <c r="B72">
        <v>0.01</v>
      </c>
      <c r="C72">
        <v>2.1000000000000001E-2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4.1000000000000002E-2</v>
      </c>
      <c r="J72">
        <v>6.2E-2</v>
      </c>
    </row>
    <row r="73" spans="1:10" x14ac:dyDescent="0.3">
      <c r="A73" t="s">
        <v>238</v>
      </c>
      <c r="B73">
        <v>0.01</v>
      </c>
      <c r="C73">
        <v>1.7999999999999999E-2</v>
      </c>
      <c r="D73">
        <v>0</v>
      </c>
      <c r="E73">
        <v>0</v>
      </c>
      <c r="F73">
        <v>1E-3</v>
      </c>
      <c r="G73">
        <v>3.0000000000000001E-3</v>
      </c>
      <c r="H73">
        <v>1.0999999999999999E-2</v>
      </c>
      <c r="I73">
        <v>4.2000000000000003E-2</v>
      </c>
      <c r="J73">
        <v>6.2E-2</v>
      </c>
    </row>
    <row r="74" spans="1:10" x14ac:dyDescent="0.3">
      <c r="A74" t="s">
        <v>237</v>
      </c>
      <c r="B74">
        <v>0.01</v>
      </c>
      <c r="C74">
        <v>0.02</v>
      </c>
      <c r="D74">
        <v>0</v>
      </c>
      <c r="E74">
        <v>0</v>
      </c>
      <c r="F74">
        <v>1E-3</v>
      </c>
      <c r="G74">
        <v>4.0000000000000001E-3</v>
      </c>
      <c r="H74">
        <v>1.0999999999999999E-2</v>
      </c>
      <c r="I74">
        <v>4.2999999999999997E-2</v>
      </c>
      <c r="J74">
        <v>6.4000000000000001E-2</v>
      </c>
    </row>
    <row r="75" spans="1:10" x14ac:dyDescent="0.3">
      <c r="A75" t="s">
        <v>236</v>
      </c>
      <c r="B75">
        <v>8.9999999999999993E-3</v>
      </c>
      <c r="C75">
        <v>1.7999999999999999E-2</v>
      </c>
      <c r="D75">
        <v>0</v>
      </c>
      <c r="E75">
        <v>0</v>
      </c>
      <c r="F75">
        <v>1E-3</v>
      </c>
      <c r="G75">
        <v>4.0000000000000001E-3</v>
      </c>
      <c r="H75">
        <v>0.01</v>
      </c>
      <c r="I75">
        <v>3.9E-2</v>
      </c>
      <c r="J75">
        <v>5.8999999999999997E-2</v>
      </c>
    </row>
    <row r="76" spans="1:10" x14ac:dyDescent="0.3">
      <c r="A76" t="s">
        <v>235</v>
      </c>
      <c r="B76">
        <v>1.0999999999999999E-2</v>
      </c>
      <c r="C76">
        <v>2.1000000000000001E-2</v>
      </c>
      <c r="D76">
        <v>0</v>
      </c>
      <c r="E76">
        <v>0</v>
      </c>
      <c r="F76">
        <v>1E-3</v>
      </c>
      <c r="G76">
        <v>4.0000000000000001E-3</v>
      </c>
      <c r="H76">
        <v>1.0999999999999999E-2</v>
      </c>
      <c r="I76">
        <v>4.4999999999999998E-2</v>
      </c>
      <c r="J76">
        <v>6.4000000000000001E-2</v>
      </c>
    </row>
    <row r="77" spans="1:10" x14ac:dyDescent="0.3">
      <c r="A77" t="s">
        <v>234</v>
      </c>
      <c r="B77">
        <v>8.9999999999999993E-3</v>
      </c>
      <c r="C77">
        <v>2.1000000000000001E-2</v>
      </c>
      <c r="D77">
        <v>0</v>
      </c>
      <c r="E77">
        <v>0</v>
      </c>
      <c r="F77">
        <v>1E-3</v>
      </c>
      <c r="G77">
        <v>3.0000000000000001E-3</v>
      </c>
      <c r="H77">
        <v>8.0000000000000002E-3</v>
      </c>
      <c r="I77">
        <v>3.7999999999999999E-2</v>
      </c>
      <c r="J77">
        <v>6.2E-2</v>
      </c>
    </row>
    <row r="78" spans="1:10" x14ac:dyDescent="0.3">
      <c r="A78" t="s">
        <v>233</v>
      </c>
      <c r="B78">
        <v>8.9999999999999993E-3</v>
      </c>
      <c r="C78">
        <v>1.7999999999999999E-2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3.9E-2</v>
      </c>
      <c r="J78">
        <v>5.5E-2</v>
      </c>
    </row>
    <row r="79" spans="1:10" x14ac:dyDescent="0.3">
      <c r="A79" t="s">
        <v>232</v>
      </c>
      <c r="B79">
        <v>8.9999999999999993E-3</v>
      </c>
      <c r="C79">
        <v>2.3E-2</v>
      </c>
      <c r="D79">
        <v>0</v>
      </c>
      <c r="E79">
        <v>0</v>
      </c>
      <c r="F79">
        <v>1E-3</v>
      </c>
      <c r="G79">
        <v>3.0000000000000001E-3</v>
      </c>
      <c r="H79">
        <v>8.0000000000000002E-3</v>
      </c>
      <c r="I79">
        <v>3.4000000000000002E-2</v>
      </c>
      <c r="J79">
        <v>5.1999999999999998E-2</v>
      </c>
    </row>
    <row r="80" spans="1:10" x14ac:dyDescent="0.3">
      <c r="A80" t="s">
        <v>231</v>
      </c>
      <c r="B80">
        <v>0.01</v>
      </c>
      <c r="C80">
        <v>2.3E-2</v>
      </c>
      <c r="D80">
        <v>0</v>
      </c>
      <c r="E80">
        <v>0</v>
      </c>
      <c r="F80">
        <v>1E-3</v>
      </c>
      <c r="G80">
        <v>3.0000000000000001E-3</v>
      </c>
      <c r="H80">
        <v>0.01</v>
      </c>
      <c r="I80">
        <v>4.2000000000000003E-2</v>
      </c>
      <c r="J80">
        <v>6.4000000000000001E-2</v>
      </c>
    </row>
    <row r="81" spans="1:10" x14ac:dyDescent="0.3">
      <c r="A81" t="s">
        <v>230</v>
      </c>
      <c r="B81">
        <v>0.20300000000000001</v>
      </c>
      <c r="C81">
        <v>9.9000000000000005E-2</v>
      </c>
      <c r="D81">
        <v>4.2999999999999997E-2</v>
      </c>
      <c r="E81">
        <v>6.0999999999999999E-2</v>
      </c>
      <c r="F81">
        <v>0.13100000000000001</v>
      </c>
      <c r="G81">
        <v>0.193</v>
      </c>
      <c r="H81">
        <v>0.26100000000000001</v>
      </c>
      <c r="I81">
        <v>0.38300000000000001</v>
      </c>
      <c r="J81">
        <v>0.43</v>
      </c>
    </row>
    <row r="82" spans="1:10" x14ac:dyDescent="0.3">
      <c r="A82" t="s">
        <v>229</v>
      </c>
      <c r="B82">
        <v>0.13700000000000001</v>
      </c>
      <c r="C82">
        <v>0.13400000000000001</v>
      </c>
      <c r="D82">
        <v>8.0000000000000002E-3</v>
      </c>
      <c r="E82">
        <v>1.4E-2</v>
      </c>
      <c r="F82">
        <v>4.5999999999999999E-2</v>
      </c>
      <c r="G82">
        <v>9.7000000000000003E-2</v>
      </c>
      <c r="H82">
        <v>0.17899999999999999</v>
      </c>
      <c r="I82">
        <v>0.40600000000000003</v>
      </c>
      <c r="J82">
        <v>0.51200000000000001</v>
      </c>
    </row>
    <row r="83" spans="1:10" x14ac:dyDescent="0.3">
      <c r="A83" t="s">
        <v>228</v>
      </c>
      <c r="B83">
        <v>0.15</v>
      </c>
      <c r="C83">
        <v>0.14199999999999999</v>
      </c>
      <c r="D83">
        <v>8.0000000000000002E-3</v>
      </c>
      <c r="E83">
        <v>1.2999999999999999E-2</v>
      </c>
      <c r="F83">
        <v>5.1999999999999998E-2</v>
      </c>
      <c r="G83">
        <v>0.106</v>
      </c>
      <c r="H83">
        <v>0.20200000000000001</v>
      </c>
      <c r="I83">
        <v>0.45200000000000001</v>
      </c>
      <c r="J83">
        <v>0.55200000000000005</v>
      </c>
    </row>
    <row r="84" spans="1:10" x14ac:dyDescent="0.3">
      <c r="A84" t="s">
        <v>227</v>
      </c>
      <c r="B84">
        <v>0.16600000000000001</v>
      </c>
      <c r="C84">
        <v>0.152</v>
      </c>
      <c r="D84">
        <v>0.01</v>
      </c>
      <c r="E84">
        <v>1.6E-2</v>
      </c>
      <c r="F84">
        <v>5.8999999999999997E-2</v>
      </c>
      <c r="G84">
        <v>0.122</v>
      </c>
      <c r="H84">
        <v>0.223</v>
      </c>
      <c r="I84">
        <v>0.47499999999999998</v>
      </c>
      <c r="J84">
        <v>0.60599999999999998</v>
      </c>
    </row>
    <row r="85" spans="1:10" x14ac:dyDescent="0.3">
      <c r="A85" t="s">
        <v>226</v>
      </c>
      <c r="B85">
        <v>0.13900000000000001</v>
      </c>
      <c r="C85">
        <v>0.14299999999999999</v>
      </c>
      <c r="D85">
        <v>7.0000000000000001E-3</v>
      </c>
      <c r="E85">
        <v>1.0999999999999999E-2</v>
      </c>
      <c r="F85">
        <v>4.2000000000000003E-2</v>
      </c>
      <c r="G85">
        <v>9.1999999999999998E-2</v>
      </c>
      <c r="H85">
        <v>0.182</v>
      </c>
      <c r="I85">
        <v>0.435</v>
      </c>
      <c r="J85">
        <v>0.57199999999999995</v>
      </c>
    </row>
    <row r="86" spans="1:10" x14ac:dyDescent="0.3">
      <c r="A86" t="s">
        <v>225</v>
      </c>
      <c r="B86">
        <v>0.27800000000000002</v>
      </c>
      <c r="C86">
        <v>0.19600000000000001</v>
      </c>
      <c r="D86">
        <v>1.4E-2</v>
      </c>
      <c r="E86">
        <v>2.3E-2</v>
      </c>
      <c r="F86">
        <v>0.11700000000000001</v>
      </c>
      <c r="G86">
        <v>0.248</v>
      </c>
      <c r="H86">
        <v>0.40200000000000002</v>
      </c>
      <c r="I86">
        <v>0.65300000000000002</v>
      </c>
      <c r="J86">
        <v>0.73799999999999999</v>
      </c>
    </row>
    <row r="87" spans="1:10" x14ac:dyDescent="0.3">
      <c r="A87" t="s">
        <v>224</v>
      </c>
      <c r="B87">
        <v>0.26300000000000001</v>
      </c>
      <c r="C87">
        <v>0.191</v>
      </c>
      <c r="D87">
        <v>1.4E-2</v>
      </c>
      <c r="E87">
        <v>2.4E-2</v>
      </c>
      <c r="F87">
        <v>0.106</v>
      </c>
      <c r="G87">
        <v>0.23100000000000001</v>
      </c>
      <c r="H87">
        <v>0.38100000000000001</v>
      </c>
      <c r="I87">
        <v>0.64500000000000002</v>
      </c>
      <c r="J87">
        <v>0.70099999999999996</v>
      </c>
    </row>
    <row r="88" spans="1:10" x14ac:dyDescent="0.3">
      <c r="A88" t="s">
        <v>223</v>
      </c>
      <c r="B88">
        <v>0.41</v>
      </c>
      <c r="C88">
        <v>0.23200000000000001</v>
      </c>
      <c r="D88">
        <v>1.9E-2</v>
      </c>
      <c r="E88">
        <v>3.5000000000000003E-2</v>
      </c>
      <c r="F88">
        <v>0.22</v>
      </c>
      <c r="G88">
        <v>0.42599999999999999</v>
      </c>
      <c r="H88">
        <v>0.58899999999999997</v>
      </c>
      <c r="I88">
        <v>0.77600000000000002</v>
      </c>
      <c r="J88">
        <v>0.82399999999999995</v>
      </c>
    </row>
    <row r="89" spans="1:10" x14ac:dyDescent="0.3">
      <c r="A89" t="s">
        <v>222</v>
      </c>
      <c r="B89">
        <v>0.214</v>
      </c>
      <c r="C89">
        <v>0.17499999999999999</v>
      </c>
      <c r="D89">
        <v>8.9999999999999993E-3</v>
      </c>
      <c r="E89">
        <v>1.6E-2</v>
      </c>
      <c r="F89">
        <v>7.4999999999999997E-2</v>
      </c>
      <c r="G89">
        <v>0.17399999999999999</v>
      </c>
      <c r="H89">
        <v>0.307</v>
      </c>
      <c r="I89">
        <v>0.56599999999999995</v>
      </c>
      <c r="J89">
        <v>0.65600000000000003</v>
      </c>
    </row>
    <row r="90" spans="1:10" x14ac:dyDescent="0.3">
      <c r="A90" t="s">
        <v>221</v>
      </c>
      <c r="B90">
        <v>0.18099999999999999</v>
      </c>
      <c r="C90">
        <v>0.154</v>
      </c>
      <c r="D90">
        <v>0.01</v>
      </c>
      <c r="E90">
        <v>1.6E-2</v>
      </c>
      <c r="F90">
        <v>6.3E-2</v>
      </c>
      <c r="G90">
        <v>0.14099999999999999</v>
      </c>
      <c r="H90">
        <v>0.254</v>
      </c>
      <c r="I90">
        <v>0.497</v>
      </c>
      <c r="J90">
        <v>0.59299999999999997</v>
      </c>
    </row>
    <row r="91" spans="1:10" x14ac:dyDescent="0.3">
      <c r="A91" t="s">
        <v>220</v>
      </c>
      <c r="B91">
        <v>0.189</v>
      </c>
      <c r="C91">
        <v>0.157</v>
      </c>
      <c r="D91">
        <v>1.0999999999999999E-2</v>
      </c>
      <c r="E91">
        <v>1.7999999999999999E-2</v>
      </c>
      <c r="F91">
        <v>6.9000000000000006E-2</v>
      </c>
      <c r="G91">
        <v>0.14599999999999999</v>
      </c>
      <c r="H91">
        <v>0.26500000000000001</v>
      </c>
      <c r="I91">
        <v>0.495</v>
      </c>
      <c r="J91">
        <v>0.60199999999999998</v>
      </c>
    </row>
    <row r="92" spans="1:10" x14ac:dyDescent="0.3">
      <c r="A92" t="s">
        <v>219</v>
      </c>
      <c r="B92">
        <v>0.182</v>
      </c>
      <c r="C92">
        <v>0.156</v>
      </c>
      <c r="D92">
        <v>0.01</v>
      </c>
      <c r="E92">
        <v>1.6E-2</v>
      </c>
      <c r="F92">
        <v>6.4000000000000001E-2</v>
      </c>
      <c r="G92">
        <v>0.14099999999999999</v>
      </c>
      <c r="H92">
        <v>0.252</v>
      </c>
      <c r="I92">
        <v>0.5</v>
      </c>
      <c r="J92">
        <v>0.59099999999999997</v>
      </c>
    </row>
    <row r="93" spans="1:10" x14ac:dyDescent="0.3">
      <c r="A93" t="s">
        <v>218</v>
      </c>
      <c r="B93">
        <v>0.26</v>
      </c>
      <c r="C93">
        <v>0.187</v>
      </c>
      <c r="D93">
        <v>1.2999999999999999E-2</v>
      </c>
      <c r="E93">
        <v>2.3E-2</v>
      </c>
      <c r="F93">
        <v>0.108</v>
      </c>
      <c r="G93">
        <v>0.22600000000000001</v>
      </c>
      <c r="H93">
        <v>0.38</v>
      </c>
      <c r="I93">
        <v>0.61799999999999999</v>
      </c>
      <c r="J93">
        <v>0.69199999999999995</v>
      </c>
    </row>
    <row r="94" spans="1:10" x14ac:dyDescent="0.3">
      <c r="A94" t="s">
        <v>217</v>
      </c>
      <c r="B94">
        <v>0.23100000000000001</v>
      </c>
      <c r="C94">
        <v>0.17899999999999999</v>
      </c>
      <c r="D94">
        <v>1.0999999999999999E-2</v>
      </c>
      <c r="E94">
        <v>1.9E-2</v>
      </c>
      <c r="F94">
        <v>8.4000000000000005E-2</v>
      </c>
      <c r="G94">
        <v>0.19</v>
      </c>
      <c r="H94">
        <v>0.33200000000000002</v>
      </c>
      <c r="I94">
        <v>0.58299999999999996</v>
      </c>
      <c r="J94">
        <v>0.64900000000000002</v>
      </c>
    </row>
    <row r="95" spans="1:10" x14ac:dyDescent="0.3">
      <c r="A95" t="s">
        <v>216</v>
      </c>
      <c r="B95">
        <v>0.28199999999999997</v>
      </c>
      <c r="C95">
        <v>0.19800000000000001</v>
      </c>
      <c r="D95">
        <v>1.4E-2</v>
      </c>
      <c r="E95">
        <v>2.5000000000000001E-2</v>
      </c>
      <c r="F95">
        <v>0.12</v>
      </c>
      <c r="G95">
        <v>0.254</v>
      </c>
      <c r="H95">
        <v>0.40699999999999997</v>
      </c>
      <c r="I95">
        <v>0.66700000000000004</v>
      </c>
      <c r="J95">
        <v>0.74299999999999999</v>
      </c>
    </row>
    <row r="96" spans="1:10" x14ac:dyDescent="0.3">
      <c r="A96" t="s">
        <v>215</v>
      </c>
      <c r="B96">
        <v>0.21099999999999999</v>
      </c>
      <c r="C96">
        <v>0.17100000000000001</v>
      </c>
      <c r="D96">
        <v>0.01</v>
      </c>
      <c r="E96">
        <v>1.7999999999999999E-2</v>
      </c>
      <c r="F96">
        <v>7.8E-2</v>
      </c>
      <c r="G96">
        <v>0.16900000000000001</v>
      </c>
      <c r="H96">
        <v>0.3</v>
      </c>
      <c r="I96">
        <v>0.53800000000000003</v>
      </c>
      <c r="J96">
        <v>0.65600000000000003</v>
      </c>
    </row>
    <row r="97" spans="1:10" x14ac:dyDescent="0.3">
      <c r="A97" t="s">
        <v>214</v>
      </c>
      <c r="B97">
        <v>0.27400000000000002</v>
      </c>
      <c r="C97">
        <v>0.193</v>
      </c>
      <c r="D97">
        <v>1.2999999999999999E-2</v>
      </c>
      <c r="E97">
        <v>2.4E-2</v>
      </c>
      <c r="F97">
        <v>0.113</v>
      </c>
      <c r="G97">
        <v>0.24299999999999999</v>
      </c>
      <c r="H97">
        <v>0.40300000000000002</v>
      </c>
      <c r="I97">
        <v>0.63600000000000001</v>
      </c>
      <c r="J97">
        <v>0.70699999999999996</v>
      </c>
    </row>
    <row r="98" spans="1:10" x14ac:dyDescent="0.3">
      <c r="A98" t="s">
        <v>213</v>
      </c>
      <c r="B98">
        <v>0.27200000000000002</v>
      </c>
      <c r="C98">
        <v>0.192</v>
      </c>
      <c r="D98">
        <v>1.4E-2</v>
      </c>
      <c r="E98">
        <v>2.5000000000000001E-2</v>
      </c>
      <c r="F98">
        <v>0.115</v>
      </c>
      <c r="G98">
        <v>0.24199999999999999</v>
      </c>
      <c r="H98">
        <v>0.39200000000000002</v>
      </c>
      <c r="I98">
        <v>0.64</v>
      </c>
      <c r="J98">
        <v>0.72099999999999997</v>
      </c>
    </row>
    <row r="99" spans="1:10" x14ac:dyDescent="0.3">
      <c r="A99" t="s">
        <v>212</v>
      </c>
      <c r="B99">
        <v>0.31900000000000001</v>
      </c>
      <c r="C99">
        <v>0.20399999999999999</v>
      </c>
      <c r="D99">
        <v>1.7000000000000001E-2</v>
      </c>
      <c r="E99">
        <v>2.9000000000000001E-2</v>
      </c>
      <c r="F99">
        <v>0.14799999999999999</v>
      </c>
      <c r="G99">
        <v>0.308</v>
      </c>
      <c r="H99">
        <v>0.46300000000000002</v>
      </c>
      <c r="I99">
        <v>0.68700000000000006</v>
      </c>
      <c r="J99">
        <v>0.74099999999999999</v>
      </c>
    </row>
    <row r="100" spans="1:10" x14ac:dyDescent="0.3">
      <c r="A100" t="s">
        <v>211</v>
      </c>
      <c r="B100">
        <v>0.311</v>
      </c>
      <c r="C100">
        <v>0.20399999999999999</v>
      </c>
      <c r="D100">
        <v>1.6E-2</v>
      </c>
      <c r="E100">
        <v>3.2000000000000001E-2</v>
      </c>
      <c r="F100">
        <v>0.14099999999999999</v>
      </c>
      <c r="G100">
        <v>0.28799999999999998</v>
      </c>
      <c r="H100">
        <v>0.45600000000000002</v>
      </c>
      <c r="I100">
        <v>0.67500000000000004</v>
      </c>
      <c r="J100">
        <v>0.749</v>
      </c>
    </row>
    <row r="101" spans="1:10" x14ac:dyDescent="0.3">
      <c r="A101" t="s">
        <v>210</v>
      </c>
      <c r="B101">
        <v>0.13400000000000001</v>
      </c>
      <c r="C101">
        <v>0.13400000000000001</v>
      </c>
      <c r="D101">
        <v>7.0000000000000001E-3</v>
      </c>
      <c r="E101">
        <v>1.0999999999999999E-2</v>
      </c>
      <c r="F101">
        <v>4.2999999999999997E-2</v>
      </c>
      <c r="G101">
        <v>9.1999999999999998E-2</v>
      </c>
      <c r="H101">
        <v>0.17599999999999999</v>
      </c>
      <c r="I101">
        <v>0.41099999999999998</v>
      </c>
      <c r="J101">
        <v>0.52100000000000002</v>
      </c>
    </row>
    <row r="102" spans="1:10" x14ac:dyDescent="0.3">
      <c r="A102" t="s">
        <v>209</v>
      </c>
      <c r="B102">
        <v>0.184</v>
      </c>
      <c r="C102">
        <v>0.16</v>
      </c>
      <c r="D102">
        <v>0.01</v>
      </c>
      <c r="E102">
        <v>1.6E-2</v>
      </c>
      <c r="F102">
        <v>6.5000000000000002E-2</v>
      </c>
      <c r="G102">
        <v>0.13900000000000001</v>
      </c>
      <c r="H102">
        <v>0.25600000000000001</v>
      </c>
      <c r="I102">
        <v>0.51100000000000001</v>
      </c>
      <c r="J102">
        <v>0.624</v>
      </c>
    </row>
    <row r="103" spans="1:10" x14ac:dyDescent="0.3">
      <c r="A103" t="s">
        <v>208</v>
      </c>
      <c r="B103">
        <v>0.14299999999999999</v>
      </c>
      <c r="C103">
        <v>0.13500000000000001</v>
      </c>
      <c r="D103">
        <v>8.9999999999999993E-3</v>
      </c>
      <c r="E103">
        <v>1.4E-2</v>
      </c>
      <c r="F103">
        <v>4.7E-2</v>
      </c>
      <c r="G103">
        <v>0.10299999999999999</v>
      </c>
      <c r="H103">
        <v>0.19600000000000001</v>
      </c>
      <c r="I103">
        <v>0.41799999999999998</v>
      </c>
      <c r="J103">
        <v>0.52</v>
      </c>
    </row>
    <row r="104" spans="1:10" x14ac:dyDescent="0.3">
      <c r="A104" t="s">
        <v>207</v>
      </c>
      <c r="B104">
        <v>0.20899999999999999</v>
      </c>
      <c r="C104">
        <v>0.16600000000000001</v>
      </c>
      <c r="D104">
        <v>1.0999999999999999E-2</v>
      </c>
      <c r="E104">
        <v>0.02</v>
      </c>
      <c r="F104">
        <v>7.8E-2</v>
      </c>
      <c r="G104">
        <v>0.17100000000000001</v>
      </c>
      <c r="H104">
        <v>0.29899999999999999</v>
      </c>
      <c r="I104">
        <v>0.53300000000000003</v>
      </c>
      <c r="J104">
        <v>0.63100000000000001</v>
      </c>
    </row>
    <row r="105" spans="1:10" x14ac:dyDescent="0.3">
      <c r="A105" t="s">
        <v>206</v>
      </c>
      <c r="B105">
        <v>0.57799999999999996</v>
      </c>
      <c r="C105">
        <v>0.16</v>
      </c>
      <c r="D105">
        <v>0.23300000000000001</v>
      </c>
      <c r="E105">
        <v>0.28299999999999997</v>
      </c>
      <c r="F105">
        <v>0.47199999999999998</v>
      </c>
      <c r="G105">
        <v>0.59799999999999998</v>
      </c>
      <c r="H105">
        <v>0.69799999999999995</v>
      </c>
      <c r="I105">
        <v>0.80600000000000005</v>
      </c>
      <c r="J105">
        <v>0.83499999999999996</v>
      </c>
    </row>
    <row r="106" spans="1:10" x14ac:dyDescent="0.3">
      <c r="A106" t="s">
        <v>205</v>
      </c>
      <c r="B106">
        <v>0.62</v>
      </c>
      <c r="C106">
        <v>0.255</v>
      </c>
      <c r="D106">
        <v>7.0000000000000007E-2</v>
      </c>
      <c r="E106">
        <v>0.112</v>
      </c>
      <c r="F106">
        <v>0.44700000000000001</v>
      </c>
      <c r="G106">
        <v>0.67800000000000005</v>
      </c>
      <c r="H106">
        <v>0.83199999999999996</v>
      </c>
      <c r="I106">
        <v>0.94099999999999995</v>
      </c>
      <c r="J106">
        <v>0.95899999999999996</v>
      </c>
    </row>
    <row r="107" spans="1:10" x14ac:dyDescent="0.3">
      <c r="A107" t="s">
        <v>204</v>
      </c>
      <c r="B107">
        <v>0.60599999999999998</v>
      </c>
      <c r="C107">
        <v>0.249</v>
      </c>
      <c r="D107">
        <v>8.2000000000000003E-2</v>
      </c>
      <c r="E107">
        <v>0.13800000000000001</v>
      </c>
      <c r="F107">
        <v>0.42499999999999999</v>
      </c>
      <c r="G107">
        <v>0.66</v>
      </c>
      <c r="H107">
        <v>0.81200000000000006</v>
      </c>
      <c r="I107">
        <v>0.93</v>
      </c>
      <c r="J107">
        <v>0.95199999999999996</v>
      </c>
    </row>
    <row r="108" spans="1:10" x14ac:dyDescent="0.3">
      <c r="A108" t="s">
        <v>203</v>
      </c>
      <c r="B108">
        <v>0.59599999999999997</v>
      </c>
      <c r="C108">
        <v>0.24399999999999999</v>
      </c>
      <c r="D108">
        <v>7.5999999999999998E-2</v>
      </c>
      <c r="E108">
        <v>0.125</v>
      </c>
      <c r="F108">
        <v>0.42399999999999999</v>
      </c>
      <c r="G108">
        <v>0.64</v>
      </c>
      <c r="H108">
        <v>0.78900000000000003</v>
      </c>
      <c r="I108">
        <v>0.92100000000000004</v>
      </c>
      <c r="J108">
        <v>0.94699999999999995</v>
      </c>
    </row>
    <row r="109" spans="1:10" x14ac:dyDescent="0.3">
      <c r="A109" t="s">
        <v>202</v>
      </c>
      <c r="B109">
        <v>0.61099999999999999</v>
      </c>
      <c r="C109">
        <v>0.253</v>
      </c>
      <c r="D109">
        <v>7.2999999999999995E-2</v>
      </c>
      <c r="E109">
        <v>0.122</v>
      </c>
      <c r="F109">
        <v>0.43</v>
      </c>
      <c r="G109">
        <v>0.66700000000000004</v>
      </c>
      <c r="H109">
        <v>0.81799999999999995</v>
      </c>
      <c r="I109">
        <v>0.94</v>
      </c>
      <c r="J109">
        <v>0.95799999999999996</v>
      </c>
    </row>
    <row r="110" spans="1:10" x14ac:dyDescent="0.3">
      <c r="A110" t="s">
        <v>201</v>
      </c>
      <c r="B110">
        <v>0.48799999999999999</v>
      </c>
      <c r="C110">
        <v>0.22800000000000001</v>
      </c>
      <c r="D110">
        <v>7.4999999999999997E-2</v>
      </c>
      <c r="E110">
        <v>0.115</v>
      </c>
      <c r="F110">
        <v>0.315</v>
      </c>
      <c r="G110">
        <v>0.48799999999999999</v>
      </c>
      <c r="H110">
        <v>0.66400000000000003</v>
      </c>
      <c r="I110">
        <v>0.86399999999999999</v>
      </c>
      <c r="J110">
        <v>0.90600000000000003</v>
      </c>
    </row>
    <row r="111" spans="1:10" x14ac:dyDescent="0.3">
      <c r="A111" t="s">
        <v>200</v>
      </c>
      <c r="B111">
        <v>0.51200000000000001</v>
      </c>
      <c r="C111">
        <v>0.23100000000000001</v>
      </c>
      <c r="D111">
        <v>7.8E-2</v>
      </c>
      <c r="E111">
        <v>0.12</v>
      </c>
      <c r="F111">
        <v>0.33800000000000002</v>
      </c>
      <c r="G111">
        <v>0.52</v>
      </c>
      <c r="H111">
        <v>0.68500000000000005</v>
      </c>
      <c r="I111">
        <v>0.88700000000000001</v>
      </c>
      <c r="J111">
        <v>0.92100000000000004</v>
      </c>
    </row>
    <row r="112" spans="1:10" x14ac:dyDescent="0.3">
      <c r="A112" t="s">
        <v>199</v>
      </c>
      <c r="B112">
        <v>0.33400000000000002</v>
      </c>
      <c r="C112">
        <v>0.19900000000000001</v>
      </c>
      <c r="D112">
        <v>4.4999999999999998E-2</v>
      </c>
      <c r="E112">
        <v>7.0000000000000007E-2</v>
      </c>
      <c r="F112">
        <v>0.185</v>
      </c>
      <c r="G112">
        <v>0.30199999999999999</v>
      </c>
      <c r="H112">
        <v>0.441</v>
      </c>
      <c r="I112">
        <v>0.72799999999999998</v>
      </c>
      <c r="J112">
        <v>0.83199999999999996</v>
      </c>
    </row>
    <row r="113" spans="1:10" x14ac:dyDescent="0.3">
      <c r="A113" t="s">
        <v>198</v>
      </c>
      <c r="B113">
        <v>0.56200000000000006</v>
      </c>
      <c r="C113">
        <v>0.24399999999999999</v>
      </c>
      <c r="D113">
        <v>7.8E-2</v>
      </c>
      <c r="E113">
        <v>0.13100000000000001</v>
      </c>
      <c r="F113">
        <v>0.38</v>
      </c>
      <c r="G113">
        <v>0.59199999999999997</v>
      </c>
      <c r="H113">
        <v>0.75700000000000001</v>
      </c>
      <c r="I113">
        <v>0.91700000000000004</v>
      </c>
      <c r="J113">
        <v>0.94</v>
      </c>
    </row>
    <row r="114" spans="1:10" x14ac:dyDescent="0.3">
      <c r="A114" t="s">
        <v>197</v>
      </c>
      <c r="B114">
        <v>0.57399999999999995</v>
      </c>
      <c r="C114">
        <v>0.23899999999999999</v>
      </c>
      <c r="D114">
        <v>8.5999999999999993E-2</v>
      </c>
      <c r="E114">
        <v>0.13700000000000001</v>
      </c>
      <c r="F114">
        <v>0.4</v>
      </c>
      <c r="G114">
        <v>0.60599999999999998</v>
      </c>
      <c r="H114">
        <v>0.76700000000000002</v>
      </c>
      <c r="I114">
        <v>0.91800000000000004</v>
      </c>
      <c r="J114">
        <v>0.94499999999999995</v>
      </c>
    </row>
    <row r="115" spans="1:10" x14ac:dyDescent="0.3">
      <c r="A115" t="s">
        <v>196</v>
      </c>
      <c r="B115">
        <v>0.56599999999999995</v>
      </c>
      <c r="C115">
        <v>0.23799999999999999</v>
      </c>
      <c r="D115">
        <v>8.5000000000000006E-2</v>
      </c>
      <c r="E115">
        <v>0.13300000000000001</v>
      </c>
      <c r="F115">
        <v>0.40100000000000002</v>
      </c>
      <c r="G115">
        <v>0.59199999999999997</v>
      </c>
      <c r="H115">
        <v>0.753</v>
      </c>
      <c r="I115">
        <v>0.91400000000000003</v>
      </c>
      <c r="J115">
        <v>0.94199999999999995</v>
      </c>
    </row>
    <row r="116" spans="1:10" x14ac:dyDescent="0.3">
      <c r="A116" t="s">
        <v>195</v>
      </c>
      <c r="B116">
        <v>0.57299999999999995</v>
      </c>
      <c r="C116">
        <v>0.23799999999999999</v>
      </c>
      <c r="D116">
        <v>9.4E-2</v>
      </c>
      <c r="E116">
        <v>0.13700000000000001</v>
      </c>
      <c r="F116">
        <v>0.39500000000000002</v>
      </c>
      <c r="G116">
        <v>0.60499999999999998</v>
      </c>
      <c r="H116">
        <v>0.76400000000000001</v>
      </c>
      <c r="I116">
        <v>0.91500000000000004</v>
      </c>
      <c r="J116">
        <v>0.94299999999999995</v>
      </c>
    </row>
    <row r="117" spans="1:10" x14ac:dyDescent="0.3">
      <c r="A117" t="s">
        <v>194</v>
      </c>
      <c r="B117">
        <v>0.503</v>
      </c>
      <c r="C117">
        <v>0.23100000000000001</v>
      </c>
      <c r="D117">
        <v>8.5999999999999993E-2</v>
      </c>
      <c r="E117">
        <v>0.128</v>
      </c>
      <c r="F117">
        <v>0.317</v>
      </c>
      <c r="G117">
        <v>0.51100000000000001</v>
      </c>
      <c r="H117">
        <v>0.68300000000000005</v>
      </c>
      <c r="I117">
        <v>0.878</v>
      </c>
      <c r="J117">
        <v>0.91700000000000004</v>
      </c>
    </row>
    <row r="118" spans="1:10" x14ac:dyDescent="0.3">
      <c r="A118" t="s">
        <v>193</v>
      </c>
      <c r="B118">
        <v>0.53200000000000003</v>
      </c>
      <c r="C118">
        <v>0.23300000000000001</v>
      </c>
      <c r="D118">
        <v>8.6999999999999994E-2</v>
      </c>
      <c r="E118">
        <v>0.13400000000000001</v>
      </c>
      <c r="F118">
        <v>0.35299999999999998</v>
      </c>
      <c r="G118">
        <v>0.54100000000000004</v>
      </c>
      <c r="H118">
        <v>0.71899999999999997</v>
      </c>
      <c r="I118">
        <v>0.90300000000000002</v>
      </c>
      <c r="J118">
        <v>0.92600000000000005</v>
      </c>
    </row>
    <row r="119" spans="1:10" x14ac:dyDescent="0.3">
      <c r="A119" t="s">
        <v>192</v>
      </c>
      <c r="B119">
        <v>0.48199999999999998</v>
      </c>
      <c r="C119">
        <v>0.23</v>
      </c>
      <c r="D119">
        <v>7.0000000000000007E-2</v>
      </c>
      <c r="E119">
        <v>0.11</v>
      </c>
      <c r="F119">
        <v>0.30299999999999999</v>
      </c>
      <c r="G119">
        <v>0.48</v>
      </c>
      <c r="H119">
        <v>0.65700000000000003</v>
      </c>
      <c r="I119">
        <v>0.85899999999999999</v>
      </c>
      <c r="J119">
        <v>0.91400000000000003</v>
      </c>
    </row>
    <row r="120" spans="1:10" x14ac:dyDescent="0.3">
      <c r="A120" t="s">
        <v>191</v>
      </c>
      <c r="B120">
        <v>0.54</v>
      </c>
      <c r="C120">
        <v>0.23400000000000001</v>
      </c>
      <c r="D120">
        <v>8.6999999999999994E-2</v>
      </c>
      <c r="E120">
        <v>0.14000000000000001</v>
      </c>
      <c r="F120">
        <v>0.37</v>
      </c>
      <c r="G120">
        <v>0.55100000000000005</v>
      </c>
      <c r="H120">
        <v>0.72799999999999998</v>
      </c>
      <c r="I120">
        <v>0.89600000000000002</v>
      </c>
      <c r="J120">
        <v>0.93</v>
      </c>
    </row>
    <row r="121" spans="1:10" x14ac:dyDescent="0.3">
      <c r="A121" t="s">
        <v>190</v>
      </c>
      <c r="B121">
        <v>0.49</v>
      </c>
      <c r="C121">
        <v>0.23</v>
      </c>
      <c r="D121">
        <v>8.1000000000000003E-2</v>
      </c>
      <c r="E121">
        <v>0.11899999999999999</v>
      </c>
      <c r="F121">
        <v>0.31</v>
      </c>
      <c r="G121">
        <v>0.48799999999999999</v>
      </c>
      <c r="H121">
        <v>0.66300000000000003</v>
      </c>
      <c r="I121">
        <v>0.871</v>
      </c>
      <c r="J121">
        <v>0.91500000000000004</v>
      </c>
    </row>
    <row r="122" spans="1:10" x14ac:dyDescent="0.3">
      <c r="A122" t="s">
        <v>189</v>
      </c>
      <c r="B122">
        <v>0.49199999999999999</v>
      </c>
      <c r="C122">
        <v>0.23100000000000001</v>
      </c>
      <c r="D122">
        <v>0.08</v>
      </c>
      <c r="E122">
        <v>0.11799999999999999</v>
      </c>
      <c r="F122">
        <v>0.313</v>
      </c>
      <c r="G122">
        <v>0.48699999999999999</v>
      </c>
      <c r="H122">
        <v>0.66600000000000004</v>
      </c>
      <c r="I122">
        <v>0.879</v>
      </c>
      <c r="J122">
        <v>0.91800000000000004</v>
      </c>
    </row>
    <row r="123" spans="1:10" x14ac:dyDescent="0.3">
      <c r="A123" t="s">
        <v>188</v>
      </c>
      <c r="B123">
        <v>0.442</v>
      </c>
      <c r="C123">
        <v>0.222</v>
      </c>
      <c r="D123">
        <v>6.3E-2</v>
      </c>
      <c r="E123">
        <v>0.10100000000000001</v>
      </c>
      <c r="F123">
        <v>0.27600000000000002</v>
      </c>
      <c r="G123">
        <v>0.42399999999999999</v>
      </c>
      <c r="H123">
        <v>0.6</v>
      </c>
      <c r="I123">
        <v>0.84099999999999997</v>
      </c>
      <c r="J123">
        <v>0.88800000000000001</v>
      </c>
    </row>
    <row r="124" spans="1:10" x14ac:dyDescent="0.3">
      <c r="A124" t="s">
        <v>187</v>
      </c>
      <c r="B124">
        <v>0.44700000000000001</v>
      </c>
      <c r="C124">
        <v>0.22500000000000001</v>
      </c>
      <c r="D124">
        <v>7.0999999999999994E-2</v>
      </c>
      <c r="E124">
        <v>9.6000000000000002E-2</v>
      </c>
      <c r="F124">
        <v>0.27300000000000002</v>
      </c>
      <c r="G124">
        <v>0.436</v>
      </c>
      <c r="H124">
        <v>0.61699999999999999</v>
      </c>
      <c r="I124">
        <v>0.84799999999999998</v>
      </c>
      <c r="J124">
        <v>0.89600000000000002</v>
      </c>
    </row>
    <row r="125" spans="1:10" x14ac:dyDescent="0.3">
      <c r="A125" t="s">
        <v>186</v>
      </c>
      <c r="B125">
        <v>0.61799999999999999</v>
      </c>
      <c r="C125">
        <v>0.253</v>
      </c>
      <c r="D125">
        <v>8.6999999999999994E-2</v>
      </c>
      <c r="E125">
        <v>0.122</v>
      </c>
      <c r="F125">
        <v>0.44</v>
      </c>
      <c r="G125">
        <v>0.68200000000000005</v>
      </c>
      <c r="H125">
        <v>0.82299999999999995</v>
      </c>
      <c r="I125">
        <v>0.93600000000000005</v>
      </c>
      <c r="J125">
        <v>0.95699999999999996</v>
      </c>
    </row>
    <row r="126" spans="1:10" x14ac:dyDescent="0.3">
      <c r="A126" t="s">
        <v>185</v>
      </c>
      <c r="B126">
        <v>0.57299999999999995</v>
      </c>
      <c r="C126">
        <v>0.23799999999999999</v>
      </c>
      <c r="D126">
        <v>8.3000000000000004E-2</v>
      </c>
      <c r="E126">
        <v>0.13</v>
      </c>
      <c r="F126">
        <v>0.40400000000000003</v>
      </c>
      <c r="G126">
        <v>0.60299999999999998</v>
      </c>
      <c r="H126">
        <v>0.76400000000000001</v>
      </c>
      <c r="I126">
        <v>0.90600000000000003</v>
      </c>
      <c r="J126">
        <v>0.93200000000000005</v>
      </c>
    </row>
    <row r="127" spans="1:10" x14ac:dyDescent="0.3">
      <c r="A127" t="s">
        <v>184</v>
      </c>
      <c r="B127">
        <v>0.61599999999999999</v>
      </c>
      <c r="C127">
        <v>0.247</v>
      </c>
      <c r="D127">
        <v>7.5999999999999998E-2</v>
      </c>
      <c r="E127">
        <v>0.13300000000000001</v>
      </c>
      <c r="F127">
        <v>0.44600000000000001</v>
      </c>
      <c r="G127">
        <v>0.66900000000000004</v>
      </c>
      <c r="H127">
        <v>0.81599999999999995</v>
      </c>
      <c r="I127">
        <v>0.93799999999999994</v>
      </c>
      <c r="J127">
        <v>0.95499999999999996</v>
      </c>
    </row>
    <row r="128" spans="1:10" x14ac:dyDescent="0.3">
      <c r="A128" t="s">
        <v>183</v>
      </c>
      <c r="B128">
        <v>0.54700000000000004</v>
      </c>
      <c r="C128">
        <v>0.23100000000000001</v>
      </c>
      <c r="D128">
        <v>9.4E-2</v>
      </c>
      <c r="E128">
        <v>0.13800000000000001</v>
      </c>
      <c r="F128">
        <v>0.376</v>
      </c>
      <c r="G128">
        <v>0.56399999999999995</v>
      </c>
      <c r="H128">
        <v>0.72599999999999998</v>
      </c>
      <c r="I128">
        <v>0.90500000000000003</v>
      </c>
      <c r="J128">
        <v>0.93500000000000005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313</v>
      </c>
    </row>
    <row r="3" spans="1:1" x14ac:dyDescent="0.3">
      <c r="A3" t="s">
        <v>325</v>
      </c>
    </row>
    <row r="4" spans="1:1" x14ac:dyDescent="0.3">
      <c r="A4" t="s">
        <v>313</v>
      </c>
    </row>
    <row r="6" spans="1:1" x14ac:dyDescent="0.3">
      <c r="A6" t="s">
        <v>324</v>
      </c>
    </row>
    <row r="9" spans="1:1" x14ac:dyDescent="0.3">
      <c r="A9" t="s">
        <v>828</v>
      </c>
    </row>
    <row r="11" spans="1:1" x14ac:dyDescent="0.3">
      <c r="A11" t="s">
        <v>323</v>
      </c>
    </row>
    <row r="12" spans="1:1" x14ac:dyDescent="0.3">
      <c r="A12" t="s">
        <v>827</v>
      </c>
    </row>
    <row r="14" spans="1:1" x14ac:dyDescent="0.3">
      <c r="A14" t="s">
        <v>323</v>
      </c>
    </row>
    <row r="15" spans="1:1" x14ac:dyDescent="0.3">
      <c r="A15" t="s">
        <v>826</v>
      </c>
    </row>
    <row r="18" spans="1:1" x14ac:dyDescent="0.3">
      <c r="A18" t="s">
        <v>322</v>
      </c>
    </row>
    <row r="20" spans="1:1" x14ac:dyDescent="0.3">
      <c r="A20" t="s">
        <v>321</v>
      </c>
    </row>
    <row r="21" spans="1:1" x14ac:dyDescent="0.3">
      <c r="A21" t="s">
        <v>825</v>
      </c>
    </row>
    <row r="22" spans="1:1" x14ac:dyDescent="0.3">
      <c r="A22" t="s">
        <v>824</v>
      </c>
    </row>
    <row r="23" spans="1:1" x14ac:dyDescent="0.3">
      <c r="A23" t="s">
        <v>823</v>
      </c>
    </row>
    <row r="24" spans="1:1" x14ac:dyDescent="0.3">
      <c r="A24" t="s">
        <v>822</v>
      </c>
    </row>
    <row r="25" spans="1:1" x14ac:dyDescent="0.3">
      <c r="A25" t="s">
        <v>821</v>
      </c>
    </row>
    <row r="26" spans="1:1" x14ac:dyDescent="0.3">
      <c r="A26" t="s">
        <v>820</v>
      </c>
    </row>
    <row r="27" spans="1:1" x14ac:dyDescent="0.3">
      <c r="A27" t="s">
        <v>819</v>
      </c>
    </row>
    <row r="28" spans="1:1" x14ac:dyDescent="0.3">
      <c r="A28" t="s">
        <v>818</v>
      </c>
    </row>
    <row r="29" spans="1:1" x14ac:dyDescent="0.3">
      <c r="A29" t="s">
        <v>817</v>
      </c>
    </row>
    <row r="30" spans="1:1" x14ac:dyDescent="0.3">
      <c r="A30" t="s">
        <v>816</v>
      </c>
    </row>
    <row r="33" spans="1:1" x14ac:dyDescent="0.3">
      <c r="A33" t="s">
        <v>320</v>
      </c>
    </row>
    <row r="35" spans="1:1" x14ac:dyDescent="0.3">
      <c r="A35" t="s">
        <v>319</v>
      </c>
    </row>
    <row r="36" spans="1:1" x14ac:dyDescent="0.3">
      <c r="A36" t="s">
        <v>815</v>
      </c>
    </row>
    <row r="37" spans="1:1" x14ac:dyDescent="0.3">
      <c r="A37" t="s">
        <v>318</v>
      </c>
    </row>
    <row r="38" spans="1:1" x14ac:dyDescent="0.3">
      <c r="A38" t="s">
        <v>317</v>
      </c>
    </row>
    <row r="39" spans="1:1" x14ac:dyDescent="0.3">
      <c r="A39" t="s">
        <v>316</v>
      </c>
    </row>
    <row r="40" spans="1:1" x14ac:dyDescent="0.3">
      <c r="A40" t="s">
        <v>315</v>
      </c>
    </row>
    <row r="41" spans="1:1" x14ac:dyDescent="0.3">
      <c r="A41" t="s">
        <v>814</v>
      </c>
    </row>
    <row r="42" spans="1:1" x14ac:dyDescent="0.3">
      <c r="A42" t="s">
        <v>813</v>
      </c>
    </row>
    <row r="43" spans="1:1" x14ac:dyDescent="0.3">
      <c r="A43" t="s">
        <v>812</v>
      </c>
    </row>
    <row r="44" spans="1:1" x14ac:dyDescent="0.3">
      <c r="A44" t="s">
        <v>811</v>
      </c>
    </row>
    <row r="45" spans="1:1" x14ac:dyDescent="0.3">
      <c r="A45" t="s">
        <v>810</v>
      </c>
    </row>
    <row r="46" spans="1:1" x14ac:dyDescent="0.3">
      <c r="A46" t="s">
        <v>809</v>
      </c>
    </row>
    <row r="47" spans="1:1" x14ac:dyDescent="0.3">
      <c r="A47" t="s">
        <v>808</v>
      </c>
    </row>
    <row r="48" spans="1:1" x14ac:dyDescent="0.3">
      <c r="A48" t="s">
        <v>807</v>
      </c>
    </row>
    <row r="49" spans="1:1" x14ac:dyDescent="0.3">
      <c r="A49" t="s">
        <v>806</v>
      </c>
    </row>
    <row r="50" spans="1:1" x14ac:dyDescent="0.3">
      <c r="A50" t="s">
        <v>805</v>
      </c>
    </row>
    <row r="51" spans="1:1" x14ac:dyDescent="0.3">
      <c r="A51" t="s">
        <v>804</v>
      </c>
    </row>
    <row r="52" spans="1:1" x14ac:dyDescent="0.3">
      <c r="A52" t="s">
        <v>803</v>
      </c>
    </row>
    <row r="53" spans="1:1" x14ac:dyDescent="0.3">
      <c r="A53" t="s">
        <v>802</v>
      </c>
    </row>
    <row r="54" spans="1:1" x14ac:dyDescent="0.3">
      <c r="A54" t="s">
        <v>801</v>
      </c>
    </row>
    <row r="55" spans="1:1" x14ac:dyDescent="0.3">
      <c r="A55" t="s">
        <v>800</v>
      </c>
    </row>
    <row r="56" spans="1:1" x14ac:dyDescent="0.3">
      <c r="A56" t="s">
        <v>799</v>
      </c>
    </row>
    <row r="57" spans="1:1" x14ac:dyDescent="0.3">
      <c r="A57" t="s">
        <v>798</v>
      </c>
    </row>
    <row r="58" spans="1:1" x14ac:dyDescent="0.3">
      <c r="A58" t="s">
        <v>797</v>
      </c>
    </row>
    <row r="59" spans="1:1" x14ac:dyDescent="0.3">
      <c r="A59" t="s">
        <v>796</v>
      </c>
    </row>
    <row r="60" spans="1:1" x14ac:dyDescent="0.3">
      <c r="A60" t="s">
        <v>795</v>
      </c>
    </row>
    <row r="61" spans="1:1" x14ac:dyDescent="0.3">
      <c r="A61" t="s">
        <v>794</v>
      </c>
    </row>
    <row r="62" spans="1:1" x14ac:dyDescent="0.3">
      <c r="A62" t="s">
        <v>793</v>
      </c>
    </row>
    <row r="63" spans="1:1" x14ac:dyDescent="0.3">
      <c r="A63" t="s">
        <v>792</v>
      </c>
    </row>
    <row r="64" spans="1:1" x14ac:dyDescent="0.3">
      <c r="A64" t="s">
        <v>791</v>
      </c>
    </row>
    <row r="65" spans="1:1" x14ac:dyDescent="0.3">
      <c r="A65" t="s">
        <v>790</v>
      </c>
    </row>
    <row r="66" spans="1:1" x14ac:dyDescent="0.3">
      <c r="A66" t="s">
        <v>789</v>
      </c>
    </row>
    <row r="67" spans="1:1" x14ac:dyDescent="0.3">
      <c r="A67" t="s">
        <v>788</v>
      </c>
    </row>
    <row r="68" spans="1:1" x14ac:dyDescent="0.3">
      <c r="A68" t="s">
        <v>787</v>
      </c>
    </row>
    <row r="69" spans="1:1" x14ac:dyDescent="0.3">
      <c r="A69" t="s">
        <v>786</v>
      </c>
    </row>
    <row r="70" spans="1:1" x14ac:dyDescent="0.3">
      <c r="A70" t="s">
        <v>785</v>
      </c>
    </row>
    <row r="71" spans="1:1" x14ac:dyDescent="0.3">
      <c r="A71" t="s">
        <v>784</v>
      </c>
    </row>
    <row r="72" spans="1:1" x14ac:dyDescent="0.3">
      <c r="A72" t="s">
        <v>783</v>
      </c>
    </row>
    <row r="73" spans="1:1" x14ac:dyDescent="0.3">
      <c r="A73" t="s">
        <v>782</v>
      </c>
    </row>
    <row r="74" spans="1:1" x14ac:dyDescent="0.3">
      <c r="A74" t="s">
        <v>781</v>
      </c>
    </row>
    <row r="75" spans="1:1" x14ac:dyDescent="0.3">
      <c r="A75" t="s">
        <v>780</v>
      </c>
    </row>
    <row r="76" spans="1:1" x14ac:dyDescent="0.3">
      <c r="A76" t="s">
        <v>779</v>
      </c>
    </row>
    <row r="77" spans="1:1" x14ac:dyDescent="0.3">
      <c r="A77" t="s">
        <v>778</v>
      </c>
    </row>
    <row r="78" spans="1:1" x14ac:dyDescent="0.3">
      <c r="A78" t="s">
        <v>777</v>
      </c>
    </row>
    <row r="79" spans="1:1" x14ac:dyDescent="0.3">
      <c r="A79" t="s">
        <v>776</v>
      </c>
    </row>
    <row r="80" spans="1:1" x14ac:dyDescent="0.3">
      <c r="A80" t="s">
        <v>775</v>
      </c>
    </row>
    <row r="81" spans="1:1" x14ac:dyDescent="0.3">
      <c r="A81" t="s">
        <v>774</v>
      </c>
    </row>
    <row r="82" spans="1:1" x14ac:dyDescent="0.3">
      <c r="A82" t="s">
        <v>773</v>
      </c>
    </row>
    <row r="83" spans="1:1" x14ac:dyDescent="0.3">
      <c r="A83" t="s">
        <v>772</v>
      </c>
    </row>
    <row r="84" spans="1:1" x14ac:dyDescent="0.3">
      <c r="A84" t="s">
        <v>771</v>
      </c>
    </row>
    <row r="85" spans="1:1" x14ac:dyDescent="0.3">
      <c r="A85" t="s">
        <v>770</v>
      </c>
    </row>
    <row r="86" spans="1:1" x14ac:dyDescent="0.3">
      <c r="A86" t="s">
        <v>769</v>
      </c>
    </row>
    <row r="87" spans="1:1" x14ac:dyDescent="0.3">
      <c r="A87" t="s">
        <v>768</v>
      </c>
    </row>
    <row r="88" spans="1:1" x14ac:dyDescent="0.3">
      <c r="A88" t="s">
        <v>767</v>
      </c>
    </row>
    <row r="89" spans="1:1" x14ac:dyDescent="0.3">
      <c r="A89" t="s">
        <v>766</v>
      </c>
    </row>
    <row r="90" spans="1:1" x14ac:dyDescent="0.3">
      <c r="A90" t="s">
        <v>765</v>
      </c>
    </row>
    <row r="91" spans="1:1" x14ac:dyDescent="0.3">
      <c r="A91" t="s">
        <v>764</v>
      </c>
    </row>
    <row r="92" spans="1:1" x14ac:dyDescent="0.3">
      <c r="A92" t="s">
        <v>763</v>
      </c>
    </row>
    <row r="93" spans="1:1" x14ac:dyDescent="0.3">
      <c r="A93" t="s">
        <v>762</v>
      </c>
    </row>
    <row r="94" spans="1:1" x14ac:dyDescent="0.3">
      <c r="A94" t="s">
        <v>761</v>
      </c>
    </row>
    <row r="95" spans="1:1" x14ac:dyDescent="0.3">
      <c r="A95" t="s">
        <v>760</v>
      </c>
    </row>
    <row r="96" spans="1:1" x14ac:dyDescent="0.3">
      <c r="A96" t="s">
        <v>759</v>
      </c>
    </row>
    <row r="97" spans="1:1" x14ac:dyDescent="0.3">
      <c r="A97" t="s">
        <v>758</v>
      </c>
    </row>
    <row r="98" spans="1:1" x14ac:dyDescent="0.3">
      <c r="A98" t="s">
        <v>757</v>
      </c>
    </row>
    <row r="99" spans="1:1" x14ac:dyDescent="0.3">
      <c r="A99" t="s">
        <v>756</v>
      </c>
    </row>
    <row r="100" spans="1:1" x14ac:dyDescent="0.3">
      <c r="A100" t="s">
        <v>755</v>
      </c>
    </row>
    <row r="101" spans="1:1" x14ac:dyDescent="0.3">
      <c r="A101" t="s">
        <v>754</v>
      </c>
    </row>
    <row r="102" spans="1:1" x14ac:dyDescent="0.3">
      <c r="A102" t="s">
        <v>753</v>
      </c>
    </row>
    <row r="103" spans="1:1" x14ac:dyDescent="0.3">
      <c r="A103" t="s">
        <v>752</v>
      </c>
    </row>
    <row r="104" spans="1:1" x14ac:dyDescent="0.3">
      <c r="A104" t="s">
        <v>751</v>
      </c>
    </row>
    <row r="105" spans="1:1" x14ac:dyDescent="0.3">
      <c r="A105" t="s">
        <v>750</v>
      </c>
    </row>
    <row r="106" spans="1:1" x14ac:dyDescent="0.3">
      <c r="A106" t="s">
        <v>749</v>
      </c>
    </row>
    <row r="107" spans="1:1" x14ac:dyDescent="0.3">
      <c r="A107" t="s">
        <v>748</v>
      </c>
    </row>
    <row r="108" spans="1:1" x14ac:dyDescent="0.3">
      <c r="A108" t="s">
        <v>747</v>
      </c>
    </row>
    <row r="109" spans="1:1" x14ac:dyDescent="0.3">
      <c r="A109" t="s">
        <v>746</v>
      </c>
    </row>
    <row r="110" spans="1:1" x14ac:dyDescent="0.3">
      <c r="A110" t="s">
        <v>745</v>
      </c>
    </row>
    <row r="111" spans="1:1" x14ac:dyDescent="0.3">
      <c r="A111" t="s">
        <v>744</v>
      </c>
    </row>
    <row r="112" spans="1:1" x14ac:dyDescent="0.3">
      <c r="A112" t="s">
        <v>743</v>
      </c>
    </row>
    <row r="113" spans="1:1" x14ac:dyDescent="0.3">
      <c r="A113" t="s">
        <v>742</v>
      </c>
    </row>
    <row r="114" spans="1:1" x14ac:dyDescent="0.3">
      <c r="A114" t="s">
        <v>741</v>
      </c>
    </row>
    <row r="115" spans="1:1" x14ac:dyDescent="0.3">
      <c r="A115" t="s">
        <v>740</v>
      </c>
    </row>
    <row r="116" spans="1:1" x14ac:dyDescent="0.3">
      <c r="A116" t="s">
        <v>739</v>
      </c>
    </row>
    <row r="117" spans="1:1" x14ac:dyDescent="0.3">
      <c r="A117" t="s">
        <v>738</v>
      </c>
    </row>
    <row r="118" spans="1:1" x14ac:dyDescent="0.3">
      <c r="A118" t="s">
        <v>737</v>
      </c>
    </row>
    <row r="119" spans="1:1" x14ac:dyDescent="0.3">
      <c r="A119" t="s">
        <v>736</v>
      </c>
    </row>
    <row r="120" spans="1:1" x14ac:dyDescent="0.3">
      <c r="A120" t="s">
        <v>735</v>
      </c>
    </row>
    <row r="121" spans="1:1" x14ac:dyDescent="0.3">
      <c r="A121" t="s">
        <v>734</v>
      </c>
    </row>
    <row r="122" spans="1:1" x14ac:dyDescent="0.3">
      <c r="A122" t="s">
        <v>733</v>
      </c>
    </row>
    <row r="123" spans="1:1" x14ac:dyDescent="0.3">
      <c r="A123" t="s">
        <v>732</v>
      </c>
    </row>
    <row r="124" spans="1:1" x14ac:dyDescent="0.3">
      <c r="A124" t="s">
        <v>731</v>
      </c>
    </row>
    <row r="125" spans="1:1" x14ac:dyDescent="0.3">
      <c r="A125" t="s">
        <v>730</v>
      </c>
    </row>
    <row r="126" spans="1:1" x14ac:dyDescent="0.3">
      <c r="A126" t="s">
        <v>729</v>
      </c>
    </row>
    <row r="127" spans="1:1" x14ac:dyDescent="0.3">
      <c r="A127" t="s">
        <v>728</v>
      </c>
    </row>
    <row r="128" spans="1:1" x14ac:dyDescent="0.3">
      <c r="A128" t="s">
        <v>727</v>
      </c>
    </row>
    <row r="129" spans="1:1" x14ac:dyDescent="0.3">
      <c r="A129" t="s">
        <v>726</v>
      </c>
    </row>
    <row r="130" spans="1:1" x14ac:dyDescent="0.3">
      <c r="A130" t="s">
        <v>725</v>
      </c>
    </row>
    <row r="131" spans="1:1" x14ac:dyDescent="0.3">
      <c r="A131" t="s">
        <v>724</v>
      </c>
    </row>
    <row r="132" spans="1:1" x14ac:dyDescent="0.3">
      <c r="A132" t="s">
        <v>723</v>
      </c>
    </row>
    <row r="133" spans="1:1" x14ac:dyDescent="0.3">
      <c r="A133" t="s">
        <v>722</v>
      </c>
    </row>
    <row r="134" spans="1:1" x14ac:dyDescent="0.3">
      <c r="A134" t="s">
        <v>721</v>
      </c>
    </row>
    <row r="135" spans="1:1" x14ac:dyDescent="0.3">
      <c r="A135" t="s">
        <v>720</v>
      </c>
    </row>
    <row r="136" spans="1:1" x14ac:dyDescent="0.3">
      <c r="A136" t="s">
        <v>719</v>
      </c>
    </row>
    <row r="137" spans="1:1" x14ac:dyDescent="0.3">
      <c r="A137" t="s">
        <v>718</v>
      </c>
    </row>
    <row r="138" spans="1:1" x14ac:dyDescent="0.3">
      <c r="A138" t="s">
        <v>717</v>
      </c>
    </row>
    <row r="139" spans="1:1" x14ac:dyDescent="0.3">
      <c r="A139" t="s">
        <v>716</v>
      </c>
    </row>
    <row r="140" spans="1:1" x14ac:dyDescent="0.3">
      <c r="A140" t="s">
        <v>715</v>
      </c>
    </row>
    <row r="141" spans="1:1" x14ac:dyDescent="0.3">
      <c r="A141" t="s">
        <v>714</v>
      </c>
    </row>
    <row r="142" spans="1:1" x14ac:dyDescent="0.3">
      <c r="A142" t="s">
        <v>713</v>
      </c>
    </row>
    <row r="143" spans="1:1" x14ac:dyDescent="0.3">
      <c r="A143" t="s">
        <v>712</v>
      </c>
    </row>
    <row r="144" spans="1:1" x14ac:dyDescent="0.3">
      <c r="A144" t="s">
        <v>711</v>
      </c>
    </row>
    <row r="145" spans="1:1" x14ac:dyDescent="0.3">
      <c r="A145" t="s">
        <v>710</v>
      </c>
    </row>
    <row r="146" spans="1:1" x14ac:dyDescent="0.3">
      <c r="A146" t="s">
        <v>709</v>
      </c>
    </row>
    <row r="147" spans="1:1" x14ac:dyDescent="0.3">
      <c r="A147" t="s">
        <v>708</v>
      </c>
    </row>
    <row r="148" spans="1:1" x14ac:dyDescent="0.3">
      <c r="A148" t="s">
        <v>707</v>
      </c>
    </row>
    <row r="149" spans="1:1" x14ac:dyDescent="0.3">
      <c r="A149" t="s">
        <v>706</v>
      </c>
    </row>
    <row r="150" spans="1:1" x14ac:dyDescent="0.3">
      <c r="A150" t="s">
        <v>705</v>
      </c>
    </row>
    <row r="151" spans="1:1" x14ac:dyDescent="0.3">
      <c r="A151" t="s">
        <v>704</v>
      </c>
    </row>
    <row r="152" spans="1:1" x14ac:dyDescent="0.3">
      <c r="A152" t="s">
        <v>703</v>
      </c>
    </row>
    <row r="153" spans="1:1" x14ac:dyDescent="0.3">
      <c r="A153" t="s">
        <v>702</v>
      </c>
    </row>
    <row r="154" spans="1:1" x14ac:dyDescent="0.3">
      <c r="A154" t="s">
        <v>701</v>
      </c>
    </row>
    <row r="155" spans="1:1" x14ac:dyDescent="0.3">
      <c r="A155" t="s">
        <v>700</v>
      </c>
    </row>
    <row r="156" spans="1:1" x14ac:dyDescent="0.3">
      <c r="A156" t="s">
        <v>699</v>
      </c>
    </row>
    <row r="157" spans="1:1" x14ac:dyDescent="0.3">
      <c r="A157" t="s">
        <v>698</v>
      </c>
    </row>
    <row r="158" spans="1:1" x14ac:dyDescent="0.3">
      <c r="A158" t="s">
        <v>697</v>
      </c>
    </row>
    <row r="159" spans="1:1" x14ac:dyDescent="0.3">
      <c r="A159" t="s">
        <v>696</v>
      </c>
    </row>
    <row r="160" spans="1:1" x14ac:dyDescent="0.3">
      <c r="A160" t="s">
        <v>695</v>
      </c>
    </row>
    <row r="161" spans="1:1" x14ac:dyDescent="0.3">
      <c r="A161" t="s">
        <v>694</v>
      </c>
    </row>
    <row r="162" spans="1:1" x14ac:dyDescent="0.3">
      <c r="A162" t="s">
        <v>693</v>
      </c>
    </row>
    <row r="163" spans="1:1" x14ac:dyDescent="0.3">
      <c r="A163" t="s">
        <v>692</v>
      </c>
    </row>
    <row r="164" spans="1:1" x14ac:dyDescent="0.3">
      <c r="A164" t="s">
        <v>691</v>
      </c>
    </row>
    <row r="165" spans="1:1" x14ac:dyDescent="0.3">
      <c r="A165" t="s">
        <v>690</v>
      </c>
    </row>
    <row r="166" spans="1:1" x14ac:dyDescent="0.3">
      <c r="A166" t="s">
        <v>689</v>
      </c>
    </row>
    <row r="167" spans="1:1" x14ac:dyDescent="0.3">
      <c r="A167" t="s">
        <v>688</v>
      </c>
    </row>
    <row r="168" spans="1:1" x14ac:dyDescent="0.3">
      <c r="A168" t="s">
        <v>687</v>
      </c>
    </row>
    <row r="169" spans="1:1" x14ac:dyDescent="0.3">
      <c r="A169" t="s">
        <v>686</v>
      </c>
    </row>
    <row r="170" spans="1:1" x14ac:dyDescent="0.3">
      <c r="A170" t="s">
        <v>685</v>
      </c>
    </row>
    <row r="171" spans="1:1" x14ac:dyDescent="0.3">
      <c r="A171" t="s">
        <v>684</v>
      </c>
    </row>
    <row r="172" spans="1:1" x14ac:dyDescent="0.3">
      <c r="A172" t="s">
        <v>683</v>
      </c>
    </row>
    <row r="173" spans="1:1" x14ac:dyDescent="0.3">
      <c r="A173" t="s">
        <v>682</v>
      </c>
    </row>
    <row r="174" spans="1:1" x14ac:dyDescent="0.3">
      <c r="A174" t="s">
        <v>681</v>
      </c>
    </row>
    <row r="175" spans="1:1" x14ac:dyDescent="0.3">
      <c r="A175" t="s">
        <v>680</v>
      </c>
    </row>
    <row r="176" spans="1:1" x14ac:dyDescent="0.3">
      <c r="A176" t="s">
        <v>679</v>
      </c>
    </row>
    <row r="177" spans="1:1" x14ac:dyDescent="0.3">
      <c r="A177" t="s">
        <v>678</v>
      </c>
    </row>
    <row r="178" spans="1:1" x14ac:dyDescent="0.3">
      <c r="A178" t="s">
        <v>677</v>
      </c>
    </row>
    <row r="179" spans="1:1" x14ac:dyDescent="0.3">
      <c r="A179" t="s">
        <v>676</v>
      </c>
    </row>
    <row r="180" spans="1:1" x14ac:dyDescent="0.3">
      <c r="A180" t="s">
        <v>675</v>
      </c>
    </row>
    <row r="181" spans="1:1" x14ac:dyDescent="0.3">
      <c r="A181" t="s">
        <v>674</v>
      </c>
    </row>
    <row r="182" spans="1:1" x14ac:dyDescent="0.3">
      <c r="A182" t="s">
        <v>673</v>
      </c>
    </row>
    <row r="183" spans="1:1" x14ac:dyDescent="0.3">
      <c r="A183" t="s">
        <v>672</v>
      </c>
    </row>
    <row r="184" spans="1:1" x14ac:dyDescent="0.3">
      <c r="A184" t="s">
        <v>671</v>
      </c>
    </row>
    <row r="185" spans="1:1" x14ac:dyDescent="0.3">
      <c r="A185" t="s">
        <v>670</v>
      </c>
    </row>
    <row r="186" spans="1:1" x14ac:dyDescent="0.3">
      <c r="A186" t="s">
        <v>669</v>
      </c>
    </row>
    <row r="187" spans="1:1" x14ac:dyDescent="0.3">
      <c r="A187" t="s">
        <v>668</v>
      </c>
    </row>
    <row r="188" spans="1:1" x14ac:dyDescent="0.3">
      <c r="A188" t="s">
        <v>667</v>
      </c>
    </row>
    <row r="189" spans="1:1" x14ac:dyDescent="0.3">
      <c r="A189" t="s">
        <v>666</v>
      </c>
    </row>
    <row r="190" spans="1:1" x14ac:dyDescent="0.3">
      <c r="A190" t="s">
        <v>665</v>
      </c>
    </row>
    <row r="191" spans="1:1" x14ac:dyDescent="0.3">
      <c r="A191" t="s">
        <v>664</v>
      </c>
    </row>
    <row r="192" spans="1:1" x14ac:dyDescent="0.3">
      <c r="A192" t="s">
        <v>663</v>
      </c>
    </row>
    <row r="193" spans="1:1" x14ac:dyDescent="0.3">
      <c r="A193" t="s">
        <v>662</v>
      </c>
    </row>
    <row r="194" spans="1:1" x14ac:dyDescent="0.3">
      <c r="A194" t="s">
        <v>661</v>
      </c>
    </row>
    <row r="195" spans="1:1" x14ac:dyDescent="0.3">
      <c r="A195" t="s">
        <v>660</v>
      </c>
    </row>
    <row r="196" spans="1:1" x14ac:dyDescent="0.3">
      <c r="A196" t="s">
        <v>659</v>
      </c>
    </row>
    <row r="197" spans="1:1" x14ac:dyDescent="0.3">
      <c r="A197" t="s">
        <v>658</v>
      </c>
    </row>
    <row r="198" spans="1:1" x14ac:dyDescent="0.3">
      <c r="A198" t="s">
        <v>657</v>
      </c>
    </row>
    <row r="199" spans="1:1" x14ac:dyDescent="0.3">
      <c r="A199" t="s">
        <v>656</v>
      </c>
    </row>
    <row r="200" spans="1:1" x14ac:dyDescent="0.3">
      <c r="A200" t="s">
        <v>655</v>
      </c>
    </row>
    <row r="201" spans="1:1" x14ac:dyDescent="0.3">
      <c r="A201" t="s">
        <v>654</v>
      </c>
    </row>
    <row r="202" spans="1:1" x14ac:dyDescent="0.3">
      <c r="A202" t="s">
        <v>653</v>
      </c>
    </row>
    <row r="203" spans="1:1" x14ac:dyDescent="0.3">
      <c r="A203" t="s">
        <v>652</v>
      </c>
    </row>
    <row r="204" spans="1:1" x14ac:dyDescent="0.3">
      <c r="A204" t="s">
        <v>651</v>
      </c>
    </row>
    <row r="205" spans="1:1" x14ac:dyDescent="0.3">
      <c r="A205" t="s">
        <v>650</v>
      </c>
    </row>
    <row r="206" spans="1:1" x14ac:dyDescent="0.3">
      <c r="A206" t="s">
        <v>649</v>
      </c>
    </row>
    <row r="207" spans="1:1" x14ac:dyDescent="0.3">
      <c r="A207" t="s">
        <v>648</v>
      </c>
    </row>
    <row r="208" spans="1:1" x14ac:dyDescent="0.3">
      <c r="A208" t="s">
        <v>647</v>
      </c>
    </row>
    <row r="209" spans="1:1" x14ac:dyDescent="0.3">
      <c r="A209" t="s">
        <v>646</v>
      </c>
    </row>
    <row r="210" spans="1:1" x14ac:dyDescent="0.3">
      <c r="A210" t="s">
        <v>645</v>
      </c>
    </row>
    <row r="211" spans="1:1" x14ac:dyDescent="0.3">
      <c r="A211" t="s">
        <v>644</v>
      </c>
    </row>
    <row r="212" spans="1:1" x14ac:dyDescent="0.3">
      <c r="A212" t="s">
        <v>643</v>
      </c>
    </row>
    <row r="213" spans="1:1" x14ac:dyDescent="0.3">
      <c r="A213" t="s">
        <v>642</v>
      </c>
    </row>
    <row r="214" spans="1:1" x14ac:dyDescent="0.3">
      <c r="A214" t="s">
        <v>641</v>
      </c>
    </row>
    <row r="215" spans="1:1" x14ac:dyDescent="0.3">
      <c r="A215" t="s">
        <v>640</v>
      </c>
    </row>
    <row r="216" spans="1:1" x14ac:dyDescent="0.3">
      <c r="A216" t="s">
        <v>639</v>
      </c>
    </row>
    <row r="217" spans="1:1" x14ac:dyDescent="0.3">
      <c r="A217" t="s">
        <v>638</v>
      </c>
    </row>
    <row r="218" spans="1:1" x14ac:dyDescent="0.3">
      <c r="A218" t="s">
        <v>637</v>
      </c>
    </row>
    <row r="219" spans="1:1" x14ac:dyDescent="0.3">
      <c r="A219" t="s">
        <v>636</v>
      </c>
    </row>
    <row r="220" spans="1:1" x14ac:dyDescent="0.3">
      <c r="A220" t="s">
        <v>635</v>
      </c>
    </row>
    <row r="221" spans="1:1" x14ac:dyDescent="0.3">
      <c r="A221" t="s">
        <v>634</v>
      </c>
    </row>
    <row r="222" spans="1:1" x14ac:dyDescent="0.3">
      <c r="A222" t="s">
        <v>633</v>
      </c>
    </row>
    <row r="223" spans="1:1" x14ac:dyDescent="0.3">
      <c r="A223" t="s">
        <v>632</v>
      </c>
    </row>
    <row r="224" spans="1:1" x14ac:dyDescent="0.3">
      <c r="A224" t="s">
        <v>631</v>
      </c>
    </row>
    <row r="225" spans="1:1" x14ac:dyDescent="0.3">
      <c r="A225" t="s">
        <v>630</v>
      </c>
    </row>
    <row r="226" spans="1:1" x14ac:dyDescent="0.3">
      <c r="A226" t="s">
        <v>629</v>
      </c>
    </row>
    <row r="227" spans="1:1" x14ac:dyDescent="0.3">
      <c r="A227" t="s">
        <v>628</v>
      </c>
    </row>
    <row r="228" spans="1:1" x14ac:dyDescent="0.3">
      <c r="A228" t="s">
        <v>627</v>
      </c>
    </row>
    <row r="229" spans="1:1" x14ac:dyDescent="0.3">
      <c r="A229" t="s">
        <v>626</v>
      </c>
    </row>
    <row r="230" spans="1:1" x14ac:dyDescent="0.3">
      <c r="A230" t="s">
        <v>625</v>
      </c>
    </row>
    <row r="231" spans="1:1" x14ac:dyDescent="0.3">
      <c r="A231" t="s">
        <v>624</v>
      </c>
    </row>
    <row r="232" spans="1:1" x14ac:dyDescent="0.3">
      <c r="A232" t="s">
        <v>623</v>
      </c>
    </row>
    <row r="233" spans="1:1" x14ac:dyDescent="0.3">
      <c r="A233" t="s">
        <v>622</v>
      </c>
    </row>
    <row r="234" spans="1:1" x14ac:dyDescent="0.3">
      <c r="A234" t="s">
        <v>621</v>
      </c>
    </row>
    <row r="235" spans="1:1" x14ac:dyDescent="0.3">
      <c r="A235" t="s">
        <v>620</v>
      </c>
    </row>
    <row r="236" spans="1:1" x14ac:dyDescent="0.3">
      <c r="A236" t="s">
        <v>619</v>
      </c>
    </row>
    <row r="237" spans="1:1" x14ac:dyDescent="0.3">
      <c r="A237" t="s">
        <v>618</v>
      </c>
    </row>
    <row r="238" spans="1:1" x14ac:dyDescent="0.3">
      <c r="A238" t="s">
        <v>617</v>
      </c>
    </row>
    <row r="239" spans="1:1" x14ac:dyDescent="0.3">
      <c r="A239" t="s">
        <v>616</v>
      </c>
    </row>
    <row r="240" spans="1:1" x14ac:dyDescent="0.3">
      <c r="A240" t="s">
        <v>615</v>
      </c>
    </row>
    <row r="241" spans="1:1" x14ac:dyDescent="0.3">
      <c r="A241" t="s">
        <v>614</v>
      </c>
    </row>
    <row r="242" spans="1:1" x14ac:dyDescent="0.3">
      <c r="A242" t="s">
        <v>613</v>
      </c>
    </row>
    <row r="243" spans="1:1" x14ac:dyDescent="0.3">
      <c r="A243" t="s">
        <v>612</v>
      </c>
    </row>
    <row r="244" spans="1:1" x14ac:dyDescent="0.3">
      <c r="A244" t="s">
        <v>611</v>
      </c>
    </row>
    <row r="245" spans="1:1" x14ac:dyDescent="0.3">
      <c r="A245" t="s">
        <v>610</v>
      </c>
    </row>
    <row r="246" spans="1:1" x14ac:dyDescent="0.3">
      <c r="A246" t="s">
        <v>609</v>
      </c>
    </row>
    <row r="247" spans="1:1" x14ac:dyDescent="0.3">
      <c r="A247" t="s">
        <v>608</v>
      </c>
    </row>
    <row r="248" spans="1:1" x14ac:dyDescent="0.3">
      <c r="A248" t="s">
        <v>607</v>
      </c>
    </row>
    <row r="249" spans="1:1" x14ac:dyDescent="0.3">
      <c r="A249" t="s">
        <v>606</v>
      </c>
    </row>
    <row r="250" spans="1:1" x14ac:dyDescent="0.3">
      <c r="A250" t="s">
        <v>605</v>
      </c>
    </row>
    <row r="251" spans="1:1" x14ac:dyDescent="0.3">
      <c r="A251" t="s">
        <v>604</v>
      </c>
    </row>
    <row r="252" spans="1:1" x14ac:dyDescent="0.3">
      <c r="A252" t="s">
        <v>603</v>
      </c>
    </row>
    <row r="253" spans="1:1" x14ac:dyDescent="0.3">
      <c r="A253" t="s">
        <v>602</v>
      </c>
    </row>
    <row r="254" spans="1:1" x14ac:dyDescent="0.3">
      <c r="A254" t="s">
        <v>601</v>
      </c>
    </row>
    <row r="255" spans="1:1" x14ac:dyDescent="0.3">
      <c r="A255" t="s">
        <v>600</v>
      </c>
    </row>
    <row r="256" spans="1:1" x14ac:dyDescent="0.3">
      <c r="A256" t="s">
        <v>599</v>
      </c>
    </row>
    <row r="257" spans="1:1" x14ac:dyDescent="0.3">
      <c r="A257" t="s">
        <v>598</v>
      </c>
    </row>
    <row r="258" spans="1:1" x14ac:dyDescent="0.3">
      <c r="A258" t="s">
        <v>597</v>
      </c>
    </row>
    <row r="259" spans="1:1" x14ac:dyDescent="0.3">
      <c r="A259" t="s">
        <v>596</v>
      </c>
    </row>
    <row r="260" spans="1:1" x14ac:dyDescent="0.3">
      <c r="A260" t="s">
        <v>595</v>
      </c>
    </row>
    <row r="261" spans="1:1" x14ac:dyDescent="0.3">
      <c r="A261" t="s">
        <v>594</v>
      </c>
    </row>
    <row r="262" spans="1:1" x14ac:dyDescent="0.3">
      <c r="A262" t="s">
        <v>593</v>
      </c>
    </row>
    <row r="263" spans="1:1" x14ac:dyDescent="0.3">
      <c r="A263" t="s">
        <v>592</v>
      </c>
    </row>
    <row r="264" spans="1:1" x14ac:dyDescent="0.3">
      <c r="A264" t="s">
        <v>591</v>
      </c>
    </row>
    <row r="265" spans="1:1" x14ac:dyDescent="0.3">
      <c r="A265" t="s">
        <v>590</v>
      </c>
    </row>
    <row r="266" spans="1:1" x14ac:dyDescent="0.3">
      <c r="A266" t="s">
        <v>589</v>
      </c>
    </row>
    <row r="267" spans="1:1" x14ac:dyDescent="0.3">
      <c r="A267" t="s">
        <v>588</v>
      </c>
    </row>
    <row r="268" spans="1:1" x14ac:dyDescent="0.3">
      <c r="A268" t="s">
        <v>587</v>
      </c>
    </row>
    <row r="269" spans="1:1" x14ac:dyDescent="0.3">
      <c r="A269" t="s">
        <v>586</v>
      </c>
    </row>
    <row r="270" spans="1:1" x14ac:dyDescent="0.3">
      <c r="A270" t="s">
        <v>585</v>
      </c>
    </row>
    <row r="271" spans="1:1" x14ac:dyDescent="0.3">
      <c r="A271" t="s">
        <v>584</v>
      </c>
    </row>
    <row r="272" spans="1:1" x14ac:dyDescent="0.3">
      <c r="A272" t="s">
        <v>583</v>
      </c>
    </row>
    <row r="273" spans="1:1" x14ac:dyDescent="0.3">
      <c r="A273" t="s">
        <v>582</v>
      </c>
    </row>
    <row r="274" spans="1:1" x14ac:dyDescent="0.3">
      <c r="A274" t="s">
        <v>581</v>
      </c>
    </row>
    <row r="275" spans="1:1" x14ac:dyDescent="0.3">
      <c r="A275" t="s">
        <v>580</v>
      </c>
    </row>
    <row r="276" spans="1:1" x14ac:dyDescent="0.3">
      <c r="A276" t="s">
        <v>579</v>
      </c>
    </row>
    <row r="277" spans="1:1" x14ac:dyDescent="0.3">
      <c r="A277" t="s">
        <v>578</v>
      </c>
    </row>
    <row r="278" spans="1:1" x14ac:dyDescent="0.3">
      <c r="A278" t="s">
        <v>577</v>
      </c>
    </row>
    <row r="279" spans="1:1" x14ac:dyDescent="0.3">
      <c r="A279" t="s">
        <v>576</v>
      </c>
    </row>
    <row r="280" spans="1:1" x14ac:dyDescent="0.3">
      <c r="A280" t="s">
        <v>575</v>
      </c>
    </row>
    <row r="281" spans="1:1" x14ac:dyDescent="0.3">
      <c r="A281" t="s">
        <v>574</v>
      </c>
    </row>
    <row r="283" spans="1:1" x14ac:dyDescent="0.3">
      <c r="A283" t="s">
        <v>313</v>
      </c>
    </row>
    <row r="284" spans="1:1" x14ac:dyDescent="0.3">
      <c r="A284" t="s">
        <v>314</v>
      </c>
    </row>
    <row r="285" spans="1:1" x14ac:dyDescent="0.3">
      <c r="A285" t="s">
        <v>313</v>
      </c>
    </row>
    <row r="287" spans="1:1" x14ac:dyDescent="0.3">
      <c r="A287" t="s">
        <v>312</v>
      </c>
    </row>
    <row r="288" spans="1:1" x14ac:dyDescent="0.3">
      <c r="A288" t="s">
        <v>311</v>
      </c>
    </row>
    <row r="289" spans="1:1" x14ac:dyDescent="0.3">
      <c r="A289">
        <v>246</v>
      </c>
    </row>
    <row r="290" spans="1:1" x14ac:dyDescent="0.3">
      <c r="A290" t="s">
        <v>310</v>
      </c>
    </row>
    <row r="293" spans="1:1" x14ac:dyDescent="0.3">
      <c r="A293" t="s">
        <v>309</v>
      </c>
    </row>
    <row r="294" spans="1:1" x14ac:dyDescent="0.3">
      <c r="A294" t="s">
        <v>573</v>
      </c>
    </row>
    <row r="297" spans="1:1" x14ac:dyDescent="0.3">
      <c r="A297" t="s">
        <v>308</v>
      </c>
    </row>
    <row r="299" spans="1:1" x14ac:dyDescent="0.3">
      <c r="A299" t="s">
        <v>307</v>
      </c>
    </row>
    <row r="300" spans="1:1" x14ac:dyDescent="0.3">
      <c r="A300" t="s">
        <v>572</v>
      </c>
    </row>
    <row r="301" spans="1:1" x14ac:dyDescent="0.3">
      <c r="A301" t="s">
        <v>571</v>
      </c>
    </row>
    <row r="302" spans="1:1" x14ac:dyDescent="0.3">
      <c r="A302" t="s">
        <v>570</v>
      </c>
    </row>
    <row r="303" spans="1:1" x14ac:dyDescent="0.3">
      <c r="A303" t="s">
        <v>569</v>
      </c>
    </row>
    <row r="304" spans="1:1" x14ac:dyDescent="0.3">
      <c r="A304" t="s">
        <v>568</v>
      </c>
    </row>
    <row r="305" spans="1:1" x14ac:dyDescent="0.3">
      <c r="A305" t="s">
        <v>567</v>
      </c>
    </row>
    <row r="306" spans="1:1" x14ac:dyDescent="0.3">
      <c r="A306" t="s">
        <v>566</v>
      </c>
    </row>
    <row r="307" spans="1:1" x14ac:dyDescent="0.3">
      <c r="A307" t="s">
        <v>565</v>
      </c>
    </row>
    <row r="308" spans="1:1" x14ac:dyDescent="0.3">
      <c r="A308" t="s">
        <v>564</v>
      </c>
    </row>
    <row r="309" spans="1:1" x14ac:dyDescent="0.3">
      <c r="A309" t="s">
        <v>563</v>
      </c>
    </row>
    <row r="310" spans="1:1" x14ac:dyDescent="0.3">
      <c r="A310" t="s">
        <v>562</v>
      </c>
    </row>
    <row r="311" spans="1:1" x14ac:dyDescent="0.3">
      <c r="A311" t="s">
        <v>561</v>
      </c>
    </row>
    <row r="312" spans="1:1" x14ac:dyDescent="0.3">
      <c r="A312" t="s">
        <v>560</v>
      </c>
    </row>
    <row r="313" spans="1:1" x14ac:dyDescent="0.3">
      <c r="A313" t="s">
        <v>559</v>
      </c>
    </row>
    <row r="314" spans="1:1" x14ac:dyDescent="0.3">
      <c r="A314" t="s">
        <v>558</v>
      </c>
    </row>
    <row r="315" spans="1:1" x14ac:dyDescent="0.3">
      <c r="A315" t="s">
        <v>557</v>
      </c>
    </row>
    <row r="316" spans="1:1" x14ac:dyDescent="0.3">
      <c r="A316" t="s">
        <v>556</v>
      </c>
    </row>
    <row r="317" spans="1:1" x14ac:dyDescent="0.3">
      <c r="A317" t="s">
        <v>555</v>
      </c>
    </row>
    <row r="318" spans="1:1" x14ac:dyDescent="0.3">
      <c r="A318" t="s">
        <v>554</v>
      </c>
    </row>
    <row r="319" spans="1:1" x14ac:dyDescent="0.3">
      <c r="A319" t="s">
        <v>553</v>
      </c>
    </row>
    <row r="320" spans="1:1" x14ac:dyDescent="0.3">
      <c r="A320" t="s">
        <v>552</v>
      </c>
    </row>
    <row r="321" spans="1:1" x14ac:dyDescent="0.3">
      <c r="A321" t="s">
        <v>551</v>
      </c>
    </row>
    <row r="322" spans="1:1" x14ac:dyDescent="0.3">
      <c r="A322" t="s">
        <v>550</v>
      </c>
    </row>
    <row r="323" spans="1:1" x14ac:dyDescent="0.3">
      <c r="A323" t="s">
        <v>549</v>
      </c>
    </row>
    <row r="324" spans="1:1" x14ac:dyDescent="0.3">
      <c r="A324" t="s">
        <v>548</v>
      </c>
    </row>
    <row r="325" spans="1:1" x14ac:dyDescent="0.3">
      <c r="A325" t="s">
        <v>547</v>
      </c>
    </row>
    <row r="326" spans="1:1" x14ac:dyDescent="0.3">
      <c r="A326" t="s">
        <v>546</v>
      </c>
    </row>
    <row r="327" spans="1:1" x14ac:dyDescent="0.3">
      <c r="A327" t="s">
        <v>545</v>
      </c>
    </row>
    <row r="328" spans="1:1" x14ac:dyDescent="0.3">
      <c r="A328" t="s">
        <v>544</v>
      </c>
    </row>
    <row r="329" spans="1:1" x14ac:dyDescent="0.3">
      <c r="A329" t="s">
        <v>543</v>
      </c>
    </row>
    <row r="330" spans="1:1" x14ac:dyDescent="0.3">
      <c r="A330" t="s">
        <v>542</v>
      </c>
    </row>
    <row r="331" spans="1:1" x14ac:dyDescent="0.3">
      <c r="A331" t="s">
        <v>541</v>
      </c>
    </row>
    <row r="332" spans="1:1" x14ac:dyDescent="0.3">
      <c r="A332" t="s">
        <v>540</v>
      </c>
    </row>
    <row r="333" spans="1:1" x14ac:dyDescent="0.3">
      <c r="A333" t="s">
        <v>539</v>
      </c>
    </row>
    <row r="334" spans="1:1" x14ac:dyDescent="0.3">
      <c r="A334" t="s">
        <v>538</v>
      </c>
    </row>
    <row r="335" spans="1:1" x14ac:dyDescent="0.3">
      <c r="A335" t="s">
        <v>537</v>
      </c>
    </row>
    <row r="336" spans="1:1" x14ac:dyDescent="0.3">
      <c r="A336" t="s">
        <v>536</v>
      </c>
    </row>
    <row r="337" spans="1:1" x14ac:dyDescent="0.3">
      <c r="A337" t="s">
        <v>535</v>
      </c>
    </row>
    <row r="338" spans="1:1" x14ac:dyDescent="0.3">
      <c r="A338" t="s">
        <v>534</v>
      </c>
    </row>
    <row r="339" spans="1:1" x14ac:dyDescent="0.3">
      <c r="A339" t="s">
        <v>533</v>
      </c>
    </row>
    <row r="340" spans="1:1" x14ac:dyDescent="0.3">
      <c r="A340" t="s">
        <v>532</v>
      </c>
    </row>
    <row r="341" spans="1:1" x14ac:dyDescent="0.3">
      <c r="A341" t="s">
        <v>531</v>
      </c>
    </row>
    <row r="342" spans="1:1" x14ac:dyDescent="0.3">
      <c r="A342" t="s">
        <v>530</v>
      </c>
    </row>
    <row r="343" spans="1:1" x14ac:dyDescent="0.3">
      <c r="A343" t="s">
        <v>529</v>
      </c>
    </row>
    <row r="344" spans="1:1" x14ac:dyDescent="0.3">
      <c r="A344" t="s">
        <v>528</v>
      </c>
    </row>
    <row r="345" spans="1:1" x14ac:dyDescent="0.3">
      <c r="A345" t="s">
        <v>527</v>
      </c>
    </row>
    <row r="346" spans="1:1" x14ac:dyDescent="0.3">
      <c r="A346" t="s">
        <v>526</v>
      </c>
    </row>
    <row r="347" spans="1:1" x14ac:dyDescent="0.3">
      <c r="A347" t="s">
        <v>525</v>
      </c>
    </row>
    <row r="348" spans="1:1" x14ac:dyDescent="0.3">
      <c r="A348" t="s">
        <v>524</v>
      </c>
    </row>
    <row r="349" spans="1:1" x14ac:dyDescent="0.3">
      <c r="A349" t="s">
        <v>523</v>
      </c>
    </row>
    <row r="350" spans="1:1" x14ac:dyDescent="0.3">
      <c r="A350" t="s">
        <v>522</v>
      </c>
    </row>
    <row r="351" spans="1:1" x14ac:dyDescent="0.3">
      <c r="A351" t="s">
        <v>521</v>
      </c>
    </row>
    <row r="352" spans="1:1" x14ac:dyDescent="0.3">
      <c r="A352" t="s">
        <v>520</v>
      </c>
    </row>
    <row r="353" spans="1:1" x14ac:dyDescent="0.3">
      <c r="A353" t="s">
        <v>519</v>
      </c>
    </row>
    <row r="354" spans="1:1" x14ac:dyDescent="0.3">
      <c r="A354" t="s">
        <v>518</v>
      </c>
    </row>
    <row r="355" spans="1:1" x14ac:dyDescent="0.3">
      <c r="A355" t="s">
        <v>517</v>
      </c>
    </row>
    <row r="356" spans="1:1" x14ac:dyDescent="0.3">
      <c r="A356" t="s">
        <v>516</v>
      </c>
    </row>
    <row r="357" spans="1:1" x14ac:dyDescent="0.3">
      <c r="A357" t="s">
        <v>515</v>
      </c>
    </row>
    <row r="358" spans="1:1" x14ac:dyDescent="0.3">
      <c r="A358" t="s">
        <v>514</v>
      </c>
    </row>
    <row r="359" spans="1:1" x14ac:dyDescent="0.3">
      <c r="A359" t="s">
        <v>513</v>
      </c>
    </row>
    <row r="360" spans="1:1" x14ac:dyDescent="0.3">
      <c r="A360" t="s">
        <v>512</v>
      </c>
    </row>
    <row r="361" spans="1:1" x14ac:dyDescent="0.3">
      <c r="A361" t="s">
        <v>511</v>
      </c>
    </row>
    <row r="362" spans="1:1" x14ac:dyDescent="0.3">
      <c r="A362" t="s">
        <v>510</v>
      </c>
    </row>
    <row r="363" spans="1:1" x14ac:dyDescent="0.3">
      <c r="A363" t="s">
        <v>509</v>
      </c>
    </row>
    <row r="364" spans="1:1" x14ac:dyDescent="0.3">
      <c r="A364" t="s">
        <v>508</v>
      </c>
    </row>
    <row r="365" spans="1:1" x14ac:dyDescent="0.3">
      <c r="A365" t="s">
        <v>507</v>
      </c>
    </row>
    <row r="366" spans="1:1" x14ac:dyDescent="0.3">
      <c r="A366" t="s">
        <v>506</v>
      </c>
    </row>
    <row r="367" spans="1:1" x14ac:dyDescent="0.3">
      <c r="A367" t="s">
        <v>505</v>
      </c>
    </row>
    <row r="368" spans="1:1" x14ac:dyDescent="0.3">
      <c r="A368" t="s">
        <v>504</v>
      </c>
    </row>
    <row r="369" spans="1:1" x14ac:dyDescent="0.3">
      <c r="A369" t="s">
        <v>503</v>
      </c>
    </row>
    <row r="370" spans="1:1" x14ac:dyDescent="0.3">
      <c r="A370" t="s">
        <v>502</v>
      </c>
    </row>
    <row r="371" spans="1:1" x14ac:dyDescent="0.3">
      <c r="A371" t="s">
        <v>501</v>
      </c>
    </row>
    <row r="372" spans="1:1" x14ac:dyDescent="0.3">
      <c r="A372" t="s">
        <v>500</v>
      </c>
    </row>
    <row r="373" spans="1:1" x14ac:dyDescent="0.3">
      <c r="A373" t="s">
        <v>499</v>
      </c>
    </row>
    <row r="374" spans="1:1" x14ac:dyDescent="0.3">
      <c r="A374" t="s">
        <v>498</v>
      </c>
    </row>
    <row r="375" spans="1:1" x14ac:dyDescent="0.3">
      <c r="A375" t="s">
        <v>497</v>
      </c>
    </row>
    <row r="376" spans="1:1" x14ac:dyDescent="0.3">
      <c r="A376" t="s">
        <v>496</v>
      </c>
    </row>
    <row r="377" spans="1:1" x14ac:dyDescent="0.3">
      <c r="A377" t="s">
        <v>495</v>
      </c>
    </row>
    <row r="378" spans="1:1" x14ac:dyDescent="0.3">
      <c r="A378" t="s">
        <v>494</v>
      </c>
    </row>
    <row r="379" spans="1:1" x14ac:dyDescent="0.3">
      <c r="A379" t="s">
        <v>493</v>
      </c>
    </row>
    <row r="380" spans="1:1" x14ac:dyDescent="0.3">
      <c r="A380" t="s">
        <v>492</v>
      </c>
    </row>
    <row r="381" spans="1:1" x14ac:dyDescent="0.3">
      <c r="A381" t="s">
        <v>491</v>
      </c>
    </row>
    <row r="382" spans="1:1" x14ac:dyDescent="0.3">
      <c r="A382" t="s">
        <v>490</v>
      </c>
    </row>
    <row r="383" spans="1:1" x14ac:dyDescent="0.3">
      <c r="A383" t="s">
        <v>489</v>
      </c>
    </row>
    <row r="384" spans="1:1" x14ac:dyDescent="0.3">
      <c r="A384" t="s">
        <v>488</v>
      </c>
    </row>
    <row r="385" spans="1:1" x14ac:dyDescent="0.3">
      <c r="A385" t="s">
        <v>487</v>
      </c>
    </row>
    <row r="386" spans="1:1" x14ac:dyDescent="0.3">
      <c r="A386" t="s">
        <v>486</v>
      </c>
    </row>
    <row r="387" spans="1:1" x14ac:dyDescent="0.3">
      <c r="A387" t="s">
        <v>485</v>
      </c>
    </row>
    <row r="388" spans="1:1" x14ac:dyDescent="0.3">
      <c r="A388" t="s">
        <v>484</v>
      </c>
    </row>
    <row r="389" spans="1:1" x14ac:dyDescent="0.3">
      <c r="A389" t="s">
        <v>483</v>
      </c>
    </row>
    <row r="390" spans="1:1" x14ac:dyDescent="0.3">
      <c r="A390" t="s">
        <v>482</v>
      </c>
    </row>
    <row r="391" spans="1:1" x14ac:dyDescent="0.3">
      <c r="A391" t="s">
        <v>481</v>
      </c>
    </row>
    <row r="392" spans="1:1" x14ac:dyDescent="0.3">
      <c r="A392" t="s">
        <v>480</v>
      </c>
    </row>
    <row r="393" spans="1:1" x14ac:dyDescent="0.3">
      <c r="A393" t="s">
        <v>479</v>
      </c>
    </row>
    <row r="394" spans="1:1" x14ac:dyDescent="0.3">
      <c r="A394" t="s">
        <v>478</v>
      </c>
    </row>
    <row r="395" spans="1:1" x14ac:dyDescent="0.3">
      <c r="A395" t="s">
        <v>477</v>
      </c>
    </row>
    <row r="396" spans="1:1" x14ac:dyDescent="0.3">
      <c r="A396" t="s">
        <v>476</v>
      </c>
    </row>
    <row r="397" spans="1:1" x14ac:dyDescent="0.3">
      <c r="A397" t="s">
        <v>475</v>
      </c>
    </row>
    <row r="398" spans="1:1" x14ac:dyDescent="0.3">
      <c r="A398" t="s">
        <v>474</v>
      </c>
    </row>
    <row r="399" spans="1:1" x14ac:dyDescent="0.3">
      <c r="A399" t="s">
        <v>473</v>
      </c>
    </row>
    <row r="400" spans="1:1" x14ac:dyDescent="0.3">
      <c r="A400" t="s">
        <v>472</v>
      </c>
    </row>
    <row r="401" spans="1:1" x14ac:dyDescent="0.3">
      <c r="A401" t="s">
        <v>471</v>
      </c>
    </row>
    <row r="402" spans="1:1" x14ac:dyDescent="0.3">
      <c r="A402" t="s">
        <v>470</v>
      </c>
    </row>
    <row r="403" spans="1:1" x14ac:dyDescent="0.3">
      <c r="A403" t="s">
        <v>469</v>
      </c>
    </row>
    <row r="404" spans="1:1" x14ac:dyDescent="0.3">
      <c r="A404" t="s">
        <v>468</v>
      </c>
    </row>
    <row r="405" spans="1:1" x14ac:dyDescent="0.3">
      <c r="A405" t="s">
        <v>467</v>
      </c>
    </row>
    <row r="406" spans="1:1" x14ac:dyDescent="0.3">
      <c r="A406" t="s">
        <v>466</v>
      </c>
    </row>
    <row r="407" spans="1:1" x14ac:dyDescent="0.3">
      <c r="A407" t="s">
        <v>465</v>
      </c>
    </row>
    <row r="408" spans="1:1" x14ac:dyDescent="0.3">
      <c r="A408" t="s">
        <v>464</v>
      </c>
    </row>
    <row r="409" spans="1:1" x14ac:dyDescent="0.3">
      <c r="A409" t="s">
        <v>463</v>
      </c>
    </row>
    <row r="410" spans="1:1" x14ac:dyDescent="0.3">
      <c r="A410" t="s">
        <v>462</v>
      </c>
    </row>
    <row r="411" spans="1:1" x14ac:dyDescent="0.3">
      <c r="A411" t="s">
        <v>461</v>
      </c>
    </row>
    <row r="412" spans="1:1" x14ac:dyDescent="0.3">
      <c r="A412" t="s">
        <v>460</v>
      </c>
    </row>
    <row r="413" spans="1:1" x14ac:dyDescent="0.3">
      <c r="A413" t="s">
        <v>459</v>
      </c>
    </row>
    <row r="414" spans="1:1" x14ac:dyDescent="0.3">
      <c r="A414" t="s">
        <v>458</v>
      </c>
    </row>
    <row r="415" spans="1:1" x14ac:dyDescent="0.3">
      <c r="A415" t="s">
        <v>457</v>
      </c>
    </row>
    <row r="416" spans="1:1" x14ac:dyDescent="0.3">
      <c r="A416" t="s">
        <v>456</v>
      </c>
    </row>
    <row r="417" spans="1:1" x14ac:dyDescent="0.3">
      <c r="A417" t="s">
        <v>455</v>
      </c>
    </row>
    <row r="418" spans="1:1" x14ac:dyDescent="0.3">
      <c r="A418" t="s">
        <v>454</v>
      </c>
    </row>
    <row r="419" spans="1:1" x14ac:dyDescent="0.3">
      <c r="A419" t="s">
        <v>453</v>
      </c>
    </row>
    <row r="420" spans="1:1" x14ac:dyDescent="0.3">
      <c r="A420" t="s">
        <v>452</v>
      </c>
    </row>
    <row r="421" spans="1:1" x14ac:dyDescent="0.3">
      <c r="A421" t="s">
        <v>451</v>
      </c>
    </row>
    <row r="422" spans="1:1" x14ac:dyDescent="0.3">
      <c r="A422" t="s">
        <v>450</v>
      </c>
    </row>
    <row r="423" spans="1:1" x14ac:dyDescent="0.3">
      <c r="A423" t="s">
        <v>449</v>
      </c>
    </row>
    <row r="424" spans="1:1" x14ac:dyDescent="0.3">
      <c r="A424" t="s">
        <v>448</v>
      </c>
    </row>
    <row r="425" spans="1:1" x14ac:dyDescent="0.3">
      <c r="A425" t="s">
        <v>447</v>
      </c>
    </row>
    <row r="426" spans="1:1" x14ac:dyDescent="0.3">
      <c r="A426" t="s">
        <v>446</v>
      </c>
    </row>
    <row r="427" spans="1:1" x14ac:dyDescent="0.3">
      <c r="A427" t="s">
        <v>445</v>
      </c>
    </row>
    <row r="428" spans="1:1" x14ac:dyDescent="0.3">
      <c r="A428" t="s">
        <v>444</v>
      </c>
    </row>
    <row r="429" spans="1:1" x14ac:dyDescent="0.3">
      <c r="A429" t="s">
        <v>443</v>
      </c>
    </row>
    <row r="430" spans="1:1" x14ac:dyDescent="0.3">
      <c r="A430" t="s">
        <v>442</v>
      </c>
    </row>
    <row r="431" spans="1:1" x14ac:dyDescent="0.3">
      <c r="A431" t="s">
        <v>441</v>
      </c>
    </row>
    <row r="432" spans="1:1" x14ac:dyDescent="0.3">
      <c r="A432" t="s">
        <v>440</v>
      </c>
    </row>
    <row r="433" spans="1:1" x14ac:dyDescent="0.3">
      <c r="A433" t="s">
        <v>439</v>
      </c>
    </row>
    <row r="434" spans="1:1" x14ac:dyDescent="0.3">
      <c r="A434" t="s">
        <v>438</v>
      </c>
    </row>
    <row r="435" spans="1:1" x14ac:dyDescent="0.3">
      <c r="A435" t="s">
        <v>437</v>
      </c>
    </row>
    <row r="436" spans="1:1" x14ac:dyDescent="0.3">
      <c r="A436" t="s">
        <v>436</v>
      </c>
    </row>
    <row r="437" spans="1:1" x14ac:dyDescent="0.3">
      <c r="A437" t="s">
        <v>435</v>
      </c>
    </row>
    <row r="438" spans="1:1" x14ac:dyDescent="0.3">
      <c r="A438" t="s">
        <v>434</v>
      </c>
    </row>
    <row r="439" spans="1:1" x14ac:dyDescent="0.3">
      <c r="A439" t="s">
        <v>433</v>
      </c>
    </row>
    <row r="440" spans="1:1" x14ac:dyDescent="0.3">
      <c r="A440" t="s">
        <v>432</v>
      </c>
    </row>
    <row r="441" spans="1:1" x14ac:dyDescent="0.3">
      <c r="A441" t="s">
        <v>431</v>
      </c>
    </row>
    <row r="442" spans="1:1" x14ac:dyDescent="0.3">
      <c r="A442" t="s">
        <v>430</v>
      </c>
    </row>
    <row r="443" spans="1:1" x14ac:dyDescent="0.3">
      <c r="A443" t="s">
        <v>429</v>
      </c>
    </row>
    <row r="444" spans="1:1" x14ac:dyDescent="0.3">
      <c r="A444" t="s">
        <v>428</v>
      </c>
    </row>
    <row r="445" spans="1:1" x14ac:dyDescent="0.3">
      <c r="A445" t="s">
        <v>427</v>
      </c>
    </row>
    <row r="446" spans="1:1" x14ac:dyDescent="0.3">
      <c r="A446" t="s">
        <v>426</v>
      </c>
    </row>
    <row r="447" spans="1:1" x14ac:dyDescent="0.3">
      <c r="A447" t="s">
        <v>425</v>
      </c>
    </row>
    <row r="448" spans="1:1" x14ac:dyDescent="0.3">
      <c r="A448" t="s">
        <v>424</v>
      </c>
    </row>
    <row r="449" spans="1:1" x14ac:dyDescent="0.3">
      <c r="A449" t="s">
        <v>423</v>
      </c>
    </row>
    <row r="450" spans="1:1" x14ac:dyDescent="0.3">
      <c r="A450" t="s">
        <v>422</v>
      </c>
    </row>
    <row r="451" spans="1:1" x14ac:dyDescent="0.3">
      <c r="A451" t="s">
        <v>421</v>
      </c>
    </row>
    <row r="452" spans="1:1" x14ac:dyDescent="0.3">
      <c r="A452" t="s">
        <v>420</v>
      </c>
    </row>
    <row r="453" spans="1:1" x14ac:dyDescent="0.3">
      <c r="A453" t="s">
        <v>419</v>
      </c>
    </row>
    <row r="454" spans="1:1" x14ac:dyDescent="0.3">
      <c r="A454" t="s">
        <v>418</v>
      </c>
    </row>
    <row r="455" spans="1:1" x14ac:dyDescent="0.3">
      <c r="A455" t="s">
        <v>417</v>
      </c>
    </row>
    <row r="456" spans="1:1" x14ac:dyDescent="0.3">
      <c r="A456" t="s">
        <v>416</v>
      </c>
    </row>
    <row r="457" spans="1:1" x14ac:dyDescent="0.3">
      <c r="A457" t="s">
        <v>415</v>
      </c>
    </row>
    <row r="458" spans="1:1" x14ac:dyDescent="0.3">
      <c r="A458" t="s">
        <v>414</v>
      </c>
    </row>
    <row r="459" spans="1:1" x14ac:dyDescent="0.3">
      <c r="A459" t="s">
        <v>413</v>
      </c>
    </row>
    <row r="460" spans="1:1" x14ac:dyDescent="0.3">
      <c r="A460" t="s">
        <v>412</v>
      </c>
    </row>
    <row r="461" spans="1:1" x14ac:dyDescent="0.3">
      <c r="A461" t="s">
        <v>411</v>
      </c>
    </row>
    <row r="462" spans="1:1" x14ac:dyDescent="0.3">
      <c r="A462" t="s">
        <v>410</v>
      </c>
    </row>
    <row r="463" spans="1:1" x14ac:dyDescent="0.3">
      <c r="A463" t="s">
        <v>409</v>
      </c>
    </row>
    <row r="464" spans="1:1" x14ac:dyDescent="0.3">
      <c r="A464" t="s">
        <v>408</v>
      </c>
    </row>
    <row r="465" spans="1:1" x14ac:dyDescent="0.3">
      <c r="A465" t="s">
        <v>407</v>
      </c>
    </row>
    <row r="466" spans="1:1" x14ac:dyDescent="0.3">
      <c r="A466" t="s">
        <v>406</v>
      </c>
    </row>
    <row r="467" spans="1:1" x14ac:dyDescent="0.3">
      <c r="A467" t="s">
        <v>405</v>
      </c>
    </row>
    <row r="468" spans="1:1" x14ac:dyDescent="0.3">
      <c r="A468" t="s">
        <v>404</v>
      </c>
    </row>
    <row r="469" spans="1:1" x14ac:dyDescent="0.3">
      <c r="A469" t="s">
        <v>403</v>
      </c>
    </row>
    <row r="470" spans="1:1" x14ac:dyDescent="0.3">
      <c r="A470" t="s">
        <v>402</v>
      </c>
    </row>
    <row r="471" spans="1:1" x14ac:dyDescent="0.3">
      <c r="A471" t="s">
        <v>401</v>
      </c>
    </row>
    <row r="472" spans="1:1" x14ac:dyDescent="0.3">
      <c r="A472" t="s">
        <v>400</v>
      </c>
    </row>
    <row r="473" spans="1:1" x14ac:dyDescent="0.3">
      <c r="A473" t="s">
        <v>399</v>
      </c>
    </row>
    <row r="474" spans="1:1" x14ac:dyDescent="0.3">
      <c r="A474" t="s">
        <v>398</v>
      </c>
    </row>
    <row r="475" spans="1:1" x14ac:dyDescent="0.3">
      <c r="A475" t="s">
        <v>397</v>
      </c>
    </row>
    <row r="476" spans="1:1" x14ac:dyDescent="0.3">
      <c r="A476" t="s">
        <v>396</v>
      </c>
    </row>
    <row r="477" spans="1:1" x14ac:dyDescent="0.3">
      <c r="A477" t="s">
        <v>395</v>
      </c>
    </row>
    <row r="478" spans="1:1" x14ac:dyDescent="0.3">
      <c r="A478" t="s">
        <v>394</v>
      </c>
    </row>
    <row r="479" spans="1:1" x14ac:dyDescent="0.3">
      <c r="A479" t="s">
        <v>393</v>
      </c>
    </row>
    <row r="480" spans="1:1" x14ac:dyDescent="0.3">
      <c r="A480" t="s">
        <v>392</v>
      </c>
    </row>
    <row r="481" spans="1:1" x14ac:dyDescent="0.3">
      <c r="A481" t="s">
        <v>391</v>
      </c>
    </row>
    <row r="482" spans="1:1" x14ac:dyDescent="0.3">
      <c r="A482" t="s">
        <v>390</v>
      </c>
    </row>
    <row r="483" spans="1:1" x14ac:dyDescent="0.3">
      <c r="A483" t="s">
        <v>389</v>
      </c>
    </row>
    <row r="484" spans="1:1" x14ac:dyDescent="0.3">
      <c r="A484" t="s">
        <v>388</v>
      </c>
    </row>
    <row r="485" spans="1:1" x14ac:dyDescent="0.3">
      <c r="A485" t="s">
        <v>387</v>
      </c>
    </row>
    <row r="486" spans="1:1" x14ac:dyDescent="0.3">
      <c r="A486" t="s">
        <v>386</v>
      </c>
    </row>
    <row r="487" spans="1:1" x14ac:dyDescent="0.3">
      <c r="A487" t="s">
        <v>385</v>
      </c>
    </row>
    <row r="488" spans="1:1" x14ac:dyDescent="0.3">
      <c r="A488" t="s">
        <v>384</v>
      </c>
    </row>
    <row r="489" spans="1:1" x14ac:dyDescent="0.3">
      <c r="A489" t="s">
        <v>383</v>
      </c>
    </row>
    <row r="490" spans="1:1" x14ac:dyDescent="0.3">
      <c r="A490" t="s">
        <v>382</v>
      </c>
    </row>
    <row r="491" spans="1:1" x14ac:dyDescent="0.3">
      <c r="A491" t="s">
        <v>381</v>
      </c>
    </row>
    <row r="492" spans="1:1" x14ac:dyDescent="0.3">
      <c r="A492" t="s">
        <v>380</v>
      </c>
    </row>
    <row r="493" spans="1:1" x14ac:dyDescent="0.3">
      <c r="A493" t="s">
        <v>379</v>
      </c>
    </row>
    <row r="494" spans="1:1" x14ac:dyDescent="0.3">
      <c r="A494" t="s">
        <v>378</v>
      </c>
    </row>
    <row r="495" spans="1:1" x14ac:dyDescent="0.3">
      <c r="A495" t="s">
        <v>377</v>
      </c>
    </row>
    <row r="496" spans="1:1" x14ac:dyDescent="0.3">
      <c r="A496" t="s">
        <v>376</v>
      </c>
    </row>
    <row r="497" spans="1:1" x14ac:dyDescent="0.3">
      <c r="A497" t="s">
        <v>375</v>
      </c>
    </row>
    <row r="498" spans="1:1" x14ac:dyDescent="0.3">
      <c r="A498" t="s">
        <v>374</v>
      </c>
    </row>
    <row r="499" spans="1:1" x14ac:dyDescent="0.3">
      <c r="A499" t="s">
        <v>373</v>
      </c>
    </row>
    <row r="500" spans="1:1" x14ac:dyDescent="0.3">
      <c r="A500" t="s">
        <v>372</v>
      </c>
    </row>
    <row r="501" spans="1:1" x14ac:dyDescent="0.3">
      <c r="A501" t="s">
        <v>371</v>
      </c>
    </row>
    <row r="502" spans="1:1" x14ac:dyDescent="0.3">
      <c r="A502" t="s">
        <v>370</v>
      </c>
    </row>
    <row r="503" spans="1:1" x14ac:dyDescent="0.3">
      <c r="A503" t="s">
        <v>369</v>
      </c>
    </row>
    <row r="504" spans="1:1" x14ac:dyDescent="0.3">
      <c r="A504" t="s">
        <v>368</v>
      </c>
    </row>
    <row r="505" spans="1:1" x14ac:dyDescent="0.3">
      <c r="A505" t="s">
        <v>367</v>
      </c>
    </row>
    <row r="506" spans="1:1" x14ac:dyDescent="0.3">
      <c r="A506" t="s">
        <v>366</v>
      </c>
    </row>
    <row r="507" spans="1:1" x14ac:dyDescent="0.3">
      <c r="A507" t="s">
        <v>365</v>
      </c>
    </row>
    <row r="508" spans="1:1" x14ac:dyDescent="0.3">
      <c r="A508" t="s">
        <v>364</v>
      </c>
    </row>
    <row r="509" spans="1:1" x14ac:dyDescent="0.3">
      <c r="A509" t="s">
        <v>363</v>
      </c>
    </row>
    <row r="510" spans="1:1" x14ac:dyDescent="0.3">
      <c r="A510" t="s">
        <v>362</v>
      </c>
    </row>
    <row r="511" spans="1:1" x14ac:dyDescent="0.3">
      <c r="A511" t="s">
        <v>361</v>
      </c>
    </row>
    <row r="512" spans="1:1" x14ac:dyDescent="0.3">
      <c r="A512" t="s">
        <v>360</v>
      </c>
    </row>
    <row r="513" spans="1:1" x14ac:dyDescent="0.3">
      <c r="A513" t="s">
        <v>359</v>
      </c>
    </row>
    <row r="514" spans="1:1" x14ac:dyDescent="0.3">
      <c r="A514" t="s">
        <v>358</v>
      </c>
    </row>
    <row r="515" spans="1:1" x14ac:dyDescent="0.3">
      <c r="A515" t="s">
        <v>357</v>
      </c>
    </row>
    <row r="516" spans="1:1" x14ac:dyDescent="0.3">
      <c r="A516" t="s">
        <v>356</v>
      </c>
    </row>
    <row r="517" spans="1:1" x14ac:dyDescent="0.3">
      <c r="A517" t="s">
        <v>355</v>
      </c>
    </row>
    <row r="518" spans="1:1" x14ac:dyDescent="0.3">
      <c r="A518" t="s">
        <v>354</v>
      </c>
    </row>
    <row r="519" spans="1:1" x14ac:dyDescent="0.3">
      <c r="A519" t="s">
        <v>353</v>
      </c>
    </row>
    <row r="520" spans="1:1" x14ac:dyDescent="0.3">
      <c r="A520" t="s">
        <v>352</v>
      </c>
    </row>
    <row r="521" spans="1:1" x14ac:dyDescent="0.3">
      <c r="A521" t="s">
        <v>351</v>
      </c>
    </row>
    <row r="522" spans="1:1" x14ac:dyDescent="0.3">
      <c r="A522" t="s">
        <v>350</v>
      </c>
    </row>
    <row r="523" spans="1:1" x14ac:dyDescent="0.3">
      <c r="A523" t="s">
        <v>349</v>
      </c>
    </row>
    <row r="524" spans="1:1" x14ac:dyDescent="0.3">
      <c r="A524" t="s">
        <v>348</v>
      </c>
    </row>
    <row r="525" spans="1:1" x14ac:dyDescent="0.3">
      <c r="A525" t="s">
        <v>347</v>
      </c>
    </row>
    <row r="526" spans="1:1" x14ac:dyDescent="0.3">
      <c r="A526" t="s">
        <v>346</v>
      </c>
    </row>
    <row r="527" spans="1:1" x14ac:dyDescent="0.3">
      <c r="A527" t="s">
        <v>345</v>
      </c>
    </row>
    <row r="528" spans="1:1" x14ac:dyDescent="0.3">
      <c r="A528" t="s">
        <v>344</v>
      </c>
    </row>
    <row r="529" spans="1:1" x14ac:dyDescent="0.3">
      <c r="A529" t="s">
        <v>343</v>
      </c>
    </row>
    <row r="530" spans="1:1" x14ac:dyDescent="0.3">
      <c r="A530" t="s">
        <v>342</v>
      </c>
    </row>
    <row r="531" spans="1:1" x14ac:dyDescent="0.3">
      <c r="A531" t="s">
        <v>341</v>
      </c>
    </row>
    <row r="532" spans="1:1" x14ac:dyDescent="0.3">
      <c r="A532" t="s">
        <v>340</v>
      </c>
    </row>
    <row r="533" spans="1:1" x14ac:dyDescent="0.3">
      <c r="A533" t="s">
        <v>339</v>
      </c>
    </row>
    <row r="534" spans="1:1" x14ac:dyDescent="0.3">
      <c r="A534" t="s">
        <v>338</v>
      </c>
    </row>
    <row r="535" spans="1:1" x14ac:dyDescent="0.3">
      <c r="A535" t="s">
        <v>337</v>
      </c>
    </row>
    <row r="536" spans="1:1" x14ac:dyDescent="0.3">
      <c r="A536" t="s">
        <v>336</v>
      </c>
    </row>
    <row r="537" spans="1:1" x14ac:dyDescent="0.3">
      <c r="A537" t="s">
        <v>335</v>
      </c>
    </row>
    <row r="538" spans="1:1" x14ac:dyDescent="0.3">
      <c r="A538" t="s">
        <v>334</v>
      </c>
    </row>
    <row r="539" spans="1:1" x14ac:dyDescent="0.3">
      <c r="A539" t="s">
        <v>333</v>
      </c>
    </row>
    <row r="540" spans="1:1" x14ac:dyDescent="0.3">
      <c r="A540" t="s">
        <v>332</v>
      </c>
    </row>
    <row r="541" spans="1:1" x14ac:dyDescent="0.3">
      <c r="A541" t="s">
        <v>331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6" sqref="D16:E17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137</v>
      </c>
      <c r="B2" s="102" t="s">
        <v>136</v>
      </c>
      <c r="C2" s="102" t="s">
        <v>49</v>
      </c>
      <c r="D2" s="103">
        <v>8.52</v>
      </c>
      <c r="E2" s="103">
        <v>2.98</v>
      </c>
      <c r="G2" s="104"/>
    </row>
    <row r="3" spans="1:16" ht="20.100000000000001" customHeight="1" x14ac:dyDescent="0.35">
      <c r="A3" s="101" t="s">
        <v>138</v>
      </c>
      <c r="B3" s="102" t="s">
        <v>136</v>
      </c>
      <c r="C3" s="102" t="s">
        <v>139</v>
      </c>
      <c r="D3" s="103">
        <v>12.27</v>
      </c>
      <c r="E3" s="103">
        <v>4.01</v>
      </c>
      <c r="F3" s="104"/>
      <c r="G3" s="104"/>
    </row>
    <row r="4" spans="1:16" ht="20.100000000000001" customHeight="1" x14ac:dyDescent="0.35">
      <c r="A4" s="101" t="s">
        <v>138</v>
      </c>
      <c r="B4" s="102" t="s">
        <v>136</v>
      </c>
      <c r="C4" s="102" t="s">
        <v>139</v>
      </c>
      <c r="D4" s="103">
        <v>14.07</v>
      </c>
      <c r="E4" s="103">
        <v>3.84</v>
      </c>
      <c r="F4" s="104"/>
      <c r="G4" s="104"/>
    </row>
    <row r="5" spans="1:16" ht="20.100000000000001" customHeight="1" x14ac:dyDescent="0.35">
      <c r="A5" s="101" t="s">
        <v>138</v>
      </c>
      <c r="B5" s="102" t="s">
        <v>136</v>
      </c>
      <c r="C5" s="102" t="s">
        <v>139</v>
      </c>
      <c r="D5" s="103">
        <v>12.44</v>
      </c>
      <c r="E5" s="103">
        <v>3.65</v>
      </c>
      <c r="F5" s="104"/>
      <c r="G5" s="104"/>
    </row>
    <row r="6" spans="1:16" ht="20.100000000000001" customHeight="1" x14ac:dyDescent="0.35">
      <c r="A6" s="101" t="s">
        <v>137</v>
      </c>
      <c r="B6" s="102" t="s">
        <v>136</v>
      </c>
      <c r="C6" s="102" t="s">
        <v>49</v>
      </c>
      <c r="D6" s="103">
        <v>16.52</v>
      </c>
      <c r="E6" s="103">
        <v>5.16</v>
      </c>
      <c r="G6" s="104"/>
    </row>
    <row r="7" spans="1:16" ht="20.100000000000001" customHeight="1" x14ac:dyDescent="0.35">
      <c r="A7" s="101" t="s">
        <v>94</v>
      </c>
      <c r="B7" s="102" t="s">
        <v>84</v>
      </c>
      <c r="C7" s="102" t="s">
        <v>95</v>
      </c>
      <c r="D7" s="103">
        <v>10.89</v>
      </c>
      <c r="E7" s="103">
        <v>1.05</v>
      </c>
      <c r="G7" s="104"/>
    </row>
    <row r="8" spans="1:16" ht="20.100000000000001" customHeight="1" x14ac:dyDescent="0.35">
      <c r="A8" s="101" t="s">
        <v>83</v>
      </c>
      <c r="B8" s="102" t="s">
        <v>84</v>
      </c>
      <c r="C8" s="102" t="s">
        <v>96</v>
      </c>
      <c r="D8" s="103">
        <v>19.190000000000001</v>
      </c>
      <c r="E8" s="103">
        <v>4</v>
      </c>
      <c r="F8" s="104"/>
      <c r="G8" s="104"/>
    </row>
    <row r="9" spans="1:16" ht="20.100000000000001" customHeight="1" x14ac:dyDescent="0.35">
      <c r="A9" s="101" t="s">
        <v>83</v>
      </c>
      <c r="B9" s="102" t="s">
        <v>84</v>
      </c>
      <c r="C9" s="102" t="s">
        <v>99</v>
      </c>
      <c r="D9" s="103">
        <v>15.92</v>
      </c>
      <c r="E9" s="103">
        <v>-0.37</v>
      </c>
      <c r="F9" s="104"/>
      <c r="G9" s="104"/>
    </row>
    <row r="10" spans="1:16" ht="20.100000000000001" customHeight="1" x14ac:dyDescent="0.35">
      <c r="A10" s="101" t="s">
        <v>166</v>
      </c>
      <c r="B10" s="102" t="s">
        <v>85</v>
      </c>
      <c r="C10" s="102" t="s">
        <v>167</v>
      </c>
      <c r="D10" s="103">
        <v>13.38</v>
      </c>
      <c r="E10" s="103">
        <v>4.66</v>
      </c>
      <c r="F10" s="104"/>
      <c r="G10" s="104"/>
    </row>
    <row r="11" spans="1:16" ht="20.100000000000001" customHeight="1" x14ac:dyDescent="0.35">
      <c r="A11" s="101" t="s">
        <v>82</v>
      </c>
      <c r="B11" s="102" t="s">
        <v>86</v>
      </c>
      <c r="C11" s="102" t="s">
        <v>100</v>
      </c>
      <c r="D11" s="103">
        <v>7.56</v>
      </c>
      <c r="E11" s="103">
        <v>-0.25</v>
      </c>
      <c r="F11" s="104"/>
      <c r="G11" s="104"/>
    </row>
    <row r="12" spans="1:16" ht="20.100000000000001" customHeight="1" x14ac:dyDescent="0.35">
      <c r="A12" s="101" t="s">
        <v>168</v>
      </c>
      <c r="B12" s="102" t="s">
        <v>85</v>
      </c>
      <c r="C12" s="102" t="s">
        <v>169</v>
      </c>
      <c r="D12" s="103">
        <v>20.5</v>
      </c>
      <c r="E12" s="103">
        <v>5.45</v>
      </c>
      <c r="F12" s="104"/>
      <c r="G12" s="104"/>
    </row>
    <row r="13" spans="1:16" ht="20.100000000000001" customHeight="1" x14ac:dyDescent="0.35">
      <c r="A13" s="101" t="s">
        <v>170</v>
      </c>
      <c r="B13" s="102" t="s">
        <v>85</v>
      </c>
      <c r="C13" s="102" t="s">
        <v>171</v>
      </c>
      <c r="D13" s="103">
        <v>23.7</v>
      </c>
      <c r="E13" s="103">
        <v>6.6</v>
      </c>
      <c r="F13" s="104"/>
      <c r="G13" s="104"/>
    </row>
    <row r="14" spans="1:16" ht="20.100000000000001" customHeight="1" x14ac:dyDescent="0.35">
      <c r="A14" s="101" t="s">
        <v>172</v>
      </c>
      <c r="B14" s="102" t="s">
        <v>85</v>
      </c>
      <c r="C14" s="102" t="s">
        <v>169</v>
      </c>
      <c r="D14" s="103">
        <v>12.15</v>
      </c>
      <c r="E14" s="103">
        <v>-0.53</v>
      </c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 t="s">
        <v>1326</v>
      </c>
      <c r="D16" s="103">
        <f>AVERAGE(D2:D14)</f>
        <v>14.393076923076922</v>
      </c>
      <c r="E16" s="103">
        <f>AVERAGE(E2:E14)</f>
        <v>3.0961538461538463</v>
      </c>
      <c r="F16" s="104"/>
      <c r="G16" s="104"/>
    </row>
    <row r="17" spans="1:7" ht="20.100000000000001" customHeight="1" x14ac:dyDescent="0.35">
      <c r="A17" s="101"/>
      <c r="B17" s="102"/>
      <c r="C17" s="102" t="s">
        <v>1327</v>
      </c>
      <c r="D17" s="103">
        <f>_xlfn.STDEV.S(D2:D14)</f>
        <v>4.6701059670621854</v>
      </c>
      <c r="E17" s="103">
        <f>_xlfn.STDEV.S(E2:E14)</f>
        <v>2.3733750176402744</v>
      </c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87</v>
      </c>
      <c r="B2" s="102" t="s">
        <v>88</v>
      </c>
      <c r="C2" s="102" t="s">
        <v>89</v>
      </c>
      <c r="D2" s="103">
        <v>17.66</v>
      </c>
      <c r="E2" s="103">
        <v>10.89</v>
      </c>
      <c r="G2" s="104"/>
    </row>
    <row r="3" spans="1:16" ht="20.100000000000001" customHeight="1" x14ac:dyDescent="0.35">
      <c r="A3" s="101" t="s">
        <v>87</v>
      </c>
      <c r="B3" s="102" t="s">
        <v>88</v>
      </c>
      <c r="C3" s="102" t="s">
        <v>89</v>
      </c>
      <c r="D3" s="103">
        <v>18.170000000000002</v>
      </c>
      <c r="E3" s="103">
        <v>9.27</v>
      </c>
      <c r="F3" s="104"/>
      <c r="G3" s="104"/>
    </row>
    <row r="4" spans="1:16" ht="20.100000000000001" customHeight="1" x14ac:dyDescent="0.35">
      <c r="A4" s="101" t="s">
        <v>109</v>
      </c>
      <c r="B4" s="102"/>
      <c r="C4" s="102" t="s">
        <v>118</v>
      </c>
      <c r="D4" s="103">
        <v>15.309999999999999</v>
      </c>
      <c r="E4" s="103">
        <v>3.085</v>
      </c>
      <c r="F4" s="104"/>
      <c r="G4" s="104"/>
    </row>
    <row r="5" spans="1:16" ht="20.100000000000001" customHeight="1" x14ac:dyDescent="0.35">
      <c r="A5" s="101" t="s">
        <v>111</v>
      </c>
      <c r="B5" s="102"/>
      <c r="C5" s="102" t="s">
        <v>119</v>
      </c>
      <c r="D5" s="103">
        <v>19.239999999999998</v>
      </c>
      <c r="E5" s="103">
        <v>8.4600000000000009</v>
      </c>
      <c r="F5" s="104"/>
      <c r="G5" s="104"/>
    </row>
    <row r="6" spans="1:16" ht="20.100000000000001" customHeight="1" x14ac:dyDescent="0.35">
      <c r="A6" s="101" t="s">
        <v>161</v>
      </c>
      <c r="B6" s="102"/>
      <c r="C6" s="102" t="s">
        <v>121</v>
      </c>
      <c r="D6" s="103">
        <v>4.09</v>
      </c>
      <c r="E6" s="103">
        <v>16.754999999999999</v>
      </c>
      <c r="G6" s="104"/>
    </row>
    <row r="7" spans="1:16" ht="20.100000000000001" customHeight="1" x14ac:dyDescent="0.35">
      <c r="A7" s="101" t="s">
        <v>113</v>
      </c>
      <c r="B7" s="102"/>
      <c r="C7" s="102" t="s">
        <v>122</v>
      </c>
      <c r="D7" s="103">
        <v>20.925000000000001</v>
      </c>
      <c r="E7" s="103">
        <v>5.27</v>
      </c>
      <c r="G7" s="104"/>
    </row>
    <row r="8" spans="1:16" ht="20.100000000000001" customHeight="1" x14ac:dyDescent="0.35">
      <c r="A8" s="101" t="s">
        <v>173</v>
      </c>
      <c r="B8" s="102"/>
      <c r="C8" s="102" t="s">
        <v>174</v>
      </c>
      <c r="D8" s="103">
        <v>24.47</v>
      </c>
      <c r="E8" s="103">
        <v>-0.67</v>
      </c>
      <c r="F8" s="104"/>
      <c r="G8" s="104"/>
    </row>
    <row r="9" spans="1:16" ht="20.100000000000001" customHeight="1" x14ac:dyDescent="0.35">
      <c r="A9" s="101" t="s">
        <v>162</v>
      </c>
      <c r="B9" s="102"/>
      <c r="C9" s="102" t="s">
        <v>123</v>
      </c>
      <c r="D9" s="103">
        <v>24.39</v>
      </c>
      <c r="E9" s="103">
        <v>1.3149999999999999</v>
      </c>
      <c r="F9" s="104"/>
      <c r="G9" s="104"/>
    </row>
    <row r="10" spans="1:16" ht="20.100000000000001" customHeight="1" x14ac:dyDescent="0.35">
      <c r="A10" s="101" t="s">
        <v>102</v>
      </c>
      <c r="B10" s="102"/>
      <c r="C10" s="102" t="s">
        <v>101</v>
      </c>
      <c r="D10" s="103">
        <v>18.195</v>
      </c>
      <c r="E10" s="103">
        <v>4.7449999999999992</v>
      </c>
      <c r="F10" s="104"/>
      <c r="G10" s="104"/>
    </row>
    <row r="11" spans="1:16" ht="20.100000000000001" customHeight="1" x14ac:dyDescent="0.35">
      <c r="A11" s="101" t="s">
        <v>92</v>
      </c>
      <c r="B11" s="102" t="s">
        <v>85</v>
      </c>
      <c r="C11" s="102" t="s">
        <v>93</v>
      </c>
      <c r="D11" s="103">
        <v>9.6</v>
      </c>
      <c r="E11" s="103">
        <v>5.88</v>
      </c>
      <c r="F11" s="104"/>
      <c r="G11" s="104"/>
    </row>
    <row r="12" spans="1:16" ht="20.100000000000001" customHeight="1" x14ac:dyDescent="0.35">
      <c r="A12" s="101" t="s">
        <v>107</v>
      </c>
      <c r="B12" s="102"/>
      <c r="C12" s="102" t="s">
        <v>116</v>
      </c>
      <c r="D12" s="103">
        <v>8.6150000000000002</v>
      </c>
      <c r="E12" s="103">
        <v>11.465</v>
      </c>
      <c r="F12" s="104"/>
      <c r="G12" s="104"/>
    </row>
    <row r="13" spans="1:16" ht="20.100000000000001" customHeight="1" x14ac:dyDescent="0.35">
      <c r="A13" s="101" t="s">
        <v>112</v>
      </c>
      <c r="B13" s="102"/>
      <c r="C13" s="102" t="s">
        <v>120</v>
      </c>
      <c r="D13" s="103">
        <v>17.560000000000002</v>
      </c>
      <c r="E13" s="103">
        <v>8.84</v>
      </c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 t="s">
        <v>1328</v>
      </c>
      <c r="D15" s="103">
        <f>AVERAGE(D2:D13)</f>
        <v>16.518750000000001</v>
      </c>
      <c r="E15" s="103">
        <f>AVERAGE(E2:E13)</f>
        <v>7.1087500000000006</v>
      </c>
      <c r="F15" s="104"/>
      <c r="G15" s="104"/>
    </row>
    <row r="16" spans="1:16" ht="20.100000000000001" customHeight="1" x14ac:dyDescent="0.35">
      <c r="A16" s="101"/>
      <c r="B16" s="102"/>
      <c r="C16" s="102" t="s">
        <v>1329</v>
      </c>
      <c r="D16" s="103">
        <f>_xlfn.STDEV.S(D2:D13)</f>
        <v>6.2245522383687808</v>
      </c>
      <c r="E16" s="103">
        <f>_xlfn.STDEV.S(E2:E13)</f>
        <v>4.8294946681821687</v>
      </c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114</v>
      </c>
      <c r="B2" s="102" t="s">
        <v>163</v>
      </c>
      <c r="C2" s="102" t="s">
        <v>165</v>
      </c>
      <c r="D2" s="103">
        <v>0.63</v>
      </c>
      <c r="E2" s="103">
        <v>10.72</v>
      </c>
      <c r="G2" s="104"/>
    </row>
    <row r="3" spans="1:16" ht="20.100000000000001" customHeight="1" x14ac:dyDescent="0.35">
      <c r="A3" s="101" t="s">
        <v>115</v>
      </c>
      <c r="B3" s="102" t="s">
        <v>163</v>
      </c>
      <c r="C3" s="102" t="s">
        <v>164</v>
      </c>
      <c r="D3" s="103">
        <v>1.1000000000000001</v>
      </c>
      <c r="E3" s="103">
        <v>18.05</v>
      </c>
      <c r="F3" s="104"/>
      <c r="G3" s="104"/>
    </row>
    <row r="4" spans="1:16" ht="20.100000000000001" customHeight="1" x14ac:dyDescent="0.35">
      <c r="A4" s="101" t="s">
        <v>103</v>
      </c>
      <c r="B4" s="102"/>
      <c r="C4" s="102" t="s">
        <v>104</v>
      </c>
      <c r="D4" s="103">
        <v>1.665</v>
      </c>
      <c r="E4" s="103">
        <v>4.1099999999999994</v>
      </c>
      <c r="F4" s="104"/>
      <c r="G4" s="104"/>
    </row>
    <row r="5" spans="1:16" ht="20.100000000000001" customHeight="1" x14ac:dyDescent="0.35">
      <c r="A5" s="101" t="s">
        <v>108</v>
      </c>
      <c r="B5" s="102"/>
      <c r="C5" s="102" t="s">
        <v>117</v>
      </c>
      <c r="D5" s="103">
        <v>1.4100000000000001</v>
      </c>
      <c r="E5" s="103">
        <v>8.9700000000000006</v>
      </c>
      <c r="F5" s="104"/>
      <c r="G5" s="104"/>
    </row>
    <row r="6" spans="1:16" ht="20.100000000000001" customHeight="1" x14ac:dyDescent="0.35">
      <c r="A6" s="101" t="s">
        <v>110</v>
      </c>
      <c r="B6" s="102"/>
      <c r="C6" s="102" t="s">
        <v>177</v>
      </c>
      <c r="D6" s="103">
        <v>0.53</v>
      </c>
      <c r="E6" s="103">
        <v>7.29</v>
      </c>
      <c r="G6" s="104"/>
    </row>
    <row r="7" spans="1:16" ht="20.100000000000001" customHeight="1" x14ac:dyDescent="0.35">
      <c r="A7" s="101"/>
      <c r="B7" s="102"/>
      <c r="C7" s="102"/>
      <c r="D7" s="103"/>
      <c r="E7" s="103"/>
      <c r="G7" s="104"/>
    </row>
    <row r="8" spans="1:16" ht="20.100000000000001" customHeight="1" x14ac:dyDescent="0.35">
      <c r="A8" s="101"/>
      <c r="B8" s="102"/>
      <c r="C8" s="102" t="s">
        <v>1330</v>
      </c>
      <c r="D8" s="103">
        <f>AVERAGE(D2:D6)</f>
        <v>1.0669999999999999</v>
      </c>
      <c r="E8" s="103">
        <f>AVERAGE(E2:E6)</f>
        <v>9.8279999999999994</v>
      </c>
      <c r="F8" s="104"/>
      <c r="G8" s="104"/>
    </row>
    <row r="9" spans="1:16" ht="20.100000000000001" customHeight="1" x14ac:dyDescent="0.35">
      <c r="A9" s="101"/>
      <c r="B9" s="102"/>
      <c r="C9" s="102" t="s">
        <v>1331</v>
      </c>
      <c r="D9" s="103">
        <f>_xlfn.STDEV.S(D2:D6)</f>
        <v>0.488794435320207</v>
      </c>
      <c r="E9" s="103">
        <f>_xlfn.STDEV.S(E2:E6)</f>
        <v>5.2026454809068055</v>
      </c>
      <c r="F9" s="104"/>
      <c r="G9" s="104"/>
    </row>
    <row r="10" spans="1:16" ht="20.100000000000001" customHeight="1" x14ac:dyDescent="0.35">
      <c r="A10" s="101"/>
      <c r="B10" s="102"/>
      <c r="C10" s="102"/>
      <c r="D10" s="103"/>
      <c r="E10" s="103"/>
      <c r="F10" s="104"/>
      <c r="G10" s="104"/>
    </row>
    <row r="11" spans="1:16" ht="20.100000000000001" customHeight="1" x14ac:dyDescent="0.35">
      <c r="A11" s="101"/>
      <c r="B11" s="102"/>
      <c r="C11" s="102"/>
      <c r="D11" s="103"/>
      <c r="E11" s="103"/>
      <c r="F11" s="104"/>
      <c r="G11" s="104"/>
    </row>
    <row r="12" spans="1:16" ht="20.100000000000001" customHeight="1" x14ac:dyDescent="0.35">
      <c r="A12" s="101"/>
      <c r="B12" s="102"/>
      <c r="C12" s="102"/>
      <c r="D12" s="103"/>
      <c r="E12" s="103"/>
      <c r="F12" s="104"/>
      <c r="G12" s="104"/>
    </row>
    <row r="13" spans="1:16" ht="20.100000000000001" customHeight="1" x14ac:dyDescent="0.35">
      <c r="A13" s="101"/>
      <c r="B13" s="102"/>
      <c r="C13" s="102"/>
      <c r="D13" s="103"/>
      <c r="E13" s="103"/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175</v>
      </c>
      <c r="B2" s="102"/>
      <c r="C2" s="102" t="s">
        <v>176</v>
      </c>
      <c r="D2" s="103">
        <v>3.25</v>
      </c>
      <c r="E2" s="103">
        <v>40.020000000000003</v>
      </c>
      <c r="G2" s="104"/>
    </row>
    <row r="3" spans="1:16" ht="20.100000000000001" customHeight="1" x14ac:dyDescent="0.35">
      <c r="A3" s="101" t="s">
        <v>147</v>
      </c>
      <c r="B3" s="102"/>
      <c r="C3" s="102" t="s">
        <v>148</v>
      </c>
      <c r="D3" s="103">
        <v>1.75</v>
      </c>
      <c r="E3" s="103">
        <v>45.94</v>
      </c>
      <c r="F3" s="104"/>
      <c r="G3" s="104"/>
    </row>
    <row r="4" spans="1:16" ht="20.100000000000001" customHeight="1" x14ac:dyDescent="0.35">
      <c r="A4" s="101" t="s">
        <v>160</v>
      </c>
      <c r="B4" s="102"/>
      <c r="C4" s="102" t="s">
        <v>148</v>
      </c>
      <c r="D4" s="103">
        <v>0.13</v>
      </c>
      <c r="E4" s="103">
        <v>51.47</v>
      </c>
      <c r="F4" s="104"/>
      <c r="G4" s="104"/>
    </row>
    <row r="5" spans="1:16" ht="20.100000000000001" customHeight="1" x14ac:dyDescent="0.35">
      <c r="A5" s="101"/>
      <c r="B5" s="102"/>
      <c r="C5" s="102"/>
      <c r="D5" s="103"/>
      <c r="E5" s="103"/>
      <c r="F5" s="104"/>
      <c r="G5" s="104"/>
    </row>
    <row r="6" spans="1:16" ht="20.100000000000001" customHeight="1" x14ac:dyDescent="0.35">
      <c r="A6" s="101"/>
      <c r="B6" s="102"/>
      <c r="C6" s="102" t="s">
        <v>1330</v>
      </c>
      <c r="D6" s="103">
        <f>AVERAGE(D2:D4)</f>
        <v>1.71</v>
      </c>
      <c r="E6" s="103">
        <f>AVERAGE(E2:E4)</f>
        <v>45.81</v>
      </c>
      <c r="G6" s="104"/>
    </row>
    <row r="7" spans="1:16" ht="20.100000000000001" customHeight="1" x14ac:dyDescent="0.35">
      <c r="A7" s="101"/>
      <c r="B7" s="102"/>
      <c r="C7" s="102" t="s">
        <v>1331</v>
      </c>
      <c r="D7" s="103">
        <f>_xlfn.STDEV.S(D2:D4)</f>
        <v>1.5603845679831623</v>
      </c>
      <c r="E7" s="103">
        <f>_xlfn.STDEV.S(E2:E4)</f>
        <v>5.7261068798966068</v>
      </c>
      <c r="G7" s="104"/>
    </row>
    <row r="8" spans="1:16" ht="20.100000000000001" customHeight="1" x14ac:dyDescent="0.35">
      <c r="A8" s="101"/>
      <c r="B8" s="102"/>
      <c r="C8" s="102"/>
      <c r="D8" s="103"/>
      <c r="E8" s="103"/>
      <c r="F8" s="104"/>
      <c r="G8" s="104"/>
    </row>
    <row r="9" spans="1:16" ht="20.100000000000001" customHeight="1" x14ac:dyDescent="0.35">
      <c r="A9" s="101"/>
      <c r="B9" s="102"/>
      <c r="C9" s="102"/>
      <c r="D9" s="103"/>
      <c r="E9" s="103"/>
      <c r="F9" s="104"/>
      <c r="G9" s="104"/>
    </row>
    <row r="10" spans="1:16" ht="20.100000000000001" customHeight="1" x14ac:dyDescent="0.35">
      <c r="A10" s="101"/>
      <c r="B10" s="102"/>
      <c r="C10" s="102"/>
      <c r="D10" s="103"/>
      <c r="E10" s="103"/>
      <c r="F10" s="104"/>
      <c r="G10" s="104"/>
    </row>
    <row r="11" spans="1:16" ht="20.100000000000001" customHeight="1" x14ac:dyDescent="0.35">
      <c r="A11" s="101"/>
      <c r="B11" s="102"/>
      <c r="C11" s="102"/>
      <c r="D11" s="103"/>
      <c r="E11" s="103"/>
      <c r="F11" s="104"/>
      <c r="G11" s="104"/>
    </row>
    <row r="12" spans="1:16" ht="20.100000000000001" customHeight="1" x14ac:dyDescent="0.35">
      <c r="A12" s="101"/>
      <c r="B12" s="102"/>
      <c r="C12" s="102"/>
      <c r="D12" s="103"/>
      <c r="E12" s="103"/>
      <c r="F12" s="104"/>
      <c r="G12" s="104"/>
    </row>
    <row r="13" spans="1:16" ht="20.100000000000001" customHeight="1" x14ac:dyDescent="0.35">
      <c r="A13" s="101"/>
      <c r="B13" s="102"/>
      <c r="C13" s="102"/>
      <c r="D13" s="103"/>
      <c r="E13" s="103"/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D15" sqref="D15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90</v>
      </c>
      <c r="B2" s="102" t="s">
        <v>88</v>
      </c>
      <c r="C2" s="102" t="s">
        <v>91</v>
      </c>
      <c r="D2" s="103">
        <v>1.75</v>
      </c>
      <c r="E2" s="103">
        <v>7.65</v>
      </c>
      <c r="G2" s="104"/>
    </row>
    <row r="3" spans="1:16" ht="20.100000000000001" customHeight="1" x14ac:dyDescent="0.35">
      <c r="A3" s="101" t="s">
        <v>97</v>
      </c>
      <c r="B3" s="102" t="s">
        <v>84</v>
      </c>
      <c r="C3" s="102" t="s">
        <v>98</v>
      </c>
      <c r="D3" s="103">
        <v>4.34</v>
      </c>
      <c r="E3" s="103">
        <v>0.88</v>
      </c>
      <c r="F3" s="104"/>
      <c r="G3" s="104"/>
    </row>
    <row r="4" spans="1:16" ht="20.100000000000001" customHeight="1" x14ac:dyDescent="0.35">
      <c r="A4" s="101" t="s">
        <v>105</v>
      </c>
      <c r="B4" s="102"/>
      <c r="C4" s="102" t="s">
        <v>106</v>
      </c>
      <c r="D4" s="103">
        <v>3.76</v>
      </c>
      <c r="E4" s="103">
        <v>8.43</v>
      </c>
      <c r="F4" s="104"/>
      <c r="G4" s="104"/>
    </row>
    <row r="5" spans="1:16" ht="20.100000000000001" customHeight="1" x14ac:dyDescent="0.35">
      <c r="A5" s="101" t="s">
        <v>149</v>
      </c>
      <c r="B5" s="102" t="s">
        <v>150</v>
      </c>
      <c r="C5" s="102" t="s">
        <v>151</v>
      </c>
      <c r="D5" s="103">
        <v>2.36</v>
      </c>
      <c r="E5" s="103">
        <v>-0.6</v>
      </c>
      <c r="F5" s="104"/>
      <c r="G5" s="104"/>
    </row>
    <row r="6" spans="1:16" ht="20.100000000000001" customHeight="1" x14ac:dyDescent="0.35">
      <c r="A6" s="101" t="s">
        <v>152</v>
      </c>
      <c r="B6" s="102" t="s">
        <v>150</v>
      </c>
      <c r="C6" s="102" t="s">
        <v>153</v>
      </c>
      <c r="D6" s="103">
        <v>1.86</v>
      </c>
      <c r="E6" s="103">
        <v>-1.83</v>
      </c>
      <c r="F6" s="104"/>
      <c r="G6" s="104"/>
    </row>
    <row r="7" spans="1:16" ht="20.100000000000001" customHeight="1" x14ac:dyDescent="0.35">
      <c r="A7" s="101" t="s">
        <v>154</v>
      </c>
      <c r="B7" s="102" t="s">
        <v>150</v>
      </c>
      <c r="C7" s="102" t="s">
        <v>155</v>
      </c>
      <c r="D7" s="103">
        <v>7.77</v>
      </c>
      <c r="E7" s="103">
        <v>2.4</v>
      </c>
      <c r="F7" s="104"/>
      <c r="G7" s="104"/>
    </row>
    <row r="8" spans="1:16" ht="20.100000000000001" customHeight="1" x14ac:dyDescent="0.35">
      <c r="A8" s="101" t="s">
        <v>156</v>
      </c>
      <c r="B8" s="102" t="s">
        <v>150</v>
      </c>
      <c r="C8" s="102" t="s">
        <v>157</v>
      </c>
      <c r="D8" s="103">
        <v>0.92</v>
      </c>
      <c r="E8" s="103">
        <v>0.08</v>
      </c>
      <c r="F8" s="104"/>
      <c r="G8" s="104"/>
    </row>
    <row r="9" spans="1:16" ht="20.100000000000001" customHeight="1" x14ac:dyDescent="0.35">
      <c r="A9" s="101" t="s">
        <v>158</v>
      </c>
      <c r="B9" s="102" t="s">
        <v>150</v>
      </c>
      <c r="C9" s="102" t="s">
        <v>159</v>
      </c>
      <c r="D9" s="103">
        <v>2.98</v>
      </c>
      <c r="E9" s="103">
        <v>0.23</v>
      </c>
      <c r="F9" s="104"/>
      <c r="G9" s="104"/>
    </row>
    <row r="10" spans="1:16" ht="20.100000000000001" customHeight="1" x14ac:dyDescent="0.35">
      <c r="A10" s="101"/>
      <c r="B10" s="102"/>
      <c r="C10" s="102"/>
      <c r="D10" s="103"/>
      <c r="E10" s="103"/>
      <c r="F10" s="104"/>
      <c r="G10" s="104"/>
    </row>
    <row r="11" spans="1:16" ht="20.100000000000001" customHeight="1" x14ac:dyDescent="0.35">
      <c r="A11" s="101"/>
      <c r="B11" s="102"/>
      <c r="C11" s="102" t="s">
        <v>1332</v>
      </c>
      <c r="D11" s="103">
        <f>AVERAGE(D2:D9)</f>
        <v>3.2174999999999998</v>
      </c>
      <c r="E11" s="103">
        <f>AVERAGE(E2:E9)</f>
        <v>2.1549999999999998</v>
      </c>
      <c r="F11" s="104"/>
      <c r="G11" s="104"/>
    </row>
    <row r="12" spans="1:16" ht="20.100000000000001" customHeight="1" x14ac:dyDescent="0.35">
      <c r="A12" s="101"/>
      <c r="B12" s="102"/>
      <c r="C12" s="102" t="s">
        <v>1333</v>
      </c>
      <c r="D12" s="103">
        <f>_xlfn.STDEV.S(D2:D9)</f>
        <v>2.1496228905155834</v>
      </c>
      <c r="E12" s="103">
        <f>_xlfn.STDEV.S(E2:E9)</f>
        <v>3.8310349217187487</v>
      </c>
      <c r="F12" s="104"/>
      <c r="G12" s="104"/>
    </row>
    <row r="13" spans="1:16" ht="20.100000000000001" customHeight="1" x14ac:dyDescent="0.35">
      <c r="A13" s="101"/>
      <c r="B13" s="102"/>
      <c r="C13" s="102"/>
      <c r="D13" s="103"/>
      <c r="E13" s="103"/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</sheetData>
  <autoFilter ref="A1:E19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4월</vt:lpstr>
      <vt:lpstr>6월</vt:lpstr>
      <vt:lpstr>8월</vt:lpstr>
      <vt:lpstr>10월</vt:lpstr>
      <vt:lpstr>9월 19일_기여율 결과 포함</vt:lpstr>
      <vt:lpstr>summary_statistics_MixSIAR_0919</vt:lpstr>
      <vt:lpstr>diagnostics_MixSIAR_0919(long)</vt:lpstr>
      <vt:lpstr>9월 20일 A</vt:lpstr>
      <vt:lpstr>9월 20일 P</vt:lpstr>
      <vt:lpstr>9월 23일_기여율 결과 포함</vt:lpstr>
      <vt:lpstr>summary_statistics_MixSIAR_0923</vt:lpstr>
      <vt:lpstr>diagnostics_MixSIAR_0923(long)</vt:lpstr>
      <vt:lpstr>오염원(하수)</vt:lpstr>
      <vt:lpstr>오염원(퇴비)</vt:lpstr>
      <vt:lpstr>오염원(비료)</vt:lpstr>
      <vt:lpstr>오염원(강우)</vt:lpstr>
      <vt:lpstr>오염원(토양_산림)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2026-04-16T23:14:04Z</dcterms:modified>
</cp:coreProperties>
</file>