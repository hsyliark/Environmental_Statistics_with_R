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esktop\코드 작성중_260430\"/>
    </mc:Choice>
  </mc:AlternateContent>
  <bookViews>
    <workbookView xWindow="0" yWindow="0" windowWidth="30720" windowHeight="13215" tabRatio="723" activeTab="1"/>
  </bookViews>
  <sheets>
    <sheet name="분석 결과 정리중(계속)" sheetId="37" r:id="rId1"/>
    <sheet name="회의용 시트" sheetId="38" r:id="rId2"/>
  </sheets>
  <definedNames>
    <definedName name="_xlnm.Print_Area" localSheetId="0">'분석 결과 정리중(계속)'!#REF!</definedName>
    <definedName name="_xlnm.Print_Area" localSheetId="1">'회의용 시트'!#REF!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4" i="38" l="1"/>
  <c r="U173" i="38"/>
  <c r="U172" i="38"/>
  <c r="U171" i="38"/>
  <c r="U170" i="38"/>
  <c r="U169" i="38"/>
  <c r="U168" i="38"/>
  <c r="AQ167" i="38"/>
  <c r="AP167" i="38"/>
  <c r="U167" i="38"/>
  <c r="AQ166" i="38"/>
  <c r="AP166" i="38"/>
  <c r="U166" i="38"/>
  <c r="AW165" i="38"/>
  <c r="AV165" i="38"/>
  <c r="U165" i="38"/>
  <c r="BI164" i="38"/>
  <c r="BH164" i="38"/>
  <c r="AW164" i="38"/>
  <c r="AV164" i="38"/>
  <c r="U164" i="38"/>
  <c r="BI163" i="38"/>
  <c r="BH163" i="38"/>
  <c r="U163" i="38"/>
  <c r="U162" i="38"/>
  <c r="U161" i="38"/>
  <c r="U160" i="38"/>
  <c r="U159" i="38"/>
  <c r="BC158" i="38"/>
  <c r="BB158" i="38"/>
  <c r="U158" i="38"/>
  <c r="BC157" i="38"/>
  <c r="BB157" i="38"/>
  <c r="U157" i="38"/>
  <c r="U156" i="38"/>
  <c r="U155" i="38"/>
  <c r="U154" i="38"/>
  <c r="U153" i="38"/>
  <c r="U152" i="38"/>
  <c r="U151" i="38"/>
  <c r="V139" i="38"/>
  <c r="O139" i="38"/>
  <c r="V138" i="38"/>
  <c r="O138" i="38"/>
  <c r="V137" i="38"/>
  <c r="O137" i="38"/>
  <c r="V136" i="38"/>
  <c r="O136" i="38"/>
  <c r="V135" i="38"/>
  <c r="O135" i="38"/>
  <c r="V134" i="38"/>
  <c r="O134" i="38"/>
  <c r="V133" i="38"/>
  <c r="O133" i="38"/>
  <c r="AQ132" i="38"/>
  <c r="AP132" i="38"/>
  <c r="V132" i="38"/>
  <c r="O132" i="38"/>
  <c r="AQ131" i="38"/>
  <c r="AP131" i="38"/>
  <c r="V131" i="38"/>
  <c r="O131" i="38"/>
  <c r="AW130" i="38"/>
  <c r="AV130" i="38"/>
  <c r="V130" i="38"/>
  <c r="O130" i="38"/>
  <c r="BO129" i="38"/>
  <c r="BN129" i="38"/>
  <c r="AW129" i="38"/>
  <c r="AV129" i="38"/>
  <c r="V129" i="38"/>
  <c r="O129" i="38"/>
  <c r="BO128" i="38"/>
  <c r="BN128" i="38"/>
  <c r="V128" i="38"/>
  <c r="O128" i="38"/>
  <c r="V127" i="38"/>
  <c r="O127" i="38"/>
  <c r="V126" i="38"/>
  <c r="O126" i="38"/>
  <c r="V125" i="38"/>
  <c r="O125" i="38"/>
  <c r="V124" i="38"/>
  <c r="O124" i="38"/>
  <c r="BC123" i="38"/>
  <c r="BB123" i="38"/>
  <c r="V123" i="38"/>
  <c r="O123" i="38"/>
  <c r="BC122" i="38"/>
  <c r="BB122" i="38"/>
  <c r="V122" i="38"/>
  <c r="O122" i="38"/>
  <c r="BI121" i="38"/>
  <c r="BH121" i="38"/>
  <c r="V121" i="38"/>
  <c r="O121" i="38"/>
  <c r="BI120" i="38"/>
  <c r="BH120" i="38"/>
  <c r="V120" i="38"/>
  <c r="O120" i="38"/>
  <c r="V119" i="38"/>
  <c r="O119" i="38"/>
  <c r="V118" i="38"/>
  <c r="O118" i="38"/>
  <c r="V117" i="38"/>
  <c r="O117" i="38"/>
  <c r="V116" i="38"/>
  <c r="O116" i="38"/>
  <c r="V104" i="38"/>
  <c r="O104" i="38"/>
  <c r="V103" i="38"/>
  <c r="O103" i="38"/>
  <c r="V102" i="38"/>
  <c r="O102" i="38"/>
  <c r="V101" i="38"/>
  <c r="O101" i="38"/>
  <c r="V100" i="38"/>
  <c r="O100" i="38"/>
  <c r="V99" i="38"/>
  <c r="O99" i="38"/>
  <c r="V98" i="38"/>
  <c r="O98" i="38"/>
  <c r="AQ97" i="38"/>
  <c r="AP97" i="38"/>
  <c r="V97" i="38"/>
  <c r="O97" i="38"/>
  <c r="AQ96" i="38"/>
  <c r="AP96" i="38"/>
  <c r="V96" i="38"/>
  <c r="O96" i="38"/>
  <c r="AW95" i="38"/>
  <c r="AV95" i="38"/>
  <c r="V95" i="38"/>
  <c r="O95" i="38"/>
  <c r="BO94" i="38"/>
  <c r="BN94" i="38"/>
  <c r="AW94" i="38"/>
  <c r="AV94" i="38"/>
  <c r="V94" i="38"/>
  <c r="O94" i="38"/>
  <c r="BO93" i="38"/>
  <c r="BN93" i="38"/>
  <c r="V93" i="38"/>
  <c r="O93" i="38"/>
  <c r="V92" i="38"/>
  <c r="O92" i="38"/>
  <c r="V91" i="38"/>
  <c r="O91" i="38"/>
  <c r="V90" i="38"/>
  <c r="O90" i="38"/>
  <c r="V89" i="38"/>
  <c r="O89" i="38"/>
  <c r="BC88" i="38"/>
  <c r="BB88" i="38"/>
  <c r="V88" i="38"/>
  <c r="O88" i="38"/>
  <c r="BC87" i="38"/>
  <c r="BB87" i="38"/>
  <c r="V87" i="38"/>
  <c r="O87" i="38"/>
  <c r="BI86" i="38"/>
  <c r="BH86" i="38"/>
  <c r="V86" i="38"/>
  <c r="O86" i="38"/>
  <c r="BI85" i="38"/>
  <c r="BH85" i="38"/>
  <c r="V85" i="38"/>
  <c r="O85" i="38"/>
  <c r="V84" i="38"/>
  <c r="O84" i="38"/>
  <c r="V83" i="38"/>
  <c r="O83" i="38"/>
  <c r="V82" i="38"/>
  <c r="O82" i="38"/>
  <c r="V81" i="38"/>
  <c r="O81" i="38"/>
  <c r="V69" i="38"/>
  <c r="O69" i="38"/>
  <c r="V68" i="38"/>
  <c r="O68" i="38"/>
  <c r="V67" i="38"/>
  <c r="O67" i="38"/>
  <c r="V66" i="38"/>
  <c r="O66" i="38"/>
  <c r="V65" i="38"/>
  <c r="O65" i="38"/>
  <c r="V64" i="38"/>
  <c r="O64" i="38"/>
  <c r="V63" i="38"/>
  <c r="O63" i="38"/>
  <c r="AQ62" i="38"/>
  <c r="AP62" i="38"/>
  <c r="V62" i="38"/>
  <c r="O62" i="38"/>
  <c r="AQ61" i="38"/>
  <c r="AP61" i="38"/>
  <c r="V61" i="38"/>
  <c r="O61" i="38"/>
  <c r="AW60" i="38"/>
  <c r="AV60" i="38"/>
  <c r="V60" i="38"/>
  <c r="O60" i="38"/>
  <c r="BO59" i="38"/>
  <c r="BN59" i="38"/>
  <c r="AW59" i="38"/>
  <c r="AV59" i="38"/>
  <c r="V59" i="38"/>
  <c r="O59" i="38"/>
  <c r="BO58" i="38"/>
  <c r="BN58" i="38"/>
  <c r="V58" i="38"/>
  <c r="O58" i="38"/>
  <c r="V57" i="38"/>
  <c r="O57" i="38"/>
  <c r="V56" i="38"/>
  <c r="O56" i="38"/>
  <c r="V55" i="38"/>
  <c r="O55" i="38"/>
  <c r="V54" i="38"/>
  <c r="O54" i="38"/>
  <c r="BC53" i="38"/>
  <c r="BB53" i="38"/>
  <c r="V53" i="38"/>
  <c r="O53" i="38"/>
  <c r="BC52" i="38"/>
  <c r="BB52" i="38"/>
  <c r="V52" i="38"/>
  <c r="O52" i="38"/>
  <c r="BI51" i="38"/>
  <c r="BH51" i="38"/>
  <c r="V51" i="38"/>
  <c r="O51" i="38"/>
  <c r="BI50" i="38"/>
  <c r="BH50" i="38"/>
  <c r="V50" i="38"/>
  <c r="O50" i="38"/>
  <c r="V49" i="38"/>
  <c r="O49" i="38"/>
  <c r="V48" i="38"/>
  <c r="O48" i="38"/>
  <c r="V47" i="38"/>
  <c r="O47" i="38"/>
  <c r="V46" i="38"/>
  <c r="O46" i="38"/>
  <c r="V34" i="38"/>
  <c r="O34" i="38"/>
  <c r="V33" i="38"/>
  <c r="O33" i="38"/>
  <c r="V32" i="38"/>
  <c r="O32" i="38"/>
  <c r="V31" i="38"/>
  <c r="O31" i="38"/>
  <c r="V30" i="38"/>
  <c r="O30" i="38"/>
  <c r="V29" i="38"/>
  <c r="O29" i="38"/>
  <c r="V28" i="38"/>
  <c r="O28" i="38"/>
  <c r="V27" i="38"/>
  <c r="O27" i="38"/>
  <c r="AQ26" i="38"/>
  <c r="AP26" i="38"/>
  <c r="V26" i="38"/>
  <c r="O26" i="38"/>
  <c r="AW25" i="38"/>
  <c r="AV25" i="38"/>
  <c r="AQ25" i="38"/>
  <c r="AP25" i="38"/>
  <c r="V25" i="38"/>
  <c r="O25" i="38"/>
  <c r="AW24" i="38"/>
  <c r="AV24" i="38"/>
  <c r="V24" i="38"/>
  <c r="O24" i="38"/>
  <c r="V23" i="38"/>
  <c r="O23" i="38"/>
  <c r="V22" i="38"/>
  <c r="O22" i="38"/>
  <c r="BO21" i="38"/>
  <c r="BN21" i="38"/>
  <c r="V21" i="38"/>
  <c r="O21" i="38"/>
  <c r="BO20" i="38"/>
  <c r="BN20" i="38"/>
  <c r="V20" i="38"/>
  <c r="O20" i="38"/>
  <c r="V19" i="38"/>
  <c r="O19" i="38"/>
  <c r="BC18" i="38"/>
  <c r="BB18" i="38"/>
  <c r="V18" i="38"/>
  <c r="O18" i="38"/>
  <c r="BC17" i="38"/>
  <c r="BB17" i="38"/>
  <c r="V17" i="38"/>
  <c r="O17" i="38"/>
  <c r="BI16" i="38"/>
  <c r="BH16" i="38"/>
  <c r="V16" i="38"/>
  <c r="O16" i="38"/>
  <c r="BI15" i="38"/>
  <c r="BH15" i="38"/>
  <c r="V15" i="38"/>
  <c r="O15" i="38"/>
  <c r="V14" i="38"/>
  <c r="O14" i="38"/>
  <c r="V13" i="38"/>
  <c r="O13" i="38"/>
  <c r="V12" i="38"/>
  <c r="O12" i="38"/>
  <c r="V11" i="38"/>
  <c r="O11" i="38"/>
  <c r="AY158" i="37" l="1"/>
  <c r="AY159" i="37"/>
  <c r="AY160" i="37"/>
  <c r="AY161" i="37"/>
  <c r="AY162" i="37"/>
  <c r="AY163" i="37"/>
  <c r="AY164" i="37"/>
  <c r="AY165" i="37"/>
  <c r="AY166" i="37"/>
  <c r="AY167" i="37"/>
  <c r="AY168" i="37"/>
  <c r="AY169" i="37"/>
  <c r="AY170" i="37"/>
  <c r="AY171" i="37"/>
  <c r="AY172" i="37"/>
  <c r="AY173" i="37"/>
  <c r="AY174" i="37"/>
  <c r="AY175" i="37"/>
  <c r="AY176" i="37"/>
  <c r="AY177" i="37"/>
  <c r="AY178" i="37"/>
  <c r="AY179" i="37"/>
  <c r="AY180" i="37"/>
  <c r="AY157" i="37"/>
  <c r="AR158" i="37" l="1"/>
  <c r="AR159" i="37"/>
  <c r="AR160" i="37"/>
  <c r="AR161" i="37"/>
  <c r="AR162" i="37"/>
  <c r="AR163" i="37"/>
  <c r="AR164" i="37"/>
  <c r="AR165" i="37"/>
  <c r="AR166" i="37"/>
  <c r="AR167" i="37"/>
  <c r="AR168" i="37"/>
  <c r="AR169" i="37"/>
  <c r="AR170" i="37"/>
  <c r="AR171" i="37"/>
  <c r="AR172" i="37"/>
  <c r="AR173" i="37"/>
  <c r="AR174" i="37"/>
  <c r="AR175" i="37"/>
  <c r="AR176" i="37"/>
  <c r="AR177" i="37"/>
  <c r="AR178" i="37"/>
  <c r="AR179" i="37"/>
  <c r="AR180" i="37"/>
  <c r="AR157" i="37"/>
  <c r="AK158" i="37"/>
  <c r="AK159" i="37"/>
  <c r="AK160" i="37"/>
  <c r="AK161" i="37"/>
  <c r="AK162" i="37"/>
  <c r="AK163" i="37"/>
  <c r="AK164" i="37"/>
  <c r="AK165" i="37"/>
  <c r="AK166" i="37"/>
  <c r="AK167" i="37"/>
  <c r="AK168" i="37"/>
  <c r="AK169" i="37"/>
  <c r="AK170" i="37"/>
  <c r="AK171" i="37"/>
  <c r="AK172" i="37"/>
  <c r="AK173" i="37"/>
  <c r="AK174" i="37"/>
  <c r="AK175" i="37"/>
  <c r="AK176" i="37"/>
  <c r="AK177" i="37"/>
  <c r="AK178" i="37"/>
  <c r="AK179" i="37"/>
  <c r="AK180" i="37"/>
  <c r="AK157" i="37"/>
  <c r="BG173" i="37" l="1"/>
  <c r="BF173" i="37"/>
  <c r="BG172" i="37"/>
  <c r="BF172" i="37"/>
  <c r="BM171" i="37"/>
  <c r="BL171" i="37"/>
  <c r="BY170" i="37"/>
  <c r="BX170" i="37"/>
  <c r="BM170" i="37"/>
  <c r="BL170" i="37"/>
  <c r="BY169" i="37"/>
  <c r="BX169" i="37"/>
  <c r="BS164" i="37"/>
  <c r="BR164" i="37"/>
  <c r="BS163" i="37"/>
  <c r="BR163" i="37"/>
  <c r="AE18" i="37" l="1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17" i="37"/>
  <c r="AZ18" i="37" l="1"/>
  <c r="AZ19" i="37"/>
  <c r="AZ20" i="37"/>
  <c r="AZ21" i="37"/>
  <c r="AZ22" i="37"/>
  <c r="AZ23" i="37"/>
  <c r="AZ24" i="37"/>
  <c r="AZ25" i="37"/>
  <c r="AZ26" i="37"/>
  <c r="AZ27" i="37"/>
  <c r="AZ28" i="37"/>
  <c r="AZ29" i="37"/>
  <c r="AZ30" i="37"/>
  <c r="AZ31" i="37"/>
  <c r="AZ32" i="37"/>
  <c r="AZ33" i="37"/>
  <c r="AZ34" i="37"/>
  <c r="AZ35" i="37"/>
  <c r="AZ36" i="37"/>
  <c r="AZ37" i="37"/>
  <c r="AZ38" i="37"/>
  <c r="AZ39" i="37"/>
  <c r="AZ40" i="37"/>
  <c r="AZ17" i="37"/>
  <c r="AS18" i="37" l="1"/>
  <c r="AS19" i="37"/>
  <c r="AS20" i="37"/>
  <c r="AS21" i="37"/>
  <c r="AS22" i="37"/>
  <c r="AS23" i="37"/>
  <c r="AS24" i="37"/>
  <c r="AS25" i="37"/>
  <c r="AS26" i="37"/>
  <c r="AS27" i="37"/>
  <c r="AS28" i="37"/>
  <c r="AS29" i="37"/>
  <c r="AS30" i="37"/>
  <c r="AS31" i="37"/>
  <c r="AS32" i="37"/>
  <c r="AS33" i="37"/>
  <c r="AS34" i="37"/>
  <c r="AS35" i="37"/>
  <c r="AS36" i="37"/>
  <c r="AS37" i="37"/>
  <c r="AS38" i="37"/>
  <c r="AS39" i="37"/>
  <c r="AS40" i="37"/>
  <c r="AS17" i="37"/>
  <c r="AL18" i="37"/>
  <c r="AL19" i="37"/>
  <c r="AL20" i="37"/>
  <c r="AL21" i="37"/>
  <c r="AL22" i="37"/>
  <c r="AL23" i="37"/>
  <c r="AL24" i="37"/>
  <c r="AL25" i="37"/>
  <c r="AL26" i="37"/>
  <c r="AL27" i="37"/>
  <c r="AL28" i="37"/>
  <c r="AL29" i="37"/>
  <c r="AL30" i="37"/>
  <c r="AL31" i="37"/>
  <c r="AL32" i="37"/>
  <c r="AL33" i="37"/>
  <c r="AL34" i="37"/>
  <c r="AL35" i="37"/>
  <c r="AL36" i="37"/>
  <c r="AL37" i="37"/>
  <c r="AL38" i="37"/>
  <c r="AL39" i="37"/>
  <c r="AL40" i="37"/>
  <c r="AL17" i="37"/>
  <c r="AZ145" i="37"/>
  <c r="AS145" i="37"/>
  <c r="AL145" i="37"/>
  <c r="AE145" i="37"/>
  <c r="AZ144" i="37"/>
  <c r="AS144" i="37"/>
  <c r="AL144" i="37"/>
  <c r="AE144" i="37"/>
  <c r="AZ143" i="37"/>
  <c r="AS143" i="37"/>
  <c r="AL143" i="37"/>
  <c r="AE143" i="37"/>
  <c r="AZ142" i="37"/>
  <c r="AS142" i="37"/>
  <c r="AL142" i="37"/>
  <c r="AE142" i="37"/>
  <c r="AZ141" i="37"/>
  <c r="AS141" i="37"/>
  <c r="AL141" i="37"/>
  <c r="AE141" i="37"/>
  <c r="AZ140" i="37"/>
  <c r="AS140" i="37"/>
  <c r="AL140" i="37"/>
  <c r="AE140" i="37"/>
  <c r="AZ139" i="37"/>
  <c r="AS139" i="37"/>
  <c r="AL139" i="37"/>
  <c r="AE139" i="37"/>
  <c r="AZ138" i="37"/>
  <c r="AS138" i="37"/>
  <c r="AL138" i="37"/>
  <c r="AE138" i="37"/>
  <c r="AZ137" i="37"/>
  <c r="AS137" i="37"/>
  <c r="AL137" i="37"/>
  <c r="AE137" i="37"/>
  <c r="AZ136" i="37"/>
  <c r="AS136" i="37"/>
  <c r="AL136" i="37"/>
  <c r="AE136" i="37"/>
  <c r="AZ135" i="37"/>
  <c r="AS135" i="37"/>
  <c r="AL135" i="37"/>
  <c r="AE135" i="37"/>
  <c r="AZ134" i="37"/>
  <c r="AS134" i="37"/>
  <c r="AL134" i="37"/>
  <c r="AE134" i="37"/>
  <c r="AZ133" i="37"/>
  <c r="AS133" i="37"/>
  <c r="AL133" i="37"/>
  <c r="AE133" i="37"/>
  <c r="AZ132" i="37"/>
  <c r="AS132" i="37"/>
  <c r="AL132" i="37"/>
  <c r="AE132" i="37"/>
  <c r="AZ131" i="37"/>
  <c r="AS131" i="37"/>
  <c r="AL131" i="37"/>
  <c r="AE131" i="37"/>
  <c r="AZ130" i="37"/>
  <c r="AS130" i="37"/>
  <c r="AL130" i="37"/>
  <c r="AE130" i="37"/>
  <c r="AZ129" i="37"/>
  <c r="AS129" i="37"/>
  <c r="AL129" i="37"/>
  <c r="AE129" i="37"/>
  <c r="AZ128" i="37"/>
  <c r="AS128" i="37"/>
  <c r="AL128" i="37"/>
  <c r="AE128" i="37"/>
  <c r="AZ127" i="37"/>
  <c r="AS127" i="37"/>
  <c r="AL127" i="37"/>
  <c r="AE127" i="37"/>
  <c r="AZ126" i="37"/>
  <c r="AS126" i="37"/>
  <c r="AL126" i="37"/>
  <c r="AE126" i="37"/>
  <c r="AZ125" i="37"/>
  <c r="AS125" i="37"/>
  <c r="AL125" i="37"/>
  <c r="AE125" i="37"/>
  <c r="AZ124" i="37"/>
  <c r="AS124" i="37"/>
  <c r="AL124" i="37"/>
  <c r="AE124" i="37"/>
  <c r="AZ123" i="37"/>
  <c r="AS123" i="37"/>
  <c r="AL123" i="37"/>
  <c r="AE123" i="37"/>
  <c r="AZ122" i="37"/>
  <c r="AS122" i="37"/>
  <c r="AL122" i="37"/>
  <c r="AE122" i="37"/>
  <c r="AZ110" i="37"/>
  <c r="AS110" i="37"/>
  <c r="AL110" i="37"/>
  <c r="AE110" i="37"/>
  <c r="AZ109" i="37"/>
  <c r="AS109" i="37"/>
  <c r="AL109" i="37"/>
  <c r="AE109" i="37"/>
  <c r="AZ108" i="37"/>
  <c r="AS108" i="37"/>
  <c r="AL108" i="37"/>
  <c r="AE108" i="37"/>
  <c r="AZ107" i="37"/>
  <c r="AS107" i="37"/>
  <c r="AL107" i="37"/>
  <c r="AE107" i="37"/>
  <c r="AZ106" i="37"/>
  <c r="AS106" i="37"/>
  <c r="AL106" i="37"/>
  <c r="AE106" i="37"/>
  <c r="AZ105" i="37"/>
  <c r="AS105" i="37"/>
  <c r="AL105" i="37"/>
  <c r="AE105" i="37"/>
  <c r="AZ104" i="37"/>
  <c r="AS104" i="37"/>
  <c r="AL104" i="37"/>
  <c r="AE104" i="37"/>
  <c r="AZ103" i="37"/>
  <c r="AS103" i="37"/>
  <c r="AL103" i="37"/>
  <c r="AE103" i="37"/>
  <c r="AZ102" i="37"/>
  <c r="AS102" i="37"/>
  <c r="AL102" i="37"/>
  <c r="AE102" i="37"/>
  <c r="AZ101" i="37"/>
  <c r="AS101" i="37"/>
  <c r="AL101" i="37"/>
  <c r="AE101" i="37"/>
  <c r="AZ100" i="37"/>
  <c r="AS100" i="37"/>
  <c r="AL100" i="37"/>
  <c r="AE100" i="37"/>
  <c r="AZ99" i="37"/>
  <c r="AS99" i="37"/>
  <c r="AL99" i="37"/>
  <c r="AE99" i="37"/>
  <c r="AZ98" i="37"/>
  <c r="AS98" i="37"/>
  <c r="AL98" i="37"/>
  <c r="AE98" i="37"/>
  <c r="AZ97" i="37"/>
  <c r="AS97" i="37"/>
  <c r="AL97" i="37"/>
  <c r="AE97" i="37"/>
  <c r="AZ96" i="37"/>
  <c r="AS96" i="37"/>
  <c r="AL96" i="37"/>
  <c r="AE96" i="37"/>
  <c r="AZ95" i="37"/>
  <c r="AS95" i="37"/>
  <c r="AL95" i="37"/>
  <c r="AE95" i="37"/>
  <c r="AZ94" i="37"/>
  <c r="AS94" i="37"/>
  <c r="AL94" i="37"/>
  <c r="AE94" i="37"/>
  <c r="AZ93" i="37"/>
  <c r="AS93" i="37"/>
  <c r="AL93" i="37"/>
  <c r="AE93" i="37"/>
  <c r="AZ92" i="37"/>
  <c r="AS92" i="37"/>
  <c r="AL92" i="37"/>
  <c r="AE92" i="37"/>
  <c r="AZ91" i="37"/>
  <c r="AS91" i="37"/>
  <c r="AL91" i="37"/>
  <c r="AE91" i="37"/>
  <c r="AZ90" i="37"/>
  <c r="AS90" i="37"/>
  <c r="AL90" i="37"/>
  <c r="AE90" i="37"/>
  <c r="AZ89" i="37"/>
  <c r="AS89" i="37"/>
  <c r="AL89" i="37"/>
  <c r="AE89" i="37"/>
  <c r="AZ88" i="37"/>
  <c r="AS88" i="37"/>
  <c r="AL88" i="37"/>
  <c r="AE88" i="37"/>
  <c r="AZ87" i="37"/>
  <c r="AS87" i="37"/>
  <c r="AL87" i="37"/>
  <c r="AE87" i="37"/>
  <c r="AZ75" i="37"/>
  <c r="AS75" i="37"/>
  <c r="AL75" i="37"/>
  <c r="AE75" i="37"/>
  <c r="AZ74" i="37"/>
  <c r="AS74" i="37"/>
  <c r="AL74" i="37"/>
  <c r="AE74" i="37"/>
  <c r="AZ73" i="37"/>
  <c r="AS73" i="37"/>
  <c r="AL73" i="37"/>
  <c r="AE73" i="37"/>
  <c r="AZ72" i="37"/>
  <c r="AS72" i="37"/>
  <c r="AL72" i="37"/>
  <c r="AE72" i="37"/>
  <c r="AZ71" i="37"/>
  <c r="AS71" i="37"/>
  <c r="AL71" i="37"/>
  <c r="AE71" i="37"/>
  <c r="AZ70" i="37"/>
  <c r="AS70" i="37"/>
  <c r="AL70" i="37"/>
  <c r="AE70" i="37"/>
  <c r="AZ69" i="37"/>
  <c r="AS69" i="37"/>
  <c r="AL69" i="37"/>
  <c r="AE69" i="37"/>
  <c r="AZ68" i="37"/>
  <c r="AS68" i="37"/>
  <c r="AL68" i="37"/>
  <c r="AE68" i="37"/>
  <c r="AZ67" i="37"/>
  <c r="AS67" i="37"/>
  <c r="AL67" i="37"/>
  <c r="AE67" i="37"/>
  <c r="AZ66" i="37"/>
  <c r="AS66" i="37"/>
  <c r="AL66" i="37"/>
  <c r="AE66" i="37"/>
  <c r="AZ65" i="37"/>
  <c r="AS65" i="37"/>
  <c r="AL65" i="37"/>
  <c r="AE65" i="37"/>
  <c r="AZ64" i="37"/>
  <c r="AS64" i="37"/>
  <c r="AL64" i="37"/>
  <c r="AE64" i="37"/>
  <c r="AZ63" i="37"/>
  <c r="AS63" i="37"/>
  <c r="AL63" i="37"/>
  <c r="AE63" i="37"/>
  <c r="AZ62" i="37"/>
  <c r="AS62" i="37"/>
  <c r="AL62" i="37"/>
  <c r="AE62" i="37"/>
  <c r="AZ61" i="37"/>
  <c r="AS61" i="37"/>
  <c r="AL61" i="37"/>
  <c r="AE61" i="37"/>
  <c r="AZ60" i="37"/>
  <c r="AS60" i="37"/>
  <c r="AL60" i="37"/>
  <c r="AE60" i="37"/>
  <c r="AZ59" i="37"/>
  <c r="AS59" i="37"/>
  <c r="AL59" i="37"/>
  <c r="AE59" i="37"/>
  <c r="AZ58" i="37"/>
  <c r="AS58" i="37"/>
  <c r="AL58" i="37"/>
  <c r="AE58" i="37"/>
  <c r="AZ57" i="37"/>
  <c r="AS57" i="37"/>
  <c r="AL57" i="37"/>
  <c r="AE57" i="37"/>
  <c r="AZ56" i="37"/>
  <c r="AS56" i="37"/>
  <c r="AL56" i="37"/>
  <c r="AE56" i="37"/>
  <c r="AZ55" i="37"/>
  <c r="AS55" i="37"/>
  <c r="AL55" i="37"/>
  <c r="AE55" i="37"/>
  <c r="AZ54" i="37"/>
  <c r="AS54" i="37"/>
  <c r="AL54" i="37"/>
  <c r="AE54" i="37"/>
  <c r="AZ53" i="37"/>
  <c r="AS53" i="37"/>
  <c r="AL53" i="37"/>
  <c r="AE53" i="37"/>
  <c r="AZ52" i="37"/>
  <c r="AS52" i="37"/>
  <c r="AL52" i="37"/>
  <c r="AE52" i="37"/>
  <c r="CE135" i="37"/>
  <c r="CD135" i="37"/>
  <c r="CE134" i="37"/>
  <c r="CD134" i="37"/>
  <c r="BG138" i="37"/>
  <c r="BF138" i="37"/>
  <c r="BG137" i="37"/>
  <c r="BF137" i="37"/>
  <c r="BM136" i="37"/>
  <c r="BL136" i="37"/>
  <c r="BM135" i="37"/>
  <c r="BL135" i="37"/>
  <c r="BS129" i="37"/>
  <c r="BR129" i="37"/>
  <c r="BS128" i="37"/>
  <c r="BR128" i="37"/>
  <c r="BY127" i="37"/>
  <c r="BX127" i="37"/>
  <c r="BY126" i="37"/>
  <c r="BX126" i="37"/>
  <c r="CE100" i="37"/>
  <c r="CD100" i="37"/>
  <c r="CE99" i="37"/>
  <c r="CD99" i="37"/>
  <c r="BG103" i="37"/>
  <c r="BF103" i="37"/>
  <c r="BG102" i="37"/>
  <c r="BF102" i="37"/>
  <c r="BM101" i="37"/>
  <c r="BL101" i="37"/>
  <c r="BM100" i="37"/>
  <c r="BL100" i="37"/>
  <c r="BS94" i="37"/>
  <c r="BR94" i="37"/>
  <c r="BS93" i="37"/>
  <c r="BR93" i="37"/>
  <c r="BY92" i="37"/>
  <c r="BX92" i="37"/>
  <c r="BY91" i="37"/>
  <c r="BX91" i="37"/>
  <c r="CE65" i="37"/>
  <c r="CD65" i="37"/>
  <c r="CE64" i="37"/>
  <c r="CD64" i="37"/>
  <c r="BY57" i="37"/>
  <c r="BX57" i="37"/>
  <c r="BY56" i="37"/>
  <c r="BX56" i="37"/>
  <c r="BS59" i="37"/>
  <c r="BR59" i="37"/>
  <c r="BS58" i="37"/>
  <c r="BR58" i="37"/>
  <c r="BM66" i="37"/>
  <c r="BL66" i="37"/>
  <c r="BM65" i="37"/>
  <c r="BL65" i="37"/>
  <c r="BG68" i="37"/>
  <c r="BF68" i="37"/>
  <c r="BG67" i="37"/>
  <c r="BF67" i="37"/>
  <c r="CE27" i="37"/>
  <c r="CD27" i="37"/>
  <c r="CE26" i="37"/>
  <c r="CD26" i="37"/>
  <c r="BY22" i="37"/>
  <c r="BX22" i="37"/>
  <c r="BY21" i="37"/>
  <c r="BX21" i="37"/>
  <c r="BS24" i="37"/>
  <c r="BR24" i="37"/>
  <c r="BS23" i="37"/>
  <c r="BR23" i="37"/>
  <c r="BM31" i="37"/>
  <c r="BL31" i="37"/>
  <c r="BM30" i="37"/>
  <c r="BL30" i="37"/>
  <c r="BG32" i="37"/>
  <c r="BF32" i="37"/>
  <c r="BG31" i="37"/>
  <c r="BF31" i="37"/>
</calcChain>
</file>

<file path=xl/sharedStrings.xml><?xml version="1.0" encoding="utf-8"?>
<sst xmlns="http://schemas.openxmlformats.org/spreadsheetml/2006/main" count="2799" uniqueCount="186">
  <si>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</si>
  <si>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</si>
  <si>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</si>
  <si>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</si>
  <si>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</si>
  <si>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</si>
  <si>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</si>
  <si>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</si>
  <si>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</si>
  <si>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</si>
  <si>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</si>
  <si>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</si>
  <si>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</si>
  <si>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</si>
  <si>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</si>
  <si>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</si>
  <si>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</si>
  <si>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</si>
  <si>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</si>
  <si>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</si>
  <si>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</si>
  <si>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</si>
  <si>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</si>
  <si>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</si>
  <si>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</si>
  <si>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</si>
  <si>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</si>
  <si>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</si>
  <si>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</si>
  <si>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</si>
  <si>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</si>
  <si>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</si>
  <si>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</si>
  <si>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</si>
  <si>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</si>
  <si>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</si>
  <si>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</si>
  <si>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</si>
  <si>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</si>
  <si>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</si>
  <si>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</si>
  <si>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</si>
  <si>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</si>
  <si>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</si>
  <si>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</si>
  <si>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</si>
  <si>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</si>
  <si>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</si>
  <si>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</si>
  <si>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</si>
  <si>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</si>
  <si>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</si>
  <si>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</si>
  <si>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</si>
  <si>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</si>
  <si>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</si>
  <si>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</si>
  <si>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</si>
  <si>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</si>
  <si>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</si>
  <si>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</si>
  <si>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</si>
  <si>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</si>
  <si>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</si>
  <si>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</si>
  <si>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</si>
  <si>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</si>
  <si>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</si>
  <si>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</si>
  <si>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</si>
  <si>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</si>
  <si>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</si>
  <si>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</si>
  <si>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</si>
  <si>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</si>
  <si>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</si>
  <si>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</si>
  <si>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</si>
  <si>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</si>
  <si>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</si>
  <si>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</si>
  <si>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</si>
  <si>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</si>
  <si>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</si>
  <si>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</si>
  <si>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</si>
  <si>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</si>
  <si>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</si>
  <si>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</si>
  <si>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</si>
  <si>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</si>
  <si>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</si>
  <si>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</si>
  <si>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</si>
  <si>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</si>
  <si>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</si>
  <si>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</si>
  <si>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</si>
  <si>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</si>
  <si>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</si>
  <si>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</si>
  <si>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</si>
  <si>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</si>
  <si>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</si>
  <si>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</si>
  <si>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</si>
  <si>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</si>
  <si>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</si>
  <si>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</si>
  <si>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</si>
  <si>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</si>
  <si>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</si>
  <si>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</si>
  <si>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</si>
  <si>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</si>
  <si>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</si>
  <si>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</si>
  <si>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1" type="noConversion"/>
  </si>
  <si>
    <t>하천명</t>
    <phoneticPr fontId="41" type="noConversion"/>
  </si>
  <si>
    <t>채수지점</t>
    <phoneticPr fontId="42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</si>
  <si>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</si>
  <si>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</si>
  <si>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</si>
  <si>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</si>
  <si>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</si>
  <si>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</si>
  <si>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</si>
  <si>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</si>
  <si>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</si>
  <si>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</si>
  <si>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</si>
  <si>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</si>
  <si>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</si>
  <si>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</si>
  <si>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</si>
  <si>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</si>
  <si>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</si>
  <si>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</si>
  <si>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</si>
  <si>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</si>
  <si>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</si>
  <si>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</si>
  <si>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</si>
  <si>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</si>
  <si>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</si>
  <si>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</si>
  <si>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</si>
  <si>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</si>
  <si>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</si>
  <si>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</si>
  <si>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</si>
  <si>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</si>
  <si>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</si>
  <si>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</si>
  <si>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</si>
  <si>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</si>
  <si>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</si>
  <si>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</si>
  <si>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</si>
  <si>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t>Result_EMMTE (%)</t>
    <phoneticPr fontId="1" type="noConversion"/>
  </si>
  <si>
    <t>모델 수렴도 재확보</t>
    <phoneticPr fontId="1" type="noConversion"/>
  </si>
  <si>
    <t>mean</t>
    <phoneticPr fontId="1" type="noConversion"/>
  </si>
  <si>
    <t>sd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</si>
  <si>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</si>
  <si>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</si>
  <si>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</si>
  <si>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</si>
  <si>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</si>
  <si>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</si>
  <si>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광주 1하수처리장</t>
  </si>
  <si>
    <t>무안 하수처리장</t>
  </si>
  <si>
    <t>광주 2하수처리장</t>
  </si>
  <si>
    <t>EM-01</t>
  </si>
  <si>
    <t>담양 하수처리장</t>
  </si>
  <si>
    <t>1차</t>
    <phoneticPr fontId="1" type="noConversion"/>
  </si>
  <si>
    <t>2차-1</t>
    <phoneticPr fontId="1" type="noConversion"/>
  </si>
  <si>
    <t>2차-2</t>
    <phoneticPr fontId="1" type="noConversion"/>
  </si>
  <si>
    <t>2차-3</t>
    <phoneticPr fontId="1" type="noConversion"/>
  </si>
  <si>
    <t>(DNN, CNN, RNN, LSTM, BINN)</t>
    <phoneticPr fontId="1" type="noConversion"/>
  </si>
  <si>
    <t>* ML(AI) Ensemble의 경우 차후 필요에 따라 Integrated Explainable AI (SHAP, Boruta, H-Statistic)를 통해 어떤 추적자가 특정 오염원 분류에 영향을 미치는 지 살펴볼 예정</t>
    <phoneticPr fontId="1" type="noConversion"/>
  </si>
  <si>
    <t>(Random Forest, ExtraTrees, XGBoost, LightGBM, SVM, KNN, Tree, ElasticNet, BNN, TabNet, GNN_Spatial, BART, ST_GNN)</t>
    <phoneticPr fontId="1" type="noConversion"/>
  </si>
  <si>
    <t>2차-2 에서 rain 제외</t>
    <phoneticPr fontId="1" type="noConversion"/>
  </si>
  <si>
    <t>1. MixSIAR(베이지안 확률 통계 이론 기반) : 자연적 변동성 반영</t>
    <phoneticPr fontId="1" type="noConversion"/>
  </si>
  <si>
    <t>2. ML Ensemble : 13종 Machine Learning Algorithm 결합</t>
    <phoneticPr fontId="1" type="noConversion"/>
  </si>
  <si>
    <t>3. AI Ensemble : 5종 Artificial Intelligence Algorithm 결합</t>
    <phoneticPr fontId="1" type="noConversion"/>
  </si>
  <si>
    <t>Kendall plot (오염원 대표 시료 vs 실제 채취 시료)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</si>
</sst>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_ "/>
    <numFmt numFmtId="178" formatCode="0.00_);[Red]\(0.00\)"/>
    <numFmt numFmtId="179" formatCode="0_);[Red]\(0\)"/>
    <numFmt numFmtId="180" formatCode="0_ "/>
  </numFmts>
  <fonts count="5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4" fillId="0" borderId="42" applyNumberFormat="0" applyFill="0" applyAlignment="0" applyProtection="0"/>
    <xf numFmtId="0" fontId="35" fillId="0" borderId="0"/>
    <xf numFmtId="0" fontId="36" fillId="0" borderId="43" applyNumberFormat="0" applyFill="0" applyAlignment="0" applyProtection="0"/>
    <xf numFmtId="0" fontId="39" fillId="0" borderId="0">
      <alignment vertical="center"/>
    </xf>
  </cellStyleXfs>
  <cellXfs count="104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0" fillId="29" borderId="44" xfId="55" applyFont="1" applyFill="1" applyBorder="1" applyAlignment="1">
      <alignment horizontal="center"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49" fontId="33" fillId="0" borderId="44" xfId="55" applyNumberFormat="1" applyFont="1" applyBorder="1" applyAlignment="1">
      <alignment horizontal="center" vertical="center"/>
    </xf>
    <xf numFmtId="0" fontId="45" fillId="0" borderId="44" xfId="53" applyFont="1" applyBorder="1" applyAlignment="1">
      <alignment horizontal="center"/>
    </xf>
    <xf numFmtId="2" fontId="45" fillId="0" borderId="44" xfId="53" applyNumberFormat="1" applyFont="1" applyBorder="1" applyAlignment="1">
      <alignment horizontal="center"/>
    </xf>
    <xf numFmtId="0" fontId="28" fillId="0" borderId="0" xfId="0" applyFont="1">
      <alignment vertical="center"/>
    </xf>
    <xf numFmtId="0" fontId="46" fillId="0" borderId="0" xfId="0" applyFont="1">
      <alignment vertical="center"/>
    </xf>
    <xf numFmtId="178" fontId="0" fillId="0" borderId="0" xfId="0" applyNumberFormat="1">
      <alignment vertical="center"/>
    </xf>
    <xf numFmtId="178" fontId="8" fillId="0" borderId="0" xfId="0" applyNumberFormat="1" applyFont="1">
      <alignment vertical="center"/>
    </xf>
    <xf numFmtId="14" fontId="0" fillId="0" borderId="0" xfId="0" applyNumberFormat="1">
      <alignment vertical="center"/>
    </xf>
    <xf numFmtId="178" fontId="0" fillId="0" borderId="44" xfId="0" applyNumberFormat="1" applyBorder="1">
      <alignment vertical="center"/>
    </xf>
    <xf numFmtId="178" fontId="37" fillId="3" borderId="44" xfId="0" applyNumberFormat="1" applyFont="1" applyFill="1" applyBorder="1" applyAlignment="1">
      <alignment horizontal="center" vertical="center" wrapText="1"/>
    </xf>
    <xf numFmtId="178" fontId="5" fillId="3" borderId="44" xfId="0" applyNumberFormat="1" applyFont="1" applyFill="1" applyBorder="1" applyAlignment="1">
      <alignment horizontal="center" vertical="center" wrapText="1"/>
    </xf>
    <xf numFmtId="177" fontId="0" fillId="0" borderId="44" xfId="0" applyNumberFormat="1" applyBorder="1">
      <alignment vertical="center"/>
    </xf>
    <xf numFmtId="0" fontId="47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8" fillId="0" borderId="0" xfId="0" applyNumberFormat="1" applyFont="1" applyFill="1">
      <alignment vertical="center"/>
    </xf>
    <xf numFmtId="179" fontId="48" fillId="0" borderId="0" xfId="0" applyNumberFormat="1" applyFont="1">
      <alignment vertical="center"/>
    </xf>
    <xf numFmtId="179" fontId="8" fillId="0" borderId="0" xfId="0" applyNumberFormat="1" applyFont="1">
      <alignment vertical="center"/>
    </xf>
    <xf numFmtId="179" fontId="8" fillId="0" borderId="0" xfId="0" applyNumberFormat="1" applyFont="1" applyFill="1">
      <alignment vertical="center"/>
    </xf>
    <xf numFmtId="179" fontId="0" fillId="0" borderId="0" xfId="0" applyNumberFormat="1">
      <alignment vertical="center"/>
    </xf>
    <xf numFmtId="180" fontId="48" fillId="0" borderId="0" xfId="0" applyNumberFormat="1" applyFont="1">
      <alignment vertical="center"/>
    </xf>
    <xf numFmtId="180" fontId="8" fillId="0" borderId="0" xfId="0" applyNumberFormat="1" applyFont="1">
      <alignment vertical="center"/>
    </xf>
    <xf numFmtId="180" fontId="32" fillId="0" borderId="0" xfId="0" applyNumberFormat="1" applyFont="1">
      <alignment vertical="center"/>
    </xf>
    <xf numFmtId="180" fontId="0" fillId="0" borderId="0" xfId="0" applyNumberFormat="1">
      <alignment vertical="center"/>
    </xf>
    <xf numFmtId="179" fontId="8" fillId="31" borderId="0" xfId="0" applyNumberFormat="1" applyFont="1" applyFill="1">
      <alignment vertical="center"/>
    </xf>
    <xf numFmtId="2" fontId="49" fillId="31" borderId="34" xfId="0" applyNumberFormat="1" applyFont="1" applyFill="1" applyBorder="1" applyAlignment="1">
      <alignment horizontal="center" vertical="center"/>
    </xf>
    <xf numFmtId="1" fontId="0" fillId="0" borderId="0" xfId="0" applyNumberFormat="1">
      <alignment vertical="center"/>
    </xf>
    <xf numFmtId="1" fontId="8" fillId="0" borderId="0" xfId="0" applyNumberFormat="1" applyFont="1">
      <alignment vertical="center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  <xf numFmtId="0" fontId="47" fillId="0" borderId="0" xfId="0" applyFont="1" applyFill="1">
      <alignment vertical="center"/>
    </xf>
    <xf numFmtId="0" fontId="0" fillId="0" borderId="0" xfId="0" applyFill="1">
      <alignment vertical="center"/>
    </xf>
    <xf numFmtId="49" fontId="30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49" fillId="0" borderId="0" xfId="0" applyNumberFormat="1" applyFont="1" applyFill="1" applyBorder="1" applyAlignment="1">
      <alignment horizontal="center" vertic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47"/>
  <sheetViews>
    <sheetView topLeftCell="A150" zoomScale="70" zoomScaleNormal="70" workbookViewId="0">
      <selection activeCell="A153" sqref="A153:K153"/>
    </sheetView>
  </sheetViews>
  <sheetFormatPr defaultRowHeight="16.5"/>
  <cols>
    <col min="1" max="1" width="12.3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  <col min="38" max="38" width="10.625" bestFit="1" customWidth="1"/>
    <col min="52" max="52" width="10.625" bestFit="1" customWidth="1"/>
    <col min="55" max="55" width="14.5" customWidth="1"/>
    <col min="57" max="57" width="32.75" customWidth="1"/>
    <col min="61" max="61" width="13.125" customWidth="1"/>
    <col min="62" max="62" width="11.75" customWidth="1"/>
    <col min="63" max="63" width="23.75" customWidth="1"/>
    <col min="68" max="68" width="10" customWidth="1"/>
    <col min="69" max="69" width="28.75" customWidth="1"/>
    <col min="75" max="75" width="23" bestFit="1" customWidth="1"/>
    <col min="79" max="79" width="9" customWidth="1"/>
    <col min="80" max="80" width="10.75" customWidth="1"/>
    <col min="81" max="81" width="25.75" customWidth="1"/>
  </cols>
  <sheetData>
    <row r="1" spans="1:83" ht="20.25">
      <c r="A1" s="69" t="s">
        <v>182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70"/>
    </row>
    <row r="2" spans="1:83" ht="20.25">
      <c r="A2" s="69" t="s">
        <v>183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70"/>
    </row>
    <row r="3" spans="1:83" ht="20.25">
      <c r="A3" s="69" t="s">
        <v>180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70"/>
    </row>
    <row r="4" spans="1:83" ht="20.25">
      <c r="A4" s="69" t="s">
        <v>184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70"/>
    </row>
    <row r="5" spans="1:83" ht="20.25">
      <c r="A5" s="69" t="s">
        <v>178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70"/>
    </row>
    <row r="6" spans="1:83" ht="20.25">
      <c r="A6" s="69" t="s">
        <v>179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70"/>
    </row>
    <row r="7" spans="1:83" ht="20.25">
      <c r="U7" s="69"/>
      <c r="V7" s="69"/>
      <c r="W7" s="69"/>
      <c r="X7" s="69"/>
      <c r="Y7" s="70"/>
    </row>
    <row r="8" spans="1:83" ht="20.25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70"/>
    </row>
    <row r="9" spans="1:83">
      <c r="Z9" s="65" t="s">
        <v>153</v>
      </c>
      <c r="AA9" s="66" t="s">
        <v>111</v>
      </c>
      <c r="AB9" s="67" t="s">
        <v>67</v>
      </c>
      <c r="AC9" s="62"/>
      <c r="AD9" s="65" t="s">
        <v>154</v>
      </c>
      <c r="AE9" s="66" t="s">
        <v>111</v>
      </c>
      <c r="AF9" s="67" t="s">
        <v>67</v>
      </c>
      <c r="AG9" s="62"/>
      <c r="AH9" s="65" t="s">
        <v>155</v>
      </c>
      <c r="AI9" s="66" t="s">
        <v>111</v>
      </c>
      <c r="AJ9" s="67" t="s">
        <v>67</v>
      </c>
      <c r="AK9" s="62"/>
      <c r="AL9" s="65" t="s">
        <v>156</v>
      </c>
      <c r="AM9" s="66" t="s">
        <v>111</v>
      </c>
      <c r="AN9" s="67" t="s">
        <v>67</v>
      </c>
      <c r="AO9" s="62"/>
      <c r="AP9" s="65" t="s">
        <v>157</v>
      </c>
      <c r="AQ9" s="66" t="s">
        <v>111</v>
      </c>
      <c r="AR9" s="67" t="s">
        <v>67</v>
      </c>
    </row>
    <row r="10" spans="1:83">
      <c r="Z10" s="65" t="s">
        <v>161</v>
      </c>
      <c r="AA10" s="65">
        <v>14.393076923076922</v>
      </c>
      <c r="AB10" s="65">
        <v>3.0961538461538463</v>
      </c>
      <c r="AC10" s="62"/>
      <c r="AD10" s="65" t="s">
        <v>161</v>
      </c>
      <c r="AE10" s="65">
        <v>16.518750000000001</v>
      </c>
      <c r="AF10" s="65">
        <v>7.1087500000000006</v>
      </c>
      <c r="AG10" s="62"/>
      <c r="AH10" s="65" t="s">
        <v>161</v>
      </c>
      <c r="AI10" s="65">
        <v>1.0669999999999999</v>
      </c>
      <c r="AJ10" s="65">
        <v>9.8279999999999994</v>
      </c>
      <c r="AK10" s="62"/>
      <c r="AL10" s="65" t="s">
        <v>161</v>
      </c>
      <c r="AM10" s="65">
        <v>1.71</v>
      </c>
      <c r="AN10" s="65">
        <v>45.81</v>
      </c>
      <c r="AO10" s="62"/>
      <c r="AP10" s="65" t="s">
        <v>161</v>
      </c>
      <c r="AQ10" s="65">
        <v>3.2174999999999998</v>
      </c>
      <c r="AR10" s="65">
        <v>2.1549999999999998</v>
      </c>
    </row>
    <row r="11" spans="1:83">
      <c r="Z11" s="65" t="s">
        <v>162</v>
      </c>
      <c r="AA11" s="65">
        <v>4.6701059670621854</v>
      </c>
      <c r="AB11" s="65">
        <v>2.3733750176402744</v>
      </c>
      <c r="AC11" s="62"/>
      <c r="AD11" s="65" t="s">
        <v>162</v>
      </c>
      <c r="AE11" s="65">
        <v>6.2245522383687808</v>
      </c>
      <c r="AF11" s="65">
        <v>4.8294946681821687</v>
      </c>
      <c r="AG11" s="62"/>
      <c r="AH11" s="65" t="s">
        <v>162</v>
      </c>
      <c r="AI11" s="65">
        <v>0.488794435320207</v>
      </c>
      <c r="AJ11" s="65">
        <v>5.2026454809068055</v>
      </c>
      <c r="AK11" s="62"/>
      <c r="AL11" s="65" t="s">
        <v>162</v>
      </c>
      <c r="AM11" s="65">
        <v>1.5603845679831623</v>
      </c>
      <c r="AN11" s="65">
        <v>5.7261068798966068</v>
      </c>
      <c r="AO11" s="62"/>
      <c r="AP11" s="65" t="s">
        <v>162</v>
      </c>
      <c r="AQ11" s="65">
        <v>2.1496228905155834</v>
      </c>
      <c r="AR11" s="65">
        <v>3.8310349217187487</v>
      </c>
    </row>
    <row r="12" spans="1:83">
      <c r="A12" s="64">
        <v>46128</v>
      </c>
      <c r="B12" t="s">
        <v>174</v>
      </c>
    </row>
    <row r="13" spans="1:83" ht="31.5">
      <c r="A13" s="89" t="s">
        <v>50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Y13" s="2"/>
    </row>
    <row r="14" spans="1:83" ht="17.25" thickBot="1">
      <c r="Y14" s="3"/>
      <c r="AG14" t="s">
        <v>167</v>
      </c>
      <c r="AI14" t="s">
        <v>160</v>
      </c>
    </row>
    <row r="15" spans="1:83" ht="26.25" customHeight="1" thickBot="1">
      <c r="A15" s="90" t="s">
        <v>1</v>
      </c>
      <c r="B15" s="92" t="s">
        <v>62</v>
      </c>
      <c r="C15" s="92" t="s">
        <v>63</v>
      </c>
      <c r="D15" s="90" t="s">
        <v>7</v>
      </c>
      <c r="E15" s="94" t="s">
        <v>8</v>
      </c>
      <c r="F15" s="95"/>
      <c r="G15" s="96" t="s">
        <v>9</v>
      </c>
      <c r="H15" s="96"/>
      <c r="I15" s="96"/>
      <c r="J15" s="96"/>
      <c r="K15" s="96"/>
      <c r="L15" s="85" t="s">
        <v>56</v>
      </c>
      <c r="M15" s="86"/>
      <c r="N15" s="86"/>
      <c r="O15" s="86"/>
      <c r="P15" s="86"/>
      <c r="Q15" s="86"/>
      <c r="R15" s="86"/>
      <c r="S15" s="86"/>
      <c r="T15" s="86"/>
      <c r="U15" s="8"/>
      <c r="V15" s="8"/>
      <c r="W15" s="8"/>
      <c r="X15" s="8"/>
      <c r="Y15" s="87" t="s">
        <v>10</v>
      </c>
      <c r="Z15" s="60" t="s">
        <v>159</v>
      </c>
      <c r="AE15">
        <v>100</v>
      </c>
      <c r="AG15" s="60" t="s">
        <v>163</v>
      </c>
      <c r="AL15">
        <v>100</v>
      </c>
      <c r="AN15" s="60" t="s">
        <v>164</v>
      </c>
      <c r="AS15">
        <v>100</v>
      </c>
      <c r="AU15" s="60" t="s">
        <v>165</v>
      </c>
      <c r="AZ15">
        <v>100</v>
      </c>
      <c r="BE15" t="s">
        <v>153</v>
      </c>
      <c r="BK15" t="s">
        <v>154</v>
      </c>
      <c r="BQ15" t="s">
        <v>155</v>
      </c>
      <c r="BW15" t="s">
        <v>156</v>
      </c>
      <c r="CC15" t="s">
        <v>157</v>
      </c>
    </row>
    <row r="16" spans="1:83" ht="33.75" customHeight="1" thickBot="1">
      <c r="A16" s="91"/>
      <c r="B16" s="91"/>
      <c r="C16" s="91"/>
      <c r="D16" s="93"/>
      <c r="E16" s="1" t="s">
        <v>0</v>
      </c>
      <c r="F16" s="4" t="s">
        <v>11</v>
      </c>
      <c r="G16" s="4" t="s">
        <v>12</v>
      </c>
      <c r="H16" s="4" t="s">
        <v>13</v>
      </c>
      <c r="I16" s="4" t="s">
        <v>14</v>
      </c>
      <c r="J16" s="4" t="s">
        <v>15</v>
      </c>
      <c r="K16" s="4" t="s">
        <v>16</v>
      </c>
      <c r="L16" s="4" t="s">
        <v>6</v>
      </c>
      <c r="M16" s="4" t="s">
        <v>51</v>
      </c>
      <c r="N16" s="4" t="s">
        <v>2</v>
      </c>
      <c r="O16" s="4" t="s">
        <v>3</v>
      </c>
      <c r="P16" s="4" t="s">
        <v>52</v>
      </c>
      <c r="Q16" s="4" t="s">
        <v>53</v>
      </c>
      <c r="R16" s="4" t="s">
        <v>54</v>
      </c>
      <c r="S16" s="4" t="s">
        <v>55</v>
      </c>
      <c r="T16" s="6" t="s">
        <v>4</v>
      </c>
      <c r="U16" s="9" t="s">
        <v>66</v>
      </c>
      <c r="V16" s="9" t="s">
        <v>67</v>
      </c>
      <c r="W16" s="9" t="s">
        <v>64</v>
      </c>
      <c r="X16" s="9" t="s">
        <v>65</v>
      </c>
      <c r="Y16" s="88"/>
      <c r="Z16" s="60" t="s">
        <v>153</v>
      </c>
      <c r="AA16" s="60" t="s">
        <v>154</v>
      </c>
      <c r="AB16" s="60" t="s">
        <v>155</v>
      </c>
      <c r="AC16" s="60" t="s">
        <v>156</v>
      </c>
      <c r="AD16" s="60" t="s">
        <v>157</v>
      </c>
      <c r="AE16" s="61" t="s">
        <v>158</v>
      </c>
      <c r="AG16" s="60" t="s">
        <v>153</v>
      </c>
      <c r="AH16" s="60" t="s">
        <v>154</v>
      </c>
      <c r="AI16" s="60" t="s">
        <v>155</v>
      </c>
      <c r="AJ16" s="60" t="s">
        <v>156</v>
      </c>
      <c r="AK16" s="60" t="s">
        <v>157</v>
      </c>
      <c r="AL16" s="61" t="s">
        <v>158</v>
      </c>
      <c r="AN16" s="60" t="s">
        <v>153</v>
      </c>
      <c r="AO16" s="60" t="s">
        <v>154</v>
      </c>
      <c r="AP16" s="60" t="s">
        <v>155</v>
      </c>
      <c r="AQ16" s="60" t="s">
        <v>156</v>
      </c>
      <c r="AR16" s="60" t="s">
        <v>157</v>
      </c>
      <c r="AS16" s="61" t="s">
        <v>158</v>
      </c>
      <c r="AU16" s="60" t="s">
        <v>153</v>
      </c>
      <c r="AV16" s="60" t="s">
        <v>154</v>
      </c>
      <c r="AW16" s="60" t="s">
        <v>155</v>
      </c>
      <c r="AX16" s="60" t="s">
        <v>156</v>
      </c>
      <c r="AY16" s="60" t="s">
        <v>157</v>
      </c>
      <c r="AZ16" s="61" t="s">
        <v>158</v>
      </c>
      <c r="BC16" s="55" t="s">
        <v>117</v>
      </c>
      <c r="BD16" s="55" t="s">
        <v>118</v>
      </c>
      <c r="BE16" s="55" t="s">
        <v>119</v>
      </c>
      <c r="BF16" s="56" t="s">
        <v>120</v>
      </c>
      <c r="BG16" s="56" t="s">
        <v>121</v>
      </c>
      <c r="BI16" s="55" t="s">
        <v>117</v>
      </c>
      <c r="BJ16" s="55" t="s">
        <v>118</v>
      </c>
      <c r="BK16" s="55" t="s">
        <v>119</v>
      </c>
      <c r="BL16" s="56" t="s">
        <v>120</v>
      </c>
      <c r="BM16" s="56" t="s">
        <v>121</v>
      </c>
      <c r="BO16" s="55" t="s">
        <v>117</v>
      </c>
      <c r="BP16" s="55" t="s">
        <v>118</v>
      </c>
      <c r="BQ16" s="55" t="s">
        <v>119</v>
      </c>
      <c r="BR16" s="56" t="s">
        <v>120</v>
      </c>
      <c r="BS16" s="56" t="s">
        <v>121</v>
      </c>
      <c r="BU16" s="55" t="s">
        <v>117</v>
      </c>
      <c r="BV16" s="55" t="s">
        <v>118</v>
      </c>
      <c r="BW16" s="55" t="s">
        <v>119</v>
      </c>
      <c r="BX16" s="56" t="s">
        <v>120</v>
      </c>
      <c r="BY16" s="56" t="s">
        <v>121</v>
      </c>
      <c r="CA16" s="55" t="s">
        <v>117</v>
      </c>
      <c r="CB16" s="55" t="s">
        <v>118</v>
      </c>
      <c r="CC16" s="55" t="s">
        <v>119</v>
      </c>
      <c r="CD16" s="56" t="s">
        <v>120</v>
      </c>
      <c r="CE16" s="56" t="s">
        <v>121</v>
      </c>
    </row>
    <row r="17" spans="1:83" ht="20.100000000000001" customHeight="1">
      <c r="A17" s="30">
        <v>1</v>
      </c>
      <c r="B17" s="25" t="s">
        <v>57</v>
      </c>
      <c r="C17" s="25" t="s">
        <v>17</v>
      </c>
      <c r="D17" s="10" t="s">
        <v>18</v>
      </c>
      <c r="E17" s="11">
        <v>45394</v>
      </c>
      <c r="F17" s="12">
        <v>0.40625</v>
      </c>
      <c r="G17" s="10" t="s">
        <v>19</v>
      </c>
      <c r="H17" s="37">
        <v>13.4</v>
      </c>
      <c r="I17" s="37">
        <v>7.66</v>
      </c>
      <c r="J17" s="37">
        <v>11.37</v>
      </c>
      <c r="K17" s="37">
        <v>200.1</v>
      </c>
      <c r="L17" s="38">
        <v>1.5620000000000001</v>
      </c>
      <c r="M17" s="38"/>
      <c r="N17" s="38">
        <v>2.8000000000000001E-2</v>
      </c>
      <c r="O17" s="38">
        <v>1.5338708615263741</v>
      </c>
      <c r="P17" s="38" t="s">
        <v>112</v>
      </c>
      <c r="Q17" s="38">
        <v>1.2</v>
      </c>
      <c r="R17" s="38">
        <v>1.9E-2</v>
      </c>
      <c r="S17" s="38">
        <v>1.4999999999999999E-2</v>
      </c>
      <c r="T17" s="38">
        <v>21.926092412394119</v>
      </c>
      <c r="U17" s="38">
        <v>6.79</v>
      </c>
      <c r="V17" s="38">
        <v>2.9</v>
      </c>
      <c r="W17" s="38" t="s">
        <v>68</v>
      </c>
      <c r="X17" s="38">
        <v>6.8100892305781313</v>
      </c>
      <c r="Y17" s="13"/>
      <c r="Z17" s="72">
        <v>26.85</v>
      </c>
      <c r="AA17" s="72">
        <v>4.9400000000000004</v>
      </c>
      <c r="AB17" s="72">
        <v>3.55</v>
      </c>
      <c r="AC17" s="72">
        <v>0.21</v>
      </c>
      <c r="AD17" s="72">
        <v>64.45</v>
      </c>
      <c r="AE17" s="73">
        <f>SUM(Z17:AD17)</f>
        <v>100</v>
      </c>
      <c r="AF17" s="74"/>
      <c r="AG17" s="73">
        <v>35.4</v>
      </c>
      <c r="AH17" s="73">
        <v>15.4</v>
      </c>
      <c r="AI17" s="73">
        <v>13.8</v>
      </c>
      <c r="AJ17" s="73">
        <v>1.5</v>
      </c>
      <c r="AK17" s="73">
        <v>33.900000000000006</v>
      </c>
      <c r="AL17" s="73">
        <f>SUM(AG17:AK17)</f>
        <v>100</v>
      </c>
      <c r="AM17" s="74"/>
      <c r="AN17" s="73">
        <v>22.53</v>
      </c>
      <c r="AO17" s="73">
        <v>25.69</v>
      </c>
      <c r="AP17" s="73">
        <v>21.02</v>
      </c>
      <c r="AQ17" s="73">
        <v>2.82</v>
      </c>
      <c r="AR17" s="73">
        <v>27.94</v>
      </c>
      <c r="AS17" s="73">
        <f>SUM(AN17:AR17)</f>
        <v>99.999999999999986</v>
      </c>
      <c r="AT17" s="74"/>
      <c r="AU17" s="73">
        <v>23.549999999999997</v>
      </c>
      <c r="AV17" s="73">
        <v>16.37</v>
      </c>
      <c r="AW17" s="73">
        <v>19.580000000000002</v>
      </c>
      <c r="AX17" s="73">
        <v>3.11</v>
      </c>
      <c r="AY17" s="73">
        <v>37.39</v>
      </c>
      <c r="AZ17" s="73">
        <f>SUM(AU17:AY17)</f>
        <v>100</v>
      </c>
      <c r="BC17" s="57" t="s">
        <v>114</v>
      </c>
      <c r="BD17" s="58" t="s">
        <v>113</v>
      </c>
      <c r="BE17" s="58" t="s">
        <v>49</v>
      </c>
      <c r="BF17" s="59">
        <v>8.52</v>
      </c>
      <c r="BG17" s="59">
        <v>2.98</v>
      </c>
      <c r="BI17" s="57" t="s">
        <v>74</v>
      </c>
      <c r="BJ17" s="58" t="s">
        <v>75</v>
      </c>
      <c r="BK17" s="58" t="s">
        <v>76</v>
      </c>
      <c r="BL17" s="59">
        <v>17.66</v>
      </c>
      <c r="BM17" s="59">
        <v>10.89</v>
      </c>
      <c r="BO17" s="57" t="s">
        <v>101</v>
      </c>
      <c r="BP17" s="58" t="s">
        <v>138</v>
      </c>
      <c r="BQ17" s="58" t="s">
        <v>140</v>
      </c>
      <c r="BR17" s="59">
        <v>0.63</v>
      </c>
      <c r="BS17" s="59">
        <v>10.72</v>
      </c>
      <c r="BU17" s="57" t="s">
        <v>150</v>
      </c>
      <c r="BV17" s="58"/>
      <c r="BW17" s="58" t="s">
        <v>151</v>
      </c>
      <c r="BX17" s="59">
        <v>3.25</v>
      </c>
      <c r="BY17" s="59">
        <v>40.020000000000003</v>
      </c>
      <c r="CA17" s="57" t="s">
        <v>77</v>
      </c>
      <c r="CB17" s="58" t="s">
        <v>75</v>
      </c>
      <c r="CC17" s="58" t="s">
        <v>78</v>
      </c>
      <c r="CD17" s="59">
        <v>1.75</v>
      </c>
      <c r="CE17" s="59">
        <v>7.65</v>
      </c>
    </row>
    <row r="18" spans="1:83" ht="20.100000000000001" customHeight="1">
      <c r="A18" s="22">
        <v>2</v>
      </c>
      <c r="B18" s="14" t="s">
        <v>57</v>
      </c>
      <c r="C18" s="14" t="s">
        <v>17</v>
      </c>
      <c r="D18" s="15" t="s">
        <v>20</v>
      </c>
      <c r="E18" s="16">
        <v>45394</v>
      </c>
      <c r="F18" s="17">
        <v>0.4375</v>
      </c>
      <c r="G18" s="15" t="s">
        <v>19</v>
      </c>
      <c r="H18" s="24">
        <v>17.899999999999999</v>
      </c>
      <c r="I18" s="24">
        <v>7.63</v>
      </c>
      <c r="J18" s="24">
        <v>10.66</v>
      </c>
      <c r="K18" s="24">
        <v>381</v>
      </c>
      <c r="L18" s="39">
        <v>5.1319999999999997</v>
      </c>
      <c r="M18" s="39"/>
      <c r="N18" s="39">
        <v>0.82399999999999995</v>
      </c>
      <c r="O18" s="39">
        <v>3.8056685669511721</v>
      </c>
      <c r="P18" s="39">
        <v>0.75779406996970966</v>
      </c>
      <c r="Q18" s="39">
        <v>3.4</v>
      </c>
      <c r="R18" s="39">
        <v>4.1000000000000002E-2</v>
      </c>
      <c r="S18" s="39">
        <v>2.9000000000000001E-2</v>
      </c>
      <c r="T18" s="39">
        <v>48.553205182927933</v>
      </c>
      <c r="U18" s="39">
        <v>10.94</v>
      </c>
      <c r="V18" s="39">
        <v>0.19</v>
      </c>
      <c r="W18" s="39">
        <v>91.9</v>
      </c>
      <c r="X18" s="39">
        <v>11.530193967408453</v>
      </c>
      <c r="Y18" s="18"/>
      <c r="Z18" s="72">
        <v>4.54</v>
      </c>
      <c r="AA18" s="72">
        <v>1.65</v>
      </c>
      <c r="AB18" s="72">
        <v>1.35</v>
      </c>
      <c r="AC18" s="72">
        <v>0.22</v>
      </c>
      <c r="AD18" s="72">
        <v>92.24</v>
      </c>
      <c r="AE18" s="73">
        <f t="shared" ref="AE18:AE40" si="0">SUM(Z18:AD18)</f>
        <v>100</v>
      </c>
      <c r="AF18" s="74"/>
      <c r="AG18" s="73">
        <v>42.1</v>
      </c>
      <c r="AH18" s="73">
        <v>17.100000000000001</v>
      </c>
      <c r="AI18" s="73">
        <v>9.8000000000000007</v>
      </c>
      <c r="AJ18" s="73">
        <v>1.2</v>
      </c>
      <c r="AK18" s="73">
        <v>29.799999999999997</v>
      </c>
      <c r="AL18" s="73">
        <f t="shared" ref="AL18:AL40" si="1">SUM(AG18:AK18)</f>
        <v>100</v>
      </c>
      <c r="AM18" s="74"/>
      <c r="AN18" s="73">
        <v>32.83</v>
      </c>
      <c r="AO18" s="73">
        <v>23.66</v>
      </c>
      <c r="AP18" s="73">
        <v>17</v>
      </c>
      <c r="AQ18" s="73">
        <v>2.3800000000000003</v>
      </c>
      <c r="AR18" s="73">
        <v>24.13</v>
      </c>
      <c r="AS18" s="73">
        <f t="shared" ref="AS18:AS40" si="2">SUM(AN18:AR18)</f>
        <v>99.999999999999986</v>
      </c>
      <c r="AT18" s="74"/>
      <c r="AU18" s="73">
        <v>36.78</v>
      </c>
      <c r="AV18" s="73">
        <v>22.93</v>
      </c>
      <c r="AW18" s="73">
        <v>11.24</v>
      </c>
      <c r="AX18" s="73">
        <v>1.76</v>
      </c>
      <c r="AY18" s="73">
        <v>27.29</v>
      </c>
      <c r="AZ18" s="73">
        <f t="shared" ref="AZ18:AZ40" si="3">SUM(AU18:AY18)</f>
        <v>100</v>
      </c>
      <c r="BC18" s="57" t="s">
        <v>115</v>
      </c>
      <c r="BD18" s="58" t="s">
        <v>113</v>
      </c>
      <c r="BE18" s="58" t="s">
        <v>116</v>
      </c>
      <c r="BF18" s="59">
        <v>12.27</v>
      </c>
      <c r="BG18" s="59">
        <v>4.01</v>
      </c>
      <c r="BI18" s="57" t="s">
        <v>74</v>
      </c>
      <c r="BJ18" s="58" t="s">
        <v>75</v>
      </c>
      <c r="BK18" s="58" t="s">
        <v>76</v>
      </c>
      <c r="BL18" s="59">
        <v>18.170000000000002</v>
      </c>
      <c r="BM18" s="59">
        <v>9.27</v>
      </c>
      <c r="BO18" s="57" t="s">
        <v>102</v>
      </c>
      <c r="BP18" s="58" t="s">
        <v>138</v>
      </c>
      <c r="BQ18" s="58" t="s">
        <v>139</v>
      </c>
      <c r="BR18" s="59">
        <v>1.1000000000000001</v>
      </c>
      <c r="BS18" s="59">
        <v>18.05</v>
      </c>
      <c r="BU18" s="57" t="s">
        <v>122</v>
      </c>
      <c r="BV18" s="58"/>
      <c r="BW18" s="58" t="s">
        <v>123</v>
      </c>
      <c r="BX18" s="59">
        <v>1.75</v>
      </c>
      <c r="BY18" s="59">
        <v>45.94</v>
      </c>
      <c r="CA18" s="57" t="s">
        <v>84</v>
      </c>
      <c r="CB18" s="58" t="s">
        <v>71</v>
      </c>
      <c r="CC18" s="58" t="s">
        <v>85</v>
      </c>
      <c r="CD18" s="59">
        <v>4.34</v>
      </c>
      <c r="CE18" s="59">
        <v>0.88</v>
      </c>
    </row>
    <row r="19" spans="1:83" ht="20.100000000000001" customHeight="1">
      <c r="A19" s="22">
        <v>3</v>
      </c>
      <c r="B19" s="14" t="s">
        <v>57</v>
      </c>
      <c r="C19" s="14" t="s">
        <v>17</v>
      </c>
      <c r="D19" s="15" t="s">
        <v>21</v>
      </c>
      <c r="E19" s="16">
        <v>45394</v>
      </c>
      <c r="F19" s="17">
        <v>0.4513888888888889</v>
      </c>
      <c r="G19" s="15" t="s">
        <v>19</v>
      </c>
      <c r="H19" s="24">
        <v>19.100000000000001</v>
      </c>
      <c r="I19" s="24">
        <v>7.58</v>
      </c>
      <c r="J19" s="24">
        <v>9.67</v>
      </c>
      <c r="K19" s="24">
        <v>357</v>
      </c>
      <c r="L19" s="39">
        <v>4.3529999999999998</v>
      </c>
      <c r="M19" s="39"/>
      <c r="N19" s="39">
        <v>0.90200000000000002</v>
      </c>
      <c r="O19" s="39">
        <v>2.9836540688462629</v>
      </c>
      <c r="P19" s="39">
        <v>0.5708632001190197</v>
      </c>
      <c r="Q19" s="39">
        <v>3.5</v>
      </c>
      <c r="R19" s="39">
        <v>7.8E-2</v>
      </c>
      <c r="S19" s="39">
        <v>6.9000000000000006E-2</v>
      </c>
      <c r="T19" s="39">
        <v>42.668927928854785</v>
      </c>
      <c r="U19" s="39">
        <v>10.09</v>
      </c>
      <c r="V19" s="39">
        <v>1.5</v>
      </c>
      <c r="W19" s="39">
        <v>25.3</v>
      </c>
      <c r="X19" s="39">
        <v>11.842993595465368</v>
      </c>
      <c r="Y19" s="18"/>
      <c r="Z19" s="72">
        <v>17.760000000000002</v>
      </c>
      <c r="AA19" s="72">
        <v>1.07</v>
      </c>
      <c r="AB19" s="72">
        <v>2.21</v>
      </c>
      <c r="AC19" s="72">
        <v>0.15</v>
      </c>
      <c r="AD19" s="72">
        <v>78.81</v>
      </c>
      <c r="AE19" s="73">
        <f t="shared" si="0"/>
        <v>100</v>
      </c>
      <c r="AF19" s="74"/>
      <c r="AG19" s="73">
        <v>40.300000000000004</v>
      </c>
      <c r="AH19" s="73">
        <v>16.5</v>
      </c>
      <c r="AI19" s="73">
        <v>10.8</v>
      </c>
      <c r="AJ19" s="73">
        <v>1.3</v>
      </c>
      <c r="AK19" s="73">
        <v>31.1</v>
      </c>
      <c r="AL19" s="73">
        <f t="shared" si="1"/>
        <v>100</v>
      </c>
      <c r="AM19" s="74"/>
      <c r="AN19" s="73">
        <v>36.4</v>
      </c>
      <c r="AO19" s="73">
        <v>21.3</v>
      </c>
      <c r="AP19" s="73">
        <v>14.31</v>
      </c>
      <c r="AQ19" s="73">
        <v>2.8899999999999997</v>
      </c>
      <c r="AR19" s="73">
        <v>25.1</v>
      </c>
      <c r="AS19" s="73">
        <f t="shared" si="2"/>
        <v>100</v>
      </c>
      <c r="AT19" s="74"/>
      <c r="AU19" s="73">
        <v>34.42</v>
      </c>
      <c r="AV19" s="73">
        <v>22.56</v>
      </c>
      <c r="AW19" s="73">
        <v>12.78</v>
      </c>
      <c r="AX19" s="73">
        <v>2.2799999999999998</v>
      </c>
      <c r="AY19" s="73">
        <v>27.96</v>
      </c>
      <c r="AZ19" s="73">
        <f t="shared" si="3"/>
        <v>100</v>
      </c>
      <c r="BC19" s="57" t="s">
        <v>115</v>
      </c>
      <c r="BD19" s="58" t="s">
        <v>113</v>
      </c>
      <c r="BE19" s="58" t="s">
        <v>116</v>
      </c>
      <c r="BF19" s="59">
        <v>14.07</v>
      </c>
      <c r="BG19" s="59">
        <v>3.84</v>
      </c>
      <c r="BI19" s="57" t="s">
        <v>96</v>
      </c>
      <c r="BJ19" s="58"/>
      <c r="BK19" s="58" t="s">
        <v>105</v>
      </c>
      <c r="BL19" s="59">
        <v>15.309999999999999</v>
      </c>
      <c r="BM19" s="59">
        <v>3.085</v>
      </c>
      <c r="BO19" s="57" t="s">
        <v>90</v>
      </c>
      <c r="BP19" s="58"/>
      <c r="BQ19" s="58" t="s">
        <v>91</v>
      </c>
      <c r="BR19" s="59">
        <v>1.665</v>
      </c>
      <c r="BS19" s="59">
        <v>4.1099999999999994</v>
      </c>
      <c r="BU19" s="57" t="s">
        <v>135</v>
      </c>
      <c r="BV19" s="58"/>
      <c r="BW19" s="58" t="s">
        <v>123</v>
      </c>
      <c r="BX19" s="59">
        <v>0.13</v>
      </c>
      <c r="BY19" s="59">
        <v>51.47</v>
      </c>
      <c r="CA19" s="57" t="s">
        <v>92</v>
      </c>
      <c r="CB19" s="58"/>
      <c r="CC19" s="58" t="s">
        <v>93</v>
      </c>
      <c r="CD19" s="59">
        <v>3.76</v>
      </c>
      <c r="CE19" s="59">
        <v>8.43</v>
      </c>
    </row>
    <row r="20" spans="1:83" ht="20.100000000000001" customHeight="1">
      <c r="A20" s="22">
        <v>4</v>
      </c>
      <c r="B20" s="14" t="s">
        <v>57</v>
      </c>
      <c r="C20" s="14" t="s">
        <v>17</v>
      </c>
      <c r="D20" s="15" t="s">
        <v>22</v>
      </c>
      <c r="E20" s="16">
        <v>45394</v>
      </c>
      <c r="F20" s="17">
        <v>0.46527777777777773</v>
      </c>
      <c r="G20" s="15" t="s">
        <v>19</v>
      </c>
      <c r="H20" s="24">
        <v>20.399999999999999</v>
      </c>
      <c r="I20" s="24">
        <v>7.35</v>
      </c>
      <c r="J20" s="24">
        <v>9</v>
      </c>
      <c r="K20" s="24">
        <v>348</v>
      </c>
      <c r="L20" s="39">
        <v>3.8969999999999998</v>
      </c>
      <c r="M20" s="39"/>
      <c r="N20" s="39">
        <v>0.78200000000000003</v>
      </c>
      <c r="O20" s="39">
        <v>2.6470789824688241</v>
      </c>
      <c r="P20" s="39">
        <v>0.50575484929842918</v>
      </c>
      <c r="Q20" s="39">
        <v>3.5</v>
      </c>
      <c r="R20" s="39">
        <v>5.8999999999999997E-2</v>
      </c>
      <c r="S20" s="39">
        <v>4.8000000000000001E-2</v>
      </c>
      <c r="T20" s="39">
        <v>41.228925543629487</v>
      </c>
      <c r="U20" s="39">
        <v>10.63</v>
      </c>
      <c r="V20" s="39">
        <v>2.19</v>
      </c>
      <c r="W20" s="39">
        <v>19.899999999999999</v>
      </c>
      <c r="X20" s="39">
        <v>12.303652359256734</v>
      </c>
      <c r="Y20" s="18"/>
      <c r="Z20" s="72">
        <v>41.45</v>
      </c>
      <c r="AA20" s="72">
        <v>1.0900000000000001</v>
      </c>
      <c r="AB20" s="72">
        <v>1.73</v>
      </c>
      <c r="AC20" s="72">
        <v>0.25</v>
      </c>
      <c r="AD20" s="72">
        <v>55.48</v>
      </c>
      <c r="AE20" s="73">
        <f t="shared" si="0"/>
        <v>100</v>
      </c>
      <c r="AF20" s="74"/>
      <c r="AG20" s="73">
        <v>41.099999999999994</v>
      </c>
      <c r="AH20" s="73">
        <v>17.7</v>
      </c>
      <c r="AI20" s="73">
        <v>10.9</v>
      </c>
      <c r="AJ20" s="73">
        <v>1.4</v>
      </c>
      <c r="AK20" s="73">
        <v>28.9</v>
      </c>
      <c r="AL20" s="73">
        <f t="shared" si="1"/>
        <v>100</v>
      </c>
      <c r="AM20" s="74"/>
      <c r="AN20" s="73">
        <v>41.88</v>
      </c>
      <c r="AO20" s="73">
        <v>19.830000000000002</v>
      </c>
      <c r="AP20" s="73">
        <v>14.219999999999999</v>
      </c>
      <c r="AQ20" s="73">
        <v>2.52</v>
      </c>
      <c r="AR20" s="73">
        <v>21.55</v>
      </c>
      <c r="AS20" s="73">
        <f t="shared" si="2"/>
        <v>100</v>
      </c>
      <c r="AT20" s="74"/>
      <c r="AU20" s="73">
        <v>35.5</v>
      </c>
      <c r="AV20" s="73">
        <v>24.04</v>
      </c>
      <c r="AW20" s="73">
        <v>12.56</v>
      </c>
      <c r="AX20" s="73">
        <v>2.5700000000000003</v>
      </c>
      <c r="AY20" s="73">
        <v>25.330000000000002</v>
      </c>
      <c r="AZ20" s="73">
        <f t="shared" si="3"/>
        <v>99.999999999999986</v>
      </c>
      <c r="BC20" s="57" t="s">
        <v>115</v>
      </c>
      <c r="BD20" s="58" t="s">
        <v>113</v>
      </c>
      <c r="BE20" s="58" t="s">
        <v>116</v>
      </c>
      <c r="BF20" s="59">
        <v>12.44</v>
      </c>
      <c r="BG20" s="59">
        <v>3.65</v>
      </c>
      <c r="BI20" s="57" t="s">
        <v>98</v>
      </c>
      <c r="BJ20" s="58"/>
      <c r="BK20" s="58" t="s">
        <v>106</v>
      </c>
      <c r="BL20" s="59">
        <v>19.239999999999998</v>
      </c>
      <c r="BM20" s="59">
        <v>8.4600000000000009</v>
      </c>
      <c r="BO20" s="57" t="s">
        <v>95</v>
      </c>
      <c r="BP20" s="58"/>
      <c r="BQ20" s="58" t="s">
        <v>104</v>
      </c>
      <c r="BR20" s="59">
        <v>1.4100000000000001</v>
      </c>
      <c r="BS20" s="59">
        <v>8.9700000000000006</v>
      </c>
      <c r="BU20" s="57"/>
      <c r="BV20" s="58"/>
      <c r="BW20" s="58"/>
      <c r="BX20" s="59"/>
      <c r="BY20" s="59"/>
      <c r="CA20" s="57" t="s">
        <v>124</v>
      </c>
      <c r="CB20" s="58" t="s">
        <v>125</v>
      </c>
      <c r="CC20" s="58" t="s">
        <v>126</v>
      </c>
      <c r="CD20" s="59">
        <v>2.36</v>
      </c>
      <c r="CE20" s="59">
        <v>-0.6</v>
      </c>
    </row>
    <row r="21" spans="1:83" ht="20.100000000000001" customHeight="1">
      <c r="A21" s="31">
        <v>5</v>
      </c>
      <c r="B21" s="32" t="s">
        <v>58</v>
      </c>
      <c r="C21" s="32" t="s">
        <v>23</v>
      </c>
      <c r="D21" s="33" t="s">
        <v>24</v>
      </c>
      <c r="E21" s="42">
        <v>45394</v>
      </c>
      <c r="F21" s="34">
        <v>0.625</v>
      </c>
      <c r="G21" s="33" t="s">
        <v>19</v>
      </c>
      <c r="H21" s="35">
        <v>23.3</v>
      </c>
      <c r="I21" s="35">
        <v>8.59</v>
      </c>
      <c r="J21" s="35">
        <v>9.51</v>
      </c>
      <c r="K21" s="35">
        <v>167.4</v>
      </c>
      <c r="L21" s="41">
        <v>1.5269999999999999</v>
      </c>
      <c r="M21" s="41"/>
      <c r="N21" s="41">
        <v>2.8000000000000001E-2</v>
      </c>
      <c r="O21" s="41">
        <v>1.3577461209228088</v>
      </c>
      <c r="P21" s="41" t="s">
        <v>112</v>
      </c>
      <c r="Q21" s="41">
        <v>2.5</v>
      </c>
      <c r="R21" s="41">
        <v>2.5000000000000001E-2</v>
      </c>
      <c r="S21" s="41">
        <v>8.9999999999999993E-3</v>
      </c>
      <c r="T21" s="41">
        <v>13.465682479565089</v>
      </c>
      <c r="U21" s="41">
        <v>5.58</v>
      </c>
      <c r="V21" s="41">
        <v>6.49</v>
      </c>
      <c r="W21" s="41">
        <v>8.1999999999999993</v>
      </c>
      <c r="X21" s="41">
        <v>15.388054287513553</v>
      </c>
      <c r="Y21" s="36"/>
      <c r="Z21" s="72">
        <v>16.329999999999998</v>
      </c>
      <c r="AA21" s="72">
        <v>9.6999999999999993</v>
      </c>
      <c r="AB21" s="72">
        <v>32.26</v>
      </c>
      <c r="AC21" s="72">
        <v>2.87</v>
      </c>
      <c r="AD21" s="72">
        <v>38.840000000000003</v>
      </c>
      <c r="AE21" s="73">
        <f t="shared" si="0"/>
        <v>100</v>
      </c>
      <c r="AF21" s="74"/>
      <c r="AG21" s="73">
        <v>25.8</v>
      </c>
      <c r="AH21" s="73">
        <v>13.4</v>
      </c>
      <c r="AI21" s="73">
        <v>20.599999999999998</v>
      </c>
      <c r="AJ21" s="73">
        <v>2.2000000000000002</v>
      </c>
      <c r="AK21" s="73">
        <v>38</v>
      </c>
      <c r="AL21" s="73">
        <f t="shared" si="1"/>
        <v>100</v>
      </c>
      <c r="AM21" s="74"/>
      <c r="AN21" s="73">
        <v>23.79</v>
      </c>
      <c r="AO21" s="73">
        <v>19.5</v>
      </c>
      <c r="AP21" s="73">
        <v>25.3</v>
      </c>
      <c r="AQ21" s="73">
        <v>5.62</v>
      </c>
      <c r="AR21" s="73">
        <v>25.790000000000003</v>
      </c>
      <c r="AS21" s="73">
        <f t="shared" si="2"/>
        <v>100.00000000000001</v>
      </c>
      <c r="AT21" s="74"/>
      <c r="AU21" s="73">
        <v>19.64</v>
      </c>
      <c r="AV21" s="73">
        <v>15.53</v>
      </c>
      <c r="AW21" s="73">
        <v>26.41</v>
      </c>
      <c r="AX21" s="73">
        <v>5.9499999999999993</v>
      </c>
      <c r="AY21" s="73">
        <v>32.47</v>
      </c>
      <c r="AZ21" s="73">
        <f t="shared" si="3"/>
        <v>100</v>
      </c>
      <c r="BC21" s="57" t="s">
        <v>114</v>
      </c>
      <c r="BD21" s="58" t="s">
        <v>113</v>
      </c>
      <c r="BE21" s="58" t="s">
        <v>49</v>
      </c>
      <c r="BF21" s="59">
        <v>16.52</v>
      </c>
      <c r="BG21" s="59">
        <v>5.16</v>
      </c>
      <c r="BI21" s="57" t="s">
        <v>136</v>
      </c>
      <c r="BJ21" s="58"/>
      <c r="BK21" s="58" t="s">
        <v>108</v>
      </c>
      <c r="BL21" s="59">
        <v>4.09</v>
      </c>
      <c r="BM21" s="59">
        <v>16.754999999999999</v>
      </c>
      <c r="BO21" s="57" t="s">
        <v>97</v>
      </c>
      <c r="BP21" s="58"/>
      <c r="BQ21" s="58" t="s">
        <v>152</v>
      </c>
      <c r="BR21" s="59">
        <v>0.53</v>
      </c>
      <c r="BS21" s="59">
        <v>7.29</v>
      </c>
      <c r="BU21" s="57"/>
      <c r="BV21" s="58"/>
      <c r="BW21" s="58" t="s">
        <v>161</v>
      </c>
      <c r="BX21" s="59">
        <f>AVERAGE(BX17:BX19)</f>
        <v>1.71</v>
      </c>
      <c r="BY21" s="59">
        <f>AVERAGE(BY17:BY19)</f>
        <v>45.81</v>
      </c>
      <c r="CA21" s="57" t="s">
        <v>127</v>
      </c>
      <c r="CB21" s="58" t="s">
        <v>125</v>
      </c>
      <c r="CC21" s="58" t="s">
        <v>128</v>
      </c>
      <c r="CD21" s="59">
        <v>1.86</v>
      </c>
      <c r="CE21" s="59">
        <v>-1.83</v>
      </c>
    </row>
    <row r="22" spans="1:83" ht="20.100000000000001" customHeight="1">
      <c r="A22" s="31">
        <v>6</v>
      </c>
      <c r="B22" s="32" t="s">
        <v>58</v>
      </c>
      <c r="C22" s="32" t="s">
        <v>23</v>
      </c>
      <c r="D22" s="33" t="s">
        <v>25</v>
      </c>
      <c r="E22" s="42">
        <v>45394</v>
      </c>
      <c r="F22" s="34">
        <v>0.63888888888888895</v>
      </c>
      <c r="G22" s="33" t="s">
        <v>19</v>
      </c>
      <c r="H22" s="35">
        <v>20.5</v>
      </c>
      <c r="I22" s="35">
        <v>7.61</v>
      </c>
      <c r="J22" s="35">
        <v>10.02</v>
      </c>
      <c r="K22" s="35">
        <v>279</v>
      </c>
      <c r="L22" s="41">
        <v>2.8879999999999999</v>
      </c>
      <c r="M22" s="41"/>
      <c r="N22" s="41">
        <v>0.128</v>
      </c>
      <c r="O22" s="41">
        <v>2.3599395974240749</v>
      </c>
      <c r="P22" s="41">
        <v>4.16973481937844E-2</v>
      </c>
      <c r="Q22" s="41">
        <v>3.8</v>
      </c>
      <c r="R22" s="41">
        <v>0.13700000000000001</v>
      </c>
      <c r="S22" s="41">
        <v>0.13200000000000001</v>
      </c>
      <c r="T22" s="41">
        <v>24.609506883467702</v>
      </c>
      <c r="U22" s="41">
        <v>6.75</v>
      </c>
      <c r="V22" s="41">
        <v>7.6</v>
      </c>
      <c r="W22" s="41">
        <v>14.7</v>
      </c>
      <c r="X22" s="41">
        <v>11.914577909851953</v>
      </c>
      <c r="Y22" s="36"/>
      <c r="Z22" s="72">
        <v>21.05</v>
      </c>
      <c r="AA22" s="72">
        <v>14.52</v>
      </c>
      <c r="AB22" s="72">
        <v>29.81</v>
      </c>
      <c r="AC22" s="72">
        <v>5.13</v>
      </c>
      <c r="AD22" s="72">
        <v>29.49</v>
      </c>
      <c r="AE22" s="73">
        <f t="shared" si="0"/>
        <v>99.999999999999986</v>
      </c>
      <c r="AF22" s="74"/>
      <c r="AG22" s="73">
        <v>28.599999999999998</v>
      </c>
      <c r="AH22" s="73">
        <v>15.299999999999999</v>
      </c>
      <c r="AI22" s="73">
        <v>19.2</v>
      </c>
      <c r="AJ22" s="73">
        <v>2.1999999999999997</v>
      </c>
      <c r="AK22" s="73">
        <v>34.699999999999996</v>
      </c>
      <c r="AL22" s="73">
        <f t="shared" si="1"/>
        <v>100</v>
      </c>
      <c r="AM22" s="74"/>
      <c r="AN22" s="73">
        <v>28.16</v>
      </c>
      <c r="AO22" s="73">
        <v>14.7</v>
      </c>
      <c r="AP22" s="73">
        <v>24.43</v>
      </c>
      <c r="AQ22" s="73">
        <v>5.88</v>
      </c>
      <c r="AR22" s="73">
        <v>26.83</v>
      </c>
      <c r="AS22" s="73">
        <f t="shared" si="2"/>
        <v>99.999999999999986</v>
      </c>
      <c r="AT22" s="74"/>
      <c r="AU22" s="73">
        <v>22.650000000000002</v>
      </c>
      <c r="AV22" s="73">
        <v>19.21</v>
      </c>
      <c r="AW22" s="73">
        <v>22.98</v>
      </c>
      <c r="AX22" s="73">
        <v>7.12</v>
      </c>
      <c r="AY22" s="73">
        <v>28.04</v>
      </c>
      <c r="AZ22" s="73">
        <f t="shared" si="3"/>
        <v>100</v>
      </c>
      <c r="BC22" s="57" t="s">
        <v>81</v>
      </c>
      <c r="BD22" s="58" t="s">
        <v>71</v>
      </c>
      <c r="BE22" s="58" t="s">
        <v>82</v>
      </c>
      <c r="BF22" s="59">
        <v>10.89</v>
      </c>
      <c r="BG22" s="59">
        <v>1.05</v>
      </c>
      <c r="BI22" s="57" t="s">
        <v>100</v>
      </c>
      <c r="BJ22" s="58"/>
      <c r="BK22" s="58" t="s">
        <v>109</v>
      </c>
      <c r="BL22" s="59">
        <v>20.925000000000001</v>
      </c>
      <c r="BM22" s="59">
        <v>5.27</v>
      </c>
      <c r="BO22" s="57"/>
      <c r="BP22" s="58"/>
      <c r="BQ22" s="58"/>
      <c r="BR22" s="59"/>
      <c r="BS22" s="59"/>
      <c r="BU22" s="57"/>
      <c r="BV22" s="58"/>
      <c r="BW22" s="58" t="s">
        <v>162</v>
      </c>
      <c r="BX22" s="59">
        <f>_xlfn.STDEV.S(BX17:BX19)</f>
        <v>1.5603845679831623</v>
      </c>
      <c r="BY22" s="59">
        <f>_xlfn.STDEV.S(BY17:BY19)</f>
        <v>5.7261068798966068</v>
      </c>
      <c r="CA22" s="57" t="s">
        <v>129</v>
      </c>
      <c r="CB22" s="58" t="s">
        <v>125</v>
      </c>
      <c r="CC22" s="58" t="s">
        <v>130</v>
      </c>
      <c r="CD22" s="59">
        <v>7.77</v>
      </c>
      <c r="CE22" s="59">
        <v>2.4</v>
      </c>
    </row>
    <row r="23" spans="1:83" ht="20.100000000000001" customHeight="1">
      <c r="A23" s="31">
        <v>7</v>
      </c>
      <c r="B23" s="32" t="s">
        <v>58</v>
      </c>
      <c r="C23" s="32" t="s">
        <v>23</v>
      </c>
      <c r="D23" s="33" t="s">
        <v>26</v>
      </c>
      <c r="E23" s="42">
        <v>45393</v>
      </c>
      <c r="F23" s="34">
        <v>0.63888888888888895</v>
      </c>
      <c r="G23" s="33" t="s">
        <v>19</v>
      </c>
      <c r="H23" s="43">
        <v>17.5</v>
      </c>
      <c r="I23" s="43">
        <v>7.38</v>
      </c>
      <c r="J23" s="43">
        <v>9.8800000000000008</v>
      </c>
      <c r="K23" s="44">
        <v>267</v>
      </c>
      <c r="L23" s="41">
        <v>3.016</v>
      </c>
      <c r="M23" s="41"/>
      <c r="N23" s="41">
        <v>0.191</v>
      </c>
      <c r="O23" s="41">
        <v>2.4391271227247548</v>
      </c>
      <c r="P23" s="41">
        <v>7.7295428737773897E-2</v>
      </c>
      <c r="Q23" s="41">
        <v>4.3</v>
      </c>
      <c r="R23" s="41">
        <v>0.251</v>
      </c>
      <c r="S23" s="41">
        <v>0.249</v>
      </c>
      <c r="T23" s="41">
        <v>21.663703887468678</v>
      </c>
      <c r="U23" s="41">
        <v>8.2100000000000009</v>
      </c>
      <c r="V23" s="41">
        <v>5.56</v>
      </c>
      <c r="W23" s="41">
        <v>19.2</v>
      </c>
      <c r="X23" s="41">
        <v>10.009981831868686</v>
      </c>
      <c r="Y23" s="36"/>
      <c r="Z23" s="75">
        <v>27.84</v>
      </c>
      <c r="AA23" s="75">
        <v>17.739999999999998</v>
      </c>
      <c r="AB23" s="75">
        <v>20.02</v>
      </c>
      <c r="AC23" s="75">
        <v>1.75</v>
      </c>
      <c r="AD23" s="75">
        <v>32.65</v>
      </c>
      <c r="AE23" s="74">
        <f t="shared" si="0"/>
        <v>100</v>
      </c>
      <c r="AF23" s="74"/>
      <c r="AG23" s="76">
        <v>32.700000000000003</v>
      </c>
      <c r="AH23" s="76">
        <v>16.5</v>
      </c>
      <c r="AI23" s="76">
        <v>15.6</v>
      </c>
      <c r="AJ23" s="76">
        <v>1.9</v>
      </c>
      <c r="AK23" s="76">
        <v>33.300000000000004</v>
      </c>
      <c r="AL23" s="74">
        <f t="shared" si="1"/>
        <v>100</v>
      </c>
      <c r="AM23" s="74"/>
      <c r="AN23" s="76">
        <v>26.340000000000003</v>
      </c>
      <c r="AO23" s="76">
        <v>21.55</v>
      </c>
      <c r="AP23" s="76">
        <v>20.010000000000002</v>
      </c>
      <c r="AQ23" s="76">
        <v>5.01</v>
      </c>
      <c r="AR23" s="76">
        <v>27.089999999999996</v>
      </c>
      <c r="AS23" s="74">
        <f t="shared" si="2"/>
        <v>100</v>
      </c>
      <c r="AT23" s="74"/>
      <c r="AU23" s="76">
        <v>28.050000000000004</v>
      </c>
      <c r="AV23" s="76">
        <v>21.88</v>
      </c>
      <c r="AW23" s="76">
        <v>17.919999999999998</v>
      </c>
      <c r="AX23" s="76">
        <v>4.93</v>
      </c>
      <c r="AY23" s="76">
        <v>27.22</v>
      </c>
      <c r="AZ23" s="74">
        <f t="shared" si="3"/>
        <v>100</v>
      </c>
      <c r="BC23" s="57" t="s">
        <v>70</v>
      </c>
      <c r="BD23" s="58" t="s">
        <v>71</v>
      </c>
      <c r="BE23" s="58" t="s">
        <v>83</v>
      </c>
      <c r="BF23" s="59">
        <v>19.190000000000001</v>
      </c>
      <c r="BG23" s="59">
        <v>4</v>
      </c>
      <c r="BI23" s="57" t="s">
        <v>148</v>
      </c>
      <c r="BJ23" s="58"/>
      <c r="BK23" s="58" t="s">
        <v>149</v>
      </c>
      <c r="BL23" s="59">
        <v>24.47</v>
      </c>
      <c r="BM23" s="59">
        <v>-0.67</v>
      </c>
      <c r="BO23" s="57"/>
      <c r="BP23" s="58"/>
      <c r="BQ23" s="58" t="s">
        <v>161</v>
      </c>
      <c r="BR23" s="59">
        <f>AVERAGE(BR17:BR21)</f>
        <v>1.0669999999999999</v>
      </c>
      <c r="BS23" s="59">
        <f>AVERAGE(BS17:BS21)</f>
        <v>9.8279999999999994</v>
      </c>
      <c r="CA23" s="57" t="s">
        <v>131</v>
      </c>
      <c r="CB23" s="58" t="s">
        <v>125</v>
      </c>
      <c r="CC23" s="58" t="s">
        <v>132</v>
      </c>
      <c r="CD23" s="59">
        <v>0.92</v>
      </c>
      <c r="CE23" s="59">
        <v>0.08</v>
      </c>
    </row>
    <row r="24" spans="1:83" s="7" customFormat="1" ht="20.100000000000001" customHeight="1">
      <c r="A24" s="31">
        <v>8</v>
      </c>
      <c r="B24" s="32" t="s">
        <v>58</v>
      </c>
      <c r="C24" s="32" t="s">
        <v>27</v>
      </c>
      <c r="D24" s="33" t="s">
        <v>28</v>
      </c>
      <c r="E24" s="42">
        <v>45393</v>
      </c>
      <c r="F24" s="34">
        <v>0.65277777777777779</v>
      </c>
      <c r="G24" s="33" t="s">
        <v>19</v>
      </c>
      <c r="H24" s="43">
        <v>15.2</v>
      </c>
      <c r="I24" s="43">
        <v>7.18</v>
      </c>
      <c r="J24" s="43">
        <v>8.57</v>
      </c>
      <c r="K24" s="44">
        <v>447</v>
      </c>
      <c r="L24" s="41">
        <v>10.587</v>
      </c>
      <c r="M24" s="41"/>
      <c r="N24" s="41">
        <v>7.5830000000000002</v>
      </c>
      <c r="O24" s="41">
        <v>0.97586059085562704</v>
      </c>
      <c r="P24" s="41">
        <v>8.6902733014795064E-2</v>
      </c>
      <c r="Q24" s="41">
        <v>13.8</v>
      </c>
      <c r="R24" s="41">
        <v>4.4939999999999998</v>
      </c>
      <c r="S24" s="41">
        <v>4.4489999999999998</v>
      </c>
      <c r="T24" s="41">
        <v>28.874406034046217</v>
      </c>
      <c r="U24" s="41">
        <v>1.58</v>
      </c>
      <c r="V24" s="41">
        <v>-0.43</v>
      </c>
      <c r="W24" s="41">
        <v>29.5</v>
      </c>
      <c r="X24" s="41">
        <v>10.352175185906143</v>
      </c>
      <c r="Y24" s="36"/>
      <c r="Z24" s="72">
        <v>11.21</v>
      </c>
      <c r="AA24" s="72">
        <v>3.04</v>
      </c>
      <c r="AB24" s="72">
        <v>1.08</v>
      </c>
      <c r="AC24" s="72">
        <v>0.09</v>
      </c>
      <c r="AD24" s="72">
        <v>84.58</v>
      </c>
      <c r="AE24" s="73">
        <f t="shared" si="0"/>
        <v>100</v>
      </c>
      <c r="AF24" s="74"/>
      <c r="AG24" s="73">
        <v>18.7</v>
      </c>
      <c r="AH24" s="73">
        <v>7.8</v>
      </c>
      <c r="AI24" s="73">
        <v>17.599999999999998</v>
      </c>
      <c r="AJ24" s="73">
        <v>1.0999999999999999</v>
      </c>
      <c r="AK24" s="73">
        <v>54.800000000000004</v>
      </c>
      <c r="AL24" s="73">
        <f t="shared" si="1"/>
        <v>100</v>
      </c>
      <c r="AM24" s="74"/>
      <c r="AN24" s="73">
        <v>13.059999999999999</v>
      </c>
      <c r="AO24" s="73">
        <v>12.72</v>
      </c>
      <c r="AP24" s="73">
        <v>22.5</v>
      </c>
      <c r="AQ24" s="73">
        <v>5.1100000000000003</v>
      </c>
      <c r="AR24" s="73">
        <v>46.61</v>
      </c>
      <c r="AS24" s="73">
        <f t="shared" si="2"/>
        <v>100</v>
      </c>
      <c r="AT24" s="74"/>
      <c r="AU24" s="73">
        <v>8.6499999999999986</v>
      </c>
      <c r="AV24" s="73">
        <v>5.59</v>
      </c>
      <c r="AW24" s="73">
        <v>30.98</v>
      </c>
      <c r="AX24" s="73">
        <v>1.7000000000000002</v>
      </c>
      <c r="AY24" s="73">
        <v>53.080000000000005</v>
      </c>
      <c r="AZ24" s="73">
        <f t="shared" si="3"/>
        <v>100</v>
      </c>
      <c r="BC24" s="57" t="s">
        <v>70</v>
      </c>
      <c r="BD24" s="58" t="s">
        <v>71</v>
      </c>
      <c r="BE24" s="58" t="s">
        <v>86</v>
      </c>
      <c r="BF24" s="59">
        <v>15.92</v>
      </c>
      <c r="BG24" s="59">
        <v>-0.37</v>
      </c>
      <c r="BI24" s="57" t="s">
        <v>137</v>
      </c>
      <c r="BJ24" s="58"/>
      <c r="BK24" s="58" t="s">
        <v>110</v>
      </c>
      <c r="BL24" s="59">
        <v>24.39</v>
      </c>
      <c r="BM24" s="59">
        <v>1.3149999999999999</v>
      </c>
      <c r="BO24" s="57"/>
      <c r="BP24" s="58"/>
      <c r="BQ24" s="58" t="s">
        <v>162</v>
      </c>
      <c r="BR24" s="59">
        <f>_xlfn.STDEV.S(BR17:BR21)</f>
        <v>0.488794435320207</v>
      </c>
      <c r="BS24" s="59">
        <f>_xlfn.STDEV.S(BS17:BS21)</f>
        <v>5.2026454809068055</v>
      </c>
      <c r="CA24" s="57" t="s">
        <v>133</v>
      </c>
      <c r="CB24" s="58" t="s">
        <v>125</v>
      </c>
      <c r="CC24" s="58" t="s">
        <v>134</v>
      </c>
      <c r="CD24" s="59">
        <v>2.98</v>
      </c>
      <c r="CE24" s="59">
        <v>0.23</v>
      </c>
    </row>
    <row r="25" spans="1:83" ht="20.100000000000001" customHeight="1">
      <c r="A25" s="31">
        <v>9</v>
      </c>
      <c r="B25" s="32" t="s">
        <v>58</v>
      </c>
      <c r="C25" s="32" t="s">
        <v>27</v>
      </c>
      <c r="D25" s="33" t="s">
        <v>30</v>
      </c>
      <c r="E25" s="42">
        <v>45393</v>
      </c>
      <c r="F25" s="34">
        <v>0.64236111111111105</v>
      </c>
      <c r="G25" s="33" t="s">
        <v>19</v>
      </c>
      <c r="H25" s="43">
        <v>17.600000000000001</v>
      </c>
      <c r="I25" s="43">
        <v>8.07</v>
      </c>
      <c r="J25" s="43">
        <v>12.5</v>
      </c>
      <c r="K25" s="44">
        <v>306</v>
      </c>
      <c r="L25" s="41">
        <v>5.1479999999999997</v>
      </c>
      <c r="M25" s="41"/>
      <c r="N25" s="41">
        <v>0.44400000000000001</v>
      </c>
      <c r="O25" s="41">
        <v>3.8062637015242489</v>
      </c>
      <c r="P25" s="41">
        <v>0.37424985100928226</v>
      </c>
      <c r="Q25" s="41">
        <v>8.3000000000000007</v>
      </c>
      <c r="R25" s="41">
        <v>1.298</v>
      </c>
      <c r="S25" s="41">
        <v>1.2909999999999999</v>
      </c>
      <c r="T25" s="41">
        <v>22.829088136986975</v>
      </c>
      <c r="U25" s="41">
        <v>12.48</v>
      </c>
      <c r="V25" s="41">
        <v>2.62</v>
      </c>
      <c r="W25" s="41" t="s">
        <v>68</v>
      </c>
      <c r="X25" s="41">
        <v>12.076708490286192</v>
      </c>
      <c r="Y25" s="36"/>
      <c r="Z25" s="72">
        <v>65.930000000000007</v>
      </c>
      <c r="AA25" s="72">
        <v>1.47</v>
      </c>
      <c r="AB25" s="72">
        <v>1.0900000000000001</v>
      </c>
      <c r="AC25" s="72">
        <v>0.43</v>
      </c>
      <c r="AD25" s="72">
        <v>31.08</v>
      </c>
      <c r="AE25" s="73">
        <f t="shared" si="0"/>
        <v>100.00000000000001</v>
      </c>
      <c r="AF25" s="74"/>
      <c r="AG25" s="73">
        <v>45.6</v>
      </c>
      <c r="AH25" s="73">
        <v>19.400000000000002</v>
      </c>
      <c r="AI25" s="73">
        <v>9.5</v>
      </c>
      <c r="AJ25" s="73">
        <v>1.4000000000000001</v>
      </c>
      <c r="AK25" s="73">
        <v>24.099999999999998</v>
      </c>
      <c r="AL25" s="73">
        <f t="shared" si="1"/>
        <v>100</v>
      </c>
      <c r="AM25" s="74"/>
      <c r="AN25" s="73">
        <v>43.7</v>
      </c>
      <c r="AO25" s="73">
        <v>22.67</v>
      </c>
      <c r="AP25" s="73">
        <v>12.870000000000001</v>
      </c>
      <c r="AQ25" s="73">
        <v>2.1</v>
      </c>
      <c r="AR25" s="73">
        <v>18.66</v>
      </c>
      <c r="AS25" s="73">
        <f t="shared" si="2"/>
        <v>100</v>
      </c>
      <c r="AT25" s="74"/>
      <c r="AU25" s="73">
        <v>39.71</v>
      </c>
      <c r="AV25" s="73">
        <v>27.310000000000002</v>
      </c>
      <c r="AW25" s="73">
        <v>11.21</v>
      </c>
      <c r="AX25" s="73">
        <v>2.73</v>
      </c>
      <c r="AY25" s="73">
        <v>19.040000000000003</v>
      </c>
      <c r="AZ25" s="73">
        <f t="shared" si="3"/>
        <v>100.00000000000003</v>
      </c>
      <c r="BC25" s="57" t="s">
        <v>141</v>
      </c>
      <c r="BD25" s="58" t="s">
        <v>72</v>
      </c>
      <c r="BE25" s="58" t="s">
        <v>142</v>
      </c>
      <c r="BF25" s="59">
        <v>13.38</v>
      </c>
      <c r="BG25" s="59">
        <v>4.66</v>
      </c>
      <c r="BI25" s="57" t="s">
        <v>89</v>
      </c>
      <c r="BJ25" s="58"/>
      <c r="BK25" s="58" t="s">
        <v>88</v>
      </c>
      <c r="BL25" s="59">
        <v>18.195</v>
      </c>
      <c r="BM25" s="59">
        <v>4.7449999999999992</v>
      </c>
      <c r="CA25" s="57"/>
      <c r="CB25" s="58"/>
      <c r="CC25" s="58"/>
      <c r="CD25" s="59"/>
      <c r="CE25" s="59"/>
    </row>
    <row r="26" spans="1:83" ht="20.100000000000001" customHeight="1">
      <c r="A26" s="22">
        <v>10</v>
      </c>
      <c r="B26" s="14" t="s">
        <v>59</v>
      </c>
      <c r="C26" s="14" t="s">
        <v>31</v>
      </c>
      <c r="D26" s="15" t="s">
        <v>32</v>
      </c>
      <c r="E26" s="16">
        <v>45394</v>
      </c>
      <c r="F26" s="17">
        <v>0.55902777777777779</v>
      </c>
      <c r="G26" s="15" t="s">
        <v>19</v>
      </c>
      <c r="H26" s="23">
        <v>20.100000000000001</v>
      </c>
      <c r="I26" s="23">
        <v>9.43</v>
      </c>
      <c r="J26" s="23">
        <v>13.8</v>
      </c>
      <c r="K26" s="45">
        <v>159.5</v>
      </c>
      <c r="L26" s="39">
        <v>1.5369999999999999</v>
      </c>
      <c r="M26" s="39"/>
      <c r="N26" s="39">
        <v>0.06</v>
      </c>
      <c r="O26" s="39">
        <v>1.3490559741266328</v>
      </c>
      <c r="P26" s="39" t="s">
        <v>112</v>
      </c>
      <c r="Q26" s="39">
        <v>2.4</v>
      </c>
      <c r="R26" s="39">
        <v>1.9E-2</v>
      </c>
      <c r="S26" s="39">
        <v>7.0000000000000001E-3</v>
      </c>
      <c r="T26" s="39">
        <v>10.187097958523417</v>
      </c>
      <c r="U26" s="39">
        <v>8.51</v>
      </c>
      <c r="V26" s="39">
        <v>8.32</v>
      </c>
      <c r="W26" s="39">
        <v>8.6999999999999993</v>
      </c>
      <c r="X26" s="39">
        <v>13.328055480267331</v>
      </c>
      <c r="Y26" s="18"/>
      <c r="Z26" s="75">
        <v>23.27</v>
      </c>
      <c r="AA26" s="75">
        <v>24.51</v>
      </c>
      <c r="AB26" s="75">
        <v>21.85</v>
      </c>
      <c r="AC26" s="75">
        <v>7.01</v>
      </c>
      <c r="AD26" s="75">
        <v>23.36</v>
      </c>
      <c r="AE26" s="74">
        <f t="shared" si="0"/>
        <v>100</v>
      </c>
      <c r="AF26" s="74"/>
      <c r="AG26" s="76">
        <v>32.1</v>
      </c>
      <c r="AH26" s="76">
        <v>18.099999999999998</v>
      </c>
      <c r="AI26" s="76">
        <v>16.900000000000002</v>
      </c>
      <c r="AJ26" s="76">
        <v>2.4</v>
      </c>
      <c r="AK26" s="76">
        <v>30.5</v>
      </c>
      <c r="AL26" s="74">
        <f t="shared" si="1"/>
        <v>100.00000000000001</v>
      </c>
      <c r="AM26" s="74"/>
      <c r="AN26" s="76">
        <v>30.79</v>
      </c>
      <c r="AO26" s="76">
        <v>20.52</v>
      </c>
      <c r="AP26" s="76">
        <v>17.34</v>
      </c>
      <c r="AQ26" s="76">
        <v>7.3599999999999994</v>
      </c>
      <c r="AR26" s="76">
        <v>23.990000000000002</v>
      </c>
      <c r="AS26" s="74">
        <f t="shared" si="2"/>
        <v>100</v>
      </c>
      <c r="AT26" s="74"/>
      <c r="AU26" s="76">
        <v>26.96</v>
      </c>
      <c r="AV26" s="76">
        <v>24.02</v>
      </c>
      <c r="AW26" s="76">
        <v>18.649999999999999</v>
      </c>
      <c r="AX26" s="76">
        <v>7.86</v>
      </c>
      <c r="AY26" s="76">
        <v>22.51</v>
      </c>
      <c r="AZ26" s="74">
        <f t="shared" si="3"/>
        <v>100</v>
      </c>
      <c r="BC26" s="57" t="s">
        <v>69</v>
      </c>
      <c r="BD26" s="58" t="s">
        <v>73</v>
      </c>
      <c r="BE26" s="58" t="s">
        <v>87</v>
      </c>
      <c r="BF26" s="59">
        <v>7.56</v>
      </c>
      <c r="BG26" s="59">
        <v>-0.25</v>
      </c>
      <c r="BI26" s="57" t="s">
        <v>79</v>
      </c>
      <c r="BJ26" s="58" t="s">
        <v>72</v>
      </c>
      <c r="BK26" s="58" t="s">
        <v>80</v>
      </c>
      <c r="BL26" s="59">
        <v>9.6</v>
      </c>
      <c r="BM26" s="59">
        <v>5.88</v>
      </c>
      <c r="CA26" s="57"/>
      <c r="CB26" s="58"/>
      <c r="CC26" s="58" t="s">
        <v>161</v>
      </c>
      <c r="CD26" s="59">
        <f>AVERAGE(CD17:CD24)</f>
        <v>3.2174999999999998</v>
      </c>
      <c r="CE26" s="59">
        <f>AVERAGE(CE17:CE24)</f>
        <v>2.1549999999999998</v>
      </c>
    </row>
    <row r="27" spans="1:83" ht="20.100000000000001" customHeight="1">
      <c r="A27" s="22">
        <v>11</v>
      </c>
      <c r="B27" s="14" t="s">
        <v>59</v>
      </c>
      <c r="C27" s="14" t="s">
        <v>31</v>
      </c>
      <c r="D27" s="15" t="s">
        <v>33</v>
      </c>
      <c r="E27" s="16">
        <v>45394</v>
      </c>
      <c r="F27" s="17">
        <v>0.60416666666666663</v>
      </c>
      <c r="G27" s="15" t="s">
        <v>19</v>
      </c>
      <c r="H27" s="23">
        <v>18.8</v>
      </c>
      <c r="I27" s="23">
        <v>7.93</v>
      </c>
      <c r="J27" s="23">
        <v>10.17</v>
      </c>
      <c r="K27" s="45">
        <v>192.7</v>
      </c>
      <c r="L27" s="39">
        <v>2.169</v>
      </c>
      <c r="M27" s="39"/>
      <c r="N27" s="39">
        <v>2.1999999999999999E-2</v>
      </c>
      <c r="O27" s="39">
        <v>2.0674211944327476</v>
      </c>
      <c r="P27" s="39" t="s">
        <v>112</v>
      </c>
      <c r="Q27" s="39">
        <v>2</v>
      </c>
      <c r="R27" s="39">
        <v>4.7E-2</v>
      </c>
      <c r="S27" s="39">
        <v>4.2999999999999997E-2</v>
      </c>
      <c r="T27" s="39">
        <v>12.831242270508705</v>
      </c>
      <c r="U27" s="39">
        <v>8.24</v>
      </c>
      <c r="V27" s="39">
        <v>6.51</v>
      </c>
      <c r="W27" s="39">
        <v>11.6</v>
      </c>
      <c r="X27" s="39">
        <v>13.545452837707971</v>
      </c>
      <c r="Y27" s="18"/>
      <c r="Z27" s="75">
        <v>24.7</v>
      </c>
      <c r="AA27" s="75">
        <v>21.21</v>
      </c>
      <c r="AB27" s="75">
        <v>23.14</v>
      </c>
      <c r="AC27" s="75">
        <v>3.01</v>
      </c>
      <c r="AD27" s="75">
        <v>27.94</v>
      </c>
      <c r="AE27" s="74">
        <f t="shared" si="0"/>
        <v>100</v>
      </c>
      <c r="AF27" s="74"/>
      <c r="AG27" s="76">
        <v>33.5</v>
      </c>
      <c r="AH27" s="76">
        <v>16.5</v>
      </c>
      <c r="AI27" s="76">
        <v>16.100000000000001</v>
      </c>
      <c r="AJ27" s="76">
        <v>2</v>
      </c>
      <c r="AK27" s="76">
        <v>31.900000000000002</v>
      </c>
      <c r="AL27" s="74">
        <f t="shared" si="1"/>
        <v>100</v>
      </c>
      <c r="AM27" s="74"/>
      <c r="AN27" s="76">
        <v>27.860000000000003</v>
      </c>
      <c r="AO27" s="76">
        <v>23.43</v>
      </c>
      <c r="AP27" s="76">
        <v>19.189999999999998</v>
      </c>
      <c r="AQ27" s="76">
        <v>5.33</v>
      </c>
      <c r="AR27" s="76">
        <v>24.19</v>
      </c>
      <c r="AS27" s="74">
        <f t="shared" si="2"/>
        <v>100</v>
      </c>
      <c r="AT27" s="74"/>
      <c r="AU27" s="76">
        <v>27.6</v>
      </c>
      <c r="AV27" s="76">
        <v>22.54</v>
      </c>
      <c r="AW27" s="76">
        <v>18.39</v>
      </c>
      <c r="AX27" s="76">
        <v>5.81</v>
      </c>
      <c r="AY27" s="76">
        <v>25.66</v>
      </c>
      <c r="AZ27" s="74">
        <f t="shared" si="3"/>
        <v>100</v>
      </c>
      <c r="BC27" s="57" t="s">
        <v>143</v>
      </c>
      <c r="BD27" s="58" t="s">
        <v>72</v>
      </c>
      <c r="BE27" s="58" t="s">
        <v>144</v>
      </c>
      <c r="BF27" s="59">
        <v>20.5</v>
      </c>
      <c r="BG27" s="59">
        <v>5.45</v>
      </c>
      <c r="BI27" s="57" t="s">
        <v>94</v>
      </c>
      <c r="BJ27" s="58"/>
      <c r="BK27" s="58" t="s">
        <v>103</v>
      </c>
      <c r="BL27" s="59">
        <v>8.6150000000000002</v>
      </c>
      <c r="BM27" s="59">
        <v>11.465</v>
      </c>
      <c r="CA27" s="57"/>
      <c r="CB27" s="58"/>
      <c r="CC27" s="58" t="s">
        <v>162</v>
      </c>
      <c r="CD27" s="59">
        <f>_xlfn.STDEV.S(CD17:CD24)</f>
        <v>2.1496228905155834</v>
      </c>
      <c r="CE27" s="59">
        <f>_xlfn.STDEV.S(CE17:CE24)</f>
        <v>3.8310349217187487</v>
      </c>
    </row>
    <row r="28" spans="1:83" ht="20.100000000000001" customHeight="1">
      <c r="A28" s="22">
        <v>12</v>
      </c>
      <c r="B28" s="14" t="s">
        <v>59</v>
      </c>
      <c r="C28" s="14" t="s">
        <v>31</v>
      </c>
      <c r="D28" s="15" t="s">
        <v>34</v>
      </c>
      <c r="E28" s="16">
        <v>45394</v>
      </c>
      <c r="F28" s="17">
        <v>0.61111111111111105</v>
      </c>
      <c r="G28" s="15" t="s">
        <v>19</v>
      </c>
      <c r="H28" s="23">
        <v>20.6</v>
      </c>
      <c r="I28" s="23">
        <v>8.49</v>
      </c>
      <c r="J28" s="23">
        <v>11.2</v>
      </c>
      <c r="K28" s="45">
        <v>200.4</v>
      </c>
      <c r="L28" s="39">
        <v>2.4790000000000001</v>
      </c>
      <c r="M28" s="39"/>
      <c r="N28" s="39">
        <v>3.5000000000000003E-2</v>
      </c>
      <c r="O28" s="39">
        <v>2.3482003300928995</v>
      </c>
      <c r="P28" s="39" t="s">
        <v>112</v>
      </c>
      <c r="Q28" s="39">
        <v>2.1</v>
      </c>
      <c r="R28" s="39">
        <v>5.0999999999999997E-2</v>
      </c>
      <c r="S28" s="39">
        <v>4.8000000000000001E-2</v>
      </c>
      <c r="T28" s="39">
        <v>14.247692060289525</v>
      </c>
      <c r="U28" s="39">
        <v>8.6199999999999992</v>
      </c>
      <c r="V28" s="39">
        <v>5.83</v>
      </c>
      <c r="W28" s="39">
        <v>11.2</v>
      </c>
      <c r="X28" s="39">
        <v>14.539856019900043</v>
      </c>
      <c r="Y28" s="18"/>
      <c r="Z28" s="75">
        <v>26.91</v>
      </c>
      <c r="AA28" s="75">
        <v>21.3</v>
      </c>
      <c r="AB28" s="75">
        <v>19.05</v>
      </c>
      <c r="AC28" s="75">
        <v>2.14</v>
      </c>
      <c r="AD28" s="75">
        <v>30.6</v>
      </c>
      <c r="AE28" s="74">
        <f t="shared" si="0"/>
        <v>100</v>
      </c>
      <c r="AF28" s="74"/>
      <c r="AG28" s="76">
        <v>34.599999999999994</v>
      </c>
      <c r="AH28" s="76">
        <v>16.8</v>
      </c>
      <c r="AI28" s="76">
        <v>14.899999999999999</v>
      </c>
      <c r="AJ28" s="76">
        <v>1.7999999999999998</v>
      </c>
      <c r="AK28" s="76">
        <v>31.900000000000002</v>
      </c>
      <c r="AL28" s="74">
        <f t="shared" si="1"/>
        <v>99.999999999999986</v>
      </c>
      <c r="AM28" s="74"/>
      <c r="AN28" s="76">
        <v>26.919999999999998</v>
      </c>
      <c r="AO28" s="76">
        <v>25.3</v>
      </c>
      <c r="AP28" s="76">
        <v>14.63</v>
      </c>
      <c r="AQ28" s="76">
        <v>4.71</v>
      </c>
      <c r="AR28" s="76">
        <v>28.439999999999998</v>
      </c>
      <c r="AS28" s="74">
        <f t="shared" si="2"/>
        <v>99.999999999999986</v>
      </c>
      <c r="AT28" s="74"/>
      <c r="AU28" s="76">
        <v>28.96</v>
      </c>
      <c r="AV28" s="76">
        <v>22.93</v>
      </c>
      <c r="AW28" s="76">
        <v>17.32</v>
      </c>
      <c r="AX28" s="76">
        <v>5.12</v>
      </c>
      <c r="AY28" s="76">
        <v>25.669999999999998</v>
      </c>
      <c r="AZ28" s="74">
        <f t="shared" si="3"/>
        <v>100.00000000000001</v>
      </c>
      <c r="BC28" s="57" t="s">
        <v>145</v>
      </c>
      <c r="BD28" s="58" t="s">
        <v>72</v>
      </c>
      <c r="BE28" s="58" t="s">
        <v>146</v>
      </c>
      <c r="BF28" s="59">
        <v>23.7</v>
      </c>
      <c r="BG28" s="59">
        <v>6.6</v>
      </c>
      <c r="BI28" s="57" t="s">
        <v>99</v>
      </c>
      <c r="BJ28" s="58"/>
      <c r="BK28" s="58" t="s">
        <v>107</v>
      </c>
      <c r="BL28" s="59">
        <v>17.560000000000002</v>
      </c>
      <c r="BM28" s="59">
        <v>8.84</v>
      </c>
    </row>
    <row r="29" spans="1:83" ht="20.100000000000001" customHeight="1">
      <c r="A29" s="22">
        <v>13</v>
      </c>
      <c r="B29" s="14" t="s">
        <v>59</v>
      </c>
      <c r="C29" s="14" t="s">
        <v>35</v>
      </c>
      <c r="D29" s="15" t="s">
        <v>36</v>
      </c>
      <c r="E29" s="16">
        <v>45394</v>
      </c>
      <c r="F29" s="17">
        <v>0.59375</v>
      </c>
      <c r="G29" s="15" t="s">
        <v>37</v>
      </c>
      <c r="H29" s="23">
        <v>20</v>
      </c>
      <c r="I29" s="23">
        <v>7.91</v>
      </c>
      <c r="J29" s="23">
        <v>10.9</v>
      </c>
      <c r="K29" s="45">
        <v>264</v>
      </c>
      <c r="L29" s="39">
        <v>3.7250000000000001</v>
      </c>
      <c r="M29" s="39"/>
      <c r="N29" s="39">
        <v>0.246</v>
      </c>
      <c r="O29" s="39">
        <v>3.3700928149145133</v>
      </c>
      <c r="P29" s="39">
        <v>6.9030757429925982E-2</v>
      </c>
      <c r="Q29" s="39">
        <v>2.2000000000000002</v>
      </c>
      <c r="R29" s="39">
        <v>0.106</v>
      </c>
      <c r="S29" s="39">
        <v>0.105</v>
      </c>
      <c r="T29" s="39">
        <v>20.963677081464517</v>
      </c>
      <c r="U29" s="39">
        <v>9.1300000000000008</v>
      </c>
      <c r="V29" s="39">
        <v>4.09</v>
      </c>
      <c r="W29" s="39">
        <v>9.3000000000000007</v>
      </c>
      <c r="X29" s="39">
        <v>15.702781473289019</v>
      </c>
      <c r="Y29" s="18"/>
      <c r="Z29" s="72">
        <v>39.909999999999997</v>
      </c>
      <c r="AA29" s="72">
        <v>11.57</v>
      </c>
      <c r="AB29" s="72">
        <v>5.29</v>
      </c>
      <c r="AC29" s="72">
        <v>1.39</v>
      </c>
      <c r="AD29" s="72">
        <v>41.84</v>
      </c>
      <c r="AE29" s="73">
        <f t="shared" si="0"/>
        <v>100</v>
      </c>
      <c r="AF29" s="74"/>
      <c r="AG29" s="73">
        <v>36.299999999999997</v>
      </c>
      <c r="AH29" s="73">
        <v>17</v>
      </c>
      <c r="AI29" s="73">
        <v>13.3</v>
      </c>
      <c r="AJ29" s="73">
        <v>1.5</v>
      </c>
      <c r="AK29" s="73">
        <v>31.900000000000002</v>
      </c>
      <c r="AL29" s="73">
        <f t="shared" si="1"/>
        <v>100</v>
      </c>
      <c r="AM29" s="74"/>
      <c r="AN29" s="73">
        <v>33.700000000000003</v>
      </c>
      <c r="AO29" s="73">
        <v>19.809999999999999</v>
      </c>
      <c r="AP29" s="73">
        <v>19.59</v>
      </c>
      <c r="AQ29" s="73">
        <v>2.96</v>
      </c>
      <c r="AR29" s="73">
        <v>23.94</v>
      </c>
      <c r="AS29" s="73">
        <f t="shared" si="2"/>
        <v>100</v>
      </c>
      <c r="AT29" s="74"/>
      <c r="AU29" s="73">
        <v>31.1</v>
      </c>
      <c r="AV29" s="73">
        <v>22.73</v>
      </c>
      <c r="AW29" s="73">
        <v>15.49</v>
      </c>
      <c r="AX29" s="73">
        <v>3.74</v>
      </c>
      <c r="AY29" s="73">
        <v>26.939999999999998</v>
      </c>
      <c r="AZ29" s="73">
        <f t="shared" si="3"/>
        <v>99.999999999999986</v>
      </c>
      <c r="BC29" s="57" t="s">
        <v>147</v>
      </c>
      <c r="BD29" s="58" t="s">
        <v>72</v>
      </c>
      <c r="BE29" s="58" t="s">
        <v>144</v>
      </c>
      <c r="BF29" s="59">
        <v>12.15</v>
      </c>
      <c r="BG29" s="59">
        <v>-0.53</v>
      </c>
      <c r="BI29" s="57"/>
      <c r="BJ29" s="58"/>
      <c r="BK29" s="58"/>
      <c r="BL29" s="59"/>
      <c r="BM29" s="59"/>
    </row>
    <row r="30" spans="1:83" ht="20.100000000000001" customHeight="1">
      <c r="A30" s="22">
        <v>14</v>
      </c>
      <c r="B30" s="14" t="s">
        <v>59</v>
      </c>
      <c r="C30" s="14" t="s">
        <v>5</v>
      </c>
      <c r="D30" s="15" t="s">
        <v>29</v>
      </c>
      <c r="E30" s="16">
        <v>45394</v>
      </c>
      <c r="F30" s="17">
        <v>0.58680555555555558</v>
      </c>
      <c r="G30" s="15" t="s">
        <v>37</v>
      </c>
      <c r="H30" s="23">
        <v>21.3</v>
      </c>
      <c r="I30" s="23">
        <v>7.61</v>
      </c>
      <c r="J30" s="23">
        <v>10.199999999999999</v>
      </c>
      <c r="K30" s="45">
        <v>330</v>
      </c>
      <c r="L30" s="39">
        <v>3.2210000000000001</v>
      </c>
      <c r="M30" s="39"/>
      <c r="N30" s="39">
        <v>0.48799999999999999</v>
      </c>
      <c r="O30" s="39">
        <v>2.409154906701044</v>
      </c>
      <c r="P30" s="39">
        <v>0.20265185356162441</v>
      </c>
      <c r="Q30" s="39">
        <v>2.8</v>
      </c>
      <c r="R30" s="39">
        <v>7.3999999999999996E-2</v>
      </c>
      <c r="S30" s="39">
        <v>7.0000000000000007E-2</v>
      </c>
      <c r="T30" s="39">
        <v>37.782982991834189</v>
      </c>
      <c r="U30" s="39">
        <v>8.94</v>
      </c>
      <c r="V30" s="39">
        <v>4.2699999999999996</v>
      </c>
      <c r="W30" s="39">
        <v>16.5</v>
      </c>
      <c r="X30" s="39">
        <v>12.61424864341576</v>
      </c>
      <c r="Y30" s="18"/>
      <c r="Z30" s="72">
        <v>35.409999999999997</v>
      </c>
      <c r="AA30" s="72">
        <v>14.64</v>
      </c>
      <c r="AB30" s="72">
        <v>7.44</v>
      </c>
      <c r="AC30" s="72">
        <v>1.17</v>
      </c>
      <c r="AD30" s="72">
        <v>41.34</v>
      </c>
      <c r="AE30" s="73">
        <f t="shared" si="0"/>
        <v>100</v>
      </c>
      <c r="AF30" s="74"/>
      <c r="AG30" s="73">
        <v>36.1</v>
      </c>
      <c r="AH30" s="73">
        <v>16.5</v>
      </c>
      <c r="AI30" s="73">
        <v>13.600000000000001</v>
      </c>
      <c r="AJ30" s="73">
        <v>1.6</v>
      </c>
      <c r="AK30" s="73">
        <v>32.200000000000003</v>
      </c>
      <c r="AL30" s="73">
        <f t="shared" si="1"/>
        <v>100</v>
      </c>
      <c r="AM30" s="74"/>
      <c r="AN30" s="73">
        <v>35.299999999999997</v>
      </c>
      <c r="AO30" s="73">
        <v>19.3</v>
      </c>
      <c r="AP30" s="73">
        <v>17.96</v>
      </c>
      <c r="AQ30" s="73">
        <v>3.1300000000000003</v>
      </c>
      <c r="AR30" s="73">
        <v>24.310000000000002</v>
      </c>
      <c r="AS30" s="73">
        <f t="shared" si="2"/>
        <v>100</v>
      </c>
      <c r="AT30" s="74"/>
      <c r="AU30" s="73">
        <v>30.54</v>
      </c>
      <c r="AV30" s="73">
        <v>22.470000000000002</v>
      </c>
      <c r="AW30" s="73">
        <v>15.89</v>
      </c>
      <c r="AX30" s="73">
        <v>3.8699999999999997</v>
      </c>
      <c r="AY30" s="73">
        <v>27.229999999999997</v>
      </c>
      <c r="AZ30" s="73">
        <f t="shared" si="3"/>
        <v>100</v>
      </c>
      <c r="BC30" s="57"/>
      <c r="BD30" s="58"/>
      <c r="BE30" s="58"/>
      <c r="BF30" s="59"/>
      <c r="BG30" s="59"/>
      <c r="BI30" s="57"/>
      <c r="BJ30" s="58"/>
      <c r="BK30" s="58" t="s">
        <v>161</v>
      </c>
      <c r="BL30" s="59">
        <f>AVERAGE(BL17:BL28)</f>
        <v>16.518750000000001</v>
      </c>
      <c r="BM30" s="59">
        <f>AVERAGE(BM17:BM28)</f>
        <v>7.1087500000000006</v>
      </c>
    </row>
    <row r="31" spans="1:83" ht="20.100000000000001" customHeight="1">
      <c r="A31" s="22">
        <v>15</v>
      </c>
      <c r="B31" s="14" t="s">
        <v>59</v>
      </c>
      <c r="C31" s="14" t="s">
        <v>35</v>
      </c>
      <c r="D31" s="15" t="s">
        <v>29</v>
      </c>
      <c r="E31" s="16">
        <v>45394</v>
      </c>
      <c r="F31" s="17">
        <v>0.58333333333333337</v>
      </c>
      <c r="G31" s="15" t="s">
        <v>37</v>
      </c>
      <c r="H31" s="23">
        <v>19.2</v>
      </c>
      <c r="I31" s="23">
        <v>8.1999999999999993</v>
      </c>
      <c r="J31" s="23">
        <v>10.36</v>
      </c>
      <c r="K31" s="45">
        <v>265</v>
      </c>
      <c r="L31" s="39">
        <v>2.9990000000000001</v>
      </c>
      <c r="M31" s="39"/>
      <c r="N31" s="39">
        <v>8.3000000000000004E-2</v>
      </c>
      <c r="O31" s="39">
        <v>2.8600034333719488</v>
      </c>
      <c r="P31" s="39">
        <v>1.7071790625036165E-3</v>
      </c>
      <c r="Q31" s="39">
        <v>2.4</v>
      </c>
      <c r="R31" s="39">
        <v>7.3999999999999996E-2</v>
      </c>
      <c r="S31" s="39">
        <v>7.0999999999999994E-2</v>
      </c>
      <c r="T31" s="39">
        <v>20.981463254273066</v>
      </c>
      <c r="U31" s="39">
        <v>10.39</v>
      </c>
      <c r="V31" s="39">
        <v>5.64</v>
      </c>
      <c r="W31" s="39">
        <v>12.4</v>
      </c>
      <c r="X31" s="39">
        <v>16.465379552633163</v>
      </c>
      <c r="Y31" s="18"/>
      <c r="Z31" s="75">
        <v>31.42</v>
      </c>
      <c r="AA31" s="75">
        <v>29.22</v>
      </c>
      <c r="AB31" s="75">
        <v>11.45</v>
      </c>
      <c r="AC31" s="75">
        <v>2.0299999999999998</v>
      </c>
      <c r="AD31" s="75">
        <v>25.88</v>
      </c>
      <c r="AE31" s="74">
        <f t="shared" si="0"/>
        <v>100</v>
      </c>
      <c r="AF31" s="74"/>
      <c r="AG31" s="76">
        <v>38.700000000000003</v>
      </c>
      <c r="AH31" s="76">
        <v>19.100000000000001</v>
      </c>
      <c r="AI31" s="76">
        <v>12.8</v>
      </c>
      <c r="AJ31" s="76">
        <v>1.7999999999999998</v>
      </c>
      <c r="AK31" s="76">
        <v>27.6</v>
      </c>
      <c r="AL31" s="74">
        <f t="shared" si="1"/>
        <v>100</v>
      </c>
      <c r="AM31" s="74"/>
      <c r="AN31" s="76">
        <v>33.879999999999995</v>
      </c>
      <c r="AO31" s="76">
        <v>25.130000000000003</v>
      </c>
      <c r="AP31" s="76">
        <v>14.469999999999999</v>
      </c>
      <c r="AQ31" s="76">
        <v>4.7600000000000007</v>
      </c>
      <c r="AR31" s="76">
        <v>21.759999999999998</v>
      </c>
      <c r="AS31" s="74">
        <f t="shared" si="2"/>
        <v>100</v>
      </c>
      <c r="AT31" s="74"/>
      <c r="AU31" s="76">
        <v>33.17</v>
      </c>
      <c r="AV31" s="76">
        <v>26.009999999999998</v>
      </c>
      <c r="AW31" s="76">
        <v>14.67</v>
      </c>
      <c r="AX31" s="76">
        <v>4.83</v>
      </c>
      <c r="AY31" s="76">
        <v>21.32</v>
      </c>
      <c r="AZ31" s="74">
        <f t="shared" si="3"/>
        <v>100</v>
      </c>
      <c r="BC31" s="57"/>
      <c r="BD31" s="58"/>
      <c r="BE31" s="58" t="s">
        <v>161</v>
      </c>
      <c r="BF31" s="59">
        <f>AVERAGE(BF17:BF29)</f>
        <v>14.393076923076922</v>
      </c>
      <c r="BG31" s="59">
        <f>AVERAGE(BG17:BG29)</f>
        <v>3.0961538461538463</v>
      </c>
      <c r="BI31" s="57"/>
      <c r="BJ31" s="58"/>
      <c r="BK31" s="58" t="s">
        <v>162</v>
      </c>
      <c r="BL31" s="59">
        <f>_xlfn.STDEV.S(BL17:BL28)</f>
        <v>6.2245522383687808</v>
      </c>
      <c r="BM31" s="59">
        <f>_xlfn.STDEV.S(BM17:BM28)</f>
        <v>4.8294946681821687</v>
      </c>
    </row>
    <row r="32" spans="1:83" ht="20.100000000000001" customHeight="1">
      <c r="A32" s="31">
        <v>16</v>
      </c>
      <c r="B32" s="32" t="s">
        <v>60</v>
      </c>
      <c r="C32" s="32" t="s">
        <v>38</v>
      </c>
      <c r="D32" s="33" t="s">
        <v>39</v>
      </c>
      <c r="E32" s="42">
        <v>45394</v>
      </c>
      <c r="F32" s="34">
        <v>0.60763888888888895</v>
      </c>
      <c r="G32" s="33" t="s">
        <v>37</v>
      </c>
      <c r="H32" s="43">
        <v>16.7</v>
      </c>
      <c r="I32" s="43">
        <v>7.74</v>
      </c>
      <c r="J32" s="43">
        <v>9.69</v>
      </c>
      <c r="K32" s="44">
        <v>280</v>
      </c>
      <c r="L32" s="41">
        <v>4.0350000000000001</v>
      </c>
      <c r="M32" s="41"/>
      <c r="N32" s="41">
        <v>0.11600000000000001</v>
      </c>
      <c r="O32" s="41">
        <v>3.6370006163330189</v>
      </c>
      <c r="P32" s="41">
        <v>7.1019486261476195E-2</v>
      </c>
      <c r="Q32" s="41">
        <v>3.7</v>
      </c>
      <c r="R32" s="41">
        <v>7.6999999999999999E-2</v>
      </c>
      <c r="S32" s="41">
        <v>7.0999999999999994E-2</v>
      </c>
      <c r="T32" s="41">
        <v>20.656813665762371</v>
      </c>
      <c r="U32" s="41">
        <v>7.92</v>
      </c>
      <c r="V32" s="41">
        <v>4.59</v>
      </c>
      <c r="W32" s="41">
        <v>12.1</v>
      </c>
      <c r="X32" s="41">
        <v>13.006279806017819</v>
      </c>
      <c r="Y32" s="36"/>
      <c r="Z32" s="72">
        <v>27.95</v>
      </c>
      <c r="AA32" s="72">
        <v>14.13</v>
      </c>
      <c r="AB32" s="72">
        <v>11.37</v>
      </c>
      <c r="AC32" s="72">
        <v>1.34</v>
      </c>
      <c r="AD32" s="72">
        <v>45.21</v>
      </c>
      <c r="AE32" s="73">
        <f t="shared" si="0"/>
        <v>100</v>
      </c>
      <c r="AF32" s="74"/>
      <c r="AG32" s="73">
        <v>33</v>
      </c>
      <c r="AH32" s="73">
        <v>15.5</v>
      </c>
      <c r="AI32" s="73">
        <v>15.4</v>
      </c>
      <c r="AJ32" s="73">
        <v>1.6</v>
      </c>
      <c r="AK32" s="73">
        <v>34.5</v>
      </c>
      <c r="AL32" s="73">
        <f t="shared" si="1"/>
        <v>100</v>
      </c>
      <c r="AM32" s="74"/>
      <c r="AN32" s="73">
        <v>30.880000000000003</v>
      </c>
      <c r="AO32" s="73">
        <v>18.37</v>
      </c>
      <c r="AP32" s="73">
        <v>19.09</v>
      </c>
      <c r="AQ32" s="73">
        <v>3.9899999999999998</v>
      </c>
      <c r="AR32" s="73">
        <v>27.67</v>
      </c>
      <c r="AS32" s="73">
        <f t="shared" si="2"/>
        <v>100</v>
      </c>
      <c r="AT32" s="74"/>
      <c r="AU32" s="73">
        <v>27.43</v>
      </c>
      <c r="AV32" s="73">
        <v>20.45</v>
      </c>
      <c r="AW32" s="73">
        <v>18</v>
      </c>
      <c r="AX32" s="73">
        <v>4.16</v>
      </c>
      <c r="AY32" s="73">
        <v>29.959999999999997</v>
      </c>
      <c r="AZ32" s="73">
        <f t="shared" si="3"/>
        <v>99.999999999999986</v>
      </c>
      <c r="BC32" s="57"/>
      <c r="BD32" s="58"/>
      <c r="BE32" s="58" t="s">
        <v>162</v>
      </c>
      <c r="BF32" s="59">
        <f>_xlfn.STDEV.S(BF17:BF29)</f>
        <v>4.6701059670621854</v>
      </c>
      <c r="BG32" s="59">
        <f>_xlfn.STDEV.S(BG17:BG29)</f>
        <v>2.3733750176402744</v>
      </c>
    </row>
    <row r="33" spans="1:52" ht="20.100000000000001" customHeight="1">
      <c r="A33" s="31">
        <v>17</v>
      </c>
      <c r="B33" s="32" t="s">
        <v>60</v>
      </c>
      <c r="C33" s="32" t="s">
        <v>38</v>
      </c>
      <c r="D33" s="33" t="s">
        <v>41</v>
      </c>
      <c r="E33" s="42">
        <v>45393</v>
      </c>
      <c r="F33" s="34">
        <v>0.5625</v>
      </c>
      <c r="G33" s="33" t="s">
        <v>37</v>
      </c>
      <c r="H33" s="43">
        <v>20</v>
      </c>
      <c r="I33" s="43">
        <v>7.57</v>
      </c>
      <c r="J33" s="43">
        <v>9.91</v>
      </c>
      <c r="K33" s="44">
        <v>372</v>
      </c>
      <c r="L33" s="41">
        <v>4.7130000000000001</v>
      </c>
      <c r="M33" s="41"/>
      <c r="N33" s="41">
        <v>0.129</v>
      </c>
      <c r="O33" s="41">
        <v>4.3850525263799121</v>
      </c>
      <c r="P33" s="41">
        <v>6.3094173518871088E-2</v>
      </c>
      <c r="Q33" s="41">
        <v>3.7</v>
      </c>
      <c r="R33" s="41">
        <v>8.3000000000000004E-2</v>
      </c>
      <c r="S33" s="41">
        <v>7.5999999999999998E-2</v>
      </c>
      <c r="T33" s="41">
        <v>42.086888752878899</v>
      </c>
      <c r="U33" s="41">
        <v>11.24</v>
      </c>
      <c r="V33" s="41">
        <v>5.97</v>
      </c>
      <c r="W33" s="41">
        <v>17.3</v>
      </c>
      <c r="X33" s="41">
        <v>11.329123160711552</v>
      </c>
      <c r="Y33" s="36"/>
      <c r="Z33" s="72">
        <v>35.4</v>
      </c>
      <c r="AA33" s="72">
        <v>32.42</v>
      </c>
      <c r="AB33" s="72">
        <v>12.1</v>
      </c>
      <c r="AC33" s="72">
        <v>2.16</v>
      </c>
      <c r="AD33" s="72">
        <v>17.920000000000002</v>
      </c>
      <c r="AE33" s="73">
        <f t="shared" si="0"/>
        <v>99.999999999999986</v>
      </c>
      <c r="AF33" s="74"/>
      <c r="AG33" s="73">
        <v>40.9</v>
      </c>
      <c r="AH33" s="73">
        <v>20.200000000000003</v>
      </c>
      <c r="AI33" s="73">
        <v>11.4</v>
      </c>
      <c r="AJ33" s="73">
        <v>1.7999999999999998</v>
      </c>
      <c r="AK33" s="73">
        <v>25.7</v>
      </c>
      <c r="AL33" s="73">
        <f t="shared" si="1"/>
        <v>100</v>
      </c>
      <c r="AM33" s="74"/>
      <c r="AN33" s="73">
        <v>30.3</v>
      </c>
      <c r="AO33" s="73">
        <v>34.089999999999996</v>
      </c>
      <c r="AP33" s="73">
        <v>14.799999999999999</v>
      </c>
      <c r="AQ33" s="73">
        <v>4.1900000000000004</v>
      </c>
      <c r="AR33" s="73">
        <v>16.619999999999997</v>
      </c>
      <c r="AS33" s="73">
        <f t="shared" si="2"/>
        <v>100</v>
      </c>
      <c r="AT33" s="74"/>
      <c r="AU33" s="73">
        <v>34.949999999999996</v>
      </c>
      <c r="AV33" s="73">
        <v>27.56</v>
      </c>
      <c r="AW33" s="73">
        <v>13.8</v>
      </c>
      <c r="AX33" s="73">
        <v>5.07</v>
      </c>
      <c r="AY33" s="73">
        <v>18.62</v>
      </c>
      <c r="AZ33" s="73">
        <f t="shared" si="3"/>
        <v>100</v>
      </c>
    </row>
    <row r="34" spans="1:52" ht="20.100000000000001" customHeight="1">
      <c r="A34" s="31">
        <v>18</v>
      </c>
      <c r="B34" s="32" t="s">
        <v>60</v>
      </c>
      <c r="C34" s="32" t="s">
        <v>38</v>
      </c>
      <c r="D34" s="33" t="s">
        <v>42</v>
      </c>
      <c r="E34" s="42">
        <v>45393</v>
      </c>
      <c r="F34" s="34">
        <v>0.62847222222222221</v>
      </c>
      <c r="G34" s="33" t="s">
        <v>37</v>
      </c>
      <c r="H34" s="43">
        <v>18.399999999999999</v>
      </c>
      <c r="I34" s="43">
        <v>7.16</v>
      </c>
      <c r="J34" s="43">
        <v>8.81</v>
      </c>
      <c r="K34" s="44">
        <v>393</v>
      </c>
      <c r="L34" s="41">
        <v>5.0999999999999996</v>
      </c>
      <c r="M34" s="41"/>
      <c r="N34" s="41">
        <v>0.374</v>
      </c>
      <c r="O34" s="41">
        <v>4.4413298229600713</v>
      </c>
      <c r="P34" s="41">
        <v>0.15166091643205315</v>
      </c>
      <c r="Q34" s="41">
        <v>4</v>
      </c>
      <c r="R34" s="41">
        <v>6.2E-2</v>
      </c>
      <c r="S34" s="41">
        <v>5.3999999999999999E-2</v>
      </c>
      <c r="T34" s="41">
        <v>46.199351722238532</v>
      </c>
      <c r="U34" s="41">
        <v>11.5</v>
      </c>
      <c r="V34" s="41">
        <v>5.45</v>
      </c>
      <c r="W34" s="41">
        <v>19.100000000000001</v>
      </c>
      <c r="X34" s="41">
        <v>11.436419136503728</v>
      </c>
      <c r="Y34" s="36"/>
      <c r="Z34" s="72">
        <v>37.44</v>
      </c>
      <c r="AA34" s="72">
        <v>31.81</v>
      </c>
      <c r="AB34" s="72">
        <v>8.66</v>
      </c>
      <c r="AC34" s="72">
        <v>1.66</v>
      </c>
      <c r="AD34" s="72">
        <v>20.43</v>
      </c>
      <c r="AE34" s="73">
        <f t="shared" si="0"/>
        <v>100</v>
      </c>
      <c r="AF34" s="74"/>
      <c r="AG34" s="73">
        <v>42</v>
      </c>
      <c r="AH34" s="73">
        <v>19.7</v>
      </c>
      <c r="AI34" s="73">
        <v>11.4</v>
      </c>
      <c r="AJ34" s="73">
        <v>1.7</v>
      </c>
      <c r="AK34" s="73">
        <v>25.2</v>
      </c>
      <c r="AL34" s="73">
        <f t="shared" si="1"/>
        <v>100.00000000000001</v>
      </c>
      <c r="AM34" s="74"/>
      <c r="AN34" s="73">
        <v>34.83</v>
      </c>
      <c r="AO34" s="73">
        <v>29.42</v>
      </c>
      <c r="AP34" s="73">
        <v>14.549999999999999</v>
      </c>
      <c r="AQ34" s="73">
        <v>3.29</v>
      </c>
      <c r="AR34" s="73">
        <v>17.91</v>
      </c>
      <c r="AS34" s="73">
        <f t="shared" si="2"/>
        <v>100</v>
      </c>
      <c r="AT34" s="74"/>
      <c r="AU34" s="73">
        <v>35.880000000000003</v>
      </c>
      <c r="AV34" s="73">
        <v>27.66</v>
      </c>
      <c r="AW34" s="73">
        <v>13.3</v>
      </c>
      <c r="AX34" s="73">
        <v>4.6100000000000003</v>
      </c>
      <c r="AY34" s="73">
        <v>18.55</v>
      </c>
      <c r="AZ34" s="73">
        <f t="shared" si="3"/>
        <v>100</v>
      </c>
    </row>
    <row r="35" spans="1:52" ht="20.100000000000001" customHeight="1">
      <c r="A35" s="31">
        <v>19</v>
      </c>
      <c r="B35" s="32" t="s">
        <v>60</v>
      </c>
      <c r="C35" s="32" t="s">
        <v>43</v>
      </c>
      <c r="D35" s="33" t="s">
        <v>40</v>
      </c>
      <c r="E35" s="42">
        <v>45393</v>
      </c>
      <c r="F35" s="34">
        <v>0.56597222222222221</v>
      </c>
      <c r="G35" s="33" t="s">
        <v>37</v>
      </c>
      <c r="H35" s="43">
        <v>20.399999999999999</v>
      </c>
      <c r="I35" s="43">
        <v>7.15</v>
      </c>
      <c r="J35" s="43">
        <v>9.94</v>
      </c>
      <c r="K35" s="44">
        <v>427</v>
      </c>
      <c r="L35" s="41">
        <v>4.4729999999999999</v>
      </c>
      <c r="M35" s="41"/>
      <c r="N35" s="41">
        <v>0.26700000000000002</v>
      </c>
      <c r="O35" s="41">
        <v>3.9058742648607598</v>
      </c>
      <c r="P35" s="41">
        <v>7.8217782921411683E-2</v>
      </c>
      <c r="Q35" s="41">
        <v>3.9</v>
      </c>
      <c r="R35" s="41">
        <v>0.02</v>
      </c>
      <c r="S35" s="41">
        <v>7.0000000000000001E-3</v>
      </c>
      <c r="T35" s="41">
        <v>64.491191417810811</v>
      </c>
      <c r="U35" s="41">
        <v>12.27</v>
      </c>
      <c r="V35" s="41">
        <v>6.11</v>
      </c>
      <c r="W35" s="41">
        <v>20.2</v>
      </c>
      <c r="X35" s="41">
        <v>10.396885695613589</v>
      </c>
      <c r="Y35" s="36"/>
      <c r="Z35" s="72">
        <v>38.68</v>
      </c>
      <c r="AA35" s="72">
        <v>36.97</v>
      </c>
      <c r="AB35" s="72">
        <v>9.81</v>
      </c>
      <c r="AC35" s="72">
        <v>2.34</v>
      </c>
      <c r="AD35" s="72">
        <v>12.2</v>
      </c>
      <c r="AE35" s="73">
        <f t="shared" si="0"/>
        <v>100.00000000000001</v>
      </c>
      <c r="AF35" s="74"/>
      <c r="AG35" s="73">
        <v>43.4</v>
      </c>
      <c r="AH35" s="73">
        <v>21.7</v>
      </c>
      <c r="AI35" s="73">
        <v>10.7</v>
      </c>
      <c r="AJ35" s="73">
        <v>1.7000000000000002</v>
      </c>
      <c r="AK35" s="73">
        <v>22.5</v>
      </c>
      <c r="AL35" s="73">
        <f t="shared" si="1"/>
        <v>100</v>
      </c>
      <c r="AM35" s="74"/>
      <c r="AN35" s="73">
        <v>34.82</v>
      </c>
      <c r="AO35" s="73">
        <v>31.919999999999998</v>
      </c>
      <c r="AP35" s="73">
        <v>11.67</v>
      </c>
      <c r="AQ35" s="73">
        <v>4.1300000000000008</v>
      </c>
      <c r="AR35" s="73">
        <v>17.46</v>
      </c>
      <c r="AS35" s="73">
        <f t="shared" si="2"/>
        <v>100</v>
      </c>
      <c r="AT35" s="74"/>
      <c r="AU35" s="73">
        <v>36.24</v>
      </c>
      <c r="AV35" s="73">
        <v>29.83</v>
      </c>
      <c r="AW35" s="73">
        <v>12.7</v>
      </c>
      <c r="AX35" s="73">
        <v>5.18</v>
      </c>
      <c r="AY35" s="73">
        <v>16.05</v>
      </c>
      <c r="AZ35" s="73">
        <f t="shared" si="3"/>
        <v>99.999999999999986</v>
      </c>
    </row>
    <row r="36" spans="1:52" ht="19.5" customHeight="1">
      <c r="A36" s="31">
        <v>20</v>
      </c>
      <c r="B36" s="32" t="s">
        <v>60</v>
      </c>
      <c r="C36" s="32" t="s">
        <v>43</v>
      </c>
      <c r="D36" s="33" t="s">
        <v>44</v>
      </c>
      <c r="E36" s="42">
        <v>45393</v>
      </c>
      <c r="F36" s="34">
        <v>0.57291666666666663</v>
      </c>
      <c r="G36" s="33" t="s">
        <v>37</v>
      </c>
      <c r="H36" s="43">
        <v>17.7</v>
      </c>
      <c r="I36" s="43">
        <v>8.4600000000000009</v>
      </c>
      <c r="J36" s="43">
        <v>13.23</v>
      </c>
      <c r="K36" s="44">
        <v>488</v>
      </c>
      <c r="L36" s="41">
        <v>5.1660000000000004</v>
      </c>
      <c r="M36" s="41"/>
      <c r="N36" s="41">
        <v>6.3E-2</v>
      </c>
      <c r="O36" s="41">
        <v>4.9679283032825374</v>
      </c>
      <c r="P36" s="41">
        <v>0.12958430283036404</v>
      </c>
      <c r="Q36" s="41">
        <v>2.9</v>
      </c>
      <c r="R36" s="41">
        <v>4.8000000000000001E-2</v>
      </c>
      <c r="S36" s="41">
        <v>2.3E-2</v>
      </c>
      <c r="T36" s="41">
        <v>53.23904304944535</v>
      </c>
      <c r="U36" s="41">
        <v>10.25</v>
      </c>
      <c r="V36" s="41">
        <v>7.37</v>
      </c>
      <c r="W36" s="41">
        <v>23.4</v>
      </c>
      <c r="X36" s="41">
        <v>10.85344472189681</v>
      </c>
      <c r="Y36" s="36"/>
      <c r="Z36" s="72">
        <v>29.03</v>
      </c>
      <c r="AA36" s="72">
        <v>31.27</v>
      </c>
      <c r="AB36" s="72">
        <v>16.11</v>
      </c>
      <c r="AC36" s="72">
        <v>4.9400000000000004</v>
      </c>
      <c r="AD36" s="72">
        <v>18.649999999999999</v>
      </c>
      <c r="AE36" s="73">
        <f t="shared" si="0"/>
        <v>100</v>
      </c>
      <c r="AF36" s="74"/>
      <c r="AG36" s="73">
        <v>37.200000000000003</v>
      </c>
      <c r="AH36" s="73">
        <v>19.8</v>
      </c>
      <c r="AI36" s="73">
        <v>13.200000000000001</v>
      </c>
      <c r="AJ36" s="73">
        <v>2.1</v>
      </c>
      <c r="AK36" s="73">
        <v>27.700000000000003</v>
      </c>
      <c r="AL36" s="73">
        <f t="shared" si="1"/>
        <v>100</v>
      </c>
      <c r="AM36" s="74"/>
      <c r="AN36" s="73">
        <v>27.950000000000003</v>
      </c>
      <c r="AO36" s="73">
        <v>27.560000000000002</v>
      </c>
      <c r="AP36" s="73">
        <v>15.61</v>
      </c>
      <c r="AQ36" s="73">
        <v>6.72</v>
      </c>
      <c r="AR36" s="73">
        <v>22.16</v>
      </c>
      <c r="AS36" s="73">
        <f t="shared" si="2"/>
        <v>100</v>
      </c>
      <c r="AT36" s="74"/>
      <c r="AU36" s="73">
        <v>31.64</v>
      </c>
      <c r="AV36" s="73">
        <v>26.72</v>
      </c>
      <c r="AW36" s="73">
        <v>15.620000000000001</v>
      </c>
      <c r="AX36" s="73">
        <v>6.55</v>
      </c>
      <c r="AY36" s="73">
        <v>19.470000000000002</v>
      </c>
      <c r="AZ36" s="73">
        <f t="shared" si="3"/>
        <v>100</v>
      </c>
    </row>
    <row r="37" spans="1:52" ht="20.100000000000001" customHeight="1">
      <c r="A37" s="22">
        <v>21</v>
      </c>
      <c r="B37" s="14" t="s">
        <v>61</v>
      </c>
      <c r="C37" s="14" t="s">
        <v>45</v>
      </c>
      <c r="D37" s="15" t="s">
        <v>46</v>
      </c>
      <c r="E37" s="16">
        <v>45393</v>
      </c>
      <c r="F37" s="17">
        <v>0.44097222222222227</v>
      </c>
      <c r="G37" s="15" t="s">
        <v>37</v>
      </c>
      <c r="H37" s="23">
        <v>14.7</v>
      </c>
      <c r="I37" s="23">
        <v>7.64</v>
      </c>
      <c r="J37" s="23">
        <v>10.1</v>
      </c>
      <c r="K37" s="45">
        <v>195</v>
      </c>
      <c r="L37" s="39">
        <v>1.575</v>
      </c>
      <c r="M37" s="39"/>
      <c r="N37" s="39">
        <v>3.9E-2</v>
      </c>
      <c r="O37" s="39">
        <v>1.4978781437023474</v>
      </c>
      <c r="P37" s="39" t="s">
        <v>112</v>
      </c>
      <c r="Q37" s="39">
        <v>1.7</v>
      </c>
      <c r="R37" s="39">
        <v>6.0000000000000001E-3</v>
      </c>
      <c r="S37" s="39">
        <v>2E-3</v>
      </c>
      <c r="T37" s="39">
        <v>11.157679937554409</v>
      </c>
      <c r="U37" s="39">
        <v>4.84</v>
      </c>
      <c r="V37" s="39">
        <v>5.72</v>
      </c>
      <c r="W37" s="39">
        <v>8.6999999999999993</v>
      </c>
      <c r="X37" s="39">
        <v>14.992753436048833</v>
      </c>
      <c r="Y37" s="18"/>
      <c r="Z37" s="72">
        <v>13.05</v>
      </c>
      <c r="AA37" s="72">
        <v>5.91</v>
      </c>
      <c r="AB37" s="72">
        <v>27.57</v>
      </c>
      <c r="AC37" s="72">
        <v>2.52</v>
      </c>
      <c r="AD37" s="72">
        <v>50.95</v>
      </c>
      <c r="AE37" s="73">
        <f t="shared" si="0"/>
        <v>100</v>
      </c>
      <c r="AF37" s="74"/>
      <c r="AG37" s="73">
        <v>25.1</v>
      </c>
      <c r="AH37" s="73">
        <v>11.899999999999999</v>
      </c>
      <c r="AI37" s="73">
        <v>20.9</v>
      </c>
      <c r="AJ37" s="73">
        <v>1.9</v>
      </c>
      <c r="AK37" s="73">
        <v>40.200000000000003</v>
      </c>
      <c r="AL37" s="73">
        <f t="shared" si="1"/>
        <v>100</v>
      </c>
      <c r="AM37" s="74"/>
      <c r="AN37" s="73">
        <v>20.5</v>
      </c>
      <c r="AO37" s="73">
        <v>11.959999999999999</v>
      </c>
      <c r="AP37" s="73">
        <v>26.3</v>
      </c>
      <c r="AQ37" s="73">
        <v>5.71</v>
      </c>
      <c r="AR37" s="73">
        <v>35.53</v>
      </c>
      <c r="AS37" s="73">
        <f t="shared" si="2"/>
        <v>100</v>
      </c>
      <c r="AT37" s="74"/>
      <c r="AU37" s="73">
        <v>17.34</v>
      </c>
      <c r="AV37" s="73">
        <v>13.270000000000001</v>
      </c>
      <c r="AW37" s="73">
        <v>28.58</v>
      </c>
      <c r="AX37" s="73">
        <v>5.25</v>
      </c>
      <c r="AY37" s="73">
        <v>35.56</v>
      </c>
      <c r="AZ37" s="73">
        <f t="shared" si="3"/>
        <v>100</v>
      </c>
    </row>
    <row r="38" spans="1:52" ht="20.100000000000001" customHeight="1">
      <c r="A38" s="22">
        <v>22</v>
      </c>
      <c r="B38" s="14" t="s">
        <v>61</v>
      </c>
      <c r="C38" s="14" t="s">
        <v>45</v>
      </c>
      <c r="D38" s="19" t="s">
        <v>47</v>
      </c>
      <c r="E38" s="16">
        <v>45393</v>
      </c>
      <c r="F38" s="20">
        <v>0.46180555555555558</v>
      </c>
      <c r="G38" s="15" t="s">
        <v>37</v>
      </c>
      <c r="H38" s="23">
        <v>17.3</v>
      </c>
      <c r="I38" s="23">
        <v>7.3</v>
      </c>
      <c r="J38" s="23">
        <v>9.5</v>
      </c>
      <c r="K38" s="45">
        <v>232</v>
      </c>
      <c r="L38" s="40">
        <v>1.9910000000000001</v>
      </c>
      <c r="M38" s="40"/>
      <c r="N38" s="40">
        <v>4.2000000000000003E-2</v>
      </c>
      <c r="O38" s="40">
        <v>1.8417102276897697</v>
      </c>
      <c r="P38" s="39" t="s">
        <v>112</v>
      </c>
      <c r="Q38" s="40">
        <v>2.7</v>
      </c>
      <c r="R38" s="40">
        <v>5.3999999999999999E-2</v>
      </c>
      <c r="S38" s="40">
        <v>5.0999999999999997E-2</v>
      </c>
      <c r="T38" s="40">
        <v>17.228406114095094</v>
      </c>
      <c r="U38" s="40">
        <v>7.46</v>
      </c>
      <c r="V38" s="40">
        <v>3.75</v>
      </c>
      <c r="W38" s="40">
        <v>11.3</v>
      </c>
      <c r="X38" s="40">
        <v>13.044520469711662</v>
      </c>
      <c r="Y38" s="21"/>
      <c r="Z38" s="75">
        <v>31.89</v>
      </c>
      <c r="AA38" s="75">
        <v>6.85</v>
      </c>
      <c r="AB38" s="75">
        <v>8.8000000000000007</v>
      </c>
      <c r="AC38" s="75">
        <v>0.52</v>
      </c>
      <c r="AD38" s="75">
        <v>51.94</v>
      </c>
      <c r="AE38" s="74">
        <f t="shared" si="0"/>
        <v>100</v>
      </c>
      <c r="AF38" s="74"/>
      <c r="AG38" s="76">
        <v>32.4</v>
      </c>
      <c r="AH38" s="76">
        <v>14.399999999999999</v>
      </c>
      <c r="AI38" s="76">
        <v>15.299999999999999</v>
      </c>
      <c r="AJ38" s="76">
        <v>1.6</v>
      </c>
      <c r="AK38" s="76">
        <v>36.299999999999997</v>
      </c>
      <c r="AL38" s="74">
        <f t="shared" si="1"/>
        <v>100</v>
      </c>
      <c r="AM38" s="74"/>
      <c r="AN38" s="76">
        <v>31.52</v>
      </c>
      <c r="AO38" s="76">
        <v>18.53</v>
      </c>
      <c r="AP38" s="76">
        <v>15.909999999999998</v>
      </c>
      <c r="AQ38" s="76">
        <v>2.9499999999999997</v>
      </c>
      <c r="AR38" s="76">
        <v>31.09</v>
      </c>
      <c r="AS38" s="74">
        <f t="shared" si="2"/>
        <v>100</v>
      </c>
      <c r="AT38" s="74"/>
      <c r="AU38" s="76">
        <v>25.900000000000002</v>
      </c>
      <c r="AV38" s="76">
        <v>18.62</v>
      </c>
      <c r="AW38" s="76">
        <v>18.559999999999999</v>
      </c>
      <c r="AX38" s="76">
        <v>3.61</v>
      </c>
      <c r="AY38" s="76">
        <v>33.31</v>
      </c>
      <c r="AZ38" s="74">
        <f t="shared" si="3"/>
        <v>100</v>
      </c>
    </row>
    <row r="39" spans="1:52" ht="20.100000000000001" customHeight="1">
      <c r="A39" s="22">
        <v>23</v>
      </c>
      <c r="B39" s="14" t="s">
        <v>61</v>
      </c>
      <c r="C39" s="14" t="s">
        <v>45</v>
      </c>
      <c r="D39" s="19" t="s">
        <v>29</v>
      </c>
      <c r="E39" s="16">
        <v>45393</v>
      </c>
      <c r="F39" s="20">
        <v>0.47569444444444442</v>
      </c>
      <c r="G39" s="15" t="s">
        <v>37</v>
      </c>
      <c r="H39" s="23">
        <v>17.8</v>
      </c>
      <c r="I39" s="23">
        <v>7.54</v>
      </c>
      <c r="J39" s="23">
        <v>10.7</v>
      </c>
      <c r="K39" s="45">
        <v>237</v>
      </c>
      <c r="L39" s="40">
        <v>2.1120000000000001</v>
      </c>
      <c r="M39" s="40"/>
      <c r="N39" s="40">
        <v>5.7000000000000002E-2</v>
      </c>
      <c r="O39" s="40">
        <v>1.9377533187741629</v>
      </c>
      <c r="P39" s="39" t="s">
        <v>112</v>
      </c>
      <c r="Q39" s="40">
        <v>2.8</v>
      </c>
      <c r="R39" s="40">
        <v>4.8000000000000001E-2</v>
      </c>
      <c r="S39" s="40">
        <v>4.2999999999999997E-2</v>
      </c>
      <c r="T39" s="40">
        <v>18.676808109788333</v>
      </c>
      <c r="U39" s="40">
        <v>7.95</v>
      </c>
      <c r="V39" s="40">
        <v>4.3499999999999996</v>
      </c>
      <c r="W39" s="40">
        <v>12.1</v>
      </c>
      <c r="X39" s="40">
        <v>13.065326733831593</v>
      </c>
      <c r="Y39" s="21"/>
      <c r="Z39" s="75">
        <v>32.71</v>
      </c>
      <c r="AA39" s="75">
        <v>10.49</v>
      </c>
      <c r="AB39" s="75">
        <v>9.91</v>
      </c>
      <c r="AC39" s="75">
        <v>1.3</v>
      </c>
      <c r="AD39" s="75">
        <v>45.59</v>
      </c>
      <c r="AE39" s="74">
        <f t="shared" si="0"/>
        <v>100</v>
      </c>
      <c r="AF39" s="74"/>
      <c r="AG39" s="76">
        <v>33</v>
      </c>
      <c r="AH39" s="76">
        <v>15.2</v>
      </c>
      <c r="AI39" s="76">
        <v>15</v>
      </c>
      <c r="AJ39" s="76">
        <v>1.7000000000000002</v>
      </c>
      <c r="AK39" s="76">
        <v>35.099999999999994</v>
      </c>
      <c r="AL39" s="74">
        <f t="shared" si="1"/>
        <v>100</v>
      </c>
      <c r="AM39" s="74"/>
      <c r="AN39" s="76">
        <v>32.33</v>
      </c>
      <c r="AO39" s="76">
        <v>17.16</v>
      </c>
      <c r="AP39" s="76">
        <v>17.73</v>
      </c>
      <c r="AQ39" s="76">
        <v>3.53</v>
      </c>
      <c r="AR39" s="76">
        <v>29.25</v>
      </c>
      <c r="AS39" s="74">
        <f t="shared" si="2"/>
        <v>100</v>
      </c>
      <c r="AT39" s="74"/>
      <c r="AU39" s="76">
        <v>27.589999999999996</v>
      </c>
      <c r="AV39" s="76">
        <v>20.349999999999998</v>
      </c>
      <c r="AW39" s="76">
        <v>17.79</v>
      </c>
      <c r="AX39" s="76">
        <v>3.97</v>
      </c>
      <c r="AY39" s="76">
        <v>30.3</v>
      </c>
      <c r="AZ39" s="74">
        <f t="shared" si="3"/>
        <v>99.999999999999986</v>
      </c>
    </row>
    <row r="40" spans="1:52" ht="20.100000000000001" customHeight="1" thickBot="1">
      <c r="A40" s="46">
        <v>24</v>
      </c>
      <c r="B40" s="47" t="s">
        <v>61</v>
      </c>
      <c r="C40" s="47" t="s">
        <v>45</v>
      </c>
      <c r="D40" s="48" t="s">
        <v>48</v>
      </c>
      <c r="E40" s="49">
        <v>45393</v>
      </c>
      <c r="F40" s="50">
        <v>0.48958333333333331</v>
      </c>
      <c r="G40" s="48" t="s">
        <v>37</v>
      </c>
      <c r="H40" s="51">
        <v>16.899999999999999</v>
      </c>
      <c r="I40" s="51">
        <v>7.29</v>
      </c>
      <c r="J40" s="51">
        <v>8.75</v>
      </c>
      <c r="K40" s="52">
        <v>248</v>
      </c>
      <c r="L40" s="53">
        <v>2.1680000000000001</v>
      </c>
      <c r="M40" s="53"/>
      <c r="N40" s="53">
        <v>6.5000000000000002E-2</v>
      </c>
      <c r="O40" s="53">
        <v>1.9645769962820305</v>
      </c>
      <c r="P40" s="53" t="s">
        <v>112</v>
      </c>
      <c r="Q40" s="53">
        <v>2.7</v>
      </c>
      <c r="R40" s="53">
        <v>3.7999999999999999E-2</v>
      </c>
      <c r="S40" s="53">
        <v>3.3000000000000002E-2</v>
      </c>
      <c r="T40" s="53">
        <v>18.945319130868253</v>
      </c>
      <c r="U40" s="53">
        <v>8.2100000000000009</v>
      </c>
      <c r="V40" s="53">
        <v>4.57</v>
      </c>
      <c r="W40" s="53">
        <v>13.4</v>
      </c>
      <c r="X40" s="53">
        <v>12.926440961420095</v>
      </c>
      <c r="Y40" s="54"/>
      <c r="Z40" s="75">
        <v>29.69</v>
      </c>
      <c r="AA40" s="75">
        <v>14.78</v>
      </c>
      <c r="AB40" s="75">
        <v>11.31</v>
      </c>
      <c r="AC40" s="75">
        <v>1.31</v>
      </c>
      <c r="AD40" s="75">
        <v>42.91</v>
      </c>
      <c r="AE40" s="74">
        <f t="shared" si="0"/>
        <v>100</v>
      </c>
      <c r="AF40" s="74"/>
      <c r="AG40" s="76">
        <v>34.1</v>
      </c>
      <c r="AH40" s="76">
        <v>15.9</v>
      </c>
      <c r="AI40" s="76">
        <v>14.7</v>
      </c>
      <c r="AJ40" s="76">
        <v>1.6</v>
      </c>
      <c r="AK40" s="76">
        <v>33.700000000000003</v>
      </c>
      <c r="AL40" s="74">
        <f t="shared" si="1"/>
        <v>100</v>
      </c>
      <c r="AM40" s="74"/>
      <c r="AN40" s="76">
        <v>30.049999999999997</v>
      </c>
      <c r="AO40" s="76">
        <v>19.39</v>
      </c>
      <c r="AP40" s="76">
        <v>20.380000000000003</v>
      </c>
      <c r="AQ40" s="76">
        <v>3.88</v>
      </c>
      <c r="AR40" s="76">
        <v>26.3</v>
      </c>
      <c r="AS40" s="74">
        <f t="shared" si="2"/>
        <v>99.999999999999986</v>
      </c>
      <c r="AT40" s="74"/>
      <c r="AU40" s="76">
        <v>28.38</v>
      </c>
      <c r="AV40" s="76">
        <v>21.13</v>
      </c>
      <c r="AW40" s="76">
        <v>17.380000000000003</v>
      </c>
      <c r="AX40" s="76">
        <v>4.1300000000000008</v>
      </c>
      <c r="AY40" s="76">
        <v>28.98</v>
      </c>
      <c r="AZ40" s="74">
        <f t="shared" si="3"/>
        <v>100</v>
      </c>
    </row>
    <row r="41" spans="1:52" ht="20.100000000000001" customHeight="1">
      <c r="A41" s="5"/>
      <c r="B41" s="5"/>
      <c r="C41" s="5"/>
      <c r="D41" s="5"/>
      <c r="E41" s="26"/>
      <c r="F41" s="27"/>
      <c r="G41" s="5"/>
      <c r="H41" s="28"/>
      <c r="I41" s="28"/>
      <c r="J41" s="28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52" ht="20.100000000000001" customHeight="1">
      <c r="A42" s="5"/>
      <c r="B42" s="5"/>
      <c r="C42" s="5"/>
      <c r="D42" s="5"/>
      <c r="E42" s="26"/>
      <c r="F42" s="27"/>
      <c r="G42" s="5"/>
      <c r="H42" s="28"/>
      <c r="I42" s="28"/>
      <c r="J42" s="28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52">
      <c r="A43" s="5"/>
      <c r="B43" s="5"/>
      <c r="C43" s="5"/>
      <c r="D43" s="5"/>
      <c r="E43" s="26"/>
      <c r="F43" s="27"/>
      <c r="G43" s="5"/>
      <c r="H43" s="28"/>
      <c r="I43" s="28"/>
      <c r="J43" s="28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52" ht="20.100000000000001" customHeight="1">
      <c r="Z44" s="65" t="s">
        <v>153</v>
      </c>
      <c r="AA44" s="66" t="s">
        <v>111</v>
      </c>
      <c r="AB44" s="67" t="s">
        <v>67</v>
      </c>
      <c r="AC44" s="62"/>
      <c r="AD44" s="65" t="s">
        <v>154</v>
      </c>
      <c r="AE44" s="66" t="s">
        <v>111</v>
      </c>
      <c r="AF44" s="67" t="s">
        <v>67</v>
      </c>
      <c r="AG44" s="62"/>
      <c r="AH44" s="65" t="s">
        <v>155</v>
      </c>
      <c r="AI44" s="66" t="s">
        <v>111</v>
      </c>
      <c r="AJ44" s="67" t="s">
        <v>67</v>
      </c>
      <c r="AK44" s="62"/>
      <c r="AL44" s="65" t="s">
        <v>156</v>
      </c>
      <c r="AM44" s="66" t="s">
        <v>111</v>
      </c>
      <c r="AN44" s="67" t="s">
        <v>67</v>
      </c>
      <c r="AO44" s="62"/>
      <c r="AP44" s="65" t="s">
        <v>157</v>
      </c>
      <c r="AQ44" s="66" t="s">
        <v>111</v>
      </c>
      <c r="AR44" s="67" t="s">
        <v>67</v>
      </c>
    </row>
    <row r="45" spans="1:52" ht="20.100000000000001" customHeight="1">
      <c r="Z45" s="65" t="s">
        <v>161</v>
      </c>
      <c r="AA45" s="65">
        <v>13.3575</v>
      </c>
      <c r="AB45" s="65">
        <v>1.9608333333333334</v>
      </c>
      <c r="AC45" s="62"/>
      <c r="AD45" s="65" t="s">
        <v>161</v>
      </c>
      <c r="AE45" s="65">
        <v>19.794999999999998</v>
      </c>
      <c r="AF45" s="65">
        <v>5.2956249999999994</v>
      </c>
      <c r="AG45" s="62"/>
      <c r="AH45" s="65" t="s">
        <v>161</v>
      </c>
      <c r="AI45" s="65">
        <v>0.86499999999999999</v>
      </c>
      <c r="AJ45" s="65">
        <v>14.385000000000002</v>
      </c>
      <c r="AK45" s="62"/>
      <c r="AL45" s="65" t="s">
        <v>161</v>
      </c>
      <c r="AM45" s="65">
        <v>1.71</v>
      </c>
      <c r="AN45" s="65">
        <v>45.81</v>
      </c>
      <c r="AO45" s="62"/>
      <c r="AP45" s="65" t="s">
        <v>161</v>
      </c>
      <c r="AQ45" s="65">
        <v>1.823</v>
      </c>
      <c r="AR45" s="65">
        <v>7.2899999999999991</v>
      </c>
    </row>
    <row r="46" spans="1:52" ht="20.100000000000001" customHeight="1">
      <c r="Z46" s="65" t="s">
        <v>162</v>
      </c>
      <c r="AA46" s="65">
        <v>1.9060865429174276</v>
      </c>
      <c r="AB46" s="65">
        <v>2.6869836360882551</v>
      </c>
      <c r="AC46" s="62"/>
      <c r="AD46" s="65" t="s">
        <v>162</v>
      </c>
      <c r="AE46" s="65">
        <v>3.2607766384274761</v>
      </c>
      <c r="AF46" s="65">
        <v>4.0307872658009201</v>
      </c>
      <c r="AG46" s="62"/>
      <c r="AH46" s="65" t="s">
        <v>162</v>
      </c>
      <c r="AI46" s="65">
        <v>0.3323401871576776</v>
      </c>
      <c r="AJ46" s="65">
        <v>5.1830927060973853</v>
      </c>
      <c r="AK46" s="62"/>
      <c r="AL46" s="65" t="s">
        <v>162</v>
      </c>
      <c r="AM46" s="65">
        <v>1.5603845679831623</v>
      </c>
      <c r="AN46" s="65">
        <v>5.7261068798966068</v>
      </c>
      <c r="AO46" s="62"/>
      <c r="AP46" s="65" t="s">
        <v>162</v>
      </c>
      <c r="AQ46" s="65">
        <v>1.1858203911216907</v>
      </c>
      <c r="AR46" s="65">
        <v>1.8949934036824529</v>
      </c>
    </row>
    <row r="47" spans="1:52" ht="20.100000000000001" customHeight="1">
      <c r="A47" s="64">
        <v>46134</v>
      </c>
      <c r="B47" t="s">
        <v>175</v>
      </c>
    </row>
    <row r="48" spans="1:52" ht="24" customHeight="1">
      <c r="A48" s="89" t="s">
        <v>50</v>
      </c>
      <c r="B48" s="89"/>
      <c r="C48" s="89"/>
      <c r="D48" s="89"/>
      <c r="E48" s="89"/>
      <c r="F48" s="89"/>
      <c r="G48" s="89"/>
      <c r="H48" s="89"/>
      <c r="I48" s="89"/>
      <c r="J48" s="89"/>
      <c r="K48" s="89"/>
      <c r="Y48" s="2"/>
      <c r="Z48" s="62" t="s">
        <v>166</v>
      </c>
    </row>
    <row r="49" spans="1:83" ht="20.100000000000001" customHeight="1" thickBot="1">
      <c r="Y49" s="3"/>
      <c r="AG49" t="s">
        <v>167</v>
      </c>
      <c r="AI49" t="s">
        <v>168</v>
      </c>
    </row>
    <row r="50" spans="1:83" ht="20.100000000000001" customHeight="1" thickBot="1">
      <c r="A50" s="90" t="s">
        <v>1</v>
      </c>
      <c r="B50" s="92" t="s">
        <v>62</v>
      </c>
      <c r="C50" s="92" t="s">
        <v>63</v>
      </c>
      <c r="D50" s="90" t="s">
        <v>7</v>
      </c>
      <c r="E50" s="94" t="s">
        <v>8</v>
      </c>
      <c r="F50" s="95"/>
      <c r="G50" s="96" t="s">
        <v>9</v>
      </c>
      <c r="H50" s="96"/>
      <c r="I50" s="96"/>
      <c r="J50" s="96"/>
      <c r="K50" s="96"/>
      <c r="L50" s="85" t="s">
        <v>56</v>
      </c>
      <c r="M50" s="86"/>
      <c r="N50" s="86"/>
      <c r="O50" s="86"/>
      <c r="P50" s="86"/>
      <c r="Q50" s="86"/>
      <c r="R50" s="86"/>
      <c r="S50" s="86"/>
      <c r="T50" s="86"/>
      <c r="U50" s="8"/>
      <c r="V50" s="8"/>
      <c r="W50" s="8"/>
      <c r="X50" s="8"/>
      <c r="Y50" s="87" t="s">
        <v>10</v>
      </c>
      <c r="Z50" s="60" t="s">
        <v>159</v>
      </c>
      <c r="AE50">
        <v>100</v>
      </c>
      <c r="AG50" s="60" t="s">
        <v>163</v>
      </c>
      <c r="AL50">
        <v>100</v>
      </c>
      <c r="AN50" s="60" t="s">
        <v>164</v>
      </c>
      <c r="AS50">
        <v>100</v>
      </c>
      <c r="AU50" s="60" t="s">
        <v>165</v>
      </c>
      <c r="AZ50">
        <v>100</v>
      </c>
      <c r="BE50" t="s">
        <v>153</v>
      </c>
      <c r="BK50" t="s">
        <v>154</v>
      </c>
      <c r="BQ50" t="s">
        <v>155</v>
      </c>
      <c r="BW50" t="s">
        <v>156</v>
      </c>
      <c r="CC50" t="s">
        <v>157</v>
      </c>
    </row>
    <row r="51" spans="1:83" ht="20.100000000000001" customHeight="1" thickBot="1">
      <c r="A51" s="91"/>
      <c r="B51" s="91"/>
      <c r="C51" s="91"/>
      <c r="D51" s="93"/>
      <c r="E51" s="1" t="s">
        <v>0</v>
      </c>
      <c r="F51" s="4" t="s">
        <v>11</v>
      </c>
      <c r="G51" s="4" t="s">
        <v>12</v>
      </c>
      <c r="H51" s="4" t="s">
        <v>13</v>
      </c>
      <c r="I51" s="4" t="s">
        <v>14</v>
      </c>
      <c r="J51" s="4" t="s">
        <v>15</v>
      </c>
      <c r="K51" s="4" t="s">
        <v>16</v>
      </c>
      <c r="L51" s="4" t="s">
        <v>6</v>
      </c>
      <c r="M51" s="4" t="s">
        <v>51</v>
      </c>
      <c r="N51" s="4" t="s">
        <v>2</v>
      </c>
      <c r="O51" s="4" t="s">
        <v>3</v>
      </c>
      <c r="P51" s="4" t="s">
        <v>52</v>
      </c>
      <c r="Q51" s="4" t="s">
        <v>53</v>
      </c>
      <c r="R51" s="4" t="s">
        <v>54</v>
      </c>
      <c r="S51" s="4" t="s">
        <v>55</v>
      </c>
      <c r="T51" s="6" t="s">
        <v>4</v>
      </c>
      <c r="U51" s="9" t="s">
        <v>66</v>
      </c>
      <c r="V51" s="9" t="s">
        <v>67</v>
      </c>
      <c r="W51" s="9" t="s">
        <v>64</v>
      </c>
      <c r="X51" s="9" t="s">
        <v>65</v>
      </c>
      <c r="Y51" s="88"/>
      <c r="Z51" s="60" t="s">
        <v>153</v>
      </c>
      <c r="AA51" s="60" t="s">
        <v>154</v>
      </c>
      <c r="AB51" s="60" t="s">
        <v>155</v>
      </c>
      <c r="AC51" s="60" t="s">
        <v>156</v>
      </c>
      <c r="AD51" s="60" t="s">
        <v>157</v>
      </c>
      <c r="AE51" s="61" t="s">
        <v>158</v>
      </c>
      <c r="AG51" s="60" t="s">
        <v>153</v>
      </c>
      <c r="AH51" s="60" t="s">
        <v>154</v>
      </c>
      <c r="AI51" s="60" t="s">
        <v>155</v>
      </c>
      <c r="AJ51" s="60" t="s">
        <v>156</v>
      </c>
      <c r="AK51" s="60" t="s">
        <v>157</v>
      </c>
      <c r="AL51" s="61" t="s">
        <v>158</v>
      </c>
      <c r="AN51" s="60" t="s">
        <v>153</v>
      </c>
      <c r="AO51" s="60" t="s">
        <v>154</v>
      </c>
      <c r="AP51" s="60" t="s">
        <v>155</v>
      </c>
      <c r="AQ51" s="60" t="s">
        <v>156</v>
      </c>
      <c r="AR51" s="60" t="s">
        <v>157</v>
      </c>
      <c r="AS51" s="61" t="s">
        <v>158</v>
      </c>
      <c r="AU51" s="60" t="s">
        <v>153</v>
      </c>
      <c r="AV51" s="60" t="s">
        <v>154</v>
      </c>
      <c r="AW51" s="60" t="s">
        <v>155</v>
      </c>
      <c r="AX51" s="60" t="s">
        <v>156</v>
      </c>
      <c r="AY51" s="60" t="s">
        <v>157</v>
      </c>
      <c r="AZ51" s="61" t="s">
        <v>158</v>
      </c>
      <c r="BC51" s="55" t="s">
        <v>117</v>
      </c>
      <c r="BD51" s="55" t="s">
        <v>118</v>
      </c>
      <c r="BE51" s="55" t="s">
        <v>119</v>
      </c>
      <c r="BF51" s="56" t="s">
        <v>120</v>
      </c>
      <c r="BG51" s="56" t="s">
        <v>121</v>
      </c>
      <c r="BI51" s="55" t="s">
        <v>117</v>
      </c>
      <c r="BJ51" s="55" t="s">
        <v>118</v>
      </c>
      <c r="BK51" s="55" t="s">
        <v>119</v>
      </c>
      <c r="BL51" s="56" t="s">
        <v>120</v>
      </c>
      <c r="BM51" s="56" t="s">
        <v>121</v>
      </c>
      <c r="BO51" s="55" t="s">
        <v>117</v>
      </c>
      <c r="BP51" s="55" t="s">
        <v>118</v>
      </c>
      <c r="BQ51" s="55" t="s">
        <v>119</v>
      </c>
      <c r="BR51" s="56" t="s">
        <v>120</v>
      </c>
      <c r="BS51" s="56" t="s">
        <v>121</v>
      </c>
      <c r="BU51" s="55" t="s">
        <v>117</v>
      </c>
      <c r="BV51" s="55" t="s">
        <v>118</v>
      </c>
      <c r="BW51" s="55" t="s">
        <v>119</v>
      </c>
      <c r="BX51" s="56" t="s">
        <v>120</v>
      </c>
      <c r="BY51" s="56" t="s">
        <v>121</v>
      </c>
      <c r="CA51" s="55" t="s">
        <v>117</v>
      </c>
      <c r="CB51" s="55" t="s">
        <v>118</v>
      </c>
      <c r="CC51" s="55" t="s">
        <v>119</v>
      </c>
      <c r="CD51" s="56" t="s">
        <v>120</v>
      </c>
      <c r="CE51" s="56" t="s">
        <v>121</v>
      </c>
    </row>
    <row r="52" spans="1:83" ht="20.100000000000001" customHeight="1">
      <c r="A52" s="30">
        <v>1</v>
      </c>
      <c r="B52" s="25" t="s">
        <v>17</v>
      </c>
      <c r="C52" s="25" t="s">
        <v>17</v>
      </c>
      <c r="D52" s="10" t="s">
        <v>18</v>
      </c>
      <c r="E52" s="11">
        <v>45394</v>
      </c>
      <c r="F52" s="12">
        <v>0.40625</v>
      </c>
      <c r="G52" s="10" t="s">
        <v>19</v>
      </c>
      <c r="H52" s="37">
        <v>13.4</v>
      </c>
      <c r="I52" s="37">
        <v>7.66</v>
      </c>
      <c r="J52" s="37">
        <v>11.37</v>
      </c>
      <c r="K52" s="37">
        <v>200.1</v>
      </c>
      <c r="L52" s="38">
        <v>1.5620000000000001</v>
      </c>
      <c r="M52" s="38"/>
      <c r="N52" s="38">
        <v>2.8000000000000001E-2</v>
      </c>
      <c r="O52" s="38">
        <v>1.5338708615263741</v>
      </c>
      <c r="P52" s="38" t="s">
        <v>112</v>
      </c>
      <c r="Q52" s="38">
        <v>1.2</v>
      </c>
      <c r="R52" s="38">
        <v>1.9E-2</v>
      </c>
      <c r="S52" s="38">
        <v>1.4999999999999999E-2</v>
      </c>
      <c r="T52" s="38">
        <v>21.926092412394119</v>
      </c>
      <c r="U52" s="38">
        <v>6.79</v>
      </c>
      <c r="V52" s="38">
        <v>2.9</v>
      </c>
      <c r="W52" s="38" t="s">
        <v>68</v>
      </c>
      <c r="X52" s="38">
        <v>6.8100892305781313</v>
      </c>
      <c r="Y52" s="13"/>
      <c r="Z52" s="77">
        <v>62.81</v>
      </c>
      <c r="AA52" s="77">
        <v>3.73</v>
      </c>
      <c r="AB52" s="77">
        <v>2.94</v>
      </c>
      <c r="AC52" s="77">
        <v>0.31</v>
      </c>
      <c r="AD52" s="77">
        <v>30.21</v>
      </c>
      <c r="AE52" s="77">
        <f>SUM(Z52:AD52)</f>
        <v>100</v>
      </c>
      <c r="AF52" s="78"/>
      <c r="AG52" s="77">
        <v>42.8</v>
      </c>
      <c r="AH52" s="77">
        <v>11</v>
      </c>
      <c r="AI52" s="77">
        <v>8.6</v>
      </c>
      <c r="AJ52" s="77">
        <v>1.1000000000000001</v>
      </c>
      <c r="AK52" s="77">
        <v>36.5</v>
      </c>
      <c r="AL52" s="77">
        <f>SUM(AG52:AK52)</f>
        <v>100</v>
      </c>
      <c r="AM52" s="78"/>
      <c r="AN52" s="77">
        <v>37.99</v>
      </c>
      <c r="AO52" s="77">
        <v>15.39</v>
      </c>
      <c r="AP52" s="77">
        <v>19</v>
      </c>
      <c r="AQ52" s="77">
        <v>2.71</v>
      </c>
      <c r="AR52" s="77">
        <v>24.91</v>
      </c>
      <c r="AS52" s="77">
        <f>SUM(AN52:AR52)</f>
        <v>99.999999999999986</v>
      </c>
      <c r="AT52" s="78"/>
      <c r="AU52" s="77">
        <v>36.93</v>
      </c>
      <c r="AV52" s="77">
        <v>11.1</v>
      </c>
      <c r="AW52" s="77">
        <v>17.88</v>
      </c>
      <c r="AX52" s="77">
        <v>1.78</v>
      </c>
      <c r="AY52" s="77">
        <v>32.31</v>
      </c>
      <c r="AZ52" s="77">
        <f t="shared" ref="AZ52:AZ75" si="4">SUM(AU52:AY52)</f>
        <v>100</v>
      </c>
      <c r="BC52" s="57" t="s">
        <v>114</v>
      </c>
      <c r="BD52" s="58" t="s">
        <v>113</v>
      </c>
      <c r="BE52" s="58" t="s">
        <v>49</v>
      </c>
      <c r="BF52" s="59">
        <v>16.52</v>
      </c>
      <c r="BG52" s="59">
        <v>5.16</v>
      </c>
      <c r="BI52" s="57" t="s">
        <v>74</v>
      </c>
      <c r="BJ52" s="58" t="s">
        <v>75</v>
      </c>
      <c r="BK52" s="58" t="s">
        <v>76</v>
      </c>
      <c r="BL52" s="59">
        <v>17.66</v>
      </c>
      <c r="BM52" s="59">
        <v>10.89</v>
      </c>
      <c r="BO52" s="57" t="s">
        <v>101</v>
      </c>
      <c r="BP52" s="58" t="s">
        <v>138</v>
      </c>
      <c r="BQ52" s="58" t="s">
        <v>140</v>
      </c>
      <c r="BR52" s="59">
        <v>0.63</v>
      </c>
      <c r="BS52" s="59">
        <v>10.72</v>
      </c>
      <c r="BU52" s="57" t="s">
        <v>150</v>
      </c>
      <c r="BV52" s="58"/>
      <c r="BW52" s="58" t="s">
        <v>151</v>
      </c>
      <c r="BX52" s="59">
        <v>3.25</v>
      </c>
      <c r="BY52" s="59">
        <v>40.020000000000003</v>
      </c>
      <c r="CA52" s="57" t="s">
        <v>95</v>
      </c>
      <c r="CB52" s="58"/>
      <c r="CC52" s="58" t="s">
        <v>104</v>
      </c>
      <c r="CD52" s="59">
        <v>1.4100000000000001</v>
      </c>
      <c r="CE52" s="59">
        <v>8.9700000000000006</v>
      </c>
    </row>
    <row r="53" spans="1:83" ht="20.100000000000001" customHeight="1">
      <c r="A53" s="22">
        <v>2</v>
      </c>
      <c r="B53" s="14" t="s">
        <v>17</v>
      </c>
      <c r="C53" s="14" t="s">
        <v>17</v>
      </c>
      <c r="D53" s="15" t="s">
        <v>20</v>
      </c>
      <c r="E53" s="16">
        <v>45394</v>
      </c>
      <c r="F53" s="17">
        <v>0.4375</v>
      </c>
      <c r="G53" s="15" t="s">
        <v>19</v>
      </c>
      <c r="H53" s="24">
        <v>17.899999999999999</v>
      </c>
      <c r="I53" s="24">
        <v>7.63</v>
      </c>
      <c r="J53" s="24">
        <v>10.66</v>
      </c>
      <c r="K53" s="24">
        <v>381</v>
      </c>
      <c r="L53" s="39">
        <v>5.1319999999999997</v>
      </c>
      <c r="M53" s="39"/>
      <c r="N53" s="39">
        <v>0.82399999999999995</v>
      </c>
      <c r="O53" s="39">
        <v>3.8056685669511721</v>
      </c>
      <c r="P53" s="39">
        <v>0.75779406996970966</v>
      </c>
      <c r="Q53" s="39">
        <v>3.4</v>
      </c>
      <c r="R53" s="39">
        <v>4.1000000000000002E-2</v>
      </c>
      <c r="S53" s="39">
        <v>2.9000000000000001E-2</v>
      </c>
      <c r="T53" s="39">
        <v>48.553205182927933</v>
      </c>
      <c r="U53" s="39">
        <v>10.94</v>
      </c>
      <c r="V53" s="39">
        <v>0.19</v>
      </c>
      <c r="W53" s="39">
        <v>91.9</v>
      </c>
      <c r="X53" s="39">
        <v>11.530193967408453</v>
      </c>
      <c r="Y53" s="18"/>
      <c r="Z53" s="77">
        <v>91.18</v>
      </c>
      <c r="AA53" s="77">
        <v>1.01</v>
      </c>
      <c r="AB53" s="77">
        <v>1.0900000000000001</v>
      </c>
      <c r="AC53" s="77">
        <v>0.17</v>
      </c>
      <c r="AD53" s="77">
        <v>6.55</v>
      </c>
      <c r="AE53" s="77">
        <f t="shared" ref="AE53:AE75" si="5">SUM(Z53:AD53)</f>
        <v>100.00000000000001</v>
      </c>
      <c r="AF53" s="78"/>
      <c r="AG53" s="77">
        <v>58.4</v>
      </c>
      <c r="AH53" s="77">
        <v>12.9</v>
      </c>
      <c r="AI53" s="77">
        <v>6.6000000000000005</v>
      </c>
      <c r="AJ53" s="77">
        <v>0.89999999999999991</v>
      </c>
      <c r="AK53" s="77">
        <v>21.2</v>
      </c>
      <c r="AL53" s="77">
        <f t="shared" ref="AL53:AL75" si="6">SUM(AG53:AK53)</f>
        <v>100</v>
      </c>
      <c r="AM53" s="78"/>
      <c r="AN53" s="77">
        <v>55.89</v>
      </c>
      <c r="AO53" s="77">
        <v>20.25</v>
      </c>
      <c r="AP53" s="77">
        <v>6.69</v>
      </c>
      <c r="AQ53" s="77">
        <v>2.64</v>
      </c>
      <c r="AR53" s="77">
        <v>14.530000000000001</v>
      </c>
      <c r="AS53" s="77">
        <f t="shared" ref="AS53:AS75" si="7">SUM(AN53:AR53)</f>
        <v>100</v>
      </c>
      <c r="AT53" s="78"/>
      <c r="AU53" s="77">
        <v>58.42</v>
      </c>
      <c r="AV53" s="77">
        <v>17.57</v>
      </c>
      <c r="AW53" s="77">
        <v>8.33</v>
      </c>
      <c r="AX53" s="77">
        <v>1.1299999999999999</v>
      </c>
      <c r="AY53" s="77">
        <v>14.549999999999999</v>
      </c>
      <c r="AZ53" s="77">
        <f t="shared" si="4"/>
        <v>100</v>
      </c>
      <c r="BC53" s="57" t="s">
        <v>70</v>
      </c>
      <c r="BD53" s="58" t="s">
        <v>71</v>
      </c>
      <c r="BE53" s="58" t="s">
        <v>86</v>
      </c>
      <c r="BF53" s="59">
        <v>15.92</v>
      </c>
      <c r="BG53" s="59">
        <v>-0.37</v>
      </c>
      <c r="BI53" s="57" t="s">
        <v>74</v>
      </c>
      <c r="BJ53" s="58" t="s">
        <v>75</v>
      </c>
      <c r="BK53" s="58" t="s">
        <v>76</v>
      </c>
      <c r="BL53" s="59">
        <v>18.170000000000002</v>
      </c>
      <c r="BM53" s="59">
        <v>9.27</v>
      </c>
      <c r="BO53" s="57" t="s">
        <v>102</v>
      </c>
      <c r="BP53" s="58" t="s">
        <v>138</v>
      </c>
      <c r="BQ53" s="58" t="s">
        <v>139</v>
      </c>
      <c r="BR53" s="59">
        <v>1.1000000000000001</v>
      </c>
      <c r="BS53" s="59">
        <v>18.05</v>
      </c>
      <c r="BU53" s="57" t="s">
        <v>122</v>
      </c>
      <c r="BV53" s="58"/>
      <c r="BW53" s="58" t="s">
        <v>123</v>
      </c>
      <c r="BX53" s="59">
        <v>1.75</v>
      </c>
      <c r="BY53" s="59">
        <v>45.94</v>
      </c>
      <c r="CA53" s="57" t="s">
        <v>92</v>
      </c>
      <c r="CB53" s="58"/>
      <c r="CC53" s="58" t="s">
        <v>93</v>
      </c>
      <c r="CD53" s="59">
        <v>3.76</v>
      </c>
      <c r="CE53" s="59">
        <v>8.43</v>
      </c>
    </row>
    <row r="54" spans="1:83" ht="20.100000000000001" customHeight="1">
      <c r="A54" s="22">
        <v>3</v>
      </c>
      <c r="B54" s="14" t="s">
        <v>17</v>
      </c>
      <c r="C54" s="14" t="s">
        <v>17</v>
      </c>
      <c r="D54" s="15" t="s">
        <v>21</v>
      </c>
      <c r="E54" s="16">
        <v>45394</v>
      </c>
      <c r="F54" s="17">
        <v>0.4513888888888889</v>
      </c>
      <c r="G54" s="15" t="s">
        <v>19</v>
      </c>
      <c r="H54" s="24">
        <v>19.100000000000001</v>
      </c>
      <c r="I54" s="24">
        <v>7.58</v>
      </c>
      <c r="J54" s="24">
        <v>9.67</v>
      </c>
      <c r="K54" s="24">
        <v>357</v>
      </c>
      <c r="L54" s="39">
        <v>4.3529999999999998</v>
      </c>
      <c r="M54" s="39"/>
      <c r="N54" s="39">
        <v>0.90200000000000002</v>
      </c>
      <c r="O54" s="39">
        <v>2.9836540688462629</v>
      </c>
      <c r="P54" s="39">
        <v>0.5708632001190197</v>
      </c>
      <c r="Q54" s="39">
        <v>3.5</v>
      </c>
      <c r="R54" s="39">
        <v>7.8E-2</v>
      </c>
      <c r="S54" s="39">
        <v>6.9000000000000006E-2</v>
      </c>
      <c r="T54" s="39">
        <v>42.668927928854785</v>
      </c>
      <c r="U54" s="39">
        <v>10.09</v>
      </c>
      <c r="V54" s="39">
        <v>1.5</v>
      </c>
      <c r="W54" s="39">
        <v>25.3</v>
      </c>
      <c r="X54" s="39">
        <v>11.842993595465368</v>
      </c>
      <c r="Y54" s="18"/>
      <c r="Z54" s="77">
        <v>87.63</v>
      </c>
      <c r="AA54" s="77">
        <v>7.3</v>
      </c>
      <c r="AB54" s="77">
        <v>1.1399999999999999</v>
      </c>
      <c r="AC54" s="77">
        <v>0.2</v>
      </c>
      <c r="AD54" s="77">
        <v>3.73</v>
      </c>
      <c r="AE54" s="77">
        <f t="shared" si="5"/>
        <v>100</v>
      </c>
      <c r="AF54" s="78"/>
      <c r="AG54" s="77">
        <v>53</v>
      </c>
      <c r="AH54" s="77">
        <v>12.5</v>
      </c>
      <c r="AI54" s="77">
        <v>7.5</v>
      </c>
      <c r="AJ54" s="77">
        <v>1</v>
      </c>
      <c r="AK54" s="77">
        <v>26</v>
      </c>
      <c r="AL54" s="77">
        <f t="shared" si="6"/>
        <v>100</v>
      </c>
      <c r="AM54" s="78"/>
      <c r="AN54" s="77">
        <v>51.81</v>
      </c>
      <c r="AO54" s="77">
        <v>19.439999999999998</v>
      </c>
      <c r="AP54" s="77">
        <v>9.11</v>
      </c>
      <c r="AQ54" s="77">
        <v>2.33</v>
      </c>
      <c r="AR54" s="77">
        <v>17.309999999999999</v>
      </c>
      <c r="AS54" s="77">
        <f t="shared" si="7"/>
        <v>100</v>
      </c>
      <c r="AT54" s="78"/>
      <c r="AU54" s="77">
        <v>52.99</v>
      </c>
      <c r="AV54" s="77">
        <v>17.2</v>
      </c>
      <c r="AW54" s="77">
        <v>10.34</v>
      </c>
      <c r="AX54" s="77">
        <v>1.49</v>
      </c>
      <c r="AY54" s="77">
        <v>17.98</v>
      </c>
      <c r="AZ54" s="77">
        <f t="shared" si="4"/>
        <v>100</v>
      </c>
      <c r="BC54" s="57" t="s">
        <v>79</v>
      </c>
      <c r="BD54" s="58"/>
      <c r="BE54" s="58" t="s">
        <v>169</v>
      </c>
      <c r="BF54" s="59">
        <v>15.17</v>
      </c>
      <c r="BG54" s="59">
        <v>-3.82</v>
      </c>
      <c r="BI54" s="57" t="s">
        <v>96</v>
      </c>
      <c r="BJ54" s="58"/>
      <c r="BK54" s="58" t="s">
        <v>105</v>
      </c>
      <c r="BL54" s="59">
        <v>15.309999999999999</v>
      </c>
      <c r="BM54" s="59">
        <v>3.085</v>
      </c>
      <c r="BO54" s="57"/>
      <c r="BP54" s="58"/>
      <c r="BQ54" s="58"/>
      <c r="BR54" s="59"/>
      <c r="BS54" s="59"/>
      <c r="BU54" s="57" t="s">
        <v>135</v>
      </c>
      <c r="BV54" s="58"/>
      <c r="BW54" s="58" t="s">
        <v>123</v>
      </c>
      <c r="BX54" s="59">
        <v>0.13</v>
      </c>
      <c r="BY54" s="59">
        <v>51.47</v>
      </c>
      <c r="CA54" s="57" t="s">
        <v>77</v>
      </c>
      <c r="CB54" s="58" t="s">
        <v>75</v>
      </c>
      <c r="CC54" s="58" t="s">
        <v>78</v>
      </c>
      <c r="CD54" s="59">
        <v>1.75</v>
      </c>
      <c r="CE54" s="59">
        <v>7.65</v>
      </c>
    </row>
    <row r="55" spans="1:83" ht="20.100000000000001" customHeight="1">
      <c r="A55" s="22">
        <v>4</v>
      </c>
      <c r="B55" s="14" t="s">
        <v>17</v>
      </c>
      <c r="C55" s="14" t="s">
        <v>17</v>
      </c>
      <c r="D55" s="15" t="s">
        <v>22</v>
      </c>
      <c r="E55" s="16">
        <v>45394</v>
      </c>
      <c r="F55" s="17">
        <v>0.46527777777777773</v>
      </c>
      <c r="G55" s="15" t="s">
        <v>19</v>
      </c>
      <c r="H55" s="24">
        <v>20.399999999999999</v>
      </c>
      <c r="I55" s="24">
        <v>7.35</v>
      </c>
      <c r="J55" s="24">
        <v>9</v>
      </c>
      <c r="K55" s="24">
        <v>348</v>
      </c>
      <c r="L55" s="39">
        <v>3.8969999999999998</v>
      </c>
      <c r="M55" s="39"/>
      <c r="N55" s="39">
        <v>0.78200000000000003</v>
      </c>
      <c r="O55" s="39">
        <v>2.6470789824688241</v>
      </c>
      <c r="P55" s="39">
        <v>0.50575484929842918</v>
      </c>
      <c r="Q55" s="39">
        <v>3.5</v>
      </c>
      <c r="R55" s="39">
        <v>5.8999999999999997E-2</v>
      </c>
      <c r="S55" s="39">
        <v>4.8000000000000001E-2</v>
      </c>
      <c r="T55" s="39">
        <v>41.228925543629487</v>
      </c>
      <c r="U55" s="39">
        <v>10.63</v>
      </c>
      <c r="V55" s="39">
        <v>2.19</v>
      </c>
      <c r="W55" s="39">
        <v>19.899999999999999</v>
      </c>
      <c r="X55" s="39">
        <v>12.303652359256734</v>
      </c>
      <c r="Y55" s="18"/>
      <c r="Z55" s="77">
        <v>85.99</v>
      </c>
      <c r="AA55" s="77">
        <v>6.75</v>
      </c>
      <c r="AB55" s="77">
        <v>2.31</v>
      </c>
      <c r="AC55" s="77">
        <v>0.26</v>
      </c>
      <c r="AD55" s="77">
        <v>4.6900000000000004</v>
      </c>
      <c r="AE55" s="77">
        <f t="shared" si="5"/>
        <v>100</v>
      </c>
      <c r="AF55" s="78"/>
      <c r="AG55" s="77">
        <v>53</v>
      </c>
      <c r="AH55" s="77">
        <v>13.900000000000002</v>
      </c>
      <c r="AI55" s="77">
        <v>7.3</v>
      </c>
      <c r="AJ55" s="77">
        <v>1.0999999999999999</v>
      </c>
      <c r="AK55" s="77">
        <v>24.7</v>
      </c>
      <c r="AL55" s="77">
        <f t="shared" si="6"/>
        <v>100</v>
      </c>
      <c r="AM55" s="78"/>
      <c r="AN55" s="77">
        <v>49.93</v>
      </c>
      <c r="AO55" s="77">
        <v>24.51</v>
      </c>
      <c r="AP55" s="77">
        <v>8.25</v>
      </c>
      <c r="AQ55" s="77">
        <v>2.2200000000000002</v>
      </c>
      <c r="AR55" s="77">
        <v>15.09</v>
      </c>
      <c r="AS55" s="77">
        <f t="shared" si="7"/>
        <v>100</v>
      </c>
      <c r="AT55" s="78"/>
      <c r="AU55" s="77">
        <v>51.73</v>
      </c>
      <c r="AV55" s="77">
        <v>20.04</v>
      </c>
      <c r="AW55" s="77">
        <v>10.100000000000001</v>
      </c>
      <c r="AX55" s="77">
        <v>1.81</v>
      </c>
      <c r="AY55" s="77">
        <v>16.32</v>
      </c>
      <c r="AZ55" s="77">
        <f t="shared" si="4"/>
        <v>100</v>
      </c>
      <c r="BC55" s="57" t="s">
        <v>74</v>
      </c>
      <c r="BD55" s="58"/>
      <c r="BE55" s="58" t="s">
        <v>170</v>
      </c>
      <c r="BF55" s="59">
        <v>14.62</v>
      </c>
      <c r="BG55" s="59">
        <v>0.65</v>
      </c>
      <c r="BI55" s="57" t="s">
        <v>98</v>
      </c>
      <c r="BJ55" s="58"/>
      <c r="BK55" s="58" t="s">
        <v>106</v>
      </c>
      <c r="BL55" s="59">
        <v>19.239999999999998</v>
      </c>
      <c r="BM55" s="59">
        <v>8.4600000000000009</v>
      </c>
      <c r="BO55" s="57"/>
      <c r="BP55" s="58"/>
      <c r="BQ55" s="58"/>
      <c r="BR55" s="59"/>
      <c r="BS55" s="59"/>
      <c r="BU55" s="57"/>
      <c r="BV55" s="58"/>
      <c r="BW55" s="58"/>
      <c r="BX55" s="59"/>
      <c r="BY55" s="59"/>
      <c r="CA55" s="57" t="s">
        <v>97</v>
      </c>
      <c r="CB55" s="58"/>
      <c r="CC55" s="58" t="s">
        <v>152</v>
      </c>
      <c r="CD55" s="59">
        <v>0.53</v>
      </c>
      <c r="CE55" s="59">
        <v>7.29</v>
      </c>
    </row>
    <row r="56" spans="1:83" ht="20.100000000000001" customHeight="1">
      <c r="A56" s="31">
        <v>5</v>
      </c>
      <c r="B56" s="32" t="s">
        <v>23</v>
      </c>
      <c r="C56" s="32" t="s">
        <v>23</v>
      </c>
      <c r="D56" s="33" t="s">
        <v>24</v>
      </c>
      <c r="E56" s="42">
        <v>45394</v>
      </c>
      <c r="F56" s="34">
        <v>0.625</v>
      </c>
      <c r="G56" s="33" t="s">
        <v>19</v>
      </c>
      <c r="H56" s="35">
        <v>23.3</v>
      </c>
      <c r="I56" s="35">
        <v>8.59</v>
      </c>
      <c r="J56" s="35">
        <v>9.51</v>
      </c>
      <c r="K56" s="35">
        <v>167.4</v>
      </c>
      <c r="L56" s="41">
        <v>1.5269999999999999</v>
      </c>
      <c r="M56" s="41"/>
      <c r="N56" s="41">
        <v>2.8000000000000001E-2</v>
      </c>
      <c r="O56" s="41">
        <v>1.3577461209228088</v>
      </c>
      <c r="P56" s="41" t="s">
        <v>112</v>
      </c>
      <c r="Q56" s="41">
        <v>2.5</v>
      </c>
      <c r="R56" s="41">
        <v>2.5000000000000001E-2</v>
      </c>
      <c r="S56" s="41">
        <v>8.9999999999999993E-3</v>
      </c>
      <c r="T56" s="41">
        <v>13.465682479565089</v>
      </c>
      <c r="U56" s="41">
        <v>5.58</v>
      </c>
      <c r="V56" s="41">
        <v>6.49</v>
      </c>
      <c r="W56" s="41">
        <v>8.1999999999999993</v>
      </c>
      <c r="X56" s="41">
        <v>15.388054287513553</v>
      </c>
      <c r="Y56" s="36"/>
      <c r="Z56" s="77">
        <v>28.55</v>
      </c>
      <c r="AA56" s="77">
        <v>2.4700000000000002</v>
      </c>
      <c r="AB56" s="77">
        <v>7.2</v>
      </c>
      <c r="AC56" s="77">
        <v>0.78</v>
      </c>
      <c r="AD56" s="77">
        <v>61</v>
      </c>
      <c r="AE56" s="77">
        <f t="shared" si="5"/>
        <v>100</v>
      </c>
      <c r="AF56" s="78"/>
      <c r="AG56" s="77">
        <v>28.1</v>
      </c>
      <c r="AH56" s="77">
        <v>8.5</v>
      </c>
      <c r="AI56" s="77">
        <v>12.6</v>
      </c>
      <c r="AJ56" s="77">
        <v>1.4000000000000001</v>
      </c>
      <c r="AK56" s="77">
        <v>49.4</v>
      </c>
      <c r="AL56" s="77">
        <f t="shared" si="6"/>
        <v>100</v>
      </c>
      <c r="AM56" s="78"/>
      <c r="AN56" s="77">
        <v>21.74</v>
      </c>
      <c r="AO56" s="77">
        <v>11.68</v>
      </c>
      <c r="AP56" s="77">
        <v>26.49</v>
      </c>
      <c r="AQ56" s="77">
        <v>3.47</v>
      </c>
      <c r="AR56" s="77">
        <v>36.619999999999997</v>
      </c>
      <c r="AS56" s="77">
        <f t="shared" si="7"/>
        <v>100</v>
      </c>
      <c r="AT56" s="78"/>
      <c r="AU56" s="77">
        <v>22.78</v>
      </c>
      <c r="AV56" s="77">
        <v>10.39</v>
      </c>
      <c r="AW56" s="77">
        <v>23.97</v>
      </c>
      <c r="AX56" s="77">
        <v>3.44</v>
      </c>
      <c r="AY56" s="77">
        <v>39.42</v>
      </c>
      <c r="AZ56" s="77">
        <f t="shared" si="4"/>
        <v>100</v>
      </c>
      <c r="BC56" s="57" t="s">
        <v>115</v>
      </c>
      <c r="BD56" s="58" t="s">
        <v>113</v>
      </c>
      <c r="BE56" s="58" t="s">
        <v>116</v>
      </c>
      <c r="BF56" s="59">
        <v>14.07</v>
      </c>
      <c r="BG56" s="59">
        <v>3.84</v>
      </c>
      <c r="BI56" s="57" t="s">
        <v>100</v>
      </c>
      <c r="BJ56" s="58"/>
      <c r="BK56" s="58" t="s">
        <v>109</v>
      </c>
      <c r="BL56" s="59">
        <v>20.925000000000001</v>
      </c>
      <c r="BM56" s="59">
        <v>5.27</v>
      </c>
      <c r="BO56" s="57"/>
      <c r="BP56" s="58"/>
      <c r="BQ56" s="58"/>
      <c r="BR56" s="59"/>
      <c r="BS56" s="59"/>
      <c r="BU56" s="57"/>
      <c r="BV56" s="58"/>
      <c r="BW56" s="58" t="s">
        <v>161</v>
      </c>
      <c r="BX56" s="59">
        <f>AVERAGE(BX52:BX54)</f>
        <v>1.71</v>
      </c>
      <c r="BY56" s="59">
        <f>AVERAGE(BY52:BY54)</f>
        <v>45.81</v>
      </c>
      <c r="CA56" s="57" t="s">
        <v>90</v>
      </c>
      <c r="CB56" s="58"/>
      <c r="CC56" s="58" t="s">
        <v>91</v>
      </c>
      <c r="CD56" s="59">
        <v>1.665</v>
      </c>
      <c r="CE56" s="59">
        <v>4.1099999999999994</v>
      </c>
    </row>
    <row r="57" spans="1:83" ht="20.100000000000001" customHeight="1">
      <c r="A57" s="31">
        <v>6</v>
      </c>
      <c r="B57" s="32" t="s">
        <v>23</v>
      </c>
      <c r="C57" s="32" t="s">
        <v>23</v>
      </c>
      <c r="D57" s="33" t="s">
        <v>25</v>
      </c>
      <c r="E57" s="42">
        <v>45394</v>
      </c>
      <c r="F57" s="34">
        <v>0.63888888888888895</v>
      </c>
      <c r="G57" s="33" t="s">
        <v>19</v>
      </c>
      <c r="H57" s="35">
        <v>20.5</v>
      </c>
      <c r="I57" s="35">
        <v>7.61</v>
      </c>
      <c r="J57" s="35">
        <v>10.02</v>
      </c>
      <c r="K57" s="35">
        <v>279</v>
      </c>
      <c r="L57" s="41">
        <v>2.8879999999999999</v>
      </c>
      <c r="M57" s="41"/>
      <c r="N57" s="41">
        <v>0.128</v>
      </c>
      <c r="O57" s="41">
        <v>2.3599395974240749</v>
      </c>
      <c r="P57" s="41">
        <v>4.16973481937844E-2</v>
      </c>
      <c r="Q57" s="41">
        <v>3.8</v>
      </c>
      <c r="R57" s="41">
        <v>0.13700000000000001</v>
      </c>
      <c r="S57" s="41">
        <v>0.13200000000000001</v>
      </c>
      <c r="T57" s="41">
        <v>24.609506883467702</v>
      </c>
      <c r="U57" s="41">
        <v>6.75</v>
      </c>
      <c r="V57" s="41">
        <v>7.6</v>
      </c>
      <c r="W57" s="41">
        <v>14.7</v>
      </c>
      <c r="X57" s="41">
        <v>11.914577909851953</v>
      </c>
      <c r="Y57" s="36"/>
      <c r="Z57" s="77">
        <v>31.11</v>
      </c>
      <c r="AA57" s="77">
        <v>8.85</v>
      </c>
      <c r="AB57" s="77">
        <v>19.440000000000001</v>
      </c>
      <c r="AC57" s="77">
        <v>2.15</v>
      </c>
      <c r="AD57" s="77">
        <v>38.450000000000003</v>
      </c>
      <c r="AE57" s="77">
        <f t="shared" si="5"/>
        <v>100</v>
      </c>
      <c r="AF57" s="78"/>
      <c r="AG57" s="77">
        <v>31.8</v>
      </c>
      <c r="AH57" s="77">
        <v>10.199999999999999</v>
      </c>
      <c r="AI57" s="77">
        <v>11.799999999999999</v>
      </c>
      <c r="AJ57" s="77">
        <v>1.5</v>
      </c>
      <c r="AK57" s="77">
        <v>44.7</v>
      </c>
      <c r="AL57" s="77">
        <f t="shared" si="6"/>
        <v>100</v>
      </c>
      <c r="AM57" s="78"/>
      <c r="AN57" s="77">
        <v>23.119999999999997</v>
      </c>
      <c r="AO57" s="77">
        <v>14.31</v>
      </c>
      <c r="AP57" s="77">
        <v>23.59</v>
      </c>
      <c r="AQ57" s="77">
        <v>4.22</v>
      </c>
      <c r="AR57" s="77">
        <v>34.760000000000005</v>
      </c>
      <c r="AS57" s="77">
        <f t="shared" si="7"/>
        <v>100</v>
      </c>
      <c r="AT57" s="78"/>
      <c r="AU57" s="77">
        <v>25.990000000000002</v>
      </c>
      <c r="AV57" s="77">
        <v>14.149999999999999</v>
      </c>
      <c r="AW57" s="77">
        <v>21.959999999999997</v>
      </c>
      <c r="AX57" s="77">
        <v>4.67</v>
      </c>
      <c r="AY57" s="77">
        <v>33.229999999999997</v>
      </c>
      <c r="AZ57" s="77">
        <f t="shared" si="4"/>
        <v>100</v>
      </c>
      <c r="BC57" s="57" t="s">
        <v>141</v>
      </c>
      <c r="BD57" s="58" t="s">
        <v>72</v>
      </c>
      <c r="BE57" s="58" t="s">
        <v>142</v>
      </c>
      <c r="BF57" s="59">
        <v>13.38</v>
      </c>
      <c r="BG57" s="59">
        <v>4.66</v>
      </c>
      <c r="BI57" s="57" t="s">
        <v>148</v>
      </c>
      <c r="BJ57" s="58"/>
      <c r="BK57" s="58" t="s">
        <v>149</v>
      </c>
      <c r="BL57" s="59">
        <v>24.47</v>
      </c>
      <c r="BM57" s="59">
        <v>-0.67</v>
      </c>
      <c r="BO57" s="57"/>
      <c r="BP57" s="58"/>
      <c r="BQ57" s="58"/>
      <c r="BR57" s="59"/>
      <c r="BS57" s="59"/>
      <c r="BU57" s="57"/>
      <c r="BV57" s="58"/>
      <c r="BW57" s="58" t="s">
        <v>162</v>
      </c>
      <c r="BX57" s="59">
        <f>_xlfn.STDEV.S(BX52:BX54)</f>
        <v>1.5603845679831623</v>
      </c>
      <c r="BY57" s="59">
        <f>_xlfn.STDEV.S(BY52:BY54)</f>
        <v>5.7261068798966068</v>
      </c>
      <c r="CA57" s="57"/>
      <c r="CB57" s="58"/>
      <c r="CC57" s="58"/>
      <c r="CD57" s="59"/>
      <c r="CE57" s="59"/>
    </row>
    <row r="58" spans="1:83" ht="20.100000000000001" customHeight="1">
      <c r="A58" s="31">
        <v>7</v>
      </c>
      <c r="B58" s="32" t="s">
        <v>23</v>
      </c>
      <c r="C58" s="32" t="s">
        <v>23</v>
      </c>
      <c r="D58" s="33" t="s">
        <v>26</v>
      </c>
      <c r="E58" s="42">
        <v>45393</v>
      </c>
      <c r="F58" s="34">
        <v>0.63888888888888895</v>
      </c>
      <c r="G58" s="33" t="s">
        <v>19</v>
      </c>
      <c r="H58" s="43">
        <v>17.5</v>
      </c>
      <c r="I58" s="43">
        <v>7.38</v>
      </c>
      <c r="J58" s="43">
        <v>9.8800000000000008</v>
      </c>
      <c r="K58" s="44">
        <v>267</v>
      </c>
      <c r="L58" s="41">
        <v>3.016</v>
      </c>
      <c r="M58" s="41"/>
      <c r="N58" s="41">
        <v>0.191</v>
      </c>
      <c r="O58" s="41">
        <v>2.4391271227247548</v>
      </c>
      <c r="P58" s="41">
        <v>7.7295428737773897E-2</v>
      </c>
      <c r="Q58" s="41">
        <v>4.3</v>
      </c>
      <c r="R58" s="41">
        <v>0.251</v>
      </c>
      <c r="S58" s="41">
        <v>0.249</v>
      </c>
      <c r="T58" s="41">
        <v>21.663703887468678</v>
      </c>
      <c r="U58" s="41">
        <v>8.2100000000000009</v>
      </c>
      <c r="V58" s="41">
        <v>5.56</v>
      </c>
      <c r="W58" s="41">
        <v>19.2</v>
      </c>
      <c r="X58" s="41">
        <v>10.009981831868686</v>
      </c>
      <c r="Y58" s="36"/>
      <c r="Z58" s="77">
        <v>42.26</v>
      </c>
      <c r="AA58" s="77">
        <v>8.44</v>
      </c>
      <c r="AB58" s="77">
        <v>4.87</v>
      </c>
      <c r="AC58" s="77">
        <v>1.1200000000000001</v>
      </c>
      <c r="AD58" s="77">
        <v>43.31</v>
      </c>
      <c r="AE58" s="77">
        <f t="shared" si="5"/>
        <v>100</v>
      </c>
      <c r="AF58" s="78"/>
      <c r="AG58" s="77">
        <v>39.800000000000004</v>
      </c>
      <c r="AH58" s="77">
        <v>11.700000000000001</v>
      </c>
      <c r="AI58" s="77">
        <v>9.8000000000000007</v>
      </c>
      <c r="AJ58" s="77">
        <v>1.3</v>
      </c>
      <c r="AK58" s="77">
        <v>37.4</v>
      </c>
      <c r="AL58" s="77">
        <f t="shared" si="6"/>
        <v>100</v>
      </c>
      <c r="AM58" s="78"/>
      <c r="AN58" s="77">
        <v>32.68</v>
      </c>
      <c r="AO58" s="77">
        <v>23.79</v>
      </c>
      <c r="AP58" s="77">
        <v>17.21</v>
      </c>
      <c r="AQ58" s="77">
        <v>2.8899999999999997</v>
      </c>
      <c r="AR58" s="77">
        <v>23.43</v>
      </c>
      <c r="AS58" s="77">
        <f t="shared" si="7"/>
        <v>100</v>
      </c>
      <c r="AT58" s="78"/>
      <c r="AU58" s="77">
        <v>35.880000000000003</v>
      </c>
      <c r="AV58" s="77">
        <v>16.869999999999997</v>
      </c>
      <c r="AW58" s="77">
        <v>16.98</v>
      </c>
      <c r="AX58" s="77">
        <v>3.3099999999999996</v>
      </c>
      <c r="AY58" s="77">
        <v>26.96</v>
      </c>
      <c r="AZ58" s="77">
        <f t="shared" si="4"/>
        <v>100</v>
      </c>
      <c r="BC58" s="57" t="s">
        <v>115</v>
      </c>
      <c r="BD58" s="58" t="s">
        <v>113</v>
      </c>
      <c r="BE58" s="58" t="s">
        <v>116</v>
      </c>
      <c r="BF58" s="59">
        <v>12.44</v>
      </c>
      <c r="BG58" s="59">
        <v>3.65</v>
      </c>
      <c r="BI58" s="57" t="s">
        <v>137</v>
      </c>
      <c r="BJ58" s="58"/>
      <c r="BK58" s="58" t="s">
        <v>110</v>
      </c>
      <c r="BL58" s="59">
        <v>24.39</v>
      </c>
      <c r="BM58" s="59">
        <v>1.3149999999999999</v>
      </c>
      <c r="BO58" s="57"/>
      <c r="BP58" s="58"/>
      <c r="BQ58" s="58" t="s">
        <v>161</v>
      </c>
      <c r="BR58" s="59">
        <f>AVERAGE(BR52:BR53)</f>
        <v>0.86499999999999999</v>
      </c>
      <c r="BS58" s="59">
        <f>AVERAGE(BS52:BS53)</f>
        <v>14.385000000000002</v>
      </c>
      <c r="CA58" s="57"/>
      <c r="CB58" s="58"/>
      <c r="CC58" s="58"/>
      <c r="CD58" s="59"/>
      <c r="CE58" s="59"/>
    </row>
    <row r="59" spans="1:83" ht="20.100000000000001" customHeight="1">
      <c r="A59" s="31">
        <v>8</v>
      </c>
      <c r="B59" s="32" t="s">
        <v>23</v>
      </c>
      <c r="C59" s="32" t="s">
        <v>27</v>
      </c>
      <c r="D59" s="33" t="s">
        <v>28</v>
      </c>
      <c r="E59" s="42">
        <v>45393</v>
      </c>
      <c r="F59" s="34">
        <v>0.65277777777777779</v>
      </c>
      <c r="G59" s="33" t="s">
        <v>19</v>
      </c>
      <c r="H59" s="43">
        <v>15.2</v>
      </c>
      <c r="I59" s="43">
        <v>7.18</v>
      </c>
      <c r="J59" s="43">
        <v>8.57</v>
      </c>
      <c r="K59" s="44">
        <v>447</v>
      </c>
      <c r="L59" s="41">
        <v>10.587</v>
      </c>
      <c r="M59" s="41"/>
      <c r="N59" s="41">
        <v>7.5830000000000002</v>
      </c>
      <c r="O59" s="41">
        <v>0.97586059085562704</v>
      </c>
      <c r="P59" s="41">
        <v>8.6902733014795064E-2</v>
      </c>
      <c r="Q59" s="41">
        <v>13.8</v>
      </c>
      <c r="R59" s="41">
        <v>4.4939999999999998</v>
      </c>
      <c r="S59" s="41">
        <v>4.4489999999999998</v>
      </c>
      <c r="T59" s="41">
        <v>28.874406034046217</v>
      </c>
      <c r="U59" s="41">
        <v>1.58</v>
      </c>
      <c r="V59" s="41">
        <v>-0.43</v>
      </c>
      <c r="W59" s="41">
        <v>29.5</v>
      </c>
      <c r="X59" s="41">
        <v>10.352175185906143</v>
      </c>
      <c r="Y59" s="36"/>
      <c r="Z59" s="77">
        <v>86.59</v>
      </c>
      <c r="AA59" s="77">
        <v>7.62</v>
      </c>
      <c r="AB59" s="77">
        <v>0.96</v>
      </c>
      <c r="AC59" s="77">
        <v>0.32</v>
      </c>
      <c r="AD59" s="77">
        <v>4.51</v>
      </c>
      <c r="AE59" s="77">
        <f t="shared" si="5"/>
        <v>100</v>
      </c>
      <c r="AF59" s="79"/>
      <c r="AG59" s="77">
        <v>15.8</v>
      </c>
      <c r="AH59" s="77">
        <v>4.5</v>
      </c>
      <c r="AI59" s="77">
        <v>14.799999999999999</v>
      </c>
      <c r="AJ59" s="77">
        <v>0.8</v>
      </c>
      <c r="AK59" s="77">
        <v>64.099999999999994</v>
      </c>
      <c r="AL59" s="77">
        <f t="shared" si="6"/>
        <v>100</v>
      </c>
      <c r="AM59" s="79"/>
      <c r="AN59" s="77">
        <v>15.129999999999999</v>
      </c>
      <c r="AO59" s="77">
        <v>11.48</v>
      </c>
      <c r="AP59" s="77">
        <v>27.3</v>
      </c>
      <c r="AQ59" s="77">
        <v>4.08</v>
      </c>
      <c r="AR59" s="77">
        <v>42.01</v>
      </c>
      <c r="AS59" s="77">
        <f t="shared" si="7"/>
        <v>100</v>
      </c>
      <c r="AT59" s="79"/>
      <c r="AU59" s="77">
        <v>7.31</v>
      </c>
      <c r="AV59" s="77">
        <v>1.68</v>
      </c>
      <c r="AW59" s="77">
        <v>26.3</v>
      </c>
      <c r="AX59" s="77">
        <v>0.6</v>
      </c>
      <c r="AY59" s="77">
        <v>64.11</v>
      </c>
      <c r="AZ59" s="77">
        <f t="shared" si="4"/>
        <v>100</v>
      </c>
      <c r="BC59" s="57" t="s">
        <v>115</v>
      </c>
      <c r="BD59" s="58" t="s">
        <v>113</v>
      </c>
      <c r="BE59" s="58" t="s">
        <v>116</v>
      </c>
      <c r="BF59" s="59">
        <v>12.27</v>
      </c>
      <c r="BG59" s="59">
        <v>4.01</v>
      </c>
      <c r="BI59" s="57" t="s">
        <v>89</v>
      </c>
      <c r="BJ59" s="58"/>
      <c r="BK59" s="58" t="s">
        <v>88</v>
      </c>
      <c r="BL59" s="59">
        <v>18.195</v>
      </c>
      <c r="BM59" s="59">
        <v>4.7449999999999992</v>
      </c>
      <c r="BO59" s="57"/>
      <c r="BP59" s="58"/>
      <c r="BQ59" s="58" t="s">
        <v>162</v>
      </c>
      <c r="BR59" s="59">
        <f>_xlfn.STDEV.S(BR52:BR53)</f>
        <v>0.3323401871576776</v>
      </c>
      <c r="BS59" s="59">
        <f>_xlfn.STDEV.S(BS52:BS53)</f>
        <v>5.1830927060973853</v>
      </c>
      <c r="CA59" s="57"/>
      <c r="CB59" s="58"/>
      <c r="CC59" s="58"/>
      <c r="CD59" s="59"/>
      <c r="CE59" s="59"/>
    </row>
    <row r="60" spans="1:83" ht="20.100000000000001" customHeight="1">
      <c r="A60" s="31">
        <v>9</v>
      </c>
      <c r="B60" s="32" t="s">
        <v>23</v>
      </c>
      <c r="C60" s="32" t="s">
        <v>27</v>
      </c>
      <c r="D60" s="33" t="s">
        <v>30</v>
      </c>
      <c r="E60" s="42">
        <v>45393</v>
      </c>
      <c r="F60" s="34">
        <v>0.64236111111111105</v>
      </c>
      <c r="G60" s="33" t="s">
        <v>19</v>
      </c>
      <c r="H60" s="43">
        <v>17.600000000000001</v>
      </c>
      <c r="I60" s="43">
        <v>8.07</v>
      </c>
      <c r="J60" s="43">
        <v>12.5</v>
      </c>
      <c r="K60" s="44">
        <v>306</v>
      </c>
      <c r="L60" s="41">
        <v>5.1479999999999997</v>
      </c>
      <c r="M60" s="41"/>
      <c r="N60" s="41">
        <v>0.44400000000000001</v>
      </c>
      <c r="O60" s="41">
        <v>3.8062637015242489</v>
      </c>
      <c r="P60" s="41">
        <v>0.37424985100928226</v>
      </c>
      <c r="Q60" s="41">
        <v>8.3000000000000007</v>
      </c>
      <c r="R60" s="41">
        <v>1.298</v>
      </c>
      <c r="S60" s="41">
        <v>1.2909999999999999</v>
      </c>
      <c r="T60" s="41">
        <v>22.829088136986975</v>
      </c>
      <c r="U60" s="41">
        <v>12.48</v>
      </c>
      <c r="V60" s="41">
        <v>2.62</v>
      </c>
      <c r="W60" s="41" t="s">
        <v>68</v>
      </c>
      <c r="X60" s="41">
        <v>12.076708490286192</v>
      </c>
      <c r="Y60" s="36"/>
      <c r="Z60" s="78">
        <v>87.03</v>
      </c>
      <c r="AA60" s="78">
        <v>3.76</v>
      </c>
      <c r="AB60" s="78">
        <v>3.75</v>
      </c>
      <c r="AC60" s="78">
        <v>0.32</v>
      </c>
      <c r="AD60" s="78">
        <v>5.14</v>
      </c>
      <c r="AE60" s="78">
        <f t="shared" si="5"/>
        <v>100</v>
      </c>
      <c r="AF60" s="78"/>
      <c r="AG60" s="80">
        <v>56.3</v>
      </c>
      <c r="AH60" s="80">
        <v>17</v>
      </c>
      <c r="AI60" s="80">
        <v>6</v>
      </c>
      <c r="AJ60" s="80">
        <v>1</v>
      </c>
      <c r="AK60" s="80">
        <v>19.7</v>
      </c>
      <c r="AL60" s="78">
        <f t="shared" si="6"/>
        <v>100</v>
      </c>
      <c r="AM60" s="78"/>
      <c r="AN60" s="80">
        <v>46.400000000000006</v>
      </c>
      <c r="AO60" s="80">
        <v>33.239999999999995</v>
      </c>
      <c r="AP60" s="80">
        <v>6.41</v>
      </c>
      <c r="AQ60" s="80">
        <v>3.01</v>
      </c>
      <c r="AR60" s="80">
        <v>10.94</v>
      </c>
      <c r="AS60" s="78">
        <f t="shared" si="7"/>
        <v>100</v>
      </c>
      <c r="AT60" s="78"/>
      <c r="AU60" s="80">
        <v>49.27</v>
      </c>
      <c r="AV60" s="80">
        <v>27.900000000000002</v>
      </c>
      <c r="AW60" s="80">
        <v>8.76</v>
      </c>
      <c r="AX60" s="80">
        <v>2.3199999999999998</v>
      </c>
      <c r="AY60" s="80">
        <v>11.75</v>
      </c>
      <c r="AZ60" s="78">
        <f t="shared" si="4"/>
        <v>100</v>
      </c>
      <c r="BC60" s="57" t="s">
        <v>147</v>
      </c>
      <c r="BD60" s="58" t="s">
        <v>72</v>
      </c>
      <c r="BE60" s="58" t="s">
        <v>144</v>
      </c>
      <c r="BF60" s="59">
        <v>12.15</v>
      </c>
      <c r="BG60" s="59">
        <v>-0.53</v>
      </c>
      <c r="BI60" s="57"/>
      <c r="BJ60" s="58"/>
      <c r="BK60" s="58"/>
      <c r="BL60" s="59"/>
      <c r="BM60" s="59"/>
      <c r="CA60" s="57"/>
      <c r="CB60" s="58"/>
      <c r="CC60" s="58"/>
      <c r="CD60" s="59"/>
      <c r="CE60" s="59"/>
    </row>
    <row r="61" spans="1:83" ht="20.100000000000001" customHeight="1">
      <c r="A61" s="22">
        <v>10</v>
      </c>
      <c r="B61" s="14" t="s">
        <v>31</v>
      </c>
      <c r="C61" s="14" t="s">
        <v>31</v>
      </c>
      <c r="D61" s="15" t="s">
        <v>32</v>
      </c>
      <c r="E61" s="16">
        <v>45394</v>
      </c>
      <c r="F61" s="17">
        <v>0.55902777777777779</v>
      </c>
      <c r="G61" s="15" t="s">
        <v>19</v>
      </c>
      <c r="H61" s="23">
        <v>20.100000000000001</v>
      </c>
      <c r="I61" s="23">
        <v>9.43</v>
      </c>
      <c r="J61" s="23">
        <v>13.8</v>
      </c>
      <c r="K61" s="45">
        <v>159.5</v>
      </c>
      <c r="L61" s="39">
        <v>1.5369999999999999</v>
      </c>
      <c r="M61" s="39"/>
      <c r="N61" s="39">
        <v>0.06</v>
      </c>
      <c r="O61" s="39">
        <v>1.3490559741266328</v>
      </c>
      <c r="P61" s="39" t="s">
        <v>112</v>
      </c>
      <c r="Q61" s="39">
        <v>2.4</v>
      </c>
      <c r="R61" s="39">
        <v>1.9E-2</v>
      </c>
      <c r="S61" s="39">
        <v>7.0000000000000001E-3</v>
      </c>
      <c r="T61" s="39">
        <v>10.187097958523417</v>
      </c>
      <c r="U61" s="39">
        <v>8.51</v>
      </c>
      <c r="V61" s="39">
        <v>8.32</v>
      </c>
      <c r="W61" s="39">
        <v>8.6999999999999993</v>
      </c>
      <c r="X61" s="39">
        <v>13.328055480267331</v>
      </c>
      <c r="Y61" s="18"/>
      <c r="Z61" s="78">
        <v>25.71</v>
      </c>
      <c r="AA61" s="78">
        <v>22</v>
      </c>
      <c r="AB61" s="78">
        <v>22.04</v>
      </c>
      <c r="AC61" s="78">
        <v>3.36</v>
      </c>
      <c r="AD61" s="78">
        <v>26.89</v>
      </c>
      <c r="AE61" s="78">
        <f t="shared" si="5"/>
        <v>100</v>
      </c>
      <c r="AF61" s="78"/>
      <c r="AG61" s="80">
        <v>38.5</v>
      </c>
      <c r="AH61" s="80">
        <v>12.7</v>
      </c>
      <c r="AI61" s="80">
        <v>10.299999999999999</v>
      </c>
      <c r="AJ61" s="80">
        <v>1.7999999999999998</v>
      </c>
      <c r="AK61" s="80">
        <v>36.700000000000003</v>
      </c>
      <c r="AL61" s="78">
        <f t="shared" si="6"/>
        <v>100</v>
      </c>
      <c r="AM61" s="78"/>
      <c r="AN61" s="80">
        <v>28.78</v>
      </c>
      <c r="AO61" s="80">
        <v>25.480000000000004</v>
      </c>
      <c r="AP61" s="80">
        <v>17.810000000000002</v>
      </c>
      <c r="AQ61" s="80">
        <v>5.67</v>
      </c>
      <c r="AR61" s="80">
        <v>22.259999999999998</v>
      </c>
      <c r="AS61" s="78">
        <f t="shared" si="7"/>
        <v>100</v>
      </c>
      <c r="AT61" s="78"/>
      <c r="AU61" s="80">
        <v>29.580000000000002</v>
      </c>
      <c r="AV61" s="80">
        <v>20.57</v>
      </c>
      <c r="AW61" s="80">
        <v>18.459999999999997</v>
      </c>
      <c r="AX61" s="80">
        <v>6.1400000000000006</v>
      </c>
      <c r="AY61" s="80">
        <v>25.25</v>
      </c>
      <c r="AZ61" s="78">
        <f t="shared" si="4"/>
        <v>100</v>
      </c>
      <c r="BC61" s="57" t="s">
        <v>81</v>
      </c>
      <c r="BD61" s="58"/>
      <c r="BE61" s="58" t="s">
        <v>171</v>
      </c>
      <c r="BF61" s="59">
        <v>12.14</v>
      </c>
      <c r="BG61" s="59">
        <v>1.42</v>
      </c>
      <c r="BI61" s="57"/>
      <c r="BJ61" s="58"/>
      <c r="BK61" s="58"/>
      <c r="BL61" s="59"/>
      <c r="BM61" s="59"/>
      <c r="CA61" s="57"/>
      <c r="CB61" s="58"/>
      <c r="CC61" s="58"/>
      <c r="CD61" s="59"/>
      <c r="CE61" s="59"/>
    </row>
    <row r="62" spans="1:83" ht="20.100000000000001" customHeight="1">
      <c r="A62" s="22">
        <v>11</v>
      </c>
      <c r="B62" s="14" t="s">
        <v>31</v>
      </c>
      <c r="C62" s="14" t="s">
        <v>31</v>
      </c>
      <c r="D62" s="15" t="s">
        <v>33</v>
      </c>
      <c r="E62" s="16">
        <v>45394</v>
      </c>
      <c r="F62" s="17">
        <v>0.60416666666666663</v>
      </c>
      <c r="G62" s="15" t="s">
        <v>19</v>
      </c>
      <c r="H62" s="23">
        <v>18.8</v>
      </c>
      <c r="I62" s="23">
        <v>7.93</v>
      </c>
      <c r="J62" s="23">
        <v>10.17</v>
      </c>
      <c r="K62" s="45">
        <v>192.7</v>
      </c>
      <c r="L62" s="39">
        <v>2.169</v>
      </c>
      <c r="M62" s="39"/>
      <c r="N62" s="39">
        <v>2.1999999999999999E-2</v>
      </c>
      <c r="O62" s="39">
        <v>2.0674211944327476</v>
      </c>
      <c r="P62" s="39" t="s">
        <v>112</v>
      </c>
      <c r="Q62" s="39">
        <v>2</v>
      </c>
      <c r="R62" s="39">
        <v>4.7E-2</v>
      </c>
      <c r="S62" s="39">
        <v>4.2999999999999997E-2</v>
      </c>
      <c r="T62" s="39">
        <v>12.831242270508705</v>
      </c>
      <c r="U62" s="39">
        <v>8.24</v>
      </c>
      <c r="V62" s="39">
        <v>6.51</v>
      </c>
      <c r="W62" s="39">
        <v>11.6</v>
      </c>
      <c r="X62" s="39">
        <v>13.545452837707971</v>
      </c>
      <c r="Y62" s="18"/>
      <c r="Z62" s="78">
        <v>37.17</v>
      </c>
      <c r="AA62" s="78">
        <v>12.92</v>
      </c>
      <c r="AB62" s="78">
        <v>11.46</v>
      </c>
      <c r="AC62" s="78">
        <v>1.82</v>
      </c>
      <c r="AD62" s="78">
        <v>36.630000000000003</v>
      </c>
      <c r="AE62" s="78">
        <f t="shared" si="5"/>
        <v>100</v>
      </c>
      <c r="AF62" s="78"/>
      <c r="AG62" s="80">
        <v>38.6</v>
      </c>
      <c r="AH62" s="80">
        <v>12</v>
      </c>
      <c r="AI62" s="80">
        <v>10.299999999999999</v>
      </c>
      <c r="AJ62" s="80">
        <v>1.5</v>
      </c>
      <c r="AK62" s="80">
        <v>37.6</v>
      </c>
      <c r="AL62" s="78">
        <f t="shared" si="6"/>
        <v>100</v>
      </c>
      <c r="AM62" s="78"/>
      <c r="AN62" s="80">
        <v>26.669999999999998</v>
      </c>
      <c r="AO62" s="80">
        <v>24.58</v>
      </c>
      <c r="AP62" s="80">
        <v>15.409999999999998</v>
      </c>
      <c r="AQ62" s="80">
        <v>3.23</v>
      </c>
      <c r="AR62" s="80">
        <v>30.11</v>
      </c>
      <c r="AS62" s="78">
        <f t="shared" si="7"/>
        <v>100</v>
      </c>
      <c r="AT62" s="78"/>
      <c r="AU62" s="80">
        <v>33.300000000000004</v>
      </c>
      <c r="AV62" s="80">
        <v>17.88</v>
      </c>
      <c r="AW62" s="80">
        <v>17.7</v>
      </c>
      <c r="AX62" s="80">
        <v>4.08</v>
      </c>
      <c r="AY62" s="80">
        <v>27.04</v>
      </c>
      <c r="AZ62" s="78">
        <f t="shared" si="4"/>
        <v>100</v>
      </c>
      <c r="BC62" s="57" t="s">
        <v>81</v>
      </c>
      <c r="BD62" s="58" t="s">
        <v>71</v>
      </c>
      <c r="BE62" s="58" t="s">
        <v>82</v>
      </c>
      <c r="BF62" s="59">
        <v>10.89</v>
      </c>
      <c r="BG62" s="59">
        <v>1.05</v>
      </c>
      <c r="BI62" s="57"/>
      <c r="BJ62" s="58"/>
      <c r="BK62" s="58"/>
      <c r="BL62" s="59"/>
      <c r="BM62" s="59"/>
      <c r="CA62" s="57"/>
      <c r="CB62" s="58"/>
      <c r="CC62" s="58"/>
      <c r="CD62" s="59"/>
      <c r="CE62" s="59"/>
    </row>
    <row r="63" spans="1:83" ht="20.100000000000001" customHeight="1">
      <c r="A63" s="22">
        <v>12</v>
      </c>
      <c r="B63" s="14" t="s">
        <v>31</v>
      </c>
      <c r="C63" s="14" t="s">
        <v>31</v>
      </c>
      <c r="D63" s="15" t="s">
        <v>34</v>
      </c>
      <c r="E63" s="16">
        <v>45394</v>
      </c>
      <c r="F63" s="17">
        <v>0.61111111111111105</v>
      </c>
      <c r="G63" s="15" t="s">
        <v>19</v>
      </c>
      <c r="H63" s="23">
        <v>20.6</v>
      </c>
      <c r="I63" s="23">
        <v>8.49</v>
      </c>
      <c r="J63" s="23">
        <v>11.2</v>
      </c>
      <c r="K63" s="45">
        <v>200.4</v>
      </c>
      <c r="L63" s="39">
        <v>2.4790000000000001</v>
      </c>
      <c r="M63" s="39"/>
      <c r="N63" s="39">
        <v>3.5000000000000003E-2</v>
      </c>
      <c r="O63" s="39">
        <v>2.3482003300928995</v>
      </c>
      <c r="P63" s="39" t="s">
        <v>112</v>
      </c>
      <c r="Q63" s="39">
        <v>2.1</v>
      </c>
      <c r="R63" s="39">
        <v>5.0999999999999997E-2</v>
      </c>
      <c r="S63" s="39">
        <v>4.8000000000000001E-2</v>
      </c>
      <c r="T63" s="39">
        <v>14.247692060289525</v>
      </c>
      <c r="U63" s="39">
        <v>8.6199999999999992</v>
      </c>
      <c r="V63" s="39">
        <v>5.83</v>
      </c>
      <c r="W63" s="39">
        <v>11.2</v>
      </c>
      <c r="X63" s="39">
        <v>14.539856019900043</v>
      </c>
      <c r="Y63" s="18"/>
      <c r="Z63" s="78">
        <v>39.17</v>
      </c>
      <c r="AA63" s="78">
        <v>12.87</v>
      </c>
      <c r="AB63" s="78">
        <v>7.55</v>
      </c>
      <c r="AC63" s="78">
        <v>0.99</v>
      </c>
      <c r="AD63" s="78">
        <v>39.42</v>
      </c>
      <c r="AE63" s="78">
        <f t="shared" si="5"/>
        <v>100</v>
      </c>
      <c r="AF63" s="78"/>
      <c r="AG63" s="80">
        <v>41.4</v>
      </c>
      <c r="AH63" s="80">
        <v>12.4</v>
      </c>
      <c r="AI63" s="80">
        <v>9.7000000000000011</v>
      </c>
      <c r="AJ63" s="80">
        <v>1.4000000000000001</v>
      </c>
      <c r="AK63" s="80">
        <v>35.099999999999994</v>
      </c>
      <c r="AL63" s="78">
        <f t="shared" si="6"/>
        <v>100</v>
      </c>
      <c r="AM63" s="78"/>
      <c r="AN63" s="80">
        <v>32.340000000000003</v>
      </c>
      <c r="AO63" s="80">
        <v>23.87</v>
      </c>
      <c r="AP63" s="80">
        <v>13.900000000000002</v>
      </c>
      <c r="AQ63" s="80">
        <v>3.2199999999999998</v>
      </c>
      <c r="AR63" s="80">
        <v>26.669999999999998</v>
      </c>
      <c r="AS63" s="78">
        <f t="shared" si="7"/>
        <v>100.00000000000001</v>
      </c>
      <c r="AT63" s="78"/>
      <c r="AU63" s="80">
        <v>36.159999999999997</v>
      </c>
      <c r="AV63" s="80">
        <v>18.350000000000001</v>
      </c>
      <c r="AW63" s="80">
        <v>16.37</v>
      </c>
      <c r="AX63" s="80">
        <v>3.63</v>
      </c>
      <c r="AY63" s="80">
        <v>25.490000000000002</v>
      </c>
      <c r="AZ63" s="78">
        <f t="shared" si="4"/>
        <v>100</v>
      </c>
      <c r="BC63" s="57" t="s">
        <v>172</v>
      </c>
      <c r="BD63" s="58"/>
      <c r="BE63" s="58" t="s">
        <v>173</v>
      </c>
      <c r="BF63" s="59">
        <v>10.72</v>
      </c>
      <c r="BG63" s="59">
        <v>3.81</v>
      </c>
      <c r="BI63" s="57"/>
      <c r="BJ63" s="58"/>
      <c r="BK63" s="58"/>
      <c r="BL63" s="59"/>
      <c r="BM63" s="59"/>
      <c r="CA63" s="57"/>
      <c r="CB63" s="58"/>
      <c r="CC63" s="58"/>
      <c r="CD63" s="59"/>
      <c r="CE63" s="59"/>
    </row>
    <row r="64" spans="1:83" ht="20.100000000000001" customHeight="1">
      <c r="A64" s="22">
        <v>13</v>
      </c>
      <c r="B64" s="14" t="s">
        <v>31</v>
      </c>
      <c r="C64" s="14" t="s">
        <v>35</v>
      </c>
      <c r="D64" s="15" t="s">
        <v>36</v>
      </c>
      <c r="E64" s="16">
        <v>45394</v>
      </c>
      <c r="F64" s="17">
        <v>0.59375</v>
      </c>
      <c r="G64" s="15" t="s">
        <v>37</v>
      </c>
      <c r="H64" s="23">
        <v>20</v>
      </c>
      <c r="I64" s="23">
        <v>7.91</v>
      </c>
      <c r="J64" s="23">
        <v>10.9</v>
      </c>
      <c r="K64" s="45">
        <v>264</v>
      </c>
      <c r="L64" s="39">
        <v>3.7250000000000001</v>
      </c>
      <c r="M64" s="39"/>
      <c r="N64" s="39">
        <v>0.246</v>
      </c>
      <c r="O64" s="39">
        <v>3.3700928149145133</v>
      </c>
      <c r="P64" s="39">
        <v>6.9030757429925982E-2</v>
      </c>
      <c r="Q64" s="39">
        <v>2.2000000000000002</v>
      </c>
      <c r="R64" s="39">
        <v>0.106</v>
      </c>
      <c r="S64" s="39">
        <v>0.105</v>
      </c>
      <c r="T64" s="39">
        <v>20.963677081464517</v>
      </c>
      <c r="U64" s="39">
        <v>9.1300000000000008</v>
      </c>
      <c r="V64" s="39">
        <v>4.09</v>
      </c>
      <c r="W64" s="39">
        <v>9.3000000000000007</v>
      </c>
      <c r="X64" s="39">
        <v>15.702781473289019</v>
      </c>
      <c r="Y64" s="18"/>
      <c r="Z64" s="78">
        <v>64.98</v>
      </c>
      <c r="AA64" s="78">
        <v>2</v>
      </c>
      <c r="AB64" s="78">
        <v>3.55</v>
      </c>
      <c r="AC64" s="78">
        <v>0.52</v>
      </c>
      <c r="AD64" s="78">
        <v>28.95</v>
      </c>
      <c r="AE64" s="78">
        <f t="shared" si="5"/>
        <v>100</v>
      </c>
      <c r="AF64" s="78"/>
      <c r="AG64" s="80">
        <v>45.9</v>
      </c>
      <c r="AH64" s="80">
        <v>12.4</v>
      </c>
      <c r="AI64" s="80">
        <v>8.9</v>
      </c>
      <c r="AJ64" s="80">
        <v>1.2</v>
      </c>
      <c r="AK64" s="80">
        <v>31.6</v>
      </c>
      <c r="AL64" s="78">
        <f t="shared" si="6"/>
        <v>100</v>
      </c>
      <c r="AM64" s="78"/>
      <c r="AN64" s="80">
        <v>46.9</v>
      </c>
      <c r="AO64" s="80">
        <v>20.64</v>
      </c>
      <c r="AP64" s="80">
        <v>10.280000000000001</v>
      </c>
      <c r="AQ64" s="80">
        <v>3.95</v>
      </c>
      <c r="AR64" s="80">
        <v>18.23</v>
      </c>
      <c r="AS64" s="78">
        <f t="shared" si="7"/>
        <v>100</v>
      </c>
      <c r="AT64" s="78"/>
      <c r="AU64" s="80">
        <v>42.61</v>
      </c>
      <c r="AV64" s="80">
        <v>17.88</v>
      </c>
      <c r="AW64" s="80">
        <v>13.98</v>
      </c>
      <c r="AX64" s="80">
        <v>2.5700000000000003</v>
      </c>
      <c r="AY64" s="80">
        <v>22.96</v>
      </c>
      <c r="AZ64" s="78">
        <f t="shared" si="4"/>
        <v>100</v>
      </c>
      <c r="BC64" s="57"/>
      <c r="BD64" s="58"/>
      <c r="BE64" s="58"/>
      <c r="BF64" s="59"/>
      <c r="BG64" s="59"/>
      <c r="BI64" s="57"/>
      <c r="BJ64" s="58"/>
      <c r="BK64" s="58"/>
      <c r="BL64" s="59"/>
      <c r="BM64" s="59"/>
      <c r="CA64" s="57"/>
      <c r="CB64" s="58"/>
      <c r="CC64" s="58" t="s">
        <v>161</v>
      </c>
      <c r="CD64" s="59">
        <f>AVERAGE(CD52:CD61)</f>
        <v>1.823</v>
      </c>
      <c r="CE64" s="59">
        <f>AVERAGE(CE52:CE56)</f>
        <v>7.2899999999999991</v>
      </c>
    </row>
    <row r="65" spans="1:83" ht="20.100000000000001" customHeight="1">
      <c r="A65" s="22">
        <v>14</v>
      </c>
      <c r="B65" s="14" t="s">
        <v>31</v>
      </c>
      <c r="C65" s="14" t="s">
        <v>5</v>
      </c>
      <c r="D65" s="15" t="s">
        <v>29</v>
      </c>
      <c r="E65" s="16">
        <v>45394</v>
      </c>
      <c r="F65" s="17">
        <v>0.58680555555555558</v>
      </c>
      <c r="G65" s="15" t="s">
        <v>37</v>
      </c>
      <c r="H65" s="23">
        <v>21.3</v>
      </c>
      <c r="I65" s="23">
        <v>7.61</v>
      </c>
      <c r="J65" s="23">
        <v>10.199999999999999</v>
      </c>
      <c r="K65" s="45">
        <v>330</v>
      </c>
      <c r="L65" s="39">
        <v>3.2210000000000001</v>
      </c>
      <c r="M65" s="39"/>
      <c r="N65" s="39">
        <v>0.48799999999999999</v>
      </c>
      <c r="O65" s="39">
        <v>2.409154906701044</v>
      </c>
      <c r="P65" s="39">
        <v>0.20265185356162441</v>
      </c>
      <c r="Q65" s="39">
        <v>2.8</v>
      </c>
      <c r="R65" s="39">
        <v>7.3999999999999996E-2</v>
      </c>
      <c r="S65" s="39">
        <v>7.0000000000000007E-2</v>
      </c>
      <c r="T65" s="39">
        <v>37.782982991834189</v>
      </c>
      <c r="U65" s="39">
        <v>8.94</v>
      </c>
      <c r="V65" s="39">
        <v>4.2699999999999996</v>
      </c>
      <c r="W65" s="39">
        <v>16.5</v>
      </c>
      <c r="X65" s="39">
        <v>12.61424864341576</v>
      </c>
      <c r="Y65" s="18"/>
      <c r="Z65" s="78">
        <v>56.44</v>
      </c>
      <c r="AA65" s="78">
        <v>4.6500000000000004</v>
      </c>
      <c r="AB65" s="78">
        <v>3.46</v>
      </c>
      <c r="AC65" s="78">
        <v>0.26</v>
      </c>
      <c r="AD65" s="78">
        <v>35.19</v>
      </c>
      <c r="AE65" s="78">
        <f t="shared" si="5"/>
        <v>100</v>
      </c>
      <c r="AF65" s="78"/>
      <c r="AG65" s="80">
        <v>44.7</v>
      </c>
      <c r="AH65" s="80">
        <v>12.3</v>
      </c>
      <c r="AI65" s="80">
        <v>8.9</v>
      </c>
      <c r="AJ65" s="80">
        <v>1.4</v>
      </c>
      <c r="AK65" s="80">
        <v>32.700000000000003</v>
      </c>
      <c r="AL65" s="78">
        <f t="shared" si="6"/>
        <v>100.00000000000001</v>
      </c>
      <c r="AM65" s="78"/>
      <c r="AN65" s="80">
        <v>46.32</v>
      </c>
      <c r="AO65" s="80">
        <v>19.28</v>
      </c>
      <c r="AP65" s="80">
        <v>11.26</v>
      </c>
      <c r="AQ65" s="80">
        <v>3.3300000000000005</v>
      </c>
      <c r="AR65" s="80">
        <v>19.809999999999999</v>
      </c>
      <c r="AS65" s="78">
        <f t="shared" si="7"/>
        <v>100</v>
      </c>
      <c r="AT65" s="78"/>
      <c r="AU65" s="80">
        <v>41.57</v>
      </c>
      <c r="AV65" s="80">
        <v>17.54</v>
      </c>
      <c r="AW65" s="80">
        <v>14.48</v>
      </c>
      <c r="AX65" s="80">
        <v>2.63</v>
      </c>
      <c r="AY65" s="80">
        <v>23.78</v>
      </c>
      <c r="AZ65" s="78">
        <f t="shared" si="4"/>
        <v>100</v>
      </c>
      <c r="BC65" s="57"/>
      <c r="BD65" s="58"/>
      <c r="BE65" s="58"/>
      <c r="BF65" s="59"/>
      <c r="BG65" s="59"/>
      <c r="BI65" s="57"/>
      <c r="BJ65" s="58"/>
      <c r="BK65" s="58" t="s">
        <v>161</v>
      </c>
      <c r="BL65" s="59">
        <f>AVERAGE(BL52:BL59)</f>
        <v>19.794999999999998</v>
      </c>
      <c r="BM65" s="59">
        <f>AVERAGE(BM52:BM59)</f>
        <v>5.2956249999999994</v>
      </c>
      <c r="CA65" s="57"/>
      <c r="CB65" s="58"/>
      <c r="CC65" s="58" t="s">
        <v>162</v>
      </c>
      <c r="CD65" s="59">
        <f>_xlfn.STDEV.S(CD52:CD61)</f>
        <v>1.1858203911216907</v>
      </c>
      <c r="CE65" s="59">
        <f>_xlfn.STDEV.S(CE52:CE61)</f>
        <v>1.8949934036824529</v>
      </c>
    </row>
    <row r="66" spans="1:83" ht="20.100000000000001" customHeight="1">
      <c r="A66" s="22">
        <v>15</v>
      </c>
      <c r="B66" s="14" t="s">
        <v>31</v>
      </c>
      <c r="C66" s="14" t="s">
        <v>35</v>
      </c>
      <c r="D66" s="15" t="s">
        <v>29</v>
      </c>
      <c r="E66" s="16">
        <v>45394</v>
      </c>
      <c r="F66" s="17">
        <v>0.58333333333333337</v>
      </c>
      <c r="G66" s="15" t="s">
        <v>37</v>
      </c>
      <c r="H66" s="23">
        <v>19.2</v>
      </c>
      <c r="I66" s="23">
        <v>8.1999999999999993</v>
      </c>
      <c r="J66" s="23">
        <v>10.36</v>
      </c>
      <c r="K66" s="45">
        <v>265</v>
      </c>
      <c r="L66" s="39">
        <v>2.9990000000000001</v>
      </c>
      <c r="M66" s="39"/>
      <c r="N66" s="39">
        <v>8.3000000000000004E-2</v>
      </c>
      <c r="O66" s="39">
        <v>2.8600034333719488</v>
      </c>
      <c r="P66" s="39">
        <v>1.7071790625036165E-3</v>
      </c>
      <c r="Q66" s="39">
        <v>2.4</v>
      </c>
      <c r="R66" s="39">
        <v>7.3999999999999996E-2</v>
      </c>
      <c r="S66" s="39">
        <v>7.0999999999999994E-2</v>
      </c>
      <c r="T66" s="39">
        <v>20.981463254273066</v>
      </c>
      <c r="U66" s="39">
        <v>10.39</v>
      </c>
      <c r="V66" s="39">
        <v>5.64</v>
      </c>
      <c r="W66" s="39">
        <v>12.4</v>
      </c>
      <c r="X66" s="39">
        <v>16.465379552633163</v>
      </c>
      <c r="Y66" s="18"/>
      <c r="Z66" s="78">
        <v>40.69</v>
      </c>
      <c r="AA66" s="78">
        <v>22.13</v>
      </c>
      <c r="AB66" s="78">
        <v>7.84</v>
      </c>
      <c r="AC66" s="78">
        <v>1.24</v>
      </c>
      <c r="AD66" s="78">
        <v>28.1</v>
      </c>
      <c r="AE66" s="78">
        <f t="shared" si="5"/>
        <v>100</v>
      </c>
      <c r="AF66" s="78"/>
      <c r="AG66" s="80">
        <v>48.4</v>
      </c>
      <c r="AH66" s="80">
        <v>14.799999999999999</v>
      </c>
      <c r="AI66" s="80">
        <v>8.1</v>
      </c>
      <c r="AJ66" s="80">
        <v>1.3</v>
      </c>
      <c r="AK66" s="80">
        <v>27.400000000000002</v>
      </c>
      <c r="AL66" s="78">
        <f t="shared" si="6"/>
        <v>100</v>
      </c>
      <c r="AM66" s="78"/>
      <c r="AN66" s="80">
        <v>41.339999999999996</v>
      </c>
      <c r="AO66" s="80">
        <v>24.93</v>
      </c>
      <c r="AP66" s="80">
        <v>14.510000000000002</v>
      </c>
      <c r="AQ66" s="80">
        <v>3.36</v>
      </c>
      <c r="AR66" s="80">
        <v>15.86</v>
      </c>
      <c r="AS66" s="78">
        <f t="shared" si="7"/>
        <v>100</v>
      </c>
      <c r="AT66" s="78"/>
      <c r="AU66" s="80">
        <v>39.75</v>
      </c>
      <c r="AV66" s="80">
        <v>25.31</v>
      </c>
      <c r="AW66" s="80">
        <v>13.04</v>
      </c>
      <c r="AX66" s="80">
        <v>4.05</v>
      </c>
      <c r="AY66" s="80">
        <v>17.849999999999998</v>
      </c>
      <c r="AZ66" s="78">
        <f t="shared" si="4"/>
        <v>99.999999999999986</v>
      </c>
      <c r="BC66" s="57"/>
      <c r="BD66" s="58"/>
      <c r="BE66" s="58"/>
      <c r="BF66" s="59"/>
      <c r="BG66" s="59"/>
      <c r="BI66" s="57"/>
      <c r="BJ66" s="58"/>
      <c r="BK66" s="58" t="s">
        <v>162</v>
      </c>
      <c r="BL66" s="59">
        <f>_xlfn.STDEV.S(BL52:BL59)</f>
        <v>3.2607766384274761</v>
      </c>
      <c r="BM66" s="59">
        <f>_xlfn.STDEV.S(BM52:BM59)</f>
        <v>4.0307872658009201</v>
      </c>
    </row>
    <row r="67" spans="1:83" ht="20.100000000000001" customHeight="1">
      <c r="A67" s="31">
        <v>16</v>
      </c>
      <c r="B67" s="32" t="s">
        <v>38</v>
      </c>
      <c r="C67" s="32" t="s">
        <v>38</v>
      </c>
      <c r="D67" s="33" t="s">
        <v>39</v>
      </c>
      <c r="E67" s="42">
        <v>45394</v>
      </c>
      <c r="F67" s="34">
        <v>0.60763888888888895</v>
      </c>
      <c r="G67" s="33" t="s">
        <v>37</v>
      </c>
      <c r="H67" s="43">
        <v>16.7</v>
      </c>
      <c r="I67" s="43">
        <v>7.74</v>
      </c>
      <c r="J67" s="43">
        <v>9.69</v>
      </c>
      <c r="K67" s="44">
        <v>280</v>
      </c>
      <c r="L67" s="41">
        <v>4.0350000000000001</v>
      </c>
      <c r="M67" s="41"/>
      <c r="N67" s="41">
        <v>0.11600000000000001</v>
      </c>
      <c r="O67" s="41">
        <v>3.6370006163330189</v>
      </c>
      <c r="P67" s="41">
        <v>7.1019486261476195E-2</v>
      </c>
      <c r="Q67" s="41">
        <v>3.7</v>
      </c>
      <c r="R67" s="41">
        <v>7.6999999999999999E-2</v>
      </c>
      <c r="S67" s="41">
        <v>7.0999999999999994E-2</v>
      </c>
      <c r="T67" s="41">
        <v>20.656813665762371</v>
      </c>
      <c r="U67" s="41">
        <v>7.92</v>
      </c>
      <c r="V67" s="41">
        <v>4.59</v>
      </c>
      <c r="W67" s="41">
        <v>12.1</v>
      </c>
      <c r="X67" s="41">
        <v>13.006279806017819</v>
      </c>
      <c r="Y67" s="36"/>
      <c r="Z67" s="77">
        <v>46.66</v>
      </c>
      <c r="AA67" s="77">
        <v>4.01</v>
      </c>
      <c r="AB67" s="77">
        <v>1.82</v>
      </c>
      <c r="AC67" s="77">
        <v>0.34</v>
      </c>
      <c r="AD67" s="77">
        <v>47.17</v>
      </c>
      <c r="AE67" s="77">
        <f t="shared" si="5"/>
        <v>100</v>
      </c>
      <c r="AF67" s="79"/>
      <c r="AG67" s="77">
        <v>39.700000000000003</v>
      </c>
      <c r="AH67" s="77">
        <v>11.2</v>
      </c>
      <c r="AI67" s="77">
        <v>9.9</v>
      </c>
      <c r="AJ67" s="77">
        <v>1.3</v>
      </c>
      <c r="AK67" s="77">
        <v>37.9</v>
      </c>
      <c r="AL67" s="77">
        <f t="shared" si="6"/>
        <v>100</v>
      </c>
      <c r="AM67" s="79"/>
      <c r="AN67" s="77">
        <v>30.5</v>
      </c>
      <c r="AO67" s="77">
        <v>21.9</v>
      </c>
      <c r="AP67" s="77">
        <v>23.35</v>
      </c>
      <c r="AQ67" s="77">
        <v>2.8400000000000003</v>
      </c>
      <c r="AR67" s="77">
        <v>21.41</v>
      </c>
      <c r="AS67" s="77">
        <f t="shared" si="7"/>
        <v>100</v>
      </c>
      <c r="AT67" s="79"/>
      <c r="AU67" s="77">
        <v>37.64</v>
      </c>
      <c r="AV67" s="77">
        <v>15.22</v>
      </c>
      <c r="AW67" s="77">
        <v>16.760000000000002</v>
      </c>
      <c r="AX67" s="77">
        <v>2.65</v>
      </c>
      <c r="AY67" s="77">
        <v>27.73</v>
      </c>
      <c r="AZ67" s="77">
        <f t="shared" si="4"/>
        <v>100.00000000000001</v>
      </c>
      <c r="BC67" s="57"/>
      <c r="BD67" s="58"/>
      <c r="BE67" s="58" t="s">
        <v>161</v>
      </c>
      <c r="BF67" s="59">
        <f>AVERAGE(BF52:BF63)</f>
        <v>13.3575</v>
      </c>
      <c r="BG67" s="59">
        <f>AVERAGE(BG52:BG63)</f>
        <v>1.9608333333333334</v>
      </c>
    </row>
    <row r="68" spans="1:83" ht="20.100000000000001" customHeight="1">
      <c r="A68" s="31">
        <v>17</v>
      </c>
      <c r="B68" s="32" t="s">
        <v>38</v>
      </c>
      <c r="C68" s="32" t="s">
        <v>38</v>
      </c>
      <c r="D68" s="33" t="s">
        <v>41</v>
      </c>
      <c r="E68" s="42">
        <v>45393</v>
      </c>
      <c r="F68" s="34">
        <v>0.5625</v>
      </c>
      <c r="G68" s="33" t="s">
        <v>37</v>
      </c>
      <c r="H68" s="43">
        <v>20</v>
      </c>
      <c r="I68" s="43">
        <v>7.57</v>
      </c>
      <c r="J68" s="43">
        <v>9.91</v>
      </c>
      <c r="K68" s="44">
        <v>372</v>
      </c>
      <c r="L68" s="41">
        <v>4.7130000000000001</v>
      </c>
      <c r="M68" s="41"/>
      <c r="N68" s="41">
        <v>0.129</v>
      </c>
      <c r="O68" s="41">
        <v>4.3850525263799121</v>
      </c>
      <c r="P68" s="41">
        <v>6.3094173518871088E-2</v>
      </c>
      <c r="Q68" s="41">
        <v>3.7</v>
      </c>
      <c r="R68" s="41">
        <v>8.3000000000000004E-2</v>
      </c>
      <c r="S68" s="41">
        <v>7.5999999999999998E-2</v>
      </c>
      <c r="T68" s="41">
        <v>42.086888752878899</v>
      </c>
      <c r="U68" s="41">
        <v>11.24</v>
      </c>
      <c r="V68" s="41">
        <v>5.97</v>
      </c>
      <c r="W68" s="41">
        <v>17.3</v>
      </c>
      <c r="X68" s="41">
        <v>11.329123160711552</v>
      </c>
      <c r="Y68" s="36"/>
      <c r="Z68" s="77">
        <v>36.130000000000003</v>
      </c>
      <c r="AA68" s="77">
        <v>29.4</v>
      </c>
      <c r="AB68" s="77">
        <v>8.6</v>
      </c>
      <c r="AC68" s="77">
        <v>1.6</v>
      </c>
      <c r="AD68" s="77">
        <v>24.27</v>
      </c>
      <c r="AE68" s="77">
        <f t="shared" si="5"/>
        <v>99.999999999999986</v>
      </c>
      <c r="AF68" s="78"/>
      <c r="AG68" s="77">
        <v>49.6</v>
      </c>
      <c r="AH68" s="77">
        <v>16.7</v>
      </c>
      <c r="AI68" s="77">
        <v>7.6</v>
      </c>
      <c r="AJ68" s="77">
        <v>1.4000000000000001</v>
      </c>
      <c r="AK68" s="77">
        <v>24.7</v>
      </c>
      <c r="AL68" s="77">
        <f t="shared" si="6"/>
        <v>100</v>
      </c>
      <c r="AM68" s="78"/>
      <c r="AN68" s="77">
        <v>37.51</v>
      </c>
      <c r="AO68" s="77">
        <v>33.25</v>
      </c>
      <c r="AP68" s="77">
        <v>9.68</v>
      </c>
      <c r="AQ68" s="77">
        <v>4.34</v>
      </c>
      <c r="AR68" s="77">
        <v>15.22</v>
      </c>
      <c r="AS68" s="77">
        <f t="shared" si="7"/>
        <v>100</v>
      </c>
      <c r="AT68" s="78"/>
      <c r="AU68" s="77">
        <v>39.39</v>
      </c>
      <c r="AV68" s="77">
        <v>28.92</v>
      </c>
      <c r="AW68" s="77">
        <v>12.1</v>
      </c>
      <c r="AX68" s="77">
        <v>4.5</v>
      </c>
      <c r="AY68" s="77">
        <v>15.09</v>
      </c>
      <c r="AZ68" s="77">
        <f t="shared" si="4"/>
        <v>100</v>
      </c>
      <c r="BC68" s="57"/>
      <c r="BD68" s="58"/>
      <c r="BE68" s="58" t="s">
        <v>162</v>
      </c>
      <c r="BF68" s="59">
        <f>_xlfn.STDEV.S(BF52:BF63)</f>
        <v>1.9060865429174276</v>
      </c>
      <c r="BG68" s="59">
        <f>_xlfn.STDEV.S(BG52:BG63)</f>
        <v>2.6869836360882551</v>
      </c>
    </row>
    <row r="69" spans="1:83" ht="20.100000000000001" customHeight="1">
      <c r="A69" s="31">
        <v>18</v>
      </c>
      <c r="B69" s="32" t="s">
        <v>38</v>
      </c>
      <c r="C69" s="32" t="s">
        <v>38</v>
      </c>
      <c r="D69" s="33" t="s">
        <v>42</v>
      </c>
      <c r="E69" s="42">
        <v>45393</v>
      </c>
      <c r="F69" s="34">
        <v>0.62847222222222221</v>
      </c>
      <c r="G69" s="33" t="s">
        <v>37</v>
      </c>
      <c r="H69" s="43">
        <v>18.399999999999999</v>
      </c>
      <c r="I69" s="43">
        <v>7.16</v>
      </c>
      <c r="J69" s="43">
        <v>8.81</v>
      </c>
      <c r="K69" s="44">
        <v>393</v>
      </c>
      <c r="L69" s="41">
        <v>5.0999999999999996</v>
      </c>
      <c r="M69" s="41"/>
      <c r="N69" s="41">
        <v>0.374</v>
      </c>
      <c r="O69" s="41">
        <v>4.4413298229600713</v>
      </c>
      <c r="P69" s="41">
        <v>0.15166091643205315</v>
      </c>
      <c r="Q69" s="41">
        <v>4</v>
      </c>
      <c r="R69" s="41">
        <v>6.2E-2</v>
      </c>
      <c r="S69" s="41">
        <v>5.3999999999999999E-2</v>
      </c>
      <c r="T69" s="41">
        <v>46.199351722238532</v>
      </c>
      <c r="U69" s="41">
        <v>11.5</v>
      </c>
      <c r="V69" s="41">
        <v>5.45</v>
      </c>
      <c r="W69" s="41">
        <v>19.100000000000001</v>
      </c>
      <c r="X69" s="41">
        <v>11.436419136503728</v>
      </c>
      <c r="Y69" s="36"/>
      <c r="Z69" s="77">
        <v>40.270000000000003</v>
      </c>
      <c r="AA69" s="77">
        <v>28.41</v>
      </c>
      <c r="AB69" s="77">
        <v>5.42</v>
      </c>
      <c r="AC69" s="77">
        <v>1.39</v>
      </c>
      <c r="AD69" s="77">
        <v>24.51</v>
      </c>
      <c r="AE69" s="77">
        <f t="shared" si="5"/>
        <v>100.00000000000001</v>
      </c>
      <c r="AF69" s="78"/>
      <c r="AG69" s="77">
        <v>51.1</v>
      </c>
      <c r="AH69" s="77">
        <v>16.900000000000002</v>
      </c>
      <c r="AI69" s="77">
        <v>7.1999999999999993</v>
      </c>
      <c r="AJ69" s="77">
        <v>1.3</v>
      </c>
      <c r="AK69" s="77">
        <v>23.5</v>
      </c>
      <c r="AL69" s="77">
        <f t="shared" si="6"/>
        <v>100</v>
      </c>
      <c r="AM69" s="78"/>
      <c r="AN69" s="77">
        <v>45.4</v>
      </c>
      <c r="AO69" s="77">
        <v>28.199999999999996</v>
      </c>
      <c r="AP69" s="77">
        <v>9.75</v>
      </c>
      <c r="AQ69" s="77">
        <v>3.94</v>
      </c>
      <c r="AR69" s="77">
        <v>12.709999999999999</v>
      </c>
      <c r="AS69" s="77">
        <f t="shared" si="7"/>
        <v>99.999999999999986</v>
      </c>
      <c r="AT69" s="78"/>
      <c r="AU69" s="77">
        <v>40.92</v>
      </c>
      <c r="AV69" s="77">
        <v>29.15</v>
      </c>
      <c r="AW69" s="77">
        <v>11.459999999999999</v>
      </c>
      <c r="AX69" s="77">
        <v>4.1000000000000005</v>
      </c>
      <c r="AY69" s="77">
        <v>14.37</v>
      </c>
      <c r="AZ69" s="77">
        <f t="shared" si="4"/>
        <v>99.999999999999986</v>
      </c>
    </row>
    <row r="70" spans="1:83" ht="20.100000000000001" customHeight="1">
      <c r="A70" s="31">
        <v>19</v>
      </c>
      <c r="B70" s="32" t="s">
        <v>38</v>
      </c>
      <c r="C70" s="32" t="s">
        <v>43</v>
      </c>
      <c r="D70" s="33" t="s">
        <v>40</v>
      </c>
      <c r="E70" s="42">
        <v>45393</v>
      </c>
      <c r="F70" s="34">
        <v>0.56597222222222221</v>
      </c>
      <c r="G70" s="33" t="s">
        <v>37</v>
      </c>
      <c r="H70" s="43">
        <v>20.399999999999999</v>
      </c>
      <c r="I70" s="43">
        <v>7.15</v>
      </c>
      <c r="J70" s="43">
        <v>9.94</v>
      </c>
      <c r="K70" s="44">
        <v>427</v>
      </c>
      <c r="L70" s="41">
        <v>4.4729999999999999</v>
      </c>
      <c r="M70" s="41"/>
      <c r="N70" s="41">
        <v>0.26700000000000002</v>
      </c>
      <c r="O70" s="41">
        <v>3.9058742648607598</v>
      </c>
      <c r="P70" s="41">
        <v>7.8217782921411683E-2</v>
      </c>
      <c r="Q70" s="41">
        <v>3.9</v>
      </c>
      <c r="R70" s="41">
        <v>0.02</v>
      </c>
      <c r="S70" s="41">
        <v>7.0000000000000001E-3</v>
      </c>
      <c r="T70" s="41">
        <v>64.491191417810811</v>
      </c>
      <c r="U70" s="41">
        <v>12.27</v>
      </c>
      <c r="V70" s="41">
        <v>6.11</v>
      </c>
      <c r="W70" s="41">
        <v>20.2</v>
      </c>
      <c r="X70" s="41">
        <v>10.396885695613589</v>
      </c>
      <c r="Y70" s="36"/>
      <c r="Z70" s="77">
        <v>35.44</v>
      </c>
      <c r="AA70" s="77">
        <v>35.590000000000003</v>
      </c>
      <c r="AB70" s="77">
        <v>9.25</v>
      </c>
      <c r="AC70" s="77">
        <v>2.04</v>
      </c>
      <c r="AD70" s="77">
        <v>17.68</v>
      </c>
      <c r="AE70" s="77">
        <f t="shared" si="5"/>
        <v>100</v>
      </c>
      <c r="AF70" s="78"/>
      <c r="AG70" s="77">
        <v>52</v>
      </c>
      <c r="AH70" s="77">
        <v>18.3</v>
      </c>
      <c r="AI70" s="77">
        <v>7.0000000000000009</v>
      </c>
      <c r="AJ70" s="77">
        <v>1.3</v>
      </c>
      <c r="AK70" s="77">
        <v>21.4</v>
      </c>
      <c r="AL70" s="77">
        <f t="shared" si="6"/>
        <v>100</v>
      </c>
      <c r="AM70" s="78"/>
      <c r="AN70" s="77">
        <v>29.630000000000003</v>
      </c>
      <c r="AO70" s="77">
        <v>44.11</v>
      </c>
      <c r="AP70" s="77">
        <v>11.31</v>
      </c>
      <c r="AQ70" s="77">
        <v>3.44</v>
      </c>
      <c r="AR70" s="77">
        <v>11.51</v>
      </c>
      <c r="AS70" s="77">
        <f t="shared" si="7"/>
        <v>100.00000000000001</v>
      </c>
      <c r="AT70" s="78"/>
      <c r="AU70" s="77">
        <v>38.32</v>
      </c>
      <c r="AV70" s="77">
        <v>32.910000000000004</v>
      </c>
      <c r="AW70" s="77">
        <v>11.15</v>
      </c>
      <c r="AX70" s="77">
        <v>4.78</v>
      </c>
      <c r="AY70" s="77">
        <v>12.839999999999998</v>
      </c>
      <c r="AZ70" s="77">
        <f t="shared" si="4"/>
        <v>100.00000000000001</v>
      </c>
    </row>
    <row r="71" spans="1:83" ht="20.100000000000001" customHeight="1">
      <c r="A71" s="31">
        <v>20</v>
      </c>
      <c r="B71" s="32" t="s">
        <v>38</v>
      </c>
      <c r="C71" s="32" t="s">
        <v>43</v>
      </c>
      <c r="D71" s="33" t="s">
        <v>44</v>
      </c>
      <c r="E71" s="42">
        <v>45393</v>
      </c>
      <c r="F71" s="34">
        <v>0.57291666666666663</v>
      </c>
      <c r="G71" s="33" t="s">
        <v>37</v>
      </c>
      <c r="H71" s="43">
        <v>17.7</v>
      </c>
      <c r="I71" s="43">
        <v>8.4600000000000009</v>
      </c>
      <c r="J71" s="43">
        <v>13.23</v>
      </c>
      <c r="K71" s="44">
        <v>488</v>
      </c>
      <c r="L71" s="41">
        <v>5.1660000000000004</v>
      </c>
      <c r="M71" s="41"/>
      <c r="N71" s="41">
        <v>6.3E-2</v>
      </c>
      <c r="O71" s="41">
        <v>4.9679283032825374</v>
      </c>
      <c r="P71" s="41">
        <v>0.12958430283036404</v>
      </c>
      <c r="Q71" s="41">
        <v>2.9</v>
      </c>
      <c r="R71" s="41">
        <v>4.8000000000000001E-2</v>
      </c>
      <c r="S71" s="41">
        <v>2.3E-2</v>
      </c>
      <c r="T71" s="41">
        <v>53.23904304944535</v>
      </c>
      <c r="U71" s="41">
        <v>10.25</v>
      </c>
      <c r="V71" s="41">
        <v>7.37</v>
      </c>
      <c r="W71" s="41">
        <v>23.4</v>
      </c>
      <c r="X71" s="41">
        <v>10.85344472189681</v>
      </c>
      <c r="Y71" s="36"/>
      <c r="Z71" s="77">
        <v>29.32</v>
      </c>
      <c r="AA71" s="77">
        <v>28.85</v>
      </c>
      <c r="AB71" s="77">
        <v>15.35</v>
      </c>
      <c r="AC71" s="77">
        <v>2.99</v>
      </c>
      <c r="AD71" s="77">
        <v>23.49</v>
      </c>
      <c r="AE71" s="77">
        <f t="shared" si="5"/>
        <v>99.999999999999986</v>
      </c>
      <c r="AF71" s="78"/>
      <c r="AG71" s="77">
        <v>45.5</v>
      </c>
      <c r="AH71" s="77">
        <v>15.299999999999999</v>
      </c>
      <c r="AI71" s="77">
        <v>8.6</v>
      </c>
      <c r="AJ71" s="77">
        <v>1.5</v>
      </c>
      <c r="AK71" s="77">
        <v>29.099999999999998</v>
      </c>
      <c r="AL71" s="77">
        <f t="shared" si="6"/>
        <v>99.999999999999986</v>
      </c>
      <c r="AM71" s="78"/>
      <c r="AN71" s="77">
        <v>32.96</v>
      </c>
      <c r="AO71" s="77">
        <v>29.69</v>
      </c>
      <c r="AP71" s="77">
        <v>13.459999999999999</v>
      </c>
      <c r="AQ71" s="77">
        <v>4.1000000000000005</v>
      </c>
      <c r="AR71" s="77">
        <v>19.79</v>
      </c>
      <c r="AS71" s="77">
        <f t="shared" si="7"/>
        <v>100</v>
      </c>
      <c r="AT71" s="78"/>
      <c r="AU71" s="77">
        <v>34.75</v>
      </c>
      <c r="AV71" s="77">
        <v>27</v>
      </c>
      <c r="AW71" s="77">
        <v>14.399999999999999</v>
      </c>
      <c r="AX71" s="77">
        <v>5.76</v>
      </c>
      <c r="AY71" s="77">
        <v>18.09</v>
      </c>
      <c r="AZ71" s="77">
        <f t="shared" si="4"/>
        <v>100.00000000000001</v>
      </c>
    </row>
    <row r="72" spans="1:83" ht="20.100000000000001" customHeight="1">
      <c r="A72" s="22">
        <v>21</v>
      </c>
      <c r="B72" s="14" t="s">
        <v>45</v>
      </c>
      <c r="C72" s="14" t="s">
        <v>45</v>
      </c>
      <c r="D72" s="15" t="s">
        <v>46</v>
      </c>
      <c r="E72" s="16">
        <v>45393</v>
      </c>
      <c r="F72" s="17">
        <v>0.44097222222222227</v>
      </c>
      <c r="G72" s="15" t="s">
        <v>37</v>
      </c>
      <c r="H72" s="23">
        <v>14.7</v>
      </c>
      <c r="I72" s="23">
        <v>7.64</v>
      </c>
      <c r="J72" s="23">
        <v>10.1</v>
      </c>
      <c r="K72" s="45">
        <v>195</v>
      </c>
      <c r="L72" s="39">
        <v>1.575</v>
      </c>
      <c r="M72" s="39"/>
      <c r="N72" s="39">
        <v>3.9E-2</v>
      </c>
      <c r="O72" s="39">
        <v>1.4978781437023474</v>
      </c>
      <c r="P72" s="39" t="s">
        <v>112</v>
      </c>
      <c r="Q72" s="39">
        <v>1.7</v>
      </c>
      <c r="R72" s="39">
        <v>6.0000000000000001E-3</v>
      </c>
      <c r="S72" s="39">
        <v>2E-3</v>
      </c>
      <c r="T72" s="39">
        <v>11.157679937554409</v>
      </c>
      <c r="U72" s="39">
        <v>4.84</v>
      </c>
      <c r="V72" s="39">
        <v>5.72</v>
      </c>
      <c r="W72" s="39">
        <v>8.6999999999999993</v>
      </c>
      <c r="X72" s="39">
        <v>14.992753436048833</v>
      </c>
      <c r="Y72" s="18"/>
      <c r="Z72" s="77">
        <v>22.81</v>
      </c>
      <c r="AA72" s="77">
        <v>5.18</v>
      </c>
      <c r="AB72" s="77">
        <v>4.38</v>
      </c>
      <c r="AC72" s="77">
        <v>0.36</v>
      </c>
      <c r="AD72" s="77">
        <v>67.27</v>
      </c>
      <c r="AE72" s="77">
        <f t="shared" si="5"/>
        <v>100</v>
      </c>
      <c r="AF72" s="78"/>
      <c r="AG72" s="77">
        <v>25.8</v>
      </c>
      <c r="AH72" s="77">
        <v>7.6</v>
      </c>
      <c r="AI72" s="77">
        <v>12.4</v>
      </c>
      <c r="AJ72" s="77">
        <v>1.2</v>
      </c>
      <c r="AK72" s="77">
        <v>53</v>
      </c>
      <c r="AL72" s="77">
        <f t="shared" si="6"/>
        <v>100</v>
      </c>
      <c r="AM72" s="78"/>
      <c r="AN72" s="77">
        <v>17.89</v>
      </c>
      <c r="AO72" s="77">
        <v>15.61</v>
      </c>
      <c r="AP72" s="77">
        <v>28.050000000000004</v>
      </c>
      <c r="AQ72" s="77">
        <v>3.1</v>
      </c>
      <c r="AR72" s="77">
        <v>35.35</v>
      </c>
      <c r="AS72" s="77">
        <f t="shared" si="7"/>
        <v>100</v>
      </c>
      <c r="AT72" s="78"/>
      <c r="AU72" s="77">
        <v>18.850000000000001</v>
      </c>
      <c r="AV72" s="77">
        <v>8.02</v>
      </c>
      <c r="AW72" s="77">
        <v>25.39</v>
      </c>
      <c r="AX72" s="77">
        <v>2.82</v>
      </c>
      <c r="AY72" s="77">
        <v>44.92</v>
      </c>
      <c r="AZ72" s="77">
        <f t="shared" si="4"/>
        <v>100</v>
      </c>
    </row>
    <row r="73" spans="1:83" ht="20.100000000000001" customHeight="1">
      <c r="A73" s="22">
        <v>22</v>
      </c>
      <c r="B73" s="14" t="s">
        <v>45</v>
      </c>
      <c r="C73" s="14" t="s">
        <v>45</v>
      </c>
      <c r="D73" s="19" t="s">
        <v>47</v>
      </c>
      <c r="E73" s="16">
        <v>45393</v>
      </c>
      <c r="F73" s="20">
        <v>0.46180555555555558</v>
      </c>
      <c r="G73" s="15" t="s">
        <v>37</v>
      </c>
      <c r="H73" s="23">
        <v>17.3</v>
      </c>
      <c r="I73" s="23">
        <v>7.3</v>
      </c>
      <c r="J73" s="23">
        <v>9.5</v>
      </c>
      <c r="K73" s="45">
        <v>232</v>
      </c>
      <c r="L73" s="40">
        <v>1.9910000000000001</v>
      </c>
      <c r="M73" s="40"/>
      <c r="N73" s="40">
        <v>4.2000000000000003E-2</v>
      </c>
      <c r="O73" s="40">
        <v>1.8417102276897697</v>
      </c>
      <c r="P73" s="39" t="s">
        <v>112</v>
      </c>
      <c r="Q73" s="40">
        <v>2.7</v>
      </c>
      <c r="R73" s="40">
        <v>5.3999999999999999E-2</v>
      </c>
      <c r="S73" s="40">
        <v>5.0999999999999997E-2</v>
      </c>
      <c r="T73" s="40">
        <v>17.228406114095094</v>
      </c>
      <c r="U73" s="40">
        <v>7.46</v>
      </c>
      <c r="V73" s="40">
        <v>3.75</v>
      </c>
      <c r="W73" s="40">
        <v>11.3</v>
      </c>
      <c r="X73" s="40">
        <v>13.044520469711662</v>
      </c>
      <c r="Y73" s="21"/>
      <c r="Z73" s="78">
        <v>58.81</v>
      </c>
      <c r="AA73" s="78">
        <v>2.57</v>
      </c>
      <c r="AB73" s="78">
        <v>2.2999999999999998</v>
      </c>
      <c r="AC73" s="78">
        <v>0.57999999999999996</v>
      </c>
      <c r="AD73" s="78">
        <v>35.74</v>
      </c>
      <c r="AE73" s="78">
        <f t="shared" si="5"/>
        <v>100</v>
      </c>
      <c r="AF73" s="78"/>
      <c r="AG73" s="80">
        <v>39.5</v>
      </c>
      <c r="AH73" s="80">
        <v>10.299999999999999</v>
      </c>
      <c r="AI73" s="80">
        <v>10</v>
      </c>
      <c r="AJ73" s="80">
        <v>1.1000000000000001</v>
      </c>
      <c r="AK73" s="80">
        <v>39.1</v>
      </c>
      <c r="AL73" s="78">
        <f t="shared" si="6"/>
        <v>100</v>
      </c>
      <c r="AM73" s="78"/>
      <c r="AN73" s="80">
        <v>32.71</v>
      </c>
      <c r="AO73" s="80">
        <v>20.75</v>
      </c>
      <c r="AP73" s="80">
        <v>12.73</v>
      </c>
      <c r="AQ73" s="80">
        <v>2.92</v>
      </c>
      <c r="AR73" s="80">
        <v>30.89</v>
      </c>
      <c r="AS73" s="78">
        <f t="shared" si="7"/>
        <v>100</v>
      </c>
      <c r="AT73" s="78"/>
      <c r="AU73" s="80">
        <v>37.92</v>
      </c>
      <c r="AV73" s="80">
        <v>13.309999999999999</v>
      </c>
      <c r="AW73" s="80">
        <v>17.11</v>
      </c>
      <c r="AX73" s="80">
        <v>2.1800000000000002</v>
      </c>
      <c r="AY73" s="80">
        <v>29.48</v>
      </c>
      <c r="AZ73" s="78">
        <f t="shared" si="4"/>
        <v>100.00000000000001</v>
      </c>
    </row>
    <row r="74" spans="1:83" ht="20.100000000000001" customHeight="1">
      <c r="A74" s="22">
        <v>23</v>
      </c>
      <c r="B74" s="14" t="s">
        <v>45</v>
      </c>
      <c r="C74" s="14" t="s">
        <v>45</v>
      </c>
      <c r="D74" s="19" t="s">
        <v>29</v>
      </c>
      <c r="E74" s="16">
        <v>45393</v>
      </c>
      <c r="F74" s="20">
        <v>0.47569444444444442</v>
      </c>
      <c r="G74" s="15" t="s">
        <v>37</v>
      </c>
      <c r="H74" s="23">
        <v>17.8</v>
      </c>
      <c r="I74" s="23">
        <v>7.54</v>
      </c>
      <c r="J74" s="23">
        <v>10.7</v>
      </c>
      <c r="K74" s="45">
        <v>237</v>
      </c>
      <c r="L74" s="40">
        <v>2.1120000000000001</v>
      </c>
      <c r="M74" s="40"/>
      <c r="N74" s="40">
        <v>5.7000000000000002E-2</v>
      </c>
      <c r="O74" s="40">
        <v>1.9377533187741629</v>
      </c>
      <c r="P74" s="39" t="s">
        <v>112</v>
      </c>
      <c r="Q74" s="40">
        <v>2.8</v>
      </c>
      <c r="R74" s="40">
        <v>4.8000000000000001E-2</v>
      </c>
      <c r="S74" s="40">
        <v>4.2999999999999997E-2</v>
      </c>
      <c r="T74" s="40">
        <v>18.676808109788333</v>
      </c>
      <c r="U74" s="40">
        <v>7.95</v>
      </c>
      <c r="V74" s="40">
        <v>4.3499999999999996</v>
      </c>
      <c r="W74" s="40">
        <v>12.1</v>
      </c>
      <c r="X74" s="40">
        <v>13.065326733831593</v>
      </c>
      <c r="Y74" s="21"/>
      <c r="Z74" s="78">
        <v>52.21</v>
      </c>
      <c r="AA74" s="78">
        <v>1.3</v>
      </c>
      <c r="AB74" s="78">
        <v>3.64</v>
      </c>
      <c r="AC74" s="78">
        <v>0.05</v>
      </c>
      <c r="AD74" s="78">
        <v>42.8</v>
      </c>
      <c r="AE74" s="78">
        <f t="shared" si="5"/>
        <v>100</v>
      </c>
      <c r="AF74" s="78"/>
      <c r="AG74" s="80">
        <v>40</v>
      </c>
      <c r="AH74" s="80">
        <v>11.3</v>
      </c>
      <c r="AI74" s="80">
        <v>9.9</v>
      </c>
      <c r="AJ74" s="80">
        <v>1.2</v>
      </c>
      <c r="AK74" s="80">
        <v>37.6</v>
      </c>
      <c r="AL74" s="78">
        <f t="shared" si="6"/>
        <v>100</v>
      </c>
      <c r="AM74" s="78"/>
      <c r="AN74" s="80">
        <v>33.56</v>
      </c>
      <c r="AO74" s="80">
        <v>21.44</v>
      </c>
      <c r="AP74" s="80">
        <v>20.399999999999999</v>
      </c>
      <c r="AQ74" s="80">
        <v>2.8899999999999997</v>
      </c>
      <c r="AR74" s="80">
        <v>21.709999999999997</v>
      </c>
      <c r="AS74" s="78">
        <f t="shared" si="7"/>
        <v>100</v>
      </c>
      <c r="AT74" s="78"/>
      <c r="AU74" s="80">
        <v>38.42</v>
      </c>
      <c r="AV74" s="80">
        <v>15.079999999999998</v>
      </c>
      <c r="AW74" s="80">
        <v>16.48</v>
      </c>
      <c r="AX74" s="80">
        <v>2.52</v>
      </c>
      <c r="AY74" s="80">
        <v>27.500000000000004</v>
      </c>
      <c r="AZ74" s="78">
        <f t="shared" si="4"/>
        <v>100</v>
      </c>
    </row>
    <row r="75" spans="1:83" ht="20.100000000000001" customHeight="1" thickBot="1">
      <c r="A75" s="46">
        <v>24</v>
      </c>
      <c r="B75" s="47" t="s">
        <v>45</v>
      </c>
      <c r="C75" s="47" t="s">
        <v>45</v>
      </c>
      <c r="D75" s="48" t="s">
        <v>48</v>
      </c>
      <c r="E75" s="49">
        <v>45393</v>
      </c>
      <c r="F75" s="50">
        <v>0.48958333333333331</v>
      </c>
      <c r="G75" s="48" t="s">
        <v>37</v>
      </c>
      <c r="H75" s="51">
        <v>16.899999999999999</v>
      </c>
      <c r="I75" s="51">
        <v>7.29</v>
      </c>
      <c r="J75" s="51">
        <v>8.75</v>
      </c>
      <c r="K75" s="52">
        <v>248</v>
      </c>
      <c r="L75" s="53">
        <v>2.1680000000000001</v>
      </c>
      <c r="M75" s="53"/>
      <c r="N75" s="53">
        <v>6.5000000000000002E-2</v>
      </c>
      <c r="O75" s="53">
        <v>1.9645769962820305</v>
      </c>
      <c r="P75" s="53" t="s">
        <v>112</v>
      </c>
      <c r="Q75" s="53">
        <v>2.7</v>
      </c>
      <c r="R75" s="53">
        <v>3.7999999999999999E-2</v>
      </c>
      <c r="S75" s="53">
        <v>3.3000000000000002E-2</v>
      </c>
      <c r="T75" s="53">
        <v>18.945319130868253</v>
      </c>
      <c r="U75" s="53">
        <v>8.2100000000000009</v>
      </c>
      <c r="V75" s="53">
        <v>4.57</v>
      </c>
      <c r="W75" s="53">
        <v>13.4</v>
      </c>
      <c r="X75" s="53">
        <v>12.926440961420095</v>
      </c>
      <c r="Y75" s="54"/>
      <c r="Z75" s="78">
        <v>52.19</v>
      </c>
      <c r="AA75" s="78">
        <v>2.98</v>
      </c>
      <c r="AB75" s="78">
        <v>0.94</v>
      </c>
      <c r="AC75" s="78">
        <v>0.51</v>
      </c>
      <c r="AD75" s="78">
        <v>43.38</v>
      </c>
      <c r="AE75" s="78">
        <f t="shared" si="5"/>
        <v>100</v>
      </c>
      <c r="AF75" s="78"/>
      <c r="AG75" s="80">
        <v>41.4</v>
      </c>
      <c r="AH75" s="80">
        <v>11.600000000000001</v>
      </c>
      <c r="AI75" s="80">
        <v>9.6</v>
      </c>
      <c r="AJ75" s="80">
        <v>1.2</v>
      </c>
      <c r="AK75" s="80">
        <v>36.199999999999996</v>
      </c>
      <c r="AL75" s="78">
        <f t="shared" si="6"/>
        <v>100</v>
      </c>
      <c r="AM75" s="78"/>
      <c r="AN75" s="80">
        <v>34.35</v>
      </c>
      <c r="AO75" s="80">
        <v>22.28</v>
      </c>
      <c r="AP75" s="80">
        <v>20.93</v>
      </c>
      <c r="AQ75" s="80">
        <v>2.7199999999999998</v>
      </c>
      <c r="AR75" s="80">
        <v>19.72</v>
      </c>
      <c r="AS75" s="78">
        <f t="shared" si="7"/>
        <v>100</v>
      </c>
      <c r="AT75" s="78"/>
      <c r="AU75" s="80">
        <v>38.700000000000003</v>
      </c>
      <c r="AV75" s="80">
        <v>15.939999999999998</v>
      </c>
      <c r="AW75" s="80">
        <v>16.13</v>
      </c>
      <c r="AX75" s="80">
        <v>2.67</v>
      </c>
      <c r="AY75" s="80">
        <v>26.56</v>
      </c>
      <c r="AZ75" s="78">
        <f t="shared" si="4"/>
        <v>100</v>
      </c>
    </row>
    <row r="76" spans="1:83" ht="20.100000000000001" customHeight="1"/>
    <row r="77" spans="1:83" ht="20.100000000000001" customHeight="1"/>
    <row r="78" spans="1:83" ht="20.100000000000001" customHeight="1"/>
    <row r="79" spans="1:83" ht="20.100000000000001" customHeight="1">
      <c r="Z79" s="65" t="s">
        <v>153</v>
      </c>
      <c r="AA79" s="66" t="s">
        <v>111</v>
      </c>
      <c r="AB79" s="67" t="s">
        <v>67</v>
      </c>
      <c r="AC79" s="62"/>
      <c r="AD79" s="65" t="s">
        <v>154</v>
      </c>
      <c r="AE79" s="66" t="s">
        <v>111</v>
      </c>
      <c r="AF79" s="67" t="s">
        <v>67</v>
      </c>
      <c r="AG79" s="62"/>
      <c r="AH79" s="65" t="s">
        <v>155</v>
      </c>
      <c r="AI79" s="66" t="s">
        <v>111</v>
      </c>
      <c r="AJ79" s="67" t="s">
        <v>67</v>
      </c>
      <c r="AK79" s="62"/>
      <c r="AL79" s="65" t="s">
        <v>156</v>
      </c>
      <c r="AM79" s="66" t="s">
        <v>111</v>
      </c>
      <c r="AN79" s="67" t="s">
        <v>67</v>
      </c>
      <c r="AO79" s="62"/>
      <c r="AP79" s="65" t="s">
        <v>157</v>
      </c>
      <c r="AQ79" s="66" t="s">
        <v>111</v>
      </c>
      <c r="AR79" s="67" t="s">
        <v>67</v>
      </c>
    </row>
    <row r="80" spans="1:83" ht="20.100000000000001" customHeight="1">
      <c r="Z80" s="65" t="s">
        <v>161</v>
      </c>
      <c r="AA80" s="65">
        <v>13.3575</v>
      </c>
      <c r="AB80" s="65">
        <v>1.9608333333333334</v>
      </c>
      <c r="AC80" s="62"/>
      <c r="AD80" s="65" t="s">
        <v>161</v>
      </c>
      <c r="AE80" s="65">
        <v>19.794999999999998</v>
      </c>
      <c r="AF80" s="65">
        <v>5.2956249999999994</v>
      </c>
      <c r="AG80" s="62"/>
      <c r="AH80" s="65" t="s">
        <v>161</v>
      </c>
      <c r="AI80" s="65">
        <v>0.86499999999999999</v>
      </c>
      <c r="AJ80" s="65">
        <v>14.385000000000002</v>
      </c>
      <c r="AK80" s="62"/>
      <c r="AL80" s="65" t="s">
        <v>161</v>
      </c>
      <c r="AM80" s="65">
        <v>1.71</v>
      </c>
      <c r="AN80" s="65">
        <v>45.81</v>
      </c>
      <c r="AO80" s="62"/>
      <c r="AP80" s="65" t="s">
        <v>161</v>
      </c>
      <c r="AQ80" s="68">
        <v>2.492</v>
      </c>
      <c r="AR80" s="68">
        <v>-0.24799999999999994</v>
      </c>
    </row>
    <row r="81" spans="1:83" ht="20.100000000000001" customHeight="1">
      <c r="Z81" s="65" t="s">
        <v>162</v>
      </c>
      <c r="AA81" s="65">
        <v>1.9060865429174276</v>
      </c>
      <c r="AB81" s="65">
        <v>2.6869836360882551</v>
      </c>
      <c r="AC81" s="62"/>
      <c r="AD81" s="65" t="s">
        <v>162</v>
      </c>
      <c r="AE81" s="65">
        <v>3.2607766384274761</v>
      </c>
      <c r="AF81" s="65">
        <v>4.0307872658009201</v>
      </c>
      <c r="AG81" s="62"/>
      <c r="AH81" s="65" t="s">
        <v>162</v>
      </c>
      <c r="AI81" s="65">
        <v>0.3323401871576776</v>
      </c>
      <c r="AJ81" s="65">
        <v>5.1830927060973853</v>
      </c>
      <c r="AK81" s="62"/>
      <c r="AL81" s="65" t="s">
        <v>162</v>
      </c>
      <c r="AM81" s="65">
        <v>1.5603845679831623</v>
      </c>
      <c r="AN81" s="65">
        <v>5.7261068798966068</v>
      </c>
      <c r="AO81" s="62"/>
      <c r="AP81" s="65" t="s">
        <v>162</v>
      </c>
      <c r="AQ81" s="68">
        <v>1.278796309034399</v>
      </c>
      <c r="AR81" s="68">
        <v>1.0289654999075528</v>
      </c>
    </row>
    <row r="82" spans="1:83" ht="20.100000000000001" customHeight="1">
      <c r="A82" s="64">
        <v>46134</v>
      </c>
      <c r="B82" t="s">
        <v>176</v>
      </c>
    </row>
    <row r="83" spans="1:83" ht="23.25" customHeight="1">
      <c r="A83" s="89" t="s">
        <v>50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Y83" s="2"/>
      <c r="Z83" s="62" t="s">
        <v>166</v>
      </c>
    </row>
    <row r="84" spans="1:83" ht="20.100000000000001" customHeight="1" thickBot="1">
      <c r="Y84" s="3"/>
      <c r="AG84" t="s">
        <v>167</v>
      </c>
      <c r="AI84" t="s">
        <v>168</v>
      </c>
    </row>
    <row r="85" spans="1:83" ht="20.100000000000001" customHeight="1" thickBot="1">
      <c r="A85" s="90" t="s">
        <v>1</v>
      </c>
      <c r="B85" s="92" t="s">
        <v>62</v>
      </c>
      <c r="C85" s="92" t="s">
        <v>63</v>
      </c>
      <c r="D85" s="90" t="s">
        <v>7</v>
      </c>
      <c r="E85" s="94" t="s">
        <v>8</v>
      </c>
      <c r="F85" s="95"/>
      <c r="G85" s="96" t="s">
        <v>9</v>
      </c>
      <c r="H85" s="96"/>
      <c r="I85" s="96"/>
      <c r="J85" s="96"/>
      <c r="K85" s="96"/>
      <c r="L85" s="85" t="s">
        <v>56</v>
      </c>
      <c r="M85" s="86"/>
      <c r="N85" s="86"/>
      <c r="O85" s="86"/>
      <c r="P85" s="86"/>
      <c r="Q85" s="86"/>
      <c r="R85" s="86"/>
      <c r="S85" s="86"/>
      <c r="T85" s="86"/>
      <c r="U85" s="8"/>
      <c r="V85" s="8"/>
      <c r="W85" s="8"/>
      <c r="X85" s="8"/>
      <c r="Y85" s="87" t="s">
        <v>10</v>
      </c>
      <c r="Z85" s="60" t="s">
        <v>159</v>
      </c>
      <c r="AE85">
        <v>100</v>
      </c>
      <c r="AG85" s="60" t="s">
        <v>163</v>
      </c>
      <c r="AL85">
        <v>100</v>
      </c>
      <c r="AN85" s="60" t="s">
        <v>164</v>
      </c>
      <c r="AS85">
        <v>100</v>
      </c>
      <c r="AU85" s="60" t="s">
        <v>165</v>
      </c>
      <c r="AZ85">
        <v>100</v>
      </c>
      <c r="BE85" t="s">
        <v>153</v>
      </c>
      <c r="BK85" t="s">
        <v>154</v>
      </c>
      <c r="BQ85" t="s">
        <v>155</v>
      </c>
      <c r="BW85" t="s">
        <v>156</v>
      </c>
      <c r="CC85" t="s">
        <v>157</v>
      </c>
    </row>
    <row r="86" spans="1:83" ht="20.100000000000001" customHeight="1" thickBot="1">
      <c r="A86" s="91"/>
      <c r="B86" s="91"/>
      <c r="C86" s="91"/>
      <c r="D86" s="93"/>
      <c r="E86" s="1" t="s">
        <v>0</v>
      </c>
      <c r="F86" s="4" t="s">
        <v>11</v>
      </c>
      <c r="G86" s="4" t="s">
        <v>12</v>
      </c>
      <c r="H86" s="4" t="s">
        <v>13</v>
      </c>
      <c r="I86" s="4" t="s">
        <v>14</v>
      </c>
      <c r="J86" s="4" t="s">
        <v>15</v>
      </c>
      <c r="K86" s="4" t="s">
        <v>16</v>
      </c>
      <c r="L86" s="4" t="s">
        <v>6</v>
      </c>
      <c r="M86" s="4" t="s">
        <v>51</v>
      </c>
      <c r="N86" s="4" t="s">
        <v>2</v>
      </c>
      <c r="O86" s="4" t="s">
        <v>3</v>
      </c>
      <c r="P86" s="4" t="s">
        <v>52</v>
      </c>
      <c r="Q86" s="4" t="s">
        <v>53</v>
      </c>
      <c r="R86" s="4" t="s">
        <v>54</v>
      </c>
      <c r="S86" s="4" t="s">
        <v>55</v>
      </c>
      <c r="T86" s="6" t="s">
        <v>4</v>
      </c>
      <c r="U86" s="9" t="s">
        <v>66</v>
      </c>
      <c r="V86" s="9" t="s">
        <v>67</v>
      </c>
      <c r="W86" s="9" t="s">
        <v>64</v>
      </c>
      <c r="X86" s="9" t="s">
        <v>65</v>
      </c>
      <c r="Y86" s="88"/>
      <c r="Z86" s="60" t="s">
        <v>153</v>
      </c>
      <c r="AA86" s="60" t="s">
        <v>154</v>
      </c>
      <c r="AB86" s="60" t="s">
        <v>155</v>
      </c>
      <c r="AC86" s="60" t="s">
        <v>156</v>
      </c>
      <c r="AD86" s="60" t="s">
        <v>157</v>
      </c>
      <c r="AE86" s="61" t="s">
        <v>158</v>
      </c>
      <c r="AG86" s="60" t="s">
        <v>153</v>
      </c>
      <c r="AH86" s="60" t="s">
        <v>154</v>
      </c>
      <c r="AI86" s="60" t="s">
        <v>155</v>
      </c>
      <c r="AJ86" s="60" t="s">
        <v>156</v>
      </c>
      <c r="AK86" s="60" t="s">
        <v>157</v>
      </c>
      <c r="AL86" s="61" t="s">
        <v>158</v>
      </c>
      <c r="AN86" s="60" t="s">
        <v>153</v>
      </c>
      <c r="AO86" s="60" t="s">
        <v>154</v>
      </c>
      <c r="AP86" s="60" t="s">
        <v>155</v>
      </c>
      <c r="AQ86" s="60" t="s">
        <v>156</v>
      </c>
      <c r="AR86" s="60" t="s">
        <v>157</v>
      </c>
      <c r="AS86" s="61" t="s">
        <v>158</v>
      </c>
      <c r="AU86" s="60" t="s">
        <v>153</v>
      </c>
      <c r="AV86" s="60" t="s">
        <v>154</v>
      </c>
      <c r="AW86" s="60" t="s">
        <v>155</v>
      </c>
      <c r="AX86" s="60" t="s">
        <v>156</v>
      </c>
      <c r="AY86" s="60" t="s">
        <v>157</v>
      </c>
      <c r="AZ86" s="61" t="s">
        <v>158</v>
      </c>
      <c r="BC86" s="55" t="s">
        <v>117</v>
      </c>
      <c r="BD86" s="55" t="s">
        <v>118</v>
      </c>
      <c r="BE86" s="55" t="s">
        <v>119</v>
      </c>
      <c r="BF86" s="56" t="s">
        <v>120</v>
      </c>
      <c r="BG86" s="56" t="s">
        <v>121</v>
      </c>
      <c r="BI86" s="55" t="s">
        <v>117</v>
      </c>
      <c r="BJ86" s="55" t="s">
        <v>118</v>
      </c>
      <c r="BK86" s="55" t="s">
        <v>119</v>
      </c>
      <c r="BL86" s="56" t="s">
        <v>120</v>
      </c>
      <c r="BM86" s="56" t="s">
        <v>121</v>
      </c>
      <c r="BO86" s="55" t="s">
        <v>117</v>
      </c>
      <c r="BP86" s="55" t="s">
        <v>118</v>
      </c>
      <c r="BQ86" s="55" t="s">
        <v>119</v>
      </c>
      <c r="BR86" s="56" t="s">
        <v>120</v>
      </c>
      <c r="BS86" s="56" t="s">
        <v>121</v>
      </c>
      <c r="BU86" s="55" t="s">
        <v>117</v>
      </c>
      <c r="BV86" s="55" t="s">
        <v>118</v>
      </c>
      <c r="BW86" s="55" t="s">
        <v>119</v>
      </c>
      <c r="BX86" s="56" t="s">
        <v>120</v>
      </c>
      <c r="BY86" s="56" t="s">
        <v>121</v>
      </c>
      <c r="CA86" s="55" t="s">
        <v>117</v>
      </c>
      <c r="CB86" s="55" t="s">
        <v>118</v>
      </c>
      <c r="CC86" s="55" t="s">
        <v>119</v>
      </c>
      <c r="CD86" s="56" t="s">
        <v>120</v>
      </c>
      <c r="CE86" s="56" t="s">
        <v>121</v>
      </c>
    </row>
    <row r="87" spans="1:83" ht="20.100000000000001" customHeight="1">
      <c r="A87" s="30">
        <v>1</v>
      </c>
      <c r="B87" s="25" t="s">
        <v>17</v>
      </c>
      <c r="C87" s="25" t="s">
        <v>17</v>
      </c>
      <c r="D87" s="10" t="s">
        <v>18</v>
      </c>
      <c r="E87" s="11">
        <v>45394</v>
      </c>
      <c r="F87" s="12">
        <v>0.40625</v>
      </c>
      <c r="G87" s="10" t="s">
        <v>19</v>
      </c>
      <c r="H87" s="37">
        <v>13.4</v>
      </c>
      <c r="I87" s="37">
        <v>7.66</v>
      </c>
      <c r="J87" s="37">
        <v>11.37</v>
      </c>
      <c r="K87" s="37">
        <v>200.1</v>
      </c>
      <c r="L87" s="38">
        <v>1.5620000000000001</v>
      </c>
      <c r="M87" s="38"/>
      <c r="N87" s="38">
        <v>2.8000000000000001E-2</v>
      </c>
      <c r="O87" s="38">
        <v>1.5338708615263741</v>
      </c>
      <c r="P87" s="38" t="s">
        <v>112</v>
      </c>
      <c r="Q87" s="38">
        <v>1.2</v>
      </c>
      <c r="R87" s="38">
        <v>1.9E-2</v>
      </c>
      <c r="S87" s="38">
        <v>1.4999999999999999E-2</v>
      </c>
      <c r="T87" s="38">
        <v>21.926092412394119</v>
      </c>
      <c r="U87" s="38">
        <v>6.79</v>
      </c>
      <c r="V87" s="38">
        <v>2.9</v>
      </c>
      <c r="W87" s="38" t="s">
        <v>68</v>
      </c>
      <c r="X87" s="38">
        <v>6.8100892305781313</v>
      </c>
      <c r="Y87" s="13"/>
      <c r="Z87" s="78">
        <v>31.25</v>
      </c>
      <c r="AA87" s="78">
        <v>6.55</v>
      </c>
      <c r="AB87" s="78">
        <v>7.92</v>
      </c>
      <c r="AC87" s="78">
        <v>2.0499999999999998</v>
      </c>
      <c r="AD87" s="78">
        <v>52.23</v>
      </c>
      <c r="AE87" s="78">
        <f>SUM(Z87:AD87)</f>
        <v>100</v>
      </c>
      <c r="AF87" s="78"/>
      <c r="AG87" s="80">
        <v>35.6</v>
      </c>
      <c r="AH87" s="80">
        <v>13.600000000000001</v>
      </c>
      <c r="AI87" s="80">
        <v>11.899999999999999</v>
      </c>
      <c r="AJ87" s="80">
        <v>2.2999999999999998</v>
      </c>
      <c r="AK87" s="80">
        <v>36.6</v>
      </c>
      <c r="AL87" s="78">
        <f>SUM(AG87:AK87)</f>
        <v>100</v>
      </c>
      <c r="AM87" s="78"/>
      <c r="AN87" s="80">
        <v>24.3</v>
      </c>
      <c r="AO87" s="80">
        <v>12.879999999999999</v>
      </c>
      <c r="AP87" s="80">
        <v>22.61</v>
      </c>
      <c r="AQ87" s="80">
        <v>2.9000000000000004</v>
      </c>
      <c r="AR87" s="80">
        <v>37.31</v>
      </c>
      <c r="AS87" s="78">
        <f>SUM(AN87:AR87)</f>
        <v>100</v>
      </c>
      <c r="AT87" s="78"/>
      <c r="AU87" s="80">
        <v>22.22</v>
      </c>
      <c r="AV87" s="80">
        <v>12.870000000000001</v>
      </c>
      <c r="AW87" s="80">
        <v>12.55</v>
      </c>
      <c r="AX87" s="80">
        <v>2.78</v>
      </c>
      <c r="AY87" s="80">
        <v>49.58</v>
      </c>
      <c r="AZ87" s="78">
        <f t="shared" ref="AZ87:AZ110" si="8">SUM(AU87:AY87)</f>
        <v>100</v>
      </c>
      <c r="BC87" s="57" t="s">
        <v>114</v>
      </c>
      <c r="BD87" s="58" t="s">
        <v>113</v>
      </c>
      <c r="BE87" s="58" t="s">
        <v>49</v>
      </c>
      <c r="BF87" s="59">
        <v>16.52</v>
      </c>
      <c r="BG87" s="59">
        <v>5.16</v>
      </c>
      <c r="BI87" s="57" t="s">
        <v>74</v>
      </c>
      <c r="BJ87" s="58" t="s">
        <v>75</v>
      </c>
      <c r="BK87" s="58" t="s">
        <v>76</v>
      </c>
      <c r="BL87" s="59">
        <v>17.66</v>
      </c>
      <c r="BM87" s="59">
        <v>10.89</v>
      </c>
      <c r="BO87" s="57" t="s">
        <v>101</v>
      </c>
      <c r="BP87" s="58" t="s">
        <v>138</v>
      </c>
      <c r="BQ87" s="58" t="s">
        <v>140</v>
      </c>
      <c r="BR87" s="59">
        <v>0.63</v>
      </c>
      <c r="BS87" s="59">
        <v>10.72</v>
      </c>
      <c r="BU87" s="57" t="s">
        <v>150</v>
      </c>
      <c r="BV87" s="58"/>
      <c r="BW87" s="58" t="s">
        <v>151</v>
      </c>
      <c r="BX87" s="59">
        <v>3.25</v>
      </c>
      <c r="BY87" s="59">
        <v>40.020000000000003</v>
      </c>
      <c r="CA87" s="57" t="s">
        <v>84</v>
      </c>
      <c r="CB87" s="58" t="s">
        <v>71</v>
      </c>
      <c r="CC87" s="58" t="s">
        <v>85</v>
      </c>
      <c r="CD87" s="59">
        <v>4.34</v>
      </c>
      <c r="CE87" s="59">
        <v>0.88</v>
      </c>
    </row>
    <row r="88" spans="1:83" ht="20.100000000000001" customHeight="1">
      <c r="A88" s="22">
        <v>2</v>
      </c>
      <c r="B88" s="14" t="s">
        <v>17</v>
      </c>
      <c r="C88" s="14" t="s">
        <v>17</v>
      </c>
      <c r="D88" s="15" t="s">
        <v>20</v>
      </c>
      <c r="E88" s="16">
        <v>45394</v>
      </c>
      <c r="F88" s="17">
        <v>0.4375</v>
      </c>
      <c r="G88" s="15" t="s">
        <v>19</v>
      </c>
      <c r="H88" s="24">
        <v>17.899999999999999</v>
      </c>
      <c r="I88" s="24">
        <v>7.63</v>
      </c>
      <c r="J88" s="24">
        <v>10.66</v>
      </c>
      <c r="K88" s="24">
        <v>381</v>
      </c>
      <c r="L88" s="39">
        <v>5.1319999999999997</v>
      </c>
      <c r="M88" s="39"/>
      <c r="N88" s="39">
        <v>0.82399999999999995</v>
      </c>
      <c r="O88" s="39">
        <v>3.8056685669511721</v>
      </c>
      <c r="P88" s="39">
        <v>0.75779406996970966</v>
      </c>
      <c r="Q88" s="39">
        <v>3.4</v>
      </c>
      <c r="R88" s="39">
        <v>4.1000000000000002E-2</v>
      </c>
      <c r="S88" s="39">
        <v>2.9000000000000001E-2</v>
      </c>
      <c r="T88" s="39">
        <v>48.553205182927933</v>
      </c>
      <c r="U88" s="39">
        <v>10.94</v>
      </c>
      <c r="V88" s="39">
        <v>0.19</v>
      </c>
      <c r="W88" s="39">
        <v>91.9</v>
      </c>
      <c r="X88" s="39">
        <v>11.530193967408453</v>
      </c>
      <c r="Y88" s="18"/>
      <c r="Z88" s="77">
        <v>4.8899999999999997</v>
      </c>
      <c r="AA88" s="77">
        <v>1.42</v>
      </c>
      <c r="AB88" s="77">
        <v>1.46</v>
      </c>
      <c r="AC88" s="77">
        <v>0.18</v>
      </c>
      <c r="AD88" s="77">
        <v>92.05</v>
      </c>
      <c r="AE88" s="77">
        <f t="shared" ref="AE88:AE110" si="9">SUM(Z88:AD88)</f>
        <v>100</v>
      </c>
      <c r="AF88" s="79"/>
      <c r="AG88" s="77">
        <v>46.5</v>
      </c>
      <c r="AH88" s="77">
        <v>16.2</v>
      </c>
      <c r="AI88" s="77">
        <v>7.3999999999999995</v>
      </c>
      <c r="AJ88" s="77">
        <v>1.6</v>
      </c>
      <c r="AK88" s="77">
        <v>28.299999999999997</v>
      </c>
      <c r="AL88" s="77">
        <f t="shared" ref="AL88:AL110" si="10">SUM(AG88:AK88)</f>
        <v>100</v>
      </c>
      <c r="AM88" s="79"/>
      <c r="AN88" s="77">
        <v>46.989999999999995</v>
      </c>
      <c r="AO88" s="77">
        <v>17.97</v>
      </c>
      <c r="AP88" s="77">
        <v>7.03</v>
      </c>
      <c r="AQ88" s="77">
        <v>7.86</v>
      </c>
      <c r="AR88" s="77">
        <v>20.150000000000002</v>
      </c>
      <c r="AS88" s="77">
        <f t="shared" ref="AS88:AS110" si="11">SUM(AN88:AR88)</f>
        <v>100</v>
      </c>
      <c r="AT88" s="79"/>
      <c r="AU88" s="77">
        <v>38.800000000000004</v>
      </c>
      <c r="AV88" s="77">
        <v>22.46</v>
      </c>
      <c r="AW88" s="77">
        <v>6.63</v>
      </c>
      <c r="AX88" s="77">
        <v>1.6199999999999999</v>
      </c>
      <c r="AY88" s="77">
        <v>30.490000000000002</v>
      </c>
      <c r="AZ88" s="77">
        <f t="shared" si="8"/>
        <v>100</v>
      </c>
      <c r="BC88" s="57" t="s">
        <v>70</v>
      </c>
      <c r="BD88" s="58" t="s">
        <v>71</v>
      </c>
      <c r="BE88" s="58" t="s">
        <v>86</v>
      </c>
      <c r="BF88" s="59">
        <v>15.92</v>
      </c>
      <c r="BG88" s="59">
        <v>-0.37</v>
      </c>
      <c r="BI88" s="57" t="s">
        <v>74</v>
      </c>
      <c r="BJ88" s="58" t="s">
        <v>75</v>
      </c>
      <c r="BK88" s="58" t="s">
        <v>76</v>
      </c>
      <c r="BL88" s="59">
        <v>18.170000000000002</v>
      </c>
      <c r="BM88" s="59">
        <v>9.27</v>
      </c>
      <c r="BO88" s="57" t="s">
        <v>102</v>
      </c>
      <c r="BP88" s="58" t="s">
        <v>138</v>
      </c>
      <c r="BQ88" s="58" t="s">
        <v>139</v>
      </c>
      <c r="BR88" s="59">
        <v>1.1000000000000001</v>
      </c>
      <c r="BS88" s="59">
        <v>18.05</v>
      </c>
      <c r="BU88" s="57" t="s">
        <v>122</v>
      </c>
      <c r="BV88" s="58"/>
      <c r="BW88" s="58" t="s">
        <v>123</v>
      </c>
      <c r="BX88" s="59">
        <v>1.75</v>
      </c>
      <c r="BY88" s="59">
        <v>45.94</v>
      </c>
      <c r="CA88" s="57" t="s">
        <v>133</v>
      </c>
      <c r="CB88" s="58" t="s">
        <v>125</v>
      </c>
      <c r="CC88" s="58" t="s">
        <v>134</v>
      </c>
      <c r="CD88" s="59">
        <v>2.98</v>
      </c>
      <c r="CE88" s="59">
        <v>0.23</v>
      </c>
    </row>
    <row r="89" spans="1:83" ht="20.100000000000001" customHeight="1">
      <c r="A89" s="22">
        <v>3</v>
      </c>
      <c r="B89" s="14" t="s">
        <v>17</v>
      </c>
      <c r="C89" s="14" t="s">
        <v>17</v>
      </c>
      <c r="D89" s="15" t="s">
        <v>21</v>
      </c>
      <c r="E89" s="16">
        <v>45394</v>
      </c>
      <c r="F89" s="17">
        <v>0.4513888888888889</v>
      </c>
      <c r="G89" s="15" t="s">
        <v>19</v>
      </c>
      <c r="H89" s="24">
        <v>19.100000000000001</v>
      </c>
      <c r="I89" s="24">
        <v>7.58</v>
      </c>
      <c r="J89" s="24">
        <v>9.67</v>
      </c>
      <c r="K89" s="24">
        <v>357</v>
      </c>
      <c r="L89" s="39">
        <v>4.3529999999999998</v>
      </c>
      <c r="M89" s="39"/>
      <c r="N89" s="39">
        <v>0.90200000000000002</v>
      </c>
      <c r="O89" s="39">
        <v>2.9836540688462629</v>
      </c>
      <c r="P89" s="39">
        <v>0.5708632001190197</v>
      </c>
      <c r="Q89" s="39">
        <v>3.5</v>
      </c>
      <c r="R89" s="39">
        <v>7.8E-2</v>
      </c>
      <c r="S89" s="39">
        <v>6.9000000000000006E-2</v>
      </c>
      <c r="T89" s="39">
        <v>42.668927928854785</v>
      </c>
      <c r="U89" s="39">
        <v>10.09</v>
      </c>
      <c r="V89" s="39">
        <v>1.5</v>
      </c>
      <c r="W89" s="39">
        <v>25.3</v>
      </c>
      <c r="X89" s="39">
        <v>11.842993595465368</v>
      </c>
      <c r="Y89" s="18"/>
      <c r="Z89" s="78">
        <v>41.24</v>
      </c>
      <c r="AA89" s="78">
        <v>12.76</v>
      </c>
      <c r="AB89" s="78">
        <v>0.56999999999999995</v>
      </c>
      <c r="AC89" s="78">
        <v>0.21</v>
      </c>
      <c r="AD89" s="78">
        <v>45.22</v>
      </c>
      <c r="AE89" s="78">
        <f t="shared" si="9"/>
        <v>100</v>
      </c>
      <c r="AF89" s="78"/>
      <c r="AG89" s="80">
        <v>41.6</v>
      </c>
      <c r="AH89" s="80">
        <v>15.6</v>
      </c>
      <c r="AI89" s="80">
        <v>8.5</v>
      </c>
      <c r="AJ89" s="80">
        <v>1.7999999999999998</v>
      </c>
      <c r="AK89" s="80">
        <v>32.5</v>
      </c>
      <c r="AL89" s="78">
        <f t="shared" si="10"/>
        <v>100</v>
      </c>
      <c r="AM89" s="78"/>
      <c r="AN89" s="80">
        <v>35.270000000000003</v>
      </c>
      <c r="AO89" s="80">
        <v>25.25</v>
      </c>
      <c r="AP89" s="80">
        <v>6.59</v>
      </c>
      <c r="AQ89" s="80">
        <v>5.16</v>
      </c>
      <c r="AR89" s="80">
        <v>27.73</v>
      </c>
      <c r="AS89" s="78">
        <f t="shared" si="11"/>
        <v>100</v>
      </c>
      <c r="AT89" s="78"/>
      <c r="AU89" s="80">
        <v>35.57</v>
      </c>
      <c r="AV89" s="80">
        <v>21.39</v>
      </c>
      <c r="AW89" s="80">
        <v>8.3800000000000008</v>
      </c>
      <c r="AX89" s="80">
        <v>2.1800000000000002</v>
      </c>
      <c r="AY89" s="80">
        <v>32.479999999999997</v>
      </c>
      <c r="AZ89" s="78">
        <f t="shared" si="8"/>
        <v>100</v>
      </c>
      <c r="BC89" s="57" t="s">
        <v>79</v>
      </c>
      <c r="BD89" s="58"/>
      <c r="BE89" s="58" t="s">
        <v>169</v>
      </c>
      <c r="BF89" s="59">
        <v>15.17</v>
      </c>
      <c r="BG89" s="59">
        <v>-3.82</v>
      </c>
      <c r="BI89" s="57" t="s">
        <v>96</v>
      </c>
      <c r="BJ89" s="58"/>
      <c r="BK89" s="58" t="s">
        <v>105</v>
      </c>
      <c r="BL89" s="59">
        <v>15.309999999999999</v>
      </c>
      <c r="BM89" s="59">
        <v>3.085</v>
      </c>
      <c r="BO89" s="57"/>
      <c r="BP89" s="58"/>
      <c r="BQ89" s="58"/>
      <c r="BR89" s="59"/>
      <c r="BS89" s="59"/>
      <c r="BU89" s="57" t="s">
        <v>135</v>
      </c>
      <c r="BV89" s="58"/>
      <c r="BW89" s="58" t="s">
        <v>123</v>
      </c>
      <c r="BX89" s="59">
        <v>0.13</v>
      </c>
      <c r="BY89" s="59">
        <v>51.47</v>
      </c>
      <c r="CA89" s="57" t="s">
        <v>131</v>
      </c>
      <c r="CB89" s="58" t="s">
        <v>125</v>
      </c>
      <c r="CC89" s="58" t="s">
        <v>132</v>
      </c>
      <c r="CD89" s="59">
        <v>0.92</v>
      </c>
      <c r="CE89" s="59">
        <v>0.08</v>
      </c>
    </row>
    <row r="90" spans="1:83" ht="20.100000000000001" customHeight="1">
      <c r="A90" s="22">
        <v>4</v>
      </c>
      <c r="B90" s="14" t="s">
        <v>17</v>
      </c>
      <c r="C90" s="14" t="s">
        <v>17</v>
      </c>
      <c r="D90" s="15" t="s">
        <v>22</v>
      </c>
      <c r="E90" s="16">
        <v>45394</v>
      </c>
      <c r="F90" s="17">
        <v>0.46527777777777773</v>
      </c>
      <c r="G90" s="15" t="s">
        <v>19</v>
      </c>
      <c r="H90" s="24">
        <v>20.399999999999999</v>
      </c>
      <c r="I90" s="24">
        <v>7.35</v>
      </c>
      <c r="J90" s="24">
        <v>9</v>
      </c>
      <c r="K90" s="24">
        <v>348</v>
      </c>
      <c r="L90" s="39">
        <v>3.8969999999999998</v>
      </c>
      <c r="M90" s="39"/>
      <c r="N90" s="39">
        <v>0.78200000000000003</v>
      </c>
      <c r="O90" s="39">
        <v>2.6470789824688241</v>
      </c>
      <c r="P90" s="39">
        <v>0.50575484929842918</v>
      </c>
      <c r="Q90" s="39">
        <v>3.5</v>
      </c>
      <c r="R90" s="39">
        <v>5.8999999999999997E-2</v>
      </c>
      <c r="S90" s="39">
        <v>4.8000000000000001E-2</v>
      </c>
      <c r="T90" s="39">
        <v>41.228925543629487</v>
      </c>
      <c r="U90" s="39">
        <v>10.63</v>
      </c>
      <c r="V90" s="39">
        <v>2.19</v>
      </c>
      <c r="W90" s="39">
        <v>19.899999999999999</v>
      </c>
      <c r="X90" s="39">
        <v>12.303652359256734</v>
      </c>
      <c r="Y90" s="18"/>
      <c r="Z90" s="78">
        <v>41.16</v>
      </c>
      <c r="AA90" s="78">
        <v>20.5</v>
      </c>
      <c r="AB90" s="78">
        <v>1.2</v>
      </c>
      <c r="AC90" s="78">
        <v>0.49</v>
      </c>
      <c r="AD90" s="78">
        <v>36.65</v>
      </c>
      <c r="AE90" s="78">
        <f t="shared" si="9"/>
        <v>100</v>
      </c>
      <c r="AF90" s="78"/>
      <c r="AG90" s="80">
        <v>43.5</v>
      </c>
      <c r="AH90" s="80">
        <v>16.7</v>
      </c>
      <c r="AI90" s="80">
        <v>8.6999999999999993</v>
      </c>
      <c r="AJ90" s="80">
        <v>1.9</v>
      </c>
      <c r="AK90" s="80">
        <v>29.2</v>
      </c>
      <c r="AL90" s="78">
        <f t="shared" si="10"/>
        <v>100.00000000000001</v>
      </c>
      <c r="AM90" s="78"/>
      <c r="AN90" s="80">
        <v>36.89</v>
      </c>
      <c r="AO90" s="80">
        <v>23.86</v>
      </c>
      <c r="AP90" s="80">
        <v>7.3400000000000007</v>
      </c>
      <c r="AQ90" s="80">
        <v>6.59</v>
      </c>
      <c r="AR90" s="80">
        <v>25.319999999999997</v>
      </c>
      <c r="AS90" s="78">
        <f t="shared" si="11"/>
        <v>100</v>
      </c>
      <c r="AT90" s="78"/>
      <c r="AU90" s="80">
        <v>36.85</v>
      </c>
      <c r="AV90" s="80">
        <v>24.4</v>
      </c>
      <c r="AW90" s="80">
        <v>9.01</v>
      </c>
      <c r="AX90" s="80">
        <v>2.58</v>
      </c>
      <c r="AY90" s="80">
        <v>27.16</v>
      </c>
      <c r="AZ90" s="78">
        <f t="shared" si="8"/>
        <v>100</v>
      </c>
      <c r="BC90" s="57" t="s">
        <v>74</v>
      </c>
      <c r="BD90" s="58"/>
      <c r="BE90" s="58" t="s">
        <v>170</v>
      </c>
      <c r="BF90" s="59">
        <v>14.62</v>
      </c>
      <c r="BG90" s="59">
        <v>0.65</v>
      </c>
      <c r="BI90" s="57" t="s">
        <v>98</v>
      </c>
      <c r="BJ90" s="58"/>
      <c r="BK90" s="58" t="s">
        <v>106</v>
      </c>
      <c r="BL90" s="59">
        <v>19.239999999999998</v>
      </c>
      <c r="BM90" s="59">
        <v>8.4600000000000009</v>
      </c>
      <c r="BO90" s="57"/>
      <c r="BP90" s="58"/>
      <c r="BQ90" s="58"/>
      <c r="BR90" s="59"/>
      <c r="BS90" s="59"/>
      <c r="BU90" s="57"/>
      <c r="BV90" s="58"/>
      <c r="BW90" s="58"/>
      <c r="BX90" s="59"/>
      <c r="BY90" s="59"/>
      <c r="CA90" s="57" t="s">
        <v>124</v>
      </c>
      <c r="CB90" s="58" t="s">
        <v>125</v>
      </c>
      <c r="CC90" s="58" t="s">
        <v>126</v>
      </c>
      <c r="CD90" s="59">
        <v>2.36</v>
      </c>
      <c r="CE90" s="59">
        <v>-0.6</v>
      </c>
    </row>
    <row r="91" spans="1:83" ht="20.100000000000001" customHeight="1">
      <c r="A91" s="31">
        <v>5</v>
      </c>
      <c r="B91" s="32" t="s">
        <v>23</v>
      </c>
      <c r="C91" s="32" t="s">
        <v>23</v>
      </c>
      <c r="D91" s="33" t="s">
        <v>24</v>
      </c>
      <c r="E91" s="42">
        <v>45394</v>
      </c>
      <c r="F91" s="34">
        <v>0.625</v>
      </c>
      <c r="G91" s="33" t="s">
        <v>19</v>
      </c>
      <c r="H91" s="35">
        <v>23.3</v>
      </c>
      <c r="I91" s="35">
        <v>8.59</v>
      </c>
      <c r="J91" s="35">
        <v>9.51</v>
      </c>
      <c r="K91" s="35">
        <v>167.4</v>
      </c>
      <c r="L91" s="41">
        <v>1.5269999999999999</v>
      </c>
      <c r="M91" s="41"/>
      <c r="N91" s="41">
        <v>2.8000000000000001E-2</v>
      </c>
      <c r="O91" s="41">
        <v>1.3577461209228088</v>
      </c>
      <c r="P91" s="41" t="s">
        <v>112</v>
      </c>
      <c r="Q91" s="41">
        <v>2.5</v>
      </c>
      <c r="R91" s="41">
        <v>2.5000000000000001E-2</v>
      </c>
      <c r="S91" s="41">
        <v>8.9999999999999993E-3</v>
      </c>
      <c r="T91" s="41">
        <v>13.465682479565089</v>
      </c>
      <c r="U91" s="41">
        <v>5.58</v>
      </c>
      <c r="V91" s="41">
        <v>6.49</v>
      </c>
      <c r="W91" s="41">
        <v>8.1999999999999993</v>
      </c>
      <c r="X91" s="41">
        <v>15.388054287513553</v>
      </c>
      <c r="Y91" s="36"/>
      <c r="Z91" s="78">
        <v>21.72</v>
      </c>
      <c r="AA91" s="78">
        <v>7</v>
      </c>
      <c r="AB91" s="78">
        <v>27.38</v>
      </c>
      <c r="AC91" s="78">
        <v>4.1100000000000003</v>
      </c>
      <c r="AD91" s="78">
        <v>39.79</v>
      </c>
      <c r="AE91" s="78">
        <f t="shared" si="9"/>
        <v>100</v>
      </c>
      <c r="AF91" s="78"/>
      <c r="AG91" s="80">
        <v>24.4</v>
      </c>
      <c r="AH91" s="80">
        <v>10.100000000000001</v>
      </c>
      <c r="AI91" s="80">
        <v>19.600000000000001</v>
      </c>
      <c r="AJ91" s="80">
        <v>3.4000000000000004</v>
      </c>
      <c r="AK91" s="80">
        <v>42.5</v>
      </c>
      <c r="AL91" s="78">
        <f t="shared" si="10"/>
        <v>100</v>
      </c>
      <c r="AM91" s="78"/>
      <c r="AN91" s="80">
        <v>15.57</v>
      </c>
      <c r="AO91" s="80">
        <v>10</v>
      </c>
      <c r="AP91" s="80">
        <v>20.03</v>
      </c>
      <c r="AQ91" s="80">
        <v>12.389999999999999</v>
      </c>
      <c r="AR91" s="80">
        <v>42.01</v>
      </c>
      <c r="AS91" s="78">
        <f t="shared" si="11"/>
        <v>100</v>
      </c>
      <c r="AT91" s="78"/>
      <c r="AU91" s="80">
        <v>17.760000000000002</v>
      </c>
      <c r="AV91" s="80">
        <v>10.67</v>
      </c>
      <c r="AW91" s="80">
        <v>25.130000000000003</v>
      </c>
      <c r="AX91" s="80">
        <v>6.41</v>
      </c>
      <c r="AY91" s="80">
        <v>40.03</v>
      </c>
      <c r="AZ91" s="78">
        <f t="shared" si="8"/>
        <v>100</v>
      </c>
      <c r="BC91" s="57" t="s">
        <v>115</v>
      </c>
      <c r="BD91" s="58" t="s">
        <v>113</v>
      </c>
      <c r="BE91" s="58" t="s">
        <v>116</v>
      </c>
      <c r="BF91" s="59">
        <v>14.07</v>
      </c>
      <c r="BG91" s="59">
        <v>3.84</v>
      </c>
      <c r="BI91" s="57" t="s">
        <v>100</v>
      </c>
      <c r="BJ91" s="58"/>
      <c r="BK91" s="58" t="s">
        <v>109</v>
      </c>
      <c r="BL91" s="59">
        <v>20.925000000000001</v>
      </c>
      <c r="BM91" s="59">
        <v>5.27</v>
      </c>
      <c r="BO91" s="57"/>
      <c r="BP91" s="58"/>
      <c r="BQ91" s="58"/>
      <c r="BR91" s="59"/>
      <c r="BS91" s="59"/>
      <c r="BU91" s="57"/>
      <c r="BV91" s="58"/>
      <c r="BW91" s="58" t="s">
        <v>161</v>
      </c>
      <c r="BX91" s="59">
        <f>AVERAGE(BX87:BX89)</f>
        <v>1.71</v>
      </c>
      <c r="BY91" s="59">
        <f>AVERAGE(BY87:BY89)</f>
        <v>45.81</v>
      </c>
      <c r="CA91" s="57" t="s">
        <v>127</v>
      </c>
      <c r="CB91" s="58" t="s">
        <v>125</v>
      </c>
      <c r="CC91" s="58" t="s">
        <v>128</v>
      </c>
      <c r="CD91" s="59">
        <v>1.86</v>
      </c>
      <c r="CE91" s="59">
        <v>-1.83</v>
      </c>
    </row>
    <row r="92" spans="1:83" ht="20.100000000000001" customHeight="1">
      <c r="A92" s="31">
        <v>6</v>
      </c>
      <c r="B92" s="32" t="s">
        <v>23</v>
      </c>
      <c r="C92" s="32" t="s">
        <v>23</v>
      </c>
      <c r="D92" s="33" t="s">
        <v>25</v>
      </c>
      <c r="E92" s="42">
        <v>45394</v>
      </c>
      <c r="F92" s="34">
        <v>0.63888888888888895</v>
      </c>
      <c r="G92" s="33" t="s">
        <v>19</v>
      </c>
      <c r="H92" s="35">
        <v>20.5</v>
      </c>
      <c r="I92" s="35">
        <v>7.61</v>
      </c>
      <c r="J92" s="35">
        <v>10.02</v>
      </c>
      <c r="K92" s="35">
        <v>279</v>
      </c>
      <c r="L92" s="41">
        <v>2.8879999999999999</v>
      </c>
      <c r="M92" s="41"/>
      <c r="N92" s="41">
        <v>0.128</v>
      </c>
      <c r="O92" s="41">
        <v>2.3599395974240749</v>
      </c>
      <c r="P92" s="41">
        <v>4.16973481937844E-2</v>
      </c>
      <c r="Q92" s="41">
        <v>3.8</v>
      </c>
      <c r="R92" s="41">
        <v>0.13700000000000001</v>
      </c>
      <c r="S92" s="41">
        <v>0.13200000000000001</v>
      </c>
      <c r="T92" s="41">
        <v>24.609506883467702</v>
      </c>
      <c r="U92" s="41">
        <v>6.75</v>
      </c>
      <c r="V92" s="41">
        <v>7.6</v>
      </c>
      <c r="W92" s="41">
        <v>14.7</v>
      </c>
      <c r="X92" s="41">
        <v>11.914577909851953</v>
      </c>
      <c r="Y92" s="36"/>
      <c r="Z92" s="78">
        <v>23.17</v>
      </c>
      <c r="AA92" s="78">
        <v>12.79</v>
      </c>
      <c r="AB92" s="78">
        <v>26.51</v>
      </c>
      <c r="AC92" s="78">
        <v>6</v>
      </c>
      <c r="AD92" s="78">
        <v>31.53</v>
      </c>
      <c r="AE92" s="78">
        <f t="shared" si="9"/>
        <v>100</v>
      </c>
      <c r="AF92" s="78"/>
      <c r="AG92" s="80">
        <v>28.799999999999997</v>
      </c>
      <c r="AH92" s="80">
        <v>12.4</v>
      </c>
      <c r="AI92" s="80">
        <v>20</v>
      </c>
      <c r="AJ92" s="80">
        <v>4</v>
      </c>
      <c r="AK92" s="80">
        <v>34.799999999999997</v>
      </c>
      <c r="AL92" s="78">
        <f t="shared" si="10"/>
        <v>99.999999999999986</v>
      </c>
      <c r="AM92" s="78"/>
      <c r="AN92" s="80">
        <v>19.53</v>
      </c>
      <c r="AO92" s="80">
        <v>14.69</v>
      </c>
      <c r="AP92" s="80">
        <v>22.21</v>
      </c>
      <c r="AQ92" s="80">
        <v>14.799999999999999</v>
      </c>
      <c r="AR92" s="80">
        <v>28.77</v>
      </c>
      <c r="AS92" s="78">
        <f t="shared" si="11"/>
        <v>100</v>
      </c>
      <c r="AT92" s="78"/>
      <c r="AU92" s="80">
        <v>22.16</v>
      </c>
      <c r="AV92" s="80">
        <v>14.99</v>
      </c>
      <c r="AW92" s="80">
        <v>24.240000000000002</v>
      </c>
      <c r="AX92" s="80">
        <v>7.9600000000000009</v>
      </c>
      <c r="AY92" s="80">
        <v>30.65</v>
      </c>
      <c r="AZ92" s="78">
        <f t="shared" si="8"/>
        <v>100</v>
      </c>
      <c r="BC92" s="57" t="s">
        <v>141</v>
      </c>
      <c r="BD92" s="58" t="s">
        <v>72</v>
      </c>
      <c r="BE92" s="58" t="s">
        <v>142</v>
      </c>
      <c r="BF92" s="59">
        <v>13.38</v>
      </c>
      <c r="BG92" s="59">
        <v>4.66</v>
      </c>
      <c r="BI92" s="57" t="s">
        <v>148</v>
      </c>
      <c r="BJ92" s="58"/>
      <c r="BK92" s="58" t="s">
        <v>149</v>
      </c>
      <c r="BL92" s="59">
        <v>24.47</v>
      </c>
      <c r="BM92" s="59">
        <v>-0.67</v>
      </c>
      <c r="BO92" s="57"/>
      <c r="BP92" s="58"/>
      <c r="BQ92" s="58"/>
      <c r="BR92" s="59"/>
      <c r="BS92" s="59"/>
      <c r="BU92" s="57"/>
      <c r="BV92" s="58"/>
      <c r="BW92" s="58" t="s">
        <v>162</v>
      </c>
      <c r="BX92" s="59">
        <f>_xlfn.STDEV.S(BX87:BX89)</f>
        <v>1.5603845679831623</v>
      </c>
      <c r="BY92" s="59">
        <f>_xlfn.STDEV.S(BY87:BY89)</f>
        <v>5.7261068798966068</v>
      </c>
      <c r="CA92" s="57"/>
      <c r="CB92" s="58"/>
      <c r="CC92" s="58"/>
      <c r="CD92" s="59"/>
      <c r="CE92" s="59"/>
    </row>
    <row r="93" spans="1:83" ht="20.100000000000001" customHeight="1">
      <c r="A93" s="31">
        <v>7</v>
      </c>
      <c r="B93" s="32" t="s">
        <v>23</v>
      </c>
      <c r="C93" s="32" t="s">
        <v>23</v>
      </c>
      <c r="D93" s="33" t="s">
        <v>26</v>
      </c>
      <c r="E93" s="42">
        <v>45393</v>
      </c>
      <c r="F93" s="34">
        <v>0.63888888888888895</v>
      </c>
      <c r="G93" s="33" t="s">
        <v>19</v>
      </c>
      <c r="H93" s="43">
        <v>17.5</v>
      </c>
      <c r="I93" s="43">
        <v>7.38</v>
      </c>
      <c r="J93" s="43">
        <v>9.8800000000000008</v>
      </c>
      <c r="K93" s="44">
        <v>267</v>
      </c>
      <c r="L93" s="41">
        <v>3.016</v>
      </c>
      <c r="M93" s="41"/>
      <c r="N93" s="41">
        <v>0.191</v>
      </c>
      <c r="O93" s="41">
        <v>2.4391271227247548</v>
      </c>
      <c r="P93" s="41">
        <v>7.7295428737773897E-2</v>
      </c>
      <c r="Q93" s="41">
        <v>4.3</v>
      </c>
      <c r="R93" s="41">
        <v>0.251</v>
      </c>
      <c r="S93" s="41">
        <v>0.249</v>
      </c>
      <c r="T93" s="41">
        <v>21.663703887468678</v>
      </c>
      <c r="U93" s="41">
        <v>8.2100000000000009</v>
      </c>
      <c r="V93" s="41">
        <v>5.56</v>
      </c>
      <c r="W93" s="41">
        <v>19.2</v>
      </c>
      <c r="X93" s="41">
        <v>10.009981831868686</v>
      </c>
      <c r="Y93" s="36"/>
      <c r="Z93" s="78">
        <v>26.22</v>
      </c>
      <c r="AA93" s="78">
        <v>18.79</v>
      </c>
      <c r="AB93" s="78">
        <v>19.3</v>
      </c>
      <c r="AC93" s="78">
        <v>2.99</v>
      </c>
      <c r="AD93" s="78">
        <v>32.700000000000003</v>
      </c>
      <c r="AE93" s="78">
        <f t="shared" si="9"/>
        <v>100</v>
      </c>
      <c r="AF93" s="78"/>
      <c r="AG93" s="80">
        <v>33.900000000000006</v>
      </c>
      <c r="AH93" s="80">
        <v>14.3</v>
      </c>
      <c r="AI93" s="80">
        <v>13.8</v>
      </c>
      <c r="AJ93" s="80">
        <v>3</v>
      </c>
      <c r="AK93" s="80">
        <v>35</v>
      </c>
      <c r="AL93" s="78">
        <f t="shared" si="10"/>
        <v>100</v>
      </c>
      <c r="AM93" s="78"/>
      <c r="AN93" s="80">
        <v>22.59</v>
      </c>
      <c r="AO93" s="80">
        <v>21.43</v>
      </c>
      <c r="AP93" s="80">
        <v>23.14</v>
      </c>
      <c r="AQ93" s="80">
        <v>4.22</v>
      </c>
      <c r="AR93" s="80">
        <v>28.62</v>
      </c>
      <c r="AS93" s="78">
        <f t="shared" si="11"/>
        <v>100</v>
      </c>
      <c r="AT93" s="78"/>
      <c r="AU93" s="80">
        <v>27.400000000000002</v>
      </c>
      <c r="AV93" s="80">
        <v>19.759999999999998</v>
      </c>
      <c r="AW93" s="80">
        <v>16.37</v>
      </c>
      <c r="AX93" s="80">
        <v>5.2299999999999995</v>
      </c>
      <c r="AY93" s="80">
        <v>31.240000000000002</v>
      </c>
      <c r="AZ93" s="78">
        <f t="shared" si="8"/>
        <v>100</v>
      </c>
      <c r="BC93" s="57" t="s">
        <v>115</v>
      </c>
      <c r="BD93" s="58" t="s">
        <v>113</v>
      </c>
      <c r="BE93" s="58" t="s">
        <v>116</v>
      </c>
      <c r="BF93" s="59">
        <v>12.44</v>
      </c>
      <c r="BG93" s="59">
        <v>3.65</v>
      </c>
      <c r="BI93" s="57" t="s">
        <v>137</v>
      </c>
      <c r="BJ93" s="58"/>
      <c r="BK93" s="58" t="s">
        <v>110</v>
      </c>
      <c r="BL93" s="59">
        <v>24.39</v>
      </c>
      <c r="BM93" s="59">
        <v>1.3149999999999999</v>
      </c>
      <c r="BO93" s="57"/>
      <c r="BP93" s="58"/>
      <c r="BQ93" s="58" t="s">
        <v>161</v>
      </c>
      <c r="BR93" s="59">
        <f>AVERAGE(BR87:BR88)</f>
        <v>0.86499999999999999</v>
      </c>
      <c r="BS93" s="59">
        <f>AVERAGE(BS87:BS88)</f>
        <v>14.385000000000002</v>
      </c>
      <c r="CA93" s="57"/>
      <c r="CB93" s="58"/>
      <c r="CC93" s="58"/>
      <c r="CD93" s="59"/>
      <c r="CE93" s="59"/>
    </row>
    <row r="94" spans="1:83" ht="20.100000000000001" customHeight="1">
      <c r="A94" s="31">
        <v>8</v>
      </c>
      <c r="B94" s="32" t="s">
        <v>23</v>
      </c>
      <c r="C94" s="32" t="s">
        <v>27</v>
      </c>
      <c r="D94" s="33" t="s">
        <v>28</v>
      </c>
      <c r="E94" s="42">
        <v>45393</v>
      </c>
      <c r="F94" s="34">
        <v>0.65277777777777779</v>
      </c>
      <c r="G94" s="33" t="s">
        <v>19</v>
      </c>
      <c r="H94" s="43">
        <v>15.2</v>
      </c>
      <c r="I94" s="43">
        <v>7.18</v>
      </c>
      <c r="J94" s="43">
        <v>8.57</v>
      </c>
      <c r="K94" s="44">
        <v>447</v>
      </c>
      <c r="L94" s="41">
        <v>10.587</v>
      </c>
      <c r="M94" s="41"/>
      <c r="N94" s="41">
        <v>7.5830000000000002</v>
      </c>
      <c r="O94" s="41">
        <v>0.97586059085562704</v>
      </c>
      <c r="P94" s="41">
        <v>8.6902733014795064E-2</v>
      </c>
      <c r="Q94" s="41">
        <v>13.8</v>
      </c>
      <c r="R94" s="41">
        <v>4.4939999999999998</v>
      </c>
      <c r="S94" s="41">
        <v>4.4489999999999998</v>
      </c>
      <c r="T94" s="41">
        <v>28.874406034046217</v>
      </c>
      <c r="U94" s="41">
        <v>1.58</v>
      </c>
      <c r="V94" s="41">
        <v>-0.43</v>
      </c>
      <c r="W94" s="41">
        <v>29.5</v>
      </c>
      <c r="X94" s="41">
        <v>10.352175185906143</v>
      </c>
      <c r="Y94" s="36"/>
      <c r="Z94" s="78">
        <v>4.4800000000000004</v>
      </c>
      <c r="AA94" s="78">
        <v>1.68</v>
      </c>
      <c r="AB94" s="78">
        <v>1.34</v>
      </c>
      <c r="AC94" s="78">
        <v>0.23</v>
      </c>
      <c r="AD94" s="78">
        <v>92.27</v>
      </c>
      <c r="AE94" s="78">
        <f t="shared" si="9"/>
        <v>100</v>
      </c>
      <c r="AF94" s="78"/>
      <c r="AG94" s="80">
        <v>11.5</v>
      </c>
      <c r="AH94" s="80">
        <v>4.7</v>
      </c>
      <c r="AI94" s="80">
        <v>9.9</v>
      </c>
      <c r="AJ94" s="80">
        <v>1.2</v>
      </c>
      <c r="AK94" s="80">
        <v>72.7</v>
      </c>
      <c r="AL94" s="78">
        <f t="shared" si="10"/>
        <v>100</v>
      </c>
      <c r="AM94" s="78"/>
      <c r="AN94" s="80">
        <v>7.4899999999999993</v>
      </c>
      <c r="AO94" s="80">
        <v>6.41</v>
      </c>
      <c r="AP94" s="80">
        <v>12.620000000000001</v>
      </c>
      <c r="AQ94" s="80">
        <v>6.36</v>
      </c>
      <c r="AR94" s="80">
        <v>67.12</v>
      </c>
      <c r="AS94" s="78">
        <f t="shared" si="11"/>
        <v>100</v>
      </c>
      <c r="AT94" s="78"/>
      <c r="AU94" s="80">
        <v>2.5</v>
      </c>
      <c r="AV94" s="80">
        <v>1.3299999999999998</v>
      </c>
      <c r="AW94" s="80">
        <v>10.489999999999998</v>
      </c>
      <c r="AX94" s="80">
        <v>0.88</v>
      </c>
      <c r="AY94" s="80">
        <v>84.8</v>
      </c>
      <c r="AZ94" s="78">
        <f t="shared" si="8"/>
        <v>100</v>
      </c>
      <c r="BC94" s="57" t="s">
        <v>115</v>
      </c>
      <c r="BD94" s="58" t="s">
        <v>113</v>
      </c>
      <c r="BE94" s="58" t="s">
        <v>116</v>
      </c>
      <c r="BF94" s="59">
        <v>12.27</v>
      </c>
      <c r="BG94" s="59">
        <v>4.01</v>
      </c>
      <c r="BI94" s="57" t="s">
        <v>89</v>
      </c>
      <c r="BJ94" s="58"/>
      <c r="BK94" s="58" t="s">
        <v>88</v>
      </c>
      <c r="BL94" s="59">
        <v>18.195</v>
      </c>
      <c r="BM94" s="59">
        <v>4.7449999999999992</v>
      </c>
      <c r="BO94" s="57"/>
      <c r="BP94" s="58"/>
      <c r="BQ94" s="58" t="s">
        <v>162</v>
      </c>
      <c r="BR94" s="59">
        <f>_xlfn.STDEV.S(BR87:BR88)</f>
        <v>0.3323401871576776</v>
      </c>
      <c r="BS94" s="59">
        <f>_xlfn.STDEV.S(BS87:BS88)</f>
        <v>5.1830927060973853</v>
      </c>
      <c r="CA94" s="57"/>
      <c r="CB94" s="58"/>
      <c r="CC94" s="58"/>
      <c r="CD94" s="59"/>
      <c r="CE94" s="59"/>
    </row>
    <row r="95" spans="1:83" ht="20.100000000000001" customHeight="1">
      <c r="A95" s="31">
        <v>9</v>
      </c>
      <c r="B95" s="32" t="s">
        <v>23</v>
      </c>
      <c r="C95" s="32" t="s">
        <v>27</v>
      </c>
      <c r="D95" s="33" t="s">
        <v>30</v>
      </c>
      <c r="E95" s="42">
        <v>45393</v>
      </c>
      <c r="F95" s="34">
        <v>0.64236111111111105</v>
      </c>
      <c r="G95" s="33" t="s">
        <v>19</v>
      </c>
      <c r="H95" s="43">
        <v>17.600000000000001</v>
      </c>
      <c r="I95" s="43">
        <v>8.07</v>
      </c>
      <c r="J95" s="43">
        <v>12.5</v>
      </c>
      <c r="K95" s="44">
        <v>306</v>
      </c>
      <c r="L95" s="41">
        <v>5.1479999999999997</v>
      </c>
      <c r="M95" s="41"/>
      <c r="N95" s="41">
        <v>0.44400000000000001</v>
      </c>
      <c r="O95" s="41">
        <v>3.8062637015242489</v>
      </c>
      <c r="P95" s="41">
        <v>0.37424985100928226</v>
      </c>
      <c r="Q95" s="41">
        <v>8.3000000000000007</v>
      </c>
      <c r="R95" s="41">
        <v>1.298</v>
      </c>
      <c r="S95" s="41">
        <v>1.2909999999999999</v>
      </c>
      <c r="T95" s="41">
        <v>22.829088136986975</v>
      </c>
      <c r="U95" s="41">
        <v>12.48</v>
      </c>
      <c r="V95" s="41">
        <v>2.62</v>
      </c>
      <c r="W95" s="41" t="s">
        <v>68</v>
      </c>
      <c r="X95" s="41">
        <v>12.076708490286192</v>
      </c>
      <c r="Y95" s="36"/>
      <c r="Z95" s="77">
        <v>56.36</v>
      </c>
      <c r="AA95" s="77">
        <v>21.61</v>
      </c>
      <c r="AB95" s="77">
        <v>1.6</v>
      </c>
      <c r="AC95" s="77">
        <v>0.3</v>
      </c>
      <c r="AD95" s="77">
        <v>20.13</v>
      </c>
      <c r="AE95" s="77">
        <f t="shared" si="9"/>
        <v>99.999999999999986</v>
      </c>
      <c r="AF95" s="78"/>
      <c r="AG95" s="77">
        <v>47.8</v>
      </c>
      <c r="AH95" s="77">
        <v>20.7</v>
      </c>
      <c r="AI95" s="77">
        <v>7.3999999999999995</v>
      </c>
      <c r="AJ95" s="77">
        <v>1.9</v>
      </c>
      <c r="AK95" s="77">
        <v>22.2</v>
      </c>
      <c r="AL95" s="77">
        <f t="shared" si="10"/>
        <v>100.00000000000001</v>
      </c>
      <c r="AM95" s="78"/>
      <c r="AN95" s="77">
        <v>34.479999999999997</v>
      </c>
      <c r="AO95" s="77">
        <v>31.45</v>
      </c>
      <c r="AP95" s="77">
        <v>7.08</v>
      </c>
      <c r="AQ95" s="77">
        <v>6.39</v>
      </c>
      <c r="AR95" s="77">
        <v>20.599999999999998</v>
      </c>
      <c r="AS95" s="77">
        <f t="shared" si="11"/>
        <v>99.999999999999986</v>
      </c>
      <c r="AT95" s="78"/>
      <c r="AU95" s="77">
        <v>39.619999999999997</v>
      </c>
      <c r="AV95" s="77">
        <v>32.300000000000004</v>
      </c>
      <c r="AW95" s="77">
        <v>8.0299999999999994</v>
      </c>
      <c r="AX95" s="77">
        <v>2.86</v>
      </c>
      <c r="AY95" s="77">
        <v>17.190000000000001</v>
      </c>
      <c r="AZ95" s="77">
        <f t="shared" si="8"/>
        <v>100</v>
      </c>
      <c r="BC95" s="57" t="s">
        <v>147</v>
      </c>
      <c r="BD95" s="58" t="s">
        <v>72</v>
      </c>
      <c r="BE95" s="58" t="s">
        <v>144</v>
      </c>
      <c r="BF95" s="59">
        <v>12.15</v>
      </c>
      <c r="BG95" s="59">
        <v>-0.53</v>
      </c>
      <c r="BI95" s="57"/>
      <c r="BJ95" s="58"/>
      <c r="BK95" s="58"/>
      <c r="BL95" s="59"/>
      <c r="BM95" s="59"/>
      <c r="CA95" s="57"/>
      <c r="CB95" s="58"/>
      <c r="CC95" s="58"/>
      <c r="CD95" s="59"/>
      <c r="CE95" s="59"/>
    </row>
    <row r="96" spans="1:83" ht="20.100000000000001" customHeight="1">
      <c r="A96" s="22">
        <v>10</v>
      </c>
      <c r="B96" s="14" t="s">
        <v>31</v>
      </c>
      <c r="C96" s="14" t="s">
        <v>31</v>
      </c>
      <c r="D96" s="15" t="s">
        <v>32</v>
      </c>
      <c r="E96" s="16">
        <v>45394</v>
      </c>
      <c r="F96" s="17">
        <v>0.55902777777777779</v>
      </c>
      <c r="G96" s="15" t="s">
        <v>19</v>
      </c>
      <c r="H96" s="23">
        <v>20.100000000000001</v>
      </c>
      <c r="I96" s="23">
        <v>9.43</v>
      </c>
      <c r="J96" s="23">
        <v>13.8</v>
      </c>
      <c r="K96" s="45">
        <v>159.5</v>
      </c>
      <c r="L96" s="39">
        <v>1.5369999999999999</v>
      </c>
      <c r="M96" s="39"/>
      <c r="N96" s="39">
        <v>0.06</v>
      </c>
      <c r="O96" s="39">
        <v>1.3490559741266328</v>
      </c>
      <c r="P96" s="39" t="s">
        <v>112</v>
      </c>
      <c r="Q96" s="39">
        <v>2.4</v>
      </c>
      <c r="R96" s="39">
        <v>1.9E-2</v>
      </c>
      <c r="S96" s="39">
        <v>7.0000000000000001E-3</v>
      </c>
      <c r="T96" s="39">
        <v>10.187097958523417</v>
      </c>
      <c r="U96" s="39">
        <v>8.51</v>
      </c>
      <c r="V96" s="39">
        <v>8.32</v>
      </c>
      <c r="W96" s="39">
        <v>8.6999999999999993</v>
      </c>
      <c r="X96" s="39">
        <v>13.328055480267331</v>
      </c>
      <c r="Y96" s="18"/>
      <c r="Z96" s="78">
        <v>21.37</v>
      </c>
      <c r="AA96" s="78">
        <v>23.86</v>
      </c>
      <c r="AB96" s="78">
        <v>22.07</v>
      </c>
      <c r="AC96" s="78">
        <v>7.7</v>
      </c>
      <c r="AD96" s="78">
        <v>25</v>
      </c>
      <c r="AE96" s="78">
        <f t="shared" si="9"/>
        <v>100.00000000000001</v>
      </c>
      <c r="AF96" s="78"/>
      <c r="AG96" s="80">
        <v>34.5</v>
      </c>
      <c r="AH96" s="80">
        <v>16</v>
      </c>
      <c r="AI96" s="80">
        <v>17.100000000000001</v>
      </c>
      <c r="AJ96" s="80">
        <v>4.2</v>
      </c>
      <c r="AK96" s="80">
        <v>28.199999999999996</v>
      </c>
      <c r="AL96" s="78">
        <f t="shared" si="10"/>
        <v>100</v>
      </c>
      <c r="AM96" s="78"/>
      <c r="AN96" s="80">
        <v>24.490000000000002</v>
      </c>
      <c r="AO96" s="80">
        <v>23.810000000000002</v>
      </c>
      <c r="AP96" s="80">
        <v>20.57</v>
      </c>
      <c r="AQ96" s="80">
        <v>9.09</v>
      </c>
      <c r="AR96" s="80">
        <v>22.040000000000003</v>
      </c>
      <c r="AS96" s="78">
        <f t="shared" si="11"/>
        <v>100.00000000000001</v>
      </c>
      <c r="AT96" s="78"/>
      <c r="AU96" s="80">
        <v>26.1</v>
      </c>
      <c r="AV96" s="80">
        <v>22.220000000000002</v>
      </c>
      <c r="AW96" s="80">
        <v>19.98</v>
      </c>
      <c r="AX96" s="80">
        <v>8.86</v>
      </c>
      <c r="AY96" s="80">
        <v>22.84</v>
      </c>
      <c r="AZ96" s="78">
        <f t="shared" si="8"/>
        <v>100.00000000000001</v>
      </c>
      <c r="BC96" s="57" t="s">
        <v>81</v>
      </c>
      <c r="BD96" s="58"/>
      <c r="BE96" s="58" t="s">
        <v>171</v>
      </c>
      <c r="BF96" s="59">
        <v>12.14</v>
      </c>
      <c r="BG96" s="59">
        <v>1.42</v>
      </c>
      <c r="BI96" s="57"/>
      <c r="BJ96" s="58"/>
      <c r="BK96" s="58"/>
      <c r="BL96" s="59"/>
      <c r="BM96" s="59"/>
      <c r="CA96" s="57"/>
      <c r="CB96" s="58"/>
      <c r="CC96" s="58"/>
      <c r="CD96" s="59"/>
      <c r="CE96" s="59"/>
    </row>
    <row r="97" spans="1:83" ht="20.100000000000001" customHeight="1">
      <c r="A97" s="22">
        <v>11</v>
      </c>
      <c r="B97" s="14" t="s">
        <v>31</v>
      </c>
      <c r="C97" s="14" t="s">
        <v>31</v>
      </c>
      <c r="D97" s="15" t="s">
        <v>33</v>
      </c>
      <c r="E97" s="16">
        <v>45394</v>
      </c>
      <c r="F97" s="17">
        <v>0.60416666666666663</v>
      </c>
      <c r="G97" s="15" t="s">
        <v>19</v>
      </c>
      <c r="H97" s="23">
        <v>18.8</v>
      </c>
      <c r="I97" s="23">
        <v>7.93</v>
      </c>
      <c r="J97" s="23">
        <v>10.17</v>
      </c>
      <c r="K97" s="45">
        <v>192.7</v>
      </c>
      <c r="L97" s="39">
        <v>2.169</v>
      </c>
      <c r="M97" s="39"/>
      <c r="N97" s="39">
        <v>2.1999999999999999E-2</v>
      </c>
      <c r="O97" s="39">
        <v>2.0674211944327476</v>
      </c>
      <c r="P97" s="39" t="s">
        <v>112</v>
      </c>
      <c r="Q97" s="39">
        <v>2</v>
      </c>
      <c r="R97" s="39">
        <v>4.7E-2</v>
      </c>
      <c r="S97" s="39">
        <v>4.2999999999999997E-2</v>
      </c>
      <c r="T97" s="39">
        <v>12.831242270508705</v>
      </c>
      <c r="U97" s="39">
        <v>8.24</v>
      </c>
      <c r="V97" s="39">
        <v>6.51</v>
      </c>
      <c r="W97" s="39">
        <v>11.6</v>
      </c>
      <c r="X97" s="39">
        <v>13.545452837707971</v>
      </c>
      <c r="Y97" s="18"/>
      <c r="Z97" s="78">
        <v>25.22</v>
      </c>
      <c r="AA97" s="78">
        <v>19.600000000000001</v>
      </c>
      <c r="AB97" s="78">
        <v>21.25</v>
      </c>
      <c r="AC97" s="78">
        <v>4.4000000000000004</v>
      </c>
      <c r="AD97" s="78">
        <v>29.53</v>
      </c>
      <c r="AE97" s="78">
        <f t="shared" si="9"/>
        <v>100</v>
      </c>
      <c r="AF97" s="78"/>
      <c r="AG97" s="80">
        <v>34.200000000000003</v>
      </c>
      <c r="AH97" s="80">
        <v>14.9</v>
      </c>
      <c r="AI97" s="80">
        <v>15.2</v>
      </c>
      <c r="AJ97" s="80">
        <v>3.3000000000000003</v>
      </c>
      <c r="AK97" s="80">
        <v>32.4</v>
      </c>
      <c r="AL97" s="78">
        <f t="shared" si="10"/>
        <v>100</v>
      </c>
      <c r="AM97" s="78"/>
      <c r="AN97" s="80">
        <v>27.51</v>
      </c>
      <c r="AO97" s="80">
        <v>18.420000000000002</v>
      </c>
      <c r="AP97" s="80">
        <v>23.119999999999997</v>
      </c>
      <c r="AQ97" s="80">
        <v>6.1400000000000006</v>
      </c>
      <c r="AR97" s="80">
        <v>24.81</v>
      </c>
      <c r="AS97" s="78">
        <f t="shared" si="11"/>
        <v>100.00000000000001</v>
      </c>
      <c r="AT97" s="78"/>
      <c r="AU97" s="80">
        <v>26.83</v>
      </c>
      <c r="AV97" s="80">
        <v>20.32</v>
      </c>
      <c r="AW97" s="80">
        <v>18.190000000000001</v>
      </c>
      <c r="AX97" s="80">
        <v>6.370000000000001</v>
      </c>
      <c r="AY97" s="80">
        <v>28.29</v>
      </c>
      <c r="AZ97" s="78">
        <f t="shared" si="8"/>
        <v>100</v>
      </c>
      <c r="BC97" s="57" t="s">
        <v>81</v>
      </c>
      <c r="BD97" s="58" t="s">
        <v>71</v>
      </c>
      <c r="BE97" s="58" t="s">
        <v>82</v>
      </c>
      <c r="BF97" s="59">
        <v>10.89</v>
      </c>
      <c r="BG97" s="59">
        <v>1.05</v>
      </c>
      <c r="BI97" s="57"/>
      <c r="BJ97" s="58"/>
      <c r="BK97" s="58"/>
      <c r="BL97" s="59"/>
      <c r="BM97" s="59"/>
      <c r="CA97" s="57"/>
      <c r="CB97" s="58"/>
      <c r="CC97" s="58"/>
      <c r="CD97" s="59"/>
      <c r="CE97" s="59"/>
    </row>
    <row r="98" spans="1:83" ht="20.100000000000001" customHeight="1">
      <c r="A98" s="22">
        <v>12</v>
      </c>
      <c r="B98" s="14" t="s">
        <v>31</v>
      </c>
      <c r="C98" s="14" t="s">
        <v>31</v>
      </c>
      <c r="D98" s="15" t="s">
        <v>34</v>
      </c>
      <c r="E98" s="16">
        <v>45394</v>
      </c>
      <c r="F98" s="17">
        <v>0.61111111111111105</v>
      </c>
      <c r="G98" s="15" t="s">
        <v>19</v>
      </c>
      <c r="H98" s="23">
        <v>20.6</v>
      </c>
      <c r="I98" s="23">
        <v>8.49</v>
      </c>
      <c r="J98" s="23">
        <v>11.2</v>
      </c>
      <c r="K98" s="45">
        <v>200.4</v>
      </c>
      <c r="L98" s="39">
        <v>2.4790000000000001</v>
      </c>
      <c r="M98" s="39"/>
      <c r="N98" s="39">
        <v>3.5000000000000003E-2</v>
      </c>
      <c r="O98" s="39">
        <v>2.3482003300928995</v>
      </c>
      <c r="P98" s="39" t="s">
        <v>112</v>
      </c>
      <c r="Q98" s="39">
        <v>2.1</v>
      </c>
      <c r="R98" s="39">
        <v>5.0999999999999997E-2</v>
      </c>
      <c r="S98" s="39">
        <v>4.8000000000000001E-2</v>
      </c>
      <c r="T98" s="39">
        <v>14.247692060289525</v>
      </c>
      <c r="U98" s="39">
        <v>8.6199999999999992</v>
      </c>
      <c r="V98" s="39">
        <v>5.83</v>
      </c>
      <c r="W98" s="39">
        <v>11.2</v>
      </c>
      <c r="X98" s="39">
        <v>14.539856019900043</v>
      </c>
      <c r="Y98" s="18"/>
      <c r="Z98" s="78">
        <v>25.92</v>
      </c>
      <c r="AA98" s="78">
        <v>21.16</v>
      </c>
      <c r="AB98" s="78">
        <v>18.16</v>
      </c>
      <c r="AC98" s="78">
        <v>3.65</v>
      </c>
      <c r="AD98" s="78">
        <v>31.11</v>
      </c>
      <c r="AE98" s="78">
        <f t="shared" si="9"/>
        <v>100</v>
      </c>
      <c r="AF98" s="78"/>
      <c r="AG98" s="80">
        <v>35.699999999999996</v>
      </c>
      <c r="AH98" s="80">
        <v>15</v>
      </c>
      <c r="AI98" s="80">
        <v>13.900000000000002</v>
      </c>
      <c r="AJ98" s="80">
        <v>3.1</v>
      </c>
      <c r="AK98" s="80">
        <v>32.300000000000004</v>
      </c>
      <c r="AL98" s="78">
        <f t="shared" si="10"/>
        <v>100</v>
      </c>
      <c r="AM98" s="78"/>
      <c r="AN98" s="80">
        <v>24.52</v>
      </c>
      <c r="AO98" s="80">
        <v>22.57</v>
      </c>
      <c r="AP98" s="80">
        <v>20.47</v>
      </c>
      <c r="AQ98" s="80">
        <v>4.7</v>
      </c>
      <c r="AR98" s="80">
        <v>27.74</v>
      </c>
      <c r="AS98" s="78">
        <f t="shared" si="11"/>
        <v>100</v>
      </c>
      <c r="AT98" s="78"/>
      <c r="AU98" s="80">
        <v>28.26</v>
      </c>
      <c r="AV98" s="80">
        <v>21.21</v>
      </c>
      <c r="AW98" s="80">
        <v>16.38</v>
      </c>
      <c r="AX98" s="80">
        <v>5.57</v>
      </c>
      <c r="AY98" s="80">
        <v>28.58</v>
      </c>
      <c r="AZ98" s="78">
        <f t="shared" si="8"/>
        <v>99.999999999999986</v>
      </c>
      <c r="BC98" s="57" t="s">
        <v>172</v>
      </c>
      <c r="BD98" s="58"/>
      <c r="BE98" s="58" t="s">
        <v>173</v>
      </c>
      <c r="BF98" s="59">
        <v>10.72</v>
      </c>
      <c r="BG98" s="59">
        <v>3.81</v>
      </c>
      <c r="BI98" s="57"/>
      <c r="BJ98" s="58"/>
      <c r="BK98" s="58"/>
      <c r="BL98" s="59"/>
      <c r="BM98" s="59"/>
      <c r="CA98" s="57"/>
      <c r="CB98" s="58"/>
      <c r="CC98" s="58"/>
      <c r="CD98" s="59"/>
      <c r="CE98" s="59"/>
    </row>
    <row r="99" spans="1:83" ht="20.100000000000001" customHeight="1">
      <c r="A99" s="22">
        <v>13</v>
      </c>
      <c r="B99" s="14" t="s">
        <v>31</v>
      </c>
      <c r="C99" s="14" t="s">
        <v>35</v>
      </c>
      <c r="D99" s="15" t="s">
        <v>36</v>
      </c>
      <c r="E99" s="16">
        <v>45394</v>
      </c>
      <c r="F99" s="17">
        <v>0.59375</v>
      </c>
      <c r="G99" s="15" t="s">
        <v>37</v>
      </c>
      <c r="H99" s="23">
        <v>20</v>
      </c>
      <c r="I99" s="23">
        <v>7.91</v>
      </c>
      <c r="J99" s="23">
        <v>10.9</v>
      </c>
      <c r="K99" s="45">
        <v>264</v>
      </c>
      <c r="L99" s="39">
        <v>3.7250000000000001</v>
      </c>
      <c r="M99" s="39"/>
      <c r="N99" s="39">
        <v>0.246</v>
      </c>
      <c r="O99" s="39">
        <v>3.3700928149145133</v>
      </c>
      <c r="P99" s="39">
        <v>6.9030757429925982E-2</v>
      </c>
      <c r="Q99" s="39">
        <v>2.2000000000000002</v>
      </c>
      <c r="R99" s="39">
        <v>0.106</v>
      </c>
      <c r="S99" s="39">
        <v>0.105</v>
      </c>
      <c r="T99" s="39">
        <v>20.963677081464517</v>
      </c>
      <c r="U99" s="39">
        <v>9.1300000000000008</v>
      </c>
      <c r="V99" s="39">
        <v>4.09</v>
      </c>
      <c r="W99" s="39">
        <v>9.3000000000000007</v>
      </c>
      <c r="X99" s="39">
        <v>15.702781473289019</v>
      </c>
      <c r="Y99" s="18"/>
      <c r="Z99" s="78">
        <v>30.71</v>
      </c>
      <c r="AA99" s="78">
        <v>20.57</v>
      </c>
      <c r="AB99" s="78">
        <v>9.9</v>
      </c>
      <c r="AC99" s="78">
        <v>2.2999999999999998</v>
      </c>
      <c r="AD99" s="78">
        <v>36.520000000000003</v>
      </c>
      <c r="AE99" s="78">
        <f t="shared" si="9"/>
        <v>100</v>
      </c>
      <c r="AF99" s="78"/>
      <c r="AG99" s="80">
        <v>38.1</v>
      </c>
      <c r="AH99" s="80">
        <v>14.899999999999999</v>
      </c>
      <c r="AI99" s="80">
        <v>11</v>
      </c>
      <c r="AJ99" s="80">
        <v>2.4</v>
      </c>
      <c r="AK99" s="80">
        <v>33.6</v>
      </c>
      <c r="AL99" s="78">
        <f t="shared" si="10"/>
        <v>100</v>
      </c>
      <c r="AM99" s="78"/>
      <c r="AN99" s="80">
        <v>32.47</v>
      </c>
      <c r="AO99" s="80">
        <v>20.78</v>
      </c>
      <c r="AP99" s="80">
        <v>14.940000000000001</v>
      </c>
      <c r="AQ99" s="80">
        <v>4.1399999999999997</v>
      </c>
      <c r="AR99" s="80">
        <v>27.67</v>
      </c>
      <c r="AS99" s="78">
        <f t="shared" si="11"/>
        <v>100</v>
      </c>
      <c r="AT99" s="78"/>
      <c r="AU99" s="80">
        <v>31.1</v>
      </c>
      <c r="AV99" s="80">
        <v>21.279999999999998</v>
      </c>
      <c r="AW99" s="80">
        <v>12.770000000000001</v>
      </c>
      <c r="AX99" s="80">
        <v>3.8699999999999997</v>
      </c>
      <c r="AY99" s="80">
        <v>30.98</v>
      </c>
      <c r="AZ99" s="78">
        <f t="shared" si="8"/>
        <v>100</v>
      </c>
      <c r="BC99" s="57"/>
      <c r="BD99" s="58"/>
      <c r="BE99" s="58"/>
      <c r="BF99" s="59"/>
      <c r="BG99" s="59"/>
      <c r="BI99" s="57"/>
      <c r="BJ99" s="58"/>
      <c r="BK99" s="58"/>
      <c r="BL99" s="59"/>
      <c r="BM99" s="59"/>
      <c r="CA99" s="57"/>
      <c r="CB99" s="58"/>
      <c r="CC99" s="58" t="s">
        <v>161</v>
      </c>
      <c r="CD99" s="59">
        <f>AVERAGE(CD87:CD96)</f>
        <v>2.492</v>
      </c>
      <c r="CE99" s="59">
        <f>AVERAGE(CE87:CE91)</f>
        <v>-0.24799999999999994</v>
      </c>
    </row>
    <row r="100" spans="1:83" ht="20.100000000000001" customHeight="1">
      <c r="A100" s="22">
        <v>14</v>
      </c>
      <c r="B100" s="14" t="s">
        <v>31</v>
      </c>
      <c r="C100" s="14" t="s">
        <v>5</v>
      </c>
      <c r="D100" s="15" t="s">
        <v>29</v>
      </c>
      <c r="E100" s="16">
        <v>45394</v>
      </c>
      <c r="F100" s="17">
        <v>0.58680555555555558</v>
      </c>
      <c r="G100" s="15" t="s">
        <v>37</v>
      </c>
      <c r="H100" s="23">
        <v>21.3</v>
      </c>
      <c r="I100" s="23">
        <v>7.61</v>
      </c>
      <c r="J100" s="23">
        <v>10.199999999999999</v>
      </c>
      <c r="K100" s="45">
        <v>330</v>
      </c>
      <c r="L100" s="39">
        <v>3.2210000000000001</v>
      </c>
      <c r="M100" s="39"/>
      <c r="N100" s="39">
        <v>0.48799999999999999</v>
      </c>
      <c r="O100" s="39">
        <v>2.409154906701044</v>
      </c>
      <c r="P100" s="39">
        <v>0.20265185356162441</v>
      </c>
      <c r="Q100" s="39">
        <v>2.8</v>
      </c>
      <c r="R100" s="39">
        <v>7.3999999999999996E-2</v>
      </c>
      <c r="S100" s="39">
        <v>7.0000000000000007E-2</v>
      </c>
      <c r="T100" s="39">
        <v>37.782982991834189</v>
      </c>
      <c r="U100" s="39">
        <v>8.94</v>
      </c>
      <c r="V100" s="39">
        <v>4.2699999999999996</v>
      </c>
      <c r="W100" s="39">
        <v>16.5</v>
      </c>
      <c r="X100" s="39">
        <v>12.61424864341576</v>
      </c>
      <c r="Y100" s="18"/>
      <c r="Z100" s="78">
        <v>26.17</v>
      </c>
      <c r="AA100" s="78">
        <v>21.9</v>
      </c>
      <c r="AB100" s="78">
        <v>11.07</v>
      </c>
      <c r="AC100" s="78">
        <v>2.4</v>
      </c>
      <c r="AD100" s="78">
        <v>38.46</v>
      </c>
      <c r="AE100" s="78">
        <f t="shared" si="9"/>
        <v>100</v>
      </c>
      <c r="AF100" s="78"/>
      <c r="AG100" s="80">
        <v>37.5</v>
      </c>
      <c r="AH100" s="80">
        <v>14.6</v>
      </c>
      <c r="AI100" s="80">
        <v>11.6</v>
      </c>
      <c r="AJ100" s="80">
        <v>2.5</v>
      </c>
      <c r="AK100" s="80">
        <v>33.800000000000004</v>
      </c>
      <c r="AL100" s="78">
        <f t="shared" si="10"/>
        <v>100</v>
      </c>
      <c r="AM100" s="78"/>
      <c r="AN100" s="80">
        <v>23.93</v>
      </c>
      <c r="AO100" s="80">
        <v>23.79</v>
      </c>
      <c r="AP100" s="80">
        <v>17.48</v>
      </c>
      <c r="AQ100" s="80">
        <v>3.75</v>
      </c>
      <c r="AR100" s="80">
        <v>31.05</v>
      </c>
      <c r="AS100" s="78">
        <f t="shared" si="11"/>
        <v>100</v>
      </c>
      <c r="AT100" s="78"/>
      <c r="AU100" s="80">
        <v>30.37</v>
      </c>
      <c r="AV100" s="80">
        <v>20.79</v>
      </c>
      <c r="AW100" s="80">
        <v>13.25</v>
      </c>
      <c r="AX100" s="80">
        <v>4.01</v>
      </c>
      <c r="AY100" s="80">
        <v>31.580000000000002</v>
      </c>
      <c r="AZ100" s="78">
        <f t="shared" si="8"/>
        <v>100</v>
      </c>
      <c r="BC100" s="57"/>
      <c r="BD100" s="58"/>
      <c r="BE100" s="58"/>
      <c r="BF100" s="59"/>
      <c r="BG100" s="59"/>
      <c r="BI100" s="57"/>
      <c r="BJ100" s="58"/>
      <c r="BK100" s="58" t="s">
        <v>161</v>
      </c>
      <c r="BL100" s="59">
        <f>AVERAGE(BL87:BL94)</f>
        <v>19.794999999999998</v>
      </c>
      <c r="BM100" s="59">
        <f>AVERAGE(BM87:BM94)</f>
        <v>5.2956249999999994</v>
      </c>
      <c r="CA100" s="57"/>
      <c r="CB100" s="58"/>
      <c r="CC100" s="58" t="s">
        <v>162</v>
      </c>
      <c r="CD100" s="59">
        <f>_xlfn.STDEV.S(CD87:CD96)</f>
        <v>1.278796309034399</v>
      </c>
      <c r="CE100" s="59">
        <f>_xlfn.STDEV.S(CE87:CE96)</f>
        <v>1.0289654999075528</v>
      </c>
    </row>
    <row r="101" spans="1:83" ht="20.100000000000001" customHeight="1">
      <c r="A101" s="22">
        <v>15</v>
      </c>
      <c r="B101" s="14" t="s">
        <v>31</v>
      </c>
      <c r="C101" s="14" t="s">
        <v>35</v>
      </c>
      <c r="D101" s="15" t="s">
        <v>29</v>
      </c>
      <c r="E101" s="16">
        <v>45394</v>
      </c>
      <c r="F101" s="17">
        <v>0.58333333333333337</v>
      </c>
      <c r="G101" s="15" t="s">
        <v>37</v>
      </c>
      <c r="H101" s="23">
        <v>19.2</v>
      </c>
      <c r="I101" s="23">
        <v>8.1999999999999993</v>
      </c>
      <c r="J101" s="23">
        <v>10.36</v>
      </c>
      <c r="K101" s="45">
        <v>265</v>
      </c>
      <c r="L101" s="39">
        <v>2.9990000000000001</v>
      </c>
      <c r="M101" s="39"/>
      <c r="N101" s="39">
        <v>8.3000000000000004E-2</v>
      </c>
      <c r="O101" s="39">
        <v>2.8600034333719488</v>
      </c>
      <c r="P101" s="39">
        <v>1.7071790625036165E-3</v>
      </c>
      <c r="Q101" s="39">
        <v>2.4</v>
      </c>
      <c r="R101" s="39">
        <v>7.3999999999999996E-2</v>
      </c>
      <c r="S101" s="39">
        <v>7.0999999999999994E-2</v>
      </c>
      <c r="T101" s="39">
        <v>20.981463254273066</v>
      </c>
      <c r="U101" s="39">
        <v>10.39</v>
      </c>
      <c r="V101" s="39">
        <v>5.64</v>
      </c>
      <c r="W101" s="39">
        <v>12.4</v>
      </c>
      <c r="X101" s="39">
        <v>16.465379552633163</v>
      </c>
      <c r="Y101" s="18"/>
      <c r="Z101" s="78">
        <v>26.44</v>
      </c>
      <c r="AA101" s="78">
        <v>30.18</v>
      </c>
      <c r="AB101" s="78">
        <v>12.52</v>
      </c>
      <c r="AC101" s="78">
        <v>3.94</v>
      </c>
      <c r="AD101" s="78">
        <v>26.92</v>
      </c>
      <c r="AE101" s="78">
        <f t="shared" si="9"/>
        <v>100</v>
      </c>
      <c r="AF101" s="78"/>
      <c r="AG101" s="80">
        <v>41.8</v>
      </c>
      <c r="AH101" s="80">
        <v>18.2</v>
      </c>
      <c r="AI101" s="80">
        <v>10.6</v>
      </c>
      <c r="AJ101" s="80">
        <v>2.8</v>
      </c>
      <c r="AK101" s="80">
        <v>26.6</v>
      </c>
      <c r="AL101" s="78">
        <f t="shared" si="10"/>
        <v>100</v>
      </c>
      <c r="AM101" s="78"/>
      <c r="AN101" s="80">
        <v>30.520000000000003</v>
      </c>
      <c r="AO101" s="80">
        <v>25.41</v>
      </c>
      <c r="AP101" s="80">
        <v>17.73</v>
      </c>
      <c r="AQ101" s="80">
        <v>4.04</v>
      </c>
      <c r="AR101" s="80">
        <v>22.3</v>
      </c>
      <c r="AS101" s="78">
        <f t="shared" si="11"/>
        <v>100.00000000000001</v>
      </c>
      <c r="AT101" s="78"/>
      <c r="AU101" s="80">
        <v>32.700000000000003</v>
      </c>
      <c r="AV101" s="80">
        <v>27.77</v>
      </c>
      <c r="AW101" s="80">
        <v>13.79</v>
      </c>
      <c r="AX101" s="80">
        <v>5.53</v>
      </c>
      <c r="AY101" s="80">
        <v>20.21</v>
      </c>
      <c r="AZ101" s="78">
        <f t="shared" si="8"/>
        <v>100</v>
      </c>
      <c r="BC101" s="57"/>
      <c r="BD101" s="58"/>
      <c r="BE101" s="58"/>
      <c r="BF101" s="59"/>
      <c r="BG101" s="59"/>
      <c r="BI101" s="57"/>
      <c r="BJ101" s="58"/>
      <c r="BK101" s="58" t="s">
        <v>162</v>
      </c>
      <c r="BL101" s="59">
        <f>_xlfn.STDEV.S(BL87:BL94)</f>
        <v>3.2607766384274761</v>
      </c>
      <c r="BM101" s="59">
        <f>_xlfn.STDEV.S(BM87:BM94)</f>
        <v>4.0307872658009201</v>
      </c>
    </row>
    <row r="102" spans="1:83" ht="20.100000000000001" customHeight="1">
      <c r="A102" s="31">
        <v>16</v>
      </c>
      <c r="B102" s="32" t="s">
        <v>38</v>
      </c>
      <c r="C102" s="32" t="s">
        <v>38</v>
      </c>
      <c r="D102" s="33" t="s">
        <v>39</v>
      </c>
      <c r="E102" s="42">
        <v>45394</v>
      </c>
      <c r="F102" s="34">
        <v>0.60763888888888895</v>
      </c>
      <c r="G102" s="33" t="s">
        <v>37</v>
      </c>
      <c r="H102" s="43">
        <v>16.7</v>
      </c>
      <c r="I102" s="43">
        <v>7.74</v>
      </c>
      <c r="J102" s="43">
        <v>9.69</v>
      </c>
      <c r="K102" s="44">
        <v>280</v>
      </c>
      <c r="L102" s="41">
        <v>4.0350000000000001</v>
      </c>
      <c r="M102" s="41"/>
      <c r="N102" s="41">
        <v>0.11600000000000001</v>
      </c>
      <c r="O102" s="41">
        <v>3.6370006163330189</v>
      </c>
      <c r="P102" s="41">
        <v>7.1019486261476195E-2</v>
      </c>
      <c r="Q102" s="41">
        <v>3.7</v>
      </c>
      <c r="R102" s="41">
        <v>7.6999999999999999E-2</v>
      </c>
      <c r="S102" s="41">
        <v>7.0999999999999994E-2</v>
      </c>
      <c r="T102" s="41">
        <v>20.656813665762371</v>
      </c>
      <c r="U102" s="41">
        <v>7.92</v>
      </c>
      <c r="V102" s="41">
        <v>4.59</v>
      </c>
      <c r="W102" s="41">
        <v>12.1</v>
      </c>
      <c r="X102" s="41">
        <v>13.006279806017819</v>
      </c>
      <c r="Y102" s="36"/>
      <c r="Z102" s="78">
        <v>29.33</v>
      </c>
      <c r="AA102" s="78">
        <v>14.66</v>
      </c>
      <c r="AB102" s="78">
        <v>13.83</v>
      </c>
      <c r="AC102" s="78">
        <v>2.98</v>
      </c>
      <c r="AD102" s="78">
        <v>39.200000000000003</v>
      </c>
      <c r="AE102" s="78">
        <f t="shared" si="9"/>
        <v>100</v>
      </c>
      <c r="AF102" s="78"/>
      <c r="AG102" s="80">
        <v>33.5</v>
      </c>
      <c r="AH102" s="80">
        <v>13</v>
      </c>
      <c r="AI102" s="80">
        <v>13.100000000000001</v>
      </c>
      <c r="AJ102" s="80">
        <v>2.6</v>
      </c>
      <c r="AK102" s="80">
        <v>37.799999999999997</v>
      </c>
      <c r="AL102" s="78">
        <f t="shared" si="10"/>
        <v>100</v>
      </c>
      <c r="AM102" s="78"/>
      <c r="AN102" s="80">
        <v>24.779999999999998</v>
      </c>
      <c r="AO102" s="80">
        <v>16.559999999999999</v>
      </c>
      <c r="AP102" s="80">
        <v>21.15</v>
      </c>
      <c r="AQ102" s="80">
        <v>3.3099999999999996</v>
      </c>
      <c r="AR102" s="80">
        <v>34.200000000000003</v>
      </c>
      <c r="AS102" s="78">
        <f t="shared" si="11"/>
        <v>100</v>
      </c>
      <c r="AT102" s="78"/>
      <c r="AU102" s="80">
        <v>27.21</v>
      </c>
      <c r="AV102" s="80">
        <v>18.13</v>
      </c>
      <c r="AW102" s="80">
        <v>14.71</v>
      </c>
      <c r="AX102" s="80">
        <v>4.22</v>
      </c>
      <c r="AY102" s="80">
        <v>35.730000000000004</v>
      </c>
      <c r="AZ102" s="78">
        <f t="shared" si="8"/>
        <v>100.00000000000001</v>
      </c>
      <c r="BC102" s="57"/>
      <c r="BD102" s="58"/>
      <c r="BE102" s="58" t="s">
        <v>161</v>
      </c>
      <c r="BF102" s="59">
        <f>AVERAGE(BF87:BF98)</f>
        <v>13.3575</v>
      </c>
      <c r="BG102" s="59">
        <f>AVERAGE(BG87:BG98)</f>
        <v>1.9608333333333334</v>
      </c>
    </row>
    <row r="103" spans="1:83" ht="20.100000000000001" customHeight="1">
      <c r="A103" s="31">
        <v>17</v>
      </c>
      <c r="B103" s="32" t="s">
        <v>38</v>
      </c>
      <c r="C103" s="32" t="s">
        <v>38</v>
      </c>
      <c r="D103" s="33" t="s">
        <v>41</v>
      </c>
      <c r="E103" s="42">
        <v>45393</v>
      </c>
      <c r="F103" s="34">
        <v>0.5625</v>
      </c>
      <c r="G103" s="33" t="s">
        <v>37</v>
      </c>
      <c r="H103" s="43">
        <v>20</v>
      </c>
      <c r="I103" s="43">
        <v>7.57</v>
      </c>
      <c r="J103" s="43">
        <v>9.91</v>
      </c>
      <c r="K103" s="44">
        <v>372</v>
      </c>
      <c r="L103" s="41">
        <v>4.7130000000000001</v>
      </c>
      <c r="M103" s="41"/>
      <c r="N103" s="41">
        <v>0.129</v>
      </c>
      <c r="O103" s="41">
        <v>4.3850525263799121</v>
      </c>
      <c r="P103" s="41">
        <v>6.3094173518871088E-2</v>
      </c>
      <c r="Q103" s="41">
        <v>3.7</v>
      </c>
      <c r="R103" s="41">
        <v>8.3000000000000004E-2</v>
      </c>
      <c r="S103" s="41">
        <v>7.5999999999999998E-2</v>
      </c>
      <c r="T103" s="41">
        <v>42.086888752878899</v>
      </c>
      <c r="U103" s="41">
        <v>11.24</v>
      </c>
      <c r="V103" s="41">
        <v>5.97</v>
      </c>
      <c r="W103" s="41">
        <v>17.3</v>
      </c>
      <c r="X103" s="41">
        <v>11.329123160711552</v>
      </c>
      <c r="Y103" s="36"/>
      <c r="Z103" s="77">
        <v>29.6</v>
      </c>
      <c r="AA103" s="77">
        <v>32.89</v>
      </c>
      <c r="AB103" s="77">
        <v>12.81</v>
      </c>
      <c r="AC103" s="77">
        <v>4.09</v>
      </c>
      <c r="AD103" s="77">
        <v>20.61</v>
      </c>
      <c r="AE103" s="77">
        <f t="shared" si="9"/>
        <v>100</v>
      </c>
      <c r="AF103" s="78"/>
      <c r="AG103" s="77">
        <v>42.699999999999996</v>
      </c>
      <c r="AH103" s="77">
        <v>20.7</v>
      </c>
      <c r="AI103" s="77">
        <v>10.299999999999999</v>
      </c>
      <c r="AJ103" s="77">
        <v>2.7</v>
      </c>
      <c r="AK103" s="77">
        <v>23.599999999999998</v>
      </c>
      <c r="AL103" s="77">
        <f t="shared" si="10"/>
        <v>99.999999999999986</v>
      </c>
      <c r="AM103" s="78"/>
      <c r="AN103" s="77">
        <v>30.659999999999997</v>
      </c>
      <c r="AO103" s="77">
        <v>31.53</v>
      </c>
      <c r="AP103" s="77">
        <v>16.38</v>
      </c>
      <c r="AQ103" s="77">
        <v>5.62</v>
      </c>
      <c r="AR103" s="77">
        <v>15.809999999999999</v>
      </c>
      <c r="AS103" s="77">
        <f t="shared" si="11"/>
        <v>100</v>
      </c>
      <c r="AT103" s="78"/>
      <c r="AU103" s="77">
        <v>33.35</v>
      </c>
      <c r="AV103" s="77">
        <v>31.31</v>
      </c>
      <c r="AW103" s="77">
        <v>12.73</v>
      </c>
      <c r="AX103" s="77">
        <v>5.83</v>
      </c>
      <c r="AY103" s="77">
        <v>16.78</v>
      </c>
      <c r="AZ103" s="77">
        <f t="shared" si="8"/>
        <v>100</v>
      </c>
      <c r="BC103" s="57"/>
      <c r="BD103" s="58"/>
      <c r="BE103" s="58" t="s">
        <v>162</v>
      </c>
      <c r="BF103" s="59">
        <f>_xlfn.STDEV.S(BF87:BF98)</f>
        <v>1.9060865429174276</v>
      </c>
      <c r="BG103" s="59">
        <f>_xlfn.STDEV.S(BG87:BG98)</f>
        <v>2.6869836360882551</v>
      </c>
    </row>
    <row r="104" spans="1:83" ht="20.100000000000001" customHeight="1">
      <c r="A104" s="31">
        <v>18</v>
      </c>
      <c r="B104" s="32" t="s">
        <v>38</v>
      </c>
      <c r="C104" s="32" t="s">
        <v>38</v>
      </c>
      <c r="D104" s="33" t="s">
        <v>42</v>
      </c>
      <c r="E104" s="42">
        <v>45393</v>
      </c>
      <c r="F104" s="34">
        <v>0.62847222222222221</v>
      </c>
      <c r="G104" s="33" t="s">
        <v>37</v>
      </c>
      <c r="H104" s="43">
        <v>18.399999999999999</v>
      </c>
      <c r="I104" s="43">
        <v>7.16</v>
      </c>
      <c r="J104" s="43">
        <v>8.81</v>
      </c>
      <c r="K104" s="44">
        <v>393</v>
      </c>
      <c r="L104" s="41">
        <v>5.0999999999999996</v>
      </c>
      <c r="M104" s="41"/>
      <c r="N104" s="41">
        <v>0.374</v>
      </c>
      <c r="O104" s="41">
        <v>4.4413298229600713</v>
      </c>
      <c r="P104" s="41">
        <v>0.15166091643205315</v>
      </c>
      <c r="Q104" s="41">
        <v>4</v>
      </c>
      <c r="R104" s="41">
        <v>6.2E-2</v>
      </c>
      <c r="S104" s="41">
        <v>5.3999999999999999E-2</v>
      </c>
      <c r="T104" s="41">
        <v>46.199351722238532</v>
      </c>
      <c r="U104" s="41">
        <v>11.5</v>
      </c>
      <c r="V104" s="41">
        <v>5.45</v>
      </c>
      <c r="W104" s="41">
        <v>19.100000000000001</v>
      </c>
      <c r="X104" s="41">
        <v>11.436419136503728</v>
      </c>
      <c r="Y104" s="36"/>
      <c r="Z104" s="77">
        <v>31.84</v>
      </c>
      <c r="AA104" s="77">
        <v>32.86</v>
      </c>
      <c r="AB104" s="77">
        <v>9.8699999999999992</v>
      </c>
      <c r="AC104" s="77">
        <v>3.75</v>
      </c>
      <c r="AD104" s="77">
        <v>21.68</v>
      </c>
      <c r="AE104" s="77">
        <f t="shared" si="9"/>
        <v>100</v>
      </c>
      <c r="AF104" s="78"/>
      <c r="AG104" s="77">
        <v>44.3</v>
      </c>
      <c r="AH104" s="77">
        <v>20.100000000000001</v>
      </c>
      <c r="AI104" s="77">
        <v>9.8000000000000007</v>
      </c>
      <c r="AJ104" s="77">
        <v>2.6</v>
      </c>
      <c r="AK104" s="77">
        <v>23.200000000000003</v>
      </c>
      <c r="AL104" s="77">
        <f t="shared" si="10"/>
        <v>100</v>
      </c>
      <c r="AM104" s="78"/>
      <c r="AN104" s="77">
        <v>33.800000000000004</v>
      </c>
      <c r="AO104" s="77">
        <v>28.77</v>
      </c>
      <c r="AP104" s="77">
        <v>17.299999999999997</v>
      </c>
      <c r="AQ104" s="77">
        <v>4.7300000000000004</v>
      </c>
      <c r="AR104" s="77">
        <v>15.4</v>
      </c>
      <c r="AS104" s="77">
        <f t="shared" si="11"/>
        <v>100.00000000000001</v>
      </c>
      <c r="AT104" s="78"/>
      <c r="AU104" s="77">
        <v>34.380000000000003</v>
      </c>
      <c r="AV104" s="77">
        <v>31.830000000000002</v>
      </c>
      <c r="AW104" s="77">
        <v>11.86</v>
      </c>
      <c r="AX104" s="77">
        <v>5.25</v>
      </c>
      <c r="AY104" s="77">
        <v>16.68</v>
      </c>
      <c r="AZ104" s="77">
        <f t="shared" si="8"/>
        <v>100</v>
      </c>
    </row>
    <row r="105" spans="1:83" ht="20.100000000000001" customHeight="1">
      <c r="A105" s="31">
        <v>19</v>
      </c>
      <c r="B105" s="32" t="s">
        <v>38</v>
      </c>
      <c r="C105" s="32" t="s">
        <v>43</v>
      </c>
      <c r="D105" s="33" t="s">
        <v>40</v>
      </c>
      <c r="E105" s="42">
        <v>45393</v>
      </c>
      <c r="F105" s="34">
        <v>0.56597222222222221</v>
      </c>
      <c r="G105" s="33" t="s">
        <v>37</v>
      </c>
      <c r="H105" s="43">
        <v>20.399999999999999</v>
      </c>
      <c r="I105" s="43">
        <v>7.15</v>
      </c>
      <c r="J105" s="43">
        <v>9.94</v>
      </c>
      <c r="K105" s="44">
        <v>427</v>
      </c>
      <c r="L105" s="41">
        <v>4.4729999999999999</v>
      </c>
      <c r="M105" s="41"/>
      <c r="N105" s="41">
        <v>0.26700000000000002</v>
      </c>
      <c r="O105" s="41">
        <v>3.9058742648607598</v>
      </c>
      <c r="P105" s="41">
        <v>7.8217782921411683E-2</v>
      </c>
      <c r="Q105" s="41">
        <v>3.9</v>
      </c>
      <c r="R105" s="41">
        <v>0.02</v>
      </c>
      <c r="S105" s="41">
        <v>7.0000000000000001E-3</v>
      </c>
      <c r="T105" s="41">
        <v>64.491191417810811</v>
      </c>
      <c r="U105" s="41">
        <v>12.27</v>
      </c>
      <c r="V105" s="41">
        <v>6.11</v>
      </c>
      <c r="W105" s="41">
        <v>20.2</v>
      </c>
      <c r="X105" s="41">
        <v>10.396885695613589</v>
      </c>
      <c r="Y105" s="36"/>
      <c r="Z105" s="77">
        <v>31.78</v>
      </c>
      <c r="AA105" s="77">
        <v>37.6</v>
      </c>
      <c r="AB105" s="77">
        <v>11.6</v>
      </c>
      <c r="AC105" s="77">
        <v>4.04</v>
      </c>
      <c r="AD105" s="77">
        <v>14.98</v>
      </c>
      <c r="AE105" s="77">
        <f t="shared" si="9"/>
        <v>100</v>
      </c>
      <c r="AF105" s="78"/>
      <c r="AG105" s="77">
        <v>45.6</v>
      </c>
      <c r="AH105" s="77">
        <v>22.2</v>
      </c>
      <c r="AI105" s="77">
        <v>9.1999999999999993</v>
      </c>
      <c r="AJ105" s="77">
        <v>2.6</v>
      </c>
      <c r="AK105" s="77">
        <v>20.399999999999999</v>
      </c>
      <c r="AL105" s="77">
        <f t="shared" si="10"/>
        <v>100</v>
      </c>
      <c r="AM105" s="78"/>
      <c r="AN105" s="77">
        <v>29.2</v>
      </c>
      <c r="AO105" s="77">
        <v>36.58</v>
      </c>
      <c r="AP105" s="77">
        <v>16.420000000000002</v>
      </c>
      <c r="AQ105" s="77">
        <v>5.47</v>
      </c>
      <c r="AR105" s="77">
        <v>12.33</v>
      </c>
      <c r="AS105" s="77">
        <f t="shared" si="11"/>
        <v>100</v>
      </c>
      <c r="AT105" s="78"/>
      <c r="AU105" s="77">
        <v>33.04</v>
      </c>
      <c r="AV105" s="77">
        <v>35.46</v>
      </c>
      <c r="AW105" s="77">
        <v>11.26</v>
      </c>
      <c r="AX105" s="77">
        <v>5.76</v>
      </c>
      <c r="AY105" s="77">
        <v>14.48</v>
      </c>
      <c r="AZ105" s="77">
        <f t="shared" si="8"/>
        <v>100.00000000000001</v>
      </c>
    </row>
    <row r="106" spans="1:83" ht="20.100000000000001" customHeight="1">
      <c r="A106" s="31">
        <v>20</v>
      </c>
      <c r="B106" s="32" t="s">
        <v>38</v>
      </c>
      <c r="C106" s="32" t="s">
        <v>43</v>
      </c>
      <c r="D106" s="33" t="s">
        <v>44</v>
      </c>
      <c r="E106" s="42">
        <v>45393</v>
      </c>
      <c r="F106" s="34">
        <v>0.57291666666666663</v>
      </c>
      <c r="G106" s="33" t="s">
        <v>37</v>
      </c>
      <c r="H106" s="43">
        <v>17.7</v>
      </c>
      <c r="I106" s="43">
        <v>8.4600000000000009</v>
      </c>
      <c r="J106" s="43">
        <v>13.23</v>
      </c>
      <c r="K106" s="44">
        <v>488</v>
      </c>
      <c r="L106" s="41">
        <v>5.1660000000000004</v>
      </c>
      <c r="M106" s="41"/>
      <c r="N106" s="41">
        <v>6.3E-2</v>
      </c>
      <c r="O106" s="41">
        <v>4.9679283032825374</v>
      </c>
      <c r="P106" s="41">
        <v>0.12958430283036404</v>
      </c>
      <c r="Q106" s="41">
        <v>2.9</v>
      </c>
      <c r="R106" s="41">
        <v>4.8000000000000001E-2</v>
      </c>
      <c r="S106" s="41">
        <v>2.3E-2</v>
      </c>
      <c r="T106" s="41">
        <v>53.23904304944535</v>
      </c>
      <c r="U106" s="41">
        <v>10.25</v>
      </c>
      <c r="V106" s="41">
        <v>7.37</v>
      </c>
      <c r="W106" s="41">
        <v>23.4</v>
      </c>
      <c r="X106" s="41">
        <v>10.85344472189681</v>
      </c>
      <c r="Y106" s="36"/>
      <c r="Z106" s="77">
        <v>26.48</v>
      </c>
      <c r="AA106" s="77">
        <v>29.98</v>
      </c>
      <c r="AB106" s="77">
        <v>16.91</v>
      </c>
      <c r="AC106" s="77">
        <v>6.32</v>
      </c>
      <c r="AD106" s="77">
        <v>20.309999999999999</v>
      </c>
      <c r="AE106" s="77">
        <f t="shared" si="9"/>
        <v>100</v>
      </c>
      <c r="AF106" s="78"/>
      <c r="AG106" s="77">
        <v>41.6</v>
      </c>
      <c r="AH106" s="77">
        <v>18.8</v>
      </c>
      <c r="AI106" s="77">
        <v>12.7</v>
      </c>
      <c r="AJ106" s="77">
        <v>3.3000000000000003</v>
      </c>
      <c r="AK106" s="77">
        <v>23.599999999999998</v>
      </c>
      <c r="AL106" s="77">
        <f t="shared" si="10"/>
        <v>100</v>
      </c>
      <c r="AM106" s="78"/>
      <c r="AN106" s="77">
        <v>34.75</v>
      </c>
      <c r="AO106" s="77">
        <v>23.07</v>
      </c>
      <c r="AP106" s="77">
        <v>20.94</v>
      </c>
      <c r="AQ106" s="77">
        <v>7.0900000000000007</v>
      </c>
      <c r="AR106" s="77">
        <v>14.149999999999999</v>
      </c>
      <c r="AS106" s="77">
        <f t="shared" si="11"/>
        <v>100</v>
      </c>
      <c r="AT106" s="78"/>
      <c r="AU106" s="77">
        <v>30.38</v>
      </c>
      <c r="AV106" s="77">
        <v>28.7</v>
      </c>
      <c r="AW106" s="77">
        <v>15.540000000000001</v>
      </c>
      <c r="AX106" s="77">
        <v>7.61</v>
      </c>
      <c r="AY106" s="77">
        <v>17.77</v>
      </c>
      <c r="AZ106" s="77">
        <f t="shared" si="8"/>
        <v>100</v>
      </c>
    </row>
    <row r="107" spans="1:83" ht="20.100000000000001" customHeight="1">
      <c r="A107" s="22">
        <v>21</v>
      </c>
      <c r="B107" s="14" t="s">
        <v>45</v>
      </c>
      <c r="C107" s="14" t="s">
        <v>45</v>
      </c>
      <c r="D107" s="15" t="s">
        <v>46</v>
      </c>
      <c r="E107" s="16">
        <v>45393</v>
      </c>
      <c r="F107" s="17">
        <v>0.44097222222222227</v>
      </c>
      <c r="G107" s="15" t="s">
        <v>37</v>
      </c>
      <c r="H107" s="23">
        <v>14.7</v>
      </c>
      <c r="I107" s="23">
        <v>7.64</v>
      </c>
      <c r="J107" s="23">
        <v>10.1</v>
      </c>
      <c r="K107" s="45">
        <v>195</v>
      </c>
      <c r="L107" s="39">
        <v>1.575</v>
      </c>
      <c r="M107" s="39"/>
      <c r="N107" s="39">
        <v>3.9E-2</v>
      </c>
      <c r="O107" s="39">
        <v>1.4978781437023474</v>
      </c>
      <c r="P107" s="39" t="s">
        <v>112</v>
      </c>
      <c r="Q107" s="39">
        <v>1.7</v>
      </c>
      <c r="R107" s="39">
        <v>6.0000000000000001E-3</v>
      </c>
      <c r="S107" s="39">
        <v>2E-3</v>
      </c>
      <c r="T107" s="39">
        <v>11.157679937554409</v>
      </c>
      <c r="U107" s="39">
        <v>4.84</v>
      </c>
      <c r="V107" s="39">
        <v>5.72</v>
      </c>
      <c r="W107" s="39">
        <v>8.6999999999999993</v>
      </c>
      <c r="X107" s="39">
        <v>14.992753436048833</v>
      </c>
      <c r="Y107" s="18"/>
      <c r="Z107" s="78">
        <v>15.97</v>
      </c>
      <c r="AA107" s="78">
        <v>6.31</v>
      </c>
      <c r="AB107" s="78">
        <v>27.21</v>
      </c>
      <c r="AC107" s="78">
        <v>2.74</v>
      </c>
      <c r="AD107" s="78">
        <v>47.77</v>
      </c>
      <c r="AE107" s="78">
        <f t="shared" si="9"/>
        <v>100</v>
      </c>
      <c r="AF107" s="78"/>
      <c r="AG107" s="80">
        <v>21.2</v>
      </c>
      <c r="AH107" s="80">
        <v>9.1</v>
      </c>
      <c r="AI107" s="80">
        <v>18.7</v>
      </c>
      <c r="AJ107" s="80">
        <v>3.1</v>
      </c>
      <c r="AK107" s="80">
        <v>47.9</v>
      </c>
      <c r="AL107" s="78">
        <f t="shared" si="10"/>
        <v>100</v>
      </c>
      <c r="AM107" s="78"/>
      <c r="AN107" s="80">
        <v>12.13</v>
      </c>
      <c r="AO107" s="80">
        <v>10.639999999999999</v>
      </c>
      <c r="AP107" s="80">
        <v>25.83</v>
      </c>
      <c r="AQ107" s="80">
        <v>10.14</v>
      </c>
      <c r="AR107" s="80">
        <v>41.260000000000005</v>
      </c>
      <c r="AS107" s="78">
        <f t="shared" si="11"/>
        <v>100</v>
      </c>
      <c r="AT107" s="78"/>
      <c r="AU107" s="80">
        <v>13.62</v>
      </c>
      <c r="AV107" s="80">
        <v>8.08</v>
      </c>
      <c r="AW107" s="80">
        <v>25.11</v>
      </c>
      <c r="AX107" s="80">
        <v>5.4899999999999993</v>
      </c>
      <c r="AY107" s="80">
        <v>47.699999999999996</v>
      </c>
      <c r="AZ107" s="78">
        <f t="shared" si="8"/>
        <v>100</v>
      </c>
    </row>
    <row r="108" spans="1:83" ht="20.100000000000001" customHeight="1">
      <c r="A108" s="22">
        <v>22</v>
      </c>
      <c r="B108" s="14" t="s">
        <v>45</v>
      </c>
      <c r="C108" s="14" t="s">
        <v>45</v>
      </c>
      <c r="D108" s="19" t="s">
        <v>47</v>
      </c>
      <c r="E108" s="16">
        <v>45393</v>
      </c>
      <c r="F108" s="20">
        <v>0.46180555555555558</v>
      </c>
      <c r="G108" s="15" t="s">
        <v>37</v>
      </c>
      <c r="H108" s="23">
        <v>17.3</v>
      </c>
      <c r="I108" s="23">
        <v>7.3</v>
      </c>
      <c r="J108" s="23">
        <v>9.5</v>
      </c>
      <c r="K108" s="45">
        <v>232</v>
      </c>
      <c r="L108" s="40">
        <v>1.9910000000000001</v>
      </c>
      <c r="M108" s="40"/>
      <c r="N108" s="40">
        <v>4.2000000000000003E-2</v>
      </c>
      <c r="O108" s="40">
        <v>1.8417102276897697</v>
      </c>
      <c r="P108" s="39" t="s">
        <v>112</v>
      </c>
      <c r="Q108" s="40">
        <v>2.7</v>
      </c>
      <c r="R108" s="40">
        <v>5.3999999999999999E-2</v>
      </c>
      <c r="S108" s="40">
        <v>5.0999999999999997E-2</v>
      </c>
      <c r="T108" s="40">
        <v>17.228406114095094</v>
      </c>
      <c r="U108" s="40">
        <v>7.46</v>
      </c>
      <c r="V108" s="40">
        <v>3.75</v>
      </c>
      <c r="W108" s="40">
        <v>11.3</v>
      </c>
      <c r="X108" s="40">
        <v>13.044520469711662</v>
      </c>
      <c r="Y108" s="21"/>
      <c r="Z108" s="78">
        <v>29.44</v>
      </c>
      <c r="AA108" s="78">
        <v>10.93</v>
      </c>
      <c r="AB108" s="78">
        <v>9.73</v>
      </c>
      <c r="AC108" s="78">
        <v>2.91</v>
      </c>
      <c r="AD108" s="78">
        <v>46.99</v>
      </c>
      <c r="AE108" s="78">
        <f t="shared" si="9"/>
        <v>100</v>
      </c>
      <c r="AF108" s="78"/>
      <c r="AG108" s="80">
        <v>31.5</v>
      </c>
      <c r="AH108" s="80">
        <v>12.1</v>
      </c>
      <c r="AI108" s="80">
        <v>12.5</v>
      </c>
      <c r="AJ108" s="80">
        <v>2.2999999999999998</v>
      </c>
      <c r="AK108" s="80">
        <v>41.6</v>
      </c>
      <c r="AL108" s="78">
        <f t="shared" si="10"/>
        <v>100</v>
      </c>
      <c r="AM108" s="78"/>
      <c r="AN108" s="80">
        <v>24.11</v>
      </c>
      <c r="AO108" s="80">
        <v>14.24</v>
      </c>
      <c r="AP108" s="80">
        <v>22.05</v>
      </c>
      <c r="AQ108" s="80">
        <v>3.56</v>
      </c>
      <c r="AR108" s="80">
        <v>36.04</v>
      </c>
      <c r="AS108" s="78">
        <f t="shared" si="11"/>
        <v>100</v>
      </c>
      <c r="AT108" s="78"/>
      <c r="AU108" s="80">
        <v>25.66</v>
      </c>
      <c r="AV108" s="80">
        <v>15.9</v>
      </c>
      <c r="AW108" s="80">
        <v>13.52</v>
      </c>
      <c r="AX108" s="80">
        <v>3.45</v>
      </c>
      <c r="AY108" s="80">
        <v>41.47</v>
      </c>
      <c r="AZ108" s="78">
        <f t="shared" si="8"/>
        <v>100</v>
      </c>
    </row>
    <row r="109" spans="1:83" ht="20.100000000000001" customHeight="1">
      <c r="A109" s="22">
        <v>23</v>
      </c>
      <c r="B109" s="14" t="s">
        <v>45</v>
      </c>
      <c r="C109" s="14" t="s">
        <v>45</v>
      </c>
      <c r="D109" s="19" t="s">
        <v>29</v>
      </c>
      <c r="E109" s="16">
        <v>45393</v>
      </c>
      <c r="F109" s="20">
        <v>0.47569444444444442</v>
      </c>
      <c r="G109" s="15" t="s">
        <v>37</v>
      </c>
      <c r="H109" s="23">
        <v>17.8</v>
      </c>
      <c r="I109" s="23">
        <v>7.54</v>
      </c>
      <c r="J109" s="23">
        <v>10.7</v>
      </c>
      <c r="K109" s="45">
        <v>237</v>
      </c>
      <c r="L109" s="40">
        <v>2.1120000000000001</v>
      </c>
      <c r="M109" s="40"/>
      <c r="N109" s="40">
        <v>5.7000000000000002E-2</v>
      </c>
      <c r="O109" s="40">
        <v>1.9377533187741629</v>
      </c>
      <c r="P109" s="39" t="s">
        <v>112</v>
      </c>
      <c r="Q109" s="40">
        <v>2.8</v>
      </c>
      <c r="R109" s="40">
        <v>4.8000000000000001E-2</v>
      </c>
      <c r="S109" s="40">
        <v>4.2999999999999997E-2</v>
      </c>
      <c r="T109" s="40">
        <v>18.676808109788333</v>
      </c>
      <c r="U109" s="40">
        <v>7.95</v>
      </c>
      <c r="V109" s="40">
        <v>4.3499999999999996</v>
      </c>
      <c r="W109" s="40">
        <v>12.1</v>
      </c>
      <c r="X109" s="40">
        <v>13.065326733831593</v>
      </c>
      <c r="Y109" s="21"/>
      <c r="Z109" s="78">
        <v>33.18</v>
      </c>
      <c r="AA109" s="78">
        <v>12.19</v>
      </c>
      <c r="AB109" s="78">
        <v>14</v>
      </c>
      <c r="AC109" s="78">
        <v>2.59</v>
      </c>
      <c r="AD109" s="78">
        <v>38.04</v>
      </c>
      <c r="AE109" s="78">
        <f t="shared" si="9"/>
        <v>100</v>
      </c>
      <c r="AF109" s="78"/>
      <c r="AG109" s="80">
        <v>33</v>
      </c>
      <c r="AH109" s="80">
        <v>13.4</v>
      </c>
      <c r="AI109" s="80">
        <v>13</v>
      </c>
      <c r="AJ109" s="80">
        <v>2.5</v>
      </c>
      <c r="AK109" s="80">
        <v>38.1</v>
      </c>
      <c r="AL109" s="78">
        <f t="shared" si="10"/>
        <v>100</v>
      </c>
      <c r="AM109" s="78"/>
      <c r="AN109" s="80">
        <v>22.13</v>
      </c>
      <c r="AO109" s="80">
        <v>18.29</v>
      </c>
      <c r="AP109" s="80">
        <v>22.08</v>
      </c>
      <c r="AQ109" s="80">
        <v>3.47</v>
      </c>
      <c r="AR109" s="80">
        <v>34.03</v>
      </c>
      <c r="AS109" s="78">
        <f t="shared" si="11"/>
        <v>100</v>
      </c>
      <c r="AT109" s="78"/>
      <c r="AU109" s="80">
        <v>27.41</v>
      </c>
      <c r="AV109" s="80">
        <v>18.010000000000002</v>
      </c>
      <c r="AW109" s="80">
        <v>14.21</v>
      </c>
      <c r="AX109" s="80">
        <v>4</v>
      </c>
      <c r="AY109" s="80">
        <v>36.370000000000005</v>
      </c>
      <c r="AZ109" s="78">
        <f t="shared" si="8"/>
        <v>100</v>
      </c>
    </row>
    <row r="110" spans="1:83" ht="20.100000000000001" customHeight="1" thickBot="1">
      <c r="A110" s="46">
        <v>24</v>
      </c>
      <c r="B110" s="47" t="s">
        <v>45</v>
      </c>
      <c r="C110" s="47" t="s">
        <v>45</v>
      </c>
      <c r="D110" s="48" t="s">
        <v>48</v>
      </c>
      <c r="E110" s="49">
        <v>45393</v>
      </c>
      <c r="F110" s="50">
        <v>0.48958333333333331</v>
      </c>
      <c r="G110" s="48" t="s">
        <v>37</v>
      </c>
      <c r="H110" s="51">
        <v>16.899999999999999</v>
      </c>
      <c r="I110" s="51">
        <v>7.29</v>
      </c>
      <c r="J110" s="51">
        <v>8.75</v>
      </c>
      <c r="K110" s="52">
        <v>248</v>
      </c>
      <c r="L110" s="53">
        <v>2.1680000000000001</v>
      </c>
      <c r="M110" s="53"/>
      <c r="N110" s="53">
        <v>6.5000000000000002E-2</v>
      </c>
      <c r="O110" s="53">
        <v>1.9645769962820305</v>
      </c>
      <c r="P110" s="53" t="s">
        <v>112</v>
      </c>
      <c r="Q110" s="53">
        <v>2.7</v>
      </c>
      <c r="R110" s="53">
        <v>3.7999999999999999E-2</v>
      </c>
      <c r="S110" s="53">
        <v>3.3000000000000002E-2</v>
      </c>
      <c r="T110" s="53">
        <v>18.945319130868253</v>
      </c>
      <c r="U110" s="53">
        <v>8.2100000000000009</v>
      </c>
      <c r="V110" s="53">
        <v>4.57</v>
      </c>
      <c r="W110" s="53">
        <v>13.4</v>
      </c>
      <c r="X110" s="53">
        <v>12.926440961420095</v>
      </c>
      <c r="Y110" s="54"/>
      <c r="Z110" s="78">
        <v>29.58</v>
      </c>
      <c r="AA110" s="78">
        <v>15.82</v>
      </c>
      <c r="AB110" s="78">
        <v>13.02</v>
      </c>
      <c r="AC110" s="78">
        <v>3</v>
      </c>
      <c r="AD110" s="78">
        <v>38.58</v>
      </c>
      <c r="AE110" s="78">
        <f t="shared" si="9"/>
        <v>100</v>
      </c>
      <c r="AF110" s="78"/>
      <c r="AG110" s="80">
        <v>34.5</v>
      </c>
      <c r="AH110" s="80">
        <v>13.700000000000001</v>
      </c>
      <c r="AI110" s="80">
        <v>12.7</v>
      </c>
      <c r="AJ110" s="80">
        <v>2.6</v>
      </c>
      <c r="AK110" s="80">
        <v>36.5</v>
      </c>
      <c r="AL110" s="78">
        <f t="shared" si="10"/>
        <v>100</v>
      </c>
      <c r="AM110" s="78"/>
      <c r="AN110" s="80">
        <v>23.85</v>
      </c>
      <c r="AO110" s="80">
        <v>19.09</v>
      </c>
      <c r="AP110" s="80">
        <v>23.35</v>
      </c>
      <c r="AQ110" s="80">
        <v>3.11</v>
      </c>
      <c r="AR110" s="80">
        <v>30.599999999999998</v>
      </c>
      <c r="AS110" s="78">
        <f t="shared" si="11"/>
        <v>99.999999999999986</v>
      </c>
      <c r="AT110" s="78"/>
      <c r="AU110" s="80">
        <v>28.050000000000004</v>
      </c>
      <c r="AV110" s="80">
        <v>18.93</v>
      </c>
      <c r="AW110" s="80">
        <v>14.42</v>
      </c>
      <c r="AX110" s="80">
        <v>4.2299999999999995</v>
      </c>
      <c r="AY110" s="80">
        <v>34.369999999999997</v>
      </c>
      <c r="AZ110" s="78">
        <f t="shared" si="8"/>
        <v>100</v>
      </c>
    </row>
    <row r="111" spans="1:83" ht="20.100000000000001" customHeight="1"/>
    <row r="112" spans="1:83" ht="20.100000000000001" customHeight="1"/>
    <row r="113" spans="1:83" ht="20.100000000000001" customHeight="1"/>
    <row r="114" spans="1:83" ht="20.100000000000001" customHeight="1">
      <c r="Z114" s="65" t="s">
        <v>153</v>
      </c>
      <c r="AA114" s="66" t="s">
        <v>111</v>
      </c>
      <c r="AB114" s="67" t="s">
        <v>67</v>
      </c>
      <c r="AC114" s="62"/>
      <c r="AD114" s="65" t="s">
        <v>154</v>
      </c>
      <c r="AE114" s="66" t="s">
        <v>111</v>
      </c>
      <c r="AF114" s="67" t="s">
        <v>67</v>
      </c>
      <c r="AG114" s="62"/>
      <c r="AH114" s="65" t="s">
        <v>155</v>
      </c>
      <c r="AI114" s="66" t="s">
        <v>111</v>
      </c>
      <c r="AJ114" s="67" t="s">
        <v>67</v>
      </c>
      <c r="AK114" s="62"/>
      <c r="AL114" s="65" t="s">
        <v>156</v>
      </c>
      <c r="AM114" s="66" t="s">
        <v>111</v>
      </c>
      <c r="AN114" s="67" t="s">
        <v>67</v>
      </c>
      <c r="AO114" s="62"/>
      <c r="AP114" s="65" t="s">
        <v>157</v>
      </c>
      <c r="AQ114" s="66" t="s">
        <v>111</v>
      </c>
      <c r="AR114" s="67" t="s">
        <v>67</v>
      </c>
    </row>
    <row r="115" spans="1:83" ht="20.100000000000001" customHeight="1">
      <c r="Z115" s="65" t="s">
        <v>161</v>
      </c>
      <c r="AA115" s="65">
        <v>13.3575</v>
      </c>
      <c r="AB115" s="65">
        <v>1.9608333333333334</v>
      </c>
      <c r="AC115" s="62"/>
      <c r="AD115" s="65" t="s">
        <v>161</v>
      </c>
      <c r="AE115" s="65">
        <v>19.794999999999998</v>
      </c>
      <c r="AF115" s="65">
        <v>5.2956249999999994</v>
      </c>
      <c r="AG115" s="62"/>
      <c r="AH115" s="65" t="s">
        <v>161</v>
      </c>
      <c r="AI115" s="65">
        <v>0.86499999999999999</v>
      </c>
      <c r="AJ115" s="65">
        <v>14.385000000000002</v>
      </c>
      <c r="AK115" s="62"/>
      <c r="AL115" s="65" t="s">
        <v>161</v>
      </c>
      <c r="AM115" s="65">
        <v>1.71</v>
      </c>
      <c r="AN115" s="65">
        <v>45.81</v>
      </c>
      <c r="AO115" s="62"/>
      <c r="AP115" s="65" t="s">
        <v>161</v>
      </c>
      <c r="AQ115" s="65">
        <v>2.1574999999999998</v>
      </c>
      <c r="AR115" s="65">
        <v>3.5209999999999995</v>
      </c>
    </row>
    <row r="116" spans="1:83" ht="20.100000000000001" customHeight="1">
      <c r="Z116" s="65" t="s">
        <v>162</v>
      </c>
      <c r="AA116" s="65">
        <v>1.9060865429174276</v>
      </c>
      <c r="AB116" s="65">
        <v>2.6869836360882551</v>
      </c>
      <c r="AC116" s="62"/>
      <c r="AD116" s="65" t="s">
        <v>162</v>
      </c>
      <c r="AE116" s="65">
        <v>3.2607766384274761</v>
      </c>
      <c r="AF116" s="65">
        <v>4.0307872658009201</v>
      </c>
      <c r="AG116" s="62"/>
      <c r="AH116" s="65" t="s">
        <v>162</v>
      </c>
      <c r="AI116" s="65">
        <v>0.3323401871576776</v>
      </c>
      <c r="AJ116" s="65">
        <v>5.1830927060973853</v>
      </c>
      <c r="AK116" s="62"/>
      <c r="AL116" s="65" t="s">
        <v>162</v>
      </c>
      <c r="AM116" s="65">
        <v>1.5603845679831623</v>
      </c>
      <c r="AN116" s="65">
        <v>5.7261068798966068</v>
      </c>
      <c r="AO116" s="62"/>
      <c r="AP116" s="65" t="s">
        <v>162</v>
      </c>
      <c r="AQ116" s="65">
        <v>1.2149468438303519</v>
      </c>
      <c r="AR116" s="65">
        <v>4.2249614067928354</v>
      </c>
    </row>
    <row r="117" spans="1:83" ht="20.100000000000001" customHeight="1">
      <c r="A117" s="64">
        <v>46134</v>
      </c>
      <c r="B117" t="s">
        <v>177</v>
      </c>
    </row>
    <row r="118" spans="1:83" ht="25.5" customHeight="1">
      <c r="A118" s="89" t="s">
        <v>50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Y118" s="2"/>
      <c r="Z118" s="62" t="s">
        <v>166</v>
      </c>
    </row>
    <row r="119" spans="1:83" ht="20.100000000000001" customHeight="1" thickBot="1">
      <c r="Y119" s="3"/>
      <c r="AG119" t="s">
        <v>167</v>
      </c>
      <c r="AI119" t="s">
        <v>168</v>
      </c>
    </row>
    <row r="120" spans="1:83" ht="20.100000000000001" customHeight="1" thickBot="1">
      <c r="A120" s="90" t="s">
        <v>1</v>
      </c>
      <c r="B120" s="92" t="s">
        <v>62</v>
      </c>
      <c r="C120" s="92" t="s">
        <v>63</v>
      </c>
      <c r="D120" s="90" t="s">
        <v>7</v>
      </c>
      <c r="E120" s="94" t="s">
        <v>8</v>
      </c>
      <c r="F120" s="95"/>
      <c r="G120" s="96" t="s">
        <v>9</v>
      </c>
      <c r="H120" s="96"/>
      <c r="I120" s="96"/>
      <c r="J120" s="96"/>
      <c r="K120" s="96"/>
      <c r="L120" s="85" t="s">
        <v>56</v>
      </c>
      <c r="M120" s="86"/>
      <c r="N120" s="86"/>
      <c r="O120" s="86"/>
      <c r="P120" s="86"/>
      <c r="Q120" s="86"/>
      <c r="R120" s="86"/>
      <c r="S120" s="86"/>
      <c r="T120" s="86"/>
      <c r="U120" s="8"/>
      <c r="V120" s="8"/>
      <c r="W120" s="8"/>
      <c r="X120" s="8"/>
      <c r="Y120" s="87" t="s">
        <v>10</v>
      </c>
      <c r="Z120" s="60" t="s">
        <v>159</v>
      </c>
      <c r="AE120">
        <v>100</v>
      </c>
      <c r="AG120" s="60" t="s">
        <v>163</v>
      </c>
      <c r="AL120">
        <v>100</v>
      </c>
      <c r="AN120" s="60" t="s">
        <v>164</v>
      </c>
      <c r="AS120">
        <v>100</v>
      </c>
      <c r="AU120" s="60" t="s">
        <v>165</v>
      </c>
      <c r="AZ120">
        <v>100</v>
      </c>
      <c r="BE120" t="s">
        <v>153</v>
      </c>
      <c r="BK120" t="s">
        <v>154</v>
      </c>
      <c r="BQ120" t="s">
        <v>155</v>
      </c>
      <c r="BW120" t="s">
        <v>156</v>
      </c>
      <c r="CC120" t="s">
        <v>157</v>
      </c>
    </row>
    <row r="121" spans="1:83" ht="20.100000000000001" customHeight="1" thickBot="1">
      <c r="A121" s="91"/>
      <c r="B121" s="91"/>
      <c r="C121" s="91"/>
      <c r="D121" s="93"/>
      <c r="E121" s="1" t="s">
        <v>0</v>
      </c>
      <c r="F121" s="4" t="s">
        <v>11</v>
      </c>
      <c r="G121" s="4" t="s">
        <v>12</v>
      </c>
      <c r="H121" s="4" t="s">
        <v>13</v>
      </c>
      <c r="I121" s="4" t="s">
        <v>14</v>
      </c>
      <c r="J121" s="4" t="s">
        <v>15</v>
      </c>
      <c r="K121" s="4" t="s">
        <v>16</v>
      </c>
      <c r="L121" s="4" t="s">
        <v>6</v>
      </c>
      <c r="M121" s="4" t="s">
        <v>51</v>
      </c>
      <c r="N121" s="4" t="s">
        <v>2</v>
      </c>
      <c r="O121" s="4" t="s">
        <v>3</v>
      </c>
      <c r="P121" s="4" t="s">
        <v>52</v>
      </c>
      <c r="Q121" s="4" t="s">
        <v>53</v>
      </c>
      <c r="R121" s="4" t="s">
        <v>54</v>
      </c>
      <c r="S121" s="4" t="s">
        <v>55</v>
      </c>
      <c r="T121" s="6" t="s">
        <v>4</v>
      </c>
      <c r="U121" s="9" t="s">
        <v>66</v>
      </c>
      <c r="V121" s="9" t="s">
        <v>67</v>
      </c>
      <c r="W121" s="9" t="s">
        <v>64</v>
      </c>
      <c r="X121" s="9" t="s">
        <v>65</v>
      </c>
      <c r="Y121" s="88"/>
      <c r="Z121" s="60" t="s">
        <v>153</v>
      </c>
      <c r="AA121" s="60" t="s">
        <v>154</v>
      </c>
      <c r="AB121" s="60" t="s">
        <v>155</v>
      </c>
      <c r="AC121" s="60" t="s">
        <v>156</v>
      </c>
      <c r="AD121" s="60" t="s">
        <v>157</v>
      </c>
      <c r="AE121" s="61" t="s">
        <v>158</v>
      </c>
      <c r="AG121" s="60" t="s">
        <v>153</v>
      </c>
      <c r="AH121" s="60" t="s">
        <v>154</v>
      </c>
      <c r="AI121" s="60" t="s">
        <v>155</v>
      </c>
      <c r="AJ121" s="60" t="s">
        <v>156</v>
      </c>
      <c r="AK121" s="60" t="s">
        <v>157</v>
      </c>
      <c r="AL121" s="61" t="s">
        <v>158</v>
      </c>
      <c r="AN121" s="60" t="s">
        <v>153</v>
      </c>
      <c r="AO121" s="60" t="s">
        <v>154</v>
      </c>
      <c r="AP121" s="60" t="s">
        <v>155</v>
      </c>
      <c r="AQ121" s="60" t="s">
        <v>156</v>
      </c>
      <c r="AR121" s="60" t="s">
        <v>157</v>
      </c>
      <c r="AS121" s="61" t="s">
        <v>158</v>
      </c>
      <c r="AU121" s="60" t="s">
        <v>153</v>
      </c>
      <c r="AV121" s="60" t="s">
        <v>154</v>
      </c>
      <c r="AW121" s="60" t="s">
        <v>155</v>
      </c>
      <c r="AX121" s="60" t="s">
        <v>156</v>
      </c>
      <c r="AY121" s="60" t="s">
        <v>157</v>
      </c>
      <c r="AZ121" s="61" t="s">
        <v>158</v>
      </c>
      <c r="BC121" s="55" t="s">
        <v>117</v>
      </c>
      <c r="BD121" s="55" t="s">
        <v>118</v>
      </c>
      <c r="BE121" s="55" t="s">
        <v>119</v>
      </c>
      <c r="BF121" s="56" t="s">
        <v>120</v>
      </c>
      <c r="BG121" s="56" t="s">
        <v>121</v>
      </c>
      <c r="BI121" s="55" t="s">
        <v>117</v>
      </c>
      <c r="BJ121" s="55" t="s">
        <v>118</v>
      </c>
      <c r="BK121" s="55" t="s">
        <v>119</v>
      </c>
      <c r="BL121" s="56" t="s">
        <v>120</v>
      </c>
      <c r="BM121" s="56" t="s">
        <v>121</v>
      </c>
      <c r="BO121" s="55" t="s">
        <v>117</v>
      </c>
      <c r="BP121" s="55" t="s">
        <v>118</v>
      </c>
      <c r="BQ121" s="55" t="s">
        <v>119</v>
      </c>
      <c r="BR121" s="56" t="s">
        <v>120</v>
      </c>
      <c r="BS121" s="56" t="s">
        <v>121</v>
      </c>
      <c r="BU121" s="55" t="s">
        <v>117</v>
      </c>
      <c r="BV121" s="55" t="s">
        <v>118</v>
      </c>
      <c r="BW121" s="55" t="s">
        <v>119</v>
      </c>
      <c r="BX121" s="56" t="s">
        <v>120</v>
      </c>
      <c r="BY121" s="56" t="s">
        <v>121</v>
      </c>
      <c r="CA121" s="55" t="s">
        <v>117</v>
      </c>
      <c r="CB121" s="55" t="s">
        <v>118</v>
      </c>
      <c r="CC121" s="55" t="s">
        <v>119</v>
      </c>
      <c r="CD121" s="56" t="s">
        <v>120</v>
      </c>
      <c r="CE121" s="56" t="s">
        <v>121</v>
      </c>
    </row>
    <row r="122" spans="1:83" ht="20.100000000000001" customHeight="1">
      <c r="A122" s="30">
        <v>1</v>
      </c>
      <c r="B122" s="25" t="s">
        <v>17</v>
      </c>
      <c r="C122" s="25" t="s">
        <v>17</v>
      </c>
      <c r="D122" s="10" t="s">
        <v>18</v>
      </c>
      <c r="E122" s="11">
        <v>45394</v>
      </c>
      <c r="F122" s="12">
        <v>0.40625</v>
      </c>
      <c r="G122" s="10" t="s">
        <v>19</v>
      </c>
      <c r="H122" s="37">
        <v>13.4</v>
      </c>
      <c r="I122" s="37">
        <v>7.66</v>
      </c>
      <c r="J122" s="37">
        <v>11.37</v>
      </c>
      <c r="K122" s="37">
        <v>200.1</v>
      </c>
      <c r="L122" s="38">
        <v>1.5620000000000001</v>
      </c>
      <c r="M122" s="38"/>
      <c r="N122" s="38">
        <v>2.8000000000000001E-2</v>
      </c>
      <c r="O122" s="38">
        <v>1.5338708615263741</v>
      </c>
      <c r="P122" s="38" t="s">
        <v>112</v>
      </c>
      <c r="Q122" s="38">
        <v>1.2</v>
      </c>
      <c r="R122" s="38">
        <v>1.9E-2</v>
      </c>
      <c r="S122" s="38">
        <v>1.4999999999999999E-2</v>
      </c>
      <c r="T122" s="38">
        <v>21.926092412394119</v>
      </c>
      <c r="U122" s="38">
        <v>6.79</v>
      </c>
      <c r="V122" s="38">
        <v>2.9</v>
      </c>
      <c r="W122" s="38" t="s">
        <v>68</v>
      </c>
      <c r="X122" s="38">
        <v>6.8100892305781313</v>
      </c>
      <c r="Y122" s="13"/>
      <c r="Z122" s="78">
        <v>47.21</v>
      </c>
      <c r="AA122" s="78">
        <v>1.27</v>
      </c>
      <c r="AB122" s="78">
        <v>1.79</v>
      </c>
      <c r="AC122" s="78">
        <v>0.39</v>
      </c>
      <c r="AD122" s="78">
        <v>49.34</v>
      </c>
      <c r="AE122" s="78">
        <f>SUM(Z122:AD122)</f>
        <v>100</v>
      </c>
      <c r="AF122" s="78"/>
      <c r="AG122" s="80">
        <v>41.699999999999996</v>
      </c>
      <c r="AH122" s="80">
        <v>12.1</v>
      </c>
      <c r="AI122" s="80">
        <v>11.200000000000001</v>
      </c>
      <c r="AJ122" s="80">
        <v>1.6</v>
      </c>
      <c r="AK122" s="80">
        <v>33.4</v>
      </c>
      <c r="AL122" s="78">
        <f>SUM(AG122:AK122)</f>
        <v>100</v>
      </c>
      <c r="AM122" s="78"/>
      <c r="AN122" s="80">
        <v>25.06</v>
      </c>
      <c r="AO122" s="80">
        <v>12.770000000000001</v>
      </c>
      <c r="AP122" s="80">
        <v>18.61</v>
      </c>
      <c r="AQ122" s="80">
        <v>2.39</v>
      </c>
      <c r="AR122" s="80">
        <v>41.17</v>
      </c>
      <c r="AS122" s="78">
        <f>SUM(AN122:AR122)</f>
        <v>100</v>
      </c>
      <c r="AT122" s="78"/>
      <c r="AU122" s="80">
        <v>25.52</v>
      </c>
      <c r="AV122" s="80">
        <v>12.29</v>
      </c>
      <c r="AW122" s="80">
        <v>14.71</v>
      </c>
      <c r="AX122" s="80">
        <v>2.5299999999999998</v>
      </c>
      <c r="AY122" s="80">
        <v>44.95</v>
      </c>
      <c r="AZ122" s="78">
        <f t="shared" ref="AZ122:AZ145" si="12">SUM(AU122:AY122)</f>
        <v>100</v>
      </c>
      <c r="BC122" s="57" t="s">
        <v>114</v>
      </c>
      <c r="BD122" s="58" t="s">
        <v>113</v>
      </c>
      <c r="BE122" s="58" t="s">
        <v>49</v>
      </c>
      <c r="BF122" s="59">
        <v>16.52</v>
      </c>
      <c r="BG122" s="59">
        <v>5.16</v>
      </c>
      <c r="BI122" s="57" t="s">
        <v>74</v>
      </c>
      <c r="BJ122" s="58" t="s">
        <v>75</v>
      </c>
      <c r="BK122" s="58" t="s">
        <v>76</v>
      </c>
      <c r="BL122" s="59">
        <v>17.66</v>
      </c>
      <c r="BM122" s="59">
        <v>10.89</v>
      </c>
      <c r="BO122" s="57" t="s">
        <v>101</v>
      </c>
      <c r="BP122" s="58" t="s">
        <v>138</v>
      </c>
      <c r="BQ122" s="58" t="s">
        <v>140</v>
      </c>
      <c r="BR122" s="59">
        <v>0.63</v>
      </c>
      <c r="BS122" s="59">
        <v>10.72</v>
      </c>
      <c r="BU122" s="57" t="s">
        <v>150</v>
      </c>
      <c r="BV122" s="58"/>
      <c r="BW122" s="58" t="s">
        <v>151</v>
      </c>
      <c r="BX122" s="59">
        <v>3.25</v>
      </c>
      <c r="BY122" s="59">
        <v>40.020000000000003</v>
      </c>
      <c r="CA122" s="57" t="s">
        <v>95</v>
      </c>
      <c r="CB122" s="58"/>
      <c r="CC122" s="58" t="s">
        <v>104</v>
      </c>
      <c r="CD122" s="59">
        <v>1.41</v>
      </c>
      <c r="CE122" s="59">
        <v>8.9700000000000006</v>
      </c>
    </row>
    <row r="123" spans="1:83" ht="20.100000000000001" customHeight="1">
      <c r="A123" s="22">
        <v>2</v>
      </c>
      <c r="B123" s="14" t="s">
        <v>17</v>
      </c>
      <c r="C123" s="14" t="s">
        <v>17</v>
      </c>
      <c r="D123" s="15" t="s">
        <v>20</v>
      </c>
      <c r="E123" s="16">
        <v>45394</v>
      </c>
      <c r="F123" s="17">
        <v>0.4375</v>
      </c>
      <c r="G123" s="15" t="s">
        <v>19</v>
      </c>
      <c r="H123" s="24">
        <v>17.899999999999999</v>
      </c>
      <c r="I123" s="24">
        <v>7.63</v>
      </c>
      <c r="J123" s="24">
        <v>10.66</v>
      </c>
      <c r="K123" s="24">
        <v>381</v>
      </c>
      <c r="L123" s="39">
        <v>5.1319999999999997</v>
      </c>
      <c r="M123" s="39"/>
      <c r="N123" s="39">
        <v>0.82399999999999995</v>
      </c>
      <c r="O123" s="39">
        <v>3.8056685669511721</v>
      </c>
      <c r="P123" s="39">
        <v>0.75779406996970966</v>
      </c>
      <c r="Q123" s="39">
        <v>3.4</v>
      </c>
      <c r="R123" s="39">
        <v>4.1000000000000002E-2</v>
      </c>
      <c r="S123" s="39">
        <v>2.9000000000000001E-2</v>
      </c>
      <c r="T123" s="39">
        <v>48.553205182927933</v>
      </c>
      <c r="U123" s="39">
        <v>10.94</v>
      </c>
      <c r="V123" s="39">
        <v>0.19</v>
      </c>
      <c r="W123" s="39">
        <v>91.9</v>
      </c>
      <c r="X123" s="39">
        <v>11.530193967408453</v>
      </c>
      <c r="Y123" s="18"/>
      <c r="Z123" s="77">
        <v>91.74</v>
      </c>
      <c r="AA123" s="77">
        <v>1.62</v>
      </c>
      <c r="AB123" s="77">
        <v>0.76</v>
      </c>
      <c r="AC123" s="77">
        <v>0.14000000000000001</v>
      </c>
      <c r="AD123" s="77">
        <v>5.74</v>
      </c>
      <c r="AE123" s="77">
        <f t="shared" ref="AE123:AE145" si="13">SUM(Z123:AD123)</f>
        <v>100</v>
      </c>
      <c r="AF123" s="78"/>
      <c r="AG123" s="77">
        <v>53.900000000000006</v>
      </c>
      <c r="AH123" s="77">
        <v>14.399999999999999</v>
      </c>
      <c r="AI123" s="77">
        <v>7.7</v>
      </c>
      <c r="AJ123" s="77">
        <v>1.3</v>
      </c>
      <c r="AK123" s="77">
        <v>22.7</v>
      </c>
      <c r="AL123" s="77">
        <f t="shared" ref="AL123:AL145" si="14">SUM(AG123:AK123)</f>
        <v>100.00000000000001</v>
      </c>
      <c r="AM123" s="78"/>
      <c r="AN123" s="77">
        <v>51.11</v>
      </c>
      <c r="AO123" s="77">
        <v>17.64</v>
      </c>
      <c r="AP123" s="77">
        <v>8.44</v>
      </c>
      <c r="AQ123" s="77">
        <v>3.95</v>
      </c>
      <c r="AR123" s="77">
        <v>18.86</v>
      </c>
      <c r="AS123" s="77">
        <f t="shared" ref="AS123:AS145" si="15">SUM(AN123:AR123)</f>
        <v>100</v>
      </c>
      <c r="AT123" s="78"/>
      <c r="AU123" s="77">
        <v>45.1</v>
      </c>
      <c r="AV123" s="77">
        <v>20.27</v>
      </c>
      <c r="AW123" s="77">
        <v>8.14</v>
      </c>
      <c r="AX123" s="77">
        <v>1.63</v>
      </c>
      <c r="AY123" s="77">
        <v>24.86</v>
      </c>
      <c r="AZ123" s="77">
        <f t="shared" si="12"/>
        <v>100</v>
      </c>
      <c r="BC123" s="57" t="s">
        <v>70</v>
      </c>
      <c r="BD123" s="58" t="s">
        <v>71</v>
      </c>
      <c r="BE123" s="58" t="s">
        <v>86</v>
      </c>
      <c r="BF123" s="59">
        <v>15.92</v>
      </c>
      <c r="BG123" s="59">
        <v>-0.37</v>
      </c>
      <c r="BI123" s="57" t="s">
        <v>74</v>
      </c>
      <c r="BJ123" s="58" t="s">
        <v>75</v>
      </c>
      <c r="BK123" s="58" t="s">
        <v>76</v>
      </c>
      <c r="BL123" s="59">
        <v>18.170000000000002</v>
      </c>
      <c r="BM123" s="59">
        <v>9.27</v>
      </c>
      <c r="BO123" s="57" t="s">
        <v>102</v>
      </c>
      <c r="BP123" s="58" t="s">
        <v>138</v>
      </c>
      <c r="BQ123" s="58" t="s">
        <v>139</v>
      </c>
      <c r="BR123" s="59">
        <v>1.1000000000000001</v>
      </c>
      <c r="BS123" s="59">
        <v>18.05</v>
      </c>
      <c r="BU123" s="57" t="s">
        <v>122</v>
      </c>
      <c r="BV123" s="58"/>
      <c r="BW123" s="58" t="s">
        <v>123</v>
      </c>
      <c r="BX123" s="59">
        <v>1.75</v>
      </c>
      <c r="BY123" s="59">
        <v>45.94</v>
      </c>
      <c r="CA123" s="57" t="s">
        <v>92</v>
      </c>
      <c r="CB123" s="58"/>
      <c r="CC123" s="58" t="s">
        <v>93</v>
      </c>
      <c r="CD123" s="59">
        <v>3.76</v>
      </c>
      <c r="CE123" s="59">
        <v>8.43</v>
      </c>
    </row>
    <row r="124" spans="1:83" ht="20.100000000000001" customHeight="1">
      <c r="A124" s="22">
        <v>3</v>
      </c>
      <c r="B124" s="14" t="s">
        <v>17</v>
      </c>
      <c r="C124" s="14" t="s">
        <v>17</v>
      </c>
      <c r="D124" s="15" t="s">
        <v>21</v>
      </c>
      <c r="E124" s="16">
        <v>45394</v>
      </c>
      <c r="F124" s="17">
        <v>0.4513888888888889</v>
      </c>
      <c r="G124" s="15" t="s">
        <v>19</v>
      </c>
      <c r="H124" s="24">
        <v>19.100000000000001</v>
      </c>
      <c r="I124" s="24">
        <v>7.58</v>
      </c>
      <c r="J124" s="24">
        <v>9.67</v>
      </c>
      <c r="K124" s="24">
        <v>357</v>
      </c>
      <c r="L124" s="39">
        <v>4.3529999999999998</v>
      </c>
      <c r="M124" s="39"/>
      <c r="N124" s="39">
        <v>0.90200000000000002</v>
      </c>
      <c r="O124" s="39">
        <v>2.9836540688462629</v>
      </c>
      <c r="P124" s="39">
        <v>0.5708632001190197</v>
      </c>
      <c r="Q124" s="39">
        <v>3.5</v>
      </c>
      <c r="R124" s="39">
        <v>7.8E-2</v>
      </c>
      <c r="S124" s="39">
        <v>6.9000000000000006E-2</v>
      </c>
      <c r="T124" s="39">
        <v>42.668927928854785</v>
      </c>
      <c r="U124" s="39">
        <v>10.09</v>
      </c>
      <c r="V124" s="39">
        <v>1.5</v>
      </c>
      <c r="W124" s="39">
        <v>25.3</v>
      </c>
      <c r="X124" s="39">
        <v>11.842993595465368</v>
      </c>
      <c r="Y124" s="18"/>
      <c r="Z124" s="77">
        <v>82.54</v>
      </c>
      <c r="AA124" s="77">
        <v>2.27</v>
      </c>
      <c r="AB124" s="77">
        <v>0.71</v>
      </c>
      <c r="AC124" s="77">
        <v>0.51</v>
      </c>
      <c r="AD124" s="77">
        <v>13.97</v>
      </c>
      <c r="AE124" s="77">
        <f t="shared" si="13"/>
        <v>100</v>
      </c>
      <c r="AF124" s="78"/>
      <c r="AG124" s="77">
        <v>49.7</v>
      </c>
      <c r="AH124" s="77">
        <v>14.000000000000002</v>
      </c>
      <c r="AI124" s="77">
        <v>8.5</v>
      </c>
      <c r="AJ124" s="77">
        <v>1.4000000000000001</v>
      </c>
      <c r="AK124" s="77">
        <v>26.400000000000002</v>
      </c>
      <c r="AL124" s="77">
        <f t="shared" si="14"/>
        <v>100.00000000000001</v>
      </c>
      <c r="AM124" s="78"/>
      <c r="AN124" s="77">
        <v>33.979999999999997</v>
      </c>
      <c r="AO124" s="77">
        <v>25.91</v>
      </c>
      <c r="AP124" s="77">
        <v>10.01</v>
      </c>
      <c r="AQ124" s="77">
        <v>4</v>
      </c>
      <c r="AR124" s="77">
        <v>26.1</v>
      </c>
      <c r="AS124" s="77">
        <f t="shared" si="15"/>
        <v>100</v>
      </c>
      <c r="AT124" s="78"/>
      <c r="AU124" s="77">
        <v>40.849999999999994</v>
      </c>
      <c r="AV124" s="77">
        <v>19.32</v>
      </c>
      <c r="AW124" s="77">
        <v>9.9699999999999989</v>
      </c>
      <c r="AX124" s="77">
        <v>2.1</v>
      </c>
      <c r="AY124" s="77">
        <v>27.76</v>
      </c>
      <c r="AZ124" s="77">
        <f t="shared" si="12"/>
        <v>99.999999999999986</v>
      </c>
      <c r="BC124" s="57" t="s">
        <v>79</v>
      </c>
      <c r="BD124" s="58"/>
      <c r="BE124" s="58" t="s">
        <v>169</v>
      </c>
      <c r="BF124" s="59">
        <v>15.17</v>
      </c>
      <c r="BG124" s="59">
        <v>-3.82</v>
      </c>
      <c r="BI124" s="57" t="s">
        <v>96</v>
      </c>
      <c r="BJ124" s="58"/>
      <c r="BK124" s="58" t="s">
        <v>105</v>
      </c>
      <c r="BL124" s="59">
        <v>15.309999999999999</v>
      </c>
      <c r="BM124" s="59">
        <v>3.085</v>
      </c>
      <c r="BO124" s="57"/>
      <c r="BP124" s="58"/>
      <c r="BQ124" s="58"/>
      <c r="BR124" s="59"/>
      <c r="BS124" s="59"/>
      <c r="BU124" s="57" t="s">
        <v>135</v>
      </c>
      <c r="BV124" s="58"/>
      <c r="BW124" s="58" t="s">
        <v>123</v>
      </c>
      <c r="BX124" s="59">
        <v>0.13</v>
      </c>
      <c r="BY124" s="59">
        <v>51.47</v>
      </c>
      <c r="CA124" s="57" t="s">
        <v>77</v>
      </c>
      <c r="CB124" s="58" t="s">
        <v>75</v>
      </c>
      <c r="CC124" s="58" t="s">
        <v>78</v>
      </c>
      <c r="CD124" s="59">
        <v>1.75</v>
      </c>
      <c r="CE124" s="59">
        <v>7.65</v>
      </c>
    </row>
    <row r="125" spans="1:83" ht="20.100000000000001" customHeight="1">
      <c r="A125" s="22">
        <v>4</v>
      </c>
      <c r="B125" s="14" t="s">
        <v>17</v>
      </c>
      <c r="C125" s="14" t="s">
        <v>17</v>
      </c>
      <c r="D125" s="15" t="s">
        <v>22</v>
      </c>
      <c r="E125" s="16">
        <v>45394</v>
      </c>
      <c r="F125" s="17">
        <v>0.46527777777777773</v>
      </c>
      <c r="G125" s="15" t="s">
        <v>19</v>
      </c>
      <c r="H125" s="24">
        <v>20.399999999999999</v>
      </c>
      <c r="I125" s="24">
        <v>7.35</v>
      </c>
      <c r="J125" s="24">
        <v>9</v>
      </c>
      <c r="K125" s="24">
        <v>348</v>
      </c>
      <c r="L125" s="39">
        <v>3.8969999999999998</v>
      </c>
      <c r="M125" s="39"/>
      <c r="N125" s="39">
        <v>0.78200000000000003</v>
      </c>
      <c r="O125" s="39">
        <v>2.6470789824688241</v>
      </c>
      <c r="P125" s="39">
        <v>0.50575484929842918</v>
      </c>
      <c r="Q125" s="39">
        <v>3.5</v>
      </c>
      <c r="R125" s="39">
        <v>5.8999999999999997E-2</v>
      </c>
      <c r="S125" s="39">
        <v>4.8000000000000001E-2</v>
      </c>
      <c r="T125" s="39">
        <v>41.228925543629487</v>
      </c>
      <c r="U125" s="39">
        <v>10.63</v>
      </c>
      <c r="V125" s="39">
        <v>2.19</v>
      </c>
      <c r="W125" s="39">
        <v>19.899999999999999</v>
      </c>
      <c r="X125" s="39">
        <v>12.303652359256734</v>
      </c>
      <c r="Y125" s="18"/>
      <c r="Z125" s="77">
        <v>77.12</v>
      </c>
      <c r="AA125" s="77">
        <v>5.28</v>
      </c>
      <c r="AB125" s="77">
        <v>1.25</v>
      </c>
      <c r="AC125" s="77">
        <v>0.17</v>
      </c>
      <c r="AD125" s="77">
        <v>16.18</v>
      </c>
      <c r="AE125" s="77">
        <f t="shared" si="13"/>
        <v>100</v>
      </c>
      <c r="AF125" s="78"/>
      <c r="AG125" s="77">
        <v>51.5</v>
      </c>
      <c r="AH125" s="77">
        <v>14.6</v>
      </c>
      <c r="AI125" s="77">
        <v>8.7999999999999989</v>
      </c>
      <c r="AJ125" s="77">
        <v>1.5</v>
      </c>
      <c r="AK125" s="77">
        <v>23.6</v>
      </c>
      <c r="AL125" s="77">
        <f t="shared" si="14"/>
        <v>100</v>
      </c>
      <c r="AM125" s="78"/>
      <c r="AN125" s="77">
        <v>49.76</v>
      </c>
      <c r="AO125" s="77">
        <v>18.22</v>
      </c>
      <c r="AP125" s="77">
        <v>9.9699999999999989</v>
      </c>
      <c r="AQ125" s="77">
        <v>3.45</v>
      </c>
      <c r="AR125" s="77">
        <v>18.600000000000001</v>
      </c>
      <c r="AS125" s="77">
        <f t="shared" si="15"/>
        <v>100</v>
      </c>
      <c r="AT125" s="78"/>
      <c r="AU125" s="77">
        <v>41.83</v>
      </c>
      <c r="AV125" s="77">
        <v>22.03</v>
      </c>
      <c r="AW125" s="77">
        <v>10.190000000000001</v>
      </c>
      <c r="AX125" s="77">
        <v>2.44</v>
      </c>
      <c r="AY125" s="77">
        <v>23.51</v>
      </c>
      <c r="AZ125" s="77">
        <f t="shared" si="12"/>
        <v>100</v>
      </c>
      <c r="BC125" s="57" t="s">
        <v>74</v>
      </c>
      <c r="BD125" s="58"/>
      <c r="BE125" s="58" t="s">
        <v>170</v>
      </c>
      <c r="BF125" s="59">
        <v>14.62</v>
      </c>
      <c r="BG125" s="59">
        <v>0.65</v>
      </c>
      <c r="BI125" s="57" t="s">
        <v>98</v>
      </c>
      <c r="BJ125" s="58"/>
      <c r="BK125" s="58" t="s">
        <v>106</v>
      </c>
      <c r="BL125" s="59">
        <v>19.239999999999998</v>
      </c>
      <c r="BM125" s="59">
        <v>8.4600000000000009</v>
      </c>
      <c r="BO125" s="57"/>
      <c r="BP125" s="58"/>
      <c r="BQ125" s="58"/>
      <c r="BR125" s="59"/>
      <c r="BS125" s="59"/>
      <c r="BU125" s="57"/>
      <c r="BV125" s="58"/>
      <c r="BW125" s="58"/>
      <c r="BX125" s="59"/>
      <c r="BY125" s="59"/>
      <c r="CA125" s="57" t="s">
        <v>97</v>
      </c>
      <c r="CB125" s="58"/>
      <c r="CC125" s="58" t="s">
        <v>152</v>
      </c>
      <c r="CD125" s="59">
        <v>0.53</v>
      </c>
      <c r="CE125" s="59">
        <v>7.29</v>
      </c>
    </row>
    <row r="126" spans="1:83" ht="20.100000000000001" customHeight="1">
      <c r="A126" s="31">
        <v>5</v>
      </c>
      <c r="B126" s="32" t="s">
        <v>23</v>
      </c>
      <c r="C126" s="32" t="s">
        <v>23</v>
      </c>
      <c r="D126" s="33" t="s">
        <v>24</v>
      </c>
      <c r="E126" s="42">
        <v>45394</v>
      </c>
      <c r="F126" s="34">
        <v>0.625</v>
      </c>
      <c r="G126" s="33" t="s">
        <v>19</v>
      </c>
      <c r="H126" s="35">
        <v>23.3</v>
      </c>
      <c r="I126" s="35">
        <v>8.59</v>
      </c>
      <c r="J126" s="35">
        <v>9.51</v>
      </c>
      <c r="K126" s="35">
        <v>167.4</v>
      </c>
      <c r="L126" s="41">
        <v>1.5269999999999999</v>
      </c>
      <c r="M126" s="41"/>
      <c r="N126" s="41">
        <v>2.8000000000000001E-2</v>
      </c>
      <c r="O126" s="41">
        <v>1.3577461209228088</v>
      </c>
      <c r="P126" s="41" t="s">
        <v>112</v>
      </c>
      <c r="Q126" s="41">
        <v>2.5</v>
      </c>
      <c r="R126" s="41">
        <v>2.5000000000000001E-2</v>
      </c>
      <c r="S126" s="41">
        <v>8.9999999999999993E-3</v>
      </c>
      <c r="T126" s="41">
        <v>13.465682479565089</v>
      </c>
      <c r="U126" s="41">
        <v>5.58</v>
      </c>
      <c r="V126" s="41">
        <v>6.49</v>
      </c>
      <c r="W126" s="41">
        <v>8.1999999999999993</v>
      </c>
      <c r="X126" s="41">
        <v>15.388054287513553</v>
      </c>
      <c r="Y126" s="36"/>
      <c r="Z126" s="78">
        <v>22.22</v>
      </c>
      <c r="AA126" s="78">
        <v>7.15</v>
      </c>
      <c r="AB126" s="78">
        <v>19.079999999999998</v>
      </c>
      <c r="AC126" s="78">
        <v>2.67</v>
      </c>
      <c r="AD126" s="78">
        <v>48.88</v>
      </c>
      <c r="AE126" s="78">
        <f t="shared" si="13"/>
        <v>100</v>
      </c>
      <c r="AF126" s="78"/>
      <c r="AG126" s="80">
        <v>27.800000000000004</v>
      </c>
      <c r="AH126" s="80">
        <v>9</v>
      </c>
      <c r="AI126" s="80">
        <v>17.5</v>
      </c>
      <c r="AJ126" s="80">
        <v>2.1999999999999997</v>
      </c>
      <c r="AK126" s="80">
        <v>43.5</v>
      </c>
      <c r="AL126" s="78">
        <f t="shared" si="14"/>
        <v>100</v>
      </c>
      <c r="AM126" s="78"/>
      <c r="AN126" s="80">
        <v>18.84</v>
      </c>
      <c r="AO126" s="80">
        <v>10.39</v>
      </c>
      <c r="AP126" s="80">
        <v>25.430000000000003</v>
      </c>
      <c r="AQ126" s="80">
        <v>5.16</v>
      </c>
      <c r="AR126" s="80">
        <v>40.18</v>
      </c>
      <c r="AS126" s="78">
        <f t="shared" si="15"/>
        <v>100</v>
      </c>
      <c r="AT126" s="78"/>
      <c r="AU126" s="80">
        <v>19.43</v>
      </c>
      <c r="AV126" s="80">
        <v>10.780000000000001</v>
      </c>
      <c r="AW126" s="80">
        <v>24.08</v>
      </c>
      <c r="AX126" s="80">
        <v>4.95</v>
      </c>
      <c r="AY126" s="80">
        <v>40.760000000000005</v>
      </c>
      <c r="AZ126" s="78">
        <f t="shared" si="12"/>
        <v>100</v>
      </c>
      <c r="BC126" s="57" t="s">
        <v>115</v>
      </c>
      <c r="BD126" s="58" t="s">
        <v>113</v>
      </c>
      <c r="BE126" s="58" t="s">
        <v>116</v>
      </c>
      <c r="BF126" s="59">
        <v>14.07</v>
      </c>
      <c r="BG126" s="59">
        <v>3.84</v>
      </c>
      <c r="BI126" s="57" t="s">
        <v>100</v>
      </c>
      <c r="BJ126" s="58"/>
      <c r="BK126" s="58" t="s">
        <v>109</v>
      </c>
      <c r="BL126" s="59">
        <v>20.925000000000001</v>
      </c>
      <c r="BM126" s="59">
        <v>5.27</v>
      </c>
      <c r="BO126" s="57"/>
      <c r="BP126" s="58"/>
      <c r="BQ126" s="58"/>
      <c r="BR126" s="59"/>
      <c r="BS126" s="59"/>
      <c r="BU126" s="57"/>
      <c r="BV126" s="58"/>
      <c r="BW126" s="58" t="s">
        <v>161</v>
      </c>
      <c r="BX126" s="59">
        <f>AVERAGE(BX122:BX124)</f>
        <v>1.71</v>
      </c>
      <c r="BY126" s="59">
        <f>AVERAGE(BY122:BY124)</f>
        <v>45.81</v>
      </c>
      <c r="CA126" s="57" t="s">
        <v>90</v>
      </c>
      <c r="CB126" s="58"/>
      <c r="CC126" s="58" t="s">
        <v>91</v>
      </c>
      <c r="CD126" s="59">
        <v>1.665</v>
      </c>
      <c r="CE126" s="59">
        <v>4.1099999999999994</v>
      </c>
    </row>
    <row r="127" spans="1:83" ht="20.100000000000001" customHeight="1">
      <c r="A127" s="31">
        <v>6</v>
      </c>
      <c r="B127" s="32" t="s">
        <v>23</v>
      </c>
      <c r="C127" s="32" t="s">
        <v>23</v>
      </c>
      <c r="D127" s="33" t="s">
        <v>25</v>
      </c>
      <c r="E127" s="42">
        <v>45394</v>
      </c>
      <c r="F127" s="34">
        <v>0.63888888888888895</v>
      </c>
      <c r="G127" s="33" t="s">
        <v>19</v>
      </c>
      <c r="H127" s="35">
        <v>20.5</v>
      </c>
      <c r="I127" s="35">
        <v>7.61</v>
      </c>
      <c r="J127" s="35">
        <v>10.02</v>
      </c>
      <c r="K127" s="35">
        <v>279</v>
      </c>
      <c r="L127" s="41">
        <v>2.8879999999999999</v>
      </c>
      <c r="M127" s="41"/>
      <c r="N127" s="41">
        <v>0.128</v>
      </c>
      <c r="O127" s="41">
        <v>2.3599395974240749</v>
      </c>
      <c r="P127" s="41">
        <v>4.16973481937844E-2</v>
      </c>
      <c r="Q127" s="41">
        <v>3.8</v>
      </c>
      <c r="R127" s="41">
        <v>0.13700000000000001</v>
      </c>
      <c r="S127" s="41">
        <v>0.13200000000000001</v>
      </c>
      <c r="T127" s="41">
        <v>24.609506883467702</v>
      </c>
      <c r="U127" s="41">
        <v>6.75</v>
      </c>
      <c r="V127" s="41">
        <v>7.6</v>
      </c>
      <c r="W127" s="41">
        <v>14.7</v>
      </c>
      <c r="X127" s="41">
        <v>11.914577909851953</v>
      </c>
      <c r="Y127" s="36"/>
      <c r="Z127" s="78">
        <v>25.1</v>
      </c>
      <c r="AA127" s="78">
        <v>12.01</v>
      </c>
      <c r="AB127" s="78">
        <v>25.47</v>
      </c>
      <c r="AC127" s="78">
        <v>3.51</v>
      </c>
      <c r="AD127" s="78">
        <v>33.909999999999997</v>
      </c>
      <c r="AE127" s="78">
        <f t="shared" si="13"/>
        <v>100</v>
      </c>
      <c r="AF127" s="78"/>
      <c r="AG127" s="80">
        <v>31.8</v>
      </c>
      <c r="AH127" s="80">
        <v>10.9</v>
      </c>
      <c r="AI127" s="80">
        <v>16.400000000000002</v>
      </c>
      <c r="AJ127" s="80">
        <v>2.5</v>
      </c>
      <c r="AK127" s="80">
        <v>38.4</v>
      </c>
      <c r="AL127" s="78">
        <f t="shared" si="14"/>
        <v>100</v>
      </c>
      <c r="AM127" s="78"/>
      <c r="AN127" s="80">
        <v>22.73</v>
      </c>
      <c r="AO127" s="80">
        <v>13.850000000000001</v>
      </c>
      <c r="AP127" s="80">
        <v>24.29</v>
      </c>
      <c r="AQ127" s="80">
        <v>6.15</v>
      </c>
      <c r="AR127" s="80">
        <v>32.979999999999997</v>
      </c>
      <c r="AS127" s="78">
        <f t="shared" si="15"/>
        <v>100</v>
      </c>
      <c r="AT127" s="78"/>
      <c r="AU127" s="80">
        <v>23.56</v>
      </c>
      <c r="AV127" s="80">
        <v>14.87</v>
      </c>
      <c r="AW127" s="80">
        <v>22.75</v>
      </c>
      <c r="AX127" s="80">
        <v>6.24</v>
      </c>
      <c r="AY127" s="80">
        <v>32.58</v>
      </c>
      <c r="AZ127" s="78">
        <f t="shared" si="12"/>
        <v>100</v>
      </c>
      <c r="BC127" s="57" t="s">
        <v>141</v>
      </c>
      <c r="BD127" s="58" t="s">
        <v>72</v>
      </c>
      <c r="BE127" s="58" t="s">
        <v>142</v>
      </c>
      <c r="BF127" s="59">
        <v>13.38</v>
      </c>
      <c r="BG127" s="59">
        <v>4.66</v>
      </c>
      <c r="BI127" s="57" t="s">
        <v>148</v>
      </c>
      <c r="BJ127" s="58"/>
      <c r="BK127" s="58" t="s">
        <v>149</v>
      </c>
      <c r="BL127" s="59">
        <v>24.47</v>
      </c>
      <c r="BM127" s="59">
        <v>-0.67</v>
      </c>
      <c r="BO127" s="57"/>
      <c r="BP127" s="58"/>
      <c r="BQ127" s="58"/>
      <c r="BR127" s="59"/>
      <c r="BS127" s="59"/>
      <c r="BU127" s="57"/>
      <c r="BV127" s="58"/>
      <c r="BW127" s="58" t="s">
        <v>162</v>
      </c>
      <c r="BX127" s="59">
        <f>_xlfn.STDEV.S(BX122:BX124)</f>
        <v>1.5603845679831623</v>
      </c>
      <c r="BY127" s="59">
        <f>_xlfn.STDEV.S(BY122:BY124)</f>
        <v>5.7261068798966068</v>
      </c>
      <c r="CA127" s="57" t="s">
        <v>84</v>
      </c>
      <c r="CB127" s="58" t="s">
        <v>71</v>
      </c>
      <c r="CC127" s="58" t="s">
        <v>85</v>
      </c>
      <c r="CD127" s="59">
        <v>4.34</v>
      </c>
      <c r="CE127" s="59">
        <v>0.88</v>
      </c>
    </row>
    <row r="128" spans="1:83" ht="20.100000000000001" customHeight="1">
      <c r="A128" s="31">
        <v>7</v>
      </c>
      <c r="B128" s="32" t="s">
        <v>23</v>
      </c>
      <c r="C128" s="32" t="s">
        <v>23</v>
      </c>
      <c r="D128" s="33" t="s">
        <v>26</v>
      </c>
      <c r="E128" s="42">
        <v>45393</v>
      </c>
      <c r="F128" s="34">
        <v>0.63888888888888895</v>
      </c>
      <c r="G128" s="33" t="s">
        <v>19</v>
      </c>
      <c r="H128" s="43">
        <v>17.5</v>
      </c>
      <c r="I128" s="43">
        <v>7.38</v>
      </c>
      <c r="J128" s="43">
        <v>9.8800000000000008</v>
      </c>
      <c r="K128" s="44">
        <v>267</v>
      </c>
      <c r="L128" s="41">
        <v>3.016</v>
      </c>
      <c r="M128" s="41"/>
      <c r="N128" s="41">
        <v>0.191</v>
      </c>
      <c r="O128" s="41">
        <v>2.4391271227247548</v>
      </c>
      <c r="P128" s="41">
        <v>7.7295428737773897E-2</v>
      </c>
      <c r="Q128" s="41">
        <v>4.3</v>
      </c>
      <c r="R128" s="41">
        <v>0.251</v>
      </c>
      <c r="S128" s="41">
        <v>0.249</v>
      </c>
      <c r="T128" s="41">
        <v>21.663703887468678</v>
      </c>
      <c r="U128" s="41">
        <v>8.2100000000000009</v>
      </c>
      <c r="V128" s="41">
        <v>5.56</v>
      </c>
      <c r="W128" s="41">
        <v>19.2</v>
      </c>
      <c r="X128" s="41">
        <v>10.009981831868686</v>
      </c>
      <c r="Y128" s="36"/>
      <c r="Z128" s="78">
        <v>33.42</v>
      </c>
      <c r="AA128" s="78">
        <v>14.45</v>
      </c>
      <c r="AB128" s="78">
        <v>13.22</v>
      </c>
      <c r="AC128" s="78">
        <v>2.08</v>
      </c>
      <c r="AD128" s="78">
        <v>36.83</v>
      </c>
      <c r="AE128" s="78">
        <f t="shared" si="13"/>
        <v>100</v>
      </c>
      <c r="AF128" s="78"/>
      <c r="AG128" s="80">
        <v>39.5</v>
      </c>
      <c r="AH128" s="80">
        <v>12.8</v>
      </c>
      <c r="AI128" s="80">
        <v>12.8</v>
      </c>
      <c r="AJ128" s="80">
        <v>2</v>
      </c>
      <c r="AK128" s="80">
        <v>32.9</v>
      </c>
      <c r="AL128" s="78">
        <f t="shared" si="14"/>
        <v>100</v>
      </c>
      <c r="AM128" s="78"/>
      <c r="AN128" s="80">
        <v>27.33</v>
      </c>
      <c r="AO128" s="80">
        <v>19.3</v>
      </c>
      <c r="AP128" s="80">
        <v>24.38</v>
      </c>
      <c r="AQ128" s="80">
        <v>3.0700000000000003</v>
      </c>
      <c r="AR128" s="80">
        <v>25.919999999999998</v>
      </c>
      <c r="AS128" s="78">
        <f t="shared" si="15"/>
        <v>99.999999999999986</v>
      </c>
      <c r="AT128" s="78"/>
      <c r="AU128" s="80">
        <v>30.259999999999998</v>
      </c>
      <c r="AV128" s="80">
        <v>18.34</v>
      </c>
      <c r="AW128" s="80">
        <v>16.53</v>
      </c>
      <c r="AX128" s="80">
        <v>4.4400000000000004</v>
      </c>
      <c r="AY128" s="80">
        <v>30.43</v>
      </c>
      <c r="AZ128" s="78">
        <f t="shared" si="12"/>
        <v>100</v>
      </c>
      <c r="BC128" s="57" t="s">
        <v>115</v>
      </c>
      <c r="BD128" s="58" t="s">
        <v>113</v>
      </c>
      <c r="BE128" s="58" t="s">
        <v>116</v>
      </c>
      <c r="BF128" s="59">
        <v>12.44</v>
      </c>
      <c r="BG128" s="59">
        <v>3.65</v>
      </c>
      <c r="BI128" s="57" t="s">
        <v>137</v>
      </c>
      <c r="BJ128" s="58"/>
      <c r="BK128" s="58" t="s">
        <v>110</v>
      </c>
      <c r="BL128" s="59">
        <v>24.39</v>
      </c>
      <c r="BM128" s="59">
        <v>1.3149999999999999</v>
      </c>
      <c r="BO128" s="57"/>
      <c r="BP128" s="58"/>
      <c r="BQ128" s="58" t="s">
        <v>161</v>
      </c>
      <c r="BR128" s="59">
        <f>AVERAGE(BR122:BR123)</f>
        <v>0.86499999999999999</v>
      </c>
      <c r="BS128" s="59">
        <f>AVERAGE(BS122:BS123)</f>
        <v>14.385000000000002</v>
      </c>
      <c r="CA128" s="57" t="s">
        <v>133</v>
      </c>
      <c r="CB128" s="58" t="s">
        <v>125</v>
      </c>
      <c r="CC128" s="58" t="s">
        <v>134</v>
      </c>
      <c r="CD128" s="59">
        <v>2.98</v>
      </c>
      <c r="CE128" s="59">
        <v>0.23</v>
      </c>
    </row>
    <row r="129" spans="1:83" ht="20.100000000000001" customHeight="1">
      <c r="A129" s="31">
        <v>8</v>
      </c>
      <c r="B129" s="32" t="s">
        <v>23</v>
      </c>
      <c r="C129" s="32" t="s">
        <v>27</v>
      </c>
      <c r="D129" s="33" t="s">
        <v>28</v>
      </c>
      <c r="E129" s="42">
        <v>45393</v>
      </c>
      <c r="F129" s="34">
        <v>0.65277777777777779</v>
      </c>
      <c r="G129" s="33" t="s">
        <v>19</v>
      </c>
      <c r="H129" s="43">
        <v>15.2</v>
      </c>
      <c r="I129" s="43">
        <v>7.18</v>
      </c>
      <c r="J129" s="43">
        <v>8.57</v>
      </c>
      <c r="K129" s="44">
        <v>447</v>
      </c>
      <c r="L129" s="41">
        <v>10.587</v>
      </c>
      <c r="M129" s="41"/>
      <c r="N129" s="41">
        <v>7.5830000000000002</v>
      </c>
      <c r="O129" s="41">
        <v>0.97586059085562704</v>
      </c>
      <c r="P129" s="41">
        <v>8.6902733014795064E-2</v>
      </c>
      <c r="Q129" s="41">
        <v>13.8</v>
      </c>
      <c r="R129" s="41">
        <v>4.4939999999999998</v>
      </c>
      <c r="S129" s="41">
        <v>4.4489999999999998</v>
      </c>
      <c r="T129" s="41">
        <v>28.874406034046217</v>
      </c>
      <c r="U129" s="41">
        <v>1.58</v>
      </c>
      <c r="V129" s="41">
        <v>-0.43</v>
      </c>
      <c r="W129" s="41">
        <v>29.5</v>
      </c>
      <c r="X129" s="41">
        <v>10.352175185906143</v>
      </c>
      <c r="Y129" s="36"/>
      <c r="Z129" s="77">
        <v>83.35</v>
      </c>
      <c r="AA129" s="77">
        <v>2.52</v>
      </c>
      <c r="AB129" s="77">
        <v>0.62</v>
      </c>
      <c r="AC129" s="77">
        <v>0.24</v>
      </c>
      <c r="AD129" s="77">
        <v>13.27</v>
      </c>
      <c r="AE129" s="77">
        <f t="shared" si="13"/>
        <v>99.999999999999986</v>
      </c>
      <c r="AF129" s="79"/>
      <c r="AG129" s="77">
        <v>13.700000000000001</v>
      </c>
      <c r="AH129" s="77">
        <v>4.9000000000000004</v>
      </c>
      <c r="AI129" s="77">
        <v>13.600000000000001</v>
      </c>
      <c r="AJ129" s="77">
        <v>1.2</v>
      </c>
      <c r="AK129" s="77">
        <v>66.600000000000009</v>
      </c>
      <c r="AL129" s="77">
        <f t="shared" si="14"/>
        <v>100.00000000000001</v>
      </c>
      <c r="AM129" s="79"/>
      <c r="AN129" s="77">
        <v>7.35</v>
      </c>
      <c r="AO129" s="77">
        <v>5.09</v>
      </c>
      <c r="AP129" s="77">
        <v>17.39</v>
      </c>
      <c r="AQ129" s="77">
        <v>5.77</v>
      </c>
      <c r="AR129" s="77">
        <v>64.400000000000006</v>
      </c>
      <c r="AS129" s="77">
        <f t="shared" si="15"/>
        <v>100</v>
      </c>
      <c r="AT129" s="79"/>
      <c r="AU129" s="77">
        <v>3.49</v>
      </c>
      <c r="AV129" s="77">
        <v>1.55</v>
      </c>
      <c r="AW129" s="77">
        <v>14.17</v>
      </c>
      <c r="AX129" s="77">
        <v>0.97</v>
      </c>
      <c r="AY129" s="77">
        <v>79.820000000000007</v>
      </c>
      <c r="AZ129" s="77">
        <f t="shared" si="12"/>
        <v>100</v>
      </c>
      <c r="BC129" s="57" t="s">
        <v>115</v>
      </c>
      <c r="BD129" s="58" t="s">
        <v>113</v>
      </c>
      <c r="BE129" s="58" t="s">
        <v>116</v>
      </c>
      <c r="BF129" s="59">
        <v>12.27</v>
      </c>
      <c r="BG129" s="59">
        <v>4.01</v>
      </c>
      <c r="BI129" s="57" t="s">
        <v>89</v>
      </c>
      <c r="BJ129" s="58"/>
      <c r="BK129" s="58" t="s">
        <v>88</v>
      </c>
      <c r="BL129" s="59">
        <v>18.195</v>
      </c>
      <c r="BM129" s="59">
        <v>4.7449999999999992</v>
      </c>
      <c r="BO129" s="57"/>
      <c r="BP129" s="58"/>
      <c r="BQ129" s="58" t="s">
        <v>162</v>
      </c>
      <c r="BR129" s="59">
        <f>_xlfn.STDEV.S(BR122:BR123)</f>
        <v>0.3323401871576776</v>
      </c>
      <c r="BS129" s="59">
        <f>_xlfn.STDEV.S(BS122:BS123)</f>
        <v>5.1830927060973853</v>
      </c>
      <c r="CA129" s="57" t="s">
        <v>131</v>
      </c>
      <c r="CB129" s="58" t="s">
        <v>125</v>
      </c>
      <c r="CC129" s="58" t="s">
        <v>132</v>
      </c>
      <c r="CD129" s="59">
        <v>0.92</v>
      </c>
      <c r="CE129" s="59">
        <v>0.08</v>
      </c>
    </row>
    <row r="130" spans="1:83" ht="20.100000000000001" customHeight="1">
      <c r="A130" s="31">
        <v>9</v>
      </c>
      <c r="B130" s="32" t="s">
        <v>23</v>
      </c>
      <c r="C130" s="32" t="s">
        <v>27</v>
      </c>
      <c r="D130" s="33" t="s">
        <v>30</v>
      </c>
      <c r="E130" s="42">
        <v>45393</v>
      </c>
      <c r="F130" s="34">
        <v>0.64236111111111105</v>
      </c>
      <c r="G130" s="33" t="s">
        <v>19</v>
      </c>
      <c r="H130" s="43">
        <v>17.600000000000001</v>
      </c>
      <c r="I130" s="43">
        <v>8.07</v>
      </c>
      <c r="J130" s="43">
        <v>12.5</v>
      </c>
      <c r="K130" s="44">
        <v>306</v>
      </c>
      <c r="L130" s="41">
        <v>5.1479999999999997</v>
      </c>
      <c r="M130" s="41"/>
      <c r="N130" s="41">
        <v>0.44400000000000001</v>
      </c>
      <c r="O130" s="41">
        <v>3.8062637015242489</v>
      </c>
      <c r="P130" s="41">
        <v>0.37424985100928226</v>
      </c>
      <c r="Q130" s="41">
        <v>8.3000000000000007</v>
      </c>
      <c r="R130" s="41">
        <v>1.298</v>
      </c>
      <c r="S130" s="41">
        <v>1.2909999999999999</v>
      </c>
      <c r="T130" s="41">
        <v>22.829088136986975</v>
      </c>
      <c r="U130" s="41">
        <v>12.48</v>
      </c>
      <c r="V130" s="41">
        <v>2.62</v>
      </c>
      <c r="W130" s="41" t="s">
        <v>68</v>
      </c>
      <c r="X130" s="41">
        <v>12.076708490286192</v>
      </c>
      <c r="Y130" s="36"/>
      <c r="Z130" s="77">
        <v>81.95</v>
      </c>
      <c r="AA130" s="77">
        <v>7.43</v>
      </c>
      <c r="AB130" s="77">
        <v>1.26</v>
      </c>
      <c r="AC130" s="77">
        <v>0.44</v>
      </c>
      <c r="AD130" s="77">
        <v>8.92</v>
      </c>
      <c r="AE130" s="77">
        <f t="shared" si="13"/>
        <v>100</v>
      </c>
      <c r="AF130" s="78"/>
      <c r="AG130" s="77">
        <v>54.6</v>
      </c>
      <c r="AH130" s="77">
        <v>18.099999999999998</v>
      </c>
      <c r="AI130" s="77">
        <v>7.3</v>
      </c>
      <c r="AJ130" s="77">
        <v>1.4000000000000001</v>
      </c>
      <c r="AK130" s="77">
        <v>18.600000000000001</v>
      </c>
      <c r="AL130" s="77">
        <f t="shared" si="14"/>
        <v>100</v>
      </c>
      <c r="AM130" s="78"/>
      <c r="AN130" s="77">
        <v>40.119999999999997</v>
      </c>
      <c r="AO130" s="77">
        <v>31.669999999999998</v>
      </c>
      <c r="AP130" s="77">
        <v>8.6300000000000008</v>
      </c>
      <c r="AQ130" s="77">
        <v>4.08</v>
      </c>
      <c r="AR130" s="77">
        <v>15.5</v>
      </c>
      <c r="AS130" s="77">
        <f t="shared" si="15"/>
        <v>99.999999999999986</v>
      </c>
      <c r="AT130" s="78"/>
      <c r="AU130" s="77">
        <v>44.16</v>
      </c>
      <c r="AV130" s="77">
        <v>29.53</v>
      </c>
      <c r="AW130" s="77">
        <v>8.67</v>
      </c>
      <c r="AX130" s="77">
        <v>2.67</v>
      </c>
      <c r="AY130" s="77">
        <v>14.97</v>
      </c>
      <c r="AZ130" s="77">
        <f t="shared" si="12"/>
        <v>100</v>
      </c>
      <c r="BC130" s="57" t="s">
        <v>147</v>
      </c>
      <c r="BD130" s="58" t="s">
        <v>72</v>
      </c>
      <c r="BE130" s="58" t="s">
        <v>144</v>
      </c>
      <c r="BF130" s="59">
        <v>12.15</v>
      </c>
      <c r="BG130" s="59">
        <v>-0.53</v>
      </c>
      <c r="BI130" s="57"/>
      <c r="BJ130" s="58"/>
      <c r="BK130" s="58"/>
      <c r="BL130" s="59"/>
      <c r="BM130" s="59"/>
      <c r="CA130" s="57" t="s">
        <v>124</v>
      </c>
      <c r="CB130" s="58" t="s">
        <v>125</v>
      </c>
      <c r="CC130" s="58" t="s">
        <v>126</v>
      </c>
      <c r="CD130" s="59">
        <v>2.36</v>
      </c>
      <c r="CE130" s="59">
        <v>-0.6</v>
      </c>
    </row>
    <row r="131" spans="1:83" ht="20.100000000000001" customHeight="1">
      <c r="A131" s="22">
        <v>10</v>
      </c>
      <c r="B131" s="14" t="s">
        <v>31</v>
      </c>
      <c r="C131" s="14" t="s">
        <v>31</v>
      </c>
      <c r="D131" s="15" t="s">
        <v>32</v>
      </c>
      <c r="E131" s="16">
        <v>45394</v>
      </c>
      <c r="F131" s="17">
        <v>0.55902777777777779</v>
      </c>
      <c r="G131" s="15" t="s">
        <v>19</v>
      </c>
      <c r="H131" s="23">
        <v>20.100000000000001</v>
      </c>
      <c r="I131" s="23">
        <v>9.43</v>
      </c>
      <c r="J131" s="23">
        <v>13.8</v>
      </c>
      <c r="K131" s="45">
        <v>159.5</v>
      </c>
      <c r="L131" s="39">
        <v>1.5369999999999999</v>
      </c>
      <c r="M131" s="39"/>
      <c r="N131" s="39">
        <v>0.06</v>
      </c>
      <c r="O131" s="39">
        <v>1.3490559741266328</v>
      </c>
      <c r="P131" s="39" t="s">
        <v>112</v>
      </c>
      <c r="Q131" s="39">
        <v>2.4</v>
      </c>
      <c r="R131" s="39">
        <v>1.9E-2</v>
      </c>
      <c r="S131" s="39">
        <v>7.0000000000000001E-3</v>
      </c>
      <c r="T131" s="39">
        <v>10.187097958523417</v>
      </c>
      <c r="U131" s="39">
        <v>8.51</v>
      </c>
      <c r="V131" s="39">
        <v>8.32</v>
      </c>
      <c r="W131" s="39">
        <v>8.6999999999999993</v>
      </c>
      <c r="X131" s="39">
        <v>13.328055480267331</v>
      </c>
      <c r="Y131" s="18"/>
      <c r="Z131" s="78">
        <v>23.5</v>
      </c>
      <c r="AA131" s="78">
        <v>22.97</v>
      </c>
      <c r="AB131" s="78">
        <v>22.78</v>
      </c>
      <c r="AC131" s="78">
        <v>5.41</v>
      </c>
      <c r="AD131" s="78">
        <v>25.34</v>
      </c>
      <c r="AE131" s="78">
        <f t="shared" si="13"/>
        <v>100</v>
      </c>
      <c r="AF131" s="78"/>
      <c r="AG131" s="80">
        <v>38.200000000000003</v>
      </c>
      <c r="AH131" s="80">
        <v>14.099999999999998</v>
      </c>
      <c r="AI131" s="80">
        <v>14.000000000000002</v>
      </c>
      <c r="AJ131" s="80">
        <v>2.7</v>
      </c>
      <c r="AK131" s="80">
        <v>31</v>
      </c>
      <c r="AL131" s="78">
        <f t="shared" si="14"/>
        <v>100</v>
      </c>
      <c r="AM131" s="78"/>
      <c r="AN131" s="80">
        <v>27.939999999999998</v>
      </c>
      <c r="AO131" s="80">
        <v>19.57</v>
      </c>
      <c r="AP131" s="80">
        <v>20.25</v>
      </c>
      <c r="AQ131" s="80">
        <v>8.6499999999999986</v>
      </c>
      <c r="AR131" s="80">
        <v>23.59</v>
      </c>
      <c r="AS131" s="78">
        <f t="shared" si="15"/>
        <v>100</v>
      </c>
      <c r="AT131" s="78"/>
      <c r="AU131" s="80">
        <v>27.77</v>
      </c>
      <c r="AV131" s="80">
        <v>21.27</v>
      </c>
      <c r="AW131" s="80">
        <v>19.48</v>
      </c>
      <c r="AX131" s="80">
        <v>7.37</v>
      </c>
      <c r="AY131" s="80">
        <v>24.11</v>
      </c>
      <c r="AZ131" s="78">
        <f t="shared" si="12"/>
        <v>100</v>
      </c>
      <c r="BC131" s="57" t="s">
        <v>81</v>
      </c>
      <c r="BD131" s="58"/>
      <c r="BE131" s="58" t="s">
        <v>171</v>
      </c>
      <c r="BF131" s="59">
        <v>12.14</v>
      </c>
      <c r="BG131" s="59">
        <v>1.42</v>
      </c>
      <c r="BI131" s="57"/>
      <c r="BJ131" s="58"/>
      <c r="BK131" s="58"/>
      <c r="BL131" s="59"/>
      <c r="BM131" s="59"/>
      <c r="CA131" s="57" t="s">
        <v>127</v>
      </c>
      <c r="CB131" s="58" t="s">
        <v>125</v>
      </c>
      <c r="CC131" s="58" t="s">
        <v>128</v>
      </c>
      <c r="CD131" s="59">
        <v>1.86</v>
      </c>
      <c r="CE131" s="59">
        <v>-1.83</v>
      </c>
    </row>
    <row r="132" spans="1:83" ht="20.100000000000001" customHeight="1">
      <c r="A132" s="22">
        <v>11</v>
      </c>
      <c r="B132" s="14" t="s">
        <v>31</v>
      </c>
      <c r="C132" s="14" t="s">
        <v>31</v>
      </c>
      <c r="D132" s="15" t="s">
        <v>33</v>
      </c>
      <c r="E132" s="16">
        <v>45394</v>
      </c>
      <c r="F132" s="17">
        <v>0.60416666666666663</v>
      </c>
      <c r="G132" s="15" t="s">
        <v>19</v>
      </c>
      <c r="H132" s="23">
        <v>18.8</v>
      </c>
      <c r="I132" s="23">
        <v>7.93</v>
      </c>
      <c r="J132" s="23">
        <v>10.17</v>
      </c>
      <c r="K132" s="45">
        <v>192.7</v>
      </c>
      <c r="L132" s="39">
        <v>2.169</v>
      </c>
      <c r="M132" s="39"/>
      <c r="N132" s="39">
        <v>2.1999999999999999E-2</v>
      </c>
      <c r="O132" s="39">
        <v>2.0674211944327476</v>
      </c>
      <c r="P132" s="39" t="s">
        <v>112</v>
      </c>
      <c r="Q132" s="39">
        <v>2</v>
      </c>
      <c r="R132" s="39">
        <v>4.7E-2</v>
      </c>
      <c r="S132" s="39">
        <v>4.2999999999999997E-2</v>
      </c>
      <c r="T132" s="39">
        <v>12.831242270508705</v>
      </c>
      <c r="U132" s="39">
        <v>8.24</v>
      </c>
      <c r="V132" s="39">
        <v>6.51</v>
      </c>
      <c r="W132" s="39">
        <v>11.6</v>
      </c>
      <c r="X132" s="39">
        <v>13.545452837707971</v>
      </c>
      <c r="Y132" s="18"/>
      <c r="Z132" s="78">
        <v>28.89</v>
      </c>
      <c r="AA132" s="78">
        <v>17.87</v>
      </c>
      <c r="AB132" s="78">
        <v>18.489999999999998</v>
      </c>
      <c r="AC132" s="78">
        <v>2.71</v>
      </c>
      <c r="AD132" s="78">
        <v>32.04</v>
      </c>
      <c r="AE132" s="78">
        <f t="shared" si="13"/>
        <v>100</v>
      </c>
      <c r="AF132" s="78"/>
      <c r="AG132" s="80">
        <v>38.700000000000003</v>
      </c>
      <c r="AH132" s="80">
        <v>13.3</v>
      </c>
      <c r="AI132" s="80">
        <v>13.600000000000001</v>
      </c>
      <c r="AJ132" s="80">
        <v>2.2999999999999998</v>
      </c>
      <c r="AK132" s="80">
        <v>32.1</v>
      </c>
      <c r="AL132" s="78">
        <f t="shared" si="14"/>
        <v>100</v>
      </c>
      <c r="AM132" s="78"/>
      <c r="AN132" s="80">
        <v>25.83</v>
      </c>
      <c r="AO132" s="80">
        <v>18.63</v>
      </c>
      <c r="AP132" s="80">
        <v>19.149999999999999</v>
      </c>
      <c r="AQ132" s="80">
        <v>4.6500000000000004</v>
      </c>
      <c r="AR132" s="80">
        <v>31.740000000000002</v>
      </c>
      <c r="AS132" s="78">
        <f t="shared" si="15"/>
        <v>100</v>
      </c>
      <c r="AT132" s="78"/>
      <c r="AU132" s="80">
        <v>29.28</v>
      </c>
      <c r="AV132" s="80">
        <v>19.16</v>
      </c>
      <c r="AW132" s="80">
        <v>17.78</v>
      </c>
      <c r="AX132" s="80">
        <v>5.28</v>
      </c>
      <c r="AY132" s="80">
        <v>28.499999999999996</v>
      </c>
      <c r="AZ132" s="78">
        <f t="shared" si="12"/>
        <v>100</v>
      </c>
      <c r="BC132" s="57" t="s">
        <v>81</v>
      </c>
      <c r="BD132" s="58" t="s">
        <v>71</v>
      </c>
      <c r="BE132" s="58" t="s">
        <v>82</v>
      </c>
      <c r="BF132" s="59">
        <v>10.89</v>
      </c>
      <c r="BG132" s="59">
        <v>1.05</v>
      </c>
      <c r="BI132" s="57"/>
      <c r="BJ132" s="58"/>
      <c r="BK132" s="58"/>
      <c r="BL132" s="59"/>
      <c r="BM132" s="59"/>
      <c r="CA132" s="57"/>
      <c r="CB132" s="58"/>
      <c r="CC132" s="58"/>
      <c r="CD132" s="59"/>
      <c r="CE132" s="59"/>
    </row>
    <row r="133" spans="1:83" ht="20.100000000000001" customHeight="1">
      <c r="A133" s="22">
        <v>12</v>
      </c>
      <c r="B133" s="14" t="s">
        <v>31</v>
      </c>
      <c r="C133" s="14" t="s">
        <v>31</v>
      </c>
      <c r="D133" s="15" t="s">
        <v>34</v>
      </c>
      <c r="E133" s="16">
        <v>45394</v>
      </c>
      <c r="F133" s="17">
        <v>0.61111111111111105</v>
      </c>
      <c r="G133" s="15" t="s">
        <v>19</v>
      </c>
      <c r="H133" s="23">
        <v>20.6</v>
      </c>
      <c r="I133" s="23">
        <v>8.49</v>
      </c>
      <c r="J133" s="23">
        <v>11.2</v>
      </c>
      <c r="K133" s="45">
        <v>200.4</v>
      </c>
      <c r="L133" s="39">
        <v>2.4790000000000001</v>
      </c>
      <c r="M133" s="39"/>
      <c r="N133" s="39">
        <v>3.5000000000000003E-2</v>
      </c>
      <c r="O133" s="39">
        <v>2.3482003300928995</v>
      </c>
      <c r="P133" s="39" t="s">
        <v>112</v>
      </c>
      <c r="Q133" s="39">
        <v>2.1</v>
      </c>
      <c r="R133" s="39">
        <v>5.0999999999999997E-2</v>
      </c>
      <c r="S133" s="39">
        <v>4.8000000000000001E-2</v>
      </c>
      <c r="T133" s="39">
        <v>14.247692060289525</v>
      </c>
      <c r="U133" s="39">
        <v>8.6199999999999992</v>
      </c>
      <c r="V133" s="39">
        <v>5.83</v>
      </c>
      <c r="W133" s="39">
        <v>11.2</v>
      </c>
      <c r="X133" s="39">
        <v>14.539856019900043</v>
      </c>
      <c r="Y133" s="18"/>
      <c r="Z133" s="78">
        <v>29.59</v>
      </c>
      <c r="AA133" s="78">
        <v>18.899999999999999</v>
      </c>
      <c r="AB133" s="78">
        <v>13.12</v>
      </c>
      <c r="AC133" s="78">
        <v>2.39</v>
      </c>
      <c r="AD133" s="78">
        <v>36</v>
      </c>
      <c r="AE133" s="78">
        <f t="shared" si="13"/>
        <v>100</v>
      </c>
      <c r="AF133" s="78"/>
      <c r="AG133" s="80">
        <v>40.700000000000003</v>
      </c>
      <c r="AH133" s="80">
        <v>13.5</v>
      </c>
      <c r="AI133" s="80">
        <v>12.7</v>
      </c>
      <c r="AJ133" s="80">
        <v>2</v>
      </c>
      <c r="AK133" s="80">
        <v>31.1</v>
      </c>
      <c r="AL133" s="78">
        <f t="shared" si="14"/>
        <v>100</v>
      </c>
      <c r="AM133" s="78"/>
      <c r="AN133" s="80">
        <v>29.24</v>
      </c>
      <c r="AO133" s="80">
        <v>19.25</v>
      </c>
      <c r="AP133" s="80">
        <v>20.95</v>
      </c>
      <c r="AQ133" s="80">
        <v>3.7699999999999996</v>
      </c>
      <c r="AR133" s="80">
        <v>26.790000000000003</v>
      </c>
      <c r="AS133" s="78">
        <f t="shared" si="15"/>
        <v>100</v>
      </c>
      <c r="AT133" s="78"/>
      <c r="AU133" s="80">
        <v>31.16</v>
      </c>
      <c r="AV133" s="80">
        <v>19.689999999999998</v>
      </c>
      <c r="AW133" s="80">
        <v>16.36</v>
      </c>
      <c r="AX133" s="80">
        <v>4.71</v>
      </c>
      <c r="AY133" s="80">
        <v>28.08</v>
      </c>
      <c r="AZ133" s="78">
        <f t="shared" si="12"/>
        <v>99.999999999999986</v>
      </c>
      <c r="BC133" s="57" t="s">
        <v>172</v>
      </c>
      <c r="BD133" s="58"/>
      <c r="BE133" s="58" t="s">
        <v>173</v>
      </c>
      <c r="BF133" s="59">
        <v>10.72</v>
      </c>
      <c r="BG133" s="59">
        <v>3.81</v>
      </c>
      <c r="BI133" s="57"/>
      <c r="BJ133" s="58"/>
      <c r="BK133" s="58"/>
      <c r="BL133" s="59"/>
      <c r="BM133" s="59"/>
      <c r="CA133" s="57"/>
      <c r="CB133" s="58"/>
      <c r="CC133" s="58"/>
      <c r="CD133" s="59"/>
      <c r="CE133" s="59"/>
    </row>
    <row r="134" spans="1:83" ht="20.100000000000001" customHeight="1">
      <c r="A134" s="22">
        <v>13</v>
      </c>
      <c r="B134" s="14" t="s">
        <v>31</v>
      </c>
      <c r="C134" s="14" t="s">
        <v>35</v>
      </c>
      <c r="D134" s="15" t="s">
        <v>36</v>
      </c>
      <c r="E134" s="16">
        <v>45394</v>
      </c>
      <c r="F134" s="17">
        <v>0.59375</v>
      </c>
      <c r="G134" s="15" t="s">
        <v>37</v>
      </c>
      <c r="H134" s="23">
        <v>20</v>
      </c>
      <c r="I134" s="23">
        <v>7.91</v>
      </c>
      <c r="J134" s="23">
        <v>10.9</v>
      </c>
      <c r="K134" s="45">
        <v>264</v>
      </c>
      <c r="L134" s="39">
        <v>3.7250000000000001</v>
      </c>
      <c r="M134" s="39"/>
      <c r="N134" s="39">
        <v>0.246</v>
      </c>
      <c r="O134" s="39">
        <v>3.3700928149145133</v>
      </c>
      <c r="P134" s="39">
        <v>6.9030757429925982E-2</v>
      </c>
      <c r="Q134" s="39">
        <v>2.2000000000000002</v>
      </c>
      <c r="R134" s="39">
        <v>0.106</v>
      </c>
      <c r="S134" s="39">
        <v>0.105</v>
      </c>
      <c r="T134" s="39">
        <v>20.963677081464517</v>
      </c>
      <c r="U134" s="39">
        <v>9.1300000000000008</v>
      </c>
      <c r="V134" s="39">
        <v>4.09</v>
      </c>
      <c r="W134" s="39">
        <v>9.3000000000000007</v>
      </c>
      <c r="X134" s="39">
        <v>15.702781473289019</v>
      </c>
      <c r="Y134" s="18"/>
      <c r="Z134" s="78">
        <v>38.64</v>
      </c>
      <c r="AA134" s="78">
        <v>15.11</v>
      </c>
      <c r="AB134" s="78">
        <v>4.46</v>
      </c>
      <c r="AC134" s="78">
        <v>1.06</v>
      </c>
      <c r="AD134" s="78">
        <v>40.729999999999997</v>
      </c>
      <c r="AE134" s="78">
        <f t="shared" si="13"/>
        <v>100</v>
      </c>
      <c r="AF134" s="78"/>
      <c r="AG134" s="80">
        <v>44.2</v>
      </c>
      <c r="AH134" s="80">
        <v>13.600000000000001</v>
      </c>
      <c r="AI134" s="80">
        <v>10.8</v>
      </c>
      <c r="AJ134" s="80">
        <v>1.7000000000000002</v>
      </c>
      <c r="AK134" s="80">
        <v>29.7</v>
      </c>
      <c r="AL134" s="78">
        <f t="shared" si="14"/>
        <v>100.00000000000001</v>
      </c>
      <c r="AM134" s="78"/>
      <c r="AN134" s="80">
        <v>35.730000000000004</v>
      </c>
      <c r="AO134" s="80">
        <v>19.439999999999998</v>
      </c>
      <c r="AP134" s="80">
        <v>14.17</v>
      </c>
      <c r="AQ134" s="80">
        <v>4.1099999999999994</v>
      </c>
      <c r="AR134" s="80">
        <v>26.55</v>
      </c>
      <c r="AS134" s="78">
        <f t="shared" si="15"/>
        <v>100</v>
      </c>
      <c r="AT134" s="78"/>
      <c r="AU134" s="80">
        <v>34.760000000000005</v>
      </c>
      <c r="AV134" s="80">
        <v>19.45</v>
      </c>
      <c r="AW134" s="80">
        <v>13.66</v>
      </c>
      <c r="AX134" s="80">
        <v>3.4299999999999997</v>
      </c>
      <c r="AY134" s="80">
        <v>28.7</v>
      </c>
      <c r="AZ134" s="78">
        <f t="shared" si="12"/>
        <v>100.00000000000001</v>
      </c>
      <c r="BC134" s="57"/>
      <c r="BD134" s="58"/>
      <c r="BE134" s="58"/>
      <c r="BF134" s="59"/>
      <c r="BG134" s="59"/>
      <c r="BI134" s="57"/>
      <c r="BJ134" s="58"/>
      <c r="BK134" s="58"/>
      <c r="BL134" s="59"/>
      <c r="BM134" s="59"/>
      <c r="CA134" s="57"/>
      <c r="CB134" s="58"/>
      <c r="CC134" s="58" t="s">
        <v>161</v>
      </c>
      <c r="CD134" s="59">
        <f>AVERAGE(CD122:CD131)</f>
        <v>2.1574999999999998</v>
      </c>
      <c r="CE134" s="59">
        <f>AVERAGE(CE122:CE131)</f>
        <v>3.5209999999999995</v>
      </c>
    </row>
    <row r="135" spans="1:83" ht="20.100000000000001" customHeight="1">
      <c r="A135" s="22">
        <v>14</v>
      </c>
      <c r="B135" s="14" t="s">
        <v>31</v>
      </c>
      <c r="C135" s="14" t="s">
        <v>5</v>
      </c>
      <c r="D135" s="15" t="s">
        <v>29</v>
      </c>
      <c r="E135" s="16">
        <v>45394</v>
      </c>
      <c r="F135" s="17">
        <v>0.58680555555555558</v>
      </c>
      <c r="G135" s="15" t="s">
        <v>37</v>
      </c>
      <c r="H135" s="23">
        <v>21.3</v>
      </c>
      <c r="I135" s="23">
        <v>7.61</v>
      </c>
      <c r="J135" s="23">
        <v>10.199999999999999</v>
      </c>
      <c r="K135" s="45">
        <v>330</v>
      </c>
      <c r="L135" s="39">
        <v>3.2210000000000001</v>
      </c>
      <c r="M135" s="39"/>
      <c r="N135" s="39">
        <v>0.48799999999999999</v>
      </c>
      <c r="O135" s="39">
        <v>2.409154906701044</v>
      </c>
      <c r="P135" s="39">
        <v>0.20265185356162441</v>
      </c>
      <c r="Q135" s="39">
        <v>2.8</v>
      </c>
      <c r="R135" s="39">
        <v>7.3999999999999996E-2</v>
      </c>
      <c r="S135" s="39">
        <v>7.0000000000000007E-2</v>
      </c>
      <c r="T135" s="39">
        <v>37.782982991834189</v>
      </c>
      <c r="U135" s="39">
        <v>8.94</v>
      </c>
      <c r="V135" s="39">
        <v>4.2699999999999996</v>
      </c>
      <c r="W135" s="39">
        <v>16.5</v>
      </c>
      <c r="X135" s="39">
        <v>12.61424864341576</v>
      </c>
      <c r="Y135" s="18"/>
      <c r="Z135" s="78">
        <v>33.479999999999997</v>
      </c>
      <c r="AA135" s="78">
        <v>17.690000000000001</v>
      </c>
      <c r="AB135" s="78">
        <v>4.32</v>
      </c>
      <c r="AC135" s="78">
        <v>1.25</v>
      </c>
      <c r="AD135" s="78">
        <v>43.26</v>
      </c>
      <c r="AE135" s="78">
        <f t="shared" si="13"/>
        <v>100</v>
      </c>
      <c r="AF135" s="78"/>
      <c r="AG135" s="80">
        <v>42.8</v>
      </c>
      <c r="AH135" s="80">
        <v>13.8</v>
      </c>
      <c r="AI135" s="80">
        <v>11.3</v>
      </c>
      <c r="AJ135" s="80">
        <v>1.7999999999999998</v>
      </c>
      <c r="AK135" s="80">
        <v>30.3</v>
      </c>
      <c r="AL135" s="78">
        <f t="shared" si="14"/>
        <v>99.999999999999986</v>
      </c>
      <c r="AM135" s="78"/>
      <c r="AN135" s="80">
        <v>29.99</v>
      </c>
      <c r="AO135" s="80">
        <v>20.41</v>
      </c>
      <c r="AP135" s="80">
        <v>16.07</v>
      </c>
      <c r="AQ135" s="80">
        <v>3.3000000000000003</v>
      </c>
      <c r="AR135" s="80">
        <v>30.23</v>
      </c>
      <c r="AS135" s="78">
        <f t="shared" si="15"/>
        <v>100</v>
      </c>
      <c r="AT135" s="78"/>
      <c r="AU135" s="80">
        <v>33.950000000000003</v>
      </c>
      <c r="AV135" s="80">
        <v>19.13</v>
      </c>
      <c r="AW135" s="80">
        <v>14.069999999999999</v>
      </c>
      <c r="AX135" s="80">
        <v>3.53</v>
      </c>
      <c r="AY135" s="80">
        <v>29.32</v>
      </c>
      <c r="AZ135" s="78">
        <f t="shared" si="12"/>
        <v>100</v>
      </c>
      <c r="BC135" s="57"/>
      <c r="BD135" s="58"/>
      <c r="BE135" s="58"/>
      <c r="BF135" s="59"/>
      <c r="BG135" s="59"/>
      <c r="BI135" s="57"/>
      <c r="BJ135" s="58"/>
      <c r="BK135" s="58" t="s">
        <v>161</v>
      </c>
      <c r="BL135" s="59">
        <f>AVERAGE(BL122:BL129)</f>
        <v>19.794999999999998</v>
      </c>
      <c r="BM135" s="59">
        <f>AVERAGE(BM122:BM129)</f>
        <v>5.2956249999999994</v>
      </c>
      <c r="CA135" s="57"/>
      <c r="CB135" s="58"/>
      <c r="CC135" s="58" t="s">
        <v>162</v>
      </c>
      <c r="CD135" s="59">
        <f>_xlfn.STDEV.S(CD122:CD131)</f>
        <v>1.2149468438303519</v>
      </c>
      <c r="CE135" s="59">
        <f>_xlfn.STDEV.S(CE122:CE131)</f>
        <v>4.2249614067928354</v>
      </c>
    </row>
    <row r="136" spans="1:83" ht="20.100000000000001" customHeight="1">
      <c r="A136" s="22">
        <v>15</v>
      </c>
      <c r="B136" s="14" t="s">
        <v>31</v>
      </c>
      <c r="C136" s="14" t="s">
        <v>35</v>
      </c>
      <c r="D136" s="15" t="s">
        <v>29</v>
      </c>
      <c r="E136" s="16">
        <v>45394</v>
      </c>
      <c r="F136" s="17">
        <v>0.58333333333333337</v>
      </c>
      <c r="G136" s="15" t="s">
        <v>37</v>
      </c>
      <c r="H136" s="23">
        <v>19.2</v>
      </c>
      <c r="I136" s="23">
        <v>8.1999999999999993</v>
      </c>
      <c r="J136" s="23">
        <v>10.36</v>
      </c>
      <c r="K136" s="45">
        <v>265</v>
      </c>
      <c r="L136" s="39">
        <v>2.9990000000000001</v>
      </c>
      <c r="M136" s="39"/>
      <c r="N136" s="39">
        <v>8.3000000000000004E-2</v>
      </c>
      <c r="O136" s="39">
        <v>2.8600034333719488</v>
      </c>
      <c r="P136" s="39">
        <v>1.7071790625036165E-3</v>
      </c>
      <c r="Q136" s="39">
        <v>2.4</v>
      </c>
      <c r="R136" s="39">
        <v>7.3999999999999996E-2</v>
      </c>
      <c r="S136" s="39">
        <v>7.0999999999999994E-2</v>
      </c>
      <c r="T136" s="39">
        <v>20.981463254273066</v>
      </c>
      <c r="U136" s="39">
        <v>10.39</v>
      </c>
      <c r="V136" s="39">
        <v>5.64</v>
      </c>
      <c r="W136" s="39">
        <v>12.4</v>
      </c>
      <c r="X136" s="39">
        <v>16.465379552633163</v>
      </c>
      <c r="Y136" s="18"/>
      <c r="Z136" s="78">
        <v>29.81</v>
      </c>
      <c r="AA136" s="78">
        <v>28.55</v>
      </c>
      <c r="AB136" s="78">
        <v>9.98</v>
      </c>
      <c r="AC136" s="78">
        <v>2.41</v>
      </c>
      <c r="AD136" s="78">
        <v>29.25</v>
      </c>
      <c r="AE136" s="78">
        <f t="shared" si="13"/>
        <v>100</v>
      </c>
      <c r="AF136" s="78"/>
      <c r="AG136" s="80">
        <v>47.099999999999994</v>
      </c>
      <c r="AH136" s="80">
        <v>16.100000000000001</v>
      </c>
      <c r="AI136" s="80">
        <v>10.3</v>
      </c>
      <c r="AJ136" s="80">
        <v>1.9</v>
      </c>
      <c r="AK136" s="80">
        <v>24.6</v>
      </c>
      <c r="AL136" s="78">
        <f t="shared" si="14"/>
        <v>100</v>
      </c>
      <c r="AM136" s="78"/>
      <c r="AN136" s="80">
        <v>38.81</v>
      </c>
      <c r="AO136" s="80">
        <v>22.189999999999998</v>
      </c>
      <c r="AP136" s="80">
        <v>14.31</v>
      </c>
      <c r="AQ136" s="80">
        <v>5.4</v>
      </c>
      <c r="AR136" s="80">
        <v>19.29</v>
      </c>
      <c r="AS136" s="78">
        <f t="shared" si="15"/>
        <v>100</v>
      </c>
      <c r="AT136" s="78"/>
      <c r="AU136" s="80">
        <v>36.01</v>
      </c>
      <c r="AV136" s="80">
        <v>25.95</v>
      </c>
      <c r="AW136" s="80">
        <v>13.700000000000001</v>
      </c>
      <c r="AX136" s="80">
        <v>4.8</v>
      </c>
      <c r="AY136" s="80">
        <v>19.54</v>
      </c>
      <c r="AZ136" s="78">
        <f t="shared" si="12"/>
        <v>100</v>
      </c>
      <c r="BC136" s="57"/>
      <c r="BD136" s="58"/>
      <c r="BE136" s="58"/>
      <c r="BF136" s="59"/>
      <c r="BG136" s="59"/>
      <c r="BI136" s="57"/>
      <c r="BJ136" s="58"/>
      <c r="BK136" s="58" t="s">
        <v>162</v>
      </c>
      <c r="BL136" s="59">
        <f>_xlfn.STDEV.S(BL122:BL129)</f>
        <v>3.2607766384274761</v>
      </c>
      <c r="BM136" s="59">
        <f>_xlfn.STDEV.S(BM122:BM129)</f>
        <v>4.0307872658009201</v>
      </c>
    </row>
    <row r="137" spans="1:83" ht="20.100000000000001" customHeight="1">
      <c r="A137" s="31">
        <v>16</v>
      </c>
      <c r="B137" s="32" t="s">
        <v>38</v>
      </c>
      <c r="C137" s="32" t="s">
        <v>38</v>
      </c>
      <c r="D137" s="33" t="s">
        <v>39</v>
      </c>
      <c r="E137" s="42">
        <v>45394</v>
      </c>
      <c r="F137" s="34">
        <v>0.60763888888888895</v>
      </c>
      <c r="G137" s="33" t="s">
        <v>37</v>
      </c>
      <c r="H137" s="43">
        <v>16.7</v>
      </c>
      <c r="I137" s="43">
        <v>7.74</v>
      </c>
      <c r="J137" s="43">
        <v>9.69</v>
      </c>
      <c r="K137" s="44">
        <v>280</v>
      </c>
      <c r="L137" s="41">
        <v>4.0350000000000001</v>
      </c>
      <c r="M137" s="41"/>
      <c r="N137" s="41">
        <v>0.11600000000000001</v>
      </c>
      <c r="O137" s="41">
        <v>3.6370006163330189</v>
      </c>
      <c r="P137" s="41">
        <v>7.1019486261476195E-2</v>
      </c>
      <c r="Q137" s="41">
        <v>3.7</v>
      </c>
      <c r="R137" s="41">
        <v>7.6999999999999999E-2</v>
      </c>
      <c r="S137" s="41">
        <v>7.0999999999999994E-2</v>
      </c>
      <c r="T137" s="41">
        <v>20.656813665762371</v>
      </c>
      <c r="U137" s="41">
        <v>7.92</v>
      </c>
      <c r="V137" s="41">
        <v>4.59</v>
      </c>
      <c r="W137" s="41">
        <v>12.1</v>
      </c>
      <c r="X137" s="41">
        <v>13.006279806017819</v>
      </c>
      <c r="Y137" s="36"/>
      <c r="Z137" s="78">
        <v>32.549999999999997</v>
      </c>
      <c r="AA137" s="78">
        <v>12.34</v>
      </c>
      <c r="AB137" s="78">
        <v>7.58</v>
      </c>
      <c r="AC137" s="78">
        <v>1.28</v>
      </c>
      <c r="AD137" s="78">
        <v>46.25</v>
      </c>
      <c r="AE137" s="78">
        <f t="shared" si="13"/>
        <v>100</v>
      </c>
      <c r="AF137" s="78"/>
      <c r="AG137" s="80">
        <v>39.1</v>
      </c>
      <c r="AH137" s="80">
        <v>12.2</v>
      </c>
      <c r="AI137" s="80">
        <v>12.4</v>
      </c>
      <c r="AJ137" s="80">
        <v>1.7999999999999998</v>
      </c>
      <c r="AK137" s="80">
        <v>34.5</v>
      </c>
      <c r="AL137" s="78">
        <f t="shared" si="14"/>
        <v>100</v>
      </c>
      <c r="AM137" s="78"/>
      <c r="AN137" s="80">
        <v>28.43</v>
      </c>
      <c r="AO137" s="80">
        <v>17.72</v>
      </c>
      <c r="AP137" s="80">
        <v>20.95</v>
      </c>
      <c r="AQ137" s="80">
        <v>3.77</v>
      </c>
      <c r="AR137" s="80">
        <v>29.13</v>
      </c>
      <c r="AS137" s="78">
        <f t="shared" si="15"/>
        <v>99.999999999999986</v>
      </c>
      <c r="AT137" s="78"/>
      <c r="AU137" s="80">
        <v>30.349999999999998</v>
      </c>
      <c r="AV137" s="80">
        <v>16.79</v>
      </c>
      <c r="AW137" s="80">
        <v>15.58</v>
      </c>
      <c r="AX137" s="80">
        <v>3.65</v>
      </c>
      <c r="AY137" s="80">
        <v>33.629999999999995</v>
      </c>
      <c r="AZ137" s="78">
        <f t="shared" si="12"/>
        <v>100</v>
      </c>
      <c r="BC137" s="57"/>
      <c r="BD137" s="58"/>
      <c r="BE137" s="58" t="s">
        <v>161</v>
      </c>
      <c r="BF137" s="59">
        <f>AVERAGE(BF122:BF133)</f>
        <v>13.3575</v>
      </c>
      <c r="BG137" s="59">
        <f>AVERAGE(BG122:BG133)</f>
        <v>1.9608333333333334</v>
      </c>
    </row>
    <row r="138" spans="1:83" ht="20.100000000000001" customHeight="1">
      <c r="A138" s="31">
        <v>17</v>
      </c>
      <c r="B138" s="32" t="s">
        <v>38</v>
      </c>
      <c r="C138" s="32" t="s">
        <v>38</v>
      </c>
      <c r="D138" s="33" t="s">
        <v>41</v>
      </c>
      <c r="E138" s="42">
        <v>45393</v>
      </c>
      <c r="F138" s="34">
        <v>0.5625</v>
      </c>
      <c r="G138" s="33" t="s">
        <v>37</v>
      </c>
      <c r="H138" s="43">
        <v>20</v>
      </c>
      <c r="I138" s="43">
        <v>7.57</v>
      </c>
      <c r="J138" s="43">
        <v>9.91</v>
      </c>
      <c r="K138" s="44">
        <v>372</v>
      </c>
      <c r="L138" s="41">
        <v>4.7130000000000001</v>
      </c>
      <c r="M138" s="41"/>
      <c r="N138" s="41">
        <v>0.129</v>
      </c>
      <c r="O138" s="41">
        <v>4.3850525263799121</v>
      </c>
      <c r="P138" s="41">
        <v>6.3094173518871088E-2</v>
      </c>
      <c r="Q138" s="41">
        <v>3.7</v>
      </c>
      <c r="R138" s="41">
        <v>8.3000000000000004E-2</v>
      </c>
      <c r="S138" s="41">
        <v>7.5999999999999998E-2</v>
      </c>
      <c r="T138" s="41">
        <v>42.086888752878899</v>
      </c>
      <c r="U138" s="41">
        <v>11.24</v>
      </c>
      <c r="V138" s="41">
        <v>5.97</v>
      </c>
      <c r="W138" s="41">
        <v>17.3</v>
      </c>
      <c r="X138" s="41">
        <v>11.329123160711552</v>
      </c>
      <c r="Y138" s="36"/>
      <c r="Z138" s="77">
        <v>30.99</v>
      </c>
      <c r="AA138" s="77">
        <v>32.4</v>
      </c>
      <c r="AB138" s="77">
        <v>10.52</v>
      </c>
      <c r="AC138" s="77">
        <v>2.91</v>
      </c>
      <c r="AD138" s="77">
        <v>23.18</v>
      </c>
      <c r="AE138" s="77">
        <f t="shared" si="13"/>
        <v>100</v>
      </c>
      <c r="AF138" s="78"/>
      <c r="AG138" s="77">
        <v>48.699999999999996</v>
      </c>
      <c r="AH138" s="77">
        <v>17.899999999999999</v>
      </c>
      <c r="AI138" s="77">
        <v>9.4</v>
      </c>
      <c r="AJ138" s="77">
        <v>2</v>
      </c>
      <c r="AK138" s="77">
        <v>22</v>
      </c>
      <c r="AL138" s="77">
        <f t="shared" si="14"/>
        <v>100</v>
      </c>
      <c r="AM138" s="78"/>
      <c r="AN138" s="77">
        <v>32.450000000000003</v>
      </c>
      <c r="AO138" s="77">
        <v>29.32</v>
      </c>
      <c r="AP138" s="77">
        <v>13.43</v>
      </c>
      <c r="AQ138" s="77">
        <v>7.03</v>
      </c>
      <c r="AR138" s="77">
        <v>17.77</v>
      </c>
      <c r="AS138" s="77">
        <f t="shared" si="15"/>
        <v>100</v>
      </c>
      <c r="AT138" s="78"/>
      <c r="AU138" s="77">
        <v>36.99</v>
      </c>
      <c r="AV138" s="77">
        <v>29.28</v>
      </c>
      <c r="AW138" s="77">
        <v>12.629999999999999</v>
      </c>
      <c r="AX138" s="77">
        <v>5.1400000000000006</v>
      </c>
      <c r="AY138" s="77">
        <v>15.959999999999999</v>
      </c>
      <c r="AZ138" s="77">
        <f t="shared" si="12"/>
        <v>100</v>
      </c>
      <c r="BC138" s="57"/>
      <c r="BD138" s="58"/>
      <c r="BE138" s="58" t="s">
        <v>162</v>
      </c>
      <c r="BF138" s="59">
        <f>_xlfn.STDEV.S(BF122:BF133)</f>
        <v>1.9060865429174276</v>
      </c>
      <c r="BG138" s="59">
        <f>_xlfn.STDEV.S(BG122:BG133)</f>
        <v>2.6869836360882551</v>
      </c>
    </row>
    <row r="139" spans="1:83" ht="20.100000000000001" customHeight="1">
      <c r="A139" s="31">
        <v>18</v>
      </c>
      <c r="B139" s="32" t="s">
        <v>38</v>
      </c>
      <c r="C139" s="32" t="s">
        <v>38</v>
      </c>
      <c r="D139" s="33" t="s">
        <v>42</v>
      </c>
      <c r="E139" s="42">
        <v>45393</v>
      </c>
      <c r="F139" s="34">
        <v>0.62847222222222221</v>
      </c>
      <c r="G139" s="33" t="s">
        <v>37</v>
      </c>
      <c r="H139" s="43">
        <v>18.399999999999999</v>
      </c>
      <c r="I139" s="43">
        <v>7.16</v>
      </c>
      <c r="J139" s="43">
        <v>8.81</v>
      </c>
      <c r="K139" s="44">
        <v>393</v>
      </c>
      <c r="L139" s="41">
        <v>5.0999999999999996</v>
      </c>
      <c r="M139" s="41"/>
      <c r="N139" s="41">
        <v>0.374</v>
      </c>
      <c r="O139" s="41">
        <v>4.4413298229600713</v>
      </c>
      <c r="P139" s="41">
        <v>0.15166091643205315</v>
      </c>
      <c r="Q139" s="41">
        <v>4</v>
      </c>
      <c r="R139" s="41">
        <v>6.2E-2</v>
      </c>
      <c r="S139" s="41">
        <v>5.3999999999999999E-2</v>
      </c>
      <c r="T139" s="41">
        <v>46.199351722238532</v>
      </c>
      <c r="U139" s="41">
        <v>11.5</v>
      </c>
      <c r="V139" s="41">
        <v>5.45</v>
      </c>
      <c r="W139" s="41">
        <v>19.100000000000001</v>
      </c>
      <c r="X139" s="41">
        <v>11.436419136503728</v>
      </c>
      <c r="Y139" s="36"/>
      <c r="Z139" s="77">
        <v>31.91</v>
      </c>
      <c r="AA139" s="77">
        <v>33.020000000000003</v>
      </c>
      <c r="AB139" s="77">
        <v>7.49</v>
      </c>
      <c r="AC139" s="77">
        <v>2.44</v>
      </c>
      <c r="AD139" s="77">
        <v>25.14</v>
      </c>
      <c r="AE139" s="77">
        <f t="shared" si="13"/>
        <v>100</v>
      </c>
      <c r="AF139" s="78"/>
      <c r="AG139" s="77">
        <v>50.3</v>
      </c>
      <c r="AH139" s="77">
        <v>17.899999999999999</v>
      </c>
      <c r="AI139" s="77">
        <v>9.3000000000000007</v>
      </c>
      <c r="AJ139" s="77">
        <v>1.7999999999999998</v>
      </c>
      <c r="AK139" s="77">
        <v>20.7</v>
      </c>
      <c r="AL139" s="77">
        <f t="shared" si="14"/>
        <v>99.999999999999986</v>
      </c>
      <c r="AM139" s="78"/>
      <c r="AN139" s="77">
        <v>38.690000000000005</v>
      </c>
      <c r="AO139" s="77">
        <v>28.01</v>
      </c>
      <c r="AP139" s="77">
        <v>13.38</v>
      </c>
      <c r="AQ139" s="77">
        <v>5.9700000000000006</v>
      </c>
      <c r="AR139" s="77">
        <v>13.950000000000001</v>
      </c>
      <c r="AS139" s="77">
        <f t="shared" si="15"/>
        <v>100</v>
      </c>
      <c r="AT139" s="78"/>
      <c r="AU139" s="77">
        <v>38.17</v>
      </c>
      <c r="AV139" s="77">
        <v>29.64</v>
      </c>
      <c r="AW139" s="77">
        <v>11.89</v>
      </c>
      <c r="AX139" s="77">
        <v>4.67</v>
      </c>
      <c r="AY139" s="77">
        <v>15.629999999999999</v>
      </c>
      <c r="AZ139" s="77">
        <f t="shared" si="12"/>
        <v>100</v>
      </c>
    </row>
    <row r="140" spans="1:83" ht="20.100000000000001" customHeight="1">
      <c r="A140" s="31">
        <v>19</v>
      </c>
      <c r="B140" s="32" t="s">
        <v>38</v>
      </c>
      <c r="C140" s="32" t="s">
        <v>43</v>
      </c>
      <c r="D140" s="33" t="s">
        <v>40</v>
      </c>
      <c r="E140" s="42">
        <v>45393</v>
      </c>
      <c r="F140" s="34">
        <v>0.56597222222222221</v>
      </c>
      <c r="G140" s="33" t="s">
        <v>37</v>
      </c>
      <c r="H140" s="43">
        <v>20.399999999999999</v>
      </c>
      <c r="I140" s="43">
        <v>7.15</v>
      </c>
      <c r="J140" s="43">
        <v>9.94</v>
      </c>
      <c r="K140" s="44">
        <v>427</v>
      </c>
      <c r="L140" s="41">
        <v>4.4729999999999999</v>
      </c>
      <c r="M140" s="41"/>
      <c r="N140" s="41">
        <v>0.26700000000000002</v>
      </c>
      <c r="O140" s="41">
        <v>3.9058742648607598</v>
      </c>
      <c r="P140" s="41">
        <v>7.8217782921411683E-2</v>
      </c>
      <c r="Q140" s="41">
        <v>3.9</v>
      </c>
      <c r="R140" s="41">
        <v>0.02</v>
      </c>
      <c r="S140" s="41">
        <v>7.0000000000000001E-3</v>
      </c>
      <c r="T140" s="41">
        <v>64.491191417810811</v>
      </c>
      <c r="U140" s="41">
        <v>12.27</v>
      </c>
      <c r="V140" s="41">
        <v>6.11</v>
      </c>
      <c r="W140" s="41">
        <v>20.2</v>
      </c>
      <c r="X140" s="41">
        <v>10.396885695613589</v>
      </c>
      <c r="Y140" s="36"/>
      <c r="Z140" s="77">
        <v>31.52</v>
      </c>
      <c r="AA140" s="77">
        <v>37.81</v>
      </c>
      <c r="AB140" s="77">
        <v>9.5</v>
      </c>
      <c r="AC140" s="77">
        <v>3.3</v>
      </c>
      <c r="AD140" s="77">
        <v>17.87</v>
      </c>
      <c r="AE140" s="77">
        <f t="shared" si="13"/>
        <v>100</v>
      </c>
      <c r="AF140" s="78"/>
      <c r="AG140" s="77">
        <v>51.1</v>
      </c>
      <c r="AH140" s="77">
        <v>19.600000000000001</v>
      </c>
      <c r="AI140" s="77">
        <v>8.4</v>
      </c>
      <c r="AJ140" s="77">
        <v>1.7999999999999998</v>
      </c>
      <c r="AK140" s="77">
        <v>19.100000000000001</v>
      </c>
      <c r="AL140" s="77">
        <f t="shared" si="14"/>
        <v>100</v>
      </c>
      <c r="AM140" s="78"/>
      <c r="AN140" s="77">
        <v>27.43</v>
      </c>
      <c r="AO140" s="77">
        <v>38.619999999999997</v>
      </c>
      <c r="AP140" s="77">
        <v>12.18</v>
      </c>
      <c r="AQ140" s="77">
        <v>6.35</v>
      </c>
      <c r="AR140" s="77">
        <v>15.42</v>
      </c>
      <c r="AS140" s="77">
        <f t="shared" si="15"/>
        <v>99.999999999999986</v>
      </c>
      <c r="AT140" s="78"/>
      <c r="AU140" s="77">
        <v>36.4</v>
      </c>
      <c r="AV140" s="77">
        <v>33.29</v>
      </c>
      <c r="AW140" s="77">
        <v>11.42</v>
      </c>
      <c r="AX140" s="77">
        <v>5.13</v>
      </c>
      <c r="AY140" s="77">
        <v>13.76</v>
      </c>
      <c r="AZ140" s="77">
        <f t="shared" si="12"/>
        <v>100</v>
      </c>
    </row>
    <row r="141" spans="1:83" ht="20.100000000000001" customHeight="1">
      <c r="A141" s="31">
        <v>20</v>
      </c>
      <c r="B141" s="32" t="s">
        <v>38</v>
      </c>
      <c r="C141" s="32" t="s">
        <v>43</v>
      </c>
      <c r="D141" s="33" t="s">
        <v>44</v>
      </c>
      <c r="E141" s="42">
        <v>45393</v>
      </c>
      <c r="F141" s="34">
        <v>0.57291666666666663</v>
      </c>
      <c r="G141" s="33" t="s">
        <v>37</v>
      </c>
      <c r="H141" s="43">
        <v>17.7</v>
      </c>
      <c r="I141" s="43">
        <v>8.4600000000000009</v>
      </c>
      <c r="J141" s="43">
        <v>13.23</v>
      </c>
      <c r="K141" s="44">
        <v>488</v>
      </c>
      <c r="L141" s="41">
        <v>5.1660000000000004</v>
      </c>
      <c r="M141" s="41"/>
      <c r="N141" s="41">
        <v>6.3E-2</v>
      </c>
      <c r="O141" s="41">
        <v>4.9679283032825374</v>
      </c>
      <c r="P141" s="41">
        <v>0.12958430283036404</v>
      </c>
      <c r="Q141" s="41">
        <v>2.9</v>
      </c>
      <c r="R141" s="41">
        <v>4.8000000000000001E-2</v>
      </c>
      <c r="S141" s="41">
        <v>2.3E-2</v>
      </c>
      <c r="T141" s="41">
        <v>53.23904304944535</v>
      </c>
      <c r="U141" s="41">
        <v>10.25</v>
      </c>
      <c r="V141" s="41">
        <v>7.37</v>
      </c>
      <c r="W141" s="41">
        <v>23.4</v>
      </c>
      <c r="X141" s="41">
        <v>10.85344472189681</v>
      </c>
      <c r="Y141" s="36"/>
      <c r="Z141" s="77">
        <v>27.09</v>
      </c>
      <c r="AA141" s="77">
        <v>29.73</v>
      </c>
      <c r="AB141" s="77">
        <v>16.27</v>
      </c>
      <c r="AC141" s="77">
        <v>4.71</v>
      </c>
      <c r="AD141" s="77">
        <v>22.2</v>
      </c>
      <c r="AE141" s="77">
        <f t="shared" si="13"/>
        <v>100</v>
      </c>
      <c r="AF141" s="78"/>
      <c r="AG141" s="77">
        <v>45.2</v>
      </c>
      <c r="AH141" s="77">
        <v>16.900000000000002</v>
      </c>
      <c r="AI141" s="77">
        <v>11.3</v>
      </c>
      <c r="AJ141" s="77">
        <v>2.1</v>
      </c>
      <c r="AK141" s="77">
        <v>24.5</v>
      </c>
      <c r="AL141" s="77">
        <f t="shared" si="14"/>
        <v>100</v>
      </c>
      <c r="AM141" s="78"/>
      <c r="AN141" s="77">
        <v>33.489999999999995</v>
      </c>
      <c r="AO141" s="77">
        <v>25.55</v>
      </c>
      <c r="AP141" s="77">
        <v>14.87</v>
      </c>
      <c r="AQ141" s="77">
        <v>7.25</v>
      </c>
      <c r="AR141" s="77">
        <v>18.84</v>
      </c>
      <c r="AS141" s="77">
        <f t="shared" si="15"/>
        <v>100</v>
      </c>
      <c r="AT141" s="78"/>
      <c r="AU141" s="77">
        <v>33.01</v>
      </c>
      <c r="AV141" s="77">
        <v>27.169999999999998</v>
      </c>
      <c r="AW141" s="77">
        <v>15.32</v>
      </c>
      <c r="AX141" s="77">
        <v>6.5500000000000007</v>
      </c>
      <c r="AY141" s="77">
        <v>17.95</v>
      </c>
      <c r="AZ141" s="77">
        <f t="shared" si="12"/>
        <v>100</v>
      </c>
    </row>
    <row r="142" spans="1:83" ht="20.100000000000001" customHeight="1">
      <c r="A142" s="22">
        <v>21</v>
      </c>
      <c r="B142" s="14" t="s">
        <v>45</v>
      </c>
      <c r="C142" s="14" t="s">
        <v>45</v>
      </c>
      <c r="D142" s="15" t="s">
        <v>46</v>
      </c>
      <c r="E142" s="16">
        <v>45393</v>
      </c>
      <c r="F142" s="17">
        <v>0.44097222222222227</v>
      </c>
      <c r="G142" s="15" t="s">
        <v>37</v>
      </c>
      <c r="H142" s="23">
        <v>14.7</v>
      </c>
      <c r="I142" s="23">
        <v>7.64</v>
      </c>
      <c r="J142" s="23">
        <v>10.1</v>
      </c>
      <c r="K142" s="45">
        <v>195</v>
      </c>
      <c r="L142" s="39">
        <v>1.575</v>
      </c>
      <c r="M142" s="39"/>
      <c r="N142" s="39">
        <v>3.9E-2</v>
      </c>
      <c r="O142" s="39">
        <v>1.4978781437023474</v>
      </c>
      <c r="P142" s="39" t="s">
        <v>112</v>
      </c>
      <c r="Q142" s="39">
        <v>1.7</v>
      </c>
      <c r="R142" s="39">
        <v>6.0000000000000001E-3</v>
      </c>
      <c r="S142" s="39">
        <v>2E-3</v>
      </c>
      <c r="T142" s="39">
        <v>11.157679937554409</v>
      </c>
      <c r="U142" s="39">
        <v>4.84</v>
      </c>
      <c r="V142" s="39">
        <v>5.72</v>
      </c>
      <c r="W142" s="39">
        <v>8.6999999999999993</v>
      </c>
      <c r="X142" s="39">
        <v>14.992753436048833</v>
      </c>
      <c r="Y142" s="18"/>
      <c r="Z142" s="77">
        <v>8.7200000000000006</v>
      </c>
      <c r="AA142" s="77">
        <v>10.86</v>
      </c>
      <c r="AB142" s="77">
        <v>12.62</v>
      </c>
      <c r="AC142" s="77">
        <v>1.6</v>
      </c>
      <c r="AD142" s="77">
        <v>66.2</v>
      </c>
      <c r="AE142" s="77">
        <f t="shared" si="13"/>
        <v>100</v>
      </c>
      <c r="AF142" s="78"/>
      <c r="AG142" s="77">
        <v>25.1</v>
      </c>
      <c r="AH142" s="77">
        <v>8.2000000000000011</v>
      </c>
      <c r="AI142" s="77">
        <v>16.900000000000002</v>
      </c>
      <c r="AJ142" s="77">
        <v>2</v>
      </c>
      <c r="AK142" s="77">
        <v>47.8</v>
      </c>
      <c r="AL142" s="77">
        <f t="shared" si="14"/>
        <v>100</v>
      </c>
      <c r="AM142" s="78"/>
      <c r="AN142" s="77">
        <v>12.13</v>
      </c>
      <c r="AO142" s="77">
        <v>9.91</v>
      </c>
      <c r="AP142" s="77">
        <v>27.639999999999997</v>
      </c>
      <c r="AQ142" s="77">
        <v>3.9800000000000004</v>
      </c>
      <c r="AR142" s="77">
        <v>46.34</v>
      </c>
      <c r="AS142" s="77">
        <f t="shared" si="15"/>
        <v>100</v>
      </c>
      <c r="AT142" s="78"/>
      <c r="AU142" s="77">
        <v>15.079999999999998</v>
      </c>
      <c r="AV142" s="77">
        <v>8.06</v>
      </c>
      <c r="AW142" s="77">
        <v>24.43</v>
      </c>
      <c r="AX142" s="77">
        <v>4.26</v>
      </c>
      <c r="AY142" s="77">
        <v>48.17</v>
      </c>
      <c r="AZ142" s="77">
        <f t="shared" si="12"/>
        <v>100</v>
      </c>
    </row>
    <row r="143" spans="1:83" ht="20.100000000000001" customHeight="1">
      <c r="A143" s="22">
        <v>22</v>
      </c>
      <c r="B143" s="14" t="s">
        <v>45</v>
      </c>
      <c r="C143" s="14" t="s">
        <v>45</v>
      </c>
      <c r="D143" s="19" t="s">
        <v>47</v>
      </c>
      <c r="E143" s="16">
        <v>45393</v>
      </c>
      <c r="F143" s="20">
        <v>0.46180555555555558</v>
      </c>
      <c r="G143" s="15" t="s">
        <v>37</v>
      </c>
      <c r="H143" s="23">
        <v>17.3</v>
      </c>
      <c r="I143" s="23">
        <v>7.3</v>
      </c>
      <c r="J143" s="23">
        <v>9.5</v>
      </c>
      <c r="K143" s="45">
        <v>232</v>
      </c>
      <c r="L143" s="40">
        <v>1.9910000000000001</v>
      </c>
      <c r="M143" s="40"/>
      <c r="N143" s="40">
        <v>4.2000000000000003E-2</v>
      </c>
      <c r="O143" s="40">
        <v>1.8417102276897697</v>
      </c>
      <c r="P143" s="39" t="s">
        <v>112</v>
      </c>
      <c r="Q143" s="40">
        <v>2.7</v>
      </c>
      <c r="R143" s="40">
        <v>5.3999999999999999E-2</v>
      </c>
      <c r="S143" s="40">
        <v>5.0999999999999997E-2</v>
      </c>
      <c r="T143" s="40">
        <v>17.228406114095094</v>
      </c>
      <c r="U143" s="40">
        <v>7.46</v>
      </c>
      <c r="V143" s="40">
        <v>3.75</v>
      </c>
      <c r="W143" s="40">
        <v>11.3</v>
      </c>
      <c r="X143" s="40">
        <v>13.044520469711662</v>
      </c>
      <c r="Y143" s="21"/>
      <c r="Z143" s="78">
        <v>44.57</v>
      </c>
      <c r="AA143" s="78">
        <v>2.72</v>
      </c>
      <c r="AB143" s="78">
        <v>3.46</v>
      </c>
      <c r="AC143" s="78">
        <v>1.29</v>
      </c>
      <c r="AD143" s="78">
        <v>47.96</v>
      </c>
      <c r="AE143" s="78">
        <f t="shared" si="13"/>
        <v>100</v>
      </c>
      <c r="AF143" s="78"/>
      <c r="AG143" s="80">
        <v>37.4</v>
      </c>
      <c r="AH143" s="80">
        <v>11</v>
      </c>
      <c r="AI143" s="80">
        <v>12.7</v>
      </c>
      <c r="AJ143" s="80">
        <v>1.6</v>
      </c>
      <c r="AK143" s="80">
        <v>37.299999999999997</v>
      </c>
      <c r="AL143" s="78">
        <f t="shared" si="14"/>
        <v>100</v>
      </c>
      <c r="AM143" s="78"/>
      <c r="AN143" s="80">
        <v>33.200000000000003</v>
      </c>
      <c r="AO143" s="80">
        <v>13.04</v>
      </c>
      <c r="AP143" s="80">
        <v>16.580000000000002</v>
      </c>
      <c r="AQ143" s="80">
        <v>3.7199999999999998</v>
      </c>
      <c r="AR143" s="80">
        <v>33.46</v>
      </c>
      <c r="AS143" s="78">
        <f t="shared" si="15"/>
        <v>100</v>
      </c>
      <c r="AT143" s="78"/>
      <c r="AU143" s="80">
        <v>28.95</v>
      </c>
      <c r="AV143" s="80">
        <v>14.84</v>
      </c>
      <c r="AW143" s="80">
        <v>15.010000000000002</v>
      </c>
      <c r="AX143" s="80">
        <v>3.06</v>
      </c>
      <c r="AY143" s="80">
        <v>38.14</v>
      </c>
      <c r="AZ143" s="78">
        <f t="shared" si="12"/>
        <v>100</v>
      </c>
    </row>
    <row r="144" spans="1:83" ht="20.100000000000001" customHeight="1">
      <c r="A144" s="22">
        <v>23</v>
      </c>
      <c r="B144" s="14" t="s">
        <v>45</v>
      </c>
      <c r="C144" s="14" t="s">
        <v>45</v>
      </c>
      <c r="D144" s="19" t="s">
        <v>29</v>
      </c>
      <c r="E144" s="16">
        <v>45393</v>
      </c>
      <c r="F144" s="20">
        <v>0.47569444444444442</v>
      </c>
      <c r="G144" s="15" t="s">
        <v>37</v>
      </c>
      <c r="H144" s="23">
        <v>17.8</v>
      </c>
      <c r="I144" s="23">
        <v>7.54</v>
      </c>
      <c r="J144" s="23">
        <v>10.7</v>
      </c>
      <c r="K144" s="45">
        <v>237</v>
      </c>
      <c r="L144" s="40">
        <v>2.1120000000000001</v>
      </c>
      <c r="M144" s="40"/>
      <c r="N144" s="40">
        <v>5.7000000000000002E-2</v>
      </c>
      <c r="O144" s="40">
        <v>1.9377533187741629</v>
      </c>
      <c r="P144" s="39" t="s">
        <v>112</v>
      </c>
      <c r="Q144" s="40">
        <v>2.8</v>
      </c>
      <c r="R144" s="40">
        <v>4.8000000000000001E-2</v>
      </c>
      <c r="S144" s="40">
        <v>4.2999999999999997E-2</v>
      </c>
      <c r="T144" s="40">
        <v>18.676808109788333</v>
      </c>
      <c r="U144" s="40">
        <v>7.95</v>
      </c>
      <c r="V144" s="40">
        <v>4.3499999999999996</v>
      </c>
      <c r="W144" s="40">
        <v>12.1</v>
      </c>
      <c r="X144" s="40">
        <v>13.065326733831593</v>
      </c>
      <c r="Y144" s="21"/>
      <c r="Z144" s="78">
        <v>36.69</v>
      </c>
      <c r="AA144" s="78">
        <v>10.119999999999999</v>
      </c>
      <c r="AB144" s="78">
        <v>8.18</v>
      </c>
      <c r="AC144" s="78">
        <v>0.82</v>
      </c>
      <c r="AD144" s="78">
        <v>44.19</v>
      </c>
      <c r="AE144" s="78">
        <f t="shared" si="13"/>
        <v>100</v>
      </c>
      <c r="AF144" s="78"/>
      <c r="AG144" s="80">
        <v>39.300000000000004</v>
      </c>
      <c r="AH144" s="80">
        <v>12.2</v>
      </c>
      <c r="AI144" s="80">
        <v>12.4</v>
      </c>
      <c r="AJ144" s="80">
        <v>1.9</v>
      </c>
      <c r="AK144" s="80">
        <v>34.200000000000003</v>
      </c>
      <c r="AL144" s="78">
        <f t="shared" si="14"/>
        <v>100</v>
      </c>
      <c r="AM144" s="78"/>
      <c r="AN144" s="80">
        <v>28.360000000000003</v>
      </c>
      <c r="AO144" s="80">
        <v>17.649999999999999</v>
      </c>
      <c r="AP144" s="80">
        <v>22.470000000000002</v>
      </c>
      <c r="AQ144" s="80">
        <v>3.0300000000000002</v>
      </c>
      <c r="AR144" s="80">
        <v>28.49</v>
      </c>
      <c r="AS144" s="78">
        <f t="shared" si="15"/>
        <v>100</v>
      </c>
      <c r="AT144" s="78"/>
      <c r="AU144" s="80">
        <v>30.67</v>
      </c>
      <c r="AV144" s="80">
        <v>16.66</v>
      </c>
      <c r="AW144" s="80">
        <v>15.22</v>
      </c>
      <c r="AX144" s="80">
        <v>3.49</v>
      </c>
      <c r="AY144" s="80">
        <v>33.96</v>
      </c>
      <c r="AZ144" s="78">
        <f t="shared" si="12"/>
        <v>100</v>
      </c>
    </row>
    <row r="145" spans="1:77" ht="20.100000000000001" customHeight="1" thickBot="1">
      <c r="A145" s="46">
        <v>24</v>
      </c>
      <c r="B145" s="47" t="s">
        <v>45</v>
      </c>
      <c r="C145" s="47" t="s">
        <v>45</v>
      </c>
      <c r="D145" s="48" t="s">
        <v>48</v>
      </c>
      <c r="E145" s="49">
        <v>45393</v>
      </c>
      <c r="F145" s="50">
        <v>0.48958333333333331</v>
      </c>
      <c r="G145" s="48" t="s">
        <v>37</v>
      </c>
      <c r="H145" s="51">
        <v>16.899999999999999</v>
      </c>
      <c r="I145" s="51">
        <v>7.29</v>
      </c>
      <c r="J145" s="51">
        <v>8.75</v>
      </c>
      <c r="K145" s="52">
        <v>248</v>
      </c>
      <c r="L145" s="53">
        <v>2.1680000000000001</v>
      </c>
      <c r="M145" s="53"/>
      <c r="N145" s="53">
        <v>6.5000000000000002E-2</v>
      </c>
      <c r="O145" s="53">
        <v>1.9645769962820305</v>
      </c>
      <c r="P145" s="53" t="s">
        <v>112</v>
      </c>
      <c r="Q145" s="53">
        <v>2.7</v>
      </c>
      <c r="R145" s="53">
        <v>3.7999999999999999E-2</v>
      </c>
      <c r="S145" s="53">
        <v>3.3000000000000002E-2</v>
      </c>
      <c r="T145" s="53">
        <v>18.945319130868253</v>
      </c>
      <c r="U145" s="53">
        <v>8.2100000000000009</v>
      </c>
      <c r="V145" s="53">
        <v>4.57</v>
      </c>
      <c r="W145" s="53">
        <v>13.4</v>
      </c>
      <c r="X145" s="53">
        <v>12.926440961420095</v>
      </c>
      <c r="Y145" s="54"/>
      <c r="Z145" s="78">
        <v>35.200000000000003</v>
      </c>
      <c r="AA145" s="78">
        <v>12.59</v>
      </c>
      <c r="AB145" s="78">
        <v>6.95</v>
      </c>
      <c r="AC145" s="78">
        <v>1.43</v>
      </c>
      <c r="AD145" s="78">
        <v>43.83</v>
      </c>
      <c r="AE145" s="78">
        <f t="shared" si="13"/>
        <v>100</v>
      </c>
      <c r="AF145" s="78"/>
      <c r="AG145" s="80">
        <v>39.800000000000004</v>
      </c>
      <c r="AH145" s="80">
        <v>12.5</v>
      </c>
      <c r="AI145" s="80">
        <v>12.4</v>
      </c>
      <c r="AJ145" s="80">
        <v>1.9</v>
      </c>
      <c r="AK145" s="80">
        <v>33.4</v>
      </c>
      <c r="AL145" s="78">
        <f t="shared" si="14"/>
        <v>100</v>
      </c>
      <c r="AM145" s="78"/>
      <c r="AN145" s="80">
        <v>31.15</v>
      </c>
      <c r="AO145" s="80">
        <v>17.93</v>
      </c>
      <c r="AP145" s="80">
        <v>20.47</v>
      </c>
      <c r="AQ145" s="80">
        <v>3.27</v>
      </c>
      <c r="AR145" s="80">
        <v>27.18</v>
      </c>
      <c r="AS145" s="78">
        <f t="shared" si="15"/>
        <v>100</v>
      </c>
      <c r="AT145" s="78"/>
      <c r="AU145" s="80">
        <v>31.319999999999997</v>
      </c>
      <c r="AV145" s="80">
        <v>17.5</v>
      </c>
      <c r="AW145" s="80">
        <v>15.229999999999999</v>
      </c>
      <c r="AX145" s="80">
        <v>3.6700000000000004</v>
      </c>
      <c r="AY145" s="80">
        <v>32.28</v>
      </c>
      <c r="AZ145" s="78">
        <f t="shared" si="12"/>
        <v>100</v>
      </c>
    </row>
    <row r="146" spans="1:77" ht="20.100000000000001" customHeight="1"/>
    <row r="147" spans="1:77" ht="20.100000000000001" customHeight="1"/>
    <row r="148" spans="1:77" ht="20.100000000000001" customHeight="1"/>
    <row r="149" spans="1:77" ht="20.100000000000001" customHeight="1">
      <c r="Z149" s="65" t="s">
        <v>153</v>
      </c>
      <c r="AA149" s="66" t="s">
        <v>111</v>
      </c>
      <c r="AB149" s="67" t="s">
        <v>67</v>
      </c>
      <c r="AC149" s="62"/>
      <c r="AD149" s="65" t="s">
        <v>154</v>
      </c>
      <c r="AE149" s="66" t="s">
        <v>111</v>
      </c>
      <c r="AF149" s="67" t="s">
        <v>67</v>
      </c>
      <c r="AG149" s="62"/>
      <c r="AH149" s="65" t="s">
        <v>155</v>
      </c>
      <c r="AI149" s="66" t="s">
        <v>111</v>
      </c>
      <c r="AJ149" s="67" t="s">
        <v>67</v>
      </c>
      <c r="AK149" s="62"/>
      <c r="AL149" s="65" t="s">
        <v>157</v>
      </c>
      <c r="AM149" s="66" t="s">
        <v>111</v>
      </c>
      <c r="AN149" s="67" t="s">
        <v>67</v>
      </c>
      <c r="AO149" s="62"/>
    </row>
    <row r="150" spans="1:77" ht="20.100000000000001" customHeight="1">
      <c r="Z150" s="65" t="s">
        <v>161</v>
      </c>
      <c r="AA150" s="65">
        <v>13.3575</v>
      </c>
      <c r="AB150" s="65">
        <v>1.9608333333333334</v>
      </c>
      <c r="AC150" s="62"/>
      <c r="AD150" s="65" t="s">
        <v>161</v>
      </c>
      <c r="AE150" s="65">
        <v>19.794999999999998</v>
      </c>
      <c r="AF150" s="65">
        <v>5.2956249999999994</v>
      </c>
      <c r="AG150" s="62"/>
      <c r="AH150" s="65" t="s">
        <v>161</v>
      </c>
      <c r="AI150" s="65">
        <v>0.86499999999999999</v>
      </c>
      <c r="AJ150" s="65">
        <v>14.385000000000002</v>
      </c>
      <c r="AK150" s="62"/>
      <c r="AL150" s="65" t="s">
        <v>161</v>
      </c>
      <c r="AM150" s="68">
        <v>2.492</v>
      </c>
      <c r="AN150" s="68">
        <v>-0.24799999999999994</v>
      </c>
      <c r="AO150" s="62"/>
    </row>
    <row r="151" spans="1:77" ht="20.100000000000001" customHeight="1">
      <c r="Z151" s="65" t="s">
        <v>162</v>
      </c>
      <c r="AA151" s="65">
        <v>1.9060865429174276</v>
      </c>
      <c r="AB151" s="65">
        <v>2.6869836360882551</v>
      </c>
      <c r="AC151" s="62"/>
      <c r="AD151" s="65" t="s">
        <v>162</v>
      </c>
      <c r="AE151" s="65">
        <v>3.2607766384274761</v>
      </c>
      <c r="AF151" s="65">
        <v>4.0307872658009201</v>
      </c>
      <c r="AG151" s="62"/>
      <c r="AH151" s="65" t="s">
        <v>162</v>
      </c>
      <c r="AI151" s="65">
        <v>0.3323401871576776</v>
      </c>
      <c r="AJ151" s="65">
        <v>5.1830927060973853</v>
      </c>
      <c r="AK151" s="62"/>
      <c r="AL151" s="65" t="s">
        <v>162</v>
      </c>
      <c r="AM151" s="68">
        <v>1.278796309034399</v>
      </c>
      <c r="AN151" s="68">
        <v>1.0289654999075528</v>
      </c>
      <c r="AO151" s="62"/>
    </row>
    <row r="152" spans="1:77" ht="20.100000000000001" customHeight="1">
      <c r="A152" s="64">
        <v>46147</v>
      </c>
      <c r="B152" t="s">
        <v>181</v>
      </c>
    </row>
    <row r="153" spans="1:77" ht="27.75" customHeight="1">
      <c r="A153" s="89" t="s">
        <v>50</v>
      </c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Y153" s="71"/>
      <c r="Z153" s="62" t="s">
        <v>166</v>
      </c>
    </row>
    <row r="154" spans="1:77" ht="20.100000000000001" customHeight="1" thickBot="1">
      <c r="Y154" s="3"/>
      <c r="AG154" t="s">
        <v>167</v>
      </c>
      <c r="AI154" t="s">
        <v>168</v>
      </c>
    </row>
    <row r="155" spans="1:77" ht="20.100000000000001" customHeight="1" thickBot="1">
      <c r="A155" s="90" t="s">
        <v>1</v>
      </c>
      <c r="B155" s="92" t="s">
        <v>62</v>
      </c>
      <c r="C155" s="92" t="s">
        <v>63</v>
      </c>
      <c r="D155" s="90" t="s">
        <v>7</v>
      </c>
      <c r="E155" s="94" t="s">
        <v>8</v>
      </c>
      <c r="F155" s="95"/>
      <c r="G155" s="96" t="s">
        <v>9</v>
      </c>
      <c r="H155" s="96"/>
      <c r="I155" s="96"/>
      <c r="J155" s="96"/>
      <c r="K155" s="96"/>
      <c r="L155" s="85" t="s">
        <v>56</v>
      </c>
      <c r="M155" s="86"/>
      <c r="N155" s="86"/>
      <c r="O155" s="86"/>
      <c r="P155" s="86"/>
      <c r="Q155" s="86"/>
      <c r="R155" s="86"/>
      <c r="S155" s="86"/>
      <c r="T155" s="86"/>
      <c r="U155" s="8"/>
      <c r="V155" s="8"/>
      <c r="W155" s="8"/>
      <c r="X155" s="8"/>
      <c r="Y155" s="87" t="s">
        <v>10</v>
      </c>
      <c r="Z155" s="60" t="s">
        <v>159</v>
      </c>
      <c r="AD155">
        <v>100</v>
      </c>
      <c r="AG155" s="60" t="s">
        <v>163</v>
      </c>
      <c r="AK155">
        <v>100</v>
      </c>
      <c r="AN155" s="60" t="s">
        <v>164</v>
      </c>
      <c r="AR155">
        <v>100</v>
      </c>
      <c r="AU155" s="60" t="s">
        <v>165</v>
      </c>
      <c r="AY155">
        <v>100</v>
      </c>
      <c r="BE155" t="s">
        <v>153</v>
      </c>
      <c r="BK155" t="s">
        <v>154</v>
      </c>
      <c r="BQ155" t="s">
        <v>155</v>
      </c>
      <c r="BW155" t="s">
        <v>157</v>
      </c>
    </row>
    <row r="156" spans="1:77" ht="20.100000000000001" customHeight="1" thickBot="1">
      <c r="A156" s="91"/>
      <c r="B156" s="91"/>
      <c r="C156" s="91"/>
      <c r="D156" s="93"/>
      <c r="E156" s="1" t="s">
        <v>0</v>
      </c>
      <c r="F156" s="4" t="s">
        <v>11</v>
      </c>
      <c r="G156" s="4" t="s">
        <v>12</v>
      </c>
      <c r="H156" s="4" t="s">
        <v>13</v>
      </c>
      <c r="I156" s="4" t="s">
        <v>14</v>
      </c>
      <c r="J156" s="4" t="s">
        <v>15</v>
      </c>
      <c r="K156" s="4" t="s">
        <v>16</v>
      </c>
      <c r="L156" s="4" t="s">
        <v>6</v>
      </c>
      <c r="M156" s="4" t="s">
        <v>51</v>
      </c>
      <c r="N156" s="4" t="s">
        <v>2</v>
      </c>
      <c r="O156" s="4" t="s">
        <v>3</v>
      </c>
      <c r="P156" s="4" t="s">
        <v>52</v>
      </c>
      <c r="Q156" s="4" t="s">
        <v>53</v>
      </c>
      <c r="R156" s="4" t="s">
        <v>54</v>
      </c>
      <c r="S156" s="4" t="s">
        <v>55</v>
      </c>
      <c r="T156" s="6" t="s">
        <v>4</v>
      </c>
      <c r="U156" s="9" t="s">
        <v>66</v>
      </c>
      <c r="V156" s="9" t="s">
        <v>67</v>
      </c>
      <c r="W156" s="9" t="s">
        <v>64</v>
      </c>
      <c r="X156" s="9" t="s">
        <v>65</v>
      </c>
      <c r="Y156" s="88"/>
      <c r="Z156" s="60" t="s">
        <v>153</v>
      </c>
      <c r="AA156" s="60" t="s">
        <v>154</v>
      </c>
      <c r="AB156" s="60" t="s">
        <v>155</v>
      </c>
      <c r="AC156" s="60" t="s">
        <v>157</v>
      </c>
      <c r="AD156" s="61" t="s">
        <v>158</v>
      </c>
      <c r="AG156" s="60" t="s">
        <v>153</v>
      </c>
      <c r="AH156" s="60" t="s">
        <v>154</v>
      </c>
      <c r="AI156" s="60" t="s">
        <v>155</v>
      </c>
      <c r="AJ156" s="60" t="s">
        <v>157</v>
      </c>
      <c r="AK156" s="61" t="s">
        <v>158</v>
      </c>
      <c r="AN156" s="60" t="s">
        <v>153</v>
      </c>
      <c r="AO156" s="60" t="s">
        <v>154</v>
      </c>
      <c r="AP156" s="60" t="s">
        <v>155</v>
      </c>
      <c r="AQ156" s="60" t="s">
        <v>157</v>
      </c>
      <c r="AR156" s="61" t="s">
        <v>158</v>
      </c>
      <c r="AU156" s="60" t="s">
        <v>153</v>
      </c>
      <c r="AV156" s="60" t="s">
        <v>154</v>
      </c>
      <c r="AW156" s="60" t="s">
        <v>155</v>
      </c>
      <c r="AX156" s="60" t="s">
        <v>157</v>
      </c>
      <c r="AY156" s="61" t="s">
        <v>158</v>
      </c>
      <c r="BC156" s="55" t="s">
        <v>117</v>
      </c>
      <c r="BD156" s="55" t="s">
        <v>118</v>
      </c>
      <c r="BE156" s="55" t="s">
        <v>119</v>
      </c>
      <c r="BF156" s="56" t="s">
        <v>120</v>
      </c>
      <c r="BG156" s="56" t="s">
        <v>121</v>
      </c>
      <c r="BI156" s="55" t="s">
        <v>117</v>
      </c>
      <c r="BJ156" s="55" t="s">
        <v>118</v>
      </c>
      <c r="BK156" s="55" t="s">
        <v>119</v>
      </c>
      <c r="BL156" s="56" t="s">
        <v>120</v>
      </c>
      <c r="BM156" s="56" t="s">
        <v>121</v>
      </c>
      <c r="BO156" s="55" t="s">
        <v>117</v>
      </c>
      <c r="BP156" s="55" t="s">
        <v>118</v>
      </c>
      <c r="BQ156" s="55" t="s">
        <v>119</v>
      </c>
      <c r="BR156" s="56" t="s">
        <v>120</v>
      </c>
      <c r="BS156" s="56" t="s">
        <v>121</v>
      </c>
      <c r="BU156" s="55" t="s">
        <v>117</v>
      </c>
      <c r="BV156" s="55" t="s">
        <v>118</v>
      </c>
      <c r="BW156" s="55" t="s">
        <v>119</v>
      </c>
      <c r="BX156" s="56" t="s">
        <v>120</v>
      </c>
      <c r="BY156" s="56" t="s">
        <v>121</v>
      </c>
    </row>
    <row r="157" spans="1:77" ht="20.100000000000001" customHeight="1">
      <c r="A157" s="30">
        <v>1</v>
      </c>
      <c r="B157" s="25" t="s">
        <v>17</v>
      </c>
      <c r="C157" s="25" t="s">
        <v>17</v>
      </c>
      <c r="D157" s="10" t="s">
        <v>18</v>
      </c>
      <c r="E157" s="11">
        <v>45394</v>
      </c>
      <c r="F157" s="12">
        <v>0.40625</v>
      </c>
      <c r="G157" s="10" t="s">
        <v>19</v>
      </c>
      <c r="H157" s="37">
        <v>13.4</v>
      </c>
      <c r="I157" s="37">
        <v>7.66</v>
      </c>
      <c r="J157" s="37">
        <v>11.37</v>
      </c>
      <c r="K157" s="37">
        <v>200.1</v>
      </c>
      <c r="L157" s="38">
        <v>1.5620000000000001</v>
      </c>
      <c r="M157" s="38"/>
      <c r="N157" s="38">
        <v>2.8000000000000001E-2</v>
      </c>
      <c r="O157" s="38">
        <v>1.5338708615263741</v>
      </c>
      <c r="P157" s="38" t="s">
        <v>112</v>
      </c>
      <c r="Q157" s="38">
        <v>1.2</v>
      </c>
      <c r="R157" s="38">
        <v>1.9E-2</v>
      </c>
      <c r="S157" s="38">
        <v>1.4999999999999999E-2</v>
      </c>
      <c r="T157" s="38">
        <v>21.926092412394119</v>
      </c>
      <c r="U157" s="38">
        <v>6.79</v>
      </c>
      <c r="V157" s="38">
        <v>2.9</v>
      </c>
      <c r="W157" s="38" t="s">
        <v>68</v>
      </c>
      <c r="X157" s="38">
        <v>6.8100892305781313</v>
      </c>
      <c r="Y157" s="13"/>
      <c r="Z157" s="81"/>
      <c r="AA157" s="81"/>
      <c r="AB157" s="81"/>
      <c r="AC157" s="81"/>
      <c r="AD157" s="74"/>
      <c r="AE157" s="74"/>
      <c r="AF157" s="74"/>
      <c r="AG157" s="76">
        <v>39.299999999999997</v>
      </c>
      <c r="AH157" s="76">
        <v>13.700000000000001</v>
      </c>
      <c r="AI157" s="76">
        <v>19.7</v>
      </c>
      <c r="AJ157" s="76">
        <v>27.3</v>
      </c>
      <c r="AK157" s="74">
        <f>SUM(AG157:AJ157)</f>
        <v>100</v>
      </c>
      <c r="AL157" s="74"/>
      <c r="AM157" s="74"/>
      <c r="AN157" s="83">
        <v>20.21</v>
      </c>
      <c r="AO157" s="83">
        <v>17.130000000000003</v>
      </c>
      <c r="AP157" s="83">
        <v>19.18</v>
      </c>
      <c r="AQ157" s="83">
        <v>43.480000000000004</v>
      </c>
      <c r="AR157" s="84">
        <f>SUM(AN157:AQ157)</f>
        <v>100</v>
      </c>
      <c r="AS157" s="74"/>
      <c r="AT157" s="74"/>
      <c r="AU157" s="83">
        <v>22.31</v>
      </c>
      <c r="AV157" s="83">
        <v>13.65</v>
      </c>
      <c r="AW157" s="83">
        <v>17.18</v>
      </c>
      <c r="AX157" s="83">
        <v>46.86</v>
      </c>
      <c r="AY157" s="84">
        <f>SUM(AU157:AX157)</f>
        <v>100</v>
      </c>
      <c r="AZ157" s="63"/>
      <c r="BC157" s="57" t="s">
        <v>114</v>
      </c>
      <c r="BD157" s="58" t="s">
        <v>113</v>
      </c>
      <c r="BE157" s="58" t="s">
        <v>49</v>
      </c>
      <c r="BF157" s="59">
        <v>16.52</v>
      </c>
      <c r="BG157" s="59">
        <v>5.16</v>
      </c>
      <c r="BI157" s="57" t="s">
        <v>74</v>
      </c>
      <c r="BJ157" s="58" t="s">
        <v>75</v>
      </c>
      <c r="BK157" s="58" t="s">
        <v>76</v>
      </c>
      <c r="BL157" s="59">
        <v>17.66</v>
      </c>
      <c r="BM157" s="59">
        <v>10.89</v>
      </c>
      <c r="BO157" s="57" t="s">
        <v>101</v>
      </c>
      <c r="BP157" s="58" t="s">
        <v>138</v>
      </c>
      <c r="BQ157" s="58" t="s">
        <v>140</v>
      </c>
      <c r="BR157" s="59">
        <v>0.63</v>
      </c>
      <c r="BS157" s="59">
        <v>10.72</v>
      </c>
      <c r="BU157" s="57" t="s">
        <v>84</v>
      </c>
      <c r="BV157" s="58" t="s">
        <v>71</v>
      </c>
      <c r="BW157" s="58" t="s">
        <v>85</v>
      </c>
      <c r="BX157" s="59">
        <v>4.34</v>
      </c>
      <c r="BY157" s="59">
        <v>0.88</v>
      </c>
    </row>
    <row r="158" spans="1:77" ht="20.100000000000001" customHeight="1">
      <c r="A158" s="22">
        <v>2</v>
      </c>
      <c r="B158" s="14" t="s">
        <v>17</v>
      </c>
      <c r="C158" s="14" t="s">
        <v>17</v>
      </c>
      <c r="D158" s="15" t="s">
        <v>20</v>
      </c>
      <c r="E158" s="16">
        <v>45394</v>
      </c>
      <c r="F158" s="17">
        <v>0.4375</v>
      </c>
      <c r="G158" s="15" t="s">
        <v>19</v>
      </c>
      <c r="H158" s="24">
        <v>17.899999999999999</v>
      </c>
      <c r="I158" s="24">
        <v>7.63</v>
      </c>
      <c r="J158" s="24">
        <v>10.66</v>
      </c>
      <c r="K158" s="24">
        <v>381</v>
      </c>
      <c r="L158" s="39">
        <v>5.1319999999999997</v>
      </c>
      <c r="M158" s="39"/>
      <c r="N158" s="39">
        <v>0.82399999999999995</v>
      </c>
      <c r="O158" s="39">
        <v>3.8056685669511721</v>
      </c>
      <c r="P158" s="39">
        <v>0.75779406996970966</v>
      </c>
      <c r="Q158" s="39">
        <v>3.4</v>
      </c>
      <c r="R158" s="39">
        <v>4.1000000000000002E-2</v>
      </c>
      <c r="S158" s="39">
        <v>2.9000000000000001E-2</v>
      </c>
      <c r="T158" s="39">
        <v>48.553205182927933</v>
      </c>
      <c r="U158" s="39">
        <v>10.94</v>
      </c>
      <c r="V158" s="39">
        <v>0.19</v>
      </c>
      <c r="W158" s="39">
        <v>91.9</v>
      </c>
      <c r="X158" s="39">
        <v>11.530193967408453</v>
      </c>
      <c r="Y158" s="18"/>
      <c r="Z158" s="81"/>
      <c r="AA158" s="81"/>
      <c r="AB158" s="81"/>
      <c r="AC158" s="81"/>
      <c r="AD158" s="74"/>
      <c r="AE158" s="74"/>
      <c r="AF158" s="74"/>
      <c r="AG158" s="76">
        <v>53.300000000000004</v>
      </c>
      <c r="AH158" s="76">
        <v>13.5</v>
      </c>
      <c r="AI158" s="76">
        <v>8.4</v>
      </c>
      <c r="AJ158" s="76">
        <v>24.7</v>
      </c>
      <c r="AK158" s="74">
        <f t="shared" ref="AK158:AK180" si="16">SUM(AG158:AJ158)</f>
        <v>99.90000000000002</v>
      </c>
      <c r="AL158" s="74"/>
      <c r="AM158" s="74"/>
      <c r="AN158" s="83">
        <v>42.21</v>
      </c>
      <c r="AO158" s="83">
        <v>24.59</v>
      </c>
      <c r="AP158" s="83">
        <v>5.34</v>
      </c>
      <c r="AQ158" s="83">
        <v>27.85</v>
      </c>
      <c r="AR158" s="84">
        <f t="shared" ref="AR158:AR180" si="17">SUM(AN158:AQ158)</f>
        <v>99.990000000000009</v>
      </c>
      <c r="AS158" s="74"/>
      <c r="AT158" s="74"/>
      <c r="AU158" s="83">
        <v>50.17</v>
      </c>
      <c r="AV158" s="83">
        <v>19.73</v>
      </c>
      <c r="AW158" s="83">
        <v>5.26</v>
      </c>
      <c r="AX158" s="83">
        <v>24.84</v>
      </c>
      <c r="AY158" s="84">
        <f t="shared" ref="AY158:AY180" si="18">SUM(AU158:AX158)</f>
        <v>100.00000000000001</v>
      </c>
      <c r="AZ158" s="63"/>
      <c r="BC158" s="57" t="s">
        <v>70</v>
      </c>
      <c r="BD158" s="58" t="s">
        <v>71</v>
      </c>
      <c r="BE158" s="58" t="s">
        <v>86</v>
      </c>
      <c r="BF158" s="59">
        <v>15.92</v>
      </c>
      <c r="BG158" s="59">
        <v>-0.37</v>
      </c>
      <c r="BI158" s="57" t="s">
        <v>74</v>
      </c>
      <c r="BJ158" s="58" t="s">
        <v>75</v>
      </c>
      <c r="BK158" s="58" t="s">
        <v>76</v>
      </c>
      <c r="BL158" s="59">
        <v>18.170000000000002</v>
      </c>
      <c r="BM158" s="59">
        <v>9.27</v>
      </c>
      <c r="BO158" s="57" t="s">
        <v>102</v>
      </c>
      <c r="BP158" s="58" t="s">
        <v>138</v>
      </c>
      <c r="BQ158" s="58" t="s">
        <v>139</v>
      </c>
      <c r="BR158" s="59">
        <v>1.1000000000000001</v>
      </c>
      <c r="BS158" s="59">
        <v>18.05</v>
      </c>
      <c r="BU158" s="57" t="s">
        <v>133</v>
      </c>
      <c r="BV158" s="58" t="s">
        <v>125</v>
      </c>
      <c r="BW158" s="58" t="s">
        <v>134</v>
      </c>
      <c r="BX158" s="59">
        <v>2.98</v>
      </c>
      <c r="BY158" s="59">
        <v>0.23</v>
      </c>
    </row>
    <row r="159" spans="1:77" ht="20.100000000000001" customHeight="1">
      <c r="A159" s="22">
        <v>3</v>
      </c>
      <c r="B159" s="14" t="s">
        <v>17</v>
      </c>
      <c r="C159" s="14" t="s">
        <v>17</v>
      </c>
      <c r="D159" s="15" t="s">
        <v>21</v>
      </c>
      <c r="E159" s="16">
        <v>45394</v>
      </c>
      <c r="F159" s="17">
        <v>0.4513888888888889</v>
      </c>
      <c r="G159" s="15" t="s">
        <v>19</v>
      </c>
      <c r="H159" s="24">
        <v>19.100000000000001</v>
      </c>
      <c r="I159" s="24">
        <v>7.58</v>
      </c>
      <c r="J159" s="24">
        <v>9.67</v>
      </c>
      <c r="K159" s="24">
        <v>357</v>
      </c>
      <c r="L159" s="39">
        <v>4.3529999999999998</v>
      </c>
      <c r="M159" s="39"/>
      <c r="N159" s="39">
        <v>0.90200000000000002</v>
      </c>
      <c r="O159" s="39">
        <v>2.9836540688462629</v>
      </c>
      <c r="P159" s="39">
        <v>0.5708632001190197</v>
      </c>
      <c r="Q159" s="39">
        <v>3.5</v>
      </c>
      <c r="R159" s="39">
        <v>7.8E-2</v>
      </c>
      <c r="S159" s="39">
        <v>6.9000000000000006E-2</v>
      </c>
      <c r="T159" s="39">
        <v>42.668927928854785</v>
      </c>
      <c r="U159" s="39">
        <v>10.09</v>
      </c>
      <c r="V159" s="39">
        <v>1.5</v>
      </c>
      <c r="W159" s="39">
        <v>25.3</v>
      </c>
      <c r="X159" s="39">
        <v>11.842993595465368</v>
      </c>
      <c r="Y159" s="18"/>
      <c r="Z159" s="81"/>
      <c r="AA159" s="81"/>
      <c r="AB159" s="81"/>
      <c r="AC159" s="81"/>
      <c r="AD159" s="74"/>
      <c r="AE159" s="74"/>
      <c r="AF159" s="74"/>
      <c r="AG159" s="76">
        <v>47</v>
      </c>
      <c r="AH159" s="76">
        <v>14.299999999999999</v>
      </c>
      <c r="AI159" s="76">
        <v>10.199999999999999</v>
      </c>
      <c r="AJ159" s="76">
        <v>28.499999999999996</v>
      </c>
      <c r="AK159" s="74">
        <f t="shared" si="16"/>
        <v>100</v>
      </c>
      <c r="AL159" s="74"/>
      <c r="AM159" s="74"/>
      <c r="AN159" s="83">
        <v>27.72</v>
      </c>
      <c r="AO159" s="83">
        <v>28.549999999999997</v>
      </c>
      <c r="AP159" s="83">
        <v>14.56</v>
      </c>
      <c r="AQ159" s="83">
        <v>29.17</v>
      </c>
      <c r="AR159" s="84">
        <f t="shared" si="17"/>
        <v>100</v>
      </c>
      <c r="AS159" s="74"/>
      <c r="AT159" s="74"/>
      <c r="AU159" s="83">
        <v>41.89</v>
      </c>
      <c r="AV159" s="83">
        <v>20.27</v>
      </c>
      <c r="AW159" s="83">
        <v>7.7299999999999995</v>
      </c>
      <c r="AX159" s="83">
        <v>30.11</v>
      </c>
      <c r="AY159" s="84">
        <f t="shared" si="18"/>
        <v>100</v>
      </c>
      <c r="AZ159" s="63"/>
      <c r="BC159" s="57" t="s">
        <v>79</v>
      </c>
      <c r="BD159" s="58"/>
      <c r="BE159" s="58" t="s">
        <v>169</v>
      </c>
      <c r="BF159" s="59">
        <v>15.17</v>
      </c>
      <c r="BG159" s="59">
        <v>-3.82</v>
      </c>
      <c r="BI159" s="57" t="s">
        <v>96</v>
      </c>
      <c r="BJ159" s="58"/>
      <c r="BK159" s="58" t="s">
        <v>105</v>
      </c>
      <c r="BL159" s="59">
        <v>15.309999999999999</v>
      </c>
      <c r="BM159" s="59">
        <v>3.085</v>
      </c>
      <c r="BO159" s="57"/>
      <c r="BP159" s="58"/>
      <c r="BQ159" s="58"/>
      <c r="BR159" s="59"/>
      <c r="BS159" s="59"/>
      <c r="BU159" s="57" t="s">
        <v>131</v>
      </c>
      <c r="BV159" s="58" t="s">
        <v>125</v>
      </c>
      <c r="BW159" s="58" t="s">
        <v>132</v>
      </c>
      <c r="BX159" s="59">
        <v>0.92</v>
      </c>
      <c r="BY159" s="59">
        <v>0.08</v>
      </c>
    </row>
    <row r="160" spans="1:77" ht="20.100000000000001" customHeight="1">
      <c r="A160" s="22">
        <v>4</v>
      </c>
      <c r="B160" s="14" t="s">
        <v>17</v>
      </c>
      <c r="C160" s="14" t="s">
        <v>17</v>
      </c>
      <c r="D160" s="15" t="s">
        <v>22</v>
      </c>
      <c r="E160" s="16">
        <v>45394</v>
      </c>
      <c r="F160" s="17">
        <v>0.46527777777777773</v>
      </c>
      <c r="G160" s="15" t="s">
        <v>19</v>
      </c>
      <c r="H160" s="24">
        <v>20.399999999999999</v>
      </c>
      <c r="I160" s="24">
        <v>7.35</v>
      </c>
      <c r="J160" s="24">
        <v>9</v>
      </c>
      <c r="K160" s="24">
        <v>348</v>
      </c>
      <c r="L160" s="39">
        <v>3.8969999999999998</v>
      </c>
      <c r="M160" s="39"/>
      <c r="N160" s="39">
        <v>0.78200000000000003</v>
      </c>
      <c r="O160" s="39">
        <v>2.6470789824688241</v>
      </c>
      <c r="P160" s="39">
        <v>0.50575484929842918</v>
      </c>
      <c r="Q160" s="39">
        <v>3.5</v>
      </c>
      <c r="R160" s="39">
        <v>5.8999999999999997E-2</v>
      </c>
      <c r="S160" s="39">
        <v>4.8000000000000001E-2</v>
      </c>
      <c r="T160" s="39">
        <v>41.228925543629487</v>
      </c>
      <c r="U160" s="39">
        <v>10.63</v>
      </c>
      <c r="V160" s="39">
        <v>2.19</v>
      </c>
      <c r="W160" s="39">
        <v>19.899999999999999</v>
      </c>
      <c r="X160" s="39">
        <v>12.303652359256734</v>
      </c>
      <c r="Y160" s="18"/>
      <c r="Z160" s="81"/>
      <c r="AA160" s="81"/>
      <c r="AB160" s="81"/>
      <c r="AC160" s="81"/>
      <c r="AD160" s="74"/>
      <c r="AE160" s="74"/>
      <c r="AF160" s="74"/>
      <c r="AG160" s="76">
        <v>48.1</v>
      </c>
      <c r="AH160" s="76">
        <v>15.8</v>
      </c>
      <c r="AI160" s="76">
        <v>11</v>
      </c>
      <c r="AJ160" s="76">
        <v>25.1</v>
      </c>
      <c r="AK160" s="74">
        <f t="shared" si="16"/>
        <v>100</v>
      </c>
      <c r="AL160" s="74"/>
      <c r="AM160" s="74"/>
      <c r="AN160" s="83">
        <v>37.35</v>
      </c>
      <c r="AO160" s="83">
        <v>25.990000000000002</v>
      </c>
      <c r="AP160" s="83">
        <v>13.04</v>
      </c>
      <c r="AQ160" s="83">
        <v>23.62</v>
      </c>
      <c r="AR160" s="84">
        <f t="shared" si="17"/>
        <v>100</v>
      </c>
      <c r="AS160" s="74"/>
      <c r="AT160" s="74"/>
      <c r="AU160" s="83">
        <v>39.83</v>
      </c>
      <c r="AV160" s="83">
        <v>23.87</v>
      </c>
      <c r="AW160" s="83">
        <v>8.99</v>
      </c>
      <c r="AX160" s="83">
        <v>27.32</v>
      </c>
      <c r="AY160" s="84">
        <f t="shared" si="18"/>
        <v>100.00999999999999</v>
      </c>
      <c r="AZ160" s="63"/>
      <c r="BC160" s="57" t="s">
        <v>74</v>
      </c>
      <c r="BD160" s="58"/>
      <c r="BE160" s="58" t="s">
        <v>170</v>
      </c>
      <c r="BF160" s="59">
        <v>14.62</v>
      </c>
      <c r="BG160" s="59">
        <v>0.65</v>
      </c>
      <c r="BI160" s="57" t="s">
        <v>98</v>
      </c>
      <c r="BJ160" s="58"/>
      <c r="BK160" s="58" t="s">
        <v>106</v>
      </c>
      <c r="BL160" s="59">
        <v>19.239999999999998</v>
      </c>
      <c r="BM160" s="59">
        <v>8.4600000000000009</v>
      </c>
      <c r="BO160" s="57"/>
      <c r="BP160" s="58"/>
      <c r="BQ160" s="58"/>
      <c r="BR160" s="59"/>
      <c r="BS160" s="59"/>
      <c r="BU160" s="57" t="s">
        <v>124</v>
      </c>
      <c r="BV160" s="58" t="s">
        <v>125</v>
      </c>
      <c r="BW160" s="58" t="s">
        <v>126</v>
      </c>
      <c r="BX160" s="59">
        <v>2.36</v>
      </c>
      <c r="BY160" s="59">
        <v>-0.6</v>
      </c>
    </row>
    <row r="161" spans="1:77" ht="20.100000000000001" customHeight="1">
      <c r="A161" s="31">
        <v>5</v>
      </c>
      <c r="B161" s="32" t="s">
        <v>23</v>
      </c>
      <c r="C161" s="32" t="s">
        <v>23</v>
      </c>
      <c r="D161" s="33" t="s">
        <v>24</v>
      </c>
      <c r="E161" s="42">
        <v>45394</v>
      </c>
      <c r="F161" s="34">
        <v>0.625</v>
      </c>
      <c r="G161" s="33" t="s">
        <v>19</v>
      </c>
      <c r="H161" s="35">
        <v>23.3</v>
      </c>
      <c r="I161" s="35">
        <v>8.59</v>
      </c>
      <c r="J161" s="35">
        <v>9.51</v>
      </c>
      <c r="K161" s="35">
        <v>167.4</v>
      </c>
      <c r="L161" s="41">
        <v>1.5269999999999999</v>
      </c>
      <c r="M161" s="41"/>
      <c r="N161" s="41">
        <v>2.8000000000000001E-2</v>
      </c>
      <c r="O161" s="41">
        <v>1.3577461209228088</v>
      </c>
      <c r="P161" s="41" t="s">
        <v>112</v>
      </c>
      <c r="Q161" s="41">
        <v>2.5</v>
      </c>
      <c r="R161" s="41">
        <v>2.5000000000000001E-2</v>
      </c>
      <c r="S161" s="41">
        <v>8.9999999999999993E-3</v>
      </c>
      <c r="T161" s="41">
        <v>13.465682479565089</v>
      </c>
      <c r="U161" s="41">
        <v>5.58</v>
      </c>
      <c r="V161" s="41">
        <v>6.49</v>
      </c>
      <c r="W161" s="41">
        <v>8.1999999999999993</v>
      </c>
      <c r="X161" s="41">
        <v>15.388054287513553</v>
      </c>
      <c r="Y161" s="36"/>
      <c r="Z161" s="81"/>
      <c r="AA161" s="81"/>
      <c r="AB161" s="81"/>
      <c r="AC161" s="81"/>
      <c r="AD161" s="74"/>
      <c r="AE161" s="74"/>
      <c r="AF161" s="74"/>
      <c r="AG161" s="76">
        <v>26.6</v>
      </c>
      <c r="AH161" s="76">
        <v>10.199999999999999</v>
      </c>
      <c r="AI161" s="76">
        <v>35</v>
      </c>
      <c r="AJ161" s="76">
        <v>28.199999999999996</v>
      </c>
      <c r="AK161" s="74">
        <f t="shared" si="16"/>
        <v>100</v>
      </c>
      <c r="AL161" s="74"/>
      <c r="AM161" s="74"/>
      <c r="AN161" s="83">
        <v>14.48</v>
      </c>
      <c r="AO161" s="83">
        <v>12.120000000000001</v>
      </c>
      <c r="AP161" s="83">
        <v>43.45</v>
      </c>
      <c r="AQ161" s="83">
        <v>29.95</v>
      </c>
      <c r="AR161" s="84">
        <f t="shared" si="17"/>
        <v>100.00000000000001</v>
      </c>
      <c r="AS161" s="74"/>
      <c r="AT161" s="74"/>
      <c r="AU161" s="83">
        <v>17.71</v>
      </c>
      <c r="AV161" s="83">
        <v>11.899999999999999</v>
      </c>
      <c r="AW161" s="83">
        <v>40.760000000000005</v>
      </c>
      <c r="AX161" s="83">
        <v>29.630000000000003</v>
      </c>
      <c r="AY161" s="84">
        <f t="shared" si="18"/>
        <v>100</v>
      </c>
      <c r="AZ161" s="63"/>
      <c r="BC161" s="57" t="s">
        <v>115</v>
      </c>
      <c r="BD161" s="58" t="s">
        <v>113</v>
      </c>
      <c r="BE161" s="58" t="s">
        <v>116</v>
      </c>
      <c r="BF161" s="59">
        <v>14.07</v>
      </c>
      <c r="BG161" s="59">
        <v>3.84</v>
      </c>
      <c r="BI161" s="57" t="s">
        <v>100</v>
      </c>
      <c r="BJ161" s="58"/>
      <c r="BK161" s="58" t="s">
        <v>109</v>
      </c>
      <c r="BL161" s="59">
        <v>20.925000000000001</v>
      </c>
      <c r="BM161" s="59">
        <v>5.27</v>
      </c>
      <c r="BO161" s="57"/>
      <c r="BP161" s="58"/>
      <c r="BQ161" s="58"/>
      <c r="BR161" s="59"/>
      <c r="BS161" s="59"/>
      <c r="BU161" s="57" t="s">
        <v>127</v>
      </c>
      <c r="BV161" s="58" t="s">
        <v>125</v>
      </c>
      <c r="BW161" s="58" t="s">
        <v>128</v>
      </c>
      <c r="BX161" s="59">
        <v>1.86</v>
      </c>
      <c r="BY161" s="59">
        <v>-1.83</v>
      </c>
    </row>
    <row r="162" spans="1:77" ht="20.100000000000001" customHeight="1">
      <c r="A162" s="31">
        <v>6</v>
      </c>
      <c r="B162" s="32" t="s">
        <v>23</v>
      </c>
      <c r="C162" s="32" t="s">
        <v>23</v>
      </c>
      <c r="D162" s="33" t="s">
        <v>25</v>
      </c>
      <c r="E162" s="42">
        <v>45394</v>
      </c>
      <c r="F162" s="34">
        <v>0.63888888888888895</v>
      </c>
      <c r="G162" s="33" t="s">
        <v>19</v>
      </c>
      <c r="H162" s="35">
        <v>20.5</v>
      </c>
      <c r="I162" s="35">
        <v>7.61</v>
      </c>
      <c r="J162" s="35">
        <v>10.02</v>
      </c>
      <c r="K162" s="35">
        <v>279</v>
      </c>
      <c r="L162" s="41">
        <v>2.8879999999999999</v>
      </c>
      <c r="M162" s="41"/>
      <c r="N162" s="41">
        <v>0.128</v>
      </c>
      <c r="O162" s="41">
        <v>2.3599395974240749</v>
      </c>
      <c r="P162" s="41">
        <v>4.16973481937844E-2</v>
      </c>
      <c r="Q162" s="41">
        <v>3.8</v>
      </c>
      <c r="R162" s="41">
        <v>0.13700000000000001</v>
      </c>
      <c r="S162" s="41">
        <v>0.13200000000000001</v>
      </c>
      <c r="T162" s="41">
        <v>24.609506883467702</v>
      </c>
      <c r="U162" s="41">
        <v>6.75</v>
      </c>
      <c r="V162" s="41">
        <v>7.6</v>
      </c>
      <c r="W162" s="41">
        <v>14.7</v>
      </c>
      <c r="X162" s="41">
        <v>11.914577909851953</v>
      </c>
      <c r="Y162" s="36"/>
      <c r="Z162" s="81"/>
      <c r="AA162" s="81"/>
      <c r="AB162" s="81"/>
      <c r="AC162" s="81"/>
      <c r="AD162" s="74"/>
      <c r="AE162" s="74"/>
      <c r="AF162" s="74"/>
      <c r="AG162" s="76">
        <v>30.2</v>
      </c>
      <c r="AH162" s="76">
        <v>12.6</v>
      </c>
      <c r="AI162" s="76">
        <v>36.1</v>
      </c>
      <c r="AJ162" s="76">
        <v>21.2</v>
      </c>
      <c r="AK162" s="74">
        <f t="shared" si="16"/>
        <v>100.10000000000001</v>
      </c>
      <c r="AL162" s="74"/>
      <c r="AM162" s="74"/>
      <c r="AN162" s="83">
        <v>17.09</v>
      </c>
      <c r="AO162" s="83">
        <v>17.349999999999998</v>
      </c>
      <c r="AP162" s="83">
        <v>43.56</v>
      </c>
      <c r="AQ162" s="83">
        <v>22.009999999999998</v>
      </c>
      <c r="AR162" s="84">
        <f t="shared" si="17"/>
        <v>100.00999999999999</v>
      </c>
      <c r="AS162" s="74"/>
      <c r="AT162" s="74"/>
      <c r="AU162" s="83">
        <v>21.97</v>
      </c>
      <c r="AV162" s="83">
        <v>16.400000000000002</v>
      </c>
      <c r="AW162" s="83">
        <v>41.25</v>
      </c>
      <c r="AX162" s="83">
        <v>20.380000000000003</v>
      </c>
      <c r="AY162" s="84">
        <f t="shared" si="18"/>
        <v>100</v>
      </c>
      <c r="AZ162" s="63"/>
      <c r="BC162" s="57" t="s">
        <v>141</v>
      </c>
      <c r="BD162" s="58" t="s">
        <v>72</v>
      </c>
      <c r="BE162" s="58" t="s">
        <v>142</v>
      </c>
      <c r="BF162" s="59">
        <v>13.38</v>
      </c>
      <c r="BG162" s="59">
        <v>4.66</v>
      </c>
      <c r="BI162" s="57" t="s">
        <v>148</v>
      </c>
      <c r="BJ162" s="58"/>
      <c r="BK162" s="58" t="s">
        <v>149</v>
      </c>
      <c r="BL162" s="59">
        <v>24.47</v>
      </c>
      <c r="BM162" s="59">
        <v>-0.67</v>
      </c>
      <c r="BO162" s="57"/>
      <c r="BP162" s="58"/>
      <c r="BQ162" s="58"/>
      <c r="BR162" s="59"/>
      <c r="BS162" s="59"/>
      <c r="BU162" s="57"/>
      <c r="BV162" s="58"/>
      <c r="BW162" s="58"/>
      <c r="BX162" s="59"/>
      <c r="BY162" s="59"/>
    </row>
    <row r="163" spans="1:77" ht="20.100000000000001" customHeight="1">
      <c r="A163" s="31">
        <v>7</v>
      </c>
      <c r="B163" s="32" t="s">
        <v>23</v>
      </c>
      <c r="C163" s="32" t="s">
        <v>23</v>
      </c>
      <c r="D163" s="33" t="s">
        <v>26</v>
      </c>
      <c r="E163" s="42">
        <v>45393</v>
      </c>
      <c r="F163" s="34">
        <v>0.63888888888888895</v>
      </c>
      <c r="G163" s="33" t="s">
        <v>19</v>
      </c>
      <c r="H163" s="43">
        <v>17.5</v>
      </c>
      <c r="I163" s="43">
        <v>7.38</v>
      </c>
      <c r="J163" s="43">
        <v>9.8800000000000008</v>
      </c>
      <c r="K163" s="44">
        <v>267</v>
      </c>
      <c r="L163" s="41">
        <v>3.016</v>
      </c>
      <c r="M163" s="41"/>
      <c r="N163" s="41">
        <v>0.191</v>
      </c>
      <c r="O163" s="41">
        <v>2.4391271227247548</v>
      </c>
      <c r="P163" s="41">
        <v>7.7295428737773897E-2</v>
      </c>
      <c r="Q163" s="41">
        <v>4.3</v>
      </c>
      <c r="R163" s="41">
        <v>0.251</v>
      </c>
      <c r="S163" s="41">
        <v>0.249</v>
      </c>
      <c r="T163" s="41">
        <v>21.663703887468678</v>
      </c>
      <c r="U163" s="41">
        <v>8.2100000000000009</v>
      </c>
      <c r="V163" s="41">
        <v>5.56</v>
      </c>
      <c r="W163" s="41">
        <v>19.2</v>
      </c>
      <c r="X163" s="41">
        <v>10.009981831868686</v>
      </c>
      <c r="Y163" s="36"/>
      <c r="Z163" s="81"/>
      <c r="AA163" s="81"/>
      <c r="AB163" s="81"/>
      <c r="AC163" s="81"/>
      <c r="AD163" s="74"/>
      <c r="AE163" s="74"/>
      <c r="AF163" s="74"/>
      <c r="AG163" s="76">
        <v>37.700000000000003</v>
      </c>
      <c r="AH163" s="76">
        <v>14.799999999999999</v>
      </c>
      <c r="AI163" s="76">
        <v>22.8</v>
      </c>
      <c r="AJ163" s="76">
        <v>24.7</v>
      </c>
      <c r="AK163" s="74">
        <f t="shared" si="16"/>
        <v>100</v>
      </c>
      <c r="AL163" s="74"/>
      <c r="AM163" s="74"/>
      <c r="AN163" s="83">
        <v>26.22</v>
      </c>
      <c r="AO163" s="83">
        <v>20.059999999999999</v>
      </c>
      <c r="AP163" s="83">
        <v>27.91</v>
      </c>
      <c r="AQ163" s="83">
        <v>25.81</v>
      </c>
      <c r="AR163" s="84">
        <f t="shared" si="17"/>
        <v>100</v>
      </c>
      <c r="AS163" s="74"/>
      <c r="AT163" s="74"/>
      <c r="AU163" s="83">
        <v>26.76</v>
      </c>
      <c r="AV163" s="83">
        <v>20.28</v>
      </c>
      <c r="AW163" s="83">
        <v>28.470000000000002</v>
      </c>
      <c r="AX163" s="83">
        <v>24.48</v>
      </c>
      <c r="AY163" s="84">
        <f t="shared" si="18"/>
        <v>99.990000000000009</v>
      </c>
      <c r="AZ163" s="63"/>
      <c r="BC163" s="57" t="s">
        <v>115</v>
      </c>
      <c r="BD163" s="58" t="s">
        <v>113</v>
      </c>
      <c r="BE163" s="58" t="s">
        <v>116</v>
      </c>
      <c r="BF163" s="59">
        <v>12.44</v>
      </c>
      <c r="BG163" s="59">
        <v>3.65</v>
      </c>
      <c r="BI163" s="57" t="s">
        <v>137</v>
      </c>
      <c r="BJ163" s="58"/>
      <c r="BK163" s="58" t="s">
        <v>110</v>
      </c>
      <c r="BL163" s="59">
        <v>24.39</v>
      </c>
      <c r="BM163" s="59">
        <v>1.3149999999999999</v>
      </c>
      <c r="BO163" s="57"/>
      <c r="BP163" s="58"/>
      <c r="BQ163" s="58" t="s">
        <v>161</v>
      </c>
      <c r="BR163" s="59">
        <f>AVERAGE(BR157:BR158)</f>
        <v>0.86499999999999999</v>
      </c>
      <c r="BS163" s="59">
        <f>AVERAGE(BS157:BS158)</f>
        <v>14.385000000000002</v>
      </c>
      <c r="BU163" s="57"/>
      <c r="BV163" s="58"/>
      <c r="BW163" s="58"/>
      <c r="BX163" s="59"/>
      <c r="BY163" s="59"/>
    </row>
    <row r="164" spans="1:77" ht="20.100000000000001" customHeight="1">
      <c r="A164" s="31">
        <v>8</v>
      </c>
      <c r="B164" s="32" t="s">
        <v>23</v>
      </c>
      <c r="C164" s="32" t="s">
        <v>27</v>
      </c>
      <c r="D164" s="33" t="s">
        <v>28</v>
      </c>
      <c r="E164" s="42">
        <v>45393</v>
      </c>
      <c r="F164" s="34">
        <v>0.65277777777777779</v>
      </c>
      <c r="G164" s="33" t="s">
        <v>19</v>
      </c>
      <c r="H164" s="43">
        <v>15.2</v>
      </c>
      <c r="I164" s="43">
        <v>7.18</v>
      </c>
      <c r="J164" s="43">
        <v>8.57</v>
      </c>
      <c r="K164" s="44">
        <v>447</v>
      </c>
      <c r="L164" s="41">
        <v>10.587</v>
      </c>
      <c r="M164" s="41"/>
      <c r="N164" s="41">
        <v>7.5830000000000002</v>
      </c>
      <c r="O164" s="41">
        <v>0.97586059085562704</v>
      </c>
      <c r="P164" s="41">
        <v>8.6902733014795064E-2</v>
      </c>
      <c r="Q164" s="41">
        <v>13.8</v>
      </c>
      <c r="R164" s="41">
        <v>4.4939999999999998</v>
      </c>
      <c r="S164" s="41">
        <v>4.4489999999999998</v>
      </c>
      <c r="T164" s="41">
        <v>28.874406034046217</v>
      </c>
      <c r="U164" s="82">
        <v>1.58</v>
      </c>
      <c r="V164" s="82">
        <v>-0.43</v>
      </c>
      <c r="W164" s="41">
        <v>29.5</v>
      </c>
      <c r="X164" s="41">
        <v>10.352175185906143</v>
      </c>
      <c r="Y164" s="36"/>
      <c r="Z164" s="81"/>
      <c r="AA164" s="81"/>
      <c r="AB164" s="81"/>
      <c r="AC164" s="81"/>
      <c r="AD164" s="74"/>
      <c r="AE164" s="74"/>
      <c r="AF164" s="74"/>
      <c r="AG164" s="76">
        <v>12.1</v>
      </c>
      <c r="AH164" s="76">
        <v>4.5999999999999996</v>
      </c>
      <c r="AI164" s="76">
        <v>11.200000000000001</v>
      </c>
      <c r="AJ164" s="76">
        <v>72.099999999999994</v>
      </c>
      <c r="AK164" s="74">
        <f t="shared" si="16"/>
        <v>100</v>
      </c>
      <c r="AL164" s="74"/>
      <c r="AM164" s="74"/>
      <c r="AN164" s="83">
        <v>7.17</v>
      </c>
      <c r="AO164" s="83">
        <v>3.16</v>
      </c>
      <c r="AP164" s="83">
        <v>11.67</v>
      </c>
      <c r="AQ164" s="83">
        <v>78</v>
      </c>
      <c r="AR164" s="84">
        <f t="shared" si="17"/>
        <v>100</v>
      </c>
      <c r="AS164" s="74"/>
      <c r="AT164" s="74"/>
      <c r="AU164" s="83">
        <v>3.5900000000000003</v>
      </c>
      <c r="AV164" s="83">
        <v>1.7500000000000002</v>
      </c>
      <c r="AW164" s="83">
        <v>7.46</v>
      </c>
      <c r="AX164" s="83">
        <v>87.2</v>
      </c>
      <c r="AY164" s="84">
        <f t="shared" si="18"/>
        <v>100</v>
      </c>
      <c r="AZ164" s="63"/>
      <c r="BC164" s="57" t="s">
        <v>115</v>
      </c>
      <c r="BD164" s="58" t="s">
        <v>113</v>
      </c>
      <c r="BE164" s="58" t="s">
        <v>116</v>
      </c>
      <c r="BF164" s="59">
        <v>12.27</v>
      </c>
      <c r="BG164" s="59">
        <v>4.01</v>
      </c>
      <c r="BI164" s="57" t="s">
        <v>89</v>
      </c>
      <c r="BJ164" s="58"/>
      <c r="BK164" s="58" t="s">
        <v>88</v>
      </c>
      <c r="BL164" s="59">
        <v>18.195</v>
      </c>
      <c r="BM164" s="59">
        <v>4.7449999999999992</v>
      </c>
      <c r="BO164" s="57"/>
      <c r="BP164" s="58"/>
      <c r="BQ164" s="58" t="s">
        <v>162</v>
      </c>
      <c r="BR164" s="59">
        <f>_xlfn.STDEV.S(BR157:BR158)</f>
        <v>0.3323401871576776</v>
      </c>
      <c r="BS164" s="59">
        <f>_xlfn.STDEV.S(BS157:BS158)</f>
        <v>5.1830927060973853</v>
      </c>
      <c r="BU164" s="57"/>
      <c r="BV164" s="58"/>
      <c r="BW164" s="58"/>
      <c r="BX164" s="59"/>
      <c r="BY164" s="59"/>
    </row>
    <row r="165" spans="1:77" ht="20.100000000000001" customHeight="1">
      <c r="A165" s="31">
        <v>9</v>
      </c>
      <c r="B165" s="32" t="s">
        <v>23</v>
      </c>
      <c r="C165" s="32" t="s">
        <v>27</v>
      </c>
      <c r="D165" s="33" t="s">
        <v>30</v>
      </c>
      <c r="E165" s="42">
        <v>45393</v>
      </c>
      <c r="F165" s="34">
        <v>0.64236111111111105</v>
      </c>
      <c r="G165" s="33" t="s">
        <v>19</v>
      </c>
      <c r="H165" s="43">
        <v>17.600000000000001</v>
      </c>
      <c r="I165" s="43">
        <v>8.07</v>
      </c>
      <c r="J165" s="43">
        <v>12.5</v>
      </c>
      <c r="K165" s="44">
        <v>306</v>
      </c>
      <c r="L165" s="41">
        <v>5.1479999999999997</v>
      </c>
      <c r="M165" s="41"/>
      <c r="N165" s="41">
        <v>0.44400000000000001</v>
      </c>
      <c r="O165" s="41">
        <v>3.8062637015242489</v>
      </c>
      <c r="P165" s="41">
        <v>0.37424985100928226</v>
      </c>
      <c r="Q165" s="41">
        <v>8.3000000000000007</v>
      </c>
      <c r="R165" s="41">
        <v>1.298</v>
      </c>
      <c r="S165" s="41">
        <v>1.2909999999999999</v>
      </c>
      <c r="T165" s="41">
        <v>22.829088136986975</v>
      </c>
      <c r="U165" s="41">
        <v>12.48</v>
      </c>
      <c r="V165" s="41">
        <v>2.62</v>
      </c>
      <c r="W165" s="41" t="s">
        <v>68</v>
      </c>
      <c r="X165" s="41">
        <v>12.076708490286192</v>
      </c>
      <c r="Y165" s="36"/>
      <c r="Z165" s="81"/>
      <c r="AA165" s="81"/>
      <c r="AB165" s="81"/>
      <c r="AC165" s="81"/>
      <c r="AD165" s="74"/>
      <c r="AE165" s="74"/>
      <c r="AF165" s="74"/>
      <c r="AG165" s="76">
        <v>52.300000000000004</v>
      </c>
      <c r="AH165" s="76">
        <v>19.3</v>
      </c>
      <c r="AI165" s="76">
        <v>9.7000000000000011</v>
      </c>
      <c r="AJ165" s="76">
        <v>18.7</v>
      </c>
      <c r="AK165" s="74">
        <f t="shared" si="16"/>
        <v>100.00000000000001</v>
      </c>
      <c r="AL165" s="74"/>
      <c r="AM165" s="74"/>
      <c r="AN165" s="83">
        <v>38.04</v>
      </c>
      <c r="AO165" s="83">
        <v>34.699999999999996</v>
      </c>
      <c r="AP165" s="83">
        <v>9.7900000000000009</v>
      </c>
      <c r="AQ165" s="83">
        <v>17.46</v>
      </c>
      <c r="AR165" s="84">
        <f t="shared" si="17"/>
        <v>99.990000000000009</v>
      </c>
      <c r="AS165" s="74"/>
      <c r="AT165" s="74"/>
      <c r="AU165" s="83">
        <v>36.71</v>
      </c>
      <c r="AV165" s="83">
        <v>35.020000000000003</v>
      </c>
      <c r="AW165" s="83">
        <v>8.4699999999999989</v>
      </c>
      <c r="AX165" s="83">
        <v>19.809999999999999</v>
      </c>
      <c r="AY165" s="84">
        <f t="shared" si="18"/>
        <v>100.01</v>
      </c>
      <c r="AZ165" s="63"/>
      <c r="BC165" s="57" t="s">
        <v>147</v>
      </c>
      <c r="BD165" s="58" t="s">
        <v>72</v>
      </c>
      <c r="BE165" s="58" t="s">
        <v>144</v>
      </c>
      <c r="BF165" s="59">
        <v>12.15</v>
      </c>
      <c r="BG165" s="59">
        <v>-0.53</v>
      </c>
      <c r="BI165" s="57"/>
      <c r="BJ165" s="58"/>
      <c r="BK165" s="58"/>
      <c r="BL165" s="59"/>
      <c r="BM165" s="59"/>
      <c r="BU165" s="57"/>
      <c r="BV165" s="58"/>
      <c r="BW165" s="58"/>
      <c r="BX165" s="59"/>
      <c r="BY165" s="59"/>
    </row>
    <row r="166" spans="1:77" ht="20.100000000000001" customHeight="1">
      <c r="A166" s="22">
        <v>10</v>
      </c>
      <c r="B166" s="14" t="s">
        <v>31</v>
      </c>
      <c r="C166" s="14" t="s">
        <v>31</v>
      </c>
      <c r="D166" s="15" t="s">
        <v>32</v>
      </c>
      <c r="E166" s="16">
        <v>45394</v>
      </c>
      <c r="F166" s="17">
        <v>0.55902777777777779</v>
      </c>
      <c r="G166" s="15" t="s">
        <v>19</v>
      </c>
      <c r="H166" s="23">
        <v>20.100000000000001</v>
      </c>
      <c r="I166" s="23">
        <v>9.43</v>
      </c>
      <c r="J166" s="23">
        <v>13.8</v>
      </c>
      <c r="K166" s="45">
        <v>159.5</v>
      </c>
      <c r="L166" s="39">
        <v>1.5369999999999999</v>
      </c>
      <c r="M166" s="39"/>
      <c r="N166" s="39">
        <v>0.06</v>
      </c>
      <c r="O166" s="39">
        <v>1.3490559741266328</v>
      </c>
      <c r="P166" s="39" t="s">
        <v>112</v>
      </c>
      <c r="Q166" s="39">
        <v>2.4</v>
      </c>
      <c r="R166" s="39">
        <v>1.9E-2</v>
      </c>
      <c r="S166" s="39">
        <v>7.0000000000000001E-3</v>
      </c>
      <c r="T166" s="39">
        <v>10.187097958523417</v>
      </c>
      <c r="U166" s="39">
        <v>8.51</v>
      </c>
      <c r="V166" s="39">
        <v>8.32</v>
      </c>
      <c r="W166" s="39">
        <v>8.6999999999999993</v>
      </c>
      <c r="X166" s="39">
        <v>13.328055480267331</v>
      </c>
      <c r="Y166" s="18"/>
      <c r="Z166" s="81"/>
      <c r="AA166" s="81"/>
      <c r="AB166" s="81"/>
      <c r="AC166" s="81"/>
      <c r="AD166" s="74"/>
      <c r="AE166" s="74"/>
      <c r="AF166" s="74"/>
      <c r="AG166" s="76">
        <v>35</v>
      </c>
      <c r="AH166" s="76">
        <v>17.100000000000001</v>
      </c>
      <c r="AI166" s="76">
        <v>31.8</v>
      </c>
      <c r="AJ166" s="76">
        <v>16.2</v>
      </c>
      <c r="AK166" s="74">
        <f t="shared" si="16"/>
        <v>100.10000000000001</v>
      </c>
      <c r="AL166" s="74"/>
      <c r="AM166" s="74"/>
      <c r="AN166" s="83">
        <v>22.509999999999998</v>
      </c>
      <c r="AO166" s="83">
        <v>25.66</v>
      </c>
      <c r="AP166" s="83">
        <v>35</v>
      </c>
      <c r="AQ166" s="83">
        <v>16.830000000000002</v>
      </c>
      <c r="AR166" s="84">
        <f t="shared" si="17"/>
        <v>100</v>
      </c>
      <c r="AS166" s="74"/>
      <c r="AT166" s="74"/>
      <c r="AU166" s="83">
        <v>24.5</v>
      </c>
      <c r="AV166" s="83">
        <v>25.169999999999998</v>
      </c>
      <c r="AW166" s="83">
        <v>38.14</v>
      </c>
      <c r="AX166" s="83">
        <v>12.19</v>
      </c>
      <c r="AY166" s="84">
        <f t="shared" si="18"/>
        <v>100</v>
      </c>
      <c r="AZ166" s="63"/>
      <c r="BC166" s="57" t="s">
        <v>81</v>
      </c>
      <c r="BD166" s="58"/>
      <c r="BE166" s="58" t="s">
        <v>171</v>
      </c>
      <c r="BF166" s="59">
        <v>12.14</v>
      </c>
      <c r="BG166" s="59">
        <v>1.42</v>
      </c>
      <c r="BI166" s="57"/>
      <c r="BJ166" s="58"/>
      <c r="BK166" s="58"/>
      <c r="BL166" s="59"/>
      <c r="BM166" s="59"/>
      <c r="BU166" s="57"/>
      <c r="BV166" s="58"/>
      <c r="BW166" s="58"/>
      <c r="BX166" s="59"/>
      <c r="BY166" s="59"/>
    </row>
    <row r="167" spans="1:77" ht="20.100000000000001" customHeight="1">
      <c r="A167" s="22">
        <v>11</v>
      </c>
      <c r="B167" s="14" t="s">
        <v>31</v>
      </c>
      <c r="C167" s="14" t="s">
        <v>31</v>
      </c>
      <c r="D167" s="15" t="s">
        <v>33</v>
      </c>
      <c r="E167" s="16">
        <v>45394</v>
      </c>
      <c r="F167" s="17">
        <v>0.60416666666666663</v>
      </c>
      <c r="G167" s="15" t="s">
        <v>19</v>
      </c>
      <c r="H167" s="23">
        <v>18.8</v>
      </c>
      <c r="I167" s="23">
        <v>7.93</v>
      </c>
      <c r="J167" s="23">
        <v>10.17</v>
      </c>
      <c r="K167" s="45">
        <v>192.7</v>
      </c>
      <c r="L167" s="39">
        <v>2.169</v>
      </c>
      <c r="M167" s="39"/>
      <c r="N167" s="39">
        <v>2.1999999999999999E-2</v>
      </c>
      <c r="O167" s="39">
        <v>2.0674211944327476</v>
      </c>
      <c r="P167" s="39" t="s">
        <v>112</v>
      </c>
      <c r="Q167" s="39">
        <v>2</v>
      </c>
      <c r="R167" s="39">
        <v>4.7E-2</v>
      </c>
      <c r="S167" s="39">
        <v>4.2999999999999997E-2</v>
      </c>
      <c r="T167" s="39">
        <v>12.831242270508705</v>
      </c>
      <c r="U167" s="39">
        <v>8.24</v>
      </c>
      <c r="V167" s="39">
        <v>6.51</v>
      </c>
      <c r="W167" s="39">
        <v>11.6</v>
      </c>
      <c r="X167" s="39">
        <v>13.545452837707971</v>
      </c>
      <c r="Y167" s="18"/>
      <c r="Z167" s="81"/>
      <c r="AA167" s="81"/>
      <c r="AB167" s="81"/>
      <c r="AC167" s="81"/>
      <c r="AD167" s="74"/>
      <c r="AE167" s="74"/>
      <c r="AF167" s="74"/>
      <c r="AG167" s="76">
        <v>36.5</v>
      </c>
      <c r="AH167" s="76">
        <v>15.2</v>
      </c>
      <c r="AI167" s="76">
        <v>26.700000000000003</v>
      </c>
      <c r="AJ167" s="76">
        <v>21.6</v>
      </c>
      <c r="AK167" s="74">
        <f t="shared" si="16"/>
        <v>100</v>
      </c>
      <c r="AL167" s="74"/>
      <c r="AM167" s="74"/>
      <c r="AN167" s="83">
        <v>26.919999999999998</v>
      </c>
      <c r="AO167" s="83">
        <v>20.36</v>
      </c>
      <c r="AP167" s="83">
        <v>31.35</v>
      </c>
      <c r="AQ167" s="83">
        <v>21.38</v>
      </c>
      <c r="AR167" s="84">
        <f t="shared" si="17"/>
        <v>100.00999999999999</v>
      </c>
      <c r="AS167" s="74"/>
      <c r="AT167" s="74"/>
      <c r="AU167" s="83">
        <v>26.540000000000003</v>
      </c>
      <c r="AV167" s="83">
        <v>21.26</v>
      </c>
      <c r="AW167" s="83">
        <v>32.42</v>
      </c>
      <c r="AX167" s="83">
        <v>19.78</v>
      </c>
      <c r="AY167" s="84">
        <f t="shared" si="18"/>
        <v>100</v>
      </c>
      <c r="AZ167" s="63"/>
      <c r="BC167" s="57" t="s">
        <v>81</v>
      </c>
      <c r="BD167" s="58" t="s">
        <v>71</v>
      </c>
      <c r="BE167" s="58" t="s">
        <v>82</v>
      </c>
      <c r="BF167" s="59">
        <v>10.89</v>
      </c>
      <c r="BG167" s="59">
        <v>1.05</v>
      </c>
      <c r="BI167" s="57"/>
      <c r="BJ167" s="58"/>
      <c r="BK167" s="58"/>
      <c r="BL167" s="59"/>
      <c r="BM167" s="59"/>
      <c r="BU167" s="57"/>
      <c r="BV167" s="58"/>
      <c r="BW167" s="58"/>
      <c r="BX167" s="59"/>
      <c r="BY167" s="59"/>
    </row>
    <row r="168" spans="1:77" ht="20.100000000000001" customHeight="1">
      <c r="A168" s="22">
        <v>12</v>
      </c>
      <c r="B168" s="14" t="s">
        <v>31</v>
      </c>
      <c r="C168" s="14" t="s">
        <v>31</v>
      </c>
      <c r="D168" s="15" t="s">
        <v>34</v>
      </c>
      <c r="E168" s="16">
        <v>45394</v>
      </c>
      <c r="F168" s="17">
        <v>0.61111111111111105</v>
      </c>
      <c r="G168" s="15" t="s">
        <v>19</v>
      </c>
      <c r="H168" s="23">
        <v>20.6</v>
      </c>
      <c r="I168" s="23">
        <v>8.49</v>
      </c>
      <c r="J168" s="23">
        <v>11.2</v>
      </c>
      <c r="K168" s="45">
        <v>200.4</v>
      </c>
      <c r="L168" s="39">
        <v>2.4790000000000001</v>
      </c>
      <c r="M168" s="39"/>
      <c r="N168" s="39">
        <v>3.5000000000000003E-2</v>
      </c>
      <c r="O168" s="39">
        <v>2.3482003300928995</v>
      </c>
      <c r="P168" s="39" t="s">
        <v>112</v>
      </c>
      <c r="Q168" s="39">
        <v>2.1</v>
      </c>
      <c r="R168" s="39">
        <v>5.0999999999999997E-2</v>
      </c>
      <c r="S168" s="39">
        <v>4.8000000000000001E-2</v>
      </c>
      <c r="T168" s="39">
        <v>14.247692060289525</v>
      </c>
      <c r="U168" s="39">
        <v>8.6199999999999992</v>
      </c>
      <c r="V168" s="39">
        <v>5.83</v>
      </c>
      <c r="W168" s="39">
        <v>11.2</v>
      </c>
      <c r="X168" s="39">
        <v>14.539856019900043</v>
      </c>
      <c r="Y168" s="18"/>
      <c r="Z168" s="81"/>
      <c r="AA168" s="81"/>
      <c r="AB168" s="81"/>
      <c r="AC168" s="81"/>
      <c r="AD168" s="74"/>
      <c r="AE168" s="74"/>
      <c r="AF168" s="74"/>
      <c r="AG168" s="76">
        <v>38.299999999999997</v>
      </c>
      <c r="AH168" s="76">
        <v>15.8</v>
      </c>
      <c r="AI168" s="76">
        <v>22.900000000000002</v>
      </c>
      <c r="AJ168" s="76">
        <v>23</v>
      </c>
      <c r="AK168" s="74">
        <f t="shared" si="16"/>
        <v>100</v>
      </c>
      <c r="AL168" s="74"/>
      <c r="AM168" s="74"/>
      <c r="AN168" s="83">
        <v>25.86</v>
      </c>
      <c r="AO168" s="83">
        <v>23.41</v>
      </c>
      <c r="AP168" s="83">
        <v>27.950000000000003</v>
      </c>
      <c r="AQ168" s="83">
        <v>22.78</v>
      </c>
      <c r="AR168" s="84">
        <f t="shared" si="17"/>
        <v>100</v>
      </c>
      <c r="AS168" s="74"/>
      <c r="AT168" s="74"/>
      <c r="AU168" s="83">
        <v>27.560000000000002</v>
      </c>
      <c r="AV168" s="83">
        <v>21.92</v>
      </c>
      <c r="AW168" s="83">
        <v>28.470000000000002</v>
      </c>
      <c r="AX168" s="83">
        <v>22.05</v>
      </c>
      <c r="AY168" s="84">
        <f t="shared" si="18"/>
        <v>100</v>
      </c>
      <c r="AZ168" s="63"/>
      <c r="BC168" s="57" t="s">
        <v>172</v>
      </c>
      <c r="BD168" s="58"/>
      <c r="BE168" s="58" t="s">
        <v>173</v>
      </c>
      <c r="BF168" s="59">
        <v>10.72</v>
      </c>
      <c r="BG168" s="59">
        <v>3.81</v>
      </c>
      <c r="BI168" s="57"/>
      <c r="BJ168" s="58"/>
      <c r="BK168" s="58"/>
      <c r="BL168" s="59"/>
      <c r="BM168" s="59"/>
      <c r="BU168" s="57"/>
      <c r="BV168" s="58"/>
      <c r="BW168" s="58"/>
      <c r="BX168" s="59"/>
      <c r="BY168" s="59"/>
    </row>
    <row r="169" spans="1:77" ht="20.100000000000001" customHeight="1">
      <c r="A169" s="22">
        <v>13</v>
      </c>
      <c r="B169" s="14" t="s">
        <v>31</v>
      </c>
      <c r="C169" s="14" t="s">
        <v>35</v>
      </c>
      <c r="D169" s="15" t="s">
        <v>36</v>
      </c>
      <c r="E169" s="16">
        <v>45394</v>
      </c>
      <c r="F169" s="17">
        <v>0.59375</v>
      </c>
      <c r="G169" s="15" t="s">
        <v>37</v>
      </c>
      <c r="H169" s="23">
        <v>20</v>
      </c>
      <c r="I169" s="23">
        <v>7.91</v>
      </c>
      <c r="J169" s="23">
        <v>10.9</v>
      </c>
      <c r="K169" s="45">
        <v>264</v>
      </c>
      <c r="L169" s="39">
        <v>3.7250000000000001</v>
      </c>
      <c r="M169" s="39"/>
      <c r="N169" s="39">
        <v>0.246</v>
      </c>
      <c r="O169" s="39">
        <v>3.3700928149145133</v>
      </c>
      <c r="P169" s="39">
        <v>6.9030757429925982E-2</v>
      </c>
      <c r="Q169" s="39">
        <v>2.2000000000000002</v>
      </c>
      <c r="R169" s="39">
        <v>0.106</v>
      </c>
      <c r="S169" s="39">
        <v>0.105</v>
      </c>
      <c r="T169" s="39">
        <v>20.963677081464517</v>
      </c>
      <c r="U169" s="39">
        <v>9.1300000000000008</v>
      </c>
      <c r="V169" s="39">
        <v>4.09</v>
      </c>
      <c r="W169" s="39">
        <v>9.3000000000000007</v>
      </c>
      <c r="X169" s="39">
        <v>15.702781473289019</v>
      </c>
      <c r="Y169" s="18"/>
      <c r="Z169" s="81"/>
      <c r="AA169" s="81"/>
      <c r="AB169" s="81"/>
      <c r="AC169" s="81"/>
      <c r="AD169" s="74"/>
      <c r="AE169" s="74"/>
      <c r="AF169" s="74"/>
      <c r="AG169" s="76">
        <v>41.8</v>
      </c>
      <c r="AH169" s="76">
        <v>15.2</v>
      </c>
      <c r="AI169" s="76">
        <v>16.400000000000002</v>
      </c>
      <c r="AJ169" s="76">
        <v>26.700000000000003</v>
      </c>
      <c r="AK169" s="74">
        <f t="shared" si="16"/>
        <v>100.10000000000001</v>
      </c>
      <c r="AL169" s="74"/>
      <c r="AM169" s="74"/>
      <c r="AN169" s="83">
        <v>34.57</v>
      </c>
      <c r="AO169" s="83">
        <v>19.18</v>
      </c>
      <c r="AP169" s="83">
        <v>20.260000000000002</v>
      </c>
      <c r="AQ169" s="83">
        <v>25.990000000000002</v>
      </c>
      <c r="AR169" s="84">
        <f t="shared" si="17"/>
        <v>100</v>
      </c>
      <c r="AS169" s="74"/>
      <c r="AT169" s="74"/>
      <c r="AU169" s="83">
        <v>30.14</v>
      </c>
      <c r="AV169" s="83">
        <v>22.36</v>
      </c>
      <c r="AW169" s="83">
        <v>18.399999999999999</v>
      </c>
      <c r="AX169" s="83">
        <v>29.110000000000003</v>
      </c>
      <c r="AY169" s="84">
        <f t="shared" si="18"/>
        <v>100.01</v>
      </c>
      <c r="AZ169" s="63"/>
      <c r="BC169" s="57"/>
      <c r="BD169" s="58"/>
      <c r="BE169" s="58"/>
      <c r="BF169" s="59"/>
      <c r="BG169" s="59"/>
      <c r="BI169" s="57"/>
      <c r="BJ169" s="58"/>
      <c r="BK169" s="58"/>
      <c r="BL169" s="59"/>
      <c r="BM169" s="59"/>
      <c r="BU169" s="57"/>
      <c r="BV169" s="58"/>
      <c r="BW169" s="58" t="s">
        <v>161</v>
      </c>
      <c r="BX169" s="59">
        <f>AVERAGE(BX157:BX166)</f>
        <v>2.492</v>
      </c>
      <c r="BY169" s="59">
        <f>AVERAGE(BY157:BY161)</f>
        <v>-0.24799999999999994</v>
      </c>
    </row>
    <row r="170" spans="1:77" ht="20.100000000000001" customHeight="1">
      <c r="A170" s="22">
        <v>14</v>
      </c>
      <c r="B170" s="14" t="s">
        <v>31</v>
      </c>
      <c r="C170" s="14" t="s">
        <v>5</v>
      </c>
      <c r="D170" s="15" t="s">
        <v>29</v>
      </c>
      <c r="E170" s="16">
        <v>45394</v>
      </c>
      <c r="F170" s="17">
        <v>0.58680555555555558</v>
      </c>
      <c r="G170" s="15" t="s">
        <v>37</v>
      </c>
      <c r="H170" s="23">
        <v>21.3</v>
      </c>
      <c r="I170" s="23">
        <v>7.61</v>
      </c>
      <c r="J170" s="23">
        <v>10.199999999999999</v>
      </c>
      <c r="K170" s="45">
        <v>330</v>
      </c>
      <c r="L170" s="39">
        <v>3.2210000000000001</v>
      </c>
      <c r="M170" s="39"/>
      <c r="N170" s="39">
        <v>0.48799999999999999</v>
      </c>
      <c r="O170" s="39">
        <v>2.409154906701044</v>
      </c>
      <c r="P170" s="39">
        <v>0.20265185356162441</v>
      </c>
      <c r="Q170" s="39">
        <v>2.8</v>
      </c>
      <c r="R170" s="39">
        <v>7.3999999999999996E-2</v>
      </c>
      <c r="S170" s="39">
        <v>7.0000000000000007E-2</v>
      </c>
      <c r="T170" s="39">
        <v>37.782982991834189</v>
      </c>
      <c r="U170" s="39">
        <v>8.94</v>
      </c>
      <c r="V170" s="39">
        <v>4.2699999999999996</v>
      </c>
      <c r="W170" s="39">
        <v>16.5</v>
      </c>
      <c r="X170" s="39">
        <v>12.61424864341576</v>
      </c>
      <c r="Y170" s="18"/>
      <c r="Z170" s="81"/>
      <c r="AA170" s="81"/>
      <c r="AB170" s="81"/>
      <c r="AC170" s="81"/>
      <c r="AD170" s="74"/>
      <c r="AE170" s="74"/>
      <c r="AF170" s="74"/>
      <c r="AG170" s="76">
        <v>40.9</v>
      </c>
      <c r="AH170" s="76">
        <v>15</v>
      </c>
      <c r="AI170" s="76">
        <v>17.5</v>
      </c>
      <c r="AJ170" s="76">
        <v>26.6</v>
      </c>
      <c r="AK170" s="74">
        <f t="shared" si="16"/>
        <v>100</v>
      </c>
      <c r="AL170" s="74"/>
      <c r="AM170" s="74"/>
      <c r="AN170" s="83">
        <v>29.080000000000002</v>
      </c>
      <c r="AO170" s="83">
        <v>22.55</v>
      </c>
      <c r="AP170" s="83">
        <v>20.34</v>
      </c>
      <c r="AQ170" s="83">
        <v>28.03</v>
      </c>
      <c r="AR170" s="84">
        <f t="shared" si="17"/>
        <v>100</v>
      </c>
      <c r="AS170" s="74"/>
      <c r="AT170" s="74"/>
      <c r="AU170" s="83">
        <v>29.28</v>
      </c>
      <c r="AV170" s="83">
        <v>21.9</v>
      </c>
      <c r="AW170" s="83">
        <v>19.86</v>
      </c>
      <c r="AX170" s="83">
        <v>28.96</v>
      </c>
      <c r="AY170" s="84">
        <f t="shared" si="18"/>
        <v>100</v>
      </c>
      <c r="AZ170" s="63"/>
      <c r="BC170" s="57"/>
      <c r="BD170" s="58"/>
      <c r="BE170" s="58"/>
      <c r="BF170" s="59"/>
      <c r="BG170" s="59"/>
      <c r="BI170" s="57"/>
      <c r="BJ170" s="58"/>
      <c r="BK170" s="58" t="s">
        <v>161</v>
      </c>
      <c r="BL170" s="59">
        <f>AVERAGE(BL157:BL164)</f>
        <v>19.794999999999998</v>
      </c>
      <c r="BM170" s="59">
        <f>AVERAGE(BM157:BM164)</f>
        <v>5.2956249999999994</v>
      </c>
      <c r="BU170" s="57"/>
      <c r="BV170" s="58"/>
      <c r="BW170" s="58" t="s">
        <v>162</v>
      </c>
      <c r="BX170" s="59">
        <f>_xlfn.STDEV.S(BX157:BX166)</f>
        <v>1.278796309034399</v>
      </c>
      <c r="BY170" s="59">
        <f>_xlfn.STDEV.S(BY157:BY166)</f>
        <v>1.0289654999075528</v>
      </c>
    </row>
    <row r="171" spans="1:77" ht="20.100000000000001" customHeight="1">
      <c r="A171" s="22">
        <v>15</v>
      </c>
      <c r="B171" s="14" t="s">
        <v>31</v>
      </c>
      <c r="C171" s="14" t="s">
        <v>35</v>
      </c>
      <c r="D171" s="15" t="s">
        <v>29</v>
      </c>
      <c r="E171" s="16">
        <v>45394</v>
      </c>
      <c r="F171" s="17">
        <v>0.58333333333333337</v>
      </c>
      <c r="G171" s="15" t="s">
        <v>37</v>
      </c>
      <c r="H171" s="23">
        <v>19.2</v>
      </c>
      <c r="I171" s="23">
        <v>8.1999999999999993</v>
      </c>
      <c r="J171" s="23">
        <v>10.36</v>
      </c>
      <c r="K171" s="45">
        <v>265</v>
      </c>
      <c r="L171" s="39">
        <v>2.9990000000000001</v>
      </c>
      <c r="M171" s="39"/>
      <c r="N171" s="39">
        <v>8.3000000000000004E-2</v>
      </c>
      <c r="O171" s="39">
        <v>2.8600034333719488</v>
      </c>
      <c r="P171" s="39">
        <v>1.7071790625036165E-3</v>
      </c>
      <c r="Q171" s="39">
        <v>2.4</v>
      </c>
      <c r="R171" s="39">
        <v>7.3999999999999996E-2</v>
      </c>
      <c r="S171" s="39">
        <v>7.0999999999999994E-2</v>
      </c>
      <c r="T171" s="39">
        <v>20.981463254273066</v>
      </c>
      <c r="U171" s="39">
        <v>10.39</v>
      </c>
      <c r="V171" s="39">
        <v>5.64</v>
      </c>
      <c r="W171" s="39">
        <v>12.4</v>
      </c>
      <c r="X171" s="39">
        <v>16.465379552633163</v>
      </c>
      <c r="Y171" s="18"/>
      <c r="Z171" s="81"/>
      <c r="AA171" s="81"/>
      <c r="AB171" s="81"/>
      <c r="AC171" s="81"/>
      <c r="AD171" s="74"/>
      <c r="AE171" s="74"/>
      <c r="AF171" s="74"/>
      <c r="AG171" s="76">
        <v>44.4</v>
      </c>
      <c r="AH171" s="76">
        <v>18.8</v>
      </c>
      <c r="AI171" s="76">
        <v>17.5</v>
      </c>
      <c r="AJ171" s="76">
        <v>19.3</v>
      </c>
      <c r="AK171" s="74">
        <f t="shared" si="16"/>
        <v>100</v>
      </c>
      <c r="AL171" s="74"/>
      <c r="AM171" s="74"/>
      <c r="AN171" s="83">
        <v>31.71</v>
      </c>
      <c r="AO171" s="83">
        <v>28.68</v>
      </c>
      <c r="AP171" s="83">
        <v>24.63</v>
      </c>
      <c r="AQ171" s="83">
        <v>14.979999999999999</v>
      </c>
      <c r="AR171" s="84">
        <f t="shared" si="17"/>
        <v>100</v>
      </c>
      <c r="AS171" s="74"/>
      <c r="AT171" s="74"/>
      <c r="AU171" s="83">
        <v>31.06</v>
      </c>
      <c r="AV171" s="83">
        <v>29.09</v>
      </c>
      <c r="AW171" s="83">
        <v>22.18</v>
      </c>
      <c r="AX171" s="83">
        <v>17.669999999999998</v>
      </c>
      <c r="AY171" s="84">
        <f t="shared" si="18"/>
        <v>100</v>
      </c>
      <c r="AZ171" s="63"/>
      <c r="BC171" s="57"/>
      <c r="BD171" s="58"/>
      <c r="BE171" s="58"/>
      <c r="BF171" s="59"/>
      <c r="BG171" s="59"/>
      <c r="BI171" s="57"/>
      <c r="BJ171" s="58"/>
      <c r="BK171" s="58" t="s">
        <v>162</v>
      </c>
      <c r="BL171" s="59">
        <f>_xlfn.STDEV.S(BL157:BL164)</f>
        <v>3.2607766384274761</v>
      </c>
      <c r="BM171" s="59">
        <f>_xlfn.STDEV.S(BM157:BM164)</f>
        <v>4.0307872658009201</v>
      </c>
    </row>
    <row r="172" spans="1:77" ht="20.100000000000001" customHeight="1">
      <c r="A172" s="31">
        <v>16</v>
      </c>
      <c r="B172" s="32" t="s">
        <v>38</v>
      </c>
      <c r="C172" s="32" t="s">
        <v>38</v>
      </c>
      <c r="D172" s="33" t="s">
        <v>39</v>
      </c>
      <c r="E172" s="42">
        <v>45394</v>
      </c>
      <c r="F172" s="34">
        <v>0.60763888888888895</v>
      </c>
      <c r="G172" s="33" t="s">
        <v>37</v>
      </c>
      <c r="H172" s="43">
        <v>16.7</v>
      </c>
      <c r="I172" s="43">
        <v>7.74</v>
      </c>
      <c r="J172" s="43">
        <v>9.69</v>
      </c>
      <c r="K172" s="44">
        <v>280</v>
      </c>
      <c r="L172" s="41">
        <v>4.0350000000000001</v>
      </c>
      <c r="M172" s="41"/>
      <c r="N172" s="41">
        <v>0.11600000000000001</v>
      </c>
      <c r="O172" s="41">
        <v>3.6370006163330189</v>
      </c>
      <c r="P172" s="41">
        <v>7.1019486261476195E-2</v>
      </c>
      <c r="Q172" s="41">
        <v>3.7</v>
      </c>
      <c r="R172" s="41">
        <v>7.6999999999999999E-2</v>
      </c>
      <c r="S172" s="41">
        <v>7.0999999999999994E-2</v>
      </c>
      <c r="T172" s="41">
        <v>20.656813665762371</v>
      </c>
      <c r="U172" s="41">
        <v>7.92</v>
      </c>
      <c r="V172" s="41">
        <v>4.59</v>
      </c>
      <c r="W172" s="41">
        <v>12.1</v>
      </c>
      <c r="X172" s="41">
        <v>13.006279806017819</v>
      </c>
      <c r="Y172" s="36"/>
      <c r="Z172" s="81"/>
      <c r="AA172" s="81"/>
      <c r="AB172" s="81"/>
      <c r="AC172" s="81"/>
      <c r="AD172" s="74"/>
      <c r="AE172" s="74"/>
      <c r="AF172" s="74"/>
      <c r="AG172" s="76">
        <v>36.9</v>
      </c>
      <c r="AH172" s="76">
        <v>13.700000000000001</v>
      </c>
      <c r="AI172" s="76">
        <v>20.200000000000003</v>
      </c>
      <c r="AJ172" s="76">
        <v>29.2</v>
      </c>
      <c r="AK172" s="74">
        <f t="shared" si="16"/>
        <v>100.00000000000001</v>
      </c>
      <c r="AL172" s="74"/>
      <c r="AM172" s="74"/>
      <c r="AN172" s="83">
        <v>27.63</v>
      </c>
      <c r="AO172" s="83">
        <v>18.07</v>
      </c>
      <c r="AP172" s="83">
        <v>26.88</v>
      </c>
      <c r="AQ172" s="83">
        <v>27.43</v>
      </c>
      <c r="AR172" s="84">
        <f t="shared" si="17"/>
        <v>100.00999999999999</v>
      </c>
      <c r="AS172" s="74"/>
      <c r="AT172" s="74"/>
      <c r="AU172" s="83">
        <v>26.229999999999997</v>
      </c>
      <c r="AV172" s="83">
        <v>18.52</v>
      </c>
      <c r="AW172" s="83">
        <v>24.45</v>
      </c>
      <c r="AX172" s="83">
        <v>30.79</v>
      </c>
      <c r="AY172" s="84">
        <f t="shared" si="18"/>
        <v>99.990000000000009</v>
      </c>
      <c r="AZ172" s="63"/>
      <c r="BC172" s="57"/>
      <c r="BD172" s="58"/>
      <c r="BE172" s="58" t="s">
        <v>161</v>
      </c>
      <c r="BF172" s="59">
        <f>AVERAGE(BF157:BF168)</f>
        <v>13.3575</v>
      </c>
      <c r="BG172" s="59">
        <f>AVERAGE(BG157:BG168)</f>
        <v>1.9608333333333334</v>
      </c>
    </row>
    <row r="173" spans="1:77" ht="20.100000000000001" customHeight="1">
      <c r="A173" s="31">
        <v>17</v>
      </c>
      <c r="B173" s="32" t="s">
        <v>38</v>
      </c>
      <c r="C173" s="32" t="s">
        <v>38</v>
      </c>
      <c r="D173" s="33" t="s">
        <v>41</v>
      </c>
      <c r="E173" s="42">
        <v>45393</v>
      </c>
      <c r="F173" s="34">
        <v>0.5625</v>
      </c>
      <c r="G173" s="33" t="s">
        <v>37</v>
      </c>
      <c r="H173" s="43">
        <v>20</v>
      </c>
      <c r="I173" s="43">
        <v>7.57</v>
      </c>
      <c r="J173" s="43">
        <v>9.91</v>
      </c>
      <c r="K173" s="44">
        <v>372</v>
      </c>
      <c r="L173" s="41">
        <v>4.7130000000000001</v>
      </c>
      <c r="M173" s="41"/>
      <c r="N173" s="41">
        <v>0.129</v>
      </c>
      <c r="O173" s="41">
        <v>4.3850525263799121</v>
      </c>
      <c r="P173" s="41">
        <v>6.3094173518871088E-2</v>
      </c>
      <c r="Q173" s="41">
        <v>3.7</v>
      </c>
      <c r="R173" s="41">
        <v>8.3000000000000004E-2</v>
      </c>
      <c r="S173" s="41">
        <v>7.5999999999999998E-2</v>
      </c>
      <c r="T173" s="41">
        <v>42.086888752878899</v>
      </c>
      <c r="U173" s="41">
        <v>11.24</v>
      </c>
      <c r="V173" s="41">
        <v>5.97</v>
      </c>
      <c r="W173" s="41">
        <v>17.3</v>
      </c>
      <c r="X173" s="41">
        <v>11.329123160711552</v>
      </c>
      <c r="Y173" s="36"/>
      <c r="Z173" s="81"/>
      <c r="AA173" s="81"/>
      <c r="AB173" s="81"/>
      <c r="AC173" s="81"/>
      <c r="AD173" s="74"/>
      <c r="AE173" s="74"/>
      <c r="AF173" s="74"/>
      <c r="AG173" s="76">
        <v>45.2</v>
      </c>
      <c r="AH173" s="76">
        <v>21</v>
      </c>
      <c r="AI173" s="76">
        <v>16.900000000000002</v>
      </c>
      <c r="AJ173" s="76">
        <v>16.8</v>
      </c>
      <c r="AK173" s="74">
        <f t="shared" si="16"/>
        <v>99.9</v>
      </c>
      <c r="AL173" s="74"/>
      <c r="AM173" s="74"/>
      <c r="AN173" s="83">
        <v>27.58</v>
      </c>
      <c r="AO173" s="83">
        <v>40.489999999999995</v>
      </c>
      <c r="AP173" s="83">
        <v>17.09</v>
      </c>
      <c r="AQ173" s="83">
        <v>14.84</v>
      </c>
      <c r="AR173" s="84">
        <f t="shared" si="17"/>
        <v>100</v>
      </c>
      <c r="AS173" s="74"/>
      <c r="AT173" s="74"/>
      <c r="AU173" s="83">
        <v>31.72</v>
      </c>
      <c r="AV173" s="83">
        <v>33.08</v>
      </c>
      <c r="AW173" s="83">
        <v>20.77</v>
      </c>
      <c r="AX173" s="83">
        <v>14.430000000000001</v>
      </c>
      <c r="AY173" s="84">
        <f t="shared" si="18"/>
        <v>100</v>
      </c>
      <c r="AZ173" s="63"/>
      <c r="BC173" s="57"/>
      <c r="BD173" s="58"/>
      <c r="BE173" s="58" t="s">
        <v>162</v>
      </c>
      <c r="BF173" s="59">
        <f>_xlfn.STDEV.S(BF157:BF168)</f>
        <v>1.9060865429174276</v>
      </c>
      <c r="BG173" s="59">
        <f>_xlfn.STDEV.S(BG157:BG168)</f>
        <v>2.6869836360882551</v>
      </c>
    </row>
    <row r="174" spans="1:77" ht="20.100000000000001" customHeight="1">
      <c r="A174" s="31">
        <v>18</v>
      </c>
      <c r="B174" s="32" t="s">
        <v>38</v>
      </c>
      <c r="C174" s="32" t="s">
        <v>38</v>
      </c>
      <c r="D174" s="33" t="s">
        <v>42</v>
      </c>
      <c r="E174" s="42">
        <v>45393</v>
      </c>
      <c r="F174" s="34">
        <v>0.62847222222222221</v>
      </c>
      <c r="G174" s="33" t="s">
        <v>37</v>
      </c>
      <c r="H174" s="43">
        <v>18.399999999999999</v>
      </c>
      <c r="I174" s="43">
        <v>7.16</v>
      </c>
      <c r="J174" s="43">
        <v>8.81</v>
      </c>
      <c r="K174" s="44">
        <v>393</v>
      </c>
      <c r="L174" s="41">
        <v>5.0999999999999996</v>
      </c>
      <c r="M174" s="41"/>
      <c r="N174" s="41">
        <v>0.374</v>
      </c>
      <c r="O174" s="41">
        <v>4.4413298229600713</v>
      </c>
      <c r="P174" s="41">
        <v>0.15166091643205315</v>
      </c>
      <c r="Q174" s="41">
        <v>4</v>
      </c>
      <c r="R174" s="41">
        <v>6.2E-2</v>
      </c>
      <c r="S174" s="41">
        <v>5.3999999999999999E-2</v>
      </c>
      <c r="T174" s="41">
        <v>46.199351722238532</v>
      </c>
      <c r="U174" s="41">
        <v>11.5</v>
      </c>
      <c r="V174" s="41">
        <v>5.45</v>
      </c>
      <c r="W174" s="41">
        <v>19.100000000000001</v>
      </c>
      <c r="X174" s="41">
        <v>11.436419136503728</v>
      </c>
      <c r="Y174" s="36"/>
      <c r="Z174" s="81"/>
      <c r="AA174" s="81"/>
      <c r="AB174" s="81"/>
      <c r="AC174" s="81"/>
      <c r="AD174" s="74"/>
      <c r="AE174" s="74"/>
      <c r="AF174" s="74"/>
      <c r="AG174" s="76">
        <v>46</v>
      </c>
      <c r="AH174" s="76">
        <v>21.6</v>
      </c>
      <c r="AI174" s="76">
        <v>15.2</v>
      </c>
      <c r="AJ174" s="76">
        <v>17.2</v>
      </c>
      <c r="AK174" s="74">
        <f t="shared" si="16"/>
        <v>100</v>
      </c>
      <c r="AL174" s="74"/>
      <c r="AM174" s="74"/>
      <c r="AN174" s="83">
        <v>28.37</v>
      </c>
      <c r="AO174" s="83">
        <v>37.57</v>
      </c>
      <c r="AP174" s="83">
        <v>16.009999999999998</v>
      </c>
      <c r="AQ174" s="83">
        <v>18.060000000000002</v>
      </c>
      <c r="AR174" s="84">
        <f t="shared" si="17"/>
        <v>100.00999999999999</v>
      </c>
      <c r="AS174" s="74"/>
      <c r="AT174" s="74"/>
      <c r="AU174" s="83">
        <v>32.78</v>
      </c>
      <c r="AV174" s="83">
        <v>33.44</v>
      </c>
      <c r="AW174" s="83">
        <v>18.529999999999998</v>
      </c>
      <c r="AX174" s="83">
        <v>15.25</v>
      </c>
      <c r="AY174" s="84">
        <f t="shared" si="18"/>
        <v>100</v>
      </c>
      <c r="AZ174" s="63"/>
    </row>
    <row r="175" spans="1:77" ht="20.100000000000001" customHeight="1">
      <c r="A175" s="31">
        <v>19</v>
      </c>
      <c r="B175" s="32" t="s">
        <v>38</v>
      </c>
      <c r="C175" s="32" t="s">
        <v>43</v>
      </c>
      <c r="D175" s="33" t="s">
        <v>40</v>
      </c>
      <c r="E175" s="42">
        <v>45393</v>
      </c>
      <c r="F175" s="34">
        <v>0.56597222222222221</v>
      </c>
      <c r="G175" s="33" t="s">
        <v>37</v>
      </c>
      <c r="H175" s="43">
        <v>20.399999999999999</v>
      </c>
      <c r="I175" s="43">
        <v>7.15</v>
      </c>
      <c r="J175" s="43">
        <v>9.94</v>
      </c>
      <c r="K175" s="44">
        <v>427</v>
      </c>
      <c r="L175" s="41">
        <v>4.4729999999999999</v>
      </c>
      <c r="M175" s="41"/>
      <c r="N175" s="41">
        <v>0.26700000000000002</v>
      </c>
      <c r="O175" s="41">
        <v>3.9058742648607598</v>
      </c>
      <c r="P175" s="41">
        <v>7.8217782921411683E-2</v>
      </c>
      <c r="Q175" s="41">
        <v>3.9</v>
      </c>
      <c r="R175" s="41">
        <v>0.02</v>
      </c>
      <c r="S175" s="41">
        <v>7.0000000000000001E-3</v>
      </c>
      <c r="T175" s="41">
        <v>64.491191417810811</v>
      </c>
      <c r="U175" s="41">
        <v>12.27</v>
      </c>
      <c r="V175" s="41">
        <v>6.11</v>
      </c>
      <c r="W175" s="41">
        <v>20.2</v>
      </c>
      <c r="X175" s="41">
        <v>10.396885695613589</v>
      </c>
      <c r="Y175" s="36"/>
      <c r="Z175" s="81"/>
      <c r="AA175" s="81"/>
      <c r="AB175" s="81"/>
      <c r="AC175" s="81"/>
      <c r="AD175" s="74"/>
      <c r="AE175" s="74"/>
      <c r="AF175" s="74"/>
      <c r="AG175" s="76">
        <v>47.4</v>
      </c>
      <c r="AH175" s="76">
        <v>23</v>
      </c>
      <c r="AI175" s="76">
        <v>14.6</v>
      </c>
      <c r="AJ175" s="76">
        <v>15.1</v>
      </c>
      <c r="AK175" s="74">
        <f t="shared" si="16"/>
        <v>100.1</v>
      </c>
      <c r="AL175" s="74"/>
      <c r="AM175" s="74"/>
      <c r="AN175" s="83">
        <v>27.85</v>
      </c>
      <c r="AO175" s="83">
        <v>42.34</v>
      </c>
      <c r="AP175" s="83">
        <v>17.130000000000003</v>
      </c>
      <c r="AQ175" s="83">
        <v>12.67</v>
      </c>
      <c r="AR175" s="84">
        <f t="shared" si="17"/>
        <v>99.99</v>
      </c>
      <c r="AS175" s="74"/>
      <c r="AT175" s="74"/>
      <c r="AU175" s="83">
        <v>31.430000000000003</v>
      </c>
      <c r="AV175" s="83">
        <v>37.97</v>
      </c>
      <c r="AW175" s="83">
        <v>18.7</v>
      </c>
      <c r="AX175" s="83">
        <v>11.899999999999999</v>
      </c>
      <c r="AY175" s="84">
        <f t="shared" si="18"/>
        <v>100</v>
      </c>
      <c r="AZ175" s="63"/>
    </row>
    <row r="176" spans="1:77" ht="20.100000000000001" customHeight="1">
      <c r="A176" s="31">
        <v>20</v>
      </c>
      <c r="B176" s="32" t="s">
        <v>38</v>
      </c>
      <c r="C176" s="32" t="s">
        <v>43</v>
      </c>
      <c r="D176" s="33" t="s">
        <v>44</v>
      </c>
      <c r="E176" s="42">
        <v>45393</v>
      </c>
      <c r="F176" s="34">
        <v>0.57291666666666663</v>
      </c>
      <c r="G176" s="33" t="s">
        <v>37</v>
      </c>
      <c r="H176" s="43">
        <v>17.7</v>
      </c>
      <c r="I176" s="43">
        <v>8.4600000000000009</v>
      </c>
      <c r="J176" s="43">
        <v>13.23</v>
      </c>
      <c r="K176" s="44">
        <v>488</v>
      </c>
      <c r="L176" s="41">
        <v>5.1660000000000004</v>
      </c>
      <c r="M176" s="41"/>
      <c r="N176" s="41">
        <v>6.3E-2</v>
      </c>
      <c r="O176" s="41">
        <v>4.9679283032825374</v>
      </c>
      <c r="P176" s="41">
        <v>0.12958430283036404</v>
      </c>
      <c r="Q176" s="41">
        <v>2.9</v>
      </c>
      <c r="R176" s="41">
        <v>4.8000000000000001E-2</v>
      </c>
      <c r="S176" s="41">
        <v>2.3E-2</v>
      </c>
      <c r="T176" s="41">
        <v>53.23904304944535</v>
      </c>
      <c r="U176" s="41">
        <v>10.25</v>
      </c>
      <c r="V176" s="41">
        <v>7.37</v>
      </c>
      <c r="W176" s="41">
        <v>23.4</v>
      </c>
      <c r="X176" s="41">
        <v>10.85344472189681</v>
      </c>
      <c r="Y176" s="36"/>
      <c r="Z176" s="81"/>
      <c r="AA176" s="81"/>
      <c r="AB176" s="81"/>
      <c r="AC176" s="81"/>
      <c r="AD176" s="74"/>
      <c r="AE176" s="74"/>
      <c r="AF176" s="74"/>
      <c r="AG176" s="76">
        <v>41.199999999999996</v>
      </c>
      <c r="AH176" s="76">
        <v>20.399999999999999</v>
      </c>
      <c r="AI176" s="76">
        <v>22.7</v>
      </c>
      <c r="AJ176" s="76">
        <v>15.8</v>
      </c>
      <c r="AK176" s="74">
        <f t="shared" si="16"/>
        <v>100.1</v>
      </c>
      <c r="AL176" s="74"/>
      <c r="AM176" s="74"/>
      <c r="AN176" s="83">
        <v>27.750000000000004</v>
      </c>
      <c r="AO176" s="83">
        <v>28.33</v>
      </c>
      <c r="AP176" s="83">
        <v>31.65</v>
      </c>
      <c r="AQ176" s="83">
        <v>12.27</v>
      </c>
      <c r="AR176" s="84">
        <f t="shared" si="17"/>
        <v>99.999999999999986</v>
      </c>
      <c r="AS176" s="74"/>
      <c r="AT176" s="74"/>
      <c r="AU176" s="83">
        <v>28.38</v>
      </c>
      <c r="AV176" s="83">
        <v>30.3</v>
      </c>
      <c r="AW176" s="83">
        <v>29.470000000000002</v>
      </c>
      <c r="AX176" s="83">
        <v>11.85</v>
      </c>
      <c r="AY176" s="84">
        <f t="shared" si="18"/>
        <v>100</v>
      </c>
      <c r="AZ176" s="63"/>
    </row>
    <row r="177" spans="1:52" ht="20.100000000000001" customHeight="1">
      <c r="A177" s="22">
        <v>21</v>
      </c>
      <c r="B177" s="14" t="s">
        <v>45</v>
      </c>
      <c r="C177" s="14" t="s">
        <v>45</v>
      </c>
      <c r="D177" s="15" t="s">
        <v>46</v>
      </c>
      <c r="E177" s="16">
        <v>45393</v>
      </c>
      <c r="F177" s="17">
        <v>0.44097222222222227</v>
      </c>
      <c r="G177" s="15" t="s">
        <v>37</v>
      </c>
      <c r="H177" s="23">
        <v>14.7</v>
      </c>
      <c r="I177" s="23">
        <v>7.64</v>
      </c>
      <c r="J177" s="23">
        <v>10.1</v>
      </c>
      <c r="K177" s="45">
        <v>195</v>
      </c>
      <c r="L177" s="39">
        <v>1.575</v>
      </c>
      <c r="M177" s="39"/>
      <c r="N177" s="39">
        <v>3.9E-2</v>
      </c>
      <c r="O177" s="39">
        <v>1.4978781437023474</v>
      </c>
      <c r="P177" s="39" t="s">
        <v>112</v>
      </c>
      <c r="Q177" s="39">
        <v>1.7</v>
      </c>
      <c r="R177" s="39">
        <v>6.0000000000000001E-3</v>
      </c>
      <c r="S177" s="39">
        <v>2E-3</v>
      </c>
      <c r="T177" s="39">
        <v>11.157679937554409</v>
      </c>
      <c r="U177" s="39">
        <v>4.84</v>
      </c>
      <c r="V177" s="39">
        <v>5.72</v>
      </c>
      <c r="W177" s="39">
        <v>8.6999999999999993</v>
      </c>
      <c r="X177" s="39">
        <v>14.992753436048833</v>
      </c>
      <c r="Y177" s="18"/>
      <c r="Z177" s="81"/>
      <c r="AA177" s="81"/>
      <c r="AB177" s="81"/>
      <c r="AC177" s="81"/>
      <c r="AD177" s="74"/>
      <c r="AE177" s="74"/>
      <c r="AF177" s="74"/>
      <c r="AG177" s="76">
        <v>24.3</v>
      </c>
      <c r="AH177" s="76">
        <v>9.1</v>
      </c>
      <c r="AI177" s="76">
        <v>33.800000000000004</v>
      </c>
      <c r="AJ177" s="76">
        <v>32.800000000000004</v>
      </c>
      <c r="AK177" s="74">
        <f t="shared" si="16"/>
        <v>100</v>
      </c>
      <c r="AL177" s="74"/>
      <c r="AM177" s="74"/>
      <c r="AN177" s="83">
        <v>15.229999999999999</v>
      </c>
      <c r="AO177" s="83">
        <v>10.11</v>
      </c>
      <c r="AP177" s="83">
        <v>39.410000000000004</v>
      </c>
      <c r="AQ177" s="83">
        <v>35.25</v>
      </c>
      <c r="AR177" s="84">
        <f t="shared" si="17"/>
        <v>100</v>
      </c>
      <c r="AS177" s="74"/>
      <c r="AT177" s="74"/>
      <c r="AU177" s="83">
        <v>14.540000000000001</v>
      </c>
      <c r="AV177" s="83">
        <v>9.41</v>
      </c>
      <c r="AW177" s="83">
        <v>39.160000000000004</v>
      </c>
      <c r="AX177" s="83">
        <v>36.9</v>
      </c>
      <c r="AY177" s="84">
        <f t="shared" si="18"/>
        <v>100.01</v>
      </c>
      <c r="AZ177" s="63"/>
    </row>
    <row r="178" spans="1:52" ht="20.100000000000001" customHeight="1">
      <c r="A178" s="22">
        <v>22</v>
      </c>
      <c r="B178" s="14" t="s">
        <v>45</v>
      </c>
      <c r="C178" s="14" t="s">
        <v>45</v>
      </c>
      <c r="D178" s="19" t="s">
        <v>47</v>
      </c>
      <c r="E178" s="16">
        <v>45393</v>
      </c>
      <c r="F178" s="20">
        <v>0.46180555555555558</v>
      </c>
      <c r="G178" s="15" t="s">
        <v>37</v>
      </c>
      <c r="H178" s="23">
        <v>17.3</v>
      </c>
      <c r="I178" s="23">
        <v>7.3</v>
      </c>
      <c r="J178" s="23">
        <v>9.5</v>
      </c>
      <c r="K178" s="45">
        <v>232</v>
      </c>
      <c r="L178" s="40">
        <v>1.9910000000000001</v>
      </c>
      <c r="M178" s="40"/>
      <c r="N178" s="40">
        <v>4.2000000000000003E-2</v>
      </c>
      <c r="O178" s="40">
        <v>1.8417102276897697</v>
      </c>
      <c r="P178" s="39" t="s">
        <v>112</v>
      </c>
      <c r="Q178" s="40">
        <v>2.7</v>
      </c>
      <c r="R178" s="40">
        <v>5.3999999999999999E-2</v>
      </c>
      <c r="S178" s="40">
        <v>5.0999999999999997E-2</v>
      </c>
      <c r="T178" s="40">
        <v>17.228406114095094</v>
      </c>
      <c r="U178" s="40">
        <v>7.46</v>
      </c>
      <c r="V178" s="40">
        <v>3.75</v>
      </c>
      <c r="W178" s="40">
        <v>11.3</v>
      </c>
      <c r="X178" s="40">
        <v>13.044520469711662</v>
      </c>
      <c r="Y178" s="21"/>
      <c r="Z178" s="81"/>
      <c r="AA178" s="81"/>
      <c r="AB178" s="81"/>
      <c r="AC178" s="81"/>
      <c r="AD178" s="74"/>
      <c r="AE178" s="74"/>
      <c r="AF178" s="74"/>
      <c r="AG178" s="76">
        <v>35.5</v>
      </c>
      <c r="AH178" s="76">
        <v>12.2</v>
      </c>
      <c r="AI178" s="76">
        <v>18.8</v>
      </c>
      <c r="AJ178" s="76">
        <v>33.4</v>
      </c>
      <c r="AK178" s="74">
        <f t="shared" si="16"/>
        <v>99.9</v>
      </c>
      <c r="AL178" s="74"/>
      <c r="AM178" s="74"/>
      <c r="AN178" s="83">
        <v>29.01</v>
      </c>
      <c r="AO178" s="83">
        <v>13.8</v>
      </c>
      <c r="AP178" s="83">
        <v>17.73</v>
      </c>
      <c r="AQ178" s="83">
        <v>39.47</v>
      </c>
      <c r="AR178" s="84">
        <f t="shared" si="17"/>
        <v>100.01</v>
      </c>
      <c r="AS178" s="74"/>
      <c r="AT178" s="74"/>
      <c r="AU178" s="83">
        <v>24.709999999999997</v>
      </c>
      <c r="AV178" s="83">
        <v>16.400000000000002</v>
      </c>
      <c r="AW178" s="83">
        <v>20.43</v>
      </c>
      <c r="AX178" s="83">
        <v>38.46</v>
      </c>
      <c r="AY178" s="84">
        <f t="shared" si="18"/>
        <v>100</v>
      </c>
      <c r="AZ178" s="63"/>
    </row>
    <row r="179" spans="1:52" ht="20.100000000000001" customHeight="1">
      <c r="A179" s="22">
        <v>23</v>
      </c>
      <c r="B179" s="14" t="s">
        <v>45</v>
      </c>
      <c r="C179" s="14" t="s">
        <v>45</v>
      </c>
      <c r="D179" s="19" t="s">
        <v>29</v>
      </c>
      <c r="E179" s="16">
        <v>45393</v>
      </c>
      <c r="F179" s="20">
        <v>0.47569444444444442</v>
      </c>
      <c r="G179" s="15" t="s">
        <v>37</v>
      </c>
      <c r="H179" s="23">
        <v>17.8</v>
      </c>
      <c r="I179" s="23">
        <v>7.54</v>
      </c>
      <c r="J179" s="23">
        <v>10.7</v>
      </c>
      <c r="K179" s="45">
        <v>237</v>
      </c>
      <c r="L179" s="40">
        <v>2.1120000000000001</v>
      </c>
      <c r="M179" s="40"/>
      <c r="N179" s="40">
        <v>5.7000000000000002E-2</v>
      </c>
      <c r="O179" s="40">
        <v>1.9377533187741629</v>
      </c>
      <c r="P179" s="39" t="s">
        <v>112</v>
      </c>
      <c r="Q179" s="40">
        <v>2.8</v>
      </c>
      <c r="R179" s="40">
        <v>4.8000000000000001E-2</v>
      </c>
      <c r="S179" s="40">
        <v>4.2999999999999997E-2</v>
      </c>
      <c r="T179" s="40">
        <v>18.676808109788333</v>
      </c>
      <c r="U179" s="40">
        <v>7.95</v>
      </c>
      <c r="V179" s="40">
        <v>4.3499999999999996</v>
      </c>
      <c r="W179" s="40">
        <v>12.1</v>
      </c>
      <c r="X179" s="40">
        <v>13.065326733831593</v>
      </c>
      <c r="Y179" s="21"/>
      <c r="Z179" s="81"/>
      <c r="AA179" s="81"/>
      <c r="AB179" s="81"/>
      <c r="AC179" s="81"/>
      <c r="AD179" s="74"/>
      <c r="AE179" s="74"/>
      <c r="AF179" s="74"/>
      <c r="AG179" s="76">
        <v>37.299999999999997</v>
      </c>
      <c r="AH179" s="76">
        <v>13.100000000000001</v>
      </c>
      <c r="AI179" s="76">
        <v>19.900000000000002</v>
      </c>
      <c r="AJ179" s="76">
        <v>29.7</v>
      </c>
      <c r="AK179" s="74">
        <f t="shared" si="16"/>
        <v>100</v>
      </c>
      <c r="AL179" s="74"/>
      <c r="AM179" s="74"/>
      <c r="AN179" s="83">
        <v>28.84</v>
      </c>
      <c r="AO179" s="83">
        <v>16.13</v>
      </c>
      <c r="AP179" s="83">
        <v>28.63</v>
      </c>
      <c r="AQ179" s="83">
        <v>26.400000000000002</v>
      </c>
      <c r="AR179" s="84">
        <f t="shared" si="17"/>
        <v>100</v>
      </c>
      <c r="AS179" s="74"/>
      <c r="AT179" s="74"/>
      <c r="AU179" s="83">
        <v>26.340000000000003</v>
      </c>
      <c r="AV179" s="83">
        <v>18.440000000000001</v>
      </c>
      <c r="AW179" s="83">
        <v>22.91</v>
      </c>
      <c r="AX179" s="83">
        <v>32.31</v>
      </c>
      <c r="AY179" s="84">
        <f t="shared" si="18"/>
        <v>100</v>
      </c>
      <c r="AZ179" s="63"/>
    </row>
    <row r="180" spans="1:52" ht="20.100000000000001" customHeight="1" thickBot="1">
      <c r="A180" s="46">
        <v>24</v>
      </c>
      <c r="B180" s="47" t="s">
        <v>45</v>
      </c>
      <c r="C180" s="47" t="s">
        <v>45</v>
      </c>
      <c r="D180" s="48" t="s">
        <v>48</v>
      </c>
      <c r="E180" s="49">
        <v>45393</v>
      </c>
      <c r="F180" s="50">
        <v>0.48958333333333331</v>
      </c>
      <c r="G180" s="48" t="s">
        <v>37</v>
      </c>
      <c r="H180" s="51">
        <v>16.899999999999999</v>
      </c>
      <c r="I180" s="51">
        <v>7.29</v>
      </c>
      <c r="J180" s="51">
        <v>8.75</v>
      </c>
      <c r="K180" s="52">
        <v>248</v>
      </c>
      <c r="L180" s="53">
        <v>2.1680000000000001</v>
      </c>
      <c r="M180" s="53"/>
      <c r="N180" s="53">
        <v>6.5000000000000002E-2</v>
      </c>
      <c r="O180" s="53">
        <v>1.9645769962820305</v>
      </c>
      <c r="P180" s="53" t="s">
        <v>112</v>
      </c>
      <c r="Q180" s="53">
        <v>2.7</v>
      </c>
      <c r="R180" s="53">
        <v>3.7999999999999999E-2</v>
      </c>
      <c r="S180" s="53">
        <v>3.3000000000000002E-2</v>
      </c>
      <c r="T180" s="53">
        <v>18.945319130868253</v>
      </c>
      <c r="U180" s="53">
        <v>8.2100000000000009</v>
      </c>
      <c r="V180" s="53">
        <v>4.57</v>
      </c>
      <c r="W180" s="53">
        <v>13.4</v>
      </c>
      <c r="X180" s="53">
        <v>12.926440961420095</v>
      </c>
      <c r="Y180" s="54"/>
      <c r="Z180" s="81"/>
      <c r="AA180" s="81"/>
      <c r="AB180" s="81"/>
      <c r="AC180" s="81"/>
      <c r="AD180" s="74"/>
      <c r="AE180" s="74"/>
      <c r="AF180" s="74"/>
      <c r="AG180" s="76">
        <v>38.1</v>
      </c>
      <c r="AH180" s="76">
        <v>14.299999999999999</v>
      </c>
      <c r="AI180" s="76">
        <v>19.7</v>
      </c>
      <c r="AJ180" s="76">
        <v>27.900000000000002</v>
      </c>
      <c r="AK180" s="74">
        <f t="shared" si="16"/>
        <v>100</v>
      </c>
      <c r="AL180" s="74"/>
      <c r="AM180" s="74"/>
      <c r="AN180" s="83">
        <v>31.05</v>
      </c>
      <c r="AO180" s="83">
        <v>17.440000000000001</v>
      </c>
      <c r="AP180" s="83">
        <v>25.2</v>
      </c>
      <c r="AQ180" s="83">
        <v>26.31</v>
      </c>
      <c r="AR180" s="84">
        <f t="shared" si="17"/>
        <v>100</v>
      </c>
      <c r="AS180" s="74"/>
      <c r="AT180" s="74"/>
      <c r="AU180" s="83">
        <v>27.07</v>
      </c>
      <c r="AV180" s="83">
        <v>19.509999999999998</v>
      </c>
      <c r="AW180" s="83">
        <v>23.630000000000003</v>
      </c>
      <c r="AX180" s="83">
        <v>29.79</v>
      </c>
      <c r="AY180" s="84">
        <f t="shared" si="18"/>
        <v>100</v>
      </c>
      <c r="AZ180" s="63"/>
    </row>
    <row r="181" spans="1:52" ht="20.100000000000001" customHeight="1"/>
    <row r="182" spans="1:52" ht="20.100000000000001" customHeight="1"/>
    <row r="183" spans="1:52" ht="20.100000000000001" customHeight="1"/>
    <row r="184" spans="1:52" ht="20.100000000000001" customHeight="1"/>
    <row r="185" spans="1:52" ht="20.100000000000001" customHeight="1"/>
    <row r="186" spans="1:52" ht="20.100000000000001" customHeight="1"/>
    <row r="187" spans="1:52" ht="20.100000000000001" customHeight="1"/>
    <row r="188" spans="1:52" ht="20.100000000000001" customHeight="1"/>
    <row r="189" spans="1:52" ht="20.100000000000001" customHeight="1"/>
    <row r="190" spans="1:52" ht="20.100000000000001" customHeight="1"/>
    <row r="191" spans="1:52" ht="20.100000000000001" customHeight="1"/>
    <row r="192" spans="1:5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</sheetData>
  <mergeCells count="45">
    <mergeCell ref="Y15:Y16"/>
    <mergeCell ref="L15:T15"/>
    <mergeCell ref="A13:K13"/>
    <mergeCell ref="A15:A16"/>
    <mergeCell ref="C15:C16"/>
    <mergeCell ref="D15:D16"/>
    <mergeCell ref="E15:F15"/>
    <mergeCell ref="G15:K15"/>
    <mergeCell ref="B15:B16"/>
    <mergeCell ref="A48:K48"/>
    <mergeCell ref="A50:A51"/>
    <mergeCell ref="B50:B51"/>
    <mergeCell ref="C50:C51"/>
    <mergeCell ref="D50:D51"/>
    <mergeCell ref="E50:F50"/>
    <mergeCell ref="G50:K50"/>
    <mergeCell ref="L50:T50"/>
    <mergeCell ref="Y50:Y51"/>
    <mergeCell ref="A83:K83"/>
    <mergeCell ref="A85:A86"/>
    <mergeCell ref="B85:B86"/>
    <mergeCell ref="C85:C86"/>
    <mergeCell ref="D85:D86"/>
    <mergeCell ref="E85:F85"/>
    <mergeCell ref="G85:K85"/>
    <mergeCell ref="L85:T85"/>
    <mergeCell ref="Y85:Y86"/>
    <mergeCell ref="L120:T120"/>
    <mergeCell ref="Y120:Y121"/>
    <mergeCell ref="A118:K118"/>
    <mergeCell ref="A120:A121"/>
    <mergeCell ref="B120:B121"/>
    <mergeCell ref="C120:C121"/>
    <mergeCell ref="D120:D121"/>
    <mergeCell ref="E120:F120"/>
    <mergeCell ref="G120:K120"/>
    <mergeCell ref="L155:T155"/>
    <mergeCell ref="Y155:Y156"/>
    <mergeCell ref="A153:K153"/>
    <mergeCell ref="A155:A156"/>
    <mergeCell ref="B155:B156"/>
    <mergeCell ref="C155:C156"/>
    <mergeCell ref="D155:D156"/>
    <mergeCell ref="E155:F155"/>
    <mergeCell ref="G155:K155"/>
  </mergeCells>
  <phoneticPr fontId="1" type="noConversion"/>
  <conditionalFormatting sqref="Z17:AD40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{4628DEBB-D9D3-43F5-8AD1-470B8C5CAA45}</x14:id>
        </ext>
      </extLst>
    </cfRule>
  </conditionalFormatting>
  <conditionalFormatting sqref="Z52:AD75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{3D614F1D-A718-438A-9839-BCCB1AE2D1BF}</x14:id>
        </ext>
      </extLst>
    </cfRule>
  </conditionalFormatting>
  <conditionalFormatting sqref="AG52:AK7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{68A80865-5561-4D6F-A99E-2DEBFDAA7A93}</x14:id>
        </ext>
      </extLst>
    </cfRule>
  </conditionalFormatting>
  <conditionalFormatting sqref="AN52:AR7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{AB87E4FE-9F27-4E86-BA83-7A509A829424}</x14:id>
        </ext>
      </extLst>
    </cfRule>
  </conditionalFormatting>
  <conditionalFormatting sqref="AU52:AY75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{CDA8C0B5-FCD2-4714-BF44-9BDD9DCEBE48}</x14:id>
        </ext>
      </extLst>
    </cfRule>
  </conditionalFormatting>
  <conditionalFormatting sqref="Z87:AD110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{FFA21CE3-7D06-424C-B7F0-3D0C9BB71C29}</x14:id>
        </ext>
      </extLst>
    </cfRule>
  </conditionalFormatting>
  <conditionalFormatting sqref="AG87:AK11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{8C64C75E-8453-405E-BF2D-DF19185E5C62}</x14:id>
        </ext>
      </extLst>
    </cfRule>
  </conditionalFormatting>
  <conditionalFormatting sqref="AN87:AR110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{71CB4CD3-A3A6-4E86-9A93-2403362F8FF1}</x14:id>
        </ext>
      </extLst>
    </cfRule>
  </conditionalFormatting>
  <conditionalFormatting sqref="AU87:AY110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{1053AA7D-1431-45F2-8DD0-4A4483C466DF}</x14:id>
        </ext>
      </extLst>
    </cfRule>
  </conditionalFormatting>
  <conditionalFormatting sqref="Z122:AD145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{BDCD69FD-E7EC-46E3-AFAB-ED062ABD6223}</x14:id>
        </ext>
      </extLst>
    </cfRule>
  </conditionalFormatting>
  <conditionalFormatting sqref="AG122:AK145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{AE965B56-2179-45F4-9655-48751D37122B}</x14:id>
        </ext>
      </extLst>
    </cfRule>
  </conditionalFormatting>
  <conditionalFormatting sqref="AN122:AR14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{473E9148-B6F6-45A3-954A-E2A86237F2A4}</x14:id>
        </ext>
      </extLst>
    </cfRule>
  </conditionalFormatting>
  <conditionalFormatting sqref="AU122:AY145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{5131A45B-51D8-4C1A-8980-EB9B14B81695}</x14:id>
        </ext>
      </extLst>
    </cfRule>
  </conditionalFormatting>
  <conditionalFormatting sqref="AG17:AK4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{E83CC592-240A-4174-BEFD-E1836B9236EA}</x14:id>
        </ext>
      </extLst>
    </cfRule>
  </conditionalFormatting>
  <conditionalFormatting sqref="AN17:AR4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{93E5CBEF-6399-4F44-A1F8-303D28A16D02}</x14:id>
        </ext>
      </extLst>
    </cfRule>
  </conditionalFormatting>
  <conditionalFormatting sqref="AU17:AY40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{D930285E-5066-4CBB-A92E-0434126F86B1}</x14:id>
        </ext>
      </extLst>
    </cfRule>
  </conditionalFormatting>
  <conditionalFormatting sqref="AG157:AJ18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{C0E970A6-D2B3-4E09-869D-BDF0A22348D3}</x14:id>
        </ext>
      </extLst>
    </cfRule>
  </conditionalFormatting>
  <conditionalFormatting sqref="AN157:AQ18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{084FE17D-672A-4833-AC0D-E11EDFDEEF19}</x14:id>
        </ext>
      </extLst>
    </cfRule>
  </conditionalFormatting>
  <conditionalFormatting sqref="AU157:AX18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{37EA86E7-F431-4171-B427-335E735639A1}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28DEBB-D9D3-43F5-8AD1-470B8C5CAA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Z17:AD40</xm:sqref>
        </x14:conditionalFormatting>
        <x14:conditionalFormatting xmlns:xm="http://schemas.microsoft.com/office/excel/2006/main">
          <x14:cfRule type="dataBar" id="{3D614F1D-A718-438A-9839-BCCB1AE2D1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Z52:AD75</xm:sqref>
        </x14:conditionalFormatting>
        <x14:conditionalFormatting xmlns:xm="http://schemas.microsoft.com/office/excel/2006/main">
          <x14:cfRule type="dataBar" id="{68A80865-5561-4D6F-A99E-2DEBFDAA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AG52:AK75</xm:sqref>
        </x14:conditionalFormatting>
        <x14:conditionalFormatting xmlns:xm="http://schemas.microsoft.com/office/excel/2006/main">
          <x14:cfRule type="dataBar" id="{AB87E4FE-9F27-4E86-BA83-7A509A8294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AN52:AR75</xm:sqref>
        </x14:conditionalFormatting>
        <x14:conditionalFormatting xmlns:xm="http://schemas.microsoft.com/office/excel/2006/main">
          <x14:cfRule type="dataBar" id="{CDA8C0B5-FCD2-4714-BF44-9BDD9DCEBE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AU52:AY75</xm:sqref>
        </x14:conditionalFormatting>
        <x14:conditionalFormatting xmlns:xm="http://schemas.microsoft.com/office/excel/2006/main">
          <x14:cfRule type="dataBar" id="{FFA21CE3-7D06-424C-B7F0-3D0C9BB71C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Z87:AD110</xm:sqref>
        </x14:conditionalFormatting>
        <x14:conditionalFormatting xmlns:xm="http://schemas.microsoft.com/office/excel/2006/main">
          <x14:cfRule type="dataBar" id="{8C64C75E-8453-405E-BF2D-DF19185E5C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AG87:AK110</xm:sqref>
        </x14:conditionalFormatting>
        <x14:conditionalFormatting xmlns:xm="http://schemas.microsoft.com/office/excel/2006/main">
          <x14:cfRule type="dataBar" id="{71CB4CD3-A3A6-4E86-9A93-2403362F8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AN87:AR110</xm:sqref>
        </x14:conditionalFormatting>
        <x14:conditionalFormatting xmlns:xm="http://schemas.microsoft.com/office/excel/2006/main">
          <x14:cfRule type="dataBar" id="{1053AA7D-1431-45F2-8DD0-4A4483C466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AU87:AY110</xm:sqref>
        </x14:conditionalFormatting>
        <x14:conditionalFormatting xmlns:xm="http://schemas.microsoft.com/office/excel/2006/main">
          <x14:cfRule type="dataBar" id="{BDCD69FD-E7EC-46E3-AFAB-ED062ABD6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Z122:AD145</xm:sqref>
        </x14:conditionalFormatting>
        <x14:conditionalFormatting xmlns:xm="http://schemas.microsoft.com/office/excel/2006/main">
          <x14:cfRule type="dataBar" id="{AE965B56-2179-45F4-9655-48751D371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AG122:AK145</xm:sqref>
        </x14:conditionalFormatting>
        <x14:conditionalFormatting xmlns:xm="http://schemas.microsoft.com/office/excel/2006/main">
          <x14:cfRule type="dataBar" id="{473E9148-B6F6-45A3-954A-E2A86237F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AN122:AR145</xm:sqref>
        </x14:conditionalFormatting>
        <x14:conditionalFormatting xmlns:xm="http://schemas.microsoft.com/office/excel/2006/main">
          <x14:cfRule type="dataBar" id="{5131A45B-51D8-4C1A-8980-EB9B14B816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AU122:AY145</xm:sqref>
        </x14:conditionalFormatting>
        <x14:conditionalFormatting xmlns:xm="http://schemas.microsoft.com/office/excel/2006/main">
          <x14:cfRule type="dataBar" id="{E83CC592-240A-4174-BEFD-E1836B923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AG17:AK40</xm:sqref>
        </x14:conditionalFormatting>
        <x14:conditionalFormatting xmlns:xm="http://schemas.microsoft.com/office/excel/2006/main">
          <x14:cfRule type="dataBar" id="{93E5CBEF-6399-4F44-A1F8-303D28A16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AN17:AR40</xm:sqref>
        </x14:conditionalFormatting>
        <x14:conditionalFormatting xmlns:xm="http://schemas.microsoft.com/office/excel/2006/main">
          <x14:cfRule type="dataBar" id="{D930285E-5066-4CBB-A92E-0434126F86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AU17:AY40</xm:sqref>
        </x14:conditionalFormatting>
        <x14:conditionalFormatting xmlns:xm="http://schemas.microsoft.com/office/excel/2006/main">
          <x14:cfRule type="dataBar" id="{C0E970A6-D2B3-4E09-869D-BDF0A22348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AG157:AJ180</xm:sqref>
        </x14:conditionalFormatting>
        <x14:conditionalFormatting xmlns:xm="http://schemas.microsoft.com/office/excel/2006/main">
          <x14:cfRule type="dataBar" id="{084FE17D-672A-4833-AC0D-E11EDFDEE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AN157:AQ180</xm:sqref>
        </x14:conditionalFormatting>
        <x14:conditionalFormatting xmlns:xm="http://schemas.microsoft.com/office/excel/2006/main">
          <x14:cfRule type="dataBar" id="{37EA86E7-F431-4171-B427-335E735639A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AU157:AX180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341"/>
  <sheetViews>
    <sheetView tabSelected="1" zoomScale="70" zoomScaleNormal="70" workbookViewId="0">
      <selection activeCell="D3" sqref="D3"/>
    </sheetView>
  </sheetViews>
  <sheetFormatPr defaultRowHeight="16.5"/>
  <cols>
    <col min="1" max="1" width="12.3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7" width="9" bestFit="1" customWidth="1"/>
    <col min="8" max="8" width="7.625" customWidth="1"/>
    <col min="9" max="9" width="7.625" style="98" customWidth="1"/>
    <col min="22" max="22" width="10.625" bestFit="1" customWidth="1"/>
    <col min="36" max="36" width="10.625" bestFit="1" customWidth="1"/>
    <col min="39" max="39" width="14.5" customWidth="1"/>
    <col min="41" max="41" width="32.75" customWidth="1"/>
    <col min="45" max="45" width="13.125" customWidth="1"/>
    <col min="46" max="46" width="11.75" customWidth="1"/>
    <col min="47" max="47" width="23.75" customWidth="1"/>
    <col min="52" max="52" width="10" customWidth="1"/>
    <col min="53" max="53" width="28.75" customWidth="1"/>
    <col min="59" max="59" width="23" bestFit="1" customWidth="1"/>
    <col min="63" max="63" width="9" customWidth="1"/>
    <col min="64" max="64" width="10.75" customWidth="1"/>
    <col min="65" max="65" width="25.75" customWidth="1"/>
  </cols>
  <sheetData>
    <row r="1" spans="1:67" ht="20.25">
      <c r="G1" s="69"/>
      <c r="H1" s="69"/>
      <c r="I1" s="97"/>
    </row>
    <row r="2" spans="1:67" ht="20.25">
      <c r="A2" s="69"/>
      <c r="B2" s="69"/>
      <c r="C2" s="69"/>
      <c r="D2" s="69"/>
      <c r="E2" s="69"/>
      <c r="F2" s="69"/>
      <c r="G2" s="69"/>
      <c r="H2" s="69"/>
      <c r="I2" s="97"/>
    </row>
    <row r="3" spans="1:67">
      <c r="J3" s="65" t="s">
        <v>153</v>
      </c>
      <c r="K3" s="66" t="s">
        <v>111</v>
      </c>
      <c r="L3" s="67" t="s">
        <v>67</v>
      </c>
      <c r="M3" s="62"/>
      <c r="N3" s="65" t="s">
        <v>154</v>
      </c>
      <c r="O3" s="66" t="s">
        <v>111</v>
      </c>
      <c r="P3" s="67" t="s">
        <v>67</v>
      </c>
      <c r="Q3" s="62"/>
      <c r="R3" s="65" t="s">
        <v>155</v>
      </c>
      <c r="S3" s="66" t="s">
        <v>111</v>
      </c>
      <c r="T3" s="67" t="s">
        <v>67</v>
      </c>
      <c r="U3" s="62"/>
      <c r="V3" s="65" t="s">
        <v>156</v>
      </c>
      <c r="W3" s="66" t="s">
        <v>111</v>
      </c>
      <c r="X3" s="67" t="s">
        <v>67</v>
      </c>
      <c r="Y3" s="62"/>
      <c r="Z3" s="65" t="s">
        <v>157</v>
      </c>
      <c r="AA3" s="66" t="s">
        <v>111</v>
      </c>
      <c r="AB3" s="67" t="s">
        <v>67</v>
      </c>
    </row>
    <row r="4" spans="1:67">
      <c r="J4" s="65" t="s">
        <v>161</v>
      </c>
      <c r="K4" s="65">
        <v>14.393076923076922</v>
      </c>
      <c r="L4" s="65">
        <v>3.0961538461538463</v>
      </c>
      <c r="M4" s="62"/>
      <c r="N4" s="65" t="s">
        <v>161</v>
      </c>
      <c r="O4" s="65">
        <v>16.518750000000001</v>
      </c>
      <c r="P4" s="65">
        <v>7.1087500000000006</v>
      </c>
      <c r="Q4" s="62"/>
      <c r="R4" s="65" t="s">
        <v>161</v>
      </c>
      <c r="S4" s="65">
        <v>1.0669999999999999</v>
      </c>
      <c r="T4" s="65">
        <v>9.8279999999999994</v>
      </c>
      <c r="U4" s="62"/>
      <c r="V4" s="65" t="s">
        <v>161</v>
      </c>
      <c r="W4" s="65">
        <v>1.71</v>
      </c>
      <c r="X4" s="65">
        <v>45.81</v>
      </c>
      <c r="Y4" s="62"/>
      <c r="Z4" s="65" t="s">
        <v>161</v>
      </c>
      <c r="AA4" s="65">
        <v>3.2174999999999998</v>
      </c>
      <c r="AB4" s="65">
        <v>2.1549999999999998</v>
      </c>
    </row>
    <row r="5" spans="1:67">
      <c r="J5" s="65" t="s">
        <v>162</v>
      </c>
      <c r="K5" s="65">
        <v>4.6701059670621854</v>
      </c>
      <c r="L5" s="65">
        <v>2.3733750176402744</v>
      </c>
      <c r="M5" s="62"/>
      <c r="N5" s="65" t="s">
        <v>162</v>
      </c>
      <c r="O5" s="65">
        <v>6.2245522383687808</v>
      </c>
      <c r="P5" s="65">
        <v>4.8294946681821687</v>
      </c>
      <c r="Q5" s="62"/>
      <c r="R5" s="65" t="s">
        <v>162</v>
      </c>
      <c r="S5" s="65">
        <v>0.488794435320207</v>
      </c>
      <c r="T5" s="65">
        <v>5.2026454809068055</v>
      </c>
      <c r="U5" s="62"/>
      <c r="V5" s="65" t="s">
        <v>162</v>
      </c>
      <c r="W5" s="65">
        <v>1.5603845679831623</v>
      </c>
      <c r="X5" s="65">
        <v>5.7261068798966068</v>
      </c>
      <c r="Y5" s="62"/>
      <c r="Z5" s="65" t="s">
        <v>162</v>
      </c>
      <c r="AA5" s="65">
        <v>2.1496228905155834</v>
      </c>
      <c r="AB5" s="65">
        <v>3.8310349217187487</v>
      </c>
    </row>
    <row r="6" spans="1:67">
      <c r="A6" s="64">
        <v>46128</v>
      </c>
      <c r="B6" t="s">
        <v>174</v>
      </c>
    </row>
    <row r="7" spans="1:67" ht="31.5">
      <c r="A7" s="89" t="s">
        <v>50</v>
      </c>
      <c r="B7" s="89"/>
      <c r="C7" s="89"/>
      <c r="D7" s="89"/>
      <c r="E7" s="89"/>
      <c r="F7" s="89"/>
    </row>
    <row r="8" spans="1:67" ht="17.25" thickBot="1">
      <c r="Q8" t="s">
        <v>167</v>
      </c>
      <c r="S8" t="s">
        <v>160</v>
      </c>
      <c r="Y8" t="s">
        <v>185</v>
      </c>
    </row>
    <row r="9" spans="1:67" ht="26.25" customHeight="1" thickBot="1">
      <c r="A9" s="90" t="s">
        <v>1</v>
      </c>
      <c r="B9" s="92" t="s">
        <v>62</v>
      </c>
      <c r="C9" s="92" t="s">
        <v>63</v>
      </c>
      <c r="D9" s="90" t="s">
        <v>7</v>
      </c>
      <c r="E9" s="94" t="s">
        <v>8</v>
      </c>
      <c r="F9" s="95"/>
      <c r="G9" s="8"/>
      <c r="H9" s="8"/>
      <c r="I9" s="99"/>
      <c r="J9" s="60" t="s">
        <v>159</v>
      </c>
      <c r="O9">
        <v>100</v>
      </c>
      <c r="Q9" s="60" t="s">
        <v>163</v>
      </c>
      <c r="V9">
        <v>100</v>
      </c>
      <c r="X9" s="60"/>
      <c r="AE9" s="60"/>
      <c r="AO9" t="s">
        <v>153</v>
      </c>
      <c r="AU9" t="s">
        <v>154</v>
      </c>
      <c r="BA9" t="s">
        <v>155</v>
      </c>
      <c r="BG9" t="s">
        <v>156</v>
      </c>
      <c r="BM9" t="s">
        <v>157</v>
      </c>
    </row>
    <row r="10" spans="1:67" ht="33.75" customHeight="1" thickBot="1">
      <c r="A10" s="91"/>
      <c r="B10" s="91"/>
      <c r="C10" s="91"/>
      <c r="D10" s="93"/>
      <c r="E10" s="1" t="s">
        <v>0</v>
      </c>
      <c r="F10" s="4" t="s">
        <v>11</v>
      </c>
      <c r="G10" s="9" t="s">
        <v>66</v>
      </c>
      <c r="H10" s="9" t="s">
        <v>67</v>
      </c>
      <c r="I10" s="100"/>
      <c r="J10" s="60" t="s">
        <v>153</v>
      </c>
      <c r="K10" s="60" t="s">
        <v>154</v>
      </c>
      <c r="L10" s="60" t="s">
        <v>155</v>
      </c>
      <c r="M10" s="60" t="s">
        <v>156</v>
      </c>
      <c r="N10" s="60" t="s">
        <v>157</v>
      </c>
      <c r="O10" s="61" t="s">
        <v>158</v>
      </c>
      <c r="Q10" s="60" t="s">
        <v>153</v>
      </c>
      <c r="R10" s="60" t="s">
        <v>154</v>
      </c>
      <c r="S10" s="60" t="s">
        <v>155</v>
      </c>
      <c r="T10" s="60" t="s">
        <v>156</v>
      </c>
      <c r="U10" s="60" t="s">
        <v>157</v>
      </c>
      <c r="V10" s="61" t="s">
        <v>158</v>
      </c>
      <c r="X10" s="60"/>
      <c r="Y10" s="60"/>
      <c r="Z10" s="60"/>
      <c r="AA10" s="60"/>
      <c r="AB10" s="60"/>
      <c r="AC10" s="61"/>
      <c r="AE10" s="60"/>
      <c r="AF10" s="60"/>
      <c r="AG10" s="60"/>
      <c r="AH10" s="60"/>
      <c r="AI10" s="60"/>
      <c r="AJ10" s="61"/>
      <c r="AM10" s="55" t="s">
        <v>117</v>
      </c>
      <c r="AN10" s="55" t="s">
        <v>118</v>
      </c>
      <c r="AO10" s="55" t="s">
        <v>119</v>
      </c>
      <c r="AP10" s="56" t="s">
        <v>120</v>
      </c>
      <c r="AQ10" s="56" t="s">
        <v>121</v>
      </c>
      <c r="AS10" s="55" t="s">
        <v>117</v>
      </c>
      <c r="AT10" s="55" t="s">
        <v>118</v>
      </c>
      <c r="AU10" s="55" t="s">
        <v>119</v>
      </c>
      <c r="AV10" s="56" t="s">
        <v>120</v>
      </c>
      <c r="AW10" s="56" t="s">
        <v>121</v>
      </c>
      <c r="AY10" s="55" t="s">
        <v>117</v>
      </c>
      <c r="AZ10" s="55" t="s">
        <v>118</v>
      </c>
      <c r="BA10" s="55" t="s">
        <v>119</v>
      </c>
      <c r="BB10" s="56" t="s">
        <v>120</v>
      </c>
      <c r="BC10" s="56" t="s">
        <v>121</v>
      </c>
      <c r="BE10" s="55" t="s">
        <v>117</v>
      </c>
      <c r="BF10" s="55" t="s">
        <v>118</v>
      </c>
      <c r="BG10" s="55" t="s">
        <v>119</v>
      </c>
      <c r="BH10" s="56" t="s">
        <v>120</v>
      </c>
      <c r="BI10" s="56" t="s">
        <v>121</v>
      </c>
      <c r="BK10" s="55" t="s">
        <v>117</v>
      </c>
      <c r="BL10" s="55" t="s">
        <v>118</v>
      </c>
      <c r="BM10" s="55" t="s">
        <v>119</v>
      </c>
      <c r="BN10" s="56" t="s">
        <v>120</v>
      </c>
      <c r="BO10" s="56" t="s">
        <v>121</v>
      </c>
    </row>
    <row r="11" spans="1:67" ht="20.100000000000001" customHeight="1">
      <c r="A11" s="30">
        <v>1</v>
      </c>
      <c r="B11" s="25" t="s">
        <v>17</v>
      </c>
      <c r="C11" s="25" t="s">
        <v>17</v>
      </c>
      <c r="D11" s="10" t="s">
        <v>18</v>
      </c>
      <c r="E11" s="11">
        <v>45394</v>
      </c>
      <c r="F11" s="12">
        <v>0.40625</v>
      </c>
      <c r="G11" s="38">
        <v>6.79</v>
      </c>
      <c r="H11" s="38">
        <v>2.9</v>
      </c>
      <c r="I11" s="101"/>
      <c r="J11" s="72">
        <v>26.85</v>
      </c>
      <c r="K11" s="72">
        <v>4.9400000000000004</v>
      </c>
      <c r="L11" s="72">
        <v>3.55</v>
      </c>
      <c r="M11" s="72">
        <v>0.21</v>
      </c>
      <c r="N11" s="72">
        <v>64.45</v>
      </c>
      <c r="O11" s="73">
        <f>SUM(J11:N11)</f>
        <v>100</v>
      </c>
      <c r="P11" s="74"/>
      <c r="Q11" s="73">
        <v>35.4</v>
      </c>
      <c r="R11" s="73">
        <v>15.4</v>
      </c>
      <c r="S11" s="73">
        <v>13.8</v>
      </c>
      <c r="T11" s="73">
        <v>1.5</v>
      </c>
      <c r="U11" s="73">
        <v>33.900000000000006</v>
      </c>
      <c r="V11" s="73">
        <f>SUM(Q11:U11)</f>
        <v>100</v>
      </c>
      <c r="W11" s="74"/>
      <c r="X11" s="73"/>
      <c r="Y11" s="73"/>
      <c r="Z11" s="73"/>
      <c r="AA11" s="73"/>
      <c r="AB11" s="73"/>
      <c r="AC11" s="73"/>
      <c r="AD11" s="74"/>
      <c r="AE11" s="73"/>
      <c r="AF11" s="73"/>
      <c r="AG11" s="73"/>
      <c r="AH11" s="73"/>
      <c r="AI11" s="73"/>
      <c r="AJ11" s="73"/>
      <c r="AM11" s="57" t="s">
        <v>114</v>
      </c>
      <c r="AN11" s="58" t="s">
        <v>113</v>
      </c>
      <c r="AO11" s="58" t="s">
        <v>49</v>
      </c>
      <c r="AP11" s="59">
        <v>8.52</v>
      </c>
      <c r="AQ11" s="59">
        <v>2.98</v>
      </c>
      <c r="AS11" s="57" t="s">
        <v>74</v>
      </c>
      <c r="AT11" s="58" t="s">
        <v>75</v>
      </c>
      <c r="AU11" s="58" t="s">
        <v>76</v>
      </c>
      <c r="AV11" s="59">
        <v>17.66</v>
      </c>
      <c r="AW11" s="59">
        <v>10.89</v>
      </c>
      <c r="AY11" s="57" t="s">
        <v>101</v>
      </c>
      <c r="AZ11" s="58" t="s">
        <v>138</v>
      </c>
      <c r="BA11" s="58" t="s">
        <v>140</v>
      </c>
      <c r="BB11" s="59">
        <v>0.63</v>
      </c>
      <c r="BC11" s="59">
        <v>10.72</v>
      </c>
      <c r="BE11" s="57" t="s">
        <v>150</v>
      </c>
      <c r="BF11" s="58"/>
      <c r="BG11" s="58" t="s">
        <v>151</v>
      </c>
      <c r="BH11" s="59">
        <v>3.25</v>
      </c>
      <c r="BI11" s="59">
        <v>40.020000000000003</v>
      </c>
      <c r="BK11" s="57" t="s">
        <v>77</v>
      </c>
      <c r="BL11" s="58" t="s">
        <v>75</v>
      </c>
      <c r="BM11" s="58" t="s">
        <v>78</v>
      </c>
      <c r="BN11" s="59">
        <v>1.75</v>
      </c>
      <c r="BO11" s="59">
        <v>7.65</v>
      </c>
    </row>
    <row r="12" spans="1:67" ht="20.100000000000001" customHeight="1">
      <c r="A12" s="22">
        <v>2</v>
      </c>
      <c r="B12" s="14" t="s">
        <v>17</v>
      </c>
      <c r="C12" s="14" t="s">
        <v>17</v>
      </c>
      <c r="D12" s="15" t="s">
        <v>20</v>
      </c>
      <c r="E12" s="16">
        <v>45394</v>
      </c>
      <c r="F12" s="17">
        <v>0.4375</v>
      </c>
      <c r="G12" s="39">
        <v>10.94</v>
      </c>
      <c r="H12" s="39">
        <v>0.19</v>
      </c>
      <c r="I12" s="101"/>
      <c r="J12" s="72">
        <v>4.54</v>
      </c>
      <c r="K12" s="72">
        <v>1.65</v>
      </c>
      <c r="L12" s="72">
        <v>1.35</v>
      </c>
      <c r="M12" s="72">
        <v>0.22</v>
      </c>
      <c r="N12" s="72">
        <v>92.24</v>
      </c>
      <c r="O12" s="73">
        <f t="shared" ref="O12:O34" si="0">SUM(J12:N12)</f>
        <v>100</v>
      </c>
      <c r="P12" s="74"/>
      <c r="Q12" s="73">
        <v>42.1</v>
      </c>
      <c r="R12" s="73">
        <v>17.100000000000001</v>
      </c>
      <c r="S12" s="73">
        <v>9.8000000000000007</v>
      </c>
      <c r="T12" s="73">
        <v>1.2</v>
      </c>
      <c r="U12" s="73">
        <v>29.799999999999997</v>
      </c>
      <c r="V12" s="73">
        <f t="shared" ref="V12:V34" si="1">SUM(Q12:U12)</f>
        <v>100</v>
      </c>
      <c r="W12" s="74"/>
      <c r="X12" s="73"/>
      <c r="Y12" s="73"/>
      <c r="Z12" s="73"/>
      <c r="AA12" s="73"/>
      <c r="AB12" s="73"/>
      <c r="AC12" s="73"/>
      <c r="AD12" s="74"/>
      <c r="AE12" s="73"/>
      <c r="AF12" s="73"/>
      <c r="AG12" s="73"/>
      <c r="AH12" s="73"/>
      <c r="AI12" s="73"/>
      <c r="AJ12" s="73"/>
      <c r="AM12" s="57" t="s">
        <v>115</v>
      </c>
      <c r="AN12" s="58" t="s">
        <v>113</v>
      </c>
      <c r="AO12" s="58" t="s">
        <v>116</v>
      </c>
      <c r="AP12" s="59">
        <v>12.27</v>
      </c>
      <c r="AQ12" s="59">
        <v>4.01</v>
      </c>
      <c r="AS12" s="57" t="s">
        <v>74</v>
      </c>
      <c r="AT12" s="58" t="s">
        <v>75</v>
      </c>
      <c r="AU12" s="58" t="s">
        <v>76</v>
      </c>
      <c r="AV12" s="59">
        <v>18.170000000000002</v>
      </c>
      <c r="AW12" s="59">
        <v>9.27</v>
      </c>
      <c r="AY12" s="57" t="s">
        <v>102</v>
      </c>
      <c r="AZ12" s="58" t="s">
        <v>138</v>
      </c>
      <c r="BA12" s="58" t="s">
        <v>139</v>
      </c>
      <c r="BB12" s="59">
        <v>1.1000000000000001</v>
      </c>
      <c r="BC12" s="59">
        <v>18.05</v>
      </c>
      <c r="BE12" s="57" t="s">
        <v>122</v>
      </c>
      <c r="BF12" s="58"/>
      <c r="BG12" s="58" t="s">
        <v>123</v>
      </c>
      <c r="BH12" s="59">
        <v>1.75</v>
      </c>
      <c r="BI12" s="59">
        <v>45.94</v>
      </c>
      <c r="BK12" s="57" t="s">
        <v>84</v>
      </c>
      <c r="BL12" s="58" t="s">
        <v>71</v>
      </c>
      <c r="BM12" s="58" t="s">
        <v>85</v>
      </c>
      <c r="BN12" s="59">
        <v>4.34</v>
      </c>
      <c r="BO12" s="59">
        <v>0.88</v>
      </c>
    </row>
    <row r="13" spans="1:67" ht="20.100000000000001" customHeight="1">
      <c r="A13" s="22">
        <v>3</v>
      </c>
      <c r="B13" s="14" t="s">
        <v>17</v>
      </c>
      <c r="C13" s="14" t="s">
        <v>17</v>
      </c>
      <c r="D13" s="15" t="s">
        <v>21</v>
      </c>
      <c r="E13" s="16">
        <v>45394</v>
      </c>
      <c r="F13" s="17">
        <v>0.4513888888888889</v>
      </c>
      <c r="G13" s="39">
        <v>10.09</v>
      </c>
      <c r="H13" s="39">
        <v>1.5</v>
      </c>
      <c r="I13" s="101"/>
      <c r="J13" s="72">
        <v>17.760000000000002</v>
      </c>
      <c r="K13" s="72">
        <v>1.07</v>
      </c>
      <c r="L13" s="72">
        <v>2.21</v>
      </c>
      <c r="M13" s="72">
        <v>0.15</v>
      </c>
      <c r="N13" s="72">
        <v>78.81</v>
      </c>
      <c r="O13" s="73">
        <f t="shared" si="0"/>
        <v>100</v>
      </c>
      <c r="P13" s="74"/>
      <c r="Q13" s="73">
        <v>40.300000000000004</v>
      </c>
      <c r="R13" s="73">
        <v>16.5</v>
      </c>
      <c r="S13" s="73">
        <v>10.8</v>
      </c>
      <c r="T13" s="73">
        <v>1.3</v>
      </c>
      <c r="U13" s="73">
        <v>31.1</v>
      </c>
      <c r="V13" s="73">
        <f t="shared" si="1"/>
        <v>100</v>
      </c>
      <c r="W13" s="74"/>
      <c r="X13" s="73"/>
      <c r="Y13" s="73"/>
      <c r="Z13" s="73"/>
      <c r="AA13" s="73"/>
      <c r="AB13" s="73"/>
      <c r="AC13" s="73"/>
      <c r="AD13" s="74"/>
      <c r="AE13" s="73"/>
      <c r="AF13" s="73"/>
      <c r="AG13" s="73"/>
      <c r="AH13" s="73"/>
      <c r="AI13" s="73"/>
      <c r="AJ13" s="73"/>
      <c r="AM13" s="57" t="s">
        <v>115</v>
      </c>
      <c r="AN13" s="58" t="s">
        <v>113</v>
      </c>
      <c r="AO13" s="58" t="s">
        <v>116</v>
      </c>
      <c r="AP13" s="59">
        <v>14.07</v>
      </c>
      <c r="AQ13" s="59">
        <v>3.84</v>
      </c>
      <c r="AS13" s="57" t="s">
        <v>96</v>
      </c>
      <c r="AT13" s="58"/>
      <c r="AU13" s="58" t="s">
        <v>105</v>
      </c>
      <c r="AV13" s="59">
        <v>15.309999999999999</v>
      </c>
      <c r="AW13" s="59">
        <v>3.085</v>
      </c>
      <c r="AY13" s="57" t="s">
        <v>90</v>
      </c>
      <c r="AZ13" s="58"/>
      <c r="BA13" s="58" t="s">
        <v>91</v>
      </c>
      <c r="BB13" s="59">
        <v>1.665</v>
      </c>
      <c r="BC13" s="59">
        <v>4.1099999999999994</v>
      </c>
      <c r="BE13" s="57" t="s">
        <v>135</v>
      </c>
      <c r="BF13" s="58"/>
      <c r="BG13" s="58" t="s">
        <v>123</v>
      </c>
      <c r="BH13" s="59">
        <v>0.13</v>
      </c>
      <c r="BI13" s="59">
        <v>51.47</v>
      </c>
      <c r="BK13" s="57" t="s">
        <v>92</v>
      </c>
      <c r="BL13" s="58"/>
      <c r="BM13" s="58" t="s">
        <v>93</v>
      </c>
      <c r="BN13" s="59">
        <v>3.76</v>
      </c>
      <c r="BO13" s="59">
        <v>8.43</v>
      </c>
    </row>
    <row r="14" spans="1:67" ht="20.100000000000001" customHeight="1">
      <c r="A14" s="22">
        <v>4</v>
      </c>
      <c r="B14" s="14" t="s">
        <v>17</v>
      </c>
      <c r="C14" s="14" t="s">
        <v>17</v>
      </c>
      <c r="D14" s="15" t="s">
        <v>22</v>
      </c>
      <c r="E14" s="16">
        <v>45394</v>
      </c>
      <c r="F14" s="17">
        <v>0.46527777777777773</v>
      </c>
      <c r="G14" s="39">
        <v>10.63</v>
      </c>
      <c r="H14" s="39">
        <v>2.19</v>
      </c>
      <c r="I14" s="101"/>
      <c r="J14" s="72">
        <v>41.45</v>
      </c>
      <c r="K14" s="72">
        <v>1.0900000000000001</v>
      </c>
      <c r="L14" s="72">
        <v>1.73</v>
      </c>
      <c r="M14" s="72">
        <v>0.25</v>
      </c>
      <c r="N14" s="72">
        <v>55.48</v>
      </c>
      <c r="O14" s="73">
        <f t="shared" si="0"/>
        <v>100</v>
      </c>
      <c r="P14" s="74"/>
      <c r="Q14" s="73">
        <v>41.099999999999994</v>
      </c>
      <c r="R14" s="73">
        <v>17.7</v>
      </c>
      <c r="S14" s="73">
        <v>10.9</v>
      </c>
      <c r="T14" s="73">
        <v>1.4</v>
      </c>
      <c r="U14" s="73">
        <v>28.9</v>
      </c>
      <c r="V14" s="73">
        <f t="shared" si="1"/>
        <v>100</v>
      </c>
      <c r="W14" s="74"/>
      <c r="X14" s="73"/>
      <c r="Y14" s="73"/>
      <c r="Z14" s="73"/>
      <c r="AA14" s="73"/>
      <c r="AB14" s="73"/>
      <c r="AC14" s="73"/>
      <c r="AD14" s="74"/>
      <c r="AE14" s="73"/>
      <c r="AF14" s="73"/>
      <c r="AG14" s="73"/>
      <c r="AH14" s="73"/>
      <c r="AI14" s="73"/>
      <c r="AJ14" s="73"/>
      <c r="AM14" s="57" t="s">
        <v>115</v>
      </c>
      <c r="AN14" s="58" t="s">
        <v>113</v>
      </c>
      <c r="AO14" s="58" t="s">
        <v>116</v>
      </c>
      <c r="AP14" s="59">
        <v>12.44</v>
      </c>
      <c r="AQ14" s="59">
        <v>3.65</v>
      </c>
      <c r="AS14" s="57" t="s">
        <v>98</v>
      </c>
      <c r="AT14" s="58"/>
      <c r="AU14" s="58" t="s">
        <v>106</v>
      </c>
      <c r="AV14" s="59">
        <v>19.239999999999998</v>
      </c>
      <c r="AW14" s="59">
        <v>8.4600000000000009</v>
      </c>
      <c r="AY14" s="57" t="s">
        <v>95</v>
      </c>
      <c r="AZ14" s="58"/>
      <c r="BA14" s="58" t="s">
        <v>104</v>
      </c>
      <c r="BB14" s="59">
        <v>1.4100000000000001</v>
      </c>
      <c r="BC14" s="59">
        <v>8.9700000000000006</v>
      </c>
      <c r="BE14" s="57"/>
      <c r="BF14" s="58"/>
      <c r="BG14" s="58"/>
      <c r="BH14" s="59"/>
      <c r="BI14" s="59"/>
      <c r="BK14" s="57" t="s">
        <v>124</v>
      </c>
      <c r="BL14" s="58" t="s">
        <v>125</v>
      </c>
      <c r="BM14" s="58" t="s">
        <v>126</v>
      </c>
      <c r="BN14" s="59">
        <v>2.36</v>
      </c>
      <c r="BO14" s="59">
        <v>-0.6</v>
      </c>
    </row>
    <row r="15" spans="1:67" ht="20.100000000000001" customHeight="1">
      <c r="A15" s="31">
        <v>5</v>
      </c>
      <c r="B15" s="32" t="s">
        <v>23</v>
      </c>
      <c r="C15" s="32" t="s">
        <v>23</v>
      </c>
      <c r="D15" s="33" t="s">
        <v>24</v>
      </c>
      <c r="E15" s="42">
        <v>45394</v>
      </c>
      <c r="F15" s="34">
        <v>0.625</v>
      </c>
      <c r="G15" s="41">
        <v>5.58</v>
      </c>
      <c r="H15" s="41">
        <v>6.49</v>
      </c>
      <c r="I15" s="101"/>
      <c r="J15" s="72">
        <v>16.329999999999998</v>
      </c>
      <c r="K15" s="72">
        <v>9.6999999999999993</v>
      </c>
      <c r="L15" s="72">
        <v>32.26</v>
      </c>
      <c r="M15" s="72">
        <v>2.87</v>
      </c>
      <c r="N15" s="72">
        <v>38.840000000000003</v>
      </c>
      <c r="O15" s="73">
        <f t="shared" si="0"/>
        <v>100</v>
      </c>
      <c r="P15" s="74"/>
      <c r="Q15" s="73">
        <v>25.8</v>
      </c>
      <c r="R15" s="73">
        <v>13.4</v>
      </c>
      <c r="S15" s="73">
        <v>20.599999999999998</v>
      </c>
      <c r="T15" s="73">
        <v>2.2000000000000002</v>
      </c>
      <c r="U15" s="73">
        <v>38</v>
      </c>
      <c r="V15" s="73">
        <f t="shared" si="1"/>
        <v>100</v>
      </c>
      <c r="W15" s="74"/>
      <c r="X15" s="73"/>
      <c r="Y15" s="73"/>
      <c r="Z15" s="73"/>
      <c r="AA15" s="73"/>
      <c r="AB15" s="73"/>
      <c r="AC15" s="73"/>
      <c r="AD15" s="74"/>
      <c r="AE15" s="73"/>
      <c r="AF15" s="73"/>
      <c r="AG15" s="73"/>
      <c r="AH15" s="73"/>
      <c r="AI15" s="73"/>
      <c r="AJ15" s="73"/>
      <c r="AM15" s="57" t="s">
        <v>114</v>
      </c>
      <c r="AN15" s="58" t="s">
        <v>113</v>
      </c>
      <c r="AO15" s="58" t="s">
        <v>49</v>
      </c>
      <c r="AP15" s="59">
        <v>16.52</v>
      </c>
      <c r="AQ15" s="59">
        <v>5.16</v>
      </c>
      <c r="AS15" s="57" t="s">
        <v>136</v>
      </c>
      <c r="AT15" s="58"/>
      <c r="AU15" s="58" t="s">
        <v>108</v>
      </c>
      <c r="AV15" s="59">
        <v>4.09</v>
      </c>
      <c r="AW15" s="59">
        <v>16.754999999999999</v>
      </c>
      <c r="AY15" s="57" t="s">
        <v>97</v>
      </c>
      <c r="AZ15" s="58"/>
      <c r="BA15" s="58" t="s">
        <v>152</v>
      </c>
      <c r="BB15" s="59">
        <v>0.53</v>
      </c>
      <c r="BC15" s="59">
        <v>7.29</v>
      </c>
      <c r="BE15" s="57"/>
      <c r="BF15" s="58"/>
      <c r="BG15" s="58" t="s">
        <v>161</v>
      </c>
      <c r="BH15" s="59">
        <f>AVERAGE(BH11:BH13)</f>
        <v>1.71</v>
      </c>
      <c r="BI15" s="59">
        <f>AVERAGE(BI11:BI13)</f>
        <v>45.81</v>
      </c>
      <c r="BK15" s="57" t="s">
        <v>127</v>
      </c>
      <c r="BL15" s="58" t="s">
        <v>125</v>
      </c>
      <c r="BM15" s="58" t="s">
        <v>128</v>
      </c>
      <c r="BN15" s="59">
        <v>1.86</v>
      </c>
      <c r="BO15" s="59">
        <v>-1.83</v>
      </c>
    </row>
    <row r="16" spans="1:67" ht="20.100000000000001" customHeight="1">
      <c r="A16" s="31">
        <v>6</v>
      </c>
      <c r="B16" s="32" t="s">
        <v>23</v>
      </c>
      <c r="C16" s="32" t="s">
        <v>23</v>
      </c>
      <c r="D16" s="33" t="s">
        <v>25</v>
      </c>
      <c r="E16" s="42">
        <v>45394</v>
      </c>
      <c r="F16" s="34">
        <v>0.63888888888888895</v>
      </c>
      <c r="G16" s="41">
        <v>6.75</v>
      </c>
      <c r="H16" s="41">
        <v>7.6</v>
      </c>
      <c r="I16" s="101"/>
      <c r="J16" s="72">
        <v>21.05</v>
      </c>
      <c r="K16" s="72">
        <v>14.52</v>
      </c>
      <c r="L16" s="72">
        <v>29.81</v>
      </c>
      <c r="M16" s="72">
        <v>5.13</v>
      </c>
      <c r="N16" s="72">
        <v>29.49</v>
      </c>
      <c r="O16" s="73">
        <f t="shared" si="0"/>
        <v>99.999999999999986</v>
      </c>
      <c r="P16" s="74"/>
      <c r="Q16" s="73">
        <v>28.599999999999998</v>
      </c>
      <c r="R16" s="73">
        <v>15.299999999999999</v>
      </c>
      <c r="S16" s="73">
        <v>19.2</v>
      </c>
      <c r="T16" s="73">
        <v>2.1999999999999997</v>
      </c>
      <c r="U16" s="73">
        <v>34.699999999999996</v>
      </c>
      <c r="V16" s="73">
        <f t="shared" si="1"/>
        <v>100</v>
      </c>
      <c r="W16" s="74"/>
      <c r="X16" s="73"/>
      <c r="Y16" s="73"/>
      <c r="Z16" s="73"/>
      <c r="AA16" s="73"/>
      <c r="AB16" s="73"/>
      <c r="AC16" s="73"/>
      <c r="AD16" s="74"/>
      <c r="AE16" s="73"/>
      <c r="AF16" s="73"/>
      <c r="AG16" s="73"/>
      <c r="AH16" s="73"/>
      <c r="AI16" s="73"/>
      <c r="AJ16" s="73"/>
      <c r="AM16" s="57" t="s">
        <v>81</v>
      </c>
      <c r="AN16" s="58" t="s">
        <v>71</v>
      </c>
      <c r="AO16" s="58" t="s">
        <v>82</v>
      </c>
      <c r="AP16" s="59">
        <v>10.89</v>
      </c>
      <c r="AQ16" s="59">
        <v>1.05</v>
      </c>
      <c r="AS16" s="57" t="s">
        <v>100</v>
      </c>
      <c r="AT16" s="58"/>
      <c r="AU16" s="58" t="s">
        <v>109</v>
      </c>
      <c r="AV16" s="59">
        <v>20.925000000000001</v>
      </c>
      <c r="AW16" s="59">
        <v>5.27</v>
      </c>
      <c r="AY16" s="57"/>
      <c r="AZ16" s="58"/>
      <c r="BA16" s="58"/>
      <c r="BB16" s="59"/>
      <c r="BC16" s="59"/>
      <c r="BE16" s="57"/>
      <c r="BF16" s="58"/>
      <c r="BG16" s="58" t="s">
        <v>162</v>
      </c>
      <c r="BH16" s="59">
        <f>_xlfn.STDEV.S(BH11:BH13)</f>
        <v>1.5603845679831623</v>
      </c>
      <c r="BI16" s="59">
        <f>_xlfn.STDEV.S(BI11:BI13)</f>
        <v>5.7261068798966068</v>
      </c>
      <c r="BK16" s="57" t="s">
        <v>129</v>
      </c>
      <c r="BL16" s="58" t="s">
        <v>125</v>
      </c>
      <c r="BM16" s="58" t="s">
        <v>130</v>
      </c>
      <c r="BN16" s="59">
        <v>7.77</v>
      </c>
      <c r="BO16" s="59">
        <v>2.4</v>
      </c>
    </row>
    <row r="17" spans="1:67" ht="20.100000000000001" customHeight="1">
      <c r="A17" s="31">
        <v>7</v>
      </c>
      <c r="B17" s="32" t="s">
        <v>23</v>
      </c>
      <c r="C17" s="32" t="s">
        <v>23</v>
      </c>
      <c r="D17" s="33" t="s">
        <v>26</v>
      </c>
      <c r="E17" s="42">
        <v>45393</v>
      </c>
      <c r="F17" s="34">
        <v>0.63888888888888895</v>
      </c>
      <c r="G17" s="41">
        <v>8.2100000000000009</v>
      </c>
      <c r="H17" s="41">
        <v>5.56</v>
      </c>
      <c r="I17" s="101"/>
      <c r="J17" s="75">
        <v>27.84</v>
      </c>
      <c r="K17" s="75">
        <v>17.739999999999998</v>
      </c>
      <c r="L17" s="75">
        <v>20.02</v>
      </c>
      <c r="M17" s="75">
        <v>1.75</v>
      </c>
      <c r="N17" s="75">
        <v>32.65</v>
      </c>
      <c r="O17" s="74">
        <f t="shared" si="0"/>
        <v>100</v>
      </c>
      <c r="P17" s="74"/>
      <c r="Q17" s="76">
        <v>32.700000000000003</v>
      </c>
      <c r="R17" s="76">
        <v>16.5</v>
      </c>
      <c r="S17" s="76">
        <v>15.6</v>
      </c>
      <c r="T17" s="76">
        <v>1.9</v>
      </c>
      <c r="U17" s="76">
        <v>33.300000000000004</v>
      </c>
      <c r="V17" s="74">
        <f t="shared" si="1"/>
        <v>100</v>
      </c>
      <c r="W17" s="74"/>
      <c r="X17" s="76"/>
      <c r="Y17" s="76"/>
      <c r="Z17" s="76"/>
      <c r="AA17" s="76"/>
      <c r="AB17" s="76"/>
      <c r="AC17" s="74"/>
      <c r="AD17" s="74"/>
      <c r="AE17" s="76"/>
      <c r="AF17" s="76"/>
      <c r="AG17" s="76"/>
      <c r="AH17" s="76"/>
      <c r="AI17" s="76"/>
      <c r="AJ17" s="74"/>
      <c r="AM17" s="57" t="s">
        <v>70</v>
      </c>
      <c r="AN17" s="58" t="s">
        <v>71</v>
      </c>
      <c r="AO17" s="58" t="s">
        <v>83</v>
      </c>
      <c r="AP17" s="59">
        <v>19.190000000000001</v>
      </c>
      <c r="AQ17" s="59">
        <v>4</v>
      </c>
      <c r="AS17" s="57" t="s">
        <v>148</v>
      </c>
      <c r="AT17" s="58"/>
      <c r="AU17" s="58" t="s">
        <v>149</v>
      </c>
      <c r="AV17" s="59">
        <v>24.47</v>
      </c>
      <c r="AW17" s="59">
        <v>-0.67</v>
      </c>
      <c r="AY17" s="57"/>
      <c r="AZ17" s="58"/>
      <c r="BA17" s="58" t="s">
        <v>161</v>
      </c>
      <c r="BB17" s="59">
        <f>AVERAGE(BB11:BB15)</f>
        <v>1.0669999999999999</v>
      </c>
      <c r="BC17" s="59">
        <f>AVERAGE(BC11:BC15)</f>
        <v>9.8279999999999994</v>
      </c>
      <c r="BK17" s="57" t="s">
        <v>131</v>
      </c>
      <c r="BL17" s="58" t="s">
        <v>125</v>
      </c>
      <c r="BM17" s="58" t="s">
        <v>132</v>
      </c>
      <c r="BN17" s="59">
        <v>0.92</v>
      </c>
      <c r="BO17" s="59">
        <v>0.08</v>
      </c>
    </row>
    <row r="18" spans="1:67" s="7" customFormat="1" ht="20.100000000000001" customHeight="1">
      <c r="A18" s="31">
        <v>8</v>
      </c>
      <c r="B18" s="32" t="s">
        <v>23</v>
      </c>
      <c r="C18" s="32" t="s">
        <v>27</v>
      </c>
      <c r="D18" s="33" t="s">
        <v>28</v>
      </c>
      <c r="E18" s="42">
        <v>45393</v>
      </c>
      <c r="F18" s="34">
        <v>0.65277777777777779</v>
      </c>
      <c r="G18" s="41">
        <v>1.58</v>
      </c>
      <c r="H18" s="41">
        <v>-0.43</v>
      </c>
      <c r="I18" s="101"/>
      <c r="J18" s="72">
        <v>11.21</v>
      </c>
      <c r="K18" s="72">
        <v>3.04</v>
      </c>
      <c r="L18" s="72">
        <v>1.08</v>
      </c>
      <c r="M18" s="72">
        <v>0.09</v>
      </c>
      <c r="N18" s="72">
        <v>84.58</v>
      </c>
      <c r="O18" s="73">
        <f t="shared" si="0"/>
        <v>100</v>
      </c>
      <c r="P18" s="74"/>
      <c r="Q18" s="73">
        <v>18.7</v>
      </c>
      <c r="R18" s="73">
        <v>7.8</v>
      </c>
      <c r="S18" s="73">
        <v>17.599999999999998</v>
      </c>
      <c r="T18" s="73">
        <v>1.0999999999999999</v>
      </c>
      <c r="U18" s="73">
        <v>54.800000000000004</v>
      </c>
      <c r="V18" s="73">
        <f t="shared" si="1"/>
        <v>100</v>
      </c>
      <c r="W18" s="74"/>
      <c r="X18" s="73"/>
      <c r="Y18" s="73"/>
      <c r="Z18" s="73"/>
      <c r="AA18" s="73"/>
      <c r="AB18" s="73"/>
      <c r="AC18" s="73"/>
      <c r="AD18" s="74"/>
      <c r="AE18" s="73"/>
      <c r="AF18" s="73"/>
      <c r="AG18" s="73"/>
      <c r="AH18" s="73"/>
      <c r="AI18" s="73"/>
      <c r="AJ18" s="73"/>
      <c r="AM18" s="57" t="s">
        <v>70</v>
      </c>
      <c r="AN18" s="58" t="s">
        <v>71</v>
      </c>
      <c r="AO18" s="58" t="s">
        <v>86</v>
      </c>
      <c r="AP18" s="59">
        <v>15.92</v>
      </c>
      <c r="AQ18" s="59">
        <v>-0.37</v>
      </c>
      <c r="AS18" s="57" t="s">
        <v>137</v>
      </c>
      <c r="AT18" s="58"/>
      <c r="AU18" s="58" t="s">
        <v>110</v>
      </c>
      <c r="AV18" s="59">
        <v>24.39</v>
      </c>
      <c r="AW18" s="59">
        <v>1.3149999999999999</v>
      </c>
      <c r="AY18" s="57"/>
      <c r="AZ18" s="58"/>
      <c r="BA18" s="58" t="s">
        <v>162</v>
      </c>
      <c r="BB18" s="59">
        <f>_xlfn.STDEV.S(BB11:BB15)</f>
        <v>0.488794435320207</v>
      </c>
      <c r="BC18" s="59">
        <f>_xlfn.STDEV.S(BC11:BC15)</f>
        <v>5.2026454809068055</v>
      </c>
      <c r="BK18" s="57" t="s">
        <v>133</v>
      </c>
      <c r="BL18" s="58" t="s">
        <v>125</v>
      </c>
      <c r="BM18" s="58" t="s">
        <v>134</v>
      </c>
      <c r="BN18" s="59">
        <v>2.98</v>
      </c>
      <c r="BO18" s="59">
        <v>0.23</v>
      </c>
    </row>
    <row r="19" spans="1:67" ht="20.100000000000001" customHeight="1">
      <c r="A19" s="31">
        <v>9</v>
      </c>
      <c r="B19" s="32" t="s">
        <v>23</v>
      </c>
      <c r="C19" s="32" t="s">
        <v>27</v>
      </c>
      <c r="D19" s="33" t="s">
        <v>30</v>
      </c>
      <c r="E19" s="42">
        <v>45393</v>
      </c>
      <c r="F19" s="34">
        <v>0.64236111111111105</v>
      </c>
      <c r="G19" s="41">
        <v>12.48</v>
      </c>
      <c r="H19" s="41">
        <v>2.62</v>
      </c>
      <c r="I19" s="101"/>
      <c r="J19" s="72">
        <v>65.930000000000007</v>
      </c>
      <c r="K19" s="72">
        <v>1.47</v>
      </c>
      <c r="L19" s="72">
        <v>1.0900000000000001</v>
      </c>
      <c r="M19" s="72">
        <v>0.43</v>
      </c>
      <c r="N19" s="72">
        <v>31.08</v>
      </c>
      <c r="O19" s="73">
        <f t="shared" si="0"/>
        <v>100.00000000000001</v>
      </c>
      <c r="P19" s="74"/>
      <c r="Q19" s="73">
        <v>45.6</v>
      </c>
      <c r="R19" s="73">
        <v>19.400000000000002</v>
      </c>
      <c r="S19" s="73">
        <v>9.5</v>
      </c>
      <c r="T19" s="73">
        <v>1.4000000000000001</v>
      </c>
      <c r="U19" s="73">
        <v>24.099999999999998</v>
      </c>
      <c r="V19" s="73">
        <f t="shared" si="1"/>
        <v>100</v>
      </c>
      <c r="W19" s="74"/>
      <c r="X19" s="73"/>
      <c r="Y19" s="73"/>
      <c r="Z19" s="73"/>
      <c r="AA19" s="73"/>
      <c r="AB19" s="73"/>
      <c r="AC19" s="73"/>
      <c r="AD19" s="74"/>
      <c r="AE19" s="73"/>
      <c r="AF19" s="73"/>
      <c r="AG19" s="73"/>
      <c r="AH19" s="73"/>
      <c r="AI19" s="73"/>
      <c r="AJ19" s="73"/>
      <c r="AM19" s="57" t="s">
        <v>141</v>
      </c>
      <c r="AN19" s="58" t="s">
        <v>72</v>
      </c>
      <c r="AO19" s="58" t="s">
        <v>142</v>
      </c>
      <c r="AP19" s="59">
        <v>13.38</v>
      </c>
      <c r="AQ19" s="59">
        <v>4.66</v>
      </c>
      <c r="AS19" s="57" t="s">
        <v>89</v>
      </c>
      <c r="AT19" s="58"/>
      <c r="AU19" s="58" t="s">
        <v>88</v>
      </c>
      <c r="AV19" s="59">
        <v>18.195</v>
      </c>
      <c r="AW19" s="59">
        <v>4.7449999999999992</v>
      </c>
      <c r="BK19" s="57"/>
      <c r="BL19" s="58"/>
      <c r="BM19" s="58"/>
      <c r="BN19" s="59"/>
      <c r="BO19" s="59"/>
    </row>
    <row r="20" spans="1:67" ht="20.100000000000001" customHeight="1">
      <c r="A20" s="22">
        <v>10</v>
      </c>
      <c r="B20" s="14" t="s">
        <v>31</v>
      </c>
      <c r="C20" s="14" t="s">
        <v>31</v>
      </c>
      <c r="D20" s="15" t="s">
        <v>32</v>
      </c>
      <c r="E20" s="16">
        <v>45394</v>
      </c>
      <c r="F20" s="17">
        <v>0.55902777777777779</v>
      </c>
      <c r="G20" s="39">
        <v>8.51</v>
      </c>
      <c r="H20" s="39">
        <v>8.32</v>
      </c>
      <c r="I20" s="101"/>
      <c r="J20" s="75">
        <v>23.27</v>
      </c>
      <c r="K20" s="75">
        <v>24.51</v>
      </c>
      <c r="L20" s="75">
        <v>21.85</v>
      </c>
      <c r="M20" s="75">
        <v>7.01</v>
      </c>
      <c r="N20" s="75">
        <v>23.36</v>
      </c>
      <c r="O20" s="74">
        <f t="shared" si="0"/>
        <v>100</v>
      </c>
      <c r="P20" s="74"/>
      <c r="Q20" s="76">
        <v>32.1</v>
      </c>
      <c r="R20" s="76">
        <v>18.099999999999998</v>
      </c>
      <c r="S20" s="76">
        <v>16.900000000000002</v>
      </c>
      <c r="T20" s="76">
        <v>2.4</v>
      </c>
      <c r="U20" s="76">
        <v>30.5</v>
      </c>
      <c r="V20" s="74">
        <f t="shared" si="1"/>
        <v>100.00000000000001</v>
      </c>
      <c r="W20" s="74"/>
      <c r="X20" s="76"/>
      <c r="Y20" s="76"/>
      <c r="Z20" s="76"/>
      <c r="AA20" s="76"/>
      <c r="AB20" s="76"/>
      <c r="AC20" s="74"/>
      <c r="AD20" s="74"/>
      <c r="AE20" s="76"/>
      <c r="AF20" s="76"/>
      <c r="AG20" s="76"/>
      <c r="AH20" s="76"/>
      <c r="AI20" s="76"/>
      <c r="AJ20" s="74"/>
      <c r="AM20" s="57" t="s">
        <v>69</v>
      </c>
      <c r="AN20" s="58" t="s">
        <v>73</v>
      </c>
      <c r="AO20" s="58" t="s">
        <v>87</v>
      </c>
      <c r="AP20" s="59">
        <v>7.56</v>
      </c>
      <c r="AQ20" s="59">
        <v>-0.25</v>
      </c>
      <c r="AS20" s="57" t="s">
        <v>79</v>
      </c>
      <c r="AT20" s="58" t="s">
        <v>72</v>
      </c>
      <c r="AU20" s="58" t="s">
        <v>80</v>
      </c>
      <c r="AV20" s="59">
        <v>9.6</v>
      </c>
      <c r="AW20" s="59">
        <v>5.88</v>
      </c>
      <c r="BK20" s="57"/>
      <c r="BL20" s="58"/>
      <c r="BM20" s="58" t="s">
        <v>161</v>
      </c>
      <c r="BN20" s="59">
        <f>AVERAGE(BN11:BN18)</f>
        <v>3.2174999999999998</v>
      </c>
      <c r="BO20" s="59">
        <f>AVERAGE(BO11:BO18)</f>
        <v>2.1549999999999998</v>
      </c>
    </row>
    <row r="21" spans="1:67" ht="20.100000000000001" customHeight="1">
      <c r="A21" s="22">
        <v>11</v>
      </c>
      <c r="B21" s="14" t="s">
        <v>31</v>
      </c>
      <c r="C21" s="14" t="s">
        <v>31</v>
      </c>
      <c r="D21" s="15" t="s">
        <v>33</v>
      </c>
      <c r="E21" s="16">
        <v>45394</v>
      </c>
      <c r="F21" s="17">
        <v>0.60416666666666663</v>
      </c>
      <c r="G21" s="39">
        <v>8.24</v>
      </c>
      <c r="H21" s="39">
        <v>6.51</v>
      </c>
      <c r="I21" s="101"/>
      <c r="J21" s="75">
        <v>24.7</v>
      </c>
      <c r="K21" s="75">
        <v>21.21</v>
      </c>
      <c r="L21" s="75">
        <v>23.14</v>
      </c>
      <c r="M21" s="75">
        <v>3.01</v>
      </c>
      <c r="N21" s="75">
        <v>27.94</v>
      </c>
      <c r="O21" s="74">
        <f t="shared" si="0"/>
        <v>100</v>
      </c>
      <c r="P21" s="74"/>
      <c r="Q21" s="76">
        <v>33.5</v>
      </c>
      <c r="R21" s="76">
        <v>16.5</v>
      </c>
      <c r="S21" s="76">
        <v>16.100000000000001</v>
      </c>
      <c r="T21" s="76">
        <v>2</v>
      </c>
      <c r="U21" s="76">
        <v>31.900000000000002</v>
      </c>
      <c r="V21" s="74">
        <f t="shared" si="1"/>
        <v>100</v>
      </c>
      <c r="W21" s="74"/>
      <c r="X21" s="76"/>
      <c r="Y21" s="76"/>
      <c r="Z21" s="76"/>
      <c r="AA21" s="76"/>
      <c r="AB21" s="76"/>
      <c r="AC21" s="74"/>
      <c r="AD21" s="74"/>
      <c r="AE21" s="76"/>
      <c r="AF21" s="76"/>
      <c r="AG21" s="76"/>
      <c r="AH21" s="76"/>
      <c r="AI21" s="76"/>
      <c r="AJ21" s="74"/>
      <c r="AM21" s="57" t="s">
        <v>143</v>
      </c>
      <c r="AN21" s="58" t="s">
        <v>72</v>
      </c>
      <c r="AO21" s="58" t="s">
        <v>144</v>
      </c>
      <c r="AP21" s="59">
        <v>20.5</v>
      </c>
      <c r="AQ21" s="59">
        <v>5.45</v>
      </c>
      <c r="AS21" s="57" t="s">
        <v>94</v>
      </c>
      <c r="AT21" s="58"/>
      <c r="AU21" s="58" t="s">
        <v>103</v>
      </c>
      <c r="AV21" s="59">
        <v>8.6150000000000002</v>
      </c>
      <c r="AW21" s="59">
        <v>11.465</v>
      </c>
      <c r="BK21" s="57"/>
      <c r="BL21" s="58"/>
      <c r="BM21" s="58" t="s">
        <v>162</v>
      </c>
      <c r="BN21" s="59">
        <f>_xlfn.STDEV.S(BN11:BN18)</f>
        <v>2.1496228905155834</v>
      </c>
      <c r="BO21" s="59">
        <f>_xlfn.STDEV.S(BO11:BO18)</f>
        <v>3.8310349217187487</v>
      </c>
    </row>
    <row r="22" spans="1:67" ht="20.100000000000001" customHeight="1">
      <c r="A22" s="22">
        <v>12</v>
      </c>
      <c r="B22" s="14" t="s">
        <v>31</v>
      </c>
      <c r="C22" s="14" t="s">
        <v>31</v>
      </c>
      <c r="D22" s="15" t="s">
        <v>34</v>
      </c>
      <c r="E22" s="16">
        <v>45394</v>
      </c>
      <c r="F22" s="17">
        <v>0.61111111111111105</v>
      </c>
      <c r="G22" s="39">
        <v>8.6199999999999992</v>
      </c>
      <c r="H22" s="39">
        <v>5.83</v>
      </c>
      <c r="I22" s="101"/>
      <c r="J22" s="75">
        <v>26.91</v>
      </c>
      <c r="K22" s="75">
        <v>21.3</v>
      </c>
      <c r="L22" s="75">
        <v>19.05</v>
      </c>
      <c r="M22" s="75">
        <v>2.14</v>
      </c>
      <c r="N22" s="75">
        <v>30.6</v>
      </c>
      <c r="O22" s="74">
        <f t="shared" si="0"/>
        <v>100</v>
      </c>
      <c r="P22" s="74"/>
      <c r="Q22" s="76">
        <v>34.599999999999994</v>
      </c>
      <c r="R22" s="76">
        <v>16.8</v>
      </c>
      <c r="S22" s="76">
        <v>14.899999999999999</v>
      </c>
      <c r="T22" s="76">
        <v>1.7999999999999998</v>
      </c>
      <c r="U22" s="76">
        <v>31.900000000000002</v>
      </c>
      <c r="V22" s="74">
        <f t="shared" si="1"/>
        <v>99.999999999999986</v>
      </c>
      <c r="W22" s="74"/>
      <c r="X22" s="76"/>
      <c r="Y22" s="76"/>
      <c r="Z22" s="76"/>
      <c r="AA22" s="76"/>
      <c r="AB22" s="76"/>
      <c r="AC22" s="74"/>
      <c r="AD22" s="74"/>
      <c r="AE22" s="76"/>
      <c r="AF22" s="76"/>
      <c r="AG22" s="76"/>
      <c r="AH22" s="76"/>
      <c r="AI22" s="76"/>
      <c r="AJ22" s="74"/>
      <c r="AM22" s="57" t="s">
        <v>145</v>
      </c>
      <c r="AN22" s="58" t="s">
        <v>72</v>
      </c>
      <c r="AO22" s="58" t="s">
        <v>146</v>
      </c>
      <c r="AP22" s="59">
        <v>23.7</v>
      </c>
      <c r="AQ22" s="59">
        <v>6.6</v>
      </c>
      <c r="AS22" s="57" t="s">
        <v>99</v>
      </c>
      <c r="AT22" s="58"/>
      <c r="AU22" s="58" t="s">
        <v>107</v>
      </c>
      <c r="AV22" s="59">
        <v>17.560000000000002</v>
      </c>
      <c r="AW22" s="59">
        <v>8.84</v>
      </c>
    </row>
    <row r="23" spans="1:67" ht="20.100000000000001" customHeight="1">
      <c r="A23" s="22">
        <v>13</v>
      </c>
      <c r="B23" s="14" t="s">
        <v>31</v>
      </c>
      <c r="C23" s="14" t="s">
        <v>35</v>
      </c>
      <c r="D23" s="15" t="s">
        <v>36</v>
      </c>
      <c r="E23" s="16">
        <v>45394</v>
      </c>
      <c r="F23" s="17">
        <v>0.59375</v>
      </c>
      <c r="G23" s="39">
        <v>9.1300000000000008</v>
      </c>
      <c r="H23" s="39">
        <v>4.09</v>
      </c>
      <c r="I23" s="101"/>
      <c r="J23" s="72">
        <v>39.909999999999997</v>
      </c>
      <c r="K23" s="72">
        <v>11.57</v>
      </c>
      <c r="L23" s="72">
        <v>5.29</v>
      </c>
      <c r="M23" s="72">
        <v>1.39</v>
      </c>
      <c r="N23" s="72">
        <v>41.84</v>
      </c>
      <c r="O23" s="73">
        <f t="shared" si="0"/>
        <v>100</v>
      </c>
      <c r="P23" s="74"/>
      <c r="Q23" s="73">
        <v>36.299999999999997</v>
      </c>
      <c r="R23" s="73">
        <v>17</v>
      </c>
      <c r="S23" s="73">
        <v>13.3</v>
      </c>
      <c r="T23" s="73">
        <v>1.5</v>
      </c>
      <c r="U23" s="73">
        <v>31.900000000000002</v>
      </c>
      <c r="V23" s="73">
        <f t="shared" si="1"/>
        <v>100</v>
      </c>
      <c r="W23" s="74"/>
      <c r="X23" s="73"/>
      <c r="Y23" s="73"/>
      <c r="Z23" s="73"/>
      <c r="AA23" s="73"/>
      <c r="AB23" s="73"/>
      <c r="AC23" s="73"/>
      <c r="AD23" s="74"/>
      <c r="AE23" s="73"/>
      <c r="AF23" s="73"/>
      <c r="AG23" s="73"/>
      <c r="AH23" s="73"/>
      <c r="AI23" s="73"/>
      <c r="AJ23" s="73"/>
      <c r="AM23" s="57" t="s">
        <v>147</v>
      </c>
      <c r="AN23" s="58" t="s">
        <v>72</v>
      </c>
      <c r="AO23" s="58" t="s">
        <v>144</v>
      </c>
      <c r="AP23" s="59">
        <v>12.15</v>
      </c>
      <c r="AQ23" s="59">
        <v>-0.53</v>
      </c>
      <c r="AS23" s="57"/>
      <c r="AT23" s="58"/>
      <c r="AU23" s="58"/>
      <c r="AV23" s="59"/>
      <c r="AW23" s="59"/>
    </row>
    <row r="24" spans="1:67" ht="20.100000000000001" customHeight="1">
      <c r="A24" s="22">
        <v>14</v>
      </c>
      <c r="B24" s="14" t="s">
        <v>31</v>
      </c>
      <c r="C24" s="14" t="s">
        <v>5</v>
      </c>
      <c r="D24" s="15" t="s">
        <v>29</v>
      </c>
      <c r="E24" s="16">
        <v>45394</v>
      </c>
      <c r="F24" s="17">
        <v>0.58680555555555558</v>
      </c>
      <c r="G24" s="39">
        <v>8.94</v>
      </c>
      <c r="H24" s="39">
        <v>4.2699999999999996</v>
      </c>
      <c r="I24" s="101"/>
      <c r="J24" s="72">
        <v>35.409999999999997</v>
      </c>
      <c r="K24" s="72">
        <v>14.64</v>
      </c>
      <c r="L24" s="72">
        <v>7.44</v>
      </c>
      <c r="M24" s="72">
        <v>1.17</v>
      </c>
      <c r="N24" s="72">
        <v>41.34</v>
      </c>
      <c r="O24" s="73">
        <f t="shared" si="0"/>
        <v>100</v>
      </c>
      <c r="P24" s="74"/>
      <c r="Q24" s="73">
        <v>36.1</v>
      </c>
      <c r="R24" s="73">
        <v>16.5</v>
      </c>
      <c r="S24" s="73">
        <v>13.600000000000001</v>
      </c>
      <c r="T24" s="73">
        <v>1.6</v>
      </c>
      <c r="U24" s="73">
        <v>32.200000000000003</v>
      </c>
      <c r="V24" s="73">
        <f t="shared" si="1"/>
        <v>100</v>
      </c>
      <c r="W24" s="74"/>
      <c r="X24" s="73"/>
      <c r="Y24" s="73"/>
      <c r="Z24" s="73"/>
      <c r="AA24" s="73"/>
      <c r="AB24" s="73"/>
      <c r="AC24" s="73"/>
      <c r="AD24" s="74"/>
      <c r="AE24" s="73"/>
      <c r="AF24" s="73"/>
      <c r="AG24" s="73"/>
      <c r="AH24" s="73"/>
      <c r="AI24" s="73"/>
      <c r="AJ24" s="73"/>
      <c r="AM24" s="57"/>
      <c r="AN24" s="58"/>
      <c r="AO24" s="58"/>
      <c r="AP24" s="59"/>
      <c r="AQ24" s="59"/>
      <c r="AS24" s="57"/>
      <c r="AT24" s="58"/>
      <c r="AU24" s="58" t="s">
        <v>161</v>
      </c>
      <c r="AV24" s="59">
        <f>AVERAGE(AV11:AV22)</f>
        <v>16.518750000000001</v>
      </c>
      <c r="AW24" s="59">
        <f>AVERAGE(AW11:AW22)</f>
        <v>7.1087500000000006</v>
      </c>
    </row>
    <row r="25" spans="1:67" ht="20.100000000000001" customHeight="1">
      <c r="A25" s="22">
        <v>15</v>
      </c>
      <c r="B25" s="14" t="s">
        <v>31</v>
      </c>
      <c r="C25" s="14" t="s">
        <v>35</v>
      </c>
      <c r="D25" s="15" t="s">
        <v>29</v>
      </c>
      <c r="E25" s="16">
        <v>45394</v>
      </c>
      <c r="F25" s="17">
        <v>0.58333333333333337</v>
      </c>
      <c r="G25" s="39">
        <v>10.39</v>
      </c>
      <c r="H25" s="39">
        <v>5.64</v>
      </c>
      <c r="I25" s="101"/>
      <c r="J25" s="75">
        <v>31.42</v>
      </c>
      <c r="K25" s="75">
        <v>29.22</v>
      </c>
      <c r="L25" s="75">
        <v>11.45</v>
      </c>
      <c r="M25" s="75">
        <v>2.0299999999999998</v>
      </c>
      <c r="N25" s="75">
        <v>25.88</v>
      </c>
      <c r="O25" s="74">
        <f t="shared" si="0"/>
        <v>100</v>
      </c>
      <c r="P25" s="74"/>
      <c r="Q25" s="76">
        <v>38.700000000000003</v>
      </c>
      <c r="R25" s="76">
        <v>19.100000000000001</v>
      </c>
      <c r="S25" s="76">
        <v>12.8</v>
      </c>
      <c r="T25" s="76">
        <v>1.7999999999999998</v>
      </c>
      <c r="U25" s="76">
        <v>27.6</v>
      </c>
      <c r="V25" s="74">
        <f t="shared" si="1"/>
        <v>100</v>
      </c>
      <c r="W25" s="74"/>
      <c r="X25" s="76"/>
      <c r="Y25" s="76"/>
      <c r="Z25" s="76"/>
      <c r="AA25" s="76"/>
      <c r="AB25" s="76"/>
      <c r="AC25" s="74"/>
      <c r="AD25" s="74"/>
      <c r="AE25" s="76"/>
      <c r="AF25" s="76"/>
      <c r="AG25" s="76"/>
      <c r="AH25" s="76"/>
      <c r="AI25" s="76"/>
      <c r="AJ25" s="74"/>
      <c r="AM25" s="57"/>
      <c r="AN25" s="58"/>
      <c r="AO25" s="58" t="s">
        <v>161</v>
      </c>
      <c r="AP25" s="59">
        <f>AVERAGE(AP11:AP23)</f>
        <v>14.393076923076922</v>
      </c>
      <c r="AQ25" s="59">
        <f>AVERAGE(AQ11:AQ23)</f>
        <v>3.0961538461538463</v>
      </c>
      <c r="AS25" s="57"/>
      <c r="AT25" s="58"/>
      <c r="AU25" s="58" t="s">
        <v>162</v>
      </c>
      <c r="AV25" s="59">
        <f>_xlfn.STDEV.S(AV11:AV22)</f>
        <v>6.2245522383687808</v>
      </c>
      <c r="AW25" s="59">
        <f>_xlfn.STDEV.S(AW11:AW22)</f>
        <v>4.8294946681821687</v>
      </c>
    </row>
    <row r="26" spans="1:67" ht="20.100000000000001" customHeight="1">
      <c r="A26" s="31">
        <v>16</v>
      </c>
      <c r="B26" s="32" t="s">
        <v>38</v>
      </c>
      <c r="C26" s="32" t="s">
        <v>38</v>
      </c>
      <c r="D26" s="33" t="s">
        <v>39</v>
      </c>
      <c r="E26" s="42">
        <v>45394</v>
      </c>
      <c r="F26" s="34">
        <v>0.60763888888888895</v>
      </c>
      <c r="G26" s="41">
        <v>7.92</v>
      </c>
      <c r="H26" s="41">
        <v>4.59</v>
      </c>
      <c r="I26" s="101"/>
      <c r="J26" s="72">
        <v>27.95</v>
      </c>
      <c r="K26" s="72">
        <v>14.13</v>
      </c>
      <c r="L26" s="72">
        <v>11.37</v>
      </c>
      <c r="M26" s="72">
        <v>1.34</v>
      </c>
      <c r="N26" s="72">
        <v>45.21</v>
      </c>
      <c r="O26" s="73">
        <f t="shared" si="0"/>
        <v>100</v>
      </c>
      <c r="P26" s="74"/>
      <c r="Q26" s="73">
        <v>33</v>
      </c>
      <c r="R26" s="73">
        <v>15.5</v>
      </c>
      <c r="S26" s="73">
        <v>15.4</v>
      </c>
      <c r="T26" s="73">
        <v>1.6</v>
      </c>
      <c r="U26" s="73">
        <v>34.5</v>
      </c>
      <c r="V26" s="73">
        <f t="shared" si="1"/>
        <v>100</v>
      </c>
      <c r="W26" s="74"/>
      <c r="X26" s="73"/>
      <c r="Y26" s="73"/>
      <c r="Z26" s="73"/>
      <c r="AA26" s="73"/>
      <c r="AB26" s="73"/>
      <c r="AC26" s="73"/>
      <c r="AD26" s="74"/>
      <c r="AE26" s="73"/>
      <c r="AF26" s="73"/>
      <c r="AG26" s="73"/>
      <c r="AH26" s="73"/>
      <c r="AI26" s="73"/>
      <c r="AJ26" s="73"/>
      <c r="AM26" s="57"/>
      <c r="AN26" s="58"/>
      <c r="AO26" s="58" t="s">
        <v>162</v>
      </c>
      <c r="AP26" s="59">
        <f>_xlfn.STDEV.S(AP11:AP23)</f>
        <v>4.6701059670621854</v>
      </c>
      <c r="AQ26" s="59">
        <f>_xlfn.STDEV.S(AQ11:AQ23)</f>
        <v>2.3733750176402744</v>
      </c>
    </row>
    <row r="27" spans="1:67" ht="20.100000000000001" customHeight="1">
      <c r="A27" s="31">
        <v>17</v>
      </c>
      <c r="B27" s="32" t="s">
        <v>38</v>
      </c>
      <c r="C27" s="32" t="s">
        <v>38</v>
      </c>
      <c r="D27" s="33" t="s">
        <v>41</v>
      </c>
      <c r="E27" s="42">
        <v>45393</v>
      </c>
      <c r="F27" s="34">
        <v>0.5625</v>
      </c>
      <c r="G27" s="41">
        <v>11.24</v>
      </c>
      <c r="H27" s="41">
        <v>5.97</v>
      </c>
      <c r="I27" s="101"/>
      <c r="J27" s="72">
        <v>35.4</v>
      </c>
      <c r="K27" s="72">
        <v>32.42</v>
      </c>
      <c r="L27" s="72">
        <v>12.1</v>
      </c>
      <c r="M27" s="72">
        <v>2.16</v>
      </c>
      <c r="N27" s="72">
        <v>17.920000000000002</v>
      </c>
      <c r="O27" s="73">
        <f t="shared" si="0"/>
        <v>99.999999999999986</v>
      </c>
      <c r="P27" s="74"/>
      <c r="Q27" s="73">
        <v>40.9</v>
      </c>
      <c r="R27" s="73">
        <v>20.200000000000003</v>
      </c>
      <c r="S27" s="73">
        <v>11.4</v>
      </c>
      <c r="T27" s="73">
        <v>1.7999999999999998</v>
      </c>
      <c r="U27" s="73">
        <v>25.7</v>
      </c>
      <c r="V27" s="73">
        <f t="shared" si="1"/>
        <v>100</v>
      </c>
      <c r="W27" s="74"/>
      <c r="X27" s="73"/>
      <c r="Y27" s="73"/>
      <c r="Z27" s="73"/>
      <c r="AA27" s="73"/>
      <c r="AB27" s="73"/>
      <c r="AC27" s="73"/>
      <c r="AD27" s="74"/>
      <c r="AE27" s="73"/>
      <c r="AF27" s="73"/>
      <c r="AG27" s="73"/>
      <c r="AH27" s="73"/>
      <c r="AI27" s="73"/>
      <c r="AJ27" s="73"/>
    </row>
    <row r="28" spans="1:67" ht="20.100000000000001" customHeight="1">
      <c r="A28" s="31">
        <v>18</v>
      </c>
      <c r="B28" s="32" t="s">
        <v>38</v>
      </c>
      <c r="C28" s="32" t="s">
        <v>38</v>
      </c>
      <c r="D28" s="33" t="s">
        <v>42</v>
      </c>
      <c r="E28" s="42">
        <v>45393</v>
      </c>
      <c r="F28" s="34">
        <v>0.62847222222222221</v>
      </c>
      <c r="G28" s="41">
        <v>11.5</v>
      </c>
      <c r="H28" s="41">
        <v>5.45</v>
      </c>
      <c r="I28" s="101"/>
      <c r="J28" s="72">
        <v>37.44</v>
      </c>
      <c r="K28" s="72">
        <v>31.81</v>
      </c>
      <c r="L28" s="72">
        <v>8.66</v>
      </c>
      <c r="M28" s="72">
        <v>1.66</v>
      </c>
      <c r="N28" s="72">
        <v>20.43</v>
      </c>
      <c r="O28" s="73">
        <f t="shared" si="0"/>
        <v>100</v>
      </c>
      <c r="P28" s="74"/>
      <c r="Q28" s="73">
        <v>42</v>
      </c>
      <c r="R28" s="73">
        <v>19.7</v>
      </c>
      <c r="S28" s="73">
        <v>11.4</v>
      </c>
      <c r="T28" s="73">
        <v>1.7</v>
      </c>
      <c r="U28" s="73">
        <v>25.2</v>
      </c>
      <c r="V28" s="73">
        <f t="shared" si="1"/>
        <v>100.00000000000001</v>
      </c>
      <c r="W28" s="74"/>
      <c r="X28" s="73"/>
      <c r="Y28" s="73"/>
      <c r="Z28" s="73"/>
      <c r="AA28" s="73"/>
      <c r="AB28" s="73"/>
      <c r="AC28" s="73"/>
      <c r="AD28" s="74"/>
      <c r="AE28" s="73"/>
      <c r="AF28" s="73"/>
      <c r="AG28" s="73"/>
      <c r="AH28" s="73"/>
      <c r="AI28" s="73"/>
      <c r="AJ28" s="73"/>
    </row>
    <row r="29" spans="1:67" ht="20.100000000000001" customHeight="1">
      <c r="A29" s="31">
        <v>19</v>
      </c>
      <c r="B29" s="32" t="s">
        <v>38</v>
      </c>
      <c r="C29" s="32" t="s">
        <v>43</v>
      </c>
      <c r="D29" s="33" t="s">
        <v>40</v>
      </c>
      <c r="E29" s="42">
        <v>45393</v>
      </c>
      <c r="F29" s="34">
        <v>0.56597222222222221</v>
      </c>
      <c r="G29" s="41">
        <v>12.27</v>
      </c>
      <c r="H29" s="41">
        <v>6.11</v>
      </c>
      <c r="I29" s="101"/>
      <c r="J29" s="72">
        <v>38.68</v>
      </c>
      <c r="K29" s="72">
        <v>36.97</v>
      </c>
      <c r="L29" s="72">
        <v>9.81</v>
      </c>
      <c r="M29" s="72">
        <v>2.34</v>
      </c>
      <c r="N29" s="72">
        <v>12.2</v>
      </c>
      <c r="O29" s="73">
        <f t="shared" si="0"/>
        <v>100.00000000000001</v>
      </c>
      <c r="P29" s="74"/>
      <c r="Q29" s="73">
        <v>43.4</v>
      </c>
      <c r="R29" s="73">
        <v>21.7</v>
      </c>
      <c r="S29" s="73">
        <v>10.7</v>
      </c>
      <c r="T29" s="73">
        <v>1.7000000000000002</v>
      </c>
      <c r="U29" s="73">
        <v>22.5</v>
      </c>
      <c r="V29" s="73">
        <f t="shared" si="1"/>
        <v>100</v>
      </c>
      <c r="W29" s="74"/>
      <c r="X29" s="73"/>
      <c r="Y29" s="73"/>
      <c r="Z29" s="73"/>
      <c r="AA29" s="73"/>
      <c r="AB29" s="73"/>
      <c r="AC29" s="73"/>
      <c r="AD29" s="74"/>
      <c r="AE29" s="73"/>
      <c r="AF29" s="73"/>
      <c r="AG29" s="73"/>
      <c r="AH29" s="73"/>
      <c r="AI29" s="73"/>
      <c r="AJ29" s="73"/>
    </row>
    <row r="30" spans="1:67" ht="19.5" customHeight="1">
      <c r="A30" s="31">
        <v>20</v>
      </c>
      <c r="B30" s="32" t="s">
        <v>38</v>
      </c>
      <c r="C30" s="32" t="s">
        <v>43</v>
      </c>
      <c r="D30" s="33" t="s">
        <v>44</v>
      </c>
      <c r="E30" s="42">
        <v>45393</v>
      </c>
      <c r="F30" s="34">
        <v>0.57291666666666663</v>
      </c>
      <c r="G30" s="41">
        <v>10.25</v>
      </c>
      <c r="H30" s="41">
        <v>7.37</v>
      </c>
      <c r="I30" s="101"/>
      <c r="J30" s="72">
        <v>29.03</v>
      </c>
      <c r="K30" s="72">
        <v>31.27</v>
      </c>
      <c r="L30" s="72">
        <v>16.11</v>
      </c>
      <c r="M30" s="72">
        <v>4.9400000000000004</v>
      </c>
      <c r="N30" s="72">
        <v>18.649999999999999</v>
      </c>
      <c r="O30" s="73">
        <f t="shared" si="0"/>
        <v>100</v>
      </c>
      <c r="P30" s="74"/>
      <c r="Q30" s="73">
        <v>37.200000000000003</v>
      </c>
      <c r="R30" s="73">
        <v>19.8</v>
      </c>
      <c r="S30" s="73">
        <v>13.200000000000001</v>
      </c>
      <c r="T30" s="73">
        <v>2.1</v>
      </c>
      <c r="U30" s="73">
        <v>27.700000000000003</v>
      </c>
      <c r="V30" s="73">
        <f t="shared" si="1"/>
        <v>100</v>
      </c>
      <c r="W30" s="74"/>
      <c r="X30" s="73"/>
      <c r="Y30" s="73"/>
      <c r="Z30" s="73"/>
      <c r="AA30" s="73"/>
      <c r="AB30" s="73"/>
      <c r="AC30" s="73"/>
      <c r="AD30" s="74"/>
      <c r="AE30" s="73"/>
      <c r="AF30" s="73"/>
      <c r="AG30" s="73"/>
      <c r="AH30" s="73"/>
      <c r="AI30" s="73"/>
      <c r="AJ30" s="73"/>
    </row>
    <row r="31" spans="1:67" ht="20.100000000000001" customHeight="1">
      <c r="A31" s="22">
        <v>21</v>
      </c>
      <c r="B31" s="14" t="s">
        <v>45</v>
      </c>
      <c r="C31" s="14" t="s">
        <v>45</v>
      </c>
      <c r="D31" s="15" t="s">
        <v>46</v>
      </c>
      <c r="E31" s="16">
        <v>45393</v>
      </c>
      <c r="F31" s="17">
        <v>0.44097222222222227</v>
      </c>
      <c r="G31" s="39">
        <v>4.84</v>
      </c>
      <c r="H31" s="39">
        <v>5.72</v>
      </c>
      <c r="I31" s="101"/>
      <c r="J31" s="72">
        <v>13.05</v>
      </c>
      <c r="K31" s="72">
        <v>5.91</v>
      </c>
      <c r="L31" s="72">
        <v>27.57</v>
      </c>
      <c r="M31" s="72">
        <v>2.52</v>
      </c>
      <c r="N31" s="72">
        <v>50.95</v>
      </c>
      <c r="O31" s="73">
        <f t="shared" si="0"/>
        <v>100</v>
      </c>
      <c r="P31" s="74"/>
      <c r="Q31" s="73">
        <v>25.1</v>
      </c>
      <c r="R31" s="73">
        <v>11.899999999999999</v>
      </c>
      <c r="S31" s="73">
        <v>20.9</v>
      </c>
      <c r="T31" s="73">
        <v>1.9</v>
      </c>
      <c r="U31" s="73">
        <v>40.200000000000003</v>
      </c>
      <c r="V31" s="73">
        <f t="shared" si="1"/>
        <v>100</v>
      </c>
      <c r="W31" s="74"/>
      <c r="X31" s="73"/>
      <c r="Y31" s="73"/>
      <c r="Z31" s="73"/>
      <c r="AA31" s="73"/>
      <c r="AB31" s="73"/>
      <c r="AC31" s="73"/>
      <c r="AD31" s="74"/>
      <c r="AE31" s="73"/>
      <c r="AF31" s="73"/>
      <c r="AG31" s="73"/>
      <c r="AH31" s="73"/>
      <c r="AI31" s="73"/>
      <c r="AJ31" s="73"/>
    </row>
    <row r="32" spans="1:67" ht="20.100000000000001" customHeight="1">
      <c r="A32" s="22">
        <v>22</v>
      </c>
      <c r="B32" s="14" t="s">
        <v>45</v>
      </c>
      <c r="C32" s="14" t="s">
        <v>45</v>
      </c>
      <c r="D32" s="19" t="s">
        <v>47</v>
      </c>
      <c r="E32" s="16">
        <v>45393</v>
      </c>
      <c r="F32" s="20">
        <v>0.46180555555555558</v>
      </c>
      <c r="G32" s="40">
        <v>7.46</v>
      </c>
      <c r="H32" s="40">
        <v>3.75</v>
      </c>
      <c r="I32" s="101"/>
      <c r="J32" s="75">
        <v>31.89</v>
      </c>
      <c r="K32" s="75">
        <v>6.85</v>
      </c>
      <c r="L32" s="75">
        <v>8.8000000000000007</v>
      </c>
      <c r="M32" s="75">
        <v>0.52</v>
      </c>
      <c r="N32" s="75">
        <v>51.94</v>
      </c>
      <c r="O32" s="74">
        <f t="shared" si="0"/>
        <v>100</v>
      </c>
      <c r="P32" s="74"/>
      <c r="Q32" s="76">
        <v>32.4</v>
      </c>
      <c r="R32" s="76">
        <v>14.399999999999999</v>
      </c>
      <c r="S32" s="76">
        <v>15.299999999999999</v>
      </c>
      <c r="T32" s="76">
        <v>1.6</v>
      </c>
      <c r="U32" s="76">
        <v>36.299999999999997</v>
      </c>
      <c r="V32" s="74">
        <f t="shared" si="1"/>
        <v>100</v>
      </c>
      <c r="W32" s="74"/>
      <c r="X32" s="76"/>
      <c r="Y32" s="76"/>
      <c r="Z32" s="76"/>
      <c r="AA32" s="76"/>
      <c r="AB32" s="76"/>
      <c r="AC32" s="74"/>
      <c r="AD32" s="74"/>
      <c r="AE32" s="76"/>
      <c r="AF32" s="76"/>
      <c r="AG32" s="76"/>
      <c r="AH32" s="76"/>
      <c r="AI32" s="76"/>
      <c r="AJ32" s="74"/>
    </row>
    <row r="33" spans="1:67" ht="20.100000000000001" customHeight="1">
      <c r="A33" s="22">
        <v>23</v>
      </c>
      <c r="B33" s="14" t="s">
        <v>45</v>
      </c>
      <c r="C33" s="14" t="s">
        <v>45</v>
      </c>
      <c r="D33" s="19" t="s">
        <v>29</v>
      </c>
      <c r="E33" s="16">
        <v>45393</v>
      </c>
      <c r="F33" s="20">
        <v>0.47569444444444442</v>
      </c>
      <c r="G33" s="40">
        <v>7.95</v>
      </c>
      <c r="H33" s="40">
        <v>4.3499999999999996</v>
      </c>
      <c r="I33" s="101"/>
      <c r="J33" s="75">
        <v>32.71</v>
      </c>
      <c r="K33" s="75">
        <v>10.49</v>
      </c>
      <c r="L33" s="75">
        <v>9.91</v>
      </c>
      <c r="M33" s="75">
        <v>1.3</v>
      </c>
      <c r="N33" s="75">
        <v>45.59</v>
      </c>
      <c r="O33" s="74">
        <f t="shared" si="0"/>
        <v>100</v>
      </c>
      <c r="P33" s="74"/>
      <c r="Q33" s="76">
        <v>33</v>
      </c>
      <c r="R33" s="76">
        <v>15.2</v>
      </c>
      <c r="S33" s="76">
        <v>15</v>
      </c>
      <c r="T33" s="76">
        <v>1.7000000000000002</v>
      </c>
      <c r="U33" s="76">
        <v>35.099999999999994</v>
      </c>
      <c r="V33" s="74">
        <f t="shared" si="1"/>
        <v>100</v>
      </c>
      <c r="W33" s="74"/>
      <c r="X33" s="76"/>
      <c r="Y33" s="76"/>
      <c r="Z33" s="76"/>
      <c r="AA33" s="76"/>
      <c r="AB33" s="76"/>
      <c r="AC33" s="74"/>
      <c r="AD33" s="74"/>
      <c r="AE33" s="76"/>
      <c r="AF33" s="76"/>
      <c r="AG33" s="76"/>
      <c r="AH33" s="76"/>
      <c r="AI33" s="76"/>
      <c r="AJ33" s="74"/>
    </row>
    <row r="34" spans="1:67" ht="20.100000000000001" customHeight="1" thickBot="1">
      <c r="A34" s="46">
        <v>24</v>
      </c>
      <c r="B34" s="47" t="s">
        <v>45</v>
      </c>
      <c r="C34" s="47" t="s">
        <v>45</v>
      </c>
      <c r="D34" s="48" t="s">
        <v>48</v>
      </c>
      <c r="E34" s="49">
        <v>45393</v>
      </c>
      <c r="F34" s="50">
        <v>0.48958333333333331</v>
      </c>
      <c r="G34" s="53">
        <v>8.2100000000000009</v>
      </c>
      <c r="H34" s="53">
        <v>4.57</v>
      </c>
      <c r="I34" s="101"/>
      <c r="J34" s="75">
        <v>29.69</v>
      </c>
      <c r="K34" s="75">
        <v>14.78</v>
      </c>
      <c r="L34" s="75">
        <v>11.31</v>
      </c>
      <c r="M34" s="75">
        <v>1.31</v>
      </c>
      <c r="N34" s="75">
        <v>42.91</v>
      </c>
      <c r="O34" s="74">
        <f t="shared" si="0"/>
        <v>100</v>
      </c>
      <c r="P34" s="74"/>
      <c r="Q34" s="76">
        <v>34.1</v>
      </c>
      <c r="R34" s="76">
        <v>15.9</v>
      </c>
      <c r="S34" s="76">
        <v>14.7</v>
      </c>
      <c r="T34" s="76">
        <v>1.6</v>
      </c>
      <c r="U34" s="76">
        <v>33.700000000000003</v>
      </c>
      <c r="V34" s="74">
        <f t="shared" si="1"/>
        <v>100</v>
      </c>
      <c r="W34" s="74"/>
      <c r="X34" s="76"/>
      <c r="Y34" s="76"/>
      <c r="Z34" s="76"/>
      <c r="AA34" s="76"/>
      <c r="AB34" s="76"/>
      <c r="AC34" s="74"/>
      <c r="AD34" s="74"/>
      <c r="AE34" s="76"/>
      <c r="AF34" s="76"/>
      <c r="AG34" s="76"/>
      <c r="AH34" s="76"/>
      <c r="AI34" s="76"/>
      <c r="AJ34" s="74"/>
    </row>
    <row r="35" spans="1:67" ht="20.100000000000001" customHeight="1">
      <c r="A35" s="5"/>
      <c r="B35" s="5"/>
      <c r="C35" s="5"/>
      <c r="D35" s="5"/>
      <c r="E35" s="26"/>
      <c r="F35" s="27"/>
      <c r="G35" s="29"/>
      <c r="H35" s="29"/>
      <c r="I35" s="102"/>
    </row>
    <row r="36" spans="1:67" ht="20.100000000000001" customHeight="1">
      <c r="A36" s="5"/>
      <c r="B36" s="5"/>
      <c r="C36" s="5"/>
      <c r="D36" s="5"/>
      <c r="E36" s="26"/>
      <c r="F36" s="27"/>
      <c r="G36" s="29"/>
      <c r="H36" s="29"/>
      <c r="I36" s="102"/>
    </row>
    <row r="37" spans="1:67">
      <c r="A37" s="5"/>
      <c r="B37" s="5"/>
      <c r="C37" s="5"/>
      <c r="D37" s="5"/>
      <c r="E37" s="26"/>
      <c r="F37" s="27"/>
      <c r="G37" s="29"/>
      <c r="H37" s="29"/>
      <c r="I37" s="102"/>
    </row>
    <row r="38" spans="1:67" ht="20.100000000000001" customHeight="1">
      <c r="J38" s="65" t="s">
        <v>153</v>
      </c>
      <c r="K38" s="66" t="s">
        <v>111</v>
      </c>
      <c r="L38" s="67" t="s">
        <v>67</v>
      </c>
      <c r="M38" s="62"/>
      <c r="N38" s="65" t="s">
        <v>154</v>
      </c>
      <c r="O38" s="66" t="s">
        <v>111</v>
      </c>
      <c r="P38" s="67" t="s">
        <v>67</v>
      </c>
      <c r="Q38" s="62"/>
      <c r="R38" s="65" t="s">
        <v>155</v>
      </c>
      <c r="S38" s="66" t="s">
        <v>111</v>
      </c>
      <c r="T38" s="67" t="s">
        <v>67</v>
      </c>
      <c r="U38" s="62"/>
      <c r="V38" s="65" t="s">
        <v>156</v>
      </c>
      <c r="W38" s="66" t="s">
        <v>111</v>
      </c>
      <c r="X38" s="67" t="s">
        <v>67</v>
      </c>
      <c r="Y38" s="62"/>
      <c r="Z38" s="65" t="s">
        <v>157</v>
      </c>
      <c r="AA38" s="66" t="s">
        <v>111</v>
      </c>
      <c r="AB38" s="67" t="s">
        <v>67</v>
      </c>
    </row>
    <row r="39" spans="1:67" ht="20.100000000000001" customHeight="1">
      <c r="J39" s="65" t="s">
        <v>161</v>
      </c>
      <c r="K39" s="65">
        <v>13.3575</v>
      </c>
      <c r="L39" s="65">
        <v>1.9608333333333334</v>
      </c>
      <c r="M39" s="62"/>
      <c r="N39" s="65" t="s">
        <v>161</v>
      </c>
      <c r="O39" s="65">
        <v>19.794999999999998</v>
      </c>
      <c r="P39" s="65">
        <v>5.2956249999999994</v>
      </c>
      <c r="Q39" s="62"/>
      <c r="R39" s="65" t="s">
        <v>161</v>
      </c>
      <c r="S39" s="65">
        <v>0.86499999999999999</v>
      </c>
      <c r="T39" s="65">
        <v>14.385000000000002</v>
      </c>
      <c r="U39" s="62"/>
      <c r="V39" s="65" t="s">
        <v>161</v>
      </c>
      <c r="W39" s="65">
        <v>1.71</v>
      </c>
      <c r="X39" s="65">
        <v>45.81</v>
      </c>
      <c r="Y39" s="62"/>
      <c r="Z39" s="65" t="s">
        <v>161</v>
      </c>
      <c r="AA39" s="65">
        <v>1.823</v>
      </c>
      <c r="AB39" s="65">
        <v>7.2899999999999991</v>
      </c>
    </row>
    <row r="40" spans="1:67" ht="20.100000000000001" customHeight="1">
      <c r="J40" s="65" t="s">
        <v>162</v>
      </c>
      <c r="K40" s="65">
        <v>1.9060865429174276</v>
      </c>
      <c r="L40" s="65">
        <v>2.6869836360882551</v>
      </c>
      <c r="M40" s="62"/>
      <c r="N40" s="65" t="s">
        <v>162</v>
      </c>
      <c r="O40" s="65">
        <v>3.2607766384274761</v>
      </c>
      <c r="P40" s="65">
        <v>4.0307872658009201</v>
      </c>
      <c r="Q40" s="62"/>
      <c r="R40" s="65" t="s">
        <v>162</v>
      </c>
      <c r="S40" s="65">
        <v>0.3323401871576776</v>
      </c>
      <c r="T40" s="65">
        <v>5.1830927060973853</v>
      </c>
      <c r="U40" s="62"/>
      <c r="V40" s="65" t="s">
        <v>162</v>
      </c>
      <c r="W40" s="65">
        <v>1.5603845679831623</v>
      </c>
      <c r="X40" s="65">
        <v>5.7261068798966068</v>
      </c>
      <c r="Y40" s="62"/>
      <c r="Z40" s="65" t="s">
        <v>162</v>
      </c>
      <c r="AA40" s="65">
        <v>1.1858203911216907</v>
      </c>
      <c r="AB40" s="65">
        <v>1.8949934036824529</v>
      </c>
    </row>
    <row r="41" spans="1:67" ht="20.100000000000001" customHeight="1">
      <c r="A41" s="64">
        <v>46134</v>
      </c>
      <c r="B41" t="s">
        <v>175</v>
      </c>
    </row>
    <row r="42" spans="1:67" ht="24" customHeight="1">
      <c r="A42" s="89" t="s">
        <v>50</v>
      </c>
      <c r="B42" s="89"/>
      <c r="C42" s="89"/>
      <c r="D42" s="89"/>
      <c r="E42" s="89"/>
      <c r="F42" s="89"/>
      <c r="J42" s="62" t="s">
        <v>166</v>
      </c>
    </row>
    <row r="43" spans="1:67" ht="20.100000000000001" customHeight="1" thickBot="1">
      <c r="Q43" t="s">
        <v>167</v>
      </c>
      <c r="S43" t="s">
        <v>168</v>
      </c>
      <c r="Y43" t="s">
        <v>185</v>
      </c>
    </row>
    <row r="44" spans="1:67" ht="20.100000000000001" customHeight="1" thickBot="1">
      <c r="A44" s="90" t="s">
        <v>1</v>
      </c>
      <c r="B44" s="92" t="s">
        <v>62</v>
      </c>
      <c r="C44" s="92" t="s">
        <v>63</v>
      </c>
      <c r="D44" s="90" t="s">
        <v>7</v>
      </c>
      <c r="E44" s="94" t="s">
        <v>8</v>
      </c>
      <c r="F44" s="95"/>
      <c r="G44" s="8"/>
      <c r="H44" s="8"/>
      <c r="I44" s="99"/>
      <c r="J44" s="60" t="s">
        <v>159</v>
      </c>
      <c r="O44">
        <v>100</v>
      </c>
      <c r="Q44" s="60" t="s">
        <v>163</v>
      </c>
      <c r="V44">
        <v>100</v>
      </c>
      <c r="X44" s="60"/>
      <c r="AE44" s="60"/>
      <c r="AO44" t="s">
        <v>153</v>
      </c>
      <c r="AU44" t="s">
        <v>154</v>
      </c>
      <c r="BA44" t="s">
        <v>155</v>
      </c>
      <c r="BG44" t="s">
        <v>156</v>
      </c>
      <c r="BM44" t="s">
        <v>157</v>
      </c>
    </row>
    <row r="45" spans="1:67" ht="20.100000000000001" customHeight="1" thickBot="1">
      <c r="A45" s="91"/>
      <c r="B45" s="91"/>
      <c r="C45" s="91"/>
      <c r="D45" s="93"/>
      <c r="E45" s="1" t="s">
        <v>0</v>
      </c>
      <c r="F45" s="4" t="s">
        <v>11</v>
      </c>
      <c r="G45" s="9" t="s">
        <v>66</v>
      </c>
      <c r="H45" s="9" t="s">
        <v>67</v>
      </c>
      <c r="I45" s="100"/>
      <c r="J45" s="60" t="s">
        <v>153</v>
      </c>
      <c r="K45" s="60" t="s">
        <v>154</v>
      </c>
      <c r="L45" s="60" t="s">
        <v>155</v>
      </c>
      <c r="M45" s="60" t="s">
        <v>156</v>
      </c>
      <c r="N45" s="60" t="s">
        <v>157</v>
      </c>
      <c r="O45" s="61" t="s">
        <v>158</v>
      </c>
      <c r="Q45" s="60" t="s">
        <v>153</v>
      </c>
      <c r="R45" s="60" t="s">
        <v>154</v>
      </c>
      <c r="S45" s="60" t="s">
        <v>155</v>
      </c>
      <c r="T45" s="60" t="s">
        <v>156</v>
      </c>
      <c r="U45" s="60" t="s">
        <v>157</v>
      </c>
      <c r="V45" s="61" t="s">
        <v>158</v>
      </c>
      <c r="X45" s="60"/>
      <c r="Y45" s="60"/>
      <c r="Z45" s="60"/>
      <c r="AA45" s="60"/>
      <c r="AB45" s="60"/>
      <c r="AC45" s="61"/>
      <c r="AE45" s="60"/>
      <c r="AF45" s="60"/>
      <c r="AG45" s="60"/>
      <c r="AH45" s="60"/>
      <c r="AI45" s="60"/>
      <c r="AJ45" s="61"/>
      <c r="AM45" s="55" t="s">
        <v>117</v>
      </c>
      <c r="AN45" s="55" t="s">
        <v>118</v>
      </c>
      <c r="AO45" s="55" t="s">
        <v>119</v>
      </c>
      <c r="AP45" s="56" t="s">
        <v>120</v>
      </c>
      <c r="AQ45" s="56" t="s">
        <v>121</v>
      </c>
      <c r="AS45" s="55" t="s">
        <v>117</v>
      </c>
      <c r="AT45" s="55" t="s">
        <v>118</v>
      </c>
      <c r="AU45" s="55" t="s">
        <v>119</v>
      </c>
      <c r="AV45" s="56" t="s">
        <v>120</v>
      </c>
      <c r="AW45" s="56" t="s">
        <v>121</v>
      </c>
      <c r="AY45" s="55" t="s">
        <v>117</v>
      </c>
      <c r="AZ45" s="55" t="s">
        <v>118</v>
      </c>
      <c r="BA45" s="55" t="s">
        <v>119</v>
      </c>
      <c r="BB45" s="56" t="s">
        <v>120</v>
      </c>
      <c r="BC45" s="56" t="s">
        <v>121</v>
      </c>
      <c r="BE45" s="55" t="s">
        <v>117</v>
      </c>
      <c r="BF45" s="55" t="s">
        <v>118</v>
      </c>
      <c r="BG45" s="55" t="s">
        <v>119</v>
      </c>
      <c r="BH45" s="56" t="s">
        <v>120</v>
      </c>
      <c r="BI45" s="56" t="s">
        <v>121</v>
      </c>
      <c r="BK45" s="55" t="s">
        <v>117</v>
      </c>
      <c r="BL45" s="55" t="s">
        <v>118</v>
      </c>
      <c r="BM45" s="55" t="s">
        <v>119</v>
      </c>
      <c r="BN45" s="56" t="s">
        <v>120</v>
      </c>
      <c r="BO45" s="56" t="s">
        <v>121</v>
      </c>
    </row>
    <row r="46" spans="1:67" ht="20.100000000000001" customHeight="1">
      <c r="A46" s="30">
        <v>1</v>
      </c>
      <c r="B46" s="25" t="s">
        <v>17</v>
      </c>
      <c r="C46" s="25" t="s">
        <v>17</v>
      </c>
      <c r="D46" s="10" t="s">
        <v>18</v>
      </c>
      <c r="E46" s="11">
        <v>45394</v>
      </c>
      <c r="F46" s="12">
        <v>0.40625</v>
      </c>
      <c r="G46" s="38">
        <v>6.79</v>
      </c>
      <c r="H46" s="38">
        <v>2.9</v>
      </c>
      <c r="I46" s="101"/>
      <c r="J46" s="77">
        <v>62.81</v>
      </c>
      <c r="K46" s="77">
        <v>3.73</v>
      </c>
      <c r="L46" s="77">
        <v>2.94</v>
      </c>
      <c r="M46" s="77">
        <v>0.31</v>
      </c>
      <c r="N46" s="77">
        <v>30.21</v>
      </c>
      <c r="O46" s="77">
        <f>SUM(J46:N46)</f>
        <v>100</v>
      </c>
      <c r="P46" s="78"/>
      <c r="Q46" s="77">
        <v>42.8</v>
      </c>
      <c r="R46" s="77">
        <v>11</v>
      </c>
      <c r="S46" s="77">
        <v>8.6</v>
      </c>
      <c r="T46" s="77">
        <v>1.1000000000000001</v>
      </c>
      <c r="U46" s="77">
        <v>36.5</v>
      </c>
      <c r="V46" s="77">
        <f>SUM(Q46:U46)</f>
        <v>100</v>
      </c>
      <c r="W46" s="78"/>
      <c r="X46" s="77"/>
      <c r="Y46" s="77"/>
      <c r="Z46" s="77"/>
      <c r="AA46" s="77"/>
      <c r="AB46" s="77"/>
      <c r="AC46" s="77"/>
      <c r="AD46" s="78"/>
      <c r="AE46" s="77"/>
      <c r="AF46" s="77"/>
      <c r="AG46" s="77"/>
      <c r="AH46" s="77"/>
      <c r="AI46" s="77"/>
      <c r="AJ46" s="77"/>
      <c r="AM46" s="57" t="s">
        <v>114</v>
      </c>
      <c r="AN46" s="58" t="s">
        <v>113</v>
      </c>
      <c r="AO46" s="58" t="s">
        <v>49</v>
      </c>
      <c r="AP46" s="59">
        <v>16.52</v>
      </c>
      <c r="AQ46" s="59">
        <v>5.16</v>
      </c>
      <c r="AS46" s="57" t="s">
        <v>74</v>
      </c>
      <c r="AT46" s="58" t="s">
        <v>75</v>
      </c>
      <c r="AU46" s="58" t="s">
        <v>76</v>
      </c>
      <c r="AV46" s="59">
        <v>17.66</v>
      </c>
      <c r="AW46" s="59">
        <v>10.89</v>
      </c>
      <c r="AY46" s="57" t="s">
        <v>101</v>
      </c>
      <c r="AZ46" s="58" t="s">
        <v>138</v>
      </c>
      <c r="BA46" s="58" t="s">
        <v>140</v>
      </c>
      <c r="BB46" s="59">
        <v>0.63</v>
      </c>
      <c r="BC46" s="59">
        <v>10.72</v>
      </c>
      <c r="BE46" s="57" t="s">
        <v>150</v>
      </c>
      <c r="BF46" s="58"/>
      <c r="BG46" s="58" t="s">
        <v>151</v>
      </c>
      <c r="BH46" s="59">
        <v>3.25</v>
      </c>
      <c r="BI46" s="59">
        <v>40.020000000000003</v>
      </c>
      <c r="BK46" s="57" t="s">
        <v>95</v>
      </c>
      <c r="BL46" s="58"/>
      <c r="BM46" s="58" t="s">
        <v>104</v>
      </c>
      <c r="BN46" s="59">
        <v>1.4100000000000001</v>
      </c>
      <c r="BO46" s="59">
        <v>8.9700000000000006</v>
      </c>
    </row>
    <row r="47" spans="1:67" ht="20.100000000000001" customHeight="1">
      <c r="A47" s="22">
        <v>2</v>
      </c>
      <c r="B47" s="14" t="s">
        <v>17</v>
      </c>
      <c r="C47" s="14" t="s">
        <v>17</v>
      </c>
      <c r="D47" s="15" t="s">
        <v>20</v>
      </c>
      <c r="E47" s="16">
        <v>45394</v>
      </c>
      <c r="F47" s="17">
        <v>0.4375</v>
      </c>
      <c r="G47" s="39">
        <v>10.94</v>
      </c>
      <c r="H47" s="39">
        <v>0.19</v>
      </c>
      <c r="I47" s="101"/>
      <c r="J47" s="77">
        <v>91.18</v>
      </c>
      <c r="K47" s="77">
        <v>1.01</v>
      </c>
      <c r="L47" s="77">
        <v>1.0900000000000001</v>
      </c>
      <c r="M47" s="77">
        <v>0.17</v>
      </c>
      <c r="N47" s="77">
        <v>6.55</v>
      </c>
      <c r="O47" s="77">
        <f t="shared" ref="O47:O69" si="2">SUM(J47:N47)</f>
        <v>100.00000000000001</v>
      </c>
      <c r="P47" s="78"/>
      <c r="Q47" s="77">
        <v>58.4</v>
      </c>
      <c r="R47" s="77">
        <v>12.9</v>
      </c>
      <c r="S47" s="77">
        <v>6.6000000000000005</v>
      </c>
      <c r="T47" s="77">
        <v>0.89999999999999991</v>
      </c>
      <c r="U47" s="77">
        <v>21.2</v>
      </c>
      <c r="V47" s="77">
        <f t="shared" ref="V47:V69" si="3">SUM(Q47:U47)</f>
        <v>100</v>
      </c>
      <c r="W47" s="78"/>
      <c r="X47" s="77"/>
      <c r="Y47" s="77"/>
      <c r="Z47" s="77"/>
      <c r="AA47" s="77"/>
      <c r="AB47" s="77"/>
      <c r="AC47" s="77"/>
      <c r="AD47" s="78"/>
      <c r="AE47" s="77"/>
      <c r="AF47" s="77"/>
      <c r="AG47" s="77"/>
      <c r="AH47" s="77"/>
      <c r="AI47" s="77"/>
      <c r="AJ47" s="77"/>
      <c r="AM47" s="57" t="s">
        <v>70</v>
      </c>
      <c r="AN47" s="58" t="s">
        <v>71</v>
      </c>
      <c r="AO47" s="58" t="s">
        <v>86</v>
      </c>
      <c r="AP47" s="59">
        <v>15.92</v>
      </c>
      <c r="AQ47" s="59">
        <v>-0.37</v>
      </c>
      <c r="AS47" s="57" t="s">
        <v>74</v>
      </c>
      <c r="AT47" s="58" t="s">
        <v>75</v>
      </c>
      <c r="AU47" s="58" t="s">
        <v>76</v>
      </c>
      <c r="AV47" s="59">
        <v>18.170000000000002</v>
      </c>
      <c r="AW47" s="59">
        <v>9.27</v>
      </c>
      <c r="AY47" s="57" t="s">
        <v>102</v>
      </c>
      <c r="AZ47" s="58" t="s">
        <v>138</v>
      </c>
      <c r="BA47" s="58" t="s">
        <v>139</v>
      </c>
      <c r="BB47" s="59">
        <v>1.1000000000000001</v>
      </c>
      <c r="BC47" s="59">
        <v>18.05</v>
      </c>
      <c r="BE47" s="57" t="s">
        <v>122</v>
      </c>
      <c r="BF47" s="58"/>
      <c r="BG47" s="58" t="s">
        <v>123</v>
      </c>
      <c r="BH47" s="59">
        <v>1.75</v>
      </c>
      <c r="BI47" s="59">
        <v>45.94</v>
      </c>
      <c r="BK47" s="57" t="s">
        <v>92</v>
      </c>
      <c r="BL47" s="58"/>
      <c r="BM47" s="58" t="s">
        <v>93</v>
      </c>
      <c r="BN47" s="59">
        <v>3.76</v>
      </c>
      <c r="BO47" s="59">
        <v>8.43</v>
      </c>
    </row>
    <row r="48" spans="1:67" ht="20.100000000000001" customHeight="1">
      <c r="A48" s="22">
        <v>3</v>
      </c>
      <c r="B48" s="14" t="s">
        <v>17</v>
      </c>
      <c r="C48" s="14" t="s">
        <v>17</v>
      </c>
      <c r="D48" s="15" t="s">
        <v>21</v>
      </c>
      <c r="E48" s="16">
        <v>45394</v>
      </c>
      <c r="F48" s="17">
        <v>0.4513888888888889</v>
      </c>
      <c r="G48" s="39">
        <v>10.09</v>
      </c>
      <c r="H48" s="39">
        <v>1.5</v>
      </c>
      <c r="I48" s="101"/>
      <c r="J48" s="77">
        <v>87.63</v>
      </c>
      <c r="K48" s="77">
        <v>7.3</v>
      </c>
      <c r="L48" s="77">
        <v>1.1399999999999999</v>
      </c>
      <c r="M48" s="77">
        <v>0.2</v>
      </c>
      <c r="N48" s="77">
        <v>3.73</v>
      </c>
      <c r="O48" s="77">
        <f t="shared" si="2"/>
        <v>100</v>
      </c>
      <c r="P48" s="78"/>
      <c r="Q48" s="77">
        <v>53</v>
      </c>
      <c r="R48" s="77">
        <v>12.5</v>
      </c>
      <c r="S48" s="77">
        <v>7.5</v>
      </c>
      <c r="T48" s="77">
        <v>1</v>
      </c>
      <c r="U48" s="77">
        <v>26</v>
      </c>
      <c r="V48" s="77">
        <f t="shared" si="3"/>
        <v>100</v>
      </c>
      <c r="W48" s="78"/>
      <c r="X48" s="77"/>
      <c r="Y48" s="77"/>
      <c r="Z48" s="77"/>
      <c r="AA48" s="77"/>
      <c r="AB48" s="77"/>
      <c r="AC48" s="77"/>
      <c r="AD48" s="78"/>
      <c r="AE48" s="77"/>
      <c r="AF48" s="77"/>
      <c r="AG48" s="77"/>
      <c r="AH48" s="77"/>
      <c r="AI48" s="77"/>
      <c r="AJ48" s="77"/>
      <c r="AM48" s="57" t="s">
        <v>79</v>
      </c>
      <c r="AN48" s="58"/>
      <c r="AO48" s="58" t="s">
        <v>169</v>
      </c>
      <c r="AP48" s="59">
        <v>15.17</v>
      </c>
      <c r="AQ48" s="59">
        <v>-3.82</v>
      </c>
      <c r="AS48" s="57" t="s">
        <v>96</v>
      </c>
      <c r="AT48" s="58"/>
      <c r="AU48" s="58" t="s">
        <v>105</v>
      </c>
      <c r="AV48" s="59">
        <v>15.309999999999999</v>
      </c>
      <c r="AW48" s="59">
        <v>3.085</v>
      </c>
      <c r="AY48" s="57"/>
      <c r="AZ48" s="58"/>
      <c r="BA48" s="58"/>
      <c r="BB48" s="59"/>
      <c r="BC48" s="59"/>
      <c r="BE48" s="57" t="s">
        <v>135</v>
      </c>
      <c r="BF48" s="58"/>
      <c r="BG48" s="58" t="s">
        <v>123</v>
      </c>
      <c r="BH48" s="59">
        <v>0.13</v>
      </c>
      <c r="BI48" s="59">
        <v>51.47</v>
      </c>
      <c r="BK48" s="57" t="s">
        <v>77</v>
      </c>
      <c r="BL48" s="58" t="s">
        <v>75</v>
      </c>
      <c r="BM48" s="58" t="s">
        <v>78</v>
      </c>
      <c r="BN48" s="59">
        <v>1.75</v>
      </c>
      <c r="BO48" s="59">
        <v>7.65</v>
      </c>
    </row>
    <row r="49" spans="1:67" ht="20.100000000000001" customHeight="1">
      <c r="A49" s="22">
        <v>4</v>
      </c>
      <c r="B49" s="14" t="s">
        <v>17</v>
      </c>
      <c r="C49" s="14" t="s">
        <v>17</v>
      </c>
      <c r="D49" s="15" t="s">
        <v>22</v>
      </c>
      <c r="E49" s="16">
        <v>45394</v>
      </c>
      <c r="F49" s="17">
        <v>0.46527777777777773</v>
      </c>
      <c r="G49" s="39">
        <v>10.63</v>
      </c>
      <c r="H49" s="39">
        <v>2.19</v>
      </c>
      <c r="I49" s="101"/>
      <c r="J49" s="77">
        <v>85.99</v>
      </c>
      <c r="K49" s="77">
        <v>6.75</v>
      </c>
      <c r="L49" s="77">
        <v>2.31</v>
      </c>
      <c r="M49" s="77">
        <v>0.26</v>
      </c>
      <c r="N49" s="77">
        <v>4.6900000000000004</v>
      </c>
      <c r="O49" s="77">
        <f t="shared" si="2"/>
        <v>100</v>
      </c>
      <c r="P49" s="78"/>
      <c r="Q49" s="77">
        <v>53</v>
      </c>
      <c r="R49" s="77">
        <v>13.900000000000002</v>
      </c>
      <c r="S49" s="77">
        <v>7.3</v>
      </c>
      <c r="T49" s="77">
        <v>1.0999999999999999</v>
      </c>
      <c r="U49" s="77">
        <v>24.7</v>
      </c>
      <c r="V49" s="77">
        <f t="shared" si="3"/>
        <v>100</v>
      </c>
      <c r="W49" s="78"/>
      <c r="X49" s="77"/>
      <c r="Y49" s="77"/>
      <c r="Z49" s="77"/>
      <c r="AA49" s="77"/>
      <c r="AB49" s="77"/>
      <c r="AC49" s="77"/>
      <c r="AD49" s="78"/>
      <c r="AE49" s="77"/>
      <c r="AF49" s="77"/>
      <c r="AG49" s="77"/>
      <c r="AH49" s="77"/>
      <c r="AI49" s="77"/>
      <c r="AJ49" s="77"/>
      <c r="AM49" s="57" t="s">
        <v>74</v>
      </c>
      <c r="AN49" s="58"/>
      <c r="AO49" s="58" t="s">
        <v>170</v>
      </c>
      <c r="AP49" s="59">
        <v>14.62</v>
      </c>
      <c r="AQ49" s="59">
        <v>0.65</v>
      </c>
      <c r="AS49" s="57" t="s">
        <v>98</v>
      </c>
      <c r="AT49" s="58"/>
      <c r="AU49" s="58" t="s">
        <v>106</v>
      </c>
      <c r="AV49" s="59">
        <v>19.239999999999998</v>
      </c>
      <c r="AW49" s="59">
        <v>8.4600000000000009</v>
      </c>
      <c r="AY49" s="57"/>
      <c r="AZ49" s="58"/>
      <c r="BA49" s="58"/>
      <c r="BB49" s="59"/>
      <c r="BC49" s="59"/>
      <c r="BE49" s="57"/>
      <c r="BF49" s="58"/>
      <c r="BG49" s="58"/>
      <c r="BH49" s="59"/>
      <c r="BI49" s="59"/>
      <c r="BK49" s="57" t="s">
        <v>97</v>
      </c>
      <c r="BL49" s="58"/>
      <c r="BM49" s="58" t="s">
        <v>152</v>
      </c>
      <c r="BN49" s="59">
        <v>0.53</v>
      </c>
      <c r="BO49" s="59">
        <v>7.29</v>
      </c>
    </row>
    <row r="50" spans="1:67" ht="20.100000000000001" customHeight="1">
      <c r="A50" s="31">
        <v>5</v>
      </c>
      <c r="B50" s="32" t="s">
        <v>23</v>
      </c>
      <c r="C50" s="32" t="s">
        <v>23</v>
      </c>
      <c r="D50" s="33" t="s">
        <v>24</v>
      </c>
      <c r="E50" s="42">
        <v>45394</v>
      </c>
      <c r="F50" s="34">
        <v>0.625</v>
      </c>
      <c r="G50" s="41">
        <v>5.58</v>
      </c>
      <c r="H50" s="41">
        <v>6.49</v>
      </c>
      <c r="I50" s="101"/>
      <c r="J50" s="77">
        <v>28.55</v>
      </c>
      <c r="K50" s="77">
        <v>2.4700000000000002</v>
      </c>
      <c r="L50" s="77">
        <v>7.2</v>
      </c>
      <c r="M50" s="77">
        <v>0.78</v>
      </c>
      <c r="N50" s="77">
        <v>61</v>
      </c>
      <c r="O50" s="77">
        <f t="shared" si="2"/>
        <v>100</v>
      </c>
      <c r="P50" s="78"/>
      <c r="Q50" s="77">
        <v>28.1</v>
      </c>
      <c r="R50" s="77">
        <v>8.5</v>
      </c>
      <c r="S50" s="77">
        <v>12.6</v>
      </c>
      <c r="T50" s="77">
        <v>1.4000000000000001</v>
      </c>
      <c r="U50" s="77">
        <v>49.4</v>
      </c>
      <c r="V50" s="77">
        <f t="shared" si="3"/>
        <v>100</v>
      </c>
      <c r="W50" s="78"/>
      <c r="X50" s="77"/>
      <c r="Y50" s="77"/>
      <c r="Z50" s="77"/>
      <c r="AA50" s="77"/>
      <c r="AB50" s="77"/>
      <c r="AC50" s="77"/>
      <c r="AD50" s="78"/>
      <c r="AE50" s="77"/>
      <c r="AF50" s="77"/>
      <c r="AG50" s="77"/>
      <c r="AH50" s="77"/>
      <c r="AI50" s="77"/>
      <c r="AJ50" s="77"/>
      <c r="AM50" s="57" t="s">
        <v>115</v>
      </c>
      <c r="AN50" s="58" t="s">
        <v>113</v>
      </c>
      <c r="AO50" s="58" t="s">
        <v>116</v>
      </c>
      <c r="AP50" s="59">
        <v>14.07</v>
      </c>
      <c r="AQ50" s="59">
        <v>3.84</v>
      </c>
      <c r="AS50" s="57" t="s">
        <v>100</v>
      </c>
      <c r="AT50" s="58"/>
      <c r="AU50" s="58" t="s">
        <v>109</v>
      </c>
      <c r="AV50" s="59">
        <v>20.925000000000001</v>
      </c>
      <c r="AW50" s="59">
        <v>5.27</v>
      </c>
      <c r="AY50" s="57"/>
      <c r="AZ50" s="58"/>
      <c r="BA50" s="58"/>
      <c r="BB50" s="59"/>
      <c r="BC50" s="59"/>
      <c r="BE50" s="57"/>
      <c r="BF50" s="58"/>
      <c r="BG50" s="58" t="s">
        <v>161</v>
      </c>
      <c r="BH50" s="59">
        <f>AVERAGE(BH46:BH48)</f>
        <v>1.71</v>
      </c>
      <c r="BI50" s="59">
        <f>AVERAGE(BI46:BI48)</f>
        <v>45.81</v>
      </c>
      <c r="BK50" s="57" t="s">
        <v>90</v>
      </c>
      <c r="BL50" s="58"/>
      <c r="BM50" s="58" t="s">
        <v>91</v>
      </c>
      <c r="BN50" s="59">
        <v>1.665</v>
      </c>
      <c r="BO50" s="59">
        <v>4.1099999999999994</v>
      </c>
    </row>
    <row r="51" spans="1:67" ht="20.100000000000001" customHeight="1">
      <c r="A51" s="31">
        <v>6</v>
      </c>
      <c r="B51" s="32" t="s">
        <v>23</v>
      </c>
      <c r="C51" s="32" t="s">
        <v>23</v>
      </c>
      <c r="D51" s="33" t="s">
        <v>25</v>
      </c>
      <c r="E51" s="42">
        <v>45394</v>
      </c>
      <c r="F51" s="34">
        <v>0.63888888888888895</v>
      </c>
      <c r="G51" s="41">
        <v>6.75</v>
      </c>
      <c r="H51" s="41">
        <v>7.6</v>
      </c>
      <c r="I51" s="101"/>
      <c r="J51" s="77">
        <v>31.11</v>
      </c>
      <c r="K51" s="77">
        <v>8.85</v>
      </c>
      <c r="L51" s="77">
        <v>19.440000000000001</v>
      </c>
      <c r="M51" s="77">
        <v>2.15</v>
      </c>
      <c r="N51" s="77">
        <v>38.450000000000003</v>
      </c>
      <c r="O51" s="77">
        <f t="shared" si="2"/>
        <v>100</v>
      </c>
      <c r="P51" s="78"/>
      <c r="Q51" s="77">
        <v>31.8</v>
      </c>
      <c r="R51" s="77">
        <v>10.199999999999999</v>
      </c>
      <c r="S51" s="77">
        <v>11.799999999999999</v>
      </c>
      <c r="T51" s="77">
        <v>1.5</v>
      </c>
      <c r="U51" s="77">
        <v>44.7</v>
      </c>
      <c r="V51" s="77">
        <f t="shared" si="3"/>
        <v>100</v>
      </c>
      <c r="W51" s="78"/>
      <c r="X51" s="77"/>
      <c r="Y51" s="77"/>
      <c r="Z51" s="77"/>
      <c r="AA51" s="77"/>
      <c r="AB51" s="77"/>
      <c r="AC51" s="77"/>
      <c r="AD51" s="78"/>
      <c r="AE51" s="77"/>
      <c r="AF51" s="77"/>
      <c r="AG51" s="77"/>
      <c r="AH51" s="77"/>
      <c r="AI51" s="77"/>
      <c r="AJ51" s="77"/>
      <c r="AM51" s="57" t="s">
        <v>141</v>
      </c>
      <c r="AN51" s="58" t="s">
        <v>72</v>
      </c>
      <c r="AO51" s="58" t="s">
        <v>142</v>
      </c>
      <c r="AP51" s="59">
        <v>13.38</v>
      </c>
      <c r="AQ51" s="59">
        <v>4.66</v>
      </c>
      <c r="AS51" s="57" t="s">
        <v>148</v>
      </c>
      <c r="AT51" s="58"/>
      <c r="AU51" s="58" t="s">
        <v>149</v>
      </c>
      <c r="AV51" s="59">
        <v>24.47</v>
      </c>
      <c r="AW51" s="59">
        <v>-0.67</v>
      </c>
      <c r="AY51" s="57"/>
      <c r="AZ51" s="58"/>
      <c r="BA51" s="58"/>
      <c r="BB51" s="59"/>
      <c r="BC51" s="59"/>
      <c r="BE51" s="57"/>
      <c r="BF51" s="58"/>
      <c r="BG51" s="58" t="s">
        <v>162</v>
      </c>
      <c r="BH51" s="59">
        <f>_xlfn.STDEV.S(BH46:BH48)</f>
        <v>1.5603845679831623</v>
      </c>
      <c r="BI51" s="59">
        <f>_xlfn.STDEV.S(BI46:BI48)</f>
        <v>5.7261068798966068</v>
      </c>
      <c r="BK51" s="57"/>
      <c r="BL51" s="58"/>
      <c r="BM51" s="58"/>
      <c r="BN51" s="59"/>
      <c r="BO51" s="59"/>
    </row>
    <row r="52" spans="1:67" ht="20.100000000000001" customHeight="1">
      <c r="A52" s="31">
        <v>7</v>
      </c>
      <c r="B52" s="32" t="s">
        <v>23</v>
      </c>
      <c r="C52" s="32" t="s">
        <v>23</v>
      </c>
      <c r="D52" s="33" t="s">
        <v>26</v>
      </c>
      <c r="E52" s="42">
        <v>45393</v>
      </c>
      <c r="F52" s="34">
        <v>0.63888888888888895</v>
      </c>
      <c r="G52" s="41">
        <v>8.2100000000000009</v>
      </c>
      <c r="H52" s="41">
        <v>5.56</v>
      </c>
      <c r="I52" s="101"/>
      <c r="J52" s="77">
        <v>42.26</v>
      </c>
      <c r="K52" s="77">
        <v>8.44</v>
      </c>
      <c r="L52" s="77">
        <v>4.87</v>
      </c>
      <c r="M52" s="77">
        <v>1.1200000000000001</v>
      </c>
      <c r="N52" s="77">
        <v>43.31</v>
      </c>
      <c r="O52" s="77">
        <f t="shared" si="2"/>
        <v>100</v>
      </c>
      <c r="P52" s="78"/>
      <c r="Q52" s="77">
        <v>39.800000000000004</v>
      </c>
      <c r="R52" s="77">
        <v>11.700000000000001</v>
      </c>
      <c r="S52" s="77">
        <v>9.8000000000000007</v>
      </c>
      <c r="T52" s="77">
        <v>1.3</v>
      </c>
      <c r="U52" s="77">
        <v>37.4</v>
      </c>
      <c r="V52" s="77">
        <f t="shared" si="3"/>
        <v>100</v>
      </c>
      <c r="W52" s="78"/>
      <c r="X52" s="77"/>
      <c r="Y52" s="77"/>
      <c r="Z52" s="77"/>
      <c r="AA52" s="77"/>
      <c r="AB52" s="77"/>
      <c r="AC52" s="77"/>
      <c r="AD52" s="78"/>
      <c r="AE52" s="77"/>
      <c r="AF52" s="77"/>
      <c r="AG52" s="77"/>
      <c r="AH52" s="77"/>
      <c r="AI52" s="77"/>
      <c r="AJ52" s="77"/>
      <c r="AM52" s="57" t="s">
        <v>115</v>
      </c>
      <c r="AN52" s="58" t="s">
        <v>113</v>
      </c>
      <c r="AO52" s="58" t="s">
        <v>116</v>
      </c>
      <c r="AP52" s="59">
        <v>12.44</v>
      </c>
      <c r="AQ52" s="59">
        <v>3.65</v>
      </c>
      <c r="AS52" s="57" t="s">
        <v>137</v>
      </c>
      <c r="AT52" s="58"/>
      <c r="AU52" s="58" t="s">
        <v>110</v>
      </c>
      <c r="AV52" s="59">
        <v>24.39</v>
      </c>
      <c r="AW52" s="59">
        <v>1.3149999999999999</v>
      </c>
      <c r="AY52" s="57"/>
      <c r="AZ52" s="58"/>
      <c r="BA52" s="58" t="s">
        <v>161</v>
      </c>
      <c r="BB52" s="59">
        <f>AVERAGE(BB46:BB47)</f>
        <v>0.86499999999999999</v>
      </c>
      <c r="BC52" s="59">
        <f>AVERAGE(BC46:BC47)</f>
        <v>14.385000000000002</v>
      </c>
      <c r="BK52" s="57"/>
      <c r="BL52" s="58"/>
      <c r="BM52" s="58"/>
      <c r="BN52" s="59"/>
      <c r="BO52" s="59"/>
    </row>
    <row r="53" spans="1:67" ht="20.100000000000001" customHeight="1">
      <c r="A53" s="31">
        <v>8</v>
      </c>
      <c r="B53" s="32" t="s">
        <v>23</v>
      </c>
      <c r="C53" s="32" t="s">
        <v>27</v>
      </c>
      <c r="D53" s="33" t="s">
        <v>28</v>
      </c>
      <c r="E53" s="42">
        <v>45393</v>
      </c>
      <c r="F53" s="34">
        <v>0.65277777777777779</v>
      </c>
      <c r="G53" s="41">
        <v>1.58</v>
      </c>
      <c r="H53" s="41">
        <v>-0.43</v>
      </c>
      <c r="I53" s="101"/>
      <c r="J53" s="77">
        <v>86.59</v>
      </c>
      <c r="K53" s="77">
        <v>7.62</v>
      </c>
      <c r="L53" s="77">
        <v>0.96</v>
      </c>
      <c r="M53" s="77">
        <v>0.32</v>
      </c>
      <c r="N53" s="77">
        <v>4.51</v>
      </c>
      <c r="O53" s="77">
        <f t="shared" si="2"/>
        <v>100</v>
      </c>
      <c r="P53" s="79"/>
      <c r="Q53" s="77">
        <v>15.8</v>
      </c>
      <c r="R53" s="77">
        <v>4.5</v>
      </c>
      <c r="S53" s="77">
        <v>14.799999999999999</v>
      </c>
      <c r="T53" s="77">
        <v>0.8</v>
      </c>
      <c r="U53" s="77">
        <v>64.099999999999994</v>
      </c>
      <c r="V53" s="77">
        <f t="shared" si="3"/>
        <v>100</v>
      </c>
      <c r="W53" s="79"/>
      <c r="X53" s="77"/>
      <c r="Y53" s="77"/>
      <c r="Z53" s="77"/>
      <c r="AA53" s="77"/>
      <c r="AB53" s="77"/>
      <c r="AC53" s="77"/>
      <c r="AD53" s="79"/>
      <c r="AE53" s="77"/>
      <c r="AF53" s="77"/>
      <c r="AG53" s="77"/>
      <c r="AH53" s="77"/>
      <c r="AI53" s="77"/>
      <c r="AJ53" s="77"/>
      <c r="AM53" s="57" t="s">
        <v>115</v>
      </c>
      <c r="AN53" s="58" t="s">
        <v>113</v>
      </c>
      <c r="AO53" s="58" t="s">
        <v>116</v>
      </c>
      <c r="AP53" s="59">
        <v>12.27</v>
      </c>
      <c r="AQ53" s="59">
        <v>4.01</v>
      </c>
      <c r="AS53" s="57" t="s">
        <v>89</v>
      </c>
      <c r="AT53" s="58"/>
      <c r="AU53" s="58" t="s">
        <v>88</v>
      </c>
      <c r="AV53" s="59">
        <v>18.195</v>
      </c>
      <c r="AW53" s="59">
        <v>4.7449999999999992</v>
      </c>
      <c r="AY53" s="57"/>
      <c r="AZ53" s="58"/>
      <c r="BA53" s="58" t="s">
        <v>162</v>
      </c>
      <c r="BB53" s="59">
        <f>_xlfn.STDEV.S(BB46:BB47)</f>
        <v>0.3323401871576776</v>
      </c>
      <c r="BC53" s="59">
        <f>_xlfn.STDEV.S(BC46:BC47)</f>
        <v>5.1830927060973853</v>
      </c>
      <c r="BK53" s="57"/>
      <c r="BL53" s="58"/>
      <c r="BM53" s="58"/>
      <c r="BN53" s="59"/>
      <c r="BO53" s="59"/>
    </row>
    <row r="54" spans="1:67" ht="20.100000000000001" customHeight="1">
      <c r="A54" s="31">
        <v>9</v>
      </c>
      <c r="B54" s="32" t="s">
        <v>23</v>
      </c>
      <c r="C54" s="32" t="s">
        <v>27</v>
      </c>
      <c r="D54" s="33" t="s">
        <v>30</v>
      </c>
      <c r="E54" s="42">
        <v>45393</v>
      </c>
      <c r="F54" s="34">
        <v>0.64236111111111105</v>
      </c>
      <c r="G54" s="41">
        <v>12.48</v>
      </c>
      <c r="H54" s="41">
        <v>2.62</v>
      </c>
      <c r="I54" s="101"/>
      <c r="J54" s="78">
        <v>87.03</v>
      </c>
      <c r="K54" s="78">
        <v>3.76</v>
      </c>
      <c r="L54" s="78">
        <v>3.75</v>
      </c>
      <c r="M54" s="78">
        <v>0.32</v>
      </c>
      <c r="N54" s="78">
        <v>5.14</v>
      </c>
      <c r="O54" s="78">
        <f t="shared" si="2"/>
        <v>100</v>
      </c>
      <c r="P54" s="78"/>
      <c r="Q54" s="80">
        <v>56.3</v>
      </c>
      <c r="R54" s="80">
        <v>17</v>
      </c>
      <c r="S54" s="80">
        <v>6</v>
      </c>
      <c r="T54" s="80">
        <v>1</v>
      </c>
      <c r="U54" s="80">
        <v>19.7</v>
      </c>
      <c r="V54" s="78">
        <f t="shared" si="3"/>
        <v>100</v>
      </c>
      <c r="W54" s="78"/>
      <c r="X54" s="80"/>
      <c r="Y54" s="80"/>
      <c r="Z54" s="80"/>
      <c r="AA54" s="80"/>
      <c r="AB54" s="80"/>
      <c r="AC54" s="78"/>
      <c r="AD54" s="78"/>
      <c r="AE54" s="80"/>
      <c r="AF54" s="80"/>
      <c r="AG54" s="80"/>
      <c r="AH54" s="80"/>
      <c r="AI54" s="80"/>
      <c r="AJ54" s="78"/>
      <c r="AM54" s="57" t="s">
        <v>147</v>
      </c>
      <c r="AN54" s="58" t="s">
        <v>72</v>
      </c>
      <c r="AO54" s="58" t="s">
        <v>144</v>
      </c>
      <c r="AP54" s="59">
        <v>12.15</v>
      </c>
      <c r="AQ54" s="59">
        <v>-0.53</v>
      </c>
      <c r="AS54" s="57"/>
      <c r="AT54" s="58"/>
      <c r="AU54" s="58"/>
      <c r="AV54" s="59"/>
      <c r="AW54" s="59"/>
      <c r="BK54" s="57"/>
      <c r="BL54" s="58"/>
      <c r="BM54" s="58"/>
      <c r="BN54" s="59"/>
      <c r="BO54" s="59"/>
    </row>
    <row r="55" spans="1:67" ht="20.100000000000001" customHeight="1">
      <c r="A55" s="22">
        <v>10</v>
      </c>
      <c r="B55" s="14" t="s">
        <v>31</v>
      </c>
      <c r="C55" s="14" t="s">
        <v>31</v>
      </c>
      <c r="D55" s="15" t="s">
        <v>32</v>
      </c>
      <c r="E55" s="16">
        <v>45394</v>
      </c>
      <c r="F55" s="17">
        <v>0.55902777777777779</v>
      </c>
      <c r="G55" s="39">
        <v>8.51</v>
      </c>
      <c r="H55" s="39">
        <v>8.32</v>
      </c>
      <c r="I55" s="101"/>
      <c r="J55" s="78">
        <v>25.71</v>
      </c>
      <c r="K55" s="78">
        <v>22</v>
      </c>
      <c r="L55" s="78">
        <v>22.04</v>
      </c>
      <c r="M55" s="78">
        <v>3.36</v>
      </c>
      <c r="N55" s="78">
        <v>26.89</v>
      </c>
      <c r="O55" s="78">
        <f t="shared" si="2"/>
        <v>100</v>
      </c>
      <c r="P55" s="78"/>
      <c r="Q55" s="80">
        <v>38.5</v>
      </c>
      <c r="R55" s="80">
        <v>12.7</v>
      </c>
      <c r="S55" s="80">
        <v>10.299999999999999</v>
      </c>
      <c r="T55" s="80">
        <v>1.7999999999999998</v>
      </c>
      <c r="U55" s="80">
        <v>36.700000000000003</v>
      </c>
      <c r="V55" s="78">
        <f t="shared" si="3"/>
        <v>100</v>
      </c>
      <c r="W55" s="78"/>
      <c r="X55" s="80"/>
      <c r="Y55" s="80"/>
      <c r="Z55" s="80"/>
      <c r="AA55" s="80"/>
      <c r="AB55" s="80"/>
      <c r="AC55" s="78"/>
      <c r="AD55" s="78"/>
      <c r="AE55" s="80"/>
      <c r="AF55" s="80"/>
      <c r="AG55" s="80"/>
      <c r="AH55" s="80"/>
      <c r="AI55" s="80"/>
      <c r="AJ55" s="78"/>
      <c r="AM55" s="57" t="s">
        <v>81</v>
      </c>
      <c r="AN55" s="58"/>
      <c r="AO55" s="58" t="s">
        <v>171</v>
      </c>
      <c r="AP55" s="59">
        <v>12.14</v>
      </c>
      <c r="AQ55" s="59">
        <v>1.42</v>
      </c>
      <c r="AS55" s="57"/>
      <c r="AT55" s="58"/>
      <c r="AU55" s="58"/>
      <c r="AV55" s="59"/>
      <c r="AW55" s="59"/>
      <c r="BK55" s="57"/>
      <c r="BL55" s="58"/>
      <c r="BM55" s="58"/>
      <c r="BN55" s="59"/>
      <c r="BO55" s="59"/>
    </row>
    <row r="56" spans="1:67" ht="20.100000000000001" customHeight="1">
      <c r="A56" s="22">
        <v>11</v>
      </c>
      <c r="B56" s="14" t="s">
        <v>31</v>
      </c>
      <c r="C56" s="14" t="s">
        <v>31</v>
      </c>
      <c r="D56" s="15" t="s">
        <v>33</v>
      </c>
      <c r="E56" s="16">
        <v>45394</v>
      </c>
      <c r="F56" s="17">
        <v>0.60416666666666663</v>
      </c>
      <c r="G56" s="39">
        <v>8.24</v>
      </c>
      <c r="H56" s="39">
        <v>6.51</v>
      </c>
      <c r="I56" s="101"/>
      <c r="J56" s="78">
        <v>37.17</v>
      </c>
      <c r="K56" s="78">
        <v>12.92</v>
      </c>
      <c r="L56" s="78">
        <v>11.46</v>
      </c>
      <c r="M56" s="78">
        <v>1.82</v>
      </c>
      <c r="N56" s="78">
        <v>36.630000000000003</v>
      </c>
      <c r="O56" s="78">
        <f t="shared" si="2"/>
        <v>100</v>
      </c>
      <c r="P56" s="78"/>
      <c r="Q56" s="80">
        <v>38.6</v>
      </c>
      <c r="R56" s="80">
        <v>12</v>
      </c>
      <c r="S56" s="80">
        <v>10.299999999999999</v>
      </c>
      <c r="T56" s="80">
        <v>1.5</v>
      </c>
      <c r="U56" s="80">
        <v>37.6</v>
      </c>
      <c r="V56" s="78">
        <f t="shared" si="3"/>
        <v>100</v>
      </c>
      <c r="W56" s="78"/>
      <c r="X56" s="80"/>
      <c r="Y56" s="80"/>
      <c r="Z56" s="80"/>
      <c r="AA56" s="80"/>
      <c r="AB56" s="80"/>
      <c r="AC56" s="78"/>
      <c r="AD56" s="78"/>
      <c r="AE56" s="80"/>
      <c r="AF56" s="80"/>
      <c r="AG56" s="80"/>
      <c r="AH56" s="80"/>
      <c r="AI56" s="80"/>
      <c r="AJ56" s="78"/>
      <c r="AM56" s="57" t="s">
        <v>81</v>
      </c>
      <c r="AN56" s="58" t="s">
        <v>71</v>
      </c>
      <c r="AO56" s="58" t="s">
        <v>82</v>
      </c>
      <c r="AP56" s="59">
        <v>10.89</v>
      </c>
      <c r="AQ56" s="59">
        <v>1.05</v>
      </c>
      <c r="AS56" s="57"/>
      <c r="AT56" s="58"/>
      <c r="AU56" s="58"/>
      <c r="AV56" s="59"/>
      <c r="AW56" s="59"/>
      <c r="BK56" s="57"/>
      <c r="BL56" s="58"/>
      <c r="BM56" s="58"/>
      <c r="BN56" s="59"/>
      <c r="BO56" s="59"/>
    </row>
    <row r="57" spans="1:67" ht="20.100000000000001" customHeight="1">
      <c r="A57" s="22">
        <v>12</v>
      </c>
      <c r="B57" s="14" t="s">
        <v>31</v>
      </c>
      <c r="C57" s="14" t="s">
        <v>31</v>
      </c>
      <c r="D57" s="15" t="s">
        <v>34</v>
      </c>
      <c r="E57" s="16">
        <v>45394</v>
      </c>
      <c r="F57" s="17">
        <v>0.61111111111111105</v>
      </c>
      <c r="G57" s="39">
        <v>8.6199999999999992</v>
      </c>
      <c r="H57" s="39">
        <v>5.83</v>
      </c>
      <c r="I57" s="101"/>
      <c r="J57" s="78">
        <v>39.17</v>
      </c>
      <c r="K57" s="78">
        <v>12.87</v>
      </c>
      <c r="L57" s="78">
        <v>7.55</v>
      </c>
      <c r="M57" s="78">
        <v>0.99</v>
      </c>
      <c r="N57" s="78">
        <v>39.42</v>
      </c>
      <c r="O57" s="78">
        <f t="shared" si="2"/>
        <v>100</v>
      </c>
      <c r="P57" s="78"/>
      <c r="Q57" s="80">
        <v>41.4</v>
      </c>
      <c r="R57" s="80">
        <v>12.4</v>
      </c>
      <c r="S57" s="80">
        <v>9.7000000000000011</v>
      </c>
      <c r="T57" s="80">
        <v>1.4000000000000001</v>
      </c>
      <c r="U57" s="80">
        <v>35.099999999999994</v>
      </c>
      <c r="V57" s="78">
        <f t="shared" si="3"/>
        <v>100</v>
      </c>
      <c r="W57" s="78"/>
      <c r="X57" s="80"/>
      <c r="Y57" s="80"/>
      <c r="Z57" s="80"/>
      <c r="AA57" s="80"/>
      <c r="AB57" s="80"/>
      <c r="AC57" s="78"/>
      <c r="AD57" s="78"/>
      <c r="AE57" s="80"/>
      <c r="AF57" s="80"/>
      <c r="AG57" s="80"/>
      <c r="AH57" s="80"/>
      <c r="AI57" s="80"/>
      <c r="AJ57" s="78"/>
      <c r="AM57" s="57" t="s">
        <v>172</v>
      </c>
      <c r="AN57" s="58"/>
      <c r="AO57" s="58" t="s">
        <v>173</v>
      </c>
      <c r="AP57" s="59">
        <v>10.72</v>
      </c>
      <c r="AQ57" s="59">
        <v>3.81</v>
      </c>
      <c r="AS57" s="57"/>
      <c r="AT57" s="58"/>
      <c r="AU57" s="58"/>
      <c r="AV57" s="59"/>
      <c r="AW57" s="59"/>
      <c r="BK57" s="57"/>
      <c r="BL57" s="58"/>
      <c r="BM57" s="58"/>
      <c r="BN57" s="59"/>
      <c r="BO57" s="59"/>
    </row>
    <row r="58" spans="1:67" ht="20.100000000000001" customHeight="1">
      <c r="A58" s="22">
        <v>13</v>
      </c>
      <c r="B58" s="14" t="s">
        <v>31</v>
      </c>
      <c r="C58" s="14" t="s">
        <v>35</v>
      </c>
      <c r="D58" s="15" t="s">
        <v>36</v>
      </c>
      <c r="E58" s="16">
        <v>45394</v>
      </c>
      <c r="F58" s="17">
        <v>0.59375</v>
      </c>
      <c r="G58" s="39">
        <v>9.1300000000000008</v>
      </c>
      <c r="H58" s="39">
        <v>4.09</v>
      </c>
      <c r="I58" s="101"/>
      <c r="J58" s="78">
        <v>64.98</v>
      </c>
      <c r="K58" s="78">
        <v>2</v>
      </c>
      <c r="L58" s="78">
        <v>3.55</v>
      </c>
      <c r="M58" s="78">
        <v>0.52</v>
      </c>
      <c r="N58" s="78">
        <v>28.95</v>
      </c>
      <c r="O58" s="78">
        <f t="shared" si="2"/>
        <v>100</v>
      </c>
      <c r="P58" s="78"/>
      <c r="Q58" s="80">
        <v>45.9</v>
      </c>
      <c r="R58" s="80">
        <v>12.4</v>
      </c>
      <c r="S58" s="80">
        <v>8.9</v>
      </c>
      <c r="T58" s="80">
        <v>1.2</v>
      </c>
      <c r="U58" s="80">
        <v>31.6</v>
      </c>
      <c r="V58" s="78">
        <f t="shared" si="3"/>
        <v>100</v>
      </c>
      <c r="W58" s="78"/>
      <c r="X58" s="80"/>
      <c r="Y58" s="80"/>
      <c r="Z58" s="80"/>
      <c r="AA58" s="80"/>
      <c r="AB58" s="80"/>
      <c r="AC58" s="78"/>
      <c r="AD58" s="78"/>
      <c r="AE58" s="80"/>
      <c r="AF58" s="80"/>
      <c r="AG58" s="80"/>
      <c r="AH58" s="80"/>
      <c r="AI58" s="80"/>
      <c r="AJ58" s="78"/>
      <c r="AM58" s="57"/>
      <c r="AN58" s="58"/>
      <c r="AO58" s="58"/>
      <c r="AP58" s="59"/>
      <c r="AQ58" s="59"/>
      <c r="AS58" s="57"/>
      <c r="AT58" s="58"/>
      <c r="AU58" s="58"/>
      <c r="AV58" s="59"/>
      <c r="AW58" s="59"/>
      <c r="BK58" s="57"/>
      <c r="BL58" s="58"/>
      <c r="BM58" s="58" t="s">
        <v>161</v>
      </c>
      <c r="BN58" s="59">
        <f>AVERAGE(BN46:BN55)</f>
        <v>1.823</v>
      </c>
      <c r="BO58" s="59">
        <f>AVERAGE(BO46:BO50)</f>
        <v>7.2899999999999991</v>
      </c>
    </row>
    <row r="59" spans="1:67" ht="20.100000000000001" customHeight="1">
      <c r="A59" s="22">
        <v>14</v>
      </c>
      <c r="B59" s="14" t="s">
        <v>31</v>
      </c>
      <c r="C59" s="14" t="s">
        <v>5</v>
      </c>
      <c r="D59" s="15" t="s">
        <v>29</v>
      </c>
      <c r="E59" s="16">
        <v>45394</v>
      </c>
      <c r="F59" s="17">
        <v>0.58680555555555558</v>
      </c>
      <c r="G59" s="39">
        <v>8.94</v>
      </c>
      <c r="H59" s="39">
        <v>4.2699999999999996</v>
      </c>
      <c r="I59" s="101"/>
      <c r="J59" s="78">
        <v>56.44</v>
      </c>
      <c r="K59" s="78">
        <v>4.6500000000000004</v>
      </c>
      <c r="L59" s="78">
        <v>3.46</v>
      </c>
      <c r="M59" s="78">
        <v>0.26</v>
      </c>
      <c r="N59" s="78">
        <v>35.19</v>
      </c>
      <c r="O59" s="78">
        <f t="shared" si="2"/>
        <v>100</v>
      </c>
      <c r="P59" s="78"/>
      <c r="Q59" s="80">
        <v>44.7</v>
      </c>
      <c r="R59" s="80">
        <v>12.3</v>
      </c>
      <c r="S59" s="80">
        <v>8.9</v>
      </c>
      <c r="T59" s="80">
        <v>1.4</v>
      </c>
      <c r="U59" s="80">
        <v>32.700000000000003</v>
      </c>
      <c r="V59" s="78">
        <f t="shared" si="3"/>
        <v>100.00000000000001</v>
      </c>
      <c r="W59" s="78"/>
      <c r="X59" s="80"/>
      <c r="Y59" s="80"/>
      <c r="Z59" s="80"/>
      <c r="AA59" s="80"/>
      <c r="AB59" s="80"/>
      <c r="AC59" s="78"/>
      <c r="AD59" s="78"/>
      <c r="AE59" s="80"/>
      <c r="AF59" s="80"/>
      <c r="AG59" s="80"/>
      <c r="AH59" s="80"/>
      <c r="AI59" s="80"/>
      <c r="AJ59" s="78"/>
      <c r="AM59" s="57"/>
      <c r="AN59" s="58"/>
      <c r="AO59" s="58"/>
      <c r="AP59" s="59"/>
      <c r="AQ59" s="59"/>
      <c r="AS59" s="57"/>
      <c r="AT59" s="58"/>
      <c r="AU59" s="58" t="s">
        <v>161</v>
      </c>
      <c r="AV59" s="59">
        <f>AVERAGE(AV46:AV53)</f>
        <v>19.794999999999998</v>
      </c>
      <c r="AW59" s="59">
        <f>AVERAGE(AW46:AW53)</f>
        <v>5.2956249999999994</v>
      </c>
      <c r="BK59" s="57"/>
      <c r="BL59" s="58"/>
      <c r="BM59" s="58" t="s">
        <v>162</v>
      </c>
      <c r="BN59" s="59">
        <f>_xlfn.STDEV.S(BN46:BN55)</f>
        <v>1.1858203911216907</v>
      </c>
      <c r="BO59" s="59">
        <f>_xlfn.STDEV.S(BO46:BO55)</f>
        <v>1.8949934036824529</v>
      </c>
    </row>
    <row r="60" spans="1:67" ht="20.100000000000001" customHeight="1">
      <c r="A60" s="22">
        <v>15</v>
      </c>
      <c r="B60" s="14" t="s">
        <v>31</v>
      </c>
      <c r="C60" s="14" t="s">
        <v>35</v>
      </c>
      <c r="D60" s="15" t="s">
        <v>29</v>
      </c>
      <c r="E60" s="16">
        <v>45394</v>
      </c>
      <c r="F60" s="17">
        <v>0.58333333333333337</v>
      </c>
      <c r="G60" s="39">
        <v>10.39</v>
      </c>
      <c r="H60" s="39">
        <v>5.64</v>
      </c>
      <c r="I60" s="101"/>
      <c r="J60" s="78">
        <v>40.69</v>
      </c>
      <c r="K60" s="78">
        <v>22.13</v>
      </c>
      <c r="L60" s="78">
        <v>7.84</v>
      </c>
      <c r="M60" s="78">
        <v>1.24</v>
      </c>
      <c r="N60" s="78">
        <v>28.1</v>
      </c>
      <c r="O60" s="78">
        <f t="shared" si="2"/>
        <v>100</v>
      </c>
      <c r="P60" s="78"/>
      <c r="Q60" s="80">
        <v>48.4</v>
      </c>
      <c r="R60" s="80">
        <v>14.799999999999999</v>
      </c>
      <c r="S60" s="80">
        <v>8.1</v>
      </c>
      <c r="T60" s="80">
        <v>1.3</v>
      </c>
      <c r="U60" s="80">
        <v>27.400000000000002</v>
      </c>
      <c r="V60" s="78">
        <f t="shared" si="3"/>
        <v>100</v>
      </c>
      <c r="W60" s="78"/>
      <c r="X60" s="80"/>
      <c r="Y60" s="80"/>
      <c r="Z60" s="80"/>
      <c r="AA60" s="80"/>
      <c r="AB60" s="80"/>
      <c r="AC60" s="78"/>
      <c r="AD60" s="78"/>
      <c r="AE60" s="80"/>
      <c r="AF60" s="80"/>
      <c r="AG60" s="80"/>
      <c r="AH60" s="80"/>
      <c r="AI60" s="80"/>
      <c r="AJ60" s="78"/>
      <c r="AM60" s="57"/>
      <c r="AN60" s="58"/>
      <c r="AO60" s="58"/>
      <c r="AP60" s="59"/>
      <c r="AQ60" s="59"/>
      <c r="AS60" s="57"/>
      <c r="AT60" s="58"/>
      <c r="AU60" s="58" t="s">
        <v>162</v>
      </c>
      <c r="AV60" s="59">
        <f>_xlfn.STDEV.S(AV46:AV53)</f>
        <v>3.2607766384274761</v>
      </c>
      <c r="AW60" s="59">
        <f>_xlfn.STDEV.S(AW46:AW53)</f>
        <v>4.0307872658009201</v>
      </c>
    </row>
    <row r="61" spans="1:67" ht="20.100000000000001" customHeight="1">
      <c r="A61" s="31">
        <v>16</v>
      </c>
      <c r="B61" s="32" t="s">
        <v>38</v>
      </c>
      <c r="C61" s="32" t="s">
        <v>38</v>
      </c>
      <c r="D61" s="33" t="s">
        <v>39</v>
      </c>
      <c r="E61" s="42">
        <v>45394</v>
      </c>
      <c r="F61" s="34">
        <v>0.60763888888888895</v>
      </c>
      <c r="G61" s="41">
        <v>7.92</v>
      </c>
      <c r="H61" s="41">
        <v>4.59</v>
      </c>
      <c r="I61" s="101"/>
      <c r="J61" s="77">
        <v>46.66</v>
      </c>
      <c r="K61" s="77">
        <v>4.01</v>
      </c>
      <c r="L61" s="77">
        <v>1.82</v>
      </c>
      <c r="M61" s="77">
        <v>0.34</v>
      </c>
      <c r="N61" s="77">
        <v>47.17</v>
      </c>
      <c r="O61" s="77">
        <f t="shared" si="2"/>
        <v>100</v>
      </c>
      <c r="P61" s="79"/>
      <c r="Q61" s="77">
        <v>39.700000000000003</v>
      </c>
      <c r="R61" s="77">
        <v>11.2</v>
      </c>
      <c r="S61" s="77">
        <v>9.9</v>
      </c>
      <c r="T61" s="77">
        <v>1.3</v>
      </c>
      <c r="U61" s="77">
        <v>37.9</v>
      </c>
      <c r="V61" s="77">
        <f t="shared" si="3"/>
        <v>100</v>
      </c>
      <c r="W61" s="79"/>
      <c r="X61" s="77"/>
      <c r="Y61" s="77"/>
      <c r="Z61" s="77"/>
      <c r="AA61" s="77"/>
      <c r="AB61" s="77"/>
      <c r="AC61" s="77"/>
      <c r="AD61" s="79"/>
      <c r="AE61" s="77"/>
      <c r="AF61" s="77"/>
      <c r="AG61" s="77"/>
      <c r="AH61" s="77"/>
      <c r="AI61" s="77"/>
      <c r="AJ61" s="77"/>
      <c r="AM61" s="57"/>
      <c r="AN61" s="58"/>
      <c r="AO61" s="58" t="s">
        <v>161</v>
      </c>
      <c r="AP61" s="59">
        <f>AVERAGE(AP46:AP57)</f>
        <v>13.3575</v>
      </c>
      <c r="AQ61" s="59">
        <f>AVERAGE(AQ46:AQ57)</f>
        <v>1.9608333333333334</v>
      </c>
    </row>
    <row r="62" spans="1:67" ht="20.100000000000001" customHeight="1">
      <c r="A62" s="31">
        <v>17</v>
      </c>
      <c r="B62" s="32" t="s">
        <v>38</v>
      </c>
      <c r="C62" s="32" t="s">
        <v>38</v>
      </c>
      <c r="D62" s="33" t="s">
        <v>41</v>
      </c>
      <c r="E62" s="42">
        <v>45393</v>
      </c>
      <c r="F62" s="34">
        <v>0.5625</v>
      </c>
      <c r="G62" s="41">
        <v>11.24</v>
      </c>
      <c r="H62" s="41">
        <v>5.97</v>
      </c>
      <c r="I62" s="101"/>
      <c r="J62" s="77">
        <v>36.130000000000003</v>
      </c>
      <c r="K62" s="77">
        <v>29.4</v>
      </c>
      <c r="L62" s="77">
        <v>8.6</v>
      </c>
      <c r="M62" s="77">
        <v>1.6</v>
      </c>
      <c r="N62" s="77">
        <v>24.27</v>
      </c>
      <c r="O62" s="77">
        <f t="shared" si="2"/>
        <v>99.999999999999986</v>
      </c>
      <c r="P62" s="78"/>
      <c r="Q62" s="77">
        <v>49.6</v>
      </c>
      <c r="R62" s="77">
        <v>16.7</v>
      </c>
      <c r="S62" s="77">
        <v>7.6</v>
      </c>
      <c r="T62" s="77">
        <v>1.4000000000000001</v>
      </c>
      <c r="U62" s="77">
        <v>24.7</v>
      </c>
      <c r="V62" s="77">
        <f t="shared" si="3"/>
        <v>100</v>
      </c>
      <c r="W62" s="78"/>
      <c r="X62" s="77"/>
      <c r="Y62" s="77"/>
      <c r="Z62" s="77"/>
      <c r="AA62" s="77"/>
      <c r="AB62" s="77"/>
      <c r="AC62" s="77"/>
      <c r="AD62" s="78"/>
      <c r="AE62" s="77"/>
      <c r="AF62" s="77"/>
      <c r="AG62" s="77"/>
      <c r="AH62" s="77"/>
      <c r="AI62" s="77"/>
      <c r="AJ62" s="77"/>
      <c r="AM62" s="57"/>
      <c r="AN62" s="58"/>
      <c r="AO62" s="58" t="s">
        <v>162</v>
      </c>
      <c r="AP62" s="59">
        <f>_xlfn.STDEV.S(AP46:AP57)</f>
        <v>1.9060865429174276</v>
      </c>
      <c r="AQ62" s="59">
        <f>_xlfn.STDEV.S(AQ46:AQ57)</f>
        <v>2.6869836360882551</v>
      </c>
    </row>
    <row r="63" spans="1:67" ht="20.100000000000001" customHeight="1">
      <c r="A63" s="31">
        <v>18</v>
      </c>
      <c r="B63" s="32" t="s">
        <v>38</v>
      </c>
      <c r="C63" s="32" t="s">
        <v>38</v>
      </c>
      <c r="D63" s="33" t="s">
        <v>42</v>
      </c>
      <c r="E63" s="42">
        <v>45393</v>
      </c>
      <c r="F63" s="34">
        <v>0.62847222222222221</v>
      </c>
      <c r="G63" s="41">
        <v>11.5</v>
      </c>
      <c r="H63" s="41">
        <v>5.45</v>
      </c>
      <c r="I63" s="101"/>
      <c r="J63" s="77">
        <v>40.270000000000003</v>
      </c>
      <c r="K63" s="77">
        <v>28.41</v>
      </c>
      <c r="L63" s="77">
        <v>5.42</v>
      </c>
      <c r="M63" s="77">
        <v>1.39</v>
      </c>
      <c r="N63" s="77">
        <v>24.51</v>
      </c>
      <c r="O63" s="77">
        <f t="shared" si="2"/>
        <v>100.00000000000001</v>
      </c>
      <c r="P63" s="78"/>
      <c r="Q63" s="77">
        <v>51.1</v>
      </c>
      <c r="R63" s="77">
        <v>16.900000000000002</v>
      </c>
      <c r="S63" s="77">
        <v>7.1999999999999993</v>
      </c>
      <c r="T63" s="77">
        <v>1.3</v>
      </c>
      <c r="U63" s="77">
        <v>23.5</v>
      </c>
      <c r="V63" s="77">
        <f t="shared" si="3"/>
        <v>100</v>
      </c>
      <c r="W63" s="78"/>
      <c r="X63" s="77"/>
      <c r="Y63" s="77"/>
      <c r="Z63" s="77"/>
      <c r="AA63" s="77"/>
      <c r="AB63" s="77"/>
      <c r="AC63" s="77"/>
      <c r="AD63" s="78"/>
      <c r="AE63" s="77"/>
      <c r="AF63" s="77"/>
      <c r="AG63" s="77"/>
      <c r="AH63" s="77"/>
      <c r="AI63" s="77"/>
      <c r="AJ63" s="77"/>
    </row>
    <row r="64" spans="1:67" ht="20.100000000000001" customHeight="1">
      <c r="A64" s="31">
        <v>19</v>
      </c>
      <c r="B64" s="32" t="s">
        <v>38</v>
      </c>
      <c r="C64" s="32" t="s">
        <v>43</v>
      </c>
      <c r="D64" s="33" t="s">
        <v>40</v>
      </c>
      <c r="E64" s="42">
        <v>45393</v>
      </c>
      <c r="F64" s="34">
        <v>0.56597222222222221</v>
      </c>
      <c r="G64" s="41">
        <v>12.27</v>
      </c>
      <c r="H64" s="41">
        <v>6.11</v>
      </c>
      <c r="I64" s="101"/>
      <c r="J64" s="77">
        <v>35.44</v>
      </c>
      <c r="K64" s="77">
        <v>35.590000000000003</v>
      </c>
      <c r="L64" s="77">
        <v>9.25</v>
      </c>
      <c r="M64" s="77">
        <v>2.04</v>
      </c>
      <c r="N64" s="77">
        <v>17.68</v>
      </c>
      <c r="O64" s="77">
        <f t="shared" si="2"/>
        <v>100</v>
      </c>
      <c r="P64" s="78"/>
      <c r="Q64" s="77">
        <v>52</v>
      </c>
      <c r="R64" s="77">
        <v>18.3</v>
      </c>
      <c r="S64" s="77">
        <v>7.0000000000000009</v>
      </c>
      <c r="T64" s="77">
        <v>1.3</v>
      </c>
      <c r="U64" s="77">
        <v>21.4</v>
      </c>
      <c r="V64" s="77">
        <f t="shared" si="3"/>
        <v>100</v>
      </c>
      <c r="W64" s="78"/>
      <c r="X64" s="77"/>
      <c r="Y64" s="77"/>
      <c r="Z64" s="77"/>
      <c r="AA64" s="77"/>
      <c r="AB64" s="77"/>
      <c r="AC64" s="77"/>
      <c r="AD64" s="78"/>
      <c r="AE64" s="77"/>
      <c r="AF64" s="77"/>
      <c r="AG64" s="77"/>
      <c r="AH64" s="77"/>
      <c r="AI64" s="77"/>
      <c r="AJ64" s="77"/>
    </row>
    <row r="65" spans="1:67" ht="20.100000000000001" customHeight="1">
      <c r="A65" s="31">
        <v>20</v>
      </c>
      <c r="B65" s="32" t="s">
        <v>38</v>
      </c>
      <c r="C65" s="32" t="s">
        <v>43</v>
      </c>
      <c r="D65" s="33" t="s">
        <v>44</v>
      </c>
      <c r="E65" s="42">
        <v>45393</v>
      </c>
      <c r="F65" s="34">
        <v>0.57291666666666663</v>
      </c>
      <c r="G65" s="41">
        <v>10.25</v>
      </c>
      <c r="H65" s="41">
        <v>7.37</v>
      </c>
      <c r="I65" s="101"/>
      <c r="J65" s="77">
        <v>29.32</v>
      </c>
      <c r="K65" s="77">
        <v>28.85</v>
      </c>
      <c r="L65" s="77">
        <v>15.35</v>
      </c>
      <c r="M65" s="77">
        <v>2.99</v>
      </c>
      <c r="N65" s="77">
        <v>23.49</v>
      </c>
      <c r="O65" s="77">
        <f t="shared" si="2"/>
        <v>99.999999999999986</v>
      </c>
      <c r="P65" s="78"/>
      <c r="Q65" s="77">
        <v>45.5</v>
      </c>
      <c r="R65" s="77">
        <v>15.299999999999999</v>
      </c>
      <c r="S65" s="77">
        <v>8.6</v>
      </c>
      <c r="T65" s="77">
        <v>1.5</v>
      </c>
      <c r="U65" s="77">
        <v>29.099999999999998</v>
      </c>
      <c r="V65" s="77">
        <f t="shared" si="3"/>
        <v>99.999999999999986</v>
      </c>
      <c r="W65" s="78"/>
      <c r="X65" s="77"/>
      <c r="Y65" s="77"/>
      <c r="Z65" s="77"/>
      <c r="AA65" s="77"/>
      <c r="AB65" s="77"/>
      <c r="AC65" s="77"/>
      <c r="AD65" s="78"/>
      <c r="AE65" s="77"/>
      <c r="AF65" s="77"/>
      <c r="AG65" s="77"/>
      <c r="AH65" s="77"/>
      <c r="AI65" s="77"/>
      <c r="AJ65" s="77"/>
    </row>
    <row r="66" spans="1:67" ht="20.100000000000001" customHeight="1">
      <c r="A66" s="22">
        <v>21</v>
      </c>
      <c r="B66" s="14" t="s">
        <v>45</v>
      </c>
      <c r="C66" s="14" t="s">
        <v>45</v>
      </c>
      <c r="D66" s="15" t="s">
        <v>46</v>
      </c>
      <c r="E66" s="16">
        <v>45393</v>
      </c>
      <c r="F66" s="17">
        <v>0.44097222222222227</v>
      </c>
      <c r="G66" s="39">
        <v>4.84</v>
      </c>
      <c r="H66" s="39">
        <v>5.72</v>
      </c>
      <c r="I66" s="101"/>
      <c r="J66" s="77">
        <v>22.81</v>
      </c>
      <c r="K66" s="77">
        <v>5.18</v>
      </c>
      <c r="L66" s="77">
        <v>4.38</v>
      </c>
      <c r="M66" s="77">
        <v>0.36</v>
      </c>
      <c r="N66" s="77">
        <v>67.27</v>
      </c>
      <c r="O66" s="77">
        <f t="shared" si="2"/>
        <v>100</v>
      </c>
      <c r="P66" s="78"/>
      <c r="Q66" s="77">
        <v>25.8</v>
      </c>
      <c r="R66" s="77">
        <v>7.6</v>
      </c>
      <c r="S66" s="77">
        <v>12.4</v>
      </c>
      <c r="T66" s="77">
        <v>1.2</v>
      </c>
      <c r="U66" s="77">
        <v>53</v>
      </c>
      <c r="V66" s="77">
        <f t="shared" si="3"/>
        <v>100</v>
      </c>
      <c r="W66" s="78"/>
      <c r="X66" s="77"/>
      <c r="Y66" s="77"/>
      <c r="Z66" s="77"/>
      <c r="AA66" s="77"/>
      <c r="AB66" s="77"/>
      <c r="AC66" s="77"/>
      <c r="AD66" s="78"/>
      <c r="AE66" s="77"/>
      <c r="AF66" s="77"/>
      <c r="AG66" s="77"/>
      <c r="AH66" s="77"/>
      <c r="AI66" s="77"/>
      <c r="AJ66" s="77"/>
    </row>
    <row r="67" spans="1:67" ht="20.100000000000001" customHeight="1">
      <c r="A67" s="22">
        <v>22</v>
      </c>
      <c r="B67" s="14" t="s">
        <v>45</v>
      </c>
      <c r="C67" s="14" t="s">
        <v>45</v>
      </c>
      <c r="D67" s="19" t="s">
        <v>47</v>
      </c>
      <c r="E67" s="16">
        <v>45393</v>
      </c>
      <c r="F67" s="20">
        <v>0.46180555555555558</v>
      </c>
      <c r="G67" s="40">
        <v>7.46</v>
      </c>
      <c r="H67" s="40">
        <v>3.75</v>
      </c>
      <c r="I67" s="101"/>
      <c r="J67" s="78">
        <v>58.81</v>
      </c>
      <c r="K67" s="78">
        <v>2.57</v>
      </c>
      <c r="L67" s="78">
        <v>2.2999999999999998</v>
      </c>
      <c r="M67" s="78">
        <v>0.57999999999999996</v>
      </c>
      <c r="N67" s="78">
        <v>35.74</v>
      </c>
      <c r="O67" s="78">
        <f t="shared" si="2"/>
        <v>100</v>
      </c>
      <c r="P67" s="78"/>
      <c r="Q67" s="80">
        <v>39.5</v>
      </c>
      <c r="R67" s="80">
        <v>10.299999999999999</v>
      </c>
      <c r="S67" s="80">
        <v>10</v>
      </c>
      <c r="T67" s="80">
        <v>1.1000000000000001</v>
      </c>
      <c r="U67" s="80">
        <v>39.1</v>
      </c>
      <c r="V67" s="78">
        <f t="shared" si="3"/>
        <v>100</v>
      </c>
      <c r="W67" s="78"/>
      <c r="X67" s="80"/>
      <c r="Y67" s="80"/>
      <c r="Z67" s="80"/>
      <c r="AA67" s="80"/>
      <c r="AB67" s="80"/>
      <c r="AC67" s="78"/>
      <c r="AD67" s="78"/>
      <c r="AE67" s="80"/>
      <c r="AF67" s="80"/>
      <c r="AG67" s="80"/>
      <c r="AH67" s="80"/>
      <c r="AI67" s="80"/>
      <c r="AJ67" s="78"/>
    </row>
    <row r="68" spans="1:67" ht="20.100000000000001" customHeight="1">
      <c r="A68" s="22">
        <v>23</v>
      </c>
      <c r="B68" s="14" t="s">
        <v>45</v>
      </c>
      <c r="C68" s="14" t="s">
        <v>45</v>
      </c>
      <c r="D68" s="19" t="s">
        <v>29</v>
      </c>
      <c r="E68" s="16">
        <v>45393</v>
      </c>
      <c r="F68" s="20">
        <v>0.47569444444444442</v>
      </c>
      <c r="G68" s="40">
        <v>7.95</v>
      </c>
      <c r="H68" s="40">
        <v>4.3499999999999996</v>
      </c>
      <c r="I68" s="101"/>
      <c r="J68" s="78">
        <v>52.21</v>
      </c>
      <c r="K68" s="78">
        <v>1.3</v>
      </c>
      <c r="L68" s="78">
        <v>3.64</v>
      </c>
      <c r="M68" s="78">
        <v>0.05</v>
      </c>
      <c r="N68" s="78">
        <v>42.8</v>
      </c>
      <c r="O68" s="78">
        <f t="shared" si="2"/>
        <v>100</v>
      </c>
      <c r="P68" s="78"/>
      <c r="Q68" s="80">
        <v>40</v>
      </c>
      <c r="R68" s="80">
        <v>11.3</v>
      </c>
      <c r="S68" s="80">
        <v>9.9</v>
      </c>
      <c r="T68" s="80">
        <v>1.2</v>
      </c>
      <c r="U68" s="80">
        <v>37.6</v>
      </c>
      <c r="V68" s="78">
        <f t="shared" si="3"/>
        <v>100</v>
      </c>
      <c r="W68" s="78"/>
      <c r="X68" s="80"/>
      <c r="Y68" s="80"/>
      <c r="Z68" s="80"/>
      <c r="AA68" s="80"/>
      <c r="AB68" s="80"/>
      <c r="AC68" s="78"/>
      <c r="AD68" s="78"/>
      <c r="AE68" s="80"/>
      <c r="AF68" s="80"/>
      <c r="AG68" s="80"/>
      <c r="AH68" s="80"/>
      <c r="AI68" s="80"/>
      <c r="AJ68" s="78"/>
    </row>
    <row r="69" spans="1:67" ht="20.100000000000001" customHeight="1" thickBot="1">
      <c r="A69" s="46">
        <v>24</v>
      </c>
      <c r="B69" s="47" t="s">
        <v>45</v>
      </c>
      <c r="C69" s="47" t="s">
        <v>45</v>
      </c>
      <c r="D69" s="48" t="s">
        <v>48</v>
      </c>
      <c r="E69" s="49">
        <v>45393</v>
      </c>
      <c r="F69" s="50">
        <v>0.48958333333333331</v>
      </c>
      <c r="G69" s="53">
        <v>8.2100000000000009</v>
      </c>
      <c r="H69" s="53">
        <v>4.57</v>
      </c>
      <c r="I69" s="101"/>
      <c r="J69" s="78">
        <v>52.19</v>
      </c>
      <c r="K69" s="78">
        <v>2.98</v>
      </c>
      <c r="L69" s="78">
        <v>0.94</v>
      </c>
      <c r="M69" s="78">
        <v>0.51</v>
      </c>
      <c r="N69" s="78">
        <v>43.38</v>
      </c>
      <c r="O69" s="78">
        <f t="shared" si="2"/>
        <v>100</v>
      </c>
      <c r="P69" s="78"/>
      <c r="Q69" s="80">
        <v>41.4</v>
      </c>
      <c r="R69" s="80">
        <v>11.600000000000001</v>
      </c>
      <c r="S69" s="80">
        <v>9.6</v>
      </c>
      <c r="T69" s="80">
        <v>1.2</v>
      </c>
      <c r="U69" s="80">
        <v>36.199999999999996</v>
      </c>
      <c r="V69" s="78">
        <f t="shared" si="3"/>
        <v>100</v>
      </c>
      <c r="W69" s="78"/>
      <c r="X69" s="80"/>
      <c r="Y69" s="80"/>
      <c r="Z69" s="80"/>
      <c r="AA69" s="80"/>
      <c r="AB69" s="80"/>
      <c r="AC69" s="78"/>
      <c r="AD69" s="78"/>
      <c r="AE69" s="80"/>
      <c r="AF69" s="80"/>
      <c r="AG69" s="80"/>
      <c r="AH69" s="80"/>
      <c r="AI69" s="80"/>
      <c r="AJ69" s="78"/>
    </row>
    <row r="70" spans="1:67" ht="20.100000000000001" customHeight="1"/>
    <row r="71" spans="1:67" ht="20.100000000000001" customHeight="1"/>
    <row r="72" spans="1:67" ht="20.100000000000001" customHeight="1"/>
    <row r="73" spans="1:67" ht="20.100000000000001" customHeight="1">
      <c r="J73" s="65" t="s">
        <v>153</v>
      </c>
      <c r="K73" s="66" t="s">
        <v>111</v>
      </c>
      <c r="L73" s="67" t="s">
        <v>67</v>
      </c>
      <c r="M73" s="62"/>
      <c r="N73" s="65" t="s">
        <v>154</v>
      </c>
      <c r="O73" s="66" t="s">
        <v>111</v>
      </c>
      <c r="P73" s="67" t="s">
        <v>67</v>
      </c>
      <c r="Q73" s="62"/>
      <c r="R73" s="65" t="s">
        <v>155</v>
      </c>
      <c r="S73" s="66" t="s">
        <v>111</v>
      </c>
      <c r="T73" s="67" t="s">
        <v>67</v>
      </c>
      <c r="U73" s="62"/>
      <c r="V73" s="65" t="s">
        <v>156</v>
      </c>
      <c r="W73" s="66" t="s">
        <v>111</v>
      </c>
      <c r="X73" s="67" t="s">
        <v>67</v>
      </c>
      <c r="Y73" s="62"/>
      <c r="Z73" s="65" t="s">
        <v>157</v>
      </c>
      <c r="AA73" s="66" t="s">
        <v>111</v>
      </c>
      <c r="AB73" s="67" t="s">
        <v>67</v>
      </c>
    </row>
    <row r="74" spans="1:67" ht="20.100000000000001" customHeight="1">
      <c r="J74" s="65" t="s">
        <v>161</v>
      </c>
      <c r="K74" s="65">
        <v>13.3575</v>
      </c>
      <c r="L74" s="65">
        <v>1.9608333333333334</v>
      </c>
      <c r="M74" s="62"/>
      <c r="N74" s="65" t="s">
        <v>161</v>
      </c>
      <c r="O74" s="65">
        <v>19.794999999999998</v>
      </c>
      <c r="P74" s="65">
        <v>5.2956249999999994</v>
      </c>
      <c r="Q74" s="62"/>
      <c r="R74" s="65" t="s">
        <v>161</v>
      </c>
      <c r="S74" s="65">
        <v>0.86499999999999999</v>
      </c>
      <c r="T74" s="65">
        <v>14.385000000000002</v>
      </c>
      <c r="U74" s="62"/>
      <c r="V74" s="65" t="s">
        <v>161</v>
      </c>
      <c r="W74" s="65">
        <v>1.71</v>
      </c>
      <c r="X74" s="65">
        <v>45.81</v>
      </c>
      <c r="Y74" s="62"/>
      <c r="Z74" s="65" t="s">
        <v>161</v>
      </c>
      <c r="AA74" s="68">
        <v>2.492</v>
      </c>
      <c r="AB74" s="68">
        <v>-0.24799999999999994</v>
      </c>
    </row>
    <row r="75" spans="1:67" ht="20.100000000000001" customHeight="1">
      <c r="J75" s="65" t="s">
        <v>162</v>
      </c>
      <c r="K75" s="65">
        <v>1.9060865429174276</v>
      </c>
      <c r="L75" s="65">
        <v>2.6869836360882551</v>
      </c>
      <c r="M75" s="62"/>
      <c r="N75" s="65" t="s">
        <v>162</v>
      </c>
      <c r="O75" s="65">
        <v>3.2607766384274761</v>
      </c>
      <c r="P75" s="65">
        <v>4.0307872658009201</v>
      </c>
      <c r="Q75" s="62"/>
      <c r="R75" s="65" t="s">
        <v>162</v>
      </c>
      <c r="S75" s="65">
        <v>0.3323401871576776</v>
      </c>
      <c r="T75" s="65">
        <v>5.1830927060973853</v>
      </c>
      <c r="U75" s="62"/>
      <c r="V75" s="65" t="s">
        <v>162</v>
      </c>
      <c r="W75" s="65">
        <v>1.5603845679831623</v>
      </c>
      <c r="X75" s="65">
        <v>5.7261068798966068</v>
      </c>
      <c r="Y75" s="62"/>
      <c r="Z75" s="65" t="s">
        <v>162</v>
      </c>
      <c r="AA75" s="68">
        <v>1.278796309034399</v>
      </c>
      <c r="AB75" s="68">
        <v>1.0289654999075528</v>
      </c>
    </row>
    <row r="76" spans="1:67" ht="20.100000000000001" customHeight="1">
      <c r="A76" s="64">
        <v>46134</v>
      </c>
      <c r="B76" t="s">
        <v>176</v>
      </c>
    </row>
    <row r="77" spans="1:67" ht="23.25" customHeight="1">
      <c r="A77" s="89" t="s">
        <v>50</v>
      </c>
      <c r="B77" s="89"/>
      <c r="C77" s="89"/>
      <c r="D77" s="89"/>
      <c r="E77" s="89"/>
      <c r="F77" s="89"/>
      <c r="J77" s="62" t="s">
        <v>166</v>
      </c>
    </row>
    <row r="78" spans="1:67" ht="20.100000000000001" customHeight="1" thickBot="1">
      <c r="Q78" t="s">
        <v>167</v>
      </c>
      <c r="S78" t="s">
        <v>168</v>
      </c>
      <c r="Y78" t="s">
        <v>185</v>
      </c>
    </row>
    <row r="79" spans="1:67" ht="20.100000000000001" customHeight="1" thickBot="1">
      <c r="A79" s="90" t="s">
        <v>1</v>
      </c>
      <c r="B79" s="92" t="s">
        <v>62</v>
      </c>
      <c r="C79" s="92" t="s">
        <v>63</v>
      </c>
      <c r="D79" s="90" t="s">
        <v>7</v>
      </c>
      <c r="E79" s="94" t="s">
        <v>8</v>
      </c>
      <c r="F79" s="95"/>
      <c r="G79" s="8"/>
      <c r="H79" s="8"/>
      <c r="I79" s="99"/>
      <c r="J79" s="60" t="s">
        <v>159</v>
      </c>
      <c r="O79">
        <v>100</v>
      </c>
      <c r="Q79" s="60" t="s">
        <v>163</v>
      </c>
      <c r="V79">
        <v>100</v>
      </c>
      <c r="X79" s="60"/>
      <c r="AE79" s="60"/>
      <c r="AO79" t="s">
        <v>153</v>
      </c>
      <c r="AU79" t="s">
        <v>154</v>
      </c>
      <c r="BA79" t="s">
        <v>155</v>
      </c>
      <c r="BG79" t="s">
        <v>156</v>
      </c>
      <c r="BM79" t="s">
        <v>157</v>
      </c>
    </row>
    <row r="80" spans="1:67" ht="20.100000000000001" customHeight="1" thickBot="1">
      <c r="A80" s="91"/>
      <c r="B80" s="91"/>
      <c r="C80" s="91"/>
      <c r="D80" s="93"/>
      <c r="E80" s="1" t="s">
        <v>0</v>
      </c>
      <c r="F80" s="4" t="s">
        <v>11</v>
      </c>
      <c r="G80" s="9" t="s">
        <v>66</v>
      </c>
      <c r="H80" s="9" t="s">
        <v>67</v>
      </c>
      <c r="I80" s="100"/>
      <c r="J80" s="60" t="s">
        <v>153</v>
      </c>
      <c r="K80" s="60" t="s">
        <v>154</v>
      </c>
      <c r="L80" s="60" t="s">
        <v>155</v>
      </c>
      <c r="M80" s="60" t="s">
        <v>156</v>
      </c>
      <c r="N80" s="60" t="s">
        <v>157</v>
      </c>
      <c r="O80" s="61" t="s">
        <v>158</v>
      </c>
      <c r="Q80" s="60" t="s">
        <v>153</v>
      </c>
      <c r="R80" s="60" t="s">
        <v>154</v>
      </c>
      <c r="S80" s="60" t="s">
        <v>155</v>
      </c>
      <c r="T80" s="60" t="s">
        <v>156</v>
      </c>
      <c r="U80" s="60" t="s">
        <v>157</v>
      </c>
      <c r="V80" s="61" t="s">
        <v>158</v>
      </c>
      <c r="X80" s="60"/>
      <c r="Y80" s="60"/>
      <c r="Z80" s="60"/>
      <c r="AA80" s="60"/>
      <c r="AB80" s="60"/>
      <c r="AC80" s="61"/>
      <c r="AE80" s="60"/>
      <c r="AF80" s="60"/>
      <c r="AG80" s="60"/>
      <c r="AH80" s="60"/>
      <c r="AI80" s="60"/>
      <c r="AJ80" s="61"/>
      <c r="AM80" s="55" t="s">
        <v>117</v>
      </c>
      <c r="AN80" s="55" t="s">
        <v>118</v>
      </c>
      <c r="AO80" s="55" t="s">
        <v>119</v>
      </c>
      <c r="AP80" s="56" t="s">
        <v>120</v>
      </c>
      <c r="AQ80" s="56" t="s">
        <v>121</v>
      </c>
      <c r="AS80" s="55" t="s">
        <v>117</v>
      </c>
      <c r="AT80" s="55" t="s">
        <v>118</v>
      </c>
      <c r="AU80" s="55" t="s">
        <v>119</v>
      </c>
      <c r="AV80" s="56" t="s">
        <v>120</v>
      </c>
      <c r="AW80" s="56" t="s">
        <v>121</v>
      </c>
      <c r="AY80" s="55" t="s">
        <v>117</v>
      </c>
      <c r="AZ80" s="55" t="s">
        <v>118</v>
      </c>
      <c r="BA80" s="55" t="s">
        <v>119</v>
      </c>
      <c r="BB80" s="56" t="s">
        <v>120</v>
      </c>
      <c r="BC80" s="56" t="s">
        <v>121</v>
      </c>
      <c r="BE80" s="55" t="s">
        <v>117</v>
      </c>
      <c r="BF80" s="55" t="s">
        <v>118</v>
      </c>
      <c r="BG80" s="55" t="s">
        <v>119</v>
      </c>
      <c r="BH80" s="56" t="s">
        <v>120</v>
      </c>
      <c r="BI80" s="56" t="s">
        <v>121</v>
      </c>
      <c r="BK80" s="55" t="s">
        <v>117</v>
      </c>
      <c r="BL80" s="55" t="s">
        <v>118</v>
      </c>
      <c r="BM80" s="55" t="s">
        <v>119</v>
      </c>
      <c r="BN80" s="56" t="s">
        <v>120</v>
      </c>
      <c r="BO80" s="56" t="s">
        <v>121</v>
      </c>
    </row>
    <row r="81" spans="1:67" ht="20.100000000000001" customHeight="1">
      <c r="A81" s="30">
        <v>1</v>
      </c>
      <c r="B81" s="25" t="s">
        <v>17</v>
      </c>
      <c r="C81" s="25" t="s">
        <v>17</v>
      </c>
      <c r="D81" s="10" t="s">
        <v>18</v>
      </c>
      <c r="E81" s="11">
        <v>45394</v>
      </c>
      <c r="F81" s="12">
        <v>0.40625</v>
      </c>
      <c r="G81" s="38">
        <v>6.79</v>
      </c>
      <c r="H81" s="38">
        <v>2.9</v>
      </c>
      <c r="I81" s="101"/>
      <c r="J81" s="78">
        <v>31.25</v>
      </c>
      <c r="K81" s="78">
        <v>6.55</v>
      </c>
      <c r="L81" s="78">
        <v>7.92</v>
      </c>
      <c r="M81" s="78">
        <v>2.0499999999999998</v>
      </c>
      <c r="N81" s="78">
        <v>52.23</v>
      </c>
      <c r="O81" s="78">
        <f>SUM(J81:N81)</f>
        <v>100</v>
      </c>
      <c r="P81" s="78"/>
      <c r="Q81" s="80">
        <v>35.6</v>
      </c>
      <c r="R81" s="80">
        <v>13.600000000000001</v>
      </c>
      <c r="S81" s="80">
        <v>11.899999999999999</v>
      </c>
      <c r="T81" s="80">
        <v>2.2999999999999998</v>
      </c>
      <c r="U81" s="80">
        <v>36.6</v>
      </c>
      <c r="V81" s="78">
        <f>SUM(Q81:U81)</f>
        <v>100</v>
      </c>
      <c r="W81" s="78"/>
      <c r="X81" s="80"/>
      <c r="Y81" s="80"/>
      <c r="Z81" s="80"/>
      <c r="AA81" s="80"/>
      <c r="AB81" s="80"/>
      <c r="AC81" s="78"/>
      <c r="AD81" s="78"/>
      <c r="AE81" s="80"/>
      <c r="AF81" s="80"/>
      <c r="AG81" s="80"/>
      <c r="AH81" s="80"/>
      <c r="AI81" s="80"/>
      <c r="AJ81" s="78"/>
      <c r="AM81" s="57" t="s">
        <v>114</v>
      </c>
      <c r="AN81" s="58" t="s">
        <v>113</v>
      </c>
      <c r="AO81" s="58" t="s">
        <v>49</v>
      </c>
      <c r="AP81" s="59">
        <v>16.52</v>
      </c>
      <c r="AQ81" s="59">
        <v>5.16</v>
      </c>
      <c r="AS81" s="57" t="s">
        <v>74</v>
      </c>
      <c r="AT81" s="58" t="s">
        <v>75</v>
      </c>
      <c r="AU81" s="58" t="s">
        <v>76</v>
      </c>
      <c r="AV81" s="59">
        <v>17.66</v>
      </c>
      <c r="AW81" s="59">
        <v>10.89</v>
      </c>
      <c r="AY81" s="57" t="s">
        <v>101</v>
      </c>
      <c r="AZ81" s="58" t="s">
        <v>138</v>
      </c>
      <c r="BA81" s="58" t="s">
        <v>140</v>
      </c>
      <c r="BB81" s="59">
        <v>0.63</v>
      </c>
      <c r="BC81" s="59">
        <v>10.72</v>
      </c>
      <c r="BE81" s="57" t="s">
        <v>150</v>
      </c>
      <c r="BF81" s="58"/>
      <c r="BG81" s="58" t="s">
        <v>151</v>
      </c>
      <c r="BH81" s="59">
        <v>3.25</v>
      </c>
      <c r="BI81" s="59">
        <v>40.020000000000003</v>
      </c>
      <c r="BK81" s="57" t="s">
        <v>84</v>
      </c>
      <c r="BL81" s="58" t="s">
        <v>71</v>
      </c>
      <c r="BM81" s="58" t="s">
        <v>85</v>
      </c>
      <c r="BN81" s="59">
        <v>4.34</v>
      </c>
      <c r="BO81" s="59">
        <v>0.88</v>
      </c>
    </row>
    <row r="82" spans="1:67" ht="20.100000000000001" customHeight="1">
      <c r="A82" s="22">
        <v>2</v>
      </c>
      <c r="B82" s="14" t="s">
        <v>17</v>
      </c>
      <c r="C82" s="14" t="s">
        <v>17</v>
      </c>
      <c r="D82" s="15" t="s">
        <v>20</v>
      </c>
      <c r="E82" s="16">
        <v>45394</v>
      </c>
      <c r="F82" s="17">
        <v>0.4375</v>
      </c>
      <c r="G82" s="39">
        <v>10.94</v>
      </c>
      <c r="H82" s="39">
        <v>0.19</v>
      </c>
      <c r="I82" s="101"/>
      <c r="J82" s="77">
        <v>4.8899999999999997</v>
      </c>
      <c r="K82" s="77">
        <v>1.42</v>
      </c>
      <c r="L82" s="77">
        <v>1.46</v>
      </c>
      <c r="M82" s="77">
        <v>0.18</v>
      </c>
      <c r="N82" s="77">
        <v>92.05</v>
      </c>
      <c r="O82" s="77">
        <f t="shared" ref="O82:O104" si="4">SUM(J82:N82)</f>
        <v>100</v>
      </c>
      <c r="P82" s="79"/>
      <c r="Q82" s="77">
        <v>46.5</v>
      </c>
      <c r="R82" s="77">
        <v>16.2</v>
      </c>
      <c r="S82" s="77">
        <v>7.3999999999999995</v>
      </c>
      <c r="T82" s="77">
        <v>1.6</v>
      </c>
      <c r="U82" s="77">
        <v>28.299999999999997</v>
      </c>
      <c r="V82" s="77">
        <f t="shared" ref="V82:V104" si="5">SUM(Q82:U82)</f>
        <v>100</v>
      </c>
      <c r="W82" s="79"/>
      <c r="X82" s="77"/>
      <c r="Y82" s="77"/>
      <c r="Z82" s="77"/>
      <c r="AA82" s="77"/>
      <c r="AB82" s="77"/>
      <c r="AC82" s="77"/>
      <c r="AD82" s="79"/>
      <c r="AE82" s="77"/>
      <c r="AF82" s="77"/>
      <c r="AG82" s="77"/>
      <c r="AH82" s="77"/>
      <c r="AI82" s="77"/>
      <c r="AJ82" s="77"/>
      <c r="AM82" s="57" t="s">
        <v>70</v>
      </c>
      <c r="AN82" s="58" t="s">
        <v>71</v>
      </c>
      <c r="AO82" s="58" t="s">
        <v>86</v>
      </c>
      <c r="AP82" s="59">
        <v>15.92</v>
      </c>
      <c r="AQ82" s="59">
        <v>-0.37</v>
      </c>
      <c r="AS82" s="57" t="s">
        <v>74</v>
      </c>
      <c r="AT82" s="58" t="s">
        <v>75</v>
      </c>
      <c r="AU82" s="58" t="s">
        <v>76</v>
      </c>
      <c r="AV82" s="59">
        <v>18.170000000000002</v>
      </c>
      <c r="AW82" s="59">
        <v>9.27</v>
      </c>
      <c r="AY82" s="57" t="s">
        <v>102</v>
      </c>
      <c r="AZ82" s="58" t="s">
        <v>138</v>
      </c>
      <c r="BA82" s="58" t="s">
        <v>139</v>
      </c>
      <c r="BB82" s="59">
        <v>1.1000000000000001</v>
      </c>
      <c r="BC82" s="59">
        <v>18.05</v>
      </c>
      <c r="BE82" s="57" t="s">
        <v>122</v>
      </c>
      <c r="BF82" s="58"/>
      <c r="BG82" s="58" t="s">
        <v>123</v>
      </c>
      <c r="BH82" s="59">
        <v>1.75</v>
      </c>
      <c r="BI82" s="59">
        <v>45.94</v>
      </c>
      <c r="BK82" s="57" t="s">
        <v>133</v>
      </c>
      <c r="BL82" s="58" t="s">
        <v>125</v>
      </c>
      <c r="BM82" s="58" t="s">
        <v>134</v>
      </c>
      <c r="BN82" s="59">
        <v>2.98</v>
      </c>
      <c r="BO82" s="59">
        <v>0.23</v>
      </c>
    </row>
    <row r="83" spans="1:67" ht="20.100000000000001" customHeight="1">
      <c r="A83" s="22">
        <v>3</v>
      </c>
      <c r="B83" s="14" t="s">
        <v>17</v>
      </c>
      <c r="C83" s="14" t="s">
        <v>17</v>
      </c>
      <c r="D83" s="15" t="s">
        <v>21</v>
      </c>
      <c r="E83" s="16">
        <v>45394</v>
      </c>
      <c r="F83" s="17">
        <v>0.4513888888888889</v>
      </c>
      <c r="G83" s="39">
        <v>10.09</v>
      </c>
      <c r="H83" s="39">
        <v>1.5</v>
      </c>
      <c r="I83" s="101"/>
      <c r="J83" s="78">
        <v>41.24</v>
      </c>
      <c r="K83" s="78">
        <v>12.76</v>
      </c>
      <c r="L83" s="78">
        <v>0.56999999999999995</v>
      </c>
      <c r="M83" s="78">
        <v>0.21</v>
      </c>
      <c r="N83" s="78">
        <v>45.22</v>
      </c>
      <c r="O83" s="78">
        <f t="shared" si="4"/>
        <v>100</v>
      </c>
      <c r="P83" s="78"/>
      <c r="Q83" s="80">
        <v>41.6</v>
      </c>
      <c r="R83" s="80">
        <v>15.6</v>
      </c>
      <c r="S83" s="80">
        <v>8.5</v>
      </c>
      <c r="T83" s="80">
        <v>1.7999999999999998</v>
      </c>
      <c r="U83" s="80">
        <v>32.5</v>
      </c>
      <c r="V83" s="78">
        <f t="shared" si="5"/>
        <v>100</v>
      </c>
      <c r="W83" s="78"/>
      <c r="X83" s="80"/>
      <c r="Y83" s="80"/>
      <c r="Z83" s="80"/>
      <c r="AA83" s="80"/>
      <c r="AB83" s="80"/>
      <c r="AC83" s="78"/>
      <c r="AD83" s="78"/>
      <c r="AE83" s="80"/>
      <c r="AF83" s="80"/>
      <c r="AG83" s="80"/>
      <c r="AH83" s="80"/>
      <c r="AI83" s="80"/>
      <c r="AJ83" s="78"/>
      <c r="AM83" s="57" t="s">
        <v>79</v>
      </c>
      <c r="AN83" s="58"/>
      <c r="AO83" s="58" t="s">
        <v>169</v>
      </c>
      <c r="AP83" s="59">
        <v>15.17</v>
      </c>
      <c r="AQ83" s="59">
        <v>-3.82</v>
      </c>
      <c r="AS83" s="57" t="s">
        <v>96</v>
      </c>
      <c r="AT83" s="58"/>
      <c r="AU83" s="58" t="s">
        <v>105</v>
      </c>
      <c r="AV83" s="59">
        <v>15.309999999999999</v>
      </c>
      <c r="AW83" s="59">
        <v>3.085</v>
      </c>
      <c r="AY83" s="57"/>
      <c r="AZ83" s="58"/>
      <c r="BA83" s="58"/>
      <c r="BB83" s="59"/>
      <c r="BC83" s="59"/>
      <c r="BE83" s="57" t="s">
        <v>135</v>
      </c>
      <c r="BF83" s="58"/>
      <c r="BG83" s="58" t="s">
        <v>123</v>
      </c>
      <c r="BH83" s="59">
        <v>0.13</v>
      </c>
      <c r="BI83" s="59">
        <v>51.47</v>
      </c>
      <c r="BK83" s="57" t="s">
        <v>131</v>
      </c>
      <c r="BL83" s="58" t="s">
        <v>125</v>
      </c>
      <c r="BM83" s="58" t="s">
        <v>132</v>
      </c>
      <c r="BN83" s="59">
        <v>0.92</v>
      </c>
      <c r="BO83" s="59">
        <v>0.08</v>
      </c>
    </row>
    <row r="84" spans="1:67" ht="20.100000000000001" customHeight="1">
      <c r="A84" s="22">
        <v>4</v>
      </c>
      <c r="B84" s="14" t="s">
        <v>17</v>
      </c>
      <c r="C84" s="14" t="s">
        <v>17</v>
      </c>
      <c r="D84" s="15" t="s">
        <v>22</v>
      </c>
      <c r="E84" s="16">
        <v>45394</v>
      </c>
      <c r="F84" s="17">
        <v>0.46527777777777773</v>
      </c>
      <c r="G84" s="39">
        <v>10.63</v>
      </c>
      <c r="H84" s="39">
        <v>2.19</v>
      </c>
      <c r="I84" s="101"/>
      <c r="J84" s="78">
        <v>41.16</v>
      </c>
      <c r="K84" s="78">
        <v>20.5</v>
      </c>
      <c r="L84" s="78">
        <v>1.2</v>
      </c>
      <c r="M84" s="78">
        <v>0.49</v>
      </c>
      <c r="N84" s="78">
        <v>36.65</v>
      </c>
      <c r="O84" s="78">
        <f t="shared" si="4"/>
        <v>100</v>
      </c>
      <c r="P84" s="78"/>
      <c r="Q84" s="80">
        <v>43.5</v>
      </c>
      <c r="R84" s="80">
        <v>16.7</v>
      </c>
      <c r="S84" s="80">
        <v>8.6999999999999993</v>
      </c>
      <c r="T84" s="80">
        <v>1.9</v>
      </c>
      <c r="U84" s="80">
        <v>29.2</v>
      </c>
      <c r="V84" s="78">
        <f t="shared" si="5"/>
        <v>100.00000000000001</v>
      </c>
      <c r="W84" s="78"/>
      <c r="X84" s="80"/>
      <c r="Y84" s="80"/>
      <c r="Z84" s="80"/>
      <c r="AA84" s="80"/>
      <c r="AB84" s="80"/>
      <c r="AC84" s="78"/>
      <c r="AD84" s="78"/>
      <c r="AE84" s="80"/>
      <c r="AF84" s="80"/>
      <c r="AG84" s="80"/>
      <c r="AH84" s="80"/>
      <c r="AI84" s="80"/>
      <c r="AJ84" s="78"/>
      <c r="AM84" s="57" t="s">
        <v>74</v>
      </c>
      <c r="AN84" s="58"/>
      <c r="AO84" s="58" t="s">
        <v>170</v>
      </c>
      <c r="AP84" s="59">
        <v>14.62</v>
      </c>
      <c r="AQ84" s="59">
        <v>0.65</v>
      </c>
      <c r="AS84" s="57" t="s">
        <v>98</v>
      </c>
      <c r="AT84" s="58"/>
      <c r="AU84" s="58" t="s">
        <v>106</v>
      </c>
      <c r="AV84" s="59">
        <v>19.239999999999998</v>
      </c>
      <c r="AW84" s="59">
        <v>8.4600000000000009</v>
      </c>
      <c r="AY84" s="57"/>
      <c r="AZ84" s="58"/>
      <c r="BA84" s="58"/>
      <c r="BB84" s="59"/>
      <c r="BC84" s="59"/>
      <c r="BE84" s="57"/>
      <c r="BF84" s="58"/>
      <c r="BG84" s="58"/>
      <c r="BH84" s="59"/>
      <c r="BI84" s="59"/>
      <c r="BK84" s="57" t="s">
        <v>124</v>
      </c>
      <c r="BL84" s="58" t="s">
        <v>125</v>
      </c>
      <c r="BM84" s="58" t="s">
        <v>126</v>
      </c>
      <c r="BN84" s="59">
        <v>2.36</v>
      </c>
      <c r="BO84" s="59">
        <v>-0.6</v>
      </c>
    </row>
    <row r="85" spans="1:67" ht="20.100000000000001" customHeight="1">
      <c r="A85" s="31">
        <v>5</v>
      </c>
      <c r="B85" s="32" t="s">
        <v>23</v>
      </c>
      <c r="C85" s="32" t="s">
        <v>23</v>
      </c>
      <c r="D85" s="33" t="s">
        <v>24</v>
      </c>
      <c r="E85" s="42">
        <v>45394</v>
      </c>
      <c r="F85" s="34">
        <v>0.625</v>
      </c>
      <c r="G85" s="41">
        <v>5.58</v>
      </c>
      <c r="H85" s="41">
        <v>6.49</v>
      </c>
      <c r="I85" s="101"/>
      <c r="J85" s="78">
        <v>21.72</v>
      </c>
      <c r="K85" s="78">
        <v>7</v>
      </c>
      <c r="L85" s="78">
        <v>27.38</v>
      </c>
      <c r="M85" s="78">
        <v>4.1100000000000003</v>
      </c>
      <c r="N85" s="78">
        <v>39.79</v>
      </c>
      <c r="O85" s="78">
        <f t="shared" si="4"/>
        <v>100</v>
      </c>
      <c r="P85" s="78"/>
      <c r="Q85" s="80">
        <v>24.4</v>
      </c>
      <c r="R85" s="80">
        <v>10.100000000000001</v>
      </c>
      <c r="S85" s="80">
        <v>19.600000000000001</v>
      </c>
      <c r="T85" s="80">
        <v>3.4000000000000004</v>
      </c>
      <c r="U85" s="80">
        <v>42.5</v>
      </c>
      <c r="V85" s="78">
        <f t="shared" si="5"/>
        <v>100</v>
      </c>
      <c r="W85" s="78"/>
      <c r="X85" s="80"/>
      <c r="Y85" s="80"/>
      <c r="Z85" s="80"/>
      <c r="AA85" s="80"/>
      <c r="AB85" s="80"/>
      <c r="AC85" s="78"/>
      <c r="AD85" s="78"/>
      <c r="AE85" s="80"/>
      <c r="AF85" s="80"/>
      <c r="AG85" s="80"/>
      <c r="AH85" s="80"/>
      <c r="AI85" s="80"/>
      <c r="AJ85" s="78"/>
      <c r="AM85" s="57" t="s">
        <v>115</v>
      </c>
      <c r="AN85" s="58" t="s">
        <v>113</v>
      </c>
      <c r="AO85" s="58" t="s">
        <v>116</v>
      </c>
      <c r="AP85" s="59">
        <v>14.07</v>
      </c>
      <c r="AQ85" s="59">
        <v>3.84</v>
      </c>
      <c r="AS85" s="57" t="s">
        <v>100</v>
      </c>
      <c r="AT85" s="58"/>
      <c r="AU85" s="58" t="s">
        <v>109</v>
      </c>
      <c r="AV85" s="59">
        <v>20.925000000000001</v>
      </c>
      <c r="AW85" s="59">
        <v>5.27</v>
      </c>
      <c r="AY85" s="57"/>
      <c r="AZ85" s="58"/>
      <c r="BA85" s="58"/>
      <c r="BB85" s="59"/>
      <c r="BC85" s="59"/>
      <c r="BE85" s="57"/>
      <c r="BF85" s="58"/>
      <c r="BG85" s="58" t="s">
        <v>161</v>
      </c>
      <c r="BH85" s="59">
        <f>AVERAGE(BH81:BH83)</f>
        <v>1.71</v>
      </c>
      <c r="BI85" s="59">
        <f>AVERAGE(BI81:BI83)</f>
        <v>45.81</v>
      </c>
      <c r="BK85" s="57" t="s">
        <v>127</v>
      </c>
      <c r="BL85" s="58" t="s">
        <v>125</v>
      </c>
      <c r="BM85" s="58" t="s">
        <v>128</v>
      </c>
      <c r="BN85" s="59">
        <v>1.86</v>
      </c>
      <c r="BO85" s="59">
        <v>-1.83</v>
      </c>
    </row>
    <row r="86" spans="1:67" ht="20.100000000000001" customHeight="1">
      <c r="A86" s="31">
        <v>6</v>
      </c>
      <c r="B86" s="32" t="s">
        <v>23</v>
      </c>
      <c r="C86" s="32" t="s">
        <v>23</v>
      </c>
      <c r="D86" s="33" t="s">
        <v>25</v>
      </c>
      <c r="E86" s="42">
        <v>45394</v>
      </c>
      <c r="F86" s="34">
        <v>0.63888888888888895</v>
      </c>
      <c r="G86" s="41">
        <v>6.75</v>
      </c>
      <c r="H86" s="41">
        <v>7.6</v>
      </c>
      <c r="I86" s="101"/>
      <c r="J86" s="78">
        <v>23.17</v>
      </c>
      <c r="K86" s="78">
        <v>12.79</v>
      </c>
      <c r="L86" s="78">
        <v>26.51</v>
      </c>
      <c r="M86" s="78">
        <v>6</v>
      </c>
      <c r="N86" s="78">
        <v>31.53</v>
      </c>
      <c r="O86" s="78">
        <f t="shared" si="4"/>
        <v>100</v>
      </c>
      <c r="P86" s="78"/>
      <c r="Q86" s="80">
        <v>28.799999999999997</v>
      </c>
      <c r="R86" s="80">
        <v>12.4</v>
      </c>
      <c r="S86" s="80">
        <v>20</v>
      </c>
      <c r="T86" s="80">
        <v>4</v>
      </c>
      <c r="U86" s="80">
        <v>34.799999999999997</v>
      </c>
      <c r="V86" s="78">
        <f t="shared" si="5"/>
        <v>99.999999999999986</v>
      </c>
      <c r="W86" s="78"/>
      <c r="X86" s="80"/>
      <c r="Y86" s="80"/>
      <c r="Z86" s="80"/>
      <c r="AA86" s="80"/>
      <c r="AB86" s="80"/>
      <c r="AC86" s="78"/>
      <c r="AD86" s="78"/>
      <c r="AE86" s="80"/>
      <c r="AF86" s="80"/>
      <c r="AG86" s="80"/>
      <c r="AH86" s="80"/>
      <c r="AI86" s="80"/>
      <c r="AJ86" s="78"/>
      <c r="AM86" s="57" t="s">
        <v>141</v>
      </c>
      <c r="AN86" s="58" t="s">
        <v>72</v>
      </c>
      <c r="AO86" s="58" t="s">
        <v>142</v>
      </c>
      <c r="AP86" s="59">
        <v>13.38</v>
      </c>
      <c r="AQ86" s="59">
        <v>4.66</v>
      </c>
      <c r="AS86" s="57" t="s">
        <v>148</v>
      </c>
      <c r="AT86" s="58"/>
      <c r="AU86" s="58" t="s">
        <v>149</v>
      </c>
      <c r="AV86" s="59">
        <v>24.47</v>
      </c>
      <c r="AW86" s="59">
        <v>-0.67</v>
      </c>
      <c r="AY86" s="57"/>
      <c r="AZ86" s="58"/>
      <c r="BA86" s="58"/>
      <c r="BB86" s="59"/>
      <c r="BC86" s="59"/>
      <c r="BE86" s="57"/>
      <c r="BF86" s="58"/>
      <c r="BG86" s="58" t="s">
        <v>162</v>
      </c>
      <c r="BH86" s="59">
        <f>_xlfn.STDEV.S(BH81:BH83)</f>
        <v>1.5603845679831623</v>
      </c>
      <c r="BI86" s="59">
        <f>_xlfn.STDEV.S(BI81:BI83)</f>
        <v>5.7261068798966068</v>
      </c>
      <c r="BK86" s="57"/>
      <c r="BL86" s="58"/>
      <c r="BM86" s="58"/>
      <c r="BN86" s="59"/>
      <c r="BO86" s="59"/>
    </row>
    <row r="87" spans="1:67" ht="20.100000000000001" customHeight="1">
      <c r="A87" s="31">
        <v>7</v>
      </c>
      <c r="B87" s="32" t="s">
        <v>23</v>
      </c>
      <c r="C87" s="32" t="s">
        <v>23</v>
      </c>
      <c r="D87" s="33" t="s">
        <v>26</v>
      </c>
      <c r="E87" s="42">
        <v>45393</v>
      </c>
      <c r="F87" s="34">
        <v>0.63888888888888895</v>
      </c>
      <c r="G87" s="41">
        <v>8.2100000000000009</v>
      </c>
      <c r="H87" s="41">
        <v>5.56</v>
      </c>
      <c r="I87" s="101"/>
      <c r="J87" s="78">
        <v>26.22</v>
      </c>
      <c r="K87" s="78">
        <v>18.79</v>
      </c>
      <c r="L87" s="78">
        <v>19.3</v>
      </c>
      <c r="M87" s="78">
        <v>2.99</v>
      </c>
      <c r="N87" s="78">
        <v>32.700000000000003</v>
      </c>
      <c r="O87" s="78">
        <f t="shared" si="4"/>
        <v>100</v>
      </c>
      <c r="P87" s="78"/>
      <c r="Q87" s="80">
        <v>33.900000000000006</v>
      </c>
      <c r="R87" s="80">
        <v>14.3</v>
      </c>
      <c r="S87" s="80">
        <v>13.8</v>
      </c>
      <c r="T87" s="80">
        <v>3</v>
      </c>
      <c r="U87" s="80">
        <v>35</v>
      </c>
      <c r="V87" s="78">
        <f t="shared" si="5"/>
        <v>100</v>
      </c>
      <c r="W87" s="78"/>
      <c r="X87" s="80"/>
      <c r="Y87" s="80"/>
      <c r="Z87" s="80"/>
      <c r="AA87" s="80"/>
      <c r="AB87" s="80"/>
      <c r="AC87" s="78"/>
      <c r="AD87" s="78"/>
      <c r="AE87" s="80"/>
      <c r="AF87" s="80"/>
      <c r="AG87" s="80"/>
      <c r="AH87" s="80"/>
      <c r="AI87" s="80"/>
      <c r="AJ87" s="78"/>
      <c r="AM87" s="57" t="s">
        <v>115</v>
      </c>
      <c r="AN87" s="58" t="s">
        <v>113</v>
      </c>
      <c r="AO87" s="58" t="s">
        <v>116</v>
      </c>
      <c r="AP87" s="59">
        <v>12.44</v>
      </c>
      <c r="AQ87" s="59">
        <v>3.65</v>
      </c>
      <c r="AS87" s="57" t="s">
        <v>137</v>
      </c>
      <c r="AT87" s="58"/>
      <c r="AU87" s="58" t="s">
        <v>110</v>
      </c>
      <c r="AV87" s="59">
        <v>24.39</v>
      </c>
      <c r="AW87" s="59">
        <v>1.3149999999999999</v>
      </c>
      <c r="AY87" s="57"/>
      <c r="AZ87" s="58"/>
      <c r="BA87" s="58" t="s">
        <v>161</v>
      </c>
      <c r="BB87" s="59">
        <f>AVERAGE(BB81:BB82)</f>
        <v>0.86499999999999999</v>
      </c>
      <c r="BC87" s="59">
        <f>AVERAGE(BC81:BC82)</f>
        <v>14.385000000000002</v>
      </c>
      <c r="BK87" s="57"/>
      <c r="BL87" s="58"/>
      <c r="BM87" s="58"/>
      <c r="BN87" s="59"/>
      <c r="BO87" s="59"/>
    </row>
    <row r="88" spans="1:67" ht="20.100000000000001" customHeight="1">
      <c r="A88" s="31">
        <v>8</v>
      </c>
      <c r="B88" s="32" t="s">
        <v>23</v>
      </c>
      <c r="C88" s="32" t="s">
        <v>27</v>
      </c>
      <c r="D88" s="33" t="s">
        <v>28</v>
      </c>
      <c r="E88" s="42">
        <v>45393</v>
      </c>
      <c r="F88" s="34">
        <v>0.65277777777777779</v>
      </c>
      <c r="G88" s="41">
        <v>1.58</v>
      </c>
      <c r="H88" s="41">
        <v>-0.43</v>
      </c>
      <c r="I88" s="101"/>
      <c r="J88" s="78">
        <v>4.4800000000000004</v>
      </c>
      <c r="K88" s="78">
        <v>1.68</v>
      </c>
      <c r="L88" s="78">
        <v>1.34</v>
      </c>
      <c r="M88" s="78">
        <v>0.23</v>
      </c>
      <c r="N88" s="78">
        <v>92.27</v>
      </c>
      <c r="O88" s="78">
        <f t="shared" si="4"/>
        <v>100</v>
      </c>
      <c r="P88" s="78"/>
      <c r="Q88" s="80">
        <v>11.5</v>
      </c>
      <c r="R88" s="80">
        <v>4.7</v>
      </c>
      <c r="S88" s="80">
        <v>9.9</v>
      </c>
      <c r="T88" s="80">
        <v>1.2</v>
      </c>
      <c r="U88" s="80">
        <v>72.7</v>
      </c>
      <c r="V88" s="78">
        <f t="shared" si="5"/>
        <v>100</v>
      </c>
      <c r="W88" s="78"/>
      <c r="X88" s="80"/>
      <c r="Y88" s="80"/>
      <c r="Z88" s="80"/>
      <c r="AA88" s="80"/>
      <c r="AB88" s="80"/>
      <c r="AC88" s="78"/>
      <c r="AD88" s="78"/>
      <c r="AE88" s="80"/>
      <c r="AF88" s="80"/>
      <c r="AG88" s="80"/>
      <c r="AH88" s="80"/>
      <c r="AI88" s="80"/>
      <c r="AJ88" s="78"/>
      <c r="AM88" s="57" t="s">
        <v>115</v>
      </c>
      <c r="AN88" s="58" t="s">
        <v>113</v>
      </c>
      <c r="AO88" s="58" t="s">
        <v>116</v>
      </c>
      <c r="AP88" s="59">
        <v>12.27</v>
      </c>
      <c r="AQ88" s="59">
        <v>4.01</v>
      </c>
      <c r="AS88" s="57" t="s">
        <v>89</v>
      </c>
      <c r="AT88" s="58"/>
      <c r="AU88" s="58" t="s">
        <v>88</v>
      </c>
      <c r="AV88" s="59">
        <v>18.195</v>
      </c>
      <c r="AW88" s="59">
        <v>4.7449999999999992</v>
      </c>
      <c r="AY88" s="57"/>
      <c r="AZ88" s="58"/>
      <c r="BA88" s="58" t="s">
        <v>162</v>
      </c>
      <c r="BB88" s="59">
        <f>_xlfn.STDEV.S(BB81:BB82)</f>
        <v>0.3323401871576776</v>
      </c>
      <c r="BC88" s="59">
        <f>_xlfn.STDEV.S(BC81:BC82)</f>
        <v>5.1830927060973853</v>
      </c>
      <c r="BK88" s="57"/>
      <c r="BL88" s="58"/>
      <c r="BM88" s="58"/>
      <c r="BN88" s="59"/>
      <c r="BO88" s="59"/>
    </row>
    <row r="89" spans="1:67" ht="20.100000000000001" customHeight="1">
      <c r="A89" s="31">
        <v>9</v>
      </c>
      <c r="B89" s="32" t="s">
        <v>23</v>
      </c>
      <c r="C89" s="32" t="s">
        <v>27</v>
      </c>
      <c r="D89" s="33" t="s">
        <v>30</v>
      </c>
      <c r="E89" s="42">
        <v>45393</v>
      </c>
      <c r="F89" s="34">
        <v>0.64236111111111105</v>
      </c>
      <c r="G89" s="41">
        <v>12.48</v>
      </c>
      <c r="H89" s="41">
        <v>2.62</v>
      </c>
      <c r="I89" s="101"/>
      <c r="J89" s="77">
        <v>56.36</v>
      </c>
      <c r="K89" s="77">
        <v>21.61</v>
      </c>
      <c r="L89" s="77">
        <v>1.6</v>
      </c>
      <c r="M89" s="77">
        <v>0.3</v>
      </c>
      <c r="N89" s="77">
        <v>20.13</v>
      </c>
      <c r="O89" s="77">
        <f t="shared" si="4"/>
        <v>99.999999999999986</v>
      </c>
      <c r="P89" s="78"/>
      <c r="Q89" s="77">
        <v>47.8</v>
      </c>
      <c r="R89" s="77">
        <v>20.7</v>
      </c>
      <c r="S89" s="77">
        <v>7.3999999999999995</v>
      </c>
      <c r="T89" s="77">
        <v>1.9</v>
      </c>
      <c r="U89" s="77">
        <v>22.2</v>
      </c>
      <c r="V89" s="77">
        <f t="shared" si="5"/>
        <v>100.00000000000001</v>
      </c>
      <c r="W89" s="78"/>
      <c r="X89" s="77"/>
      <c r="Y89" s="77"/>
      <c r="Z89" s="77"/>
      <c r="AA89" s="77"/>
      <c r="AB89" s="77"/>
      <c r="AC89" s="77"/>
      <c r="AD89" s="78"/>
      <c r="AE89" s="77"/>
      <c r="AF89" s="77"/>
      <c r="AG89" s="77"/>
      <c r="AH89" s="77"/>
      <c r="AI89" s="77"/>
      <c r="AJ89" s="77"/>
      <c r="AM89" s="57" t="s">
        <v>147</v>
      </c>
      <c r="AN89" s="58" t="s">
        <v>72</v>
      </c>
      <c r="AO89" s="58" t="s">
        <v>144</v>
      </c>
      <c r="AP89" s="59">
        <v>12.15</v>
      </c>
      <c r="AQ89" s="59">
        <v>-0.53</v>
      </c>
      <c r="AS89" s="57"/>
      <c r="AT89" s="58"/>
      <c r="AU89" s="58"/>
      <c r="AV89" s="59"/>
      <c r="AW89" s="59"/>
      <c r="BK89" s="57"/>
      <c r="BL89" s="58"/>
      <c r="BM89" s="58"/>
      <c r="BN89" s="59"/>
      <c r="BO89" s="59"/>
    </row>
    <row r="90" spans="1:67" ht="20.100000000000001" customHeight="1">
      <c r="A90" s="22">
        <v>10</v>
      </c>
      <c r="B90" s="14" t="s">
        <v>31</v>
      </c>
      <c r="C90" s="14" t="s">
        <v>31</v>
      </c>
      <c r="D90" s="15" t="s">
        <v>32</v>
      </c>
      <c r="E90" s="16">
        <v>45394</v>
      </c>
      <c r="F90" s="17">
        <v>0.55902777777777779</v>
      </c>
      <c r="G90" s="39">
        <v>8.51</v>
      </c>
      <c r="H90" s="39">
        <v>8.32</v>
      </c>
      <c r="I90" s="101"/>
      <c r="J90" s="78">
        <v>21.37</v>
      </c>
      <c r="K90" s="78">
        <v>23.86</v>
      </c>
      <c r="L90" s="78">
        <v>22.07</v>
      </c>
      <c r="M90" s="78">
        <v>7.7</v>
      </c>
      <c r="N90" s="78">
        <v>25</v>
      </c>
      <c r="O90" s="78">
        <f t="shared" si="4"/>
        <v>100.00000000000001</v>
      </c>
      <c r="P90" s="78"/>
      <c r="Q90" s="80">
        <v>34.5</v>
      </c>
      <c r="R90" s="80">
        <v>16</v>
      </c>
      <c r="S90" s="80">
        <v>17.100000000000001</v>
      </c>
      <c r="T90" s="80">
        <v>4.2</v>
      </c>
      <c r="U90" s="80">
        <v>28.199999999999996</v>
      </c>
      <c r="V90" s="78">
        <f t="shared" si="5"/>
        <v>100</v>
      </c>
      <c r="W90" s="78"/>
      <c r="X90" s="80"/>
      <c r="Y90" s="80"/>
      <c r="Z90" s="80"/>
      <c r="AA90" s="80"/>
      <c r="AB90" s="80"/>
      <c r="AC90" s="78"/>
      <c r="AD90" s="78"/>
      <c r="AE90" s="80"/>
      <c r="AF90" s="80"/>
      <c r="AG90" s="80"/>
      <c r="AH90" s="80"/>
      <c r="AI90" s="80"/>
      <c r="AJ90" s="78"/>
      <c r="AM90" s="57" t="s">
        <v>81</v>
      </c>
      <c r="AN90" s="58"/>
      <c r="AO90" s="58" t="s">
        <v>171</v>
      </c>
      <c r="AP90" s="59">
        <v>12.14</v>
      </c>
      <c r="AQ90" s="59">
        <v>1.42</v>
      </c>
      <c r="AS90" s="57"/>
      <c r="AT90" s="58"/>
      <c r="AU90" s="58"/>
      <c r="AV90" s="59"/>
      <c r="AW90" s="59"/>
      <c r="BK90" s="57"/>
      <c r="BL90" s="58"/>
      <c r="BM90" s="58"/>
      <c r="BN90" s="59"/>
      <c r="BO90" s="59"/>
    </row>
    <row r="91" spans="1:67" ht="20.100000000000001" customHeight="1">
      <c r="A91" s="22">
        <v>11</v>
      </c>
      <c r="B91" s="14" t="s">
        <v>31</v>
      </c>
      <c r="C91" s="14" t="s">
        <v>31</v>
      </c>
      <c r="D91" s="15" t="s">
        <v>33</v>
      </c>
      <c r="E91" s="16">
        <v>45394</v>
      </c>
      <c r="F91" s="17">
        <v>0.60416666666666663</v>
      </c>
      <c r="G91" s="39">
        <v>8.24</v>
      </c>
      <c r="H91" s="39">
        <v>6.51</v>
      </c>
      <c r="I91" s="101"/>
      <c r="J91" s="78">
        <v>25.22</v>
      </c>
      <c r="K91" s="78">
        <v>19.600000000000001</v>
      </c>
      <c r="L91" s="78">
        <v>21.25</v>
      </c>
      <c r="M91" s="78">
        <v>4.4000000000000004</v>
      </c>
      <c r="N91" s="78">
        <v>29.53</v>
      </c>
      <c r="O91" s="78">
        <f t="shared" si="4"/>
        <v>100</v>
      </c>
      <c r="P91" s="78"/>
      <c r="Q91" s="80">
        <v>34.200000000000003</v>
      </c>
      <c r="R91" s="80">
        <v>14.9</v>
      </c>
      <c r="S91" s="80">
        <v>15.2</v>
      </c>
      <c r="T91" s="80">
        <v>3.3000000000000003</v>
      </c>
      <c r="U91" s="80">
        <v>32.4</v>
      </c>
      <c r="V91" s="78">
        <f t="shared" si="5"/>
        <v>100</v>
      </c>
      <c r="W91" s="78"/>
      <c r="X91" s="80"/>
      <c r="Y91" s="80"/>
      <c r="Z91" s="80"/>
      <c r="AA91" s="80"/>
      <c r="AB91" s="80"/>
      <c r="AC91" s="78"/>
      <c r="AD91" s="78"/>
      <c r="AE91" s="80"/>
      <c r="AF91" s="80"/>
      <c r="AG91" s="80"/>
      <c r="AH91" s="80"/>
      <c r="AI91" s="80"/>
      <c r="AJ91" s="78"/>
      <c r="AM91" s="57" t="s">
        <v>81</v>
      </c>
      <c r="AN91" s="58" t="s">
        <v>71</v>
      </c>
      <c r="AO91" s="58" t="s">
        <v>82</v>
      </c>
      <c r="AP91" s="59">
        <v>10.89</v>
      </c>
      <c r="AQ91" s="59">
        <v>1.05</v>
      </c>
      <c r="AS91" s="57"/>
      <c r="AT91" s="58"/>
      <c r="AU91" s="58"/>
      <c r="AV91" s="59"/>
      <c r="AW91" s="59"/>
      <c r="BK91" s="57"/>
      <c r="BL91" s="58"/>
      <c r="BM91" s="58"/>
      <c r="BN91" s="59"/>
      <c r="BO91" s="59"/>
    </row>
    <row r="92" spans="1:67" ht="20.100000000000001" customHeight="1">
      <c r="A92" s="22">
        <v>12</v>
      </c>
      <c r="B92" s="14" t="s">
        <v>31</v>
      </c>
      <c r="C92" s="14" t="s">
        <v>31</v>
      </c>
      <c r="D92" s="15" t="s">
        <v>34</v>
      </c>
      <c r="E92" s="16">
        <v>45394</v>
      </c>
      <c r="F92" s="17">
        <v>0.61111111111111105</v>
      </c>
      <c r="G92" s="39">
        <v>8.6199999999999992</v>
      </c>
      <c r="H92" s="39">
        <v>5.83</v>
      </c>
      <c r="I92" s="101"/>
      <c r="J92" s="78">
        <v>25.92</v>
      </c>
      <c r="K92" s="78">
        <v>21.16</v>
      </c>
      <c r="L92" s="78">
        <v>18.16</v>
      </c>
      <c r="M92" s="78">
        <v>3.65</v>
      </c>
      <c r="N92" s="78">
        <v>31.11</v>
      </c>
      <c r="O92" s="78">
        <f t="shared" si="4"/>
        <v>100</v>
      </c>
      <c r="P92" s="78"/>
      <c r="Q92" s="80">
        <v>35.699999999999996</v>
      </c>
      <c r="R92" s="80">
        <v>15</v>
      </c>
      <c r="S92" s="80">
        <v>13.900000000000002</v>
      </c>
      <c r="T92" s="80">
        <v>3.1</v>
      </c>
      <c r="U92" s="80">
        <v>32.300000000000004</v>
      </c>
      <c r="V92" s="78">
        <f t="shared" si="5"/>
        <v>100</v>
      </c>
      <c r="W92" s="78"/>
      <c r="X92" s="80"/>
      <c r="Y92" s="80"/>
      <c r="Z92" s="80"/>
      <c r="AA92" s="80"/>
      <c r="AB92" s="80"/>
      <c r="AC92" s="78"/>
      <c r="AD92" s="78"/>
      <c r="AE92" s="80"/>
      <c r="AF92" s="80"/>
      <c r="AG92" s="80"/>
      <c r="AH92" s="80"/>
      <c r="AI92" s="80"/>
      <c r="AJ92" s="78"/>
      <c r="AM92" s="57" t="s">
        <v>172</v>
      </c>
      <c r="AN92" s="58"/>
      <c r="AO92" s="58" t="s">
        <v>173</v>
      </c>
      <c r="AP92" s="59">
        <v>10.72</v>
      </c>
      <c r="AQ92" s="59">
        <v>3.81</v>
      </c>
      <c r="AS92" s="57"/>
      <c r="AT92" s="58"/>
      <c r="AU92" s="58"/>
      <c r="AV92" s="59"/>
      <c r="AW92" s="59"/>
      <c r="BK92" s="57"/>
      <c r="BL92" s="58"/>
      <c r="BM92" s="58"/>
      <c r="BN92" s="59"/>
      <c r="BO92" s="59"/>
    </row>
    <row r="93" spans="1:67" ht="20.100000000000001" customHeight="1">
      <c r="A93" s="22">
        <v>13</v>
      </c>
      <c r="B93" s="14" t="s">
        <v>31</v>
      </c>
      <c r="C93" s="14" t="s">
        <v>35</v>
      </c>
      <c r="D93" s="15" t="s">
        <v>36</v>
      </c>
      <c r="E93" s="16">
        <v>45394</v>
      </c>
      <c r="F93" s="17">
        <v>0.59375</v>
      </c>
      <c r="G93" s="39">
        <v>9.1300000000000008</v>
      </c>
      <c r="H93" s="39">
        <v>4.09</v>
      </c>
      <c r="I93" s="101"/>
      <c r="J93" s="78">
        <v>30.71</v>
      </c>
      <c r="K93" s="78">
        <v>20.57</v>
      </c>
      <c r="L93" s="78">
        <v>9.9</v>
      </c>
      <c r="M93" s="78">
        <v>2.2999999999999998</v>
      </c>
      <c r="N93" s="78">
        <v>36.520000000000003</v>
      </c>
      <c r="O93" s="78">
        <f t="shared" si="4"/>
        <v>100</v>
      </c>
      <c r="P93" s="78"/>
      <c r="Q93" s="80">
        <v>38.1</v>
      </c>
      <c r="R93" s="80">
        <v>14.899999999999999</v>
      </c>
      <c r="S93" s="80">
        <v>11</v>
      </c>
      <c r="T93" s="80">
        <v>2.4</v>
      </c>
      <c r="U93" s="80">
        <v>33.6</v>
      </c>
      <c r="V93" s="78">
        <f t="shared" si="5"/>
        <v>100</v>
      </c>
      <c r="W93" s="78"/>
      <c r="X93" s="80"/>
      <c r="Y93" s="80"/>
      <c r="Z93" s="80"/>
      <c r="AA93" s="80"/>
      <c r="AB93" s="80"/>
      <c r="AC93" s="78"/>
      <c r="AD93" s="78"/>
      <c r="AE93" s="80"/>
      <c r="AF93" s="80"/>
      <c r="AG93" s="80"/>
      <c r="AH93" s="80"/>
      <c r="AI93" s="80"/>
      <c r="AJ93" s="78"/>
      <c r="AM93" s="57"/>
      <c r="AN93" s="58"/>
      <c r="AO93" s="58"/>
      <c r="AP93" s="59"/>
      <c r="AQ93" s="59"/>
      <c r="AS93" s="57"/>
      <c r="AT93" s="58"/>
      <c r="AU93" s="58"/>
      <c r="AV93" s="59"/>
      <c r="AW93" s="59"/>
      <c r="BK93" s="57"/>
      <c r="BL93" s="58"/>
      <c r="BM93" s="58" t="s">
        <v>161</v>
      </c>
      <c r="BN93" s="59">
        <f>AVERAGE(BN81:BN90)</f>
        <v>2.492</v>
      </c>
      <c r="BO93" s="59">
        <f>AVERAGE(BO81:BO85)</f>
        <v>-0.24799999999999994</v>
      </c>
    </row>
    <row r="94" spans="1:67" ht="20.100000000000001" customHeight="1">
      <c r="A94" s="22">
        <v>14</v>
      </c>
      <c r="B94" s="14" t="s">
        <v>31</v>
      </c>
      <c r="C94" s="14" t="s">
        <v>5</v>
      </c>
      <c r="D94" s="15" t="s">
        <v>29</v>
      </c>
      <c r="E94" s="16">
        <v>45394</v>
      </c>
      <c r="F94" s="17">
        <v>0.58680555555555558</v>
      </c>
      <c r="G94" s="39">
        <v>8.94</v>
      </c>
      <c r="H94" s="39">
        <v>4.2699999999999996</v>
      </c>
      <c r="I94" s="101"/>
      <c r="J94" s="78">
        <v>26.17</v>
      </c>
      <c r="K94" s="78">
        <v>21.9</v>
      </c>
      <c r="L94" s="78">
        <v>11.07</v>
      </c>
      <c r="M94" s="78">
        <v>2.4</v>
      </c>
      <c r="N94" s="78">
        <v>38.46</v>
      </c>
      <c r="O94" s="78">
        <f t="shared" si="4"/>
        <v>100</v>
      </c>
      <c r="P94" s="78"/>
      <c r="Q94" s="80">
        <v>37.5</v>
      </c>
      <c r="R94" s="80">
        <v>14.6</v>
      </c>
      <c r="S94" s="80">
        <v>11.6</v>
      </c>
      <c r="T94" s="80">
        <v>2.5</v>
      </c>
      <c r="U94" s="80">
        <v>33.800000000000004</v>
      </c>
      <c r="V94" s="78">
        <f t="shared" si="5"/>
        <v>100</v>
      </c>
      <c r="W94" s="78"/>
      <c r="X94" s="80"/>
      <c r="Y94" s="80"/>
      <c r="Z94" s="80"/>
      <c r="AA94" s="80"/>
      <c r="AB94" s="80"/>
      <c r="AC94" s="78"/>
      <c r="AD94" s="78"/>
      <c r="AE94" s="80"/>
      <c r="AF94" s="80"/>
      <c r="AG94" s="80"/>
      <c r="AH94" s="80"/>
      <c r="AI94" s="80"/>
      <c r="AJ94" s="78"/>
      <c r="AM94" s="57"/>
      <c r="AN94" s="58"/>
      <c r="AO94" s="58"/>
      <c r="AP94" s="59"/>
      <c r="AQ94" s="59"/>
      <c r="AS94" s="57"/>
      <c r="AT94" s="58"/>
      <c r="AU94" s="58" t="s">
        <v>161</v>
      </c>
      <c r="AV94" s="59">
        <f>AVERAGE(AV81:AV88)</f>
        <v>19.794999999999998</v>
      </c>
      <c r="AW94" s="59">
        <f>AVERAGE(AW81:AW88)</f>
        <v>5.2956249999999994</v>
      </c>
      <c r="BK94" s="57"/>
      <c r="BL94" s="58"/>
      <c r="BM94" s="58" t="s">
        <v>162</v>
      </c>
      <c r="BN94" s="59">
        <f>_xlfn.STDEV.S(BN81:BN90)</f>
        <v>1.278796309034399</v>
      </c>
      <c r="BO94" s="59">
        <f>_xlfn.STDEV.S(BO81:BO90)</f>
        <v>1.0289654999075528</v>
      </c>
    </row>
    <row r="95" spans="1:67" ht="20.100000000000001" customHeight="1">
      <c r="A95" s="22">
        <v>15</v>
      </c>
      <c r="B95" s="14" t="s">
        <v>31</v>
      </c>
      <c r="C95" s="14" t="s">
        <v>35</v>
      </c>
      <c r="D95" s="15" t="s">
        <v>29</v>
      </c>
      <c r="E95" s="16">
        <v>45394</v>
      </c>
      <c r="F95" s="17">
        <v>0.58333333333333337</v>
      </c>
      <c r="G95" s="39">
        <v>10.39</v>
      </c>
      <c r="H95" s="39">
        <v>5.64</v>
      </c>
      <c r="I95" s="101"/>
      <c r="J95" s="78">
        <v>26.44</v>
      </c>
      <c r="K95" s="78">
        <v>30.18</v>
      </c>
      <c r="L95" s="78">
        <v>12.52</v>
      </c>
      <c r="M95" s="78">
        <v>3.94</v>
      </c>
      <c r="N95" s="78">
        <v>26.92</v>
      </c>
      <c r="O95" s="78">
        <f t="shared" si="4"/>
        <v>100</v>
      </c>
      <c r="P95" s="78"/>
      <c r="Q95" s="80">
        <v>41.8</v>
      </c>
      <c r="R95" s="80">
        <v>18.2</v>
      </c>
      <c r="S95" s="80">
        <v>10.6</v>
      </c>
      <c r="T95" s="80">
        <v>2.8</v>
      </c>
      <c r="U95" s="80">
        <v>26.6</v>
      </c>
      <c r="V95" s="78">
        <f t="shared" si="5"/>
        <v>100</v>
      </c>
      <c r="W95" s="78"/>
      <c r="X95" s="80"/>
      <c r="Y95" s="80"/>
      <c r="Z95" s="80"/>
      <c r="AA95" s="80"/>
      <c r="AB95" s="80"/>
      <c r="AC95" s="78"/>
      <c r="AD95" s="78"/>
      <c r="AE95" s="80"/>
      <c r="AF95" s="80"/>
      <c r="AG95" s="80"/>
      <c r="AH95" s="80"/>
      <c r="AI95" s="80"/>
      <c r="AJ95" s="78"/>
      <c r="AM95" s="57"/>
      <c r="AN95" s="58"/>
      <c r="AO95" s="58"/>
      <c r="AP95" s="59"/>
      <c r="AQ95" s="59"/>
      <c r="AS95" s="57"/>
      <c r="AT95" s="58"/>
      <c r="AU95" s="58" t="s">
        <v>162</v>
      </c>
      <c r="AV95" s="59">
        <f>_xlfn.STDEV.S(AV81:AV88)</f>
        <v>3.2607766384274761</v>
      </c>
      <c r="AW95" s="59">
        <f>_xlfn.STDEV.S(AW81:AW88)</f>
        <v>4.0307872658009201</v>
      </c>
    </row>
    <row r="96" spans="1:67" ht="20.100000000000001" customHeight="1">
      <c r="A96" s="31">
        <v>16</v>
      </c>
      <c r="B96" s="32" t="s">
        <v>38</v>
      </c>
      <c r="C96" s="32" t="s">
        <v>38</v>
      </c>
      <c r="D96" s="33" t="s">
        <v>39</v>
      </c>
      <c r="E96" s="42">
        <v>45394</v>
      </c>
      <c r="F96" s="34">
        <v>0.60763888888888895</v>
      </c>
      <c r="G96" s="41">
        <v>7.92</v>
      </c>
      <c r="H96" s="41">
        <v>4.59</v>
      </c>
      <c r="I96" s="101"/>
      <c r="J96" s="78">
        <v>29.33</v>
      </c>
      <c r="K96" s="78">
        <v>14.66</v>
      </c>
      <c r="L96" s="78">
        <v>13.83</v>
      </c>
      <c r="M96" s="78">
        <v>2.98</v>
      </c>
      <c r="N96" s="78">
        <v>39.200000000000003</v>
      </c>
      <c r="O96" s="78">
        <f t="shared" si="4"/>
        <v>100</v>
      </c>
      <c r="P96" s="78"/>
      <c r="Q96" s="80">
        <v>33.5</v>
      </c>
      <c r="R96" s="80">
        <v>13</v>
      </c>
      <c r="S96" s="80">
        <v>13.100000000000001</v>
      </c>
      <c r="T96" s="80">
        <v>2.6</v>
      </c>
      <c r="U96" s="80">
        <v>37.799999999999997</v>
      </c>
      <c r="V96" s="78">
        <f t="shared" si="5"/>
        <v>100</v>
      </c>
      <c r="W96" s="78"/>
      <c r="X96" s="80"/>
      <c r="Y96" s="80"/>
      <c r="Z96" s="80"/>
      <c r="AA96" s="80"/>
      <c r="AB96" s="80"/>
      <c r="AC96" s="78"/>
      <c r="AD96" s="78"/>
      <c r="AE96" s="80"/>
      <c r="AF96" s="80"/>
      <c r="AG96" s="80"/>
      <c r="AH96" s="80"/>
      <c r="AI96" s="80"/>
      <c r="AJ96" s="78"/>
      <c r="AM96" s="57"/>
      <c r="AN96" s="58"/>
      <c r="AO96" s="58" t="s">
        <v>161</v>
      </c>
      <c r="AP96" s="59">
        <f>AVERAGE(AP81:AP92)</f>
        <v>13.3575</v>
      </c>
      <c r="AQ96" s="59">
        <f>AVERAGE(AQ81:AQ92)</f>
        <v>1.9608333333333334</v>
      </c>
    </row>
    <row r="97" spans="1:43" ht="20.100000000000001" customHeight="1">
      <c r="A97" s="31">
        <v>17</v>
      </c>
      <c r="B97" s="32" t="s">
        <v>38</v>
      </c>
      <c r="C97" s="32" t="s">
        <v>38</v>
      </c>
      <c r="D97" s="33" t="s">
        <v>41</v>
      </c>
      <c r="E97" s="42">
        <v>45393</v>
      </c>
      <c r="F97" s="34">
        <v>0.5625</v>
      </c>
      <c r="G97" s="41">
        <v>11.24</v>
      </c>
      <c r="H97" s="41">
        <v>5.97</v>
      </c>
      <c r="I97" s="101"/>
      <c r="J97" s="77">
        <v>29.6</v>
      </c>
      <c r="K97" s="77">
        <v>32.89</v>
      </c>
      <c r="L97" s="77">
        <v>12.81</v>
      </c>
      <c r="M97" s="77">
        <v>4.09</v>
      </c>
      <c r="N97" s="77">
        <v>20.61</v>
      </c>
      <c r="O97" s="77">
        <f t="shared" si="4"/>
        <v>100</v>
      </c>
      <c r="P97" s="78"/>
      <c r="Q97" s="77">
        <v>42.699999999999996</v>
      </c>
      <c r="R97" s="77">
        <v>20.7</v>
      </c>
      <c r="S97" s="77">
        <v>10.299999999999999</v>
      </c>
      <c r="T97" s="77">
        <v>2.7</v>
      </c>
      <c r="U97" s="77">
        <v>23.599999999999998</v>
      </c>
      <c r="V97" s="77">
        <f t="shared" si="5"/>
        <v>99.999999999999986</v>
      </c>
      <c r="W97" s="78"/>
      <c r="X97" s="77"/>
      <c r="Y97" s="77"/>
      <c r="Z97" s="77"/>
      <c r="AA97" s="77"/>
      <c r="AB97" s="77"/>
      <c r="AC97" s="77"/>
      <c r="AD97" s="78"/>
      <c r="AE97" s="77"/>
      <c r="AF97" s="77"/>
      <c r="AG97" s="77"/>
      <c r="AH97" s="77"/>
      <c r="AI97" s="77"/>
      <c r="AJ97" s="77"/>
      <c r="AM97" s="57"/>
      <c r="AN97" s="58"/>
      <c r="AO97" s="58" t="s">
        <v>162</v>
      </c>
      <c r="AP97" s="59">
        <f>_xlfn.STDEV.S(AP81:AP92)</f>
        <v>1.9060865429174276</v>
      </c>
      <c r="AQ97" s="59">
        <f>_xlfn.STDEV.S(AQ81:AQ92)</f>
        <v>2.6869836360882551</v>
      </c>
    </row>
    <row r="98" spans="1:43" ht="20.100000000000001" customHeight="1">
      <c r="A98" s="31">
        <v>18</v>
      </c>
      <c r="B98" s="32" t="s">
        <v>38</v>
      </c>
      <c r="C98" s="32" t="s">
        <v>38</v>
      </c>
      <c r="D98" s="33" t="s">
        <v>42</v>
      </c>
      <c r="E98" s="42">
        <v>45393</v>
      </c>
      <c r="F98" s="34">
        <v>0.62847222222222221</v>
      </c>
      <c r="G98" s="41">
        <v>11.5</v>
      </c>
      <c r="H98" s="41">
        <v>5.45</v>
      </c>
      <c r="I98" s="101"/>
      <c r="J98" s="77">
        <v>31.84</v>
      </c>
      <c r="K98" s="77">
        <v>32.86</v>
      </c>
      <c r="L98" s="77">
        <v>9.8699999999999992</v>
      </c>
      <c r="M98" s="77">
        <v>3.75</v>
      </c>
      <c r="N98" s="77">
        <v>21.68</v>
      </c>
      <c r="O98" s="77">
        <f t="shared" si="4"/>
        <v>100</v>
      </c>
      <c r="P98" s="78"/>
      <c r="Q98" s="77">
        <v>44.3</v>
      </c>
      <c r="R98" s="77">
        <v>20.100000000000001</v>
      </c>
      <c r="S98" s="77">
        <v>9.8000000000000007</v>
      </c>
      <c r="T98" s="77">
        <v>2.6</v>
      </c>
      <c r="U98" s="77">
        <v>23.200000000000003</v>
      </c>
      <c r="V98" s="77">
        <f t="shared" si="5"/>
        <v>100</v>
      </c>
      <c r="W98" s="78"/>
      <c r="X98" s="77"/>
      <c r="Y98" s="77"/>
      <c r="Z98" s="77"/>
      <c r="AA98" s="77"/>
      <c r="AB98" s="77"/>
      <c r="AC98" s="77"/>
      <c r="AD98" s="78"/>
      <c r="AE98" s="77"/>
      <c r="AF98" s="77"/>
      <c r="AG98" s="77"/>
      <c r="AH98" s="77"/>
      <c r="AI98" s="77"/>
      <c r="AJ98" s="77"/>
    </row>
    <row r="99" spans="1:43" ht="20.100000000000001" customHeight="1">
      <c r="A99" s="31">
        <v>19</v>
      </c>
      <c r="B99" s="32" t="s">
        <v>38</v>
      </c>
      <c r="C99" s="32" t="s">
        <v>43</v>
      </c>
      <c r="D99" s="33" t="s">
        <v>40</v>
      </c>
      <c r="E99" s="42">
        <v>45393</v>
      </c>
      <c r="F99" s="34">
        <v>0.56597222222222221</v>
      </c>
      <c r="G99" s="41">
        <v>12.27</v>
      </c>
      <c r="H99" s="41">
        <v>6.11</v>
      </c>
      <c r="I99" s="101"/>
      <c r="J99" s="77">
        <v>31.78</v>
      </c>
      <c r="K99" s="77">
        <v>37.6</v>
      </c>
      <c r="L99" s="77">
        <v>11.6</v>
      </c>
      <c r="M99" s="77">
        <v>4.04</v>
      </c>
      <c r="N99" s="77">
        <v>14.98</v>
      </c>
      <c r="O99" s="77">
        <f t="shared" si="4"/>
        <v>100</v>
      </c>
      <c r="P99" s="78"/>
      <c r="Q99" s="77">
        <v>45.6</v>
      </c>
      <c r="R99" s="77">
        <v>22.2</v>
      </c>
      <c r="S99" s="77">
        <v>9.1999999999999993</v>
      </c>
      <c r="T99" s="77">
        <v>2.6</v>
      </c>
      <c r="U99" s="77">
        <v>20.399999999999999</v>
      </c>
      <c r="V99" s="77">
        <f t="shared" si="5"/>
        <v>100</v>
      </c>
      <c r="W99" s="78"/>
      <c r="X99" s="77"/>
      <c r="Y99" s="77"/>
      <c r="Z99" s="77"/>
      <c r="AA99" s="77"/>
      <c r="AB99" s="77"/>
      <c r="AC99" s="77"/>
      <c r="AD99" s="78"/>
      <c r="AE99" s="77"/>
      <c r="AF99" s="77"/>
      <c r="AG99" s="77"/>
      <c r="AH99" s="77"/>
      <c r="AI99" s="77"/>
      <c r="AJ99" s="77"/>
    </row>
    <row r="100" spans="1:43" ht="20.100000000000001" customHeight="1">
      <c r="A100" s="31">
        <v>20</v>
      </c>
      <c r="B100" s="32" t="s">
        <v>38</v>
      </c>
      <c r="C100" s="32" t="s">
        <v>43</v>
      </c>
      <c r="D100" s="33" t="s">
        <v>44</v>
      </c>
      <c r="E100" s="42">
        <v>45393</v>
      </c>
      <c r="F100" s="34">
        <v>0.57291666666666663</v>
      </c>
      <c r="G100" s="41">
        <v>10.25</v>
      </c>
      <c r="H100" s="41">
        <v>7.37</v>
      </c>
      <c r="I100" s="101"/>
      <c r="J100" s="77">
        <v>26.48</v>
      </c>
      <c r="K100" s="77">
        <v>29.98</v>
      </c>
      <c r="L100" s="77">
        <v>16.91</v>
      </c>
      <c r="M100" s="77">
        <v>6.32</v>
      </c>
      <c r="N100" s="77">
        <v>20.309999999999999</v>
      </c>
      <c r="O100" s="77">
        <f t="shared" si="4"/>
        <v>100</v>
      </c>
      <c r="P100" s="78"/>
      <c r="Q100" s="77">
        <v>41.6</v>
      </c>
      <c r="R100" s="77">
        <v>18.8</v>
      </c>
      <c r="S100" s="77">
        <v>12.7</v>
      </c>
      <c r="T100" s="77">
        <v>3.3000000000000003</v>
      </c>
      <c r="U100" s="77">
        <v>23.599999999999998</v>
      </c>
      <c r="V100" s="77">
        <f t="shared" si="5"/>
        <v>100</v>
      </c>
      <c r="W100" s="78"/>
      <c r="X100" s="77"/>
      <c r="Y100" s="77"/>
      <c r="Z100" s="77"/>
      <c r="AA100" s="77"/>
      <c r="AB100" s="77"/>
      <c r="AC100" s="77"/>
      <c r="AD100" s="78"/>
      <c r="AE100" s="77"/>
      <c r="AF100" s="77"/>
      <c r="AG100" s="77"/>
      <c r="AH100" s="77"/>
      <c r="AI100" s="77"/>
      <c r="AJ100" s="77"/>
    </row>
    <row r="101" spans="1:43" ht="20.100000000000001" customHeight="1">
      <c r="A101" s="22">
        <v>21</v>
      </c>
      <c r="B101" s="14" t="s">
        <v>45</v>
      </c>
      <c r="C101" s="14" t="s">
        <v>45</v>
      </c>
      <c r="D101" s="15" t="s">
        <v>46</v>
      </c>
      <c r="E101" s="16">
        <v>45393</v>
      </c>
      <c r="F101" s="17">
        <v>0.44097222222222227</v>
      </c>
      <c r="G101" s="39">
        <v>4.84</v>
      </c>
      <c r="H101" s="39">
        <v>5.72</v>
      </c>
      <c r="I101" s="101"/>
      <c r="J101" s="78">
        <v>15.97</v>
      </c>
      <c r="K101" s="78">
        <v>6.31</v>
      </c>
      <c r="L101" s="78">
        <v>27.21</v>
      </c>
      <c r="M101" s="78">
        <v>2.74</v>
      </c>
      <c r="N101" s="78">
        <v>47.77</v>
      </c>
      <c r="O101" s="78">
        <f t="shared" si="4"/>
        <v>100</v>
      </c>
      <c r="P101" s="78"/>
      <c r="Q101" s="80">
        <v>21.2</v>
      </c>
      <c r="R101" s="80">
        <v>9.1</v>
      </c>
      <c r="S101" s="80">
        <v>18.7</v>
      </c>
      <c r="T101" s="80">
        <v>3.1</v>
      </c>
      <c r="U101" s="80">
        <v>47.9</v>
      </c>
      <c r="V101" s="78">
        <f t="shared" si="5"/>
        <v>100</v>
      </c>
      <c r="W101" s="78"/>
      <c r="X101" s="80"/>
      <c r="Y101" s="80"/>
      <c r="Z101" s="80"/>
      <c r="AA101" s="80"/>
      <c r="AB101" s="80"/>
      <c r="AC101" s="78"/>
      <c r="AD101" s="78"/>
      <c r="AE101" s="80"/>
      <c r="AF101" s="80"/>
      <c r="AG101" s="80"/>
      <c r="AH101" s="80"/>
      <c r="AI101" s="80"/>
      <c r="AJ101" s="78"/>
    </row>
    <row r="102" spans="1:43" ht="20.100000000000001" customHeight="1">
      <c r="A102" s="22">
        <v>22</v>
      </c>
      <c r="B102" s="14" t="s">
        <v>45</v>
      </c>
      <c r="C102" s="14" t="s">
        <v>45</v>
      </c>
      <c r="D102" s="19" t="s">
        <v>47</v>
      </c>
      <c r="E102" s="16">
        <v>45393</v>
      </c>
      <c r="F102" s="20">
        <v>0.46180555555555558</v>
      </c>
      <c r="G102" s="40">
        <v>7.46</v>
      </c>
      <c r="H102" s="40">
        <v>3.75</v>
      </c>
      <c r="I102" s="101"/>
      <c r="J102" s="78">
        <v>29.44</v>
      </c>
      <c r="K102" s="78">
        <v>10.93</v>
      </c>
      <c r="L102" s="78">
        <v>9.73</v>
      </c>
      <c r="M102" s="78">
        <v>2.91</v>
      </c>
      <c r="N102" s="78">
        <v>46.99</v>
      </c>
      <c r="O102" s="78">
        <f t="shared" si="4"/>
        <v>100</v>
      </c>
      <c r="P102" s="78"/>
      <c r="Q102" s="80">
        <v>31.5</v>
      </c>
      <c r="R102" s="80">
        <v>12.1</v>
      </c>
      <c r="S102" s="80">
        <v>12.5</v>
      </c>
      <c r="T102" s="80">
        <v>2.2999999999999998</v>
      </c>
      <c r="U102" s="80">
        <v>41.6</v>
      </c>
      <c r="V102" s="78">
        <f t="shared" si="5"/>
        <v>100</v>
      </c>
      <c r="W102" s="78"/>
      <c r="X102" s="80"/>
      <c r="Y102" s="80"/>
      <c r="Z102" s="80"/>
      <c r="AA102" s="80"/>
      <c r="AB102" s="80"/>
      <c r="AC102" s="78"/>
      <c r="AD102" s="78"/>
      <c r="AE102" s="80"/>
      <c r="AF102" s="80"/>
      <c r="AG102" s="80"/>
      <c r="AH102" s="80"/>
      <c r="AI102" s="80"/>
      <c r="AJ102" s="78"/>
    </row>
    <row r="103" spans="1:43" ht="20.100000000000001" customHeight="1">
      <c r="A103" s="22">
        <v>23</v>
      </c>
      <c r="B103" s="14" t="s">
        <v>45</v>
      </c>
      <c r="C103" s="14" t="s">
        <v>45</v>
      </c>
      <c r="D103" s="19" t="s">
        <v>29</v>
      </c>
      <c r="E103" s="16">
        <v>45393</v>
      </c>
      <c r="F103" s="20">
        <v>0.47569444444444442</v>
      </c>
      <c r="G103" s="40">
        <v>7.95</v>
      </c>
      <c r="H103" s="40">
        <v>4.3499999999999996</v>
      </c>
      <c r="I103" s="101"/>
      <c r="J103" s="78">
        <v>33.18</v>
      </c>
      <c r="K103" s="78">
        <v>12.19</v>
      </c>
      <c r="L103" s="78">
        <v>14</v>
      </c>
      <c r="M103" s="78">
        <v>2.59</v>
      </c>
      <c r="N103" s="78">
        <v>38.04</v>
      </c>
      <c r="O103" s="78">
        <f t="shared" si="4"/>
        <v>100</v>
      </c>
      <c r="P103" s="78"/>
      <c r="Q103" s="80">
        <v>33</v>
      </c>
      <c r="R103" s="80">
        <v>13.4</v>
      </c>
      <c r="S103" s="80">
        <v>13</v>
      </c>
      <c r="T103" s="80">
        <v>2.5</v>
      </c>
      <c r="U103" s="80">
        <v>38.1</v>
      </c>
      <c r="V103" s="78">
        <f t="shared" si="5"/>
        <v>100</v>
      </c>
      <c r="W103" s="78"/>
      <c r="X103" s="80"/>
      <c r="Y103" s="80"/>
      <c r="Z103" s="80"/>
      <c r="AA103" s="80"/>
      <c r="AB103" s="80"/>
      <c r="AC103" s="78"/>
      <c r="AD103" s="78"/>
      <c r="AE103" s="80"/>
      <c r="AF103" s="80"/>
      <c r="AG103" s="80"/>
      <c r="AH103" s="80"/>
      <c r="AI103" s="80"/>
      <c r="AJ103" s="78"/>
    </row>
    <row r="104" spans="1:43" ht="20.100000000000001" customHeight="1" thickBot="1">
      <c r="A104" s="46">
        <v>24</v>
      </c>
      <c r="B104" s="47" t="s">
        <v>45</v>
      </c>
      <c r="C104" s="47" t="s">
        <v>45</v>
      </c>
      <c r="D104" s="48" t="s">
        <v>48</v>
      </c>
      <c r="E104" s="49">
        <v>45393</v>
      </c>
      <c r="F104" s="50">
        <v>0.48958333333333331</v>
      </c>
      <c r="G104" s="53">
        <v>8.2100000000000009</v>
      </c>
      <c r="H104" s="53">
        <v>4.57</v>
      </c>
      <c r="I104" s="101"/>
      <c r="J104" s="78">
        <v>29.58</v>
      </c>
      <c r="K104" s="78">
        <v>15.82</v>
      </c>
      <c r="L104" s="78">
        <v>13.02</v>
      </c>
      <c r="M104" s="78">
        <v>3</v>
      </c>
      <c r="N104" s="78">
        <v>38.58</v>
      </c>
      <c r="O104" s="78">
        <f t="shared" si="4"/>
        <v>100</v>
      </c>
      <c r="P104" s="78"/>
      <c r="Q104" s="80">
        <v>34.5</v>
      </c>
      <c r="R104" s="80">
        <v>13.700000000000001</v>
      </c>
      <c r="S104" s="80">
        <v>12.7</v>
      </c>
      <c r="T104" s="80">
        <v>2.6</v>
      </c>
      <c r="U104" s="80">
        <v>36.5</v>
      </c>
      <c r="V104" s="78">
        <f t="shared" si="5"/>
        <v>100</v>
      </c>
      <c r="W104" s="78"/>
      <c r="X104" s="80"/>
      <c r="Y104" s="80"/>
      <c r="Z104" s="80"/>
      <c r="AA104" s="80"/>
      <c r="AB104" s="80"/>
      <c r="AC104" s="78"/>
      <c r="AD104" s="78"/>
      <c r="AE104" s="80"/>
      <c r="AF104" s="80"/>
      <c r="AG104" s="80"/>
      <c r="AH104" s="80"/>
      <c r="AI104" s="80"/>
      <c r="AJ104" s="78"/>
    </row>
    <row r="105" spans="1:43" ht="20.100000000000001" customHeight="1"/>
    <row r="106" spans="1:43" ht="20.100000000000001" customHeight="1"/>
    <row r="107" spans="1:43" ht="20.100000000000001" customHeight="1"/>
    <row r="108" spans="1:43" ht="20.100000000000001" customHeight="1">
      <c r="J108" s="65" t="s">
        <v>153</v>
      </c>
      <c r="K108" s="66" t="s">
        <v>111</v>
      </c>
      <c r="L108" s="67" t="s">
        <v>67</v>
      </c>
      <c r="M108" s="62"/>
      <c r="N108" s="65" t="s">
        <v>154</v>
      </c>
      <c r="O108" s="66" t="s">
        <v>111</v>
      </c>
      <c r="P108" s="67" t="s">
        <v>67</v>
      </c>
      <c r="Q108" s="62"/>
      <c r="R108" s="65" t="s">
        <v>155</v>
      </c>
      <c r="S108" s="66" t="s">
        <v>111</v>
      </c>
      <c r="T108" s="67" t="s">
        <v>67</v>
      </c>
      <c r="U108" s="62"/>
      <c r="V108" s="65" t="s">
        <v>156</v>
      </c>
      <c r="W108" s="66" t="s">
        <v>111</v>
      </c>
      <c r="X108" s="67" t="s">
        <v>67</v>
      </c>
      <c r="Y108" s="62"/>
      <c r="Z108" s="65" t="s">
        <v>157</v>
      </c>
      <c r="AA108" s="66" t="s">
        <v>111</v>
      </c>
      <c r="AB108" s="67" t="s">
        <v>67</v>
      </c>
    </row>
    <row r="109" spans="1:43" ht="20.100000000000001" customHeight="1">
      <c r="J109" s="65" t="s">
        <v>161</v>
      </c>
      <c r="K109" s="65">
        <v>13.3575</v>
      </c>
      <c r="L109" s="65">
        <v>1.9608333333333334</v>
      </c>
      <c r="M109" s="62"/>
      <c r="N109" s="65" t="s">
        <v>161</v>
      </c>
      <c r="O109" s="65">
        <v>19.794999999999998</v>
      </c>
      <c r="P109" s="65">
        <v>5.2956249999999994</v>
      </c>
      <c r="Q109" s="62"/>
      <c r="R109" s="65" t="s">
        <v>161</v>
      </c>
      <c r="S109" s="65">
        <v>0.86499999999999999</v>
      </c>
      <c r="T109" s="65">
        <v>14.385000000000002</v>
      </c>
      <c r="U109" s="62"/>
      <c r="V109" s="65" t="s">
        <v>161</v>
      </c>
      <c r="W109" s="65">
        <v>1.71</v>
      </c>
      <c r="X109" s="65">
        <v>45.81</v>
      </c>
      <c r="Y109" s="62"/>
      <c r="Z109" s="65" t="s">
        <v>161</v>
      </c>
      <c r="AA109" s="65">
        <v>2.1574999999999998</v>
      </c>
      <c r="AB109" s="65">
        <v>3.5209999999999995</v>
      </c>
    </row>
    <row r="110" spans="1:43" ht="20.100000000000001" customHeight="1">
      <c r="J110" s="65" t="s">
        <v>162</v>
      </c>
      <c r="K110" s="65">
        <v>1.9060865429174276</v>
      </c>
      <c r="L110" s="65">
        <v>2.6869836360882551</v>
      </c>
      <c r="M110" s="62"/>
      <c r="N110" s="65" t="s">
        <v>162</v>
      </c>
      <c r="O110" s="65">
        <v>3.2607766384274761</v>
      </c>
      <c r="P110" s="65">
        <v>4.0307872658009201</v>
      </c>
      <c r="Q110" s="62"/>
      <c r="R110" s="65" t="s">
        <v>162</v>
      </c>
      <c r="S110" s="65">
        <v>0.3323401871576776</v>
      </c>
      <c r="T110" s="65">
        <v>5.1830927060973853</v>
      </c>
      <c r="U110" s="62"/>
      <c r="V110" s="65" t="s">
        <v>162</v>
      </c>
      <c r="W110" s="65">
        <v>1.5603845679831623</v>
      </c>
      <c r="X110" s="65">
        <v>5.7261068798966068</v>
      </c>
      <c r="Y110" s="62"/>
      <c r="Z110" s="65" t="s">
        <v>162</v>
      </c>
      <c r="AA110" s="65">
        <v>1.2149468438303519</v>
      </c>
      <c r="AB110" s="65">
        <v>4.2249614067928354</v>
      </c>
    </row>
    <row r="111" spans="1:43" ht="20.100000000000001" customHeight="1">
      <c r="A111" s="64">
        <v>46134</v>
      </c>
      <c r="B111" t="s">
        <v>177</v>
      </c>
    </row>
    <row r="112" spans="1:43" ht="25.5" customHeight="1">
      <c r="A112" s="89" t="s">
        <v>50</v>
      </c>
      <c r="B112" s="89"/>
      <c r="C112" s="89"/>
      <c r="D112" s="89"/>
      <c r="E112" s="89"/>
      <c r="F112" s="89"/>
      <c r="J112" s="62" t="s">
        <v>166</v>
      </c>
    </row>
    <row r="113" spans="1:67" ht="20.100000000000001" customHeight="1" thickBot="1">
      <c r="Q113" t="s">
        <v>167</v>
      </c>
      <c r="S113" t="s">
        <v>168</v>
      </c>
      <c r="Y113" t="s">
        <v>185</v>
      </c>
    </row>
    <row r="114" spans="1:67" ht="20.100000000000001" customHeight="1" thickBot="1">
      <c r="A114" s="90" t="s">
        <v>1</v>
      </c>
      <c r="B114" s="92" t="s">
        <v>62</v>
      </c>
      <c r="C114" s="92" t="s">
        <v>63</v>
      </c>
      <c r="D114" s="90" t="s">
        <v>7</v>
      </c>
      <c r="E114" s="94" t="s">
        <v>8</v>
      </c>
      <c r="F114" s="95"/>
      <c r="G114" s="8"/>
      <c r="H114" s="8"/>
      <c r="I114" s="99"/>
      <c r="J114" s="60" t="s">
        <v>159</v>
      </c>
      <c r="O114">
        <v>100</v>
      </c>
      <c r="Q114" s="60" t="s">
        <v>163</v>
      </c>
      <c r="V114">
        <v>100</v>
      </c>
      <c r="X114" s="60"/>
      <c r="AE114" s="60"/>
      <c r="AO114" t="s">
        <v>153</v>
      </c>
      <c r="AU114" t="s">
        <v>154</v>
      </c>
      <c r="BA114" t="s">
        <v>155</v>
      </c>
      <c r="BG114" t="s">
        <v>156</v>
      </c>
      <c r="BM114" t="s">
        <v>157</v>
      </c>
    </row>
    <row r="115" spans="1:67" ht="20.100000000000001" customHeight="1" thickBot="1">
      <c r="A115" s="91"/>
      <c r="B115" s="91"/>
      <c r="C115" s="91"/>
      <c r="D115" s="93"/>
      <c r="E115" s="1" t="s">
        <v>0</v>
      </c>
      <c r="F115" s="4" t="s">
        <v>11</v>
      </c>
      <c r="G115" s="9" t="s">
        <v>66</v>
      </c>
      <c r="H115" s="9" t="s">
        <v>67</v>
      </c>
      <c r="I115" s="100"/>
      <c r="J115" s="60" t="s">
        <v>153</v>
      </c>
      <c r="K115" s="60" t="s">
        <v>154</v>
      </c>
      <c r="L115" s="60" t="s">
        <v>155</v>
      </c>
      <c r="M115" s="60" t="s">
        <v>156</v>
      </c>
      <c r="N115" s="60" t="s">
        <v>157</v>
      </c>
      <c r="O115" s="61" t="s">
        <v>158</v>
      </c>
      <c r="Q115" s="60" t="s">
        <v>153</v>
      </c>
      <c r="R115" s="60" t="s">
        <v>154</v>
      </c>
      <c r="S115" s="60" t="s">
        <v>155</v>
      </c>
      <c r="T115" s="60" t="s">
        <v>156</v>
      </c>
      <c r="U115" s="60" t="s">
        <v>157</v>
      </c>
      <c r="V115" s="61" t="s">
        <v>158</v>
      </c>
      <c r="X115" s="60"/>
      <c r="Y115" s="60"/>
      <c r="Z115" s="60"/>
      <c r="AA115" s="60"/>
      <c r="AB115" s="60"/>
      <c r="AC115" s="61"/>
      <c r="AE115" s="60"/>
      <c r="AF115" s="60"/>
      <c r="AG115" s="60"/>
      <c r="AH115" s="60"/>
      <c r="AI115" s="60"/>
      <c r="AJ115" s="61"/>
      <c r="AM115" s="55" t="s">
        <v>117</v>
      </c>
      <c r="AN115" s="55" t="s">
        <v>118</v>
      </c>
      <c r="AO115" s="55" t="s">
        <v>119</v>
      </c>
      <c r="AP115" s="56" t="s">
        <v>120</v>
      </c>
      <c r="AQ115" s="56" t="s">
        <v>121</v>
      </c>
      <c r="AS115" s="55" t="s">
        <v>117</v>
      </c>
      <c r="AT115" s="55" t="s">
        <v>118</v>
      </c>
      <c r="AU115" s="55" t="s">
        <v>119</v>
      </c>
      <c r="AV115" s="56" t="s">
        <v>120</v>
      </c>
      <c r="AW115" s="56" t="s">
        <v>121</v>
      </c>
      <c r="AY115" s="55" t="s">
        <v>117</v>
      </c>
      <c r="AZ115" s="55" t="s">
        <v>118</v>
      </c>
      <c r="BA115" s="55" t="s">
        <v>119</v>
      </c>
      <c r="BB115" s="56" t="s">
        <v>120</v>
      </c>
      <c r="BC115" s="56" t="s">
        <v>121</v>
      </c>
      <c r="BE115" s="55" t="s">
        <v>117</v>
      </c>
      <c r="BF115" s="55" t="s">
        <v>118</v>
      </c>
      <c r="BG115" s="55" t="s">
        <v>119</v>
      </c>
      <c r="BH115" s="56" t="s">
        <v>120</v>
      </c>
      <c r="BI115" s="56" t="s">
        <v>121</v>
      </c>
      <c r="BK115" s="55" t="s">
        <v>117</v>
      </c>
      <c r="BL115" s="55" t="s">
        <v>118</v>
      </c>
      <c r="BM115" s="55" t="s">
        <v>119</v>
      </c>
      <c r="BN115" s="56" t="s">
        <v>120</v>
      </c>
      <c r="BO115" s="56" t="s">
        <v>121</v>
      </c>
    </row>
    <row r="116" spans="1:67" ht="20.100000000000001" customHeight="1">
      <c r="A116" s="30">
        <v>1</v>
      </c>
      <c r="B116" s="25" t="s">
        <v>17</v>
      </c>
      <c r="C116" s="25" t="s">
        <v>17</v>
      </c>
      <c r="D116" s="10" t="s">
        <v>18</v>
      </c>
      <c r="E116" s="11">
        <v>45394</v>
      </c>
      <c r="F116" s="12">
        <v>0.40625</v>
      </c>
      <c r="G116" s="38">
        <v>6.79</v>
      </c>
      <c r="H116" s="38">
        <v>2.9</v>
      </c>
      <c r="I116" s="101"/>
      <c r="J116" s="78">
        <v>47.21</v>
      </c>
      <c r="K116" s="78">
        <v>1.27</v>
      </c>
      <c r="L116" s="78">
        <v>1.79</v>
      </c>
      <c r="M116" s="78">
        <v>0.39</v>
      </c>
      <c r="N116" s="78">
        <v>49.34</v>
      </c>
      <c r="O116" s="78">
        <f>SUM(J116:N116)</f>
        <v>100</v>
      </c>
      <c r="P116" s="78"/>
      <c r="Q116" s="80">
        <v>41.699999999999996</v>
      </c>
      <c r="R116" s="80">
        <v>12.1</v>
      </c>
      <c r="S116" s="80">
        <v>11.200000000000001</v>
      </c>
      <c r="T116" s="80">
        <v>1.6</v>
      </c>
      <c r="U116" s="80">
        <v>33.4</v>
      </c>
      <c r="V116" s="78">
        <f>SUM(Q116:U116)</f>
        <v>100</v>
      </c>
      <c r="W116" s="78"/>
      <c r="X116" s="80"/>
      <c r="Y116" s="80"/>
      <c r="Z116" s="80"/>
      <c r="AA116" s="80"/>
      <c r="AB116" s="80"/>
      <c r="AC116" s="78"/>
      <c r="AD116" s="78"/>
      <c r="AE116" s="80"/>
      <c r="AF116" s="80"/>
      <c r="AG116" s="80"/>
      <c r="AH116" s="80"/>
      <c r="AI116" s="80"/>
      <c r="AJ116" s="78"/>
      <c r="AM116" s="57" t="s">
        <v>114</v>
      </c>
      <c r="AN116" s="58" t="s">
        <v>113</v>
      </c>
      <c r="AO116" s="58" t="s">
        <v>49</v>
      </c>
      <c r="AP116" s="59">
        <v>16.52</v>
      </c>
      <c r="AQ116" s="59">
        <v>5.16</v>
      </c>
      <c r="AS116" s="57" t="s">
        <v>74</v>
      </c>
      <c r="AT116" s="58" t="s">
        <v>75</v>
      </c>
      <c r="AU116" s="58" t="s">
        <v>76</v>
      </c>
      <c r="AV116" s="59">
        <v>17.66</v>
      </c>
      <c r="AW116" s="59">
        <v>10.89</v>
      </c>
      <c r="AY116" s="57" t="s">
        <v>101</v>
      </c>
      <c r="AZ116" s="58" t="s">
        <v>138</v>
      </c>
      <c r="BA116" s="58" t="s">
        <v>140</v>
      </c>
      <c r="BB116" s="59">
        <v>0.63</v>
      </c>
      <c r="BC116" s="59">
        <v>10.72</v>
      </c>
      <c r="BE116" s="57" t="s">
        <v>150</v>
      </c>
      <c r="BF116" s="58"/>
      <c r="BG116" s="58" t="s">
        <v>151</v>
      </c>
      <c r="BH116" s="59">
        <v>3.25</v>
      </c>
      <c r="BI116" s="59">
        <v>40.020000000000003</v>
      </c>
      <c r="BK116" s="57" t="s">
        <v>95</v>
      </c>
      <c r="BL116" s="58"/>
      <c r="BM116" s="58" t="s">
        <v>104</v>
      </c>
      <c r="BN116" s="59">
        <v>1.41</v>
      </c>
      <c r="BO116" s="59">
        <v>8.9700000000000006</v>
      </c>
    </row>
    <row r="117" spans="1:67" ht="20.100000000000001" customHeight="1">
      <c r="A117" s="22">
        <v>2</v>
      </c>
      <c r="B117" s="14" t="s">
        <v>17</v>
      </c>
      <c r="C117" s="14" t="s">
        <v>17</v>
      </c>
      <c r="D117" s="15" t="s">
        <v>20</v>
      </c>
      <c r="E117" s="16">
        <v>45394</v>
      </c>
      <c r="F117" s="17">
        <v>0.4375</v>
      </c>
      <c r="G117" s="39">
        <v>10.94</v>
      </c>
      <c r="H117" s="39">
        <v>0.19</v>
      </c>
      <c r="I117" s="101"/>
      <c r="J117" s="77">
        <v>91.74</v>
      </c>
      <c r="K117" s="77">
        <v>1.62</v>
      </c>
      <c r="L117" s="77">
        <v>0.76</v>
      </c>
      <c r="M117" s="77">
        <v>0.14000000000000001</v>
      </c>
      <c r="N117" s="77">
        <v>5.74</v>
      </c>
      <c r="O117" s="77">
        <f t="shared" ref="O117:O139" si="6">SUM(J117:N117)</f>
        <v>100</v>
      </c>
      <c r="P117" s="78"/>
      <c r="Q117" s="77">
        <v>53.900000000000006</v>
      </c>
      <c r="R117" s="77">
        <v>14.399999999999999</v>
      </c>
      <c r="S117" s="77">
        <v>7.7</v>
      </c>
      <c r="T117" s="77">
        <v>1.3</v>
      </c>
      <c r="U117" s="77">
        <v>22.7</v>
      </c>
      <c r="V117" s="77">
        <f t="shared" ref="V117:V139" si="7">SUM(Q117:U117)</f>
        <v>100.00000000000001</v>
      </c>
      <c r="W117" s="78"/>
      <c r="X117" s="77"/>
      <c r="Y117" s="77"/>
      <c r="Z117" s="77"/>
      <c r="AA117" s="77"/>
      <c r="AB117" s="77"/>
      <c r="AC117" s="77"/>
      <c r="AD117" s="78"/>
      <c r="AE117" s="77"/>
      <c r="AF117" s="77"/>
      <c r="AG117" s="77"/>
      <c r="AH117" s="77"/>
      <c r="AI117" s="77"/>
      <c r="AJ117" s="77"/>
      <c r="AM117" s="57" t="s">
        <v>70</v>
      </c>
      <c r="AN117" s="58" t="s">
        <v>71</v>
      </c>
      <c r="AO117" s="58" t="s">
        <v>86</v>
      </c>
      <c r="AP117" s="59">
        <v>15.92</v>
      </c>
      <c r="AQ117" s="59">
        <v>-0.37</v>
      </c>
      <c r="AS117" s="57" t="s">
        <v>74</v>
      </c>
      <c r="AT117" s="58" t="s">
        <v>75</v>
      </c>
      <c r="AU117" s="58" t="s">
        <v>76</v>
      </c>
      <c r="AV117" s="59">
        <v>18.170000000000002</v>
      </c>
      <c r="AW117" s="59">
        <v>9.27</v>
      </c>
      <c r="AY117" s="57" t="s">
        <v>102</v>
      </c>
      <c r="AZ117" s="58" t="s">
        <v>138</v>
      </c>
      <c r="BA117" s="58" t="s">
        <v>139</v>
      </c>
      <c r="BB117" s="59">
        <v>1.1000000000000001</v>
      </c>
      <c r="BC117" s="59">
        <v>18.05</v>
      </c>
      <c r="BE117" s="57" t="s">
        <v>122</v>
      </c>
      <c r="BF117" s="58"/>
      <c r="BG117" s="58" t="s">
        <v>123</v>
      </c>
      <c r="BH117" s="59">
        <v>1.75</v>
      </c>
      <c r="BI117" s="59">
        <v>45.94</v>
      </c>
      <c r="BK117" s="57" t="s">
        <v>92</v>
      </c>
      <c r="BL117" s="58"/>
      <c r="BM117" s="58" t="s">
        <v>93</v>
      </c>
      <c r="BN117" s="59">
        <v>3.76</v>
      </c>
      <c r="BO117" s="59">
        <v>8.43</v>
      </c>
    </row>
    <row r="118" spans="1:67" ht="20.100000000000001" customHeight="1">
      <c r="A118" s="22">
        <v>3</v>
      </c>
      <c r="B118" s="14" t="s">
        <v>17</v>
      </c>
      <c r="C118" s="14" t="s">
        <v>17</v>
      </c>
      <c r="D118" s="15" t="s">
        <v>21</v>
      </c>
      <c r="E118" s="16">
        <v>45394</v>
      </c>
      <c r="F118" s="17">
        <v>0.4513888888888889</v>
      </c>
      <c r="G118" s="39">
        <v>10.09</v>
      </c>
      <c r="H118" s="39">
        <v>1.5</v>
      </c>
      <c r="I118" s="101"/>
      <c r="J118" s="77">
        <v>82.54</v>
      </c>
      <c r="K118" s="77">
        <v>2.27</v>
      </c>
      <c r="L118" s="77">
        <v>0.71</v>
      </c>
      <c r="M118" s="77">
        <v>0.51</v>
      </c>
      <c r="N118" s="77">
        <v>13.97</v>
      </c>
      <c r="O118" s="77">
        <f t="shared" si="6"/>
        <v>100</v>
      </c>
      <c r="P118" s="78"/>
      <c r="Q118" s="77">
        <v>49.7</v>
      </c>
      <c r="R118" s="77">
        <v>14.000000000000002</v>
      </c>
      <c r="S118" s="77">
        <v>8.5</v>
      </c>
      <c r="T118" s="77">
        <v>1.4000000000000001</v>
      </c>
      <c r="U118" s="77">
        <v>26.400000000000002</v>
      </c>
      <c r="V118" s="77">
        <f t="shared" si="7"/>
        <v>100.00000000000001</v>
      </c>
      <c r="W118" s="78"/>
      <c r="X118" s="77"/>
      <c r="Y118" s="77"/>
      <c r="Z118" s="77"/>
      <c r="AA118" s="77"/>
      <c r="AB118" s="77"/>
      <c r="AC118" s="77"/>
      <c r="AD118" s="78"/>
      <c r="AE118" s="77"/>
      <c r="AF118" s="77"/>
      <c r="AG118" s="77"/>
      <c r="AH118" s="77"/>
      <c r="AI118" s="77"/>
      <c r="AJ118" s="77"/>
      <c r="AM118" s="57" t="s">
        <v>79</v>
      </c>
      <c r="AN118" s="58"/>
      <c r="AO118" s="58" t="s">
        <v>169</v>
      </c>
      <c r="AP118" s="59">
        <v>15.17</v>
      </c>
      <c r="AQ118" s="59">
        <v>-3.82</v>
      </c>
      <c r="AS118" s="57" t="s">
        <v>96</v>
      </c>
      <c r="AT118" s="58"/>
      <c r="AU118" s="58" t="s">
        <v>105</v>
      </c>
      <c r="AV118" s="59">
        <v>15.309999999999999</v>
      </c>
      <c r="AW118" s="59">
        <v>3.085</v>
      </c>
      <c r="AY118" s="57"/>
      <c r="AZ118" s="58"/>
      <c r="BA118" s="58"/>
      <c r="BB118" s="59"/>
      <c r="BC118" s="59"/>
      <c r="BE118" s="57" t="s">
        <v>135</v>
      </c>
      <c r="BF118" s="58"/>
      <c r="BG118" s="58" t="s">
        <v>123</v>
      </c>
      <c r="BH118" s="59">
        <v>0.13</v>
      </c>
      <c r="BI118" s="59">
        <v>51.47</v>
      </c>
      <c r="BK118" s="57" t="s">
        <v>77</v>
      </c>
      <c r="BL118" s="58" t="s">
        <v>75</v>
      </c>
      <c r="BM118" s="58" t="s">
        <v>78</v>
      </c>
      <c r="BN118" s="59">
        <v>1.75</v>
      </c>
      <c r="BO118" s="59">
        <v>7.65</v>
      </c>
    </row>
    <row r="119" spans="1:67" ht="20.100000000000001" customHeight="1">
      <c r="A119" s="22">
        <v>4</v>
      </c>
      <c r="B119" s="14" t="s">
        <v>17</v>
      </c>
      <c r="C119" s="14" t="s">
        <v>17</v>
      </c>
      <c r="D119" s="15" t="s">
        <v>22</v>
      </c>
      <c r="E119" s="16">
        <v>45394</v>
      </c>
      <c r="F119" s="17">
        <v>0.46527777777777773</v>
      </c>
      <c r="G119" s="39">
        <v>10.63</v>
      </c>
      <c r="H119" s="39">
        <v>2.19</v>
      </c>
      <c r="I119" s="101"/>
      <c r="J119" s="77">
        <v>77.12</v>
      </c>
      <c r="K119" s="77">
        <v>5.28</v>
      </c>
      <c r="L119" s="77">
        <v>1.25</v>
      </c>
      <c r="M119" s="77">
        <v>0.17</v>
      </c>
      <c r="N119" s="77">
        <v>16.18</v>
      </c>
      <c r="O119" s="77">
        <f t="shared" si="6"/>
        <v>100</v>
      </c>
      <c r="P119" s="78"/>
      <c r="Q119" s="77">
        <v>51.5</v>
      </c>
      <c r="R119" s="77">
        <v>14.6</v>
      </c>
      <c r="S119" s="77">
        <v>8.7999999999999989</v>
      </c>
      <c r="T119" s="77">
        <v>1.5</v>
      </c>
      <c r="U119" s="77">
        <v>23.6</v>
      </c>
      <c r="V119" s="77">
        <f t="shared" si="7"/>
        <v>100</v>
      </c>
      <c r="W119" s="78"/>
      <c r="X119" s="77"/>
      <c r="Y119" s="77"/>
      <c r="Z119" s="77"/>
      <c r="AA119" s="77"/>
      <c r="AB119" s="77"/>
      <c r="AC119" s="77"/>
      <c r="AD119" s="78"/>
      <c r="AE119" s="77"/>
      <c r="AF119" s="77"/>
      <c r="AG119" s="77"/>
      <c r="AH119" s="77"/>
      <c r="AI119" s="77"/>
      <c r="AJ119" s="77"/>
      <c r="AM119" s="57" t="s">
        <v>74</v>
      </c>
      <c r="AN119" s="58"/>
      <c r="AO119" s="58" t="s">
        <v>170</v>
      </c>
      <c r="AP119" s="59">
        <v>14.62</v>
      </c>
      <c r="AQ119" s="59">
        <v>0.65</v>
      </c>
      <c r="AS119" s="57" t="s">
        <v>98</v>
      </c>
      <c r="AT119" s="58"/>
      <c r="AU119" s="58" t="s">
        <v>106</v>
      </c>
      <c r="AV119" s="59">
        <v>19.239999999999998</v>
      </c>
      <c r="AW119" s="59">
        <v>8.4600000000000009</v>
      </c>
      <c r="AY119" s="57"/>
      <c r="AZ119" s="58"/>
      <c r="BA119" s="58"/>
      <c r="BB119" s="59"/>
      <c r="BC119" s="59"/>
      <c r="BE119" s="57"/>
      <c r="BF119" s="58"/>
      <c r="BG119" s="58"/>
      <c r="BH119" s="59"/>
      <c r="BI119" s="59"/>
      <c r="BK119" s="57" t="s">
        <v>97</v>
      </c>
      <c r="BL119" s="58"/>
      <c r="BM119" s="58" t="s">
        <v>152</v>
      </c>
      <c r="BN119" s="59">
        <v>0.53</v>
      </c>
      <c r="BO119" s="59">
        <v>7.29</v>
      </c>
    </row>
    <row r="120" spans="1:67" ht="20.100000000000001" customHeight="1">
      <c r="A120" s="31">
        <v>5</v>
      </c>
      <c r="B120" s="32" t="s">
        <v>23</v>
      </c>
      <c r="C120" s="32" t="s">
        <v>23</v>
      </c>
      <c r="D120" s="33" t="s">
        <v>24</v>
      </c>
      <c r="E120" s="42">
        <v>45394</v>
      </c>
      <c r="F120" s="34">
        <v>0.625</v>
      </c>
      <c r="G120" s="41">
        <v>5.58</v>
      </c>
      <c r="H120" s="41">
        <v>6.49</v>
      </c>
      <c r="I120" s="101"/>
      <c r="J120" s="78">
        <v>22.22</v>
      </c>
      <c r="K120" s="78">
        <v>7.15</v>
      </c>
      <c r="L120" s="78">
        <v>19.079999999999998</v>
      </c>
      <c r="M120" s="78">
        <v>2.67</v>
      </c>
      <c r="N120" s="78">
        <v>48.88</v>
      </c>
      <c r="O120" s="78">
        <f t="shared" si="6"/>
        <v>100</v>
      </c>
      <c r="P120" s="78"/>
      <c r="Q120" s="80">
        <v>27.800000000000004</v>
      </c>
      <c r="R120" s="80">
        <v>9</v>
      </c>
      <c r="S120" s="80">
        <v>17.5</v>
      </c>
      <c r="T120" s="80">
        <v>2.1999999999999997</v>
      </c>
      <c r="U120" s="80">
        <v>43.5</v>
      </c>
      <c r="V120" s="78">
        <f t="shared" si="7"/>
        <v>100</v>
      </c>
      <c r="W120" s="78"/>
      <c r="X120" s="80"/>
      <c r="Y120" s="80"/>
      <c r="Z120" s="80"/>
      <c r="AA120" s="80"/>
      <c r="AB120" s="80"/>
      <c r="AC120" s="78"/>
      <c r="AD120" s="78"/>
      <c r="AE120" s="80"/>
      <c r="AF120" s="80"/>
      <c r="AG120" s="80"/>
      <c r="AH120" s="80"/>
      <c r="AI120" s="80"/>
      <c r="AJ120" s="78"/>
      <c r="AM120" s="57" t="s">
        <v>115</v>
      </c>
      <c r="AN120" s="58" t="s">
        <v>113</v>
      </c>
      <c r="AO120" s="58" t="s">
        <v>116</v>
      </c>
      <c r="AP120" s="59">
        <v>14.07</v>
      </c>
      <c r="AQ120" s="59">
        <v>3.84</v>
      </c>
      <c r="AS120" s="57" t="s">
        <v>100</v>
      </c>
      <c r="AT120" s="58"/>
      <c r="AU120" s="58" t="s">
        <v>109</v>
      </c>
      <c r="AV120" s="59">
        <v>20.925000000000001</v>
      </c>
      <c r="AW120" s="59">
        <v>5.27</v>
      </c>
      <c r="AY120" s="57"/>
      <c r="AZ120" s="58"/>
      <c r="BA120" s="58"/>
      <c r="BB120" s="59"/>
      <c r="BC120" s="59"/>
      <c r="BE120" s="57"/>
      <c r="BF120" s="58"/>
      <c r="BG120" s="58" t="s">
        <v>161</v>
      </c>
      <c r="BH120" s="59">
        <f>AVERAGE(BH116:BH118)</f>
        <v>1.71</v>
      </c>
      <c r="BI120" s="59">
        <f>AVERAGE(BI116:BI118)</f>
        <v>45.81</v>
      </c>
      <c r="BK120" s="57" t="s">
        <v>90</v>
      </c>
      <c r="BL120" s="58"/>
      <c r="BM120" s="58" t="s">
        <v>91</v>
      </c>
      <c r="BN120" s="59">
        <v>1.665</v>
      </c>
      <c r="BO120" s="59">
        <v>4.1099999999999994</v>
      </c>
    </row>
    <row r="121" spans="1:67" ht="20.100000000000001" customHeight="1">
      <c r="A121" s="31">
        <v>6</v>
      </c>
      <c r="B121" s="32" t="s">
        <v>23</v>
      </c>
      <c r="C121" s="32" t="s">
        <v>23</v>
      </c>
      <c r="D121" s="33" t="s">
        <v>25</v>
      </c>
      <c r="E121" s="42">
        <v>45394</v>
      </c>
      <c r="F121" s="34">
        <v>0.63888888888888895</v>
      </c>
      <c r="G121" s="41">
        <v>6.75</v>
      </c>
      <c r="H121" s="41">
        <v>7.6</v>
      </c>
      <c r="I121" s="101"/>
      <c r="J121" s="78">
        <v>25.1</v>
      </c>
      <c r="K121" s="78">
        <v>12.01</v>
      </c>
      <c r="L121" s="78">
        <v>25.47</v>
      </c>
      <c r="M121" s="78">
        <v>3.51</v>
      </c>
      <c r="N121" s="78">
        <v>33.909999999999997</v>
      </c>
      <c r="O121" s="78">
        <f t="shared" si="6"/>
        <v>100</v>
      </c>
      <c r="P121" s="78"/>
      <c r="Q121" s="80">
        <v>31.8</v>
      </c>
      <c r="R121" s="80">
        <v>10.9</v>
      </c>
      <c r="S121" s="80">
        <v>16.400000000000002</v>
      </c>
      <c r="T121" s="80">
        <v>2.5</v>
      </c>
      <c r="U121" s="80">
        <v>38.4</v>
      </c>
      <c r="V121" s="78">
        <f t="shared" si="7"/>
        <v>100</v>
      </c>
      <c r="W121" s="78"/>
      <c r="X121" s="80"/>
      <c r="Y121" s="80"/>
      <c r="Z121" s="80"/>
      <c r="AA121" s="80"/>
      <c r="AB121" s="80"/>
      <c r="AC121" s="78"/>
      <c r="AD121" s="78"/>
      <c r="AE121" s="80"/>
      <c r="AF121" s="80"/>
      <c r="AG121" s="80"/>
      <c r="AH121" s="80"/>
      <c r="AI121" s="80"/>
      <c r="AJ121" s="78"/>
      <c r="AM121" s="57" t="s">
        <v>141</v>
      </c>
      <c r="AN121" s="58" t="s">
        <v>72</v>
      </c>
      <c r="AO121" s="58" t="s">
        <v>142</v>
      </c>
      <c r="AP121" s="59">
        <v>13.38</v>
      </c>
      <c r="AQ121" s="59">
        <v>4.66</v>
      </c>
      <c r="AS121" s="57" t="s">
        <v>148</v>
      </c>
      <c r="AT121" s="58"/>
      <c r="AU121" s="58" t="s">
        <v>149</v>
      </c>
      <c r="AV121" s="59">
        <v>24.47</v>
      </c>
      <c r="AW121" s="59">
        <v>-0.67</v>
      </c>
      <c r="AY121" s="57"/>
      <c r="AZ121" s="58"/>
      <c r="BA121" s="58"/>
      <c r="BB121" s="59"/>
      <c r="BC121" s="59"/>
      <c r="BE121" s="57"/>
      <c r="BF121" s="58"/>
      <c r="BG121" s="58" t="s">
        <v>162</v>
      </c>
      <c r="BH121" s="59">
        <f>_xlfn.STDEV.S(BH116:BH118)</f>
        <v>1.5603845679831623</v>
      </c>
      <c r="BI121" s="59">
        <f>_xlfn.STDEV.S(BI116:BI118)</f>
        <v>5.7261068798966068</v>
      </c>
      <c r="BK121" s="57" t="s">
        <v>84</v>
      </c>
      <c r="BL121" s="58" t="s">
        <v>71</v>
      </c>
      <c r="BM121" s="58" t="s">
        <v>85</v>
      </c>
      <c r="BN121" s="59">
        <v>4.34</v>
      </c>
      <c r="BO121" s="59">
        <v>0.88</v>
      </c>
    </row>
    <row r="122" spans="1:67" ht="20.100000000000001" customHeight="1">
      <c r="A122" s="31">
        <v>7</v>
      </c>
      <c r="B122" s="32" t="s">
        <v>23</v>
      </c>
      <c r="C122" s="32" t="s">
        <v>23</v>
      </c>
      <c r="D122" s="33" t="s">
        <v>26</v>
      </c>
      <c r="E122" s="42">
        <v>45393</v>
      </c>
      <c r="F122" s="34">
        <v>0.63888888888888895</v>
      </c>
      <c r="G122" s="41">
        <v>8.2100000000000009</v>
      </c>
      <c r="H122" s="41">
        <v>5.56</v>
      </c>
      <c r="I122" s="101"/>
      <c r="J122" s="78">
        <v>33.42</v>
      </c>
      <c r="K122" s="78">
        <v>14.45</v>
      </c>
      <c r="L122" s="78">
        <v>13.22</v>
      </c>
      <c r="M122" s="78">
        <v>2.08</v>
      </c>
      <c r="N122" s="78">
        <v>36.83</v>
      </c>
      <c r="O122" s="78">
        <f t="shared" si="6"/>
        <v>100</v>
      </c>
      <c r="P122" s="78"/>
      <c r="Q122" s="80">
        <v>39.5</v>
      </c>
      <c r="R122" s="80">
        <v>12.8</v>
      </c>
      <c r="S122" s="80">
        <v>12.8</v>
      </c>
      <c r="T122" s="80">
        <v>2</v>
      </c>
      <c r="U122" s="80">
        <v>32.9</v>
      </c>
      <c r="V122" s="78">
        <f t="shared" si="7"/>
        <v>100</v>
      </c>
      <c r="W122" s="78"/>
      <c r="X122" s="80"/>
      <c r="Y122" s="80"/>
      <c r="Z122" s="80"/>
      <c r="AA122" s="80"/>
      <c r="AB122" s="80"/>
      <c r="AC122" s="78"/>
      <c r="AD122" s="78"/>
      <c r="AE122" s="80"/>
      <c r="AF122" s="80"/>
      <c r="AG122" s="80"/>
      <c r="AH122" s="80"/>
      <c r="AI122" s="80"/>
      <c r="AJ122" s="78"/>
      <c r="AM122" s="57" t="s">
        <v>115</v>
      </c>
      <c r="AN122" s="58" t="s">
        <v>113</v>
      </c>
      <c r="AO122" s="58" t="s">
        <v>116</v>
      </c>
      <c r="AP122" s="59">
        <v>12.44</v>
      </c>
      <c r="AQ122" s="59">
        <v>3.65</v>
      </c>
      <c r="AS122" s="57" t="s">
        <v>137</v>
      </c>
      <c r="AT122" s="58"/>
      <c r="AU122" s="58" t="s">
        <v>110</v>
      </c>
      <c r="AV122" s="59">
        <v>24.39</v>
      </c>
      <c r="AW122" s="59">
        <v>1.3149999999999999</v>
      </c>
      <c r="AY122" s="57"/>
      <c r="AZ122" s="58"/>
      <c r="BA122" s="58" t="s">
        <v>161</v>
      </c>
      <c r="BB122" s="59">
        <f>AVERAGE(BB116:BB117)</f>
        <v>0.86499999999999999</v>
      </c>
      <c r="BC122" s="59">
        <f>AVERAGE(BC116:BC117)</f>
        <v>14.385000000000002</v>
      </c>
      <c r="BK122" s="57" t="s">
        <v>133</v>
      </c>
      <c r="BL122" s="58" t="s">
        <v>125</v>
      </c>
      <c r="BM122" s="58" t="s">
        <v>134</v>
      </c>
      <c r="BN122" s="59">
        <v>2.98</v>
      </c>
      <c r="BO122" s="59">
        <v>0.23</v>
      </c>
    </row>
    <row r="123" spans="1:67" ht="20.100000000000001" customHeight="1">
      <c r="A123" s="31">
        <v>8</v>
      </c>
      <c r="B123" s="32" t="s">
        <v>23</v>
      </c>
      <c r="C123" s="32" t="s">
        <v>27</v>
      </c>
      <c r="D123" s="33" t="s">
        <v>28</v>
      </c>
      <c r="E123" s="42">
        <v>45393</v>
      </c>
      <c r="F123" s="34">
        <v>0.65277777777777779</v>
      </c>
      <c r="G123" s="41">
        <v>1.58</v>
      </c>
      <c r="H123" s="41">
        <v>-0.43</v>
      </c>
      <c r="I123" s="101"/>
      <c r="J123" s="77">
        <v>83.35</v>
      </c>
      <c r="K123" s="77">
        <v>2.52</v>
      </c>
      <c r="L123" s="77">
        <v>0.62</v>
      </c>
      <c r="M123" s="77">
        <v>0.24</v>
      </c>
      <c r="N123" s="77">
        <v>13.27</v>
      </c>
      <c r="O123" s="77">
        <f t="shared" si="6"/>
        <v>99.999999999999986</v>
      </c>
      <c r="P123" s="79"/>
      <c r="Q123" s="77">
        <v>13.700000000000001</v>
      </c>
      <c r="R123" s="77">
        <v>4.9000000000000004</v>
      </c>
      <c r="S123" s="77">
        <v>13.600000000000001</v>
      </c>
      <c r="T123" s="77">
        <v>1.2</v>
      </c>
      <c r="U123" s="77">
        <v>66.600000000000009</v>
      </c>
      <c r="V123" s="77">
        <f t="shared" si="7"/>
        <v>100.00000000000001</v>
      </c>
      <c r="W123" s="79"/>
      <c r="X123" s="77"/>
      <c r="Y123" s="77"/>
      <c r="Z123" s="77"/>
      <c r="AA123" s="77"/>
      <c r="AB123" s="77"/>
      <c r="AC123" s="77"/>
      <c r="AD123" s="79"/>
      <c r="AE123" s="77"/>
      <c r="AF123" s="77"/>
      <c r="AG123" s="77"/>
      <c r="AH123" s="77"/>
      <c r="AI123" s="77"/>
      <c r="AJ123" s="77"/>
      <c r="AM123" s="57" t="s">
        <v>115</v>
      </c>
      <c r="AN123" s="58" t="s">
        <v>113</v>
      </c>
      <c r="AO123" s="58" t="s">
        <v>116</v>
      </c>
      <c r="AP123" s="59">
        <v>12.27</v>
      </c>
      <c r="AQ123" s="59">
        <v>4.01</v>
      </c>
      <c r="AS123" s="57" t="s">
        <v>89</v>
      </c>
      <c r="AT123" s="58"/>
      <c r="AU123" s="58" t="s">
        <v>88</v>
      </c>
      <c r="AV123" s="59">
        <v>18.195</v>
      </c>
      <c r="AW123" s="59">
        <v>4.7449999999999992</v>
      </c>
      <c r="AY123" s="57"/>
      <c r="AZ123" s="58"/>
      <c r="BA123" s="58" t="s">
        <v>162</v>
      </c>
      <c r="BB123" s="59">
        <f>_xlfn.STDEV.S(BB116:BB117)</f>
        <v>0.3323401871576776</v>
      </c>
      <c r="BC123" s="59">
        <f>_xlfn.STDEV.S(BC116:BC117)</f>
        <v>5.1830927060973853</v>
      </c>
      <c r="BK123" s="57" t="s">
        <v>131</v>
      </c>
      <c r="BL123" s="58" t="s">
        <v>125</v>
      </c>
      <c r="BM123" s="58" t="s">
        <v>132</v>
      </c>
      <c r="BN123" s="59">
        <v>0.92</v>
      </c>
      <c r="BO123" s="59">
        <v>0.08</v>
      </c>
    </row>
    <row r="124" spans="1:67" ht="20.100000000000001" customHeight="1">
      <c r="A124" s="31">
        <v>9</v>
      </c>
      <c r="B124" s="32" t="s">
        <v>23</v>
      </c>
      <c r="C124" s="32" t="s">
        <v>27</v>
      </c>
      <c r="D124" s="33" t="s">
        <v>30</v>
      </c>
      <c r="E124" s="42">
        <v>45393</v>
      </c>
      <c r="F124" s="34">
        <v>0.64236111111111105</v>
      </c>
      <c r="G124" s="41">
        <v>12.48</v>
      </c>
      <c r="H124" s="41">
        <v>2.62</v>
      </c>
      <c r="I124" s="101"/>
      <c r="J124" s="77">
        <v>81.95</v>
      </c>
      <c r="K124" s="77">
        <v>7.43</v>
      </c>
      <c r="L124" s="77">
        <v>1.26</v>
      </c>
      <c r="M124" s="77">
        <v>0.44</v>
      </c>
      <c r="N124" s="77">
        <v>8.92</v>
      </c>
      <c r="O124" s="77">
        <f t="shared" si="6"/>
        <v>100</v>
      </c>
      <c r="P124" s="78"/>
      <c r="Q124" s="77">
        <v>54.6</v>
      </c>
      <c r="R124" s="77">
        <v>18.099999999999998</v>
      </c>
      <c r="S124" s="77">
        <v>7.3</v>
      </c>
      <c r="T124" s="77">
        <v>1.4000000000000001</v>
      </c>
      <c r="U124" s="77">
        <v>18.600000000000001</v>
      </c>
      <c r="V124" s="77">
        <f t="shared" si="7"/>
        <v>100</v>
      </c>
      <c r="W124" s="78"/>
      <c r="X124" s="77"/>
      <c r="Y124" s="77"/>
      <c r="Z124" s="77"/>
      <c r="AA124" s="77"/>
      <c r="AB124" s="77"/>
      <c r="AC124" s="77"/>
      <c r="AD124" s="78"/>
      <c r="AE124" s="77"/>
      <c r="AF124" s="77"/>
      <c r="AG124" s="77"/>
      <c r="AH124" s="77"/>
      <c r="AI124" s="77"/>
      <c r="AJ124" s="77"/>
      <c r="AM124" s="57" t="s">
        <v>147</v>
      </c>
      <c r="AN124" s="58" t="s">
        <v>72</v>
      </c>
      <c r="AO124" s="58" t="s">
        <v>144</v>
      </c>
      <c r="AP124" s="59">
        <v>12.15</v>
      </c>
      <c r="AQ124" s="59">
        <v>-0.53</v>
      </c>
      <c r="AS124" s="57"/>
      <c r="AT124" s="58"/>
      <c r="AU124" s="58"/>
      <c r="AV124" s="59"/>
      <c r="AW124" s="59"/>
      <c r="BK124" s="57" t="s">
        <v>124</v>
      </c>
      <c r="BL124" s="58" t="s">
        <v>125</v>
      </c>
      <c r="BM124" s="58" t="s">
        <v>126</v>
      </c>
      <c r="BN124" s="59">
        <v>2.36</v>
      </c>
      <c r="BO124" s="59">
        <v>-0.6</v>
      </c>
    </row>
    <row r="125" spans="1:67" ht="20.100000000000001" customHeight="1">
      <c r="A125" s="22">
        <v>10</v>
      </c>
      <c r="B125" s="14" t="s">
        <v>31</v>
      </c>
      <c r="C125" s="14" t="s">
        <v>31</v>
      </c>
      <c r="D125" s="15" t="s">
        <v>32</v>
      </c>
      <c r="E125" s="16">
        <v>45394</v>
      </c>
      <c r="F125" s="17">
        <v>0.55902777777777779</v>
      </c>
      <c r="G125" s="39">
        <v>8.51</v>
      </c>
      <c r="H125" s="39">
        <v>8.32</v>
      </c>
      <c r="I125" s="101"/>
      <c r="J125" s="78">
        <v>23.5</v>
      </c>
      <c r="K125" s="78">
        <v>22.97</v>
      </c>
      <c r="L125" s="78">
        <v>22.78</v>
      </c>
      <c r="M125" s="78">
        <v>5.41</v>
      </c>
      <c r="N125" s="78">
        <v>25.34</v>
      </c>
      <c r="O125" s="78">
        <f t="shared" si="6"/>
        <v>100</v>
      </c>
      <c r="P125" s="78"/>
      <c r="Q125" s="80">
        <v>38.200000000000003</v>
      </c>
      <c r="R125" s="80">
        <v>14.099999999999998</v>
      </c>
      <c r="S125" s="80">
        <v>14.000000000000002</v>
      </c>
      <c r="T125" s="80">
        <v>2.7</v>
      </c>
      <c r="U125" s="80">
        <v>31</v>
      </c>
      <c r="V125" s="78">
        <f t="shared" si="7"/>
        <v>100</v>
      </c>
      <c r="W125" s="78"/>
      <c r="X125" s="80"/>
      <c r="Y125" s="80"/>
      <c r="Z125" s="80"/>
      <c r="AA125" s="80"/>
      <c r="AB125" s="80"/>
      <c r="AC125" s="78"/>
      <c r="AD125" s="78"/>
      <c r="AE125" s="80"/>
      <c r="AF125" s="80"/>
      <c r="AG125" s="80"/>
      <c r="AH125" s="80"/>
      <c r="AI125" s="80"/>
      <c r="AJ125" s="78"/>
      <c r="AM125" s="57" t="s">
        <v>81</v>
      </c>
      <c r="AN125" s="58"/>
      <c r="AO125" s="58" t="s">
        <v>171</v>
      </c>
      <c r="AP125" s="59">
        <v>12.14</v>
      </c>
      <c r="AQ125" s="59">
        <v>1.42</v>
      </c>
      <c r="AS125" s="57"/>
      <c r="AT125" s="58"/>
      <c r="AU125" s="58"/>
      <c r="AV125" s="59"/>
      <c r="AW125" s="59"/>
      <c r="BK125" s="57" t="s">
        <v>127</v>
      </c>
      <c r="BL125" s="58" t="s">
        <v>125</v>
      </c>
      <c r="BM125" s="58" t="s">
        <v>128</v>
      </c>
      <c r="BN125" s="59">
        <v>1.86</v>
      </c>
      <c r="BO125" s="59">
        <v>-1.83</v>
      </c>
    </row>
    <row r="126" spans="1:67" ht="20.100000000000001" customHeight="1">
      <c r="A126" s="22">
        <v>11</v>
      </c>
      <c r="B126" s="14" t="s">
        <v>31</v>
      </c>
      <c r="C126" s="14" t="s">
        <v>31</v>
      </c>
      <c r="D126" s="15" t="s">
        <v>33</v>
      </c>
      <c r="E126" s="16">
        <v>45394</v>
      </c>
      <c r="F126" s="17">
        <v>0.60416666666666663</v>
      </c>
      <c r="G126" s="39">
        <v>8.24</v>
      </c>
      <c r="H126" s="39">
        <v>6.51</v>
      </c>
      <c r="I126" s="101"/>
      <c r="J126" s="78">
        <v>28.89</v>
      </c>
      <c r="K126" s="78">
        <v>17.87</v>
      </c>
      <c r="L126" s="78">
        <v>18.489999999999998</v>
      </c>
      <c r="M126" s="78">
        <v>2.71</v>
      </c>
      <c r="N126" s="78">
        <v>32.04</v>
      </c>
      <c r="O126" s="78">
        <f t="shared" si="6"/>
        <v>100</v>
      </c>
      <c r="P126" s="78"/>
      <c r="Q126" s="80">
        <v>38.700000000000003</v>
      </c>
      <c r="R126" s="80">
        <v>13.3</v>
      </c>
      <c r="S126" s="80">
        <v>13.600000000000001</v>
      </c>
      <c r="T126" s="80">
        <v>2.2999999999999998</v>
      </c>
      <c r="U126" s="80">
        <v>32.1</v>
      </c>
      <c r="V126" s="78">
        <f t="shared" si="7"/>
        <v>100</v>
      </c>
      <c r="W126" s="78"/>
      <c r="X126" s="80"/>
      <c r="Y126" s="80"/>
      <c r="Z126" s="80"/>
      <c r="AA126" s="80"/>
      <c r="AB126" s="80"/>
      <c r="AC126" s="78"/>
      <c r="AD126" s="78"/>
      <c r="AE126" s="80"/>
      <c r="AF126" s="80"/>
      <c r="AG126" s="80"/>
      <c r="AH126" s="80"/>
      <c r="AI126" s="80"/>
      <c r="AJ126" s="78"/>
      <c r="AM126" s="57" t="s">
        <v>81</v>
      </c>
      <c r="AN126" s="58" t="s">
        <v>71</v>
      </c>
      <c r="AO126" s="58" t="s">
        <v>82</v>
      </c>
      <c r="AP126" s="59">
        <v>10.89</v>
      </c>
      <c r="AQ126" s="59">
        <v>1.05</v>
      </c>
      <c r="AS126" s="57"/>
      <c r="AT126" s="58"/>
      <c r="AU126" s="58"/>
      <c r="AV126" s="59"/>
      <c r="AW126" s="59"/>
      <c r="BK126" s="57"/>
      <c r="BL126" s="58"/>
      <c r="BM126" s="58"/>
      <c r="BN126" s="59"/>
      <c r="BO126" s="59"/>
    </row>
    <row r="127" spans="1:67" ht="20.100000000000001" customHeight="1">
      <c r="A127" s="22">
        <v>12</v>
      </c>
      <c r="B127" s="14" t="s">
        <v>31</v>
      </c>
      <c r="C127" s="14" t="s">
        <v>31</v>
      </c>
      <c r="D127" s="15" t="s">
        <v>34</v>
      </c>
      <c r="E127" s="16">
        <v>45394</v>
      </c>
      <c r="F127" s="17">
        <v>0.61111111111111105</v>
      </c>
      <c r="G127" s="39">
        <v>8.6199999999999992</v>
      </c>
      <c r="H127" s="39">
        <v>5.83</v>
      </c>
      <c r="I127" s="101"/>
      <c r="J127" s="78">
        <v>29.59</v>
      </c>
      <c r="K127" s="78">
        <v>18.899999999999999</v>
      </c>
      <c r="L127" s="78">
        <v>13.12</v>
      </c>
      <c r="M127" s="78">
        <v>2.39</v>
      </c>
      <c r="N127" s="78">
        <v>36</v>
      </c>
      <c r="O127" s="78">
        <f t="shared" si="6"/>
        <v>100</v>
      </c>
      <c r="P127" s="78"/>
      <c r="Q127" s="80">
        <v>40.700000000000003</v>
      </c>
      <c r="R127" s="80">
        <v>13.5</v>
      </c>
      <c r="S127" s="80">
        <v>12.7</v>
      </c>
      <c r="T127" s="80">
        <v>2</v>
      </c>
      <c r="U127" s="80">
        <v>31.1</v>
      </c>
      <c r="V127" s="78">
        <f t="shared" si="7"/>
        <v>100</v>
      </c>
      <c r="W127" s="78"/>
      <c r="X127" s="80"/>
      <c r="Y127" s="80"/>
      <c r="Z127" s="80"/>
      <c r="AA127" s="80"/>
      <c r="AB127" s="80"/>
      <c r="AC127" s="78"/>
      <c r="AD127" s="78"/>
      <c r="AE127" s="80"/>
      <c r="AF127" s="80"/>
      <c r="AG127" s="80"/>
      <c r="AH127" s="80"/>
      <c r="AI127" s="80"/>
      <c r="AJ127" s="78"/>
      <c r="AM127" s="57" t="s">
        <v>172</v>
      </c>
      <c r="AN127" s="58"/>
      <c r="AO127" s="58" t="s">
        <v>173</v>
      </c>
      <c r="AP127" s="59">
        <v>10.72</v>
      </c>
      <c r="AQ127" s="59">
        <v>3.81</v>
      </c>
      <c r="AS127" s="57"/>
      <c r="AT127" s="58"/>
      <c r="AU127" s="58"/>
      <c r="AV127" s="59"/>
      <c r="AW127" s="59"/>
      <c r="BK127" s="57"/>
      <c r="BL127" s="58"/>
      <c r="BM127" s="58"/>
      <c r="BN127" s="59"/>
      <c r="BO127" s="59"/>
    </row>
    <row r="128" spans="1:67" ht="20.100000000000001" customHeight="1">
      <c r="A128" s="22">
        <v>13</v>
      </c>
      <c r="B128" s="14" t="s">
        <v>31</v>
      </c>
      <c r="C128" s="14" t="s">
        <v>35</v>
      </c>
      <c r="D128" s="15" t="s">
        <v>36</v>
      </c>
      <c r="E128" s="16">
        <v>45394</v>
      </c>
      <c r="F128" s="17">
        <v>0.59375</v>
      </c>
      <c r="G128" s="39">
        <v>9.1300000000000008</v>
      </c>
      <c r="H128" s="39">
        <v>4.09</v>
      </c>
      <c r="I128" s="101"/>
      <c r="J128" s="78">
        <v>38.64</v>
      </c>
      <c r="K128" s="78">
        <v>15.11</v>
      </c>
      <c r="L128" s="78">
        <v>4.46</v>
      </c>
      <c r="M128" s="78">
        <v>1.06</v>
      </c>
      <c r="N128" s="78">
        <v>40.729999999999997</v>
      </c>
      <c r="O128" s="78">
        <f t="shared" si="6"/>
        <v>100</v>
      </c>
      <c r="P128" s="78"/>
      <c r="Q128" s="80">
        <v>44.2</v>
      </c>
      <c r="R128" s="80">
        <v>13.600000000000001</v>
      </c>
      <c r="S128" s="80">
        <v>10.8</v>
      </c>
      <c r="T128" s="80">
        <v>1.7000000000000002</v>
      </c>
      <c r="U128" s="80">
        <v>29.7</v>
      </c>
      <c r="V128" s="78">
        <f t="shared" si="7"/>
        <v>100.00000000000001</v>
      </c>
      <c r="W128" s="78"/>
      <c r="X128" s="80"/>
      <c r="Y128" s="80"/>
      <c r="Z128" s="80"/>
      <c r="AA128" s="80"/>
      <c r="AB128" s="80"/>
      <c r="AC128" s="78"/>
      <c r="AD128" s="78"/>
      <c r="AE128" s="80"/>
      <c r="AF128" s="80"/>
      <c r="AG128" s="80"/>
      <c r="AH128" s="80"/>
      <c r="AI128" s="80"/>
      <c r="AJ128" s="78"/>
      <c r="AM128" s="57"/>
      <c r="AN128" s="58"/>
      <c r="AO128" s="58"/>
      <c r="AP128" s="59"/>
      <c r="AQ128" s="59"/>
      <c r="AS128" s="57"/>
      <c r="AT128" s="58"/>
      <c r="AU128" s="58"/>
      <c r="AV128" s="59"/>
      <c r="AW128" s="59"/>
      <c r="BK128" s="57"/>
      <c r="BL128" s="58"/>
      <c r="BM128" s="58" t="s">
        <v>161</v>
      </c>
      <c r="BN128" s="59">
        <f>AVERAGE(BN116:BN125)</f>
        <v>2.1574999999999998</v>
      </c>
      <c r="BO128" s="59">
        <f>AVERAGE(BO116:BO125)</f>
        <v>3.5209999999999995</v>
      </c>
    </row>
    <row r="129" spans="1:67" ht="20.100000000000001" customHeight="1">
      <c r="A129" s="22">
        <v>14</v>
      </c>
      <c r="B129" s="14" t="s">
        <v>31</v>
      </c>
      <c r="C129" s="14" t="s">
        <v>5</v>
      </c>
      <c r="D129" s="15" t="s">
        <v>29</v>
      </c>
      <c r="E129" s="16">
        <v>45394</v>
      </c>
      <c r="F129" s="17">
        <v>0.58680555555555558</v>
      </c>
      <c r="G129" s="39">
        <v>8.94</v>
      </c>
      <c r="H129" s="39">
        <v>4.2699999999999996</v>
      </c>
      <c r="I129" s="101"/>
      <c r="J129" s="78">
        <v>33.479999999999997</v>
      </c>
      <c r="K129" s="78">
        <v>17.690000000000001</v>
      </c>
      <c r="L129" s="78">
        <v>4.32</v>
      </c>
      <c r="M129" s="78">
        <v>1.25</v>
      </c>
      <c r="N129" s="78">
        <v>43.26</v>
      </c>
      <c r="O129" s="78">
        <f t="shared" si="6"/>
        <v>100</v>
      </c>
      <c r="P129" s="78"/>
      <c r="Q129" s="80">
        <v>42.8</v>
      </c>
      <c r="R129" s="80">
        <v>13.8</v>
      </c>
      <c r="S129" s="80">
        <v>11.3</v>
      </c>
      <c r="T129" s="80">
        <v>1.7999999999999998</v>
      </c>
      <c r="U129" s="80">
        <v>30.3</v>
      </c>
      <c r="V129" s="78">
        <f t="shared" si="7"/>
        <v>99.999999999999986</v>
      </c>
      <c r="W129" s="78"/>
      <c r="X129" s="80"/>
      <c r="Y129" s="80"/>
      <c r="Z129" s="80"/>
      <c r="AA129" s="80"/>
      <c r="AB129" s="80"/>
      <c r="AC129" s="78"/>
      <c r="AD129" s="78"/>
      <c r="AE129" s="80"/>
      <c r="AF129" s="80"/>
      <c r="AG129" s="80"/>
      <c r="AH129" s="80"/>
      <c r="AI129" s="80"/>
      <c r="AJ129" s="78"/>
      <c r="AM129" s="57"/>
      <c r="AN129" s="58"/>
      <c r="AO129" s="58"/>
      <c r="AP129" s="59"/>
      <c r="AQ129" s="59"/>
      <c r="AS129" s="57"/>
      <c r="AT129" s="58"/>
      <c r="AU129" s="58" t="s">
        <v>161</v>
      </c>
      <c r="AV129" s="59">
        <f>AVERAGE(AV116:AV123)</f>
        <v>19.794999999999998</v>
      </c>
      <c r="AW129" s="59">
        <f>AVERAGE(AW116:AW123)</f>
        <v>5.2956249999999994</v>
      </c>
      <c r="BK129" s="57"/>
      <c r="BL129" s="58"/>
      <c r="BM129" s="58" t="s">
        <v>162</v>
      </c>
      <c r="BN129" s="59">
        <f>_xlfn.STDEV.S(BN116:BN125)</f>
        <v>1.2149468438303519</v>
      </c>
      <c r="BO129" s="59">
        <f>_xlfn.STDEV.S(BO116:BO125)</f>
        <v>4.2249614067928354</v>
      </c>
    </row>
    <row r="130" spans="1:67" ht="20.100000000000001" customHeight="1">
      <c r="A130" s="22">
        <v>15</v>
      </c>
      <c r="B130" s="14" t="s">
        <v>31</v>
      </c>
      <c r="C130" s="14" t="s">
        <v>35</v>
      </c>
      <c r="D130" s="15" t="s">
        <v>29</v>
      </c>
      <c r="E130" s="16">
        <v>45394</v>
      </c>
      <c r="F130" s="17">
        <v>0.58333333333333337</v>
      </c>
      <c r="G130" s="39">
        <v>10.39</v>
      </c>
      <c r="H130" s="39">
        <v>5.64</v>
      </c>
      <c r="I130" s="101"/>
      <c r="J130" s="78">
        <v>29.81</v>
      </c>
      <c r="K130" s="78">
        <v>28.55</v>
      </c>
      <c r="L130" s="78">
        <v>9.98</v>
      </c>
      <c r="M130" s="78">
        <v>2.41</v>
      </c>
      <c r="N130" s="78">
        <v>29.25</v>
      </c>
      <c r="O130" s="78">
        <f t="shared" si="6"/>
        <v>100</v>
      </c>
      <c r="P130" s="78"/>
      <c r="Q130" s="80">
        <v>47.099999999999994</v>
      </c>
      <c r="R130" s="80">
        <v>16.100000000000001</v>
      </c>
      <c r="S130" s="80">
        <v>10.3</v>
      </c>
      <c r="T130" s="80">
        <v>1.9</v>
      </c>
      <c r="U130" s="80">
        <v>24.6</v>
      </c>
      <c r="V130" s="78">
        <f t="shared" si="7"/>
        <v>100</v>
      </c>
      <c r="W130" s="78"/>
      <c r="X130" s="80"/>
      <c r="Y130" s="80"/>
      <c r="Z130" s="80"/>
      <c r="AA130" s="80"/>
      <c r="AB130" s="80"/>
      <c r="AC130" s="78"/>
      <c r="AD130" s="78"/>
      <c r="AE130" s="80"/>
      <c r="AF130" s="80"/>
      <c r="AG130" s="80"/>
      <c r="AH130" s="80"/>
      <c r="AI130" s="80"/>
      <c r="AJ130" s="78"/>
      <c r="AM130" s="57"/>
      <c r="AN130" s="58"/>
      <c r="AO130" s="58"/>
      <c r="AP130" s="59"/>
      <c r="AQ130" s="59"/>
      <c r="AS130" s="57"/>
      <c r="AT130" s="58"/>
      <c r="AU130" s="58" t="s">
        <v>162</v>
      </c>
      <c r="AV130" s="59">
        <f>_xlfn.STDEV.S(AV116:AV123)</f>
        <v>3.2607766384274761</v>
      </c>
      <c r="AW130" s="59">
        <f>_xlfn.STDEV.S(AW116:AW123)</f>
        <v>4.0307872658009201</v>
      </c>
    </row>
    <row r="131" spans="1:67" ht="20.100000000000001" customHeight="1">
      <c r="A131" s="31">
        <v>16</v>
      </c>
      <c r="B131" s="32" t="s">
        <v>38</v>
      </c>
      <c r="C131" s="32" t="s">
        <v>38</v>
      </c>
      <c r="D131" s="33" t="s">
        <v>39</v>
      </c>
      <c r="E131" s="42">
        <v>45394</v>
      </c>
      <c r="F131" s="34">
        <v>0.60763888888888895</v>
      </c>
      <c r="G131" s="41">
        <v>7.92</v>
      </c>
      <c r="H131" s="41">
        <v>4.59</v>
      </c>
      <c r="I131" s="101"/>
      <c r="J131" s="78">
        <v>32.549999999999997</v>
      </c>
      <c r="K131" s="78">
        <v>12.34</v>
      </c>
      <c r="L131" s="78">
        <v>7.58</v>
      </c>
      <c r="M131" s="78">
        <v>1.28</v>
      </c>
      <c r="N131" s="78">
        <v>46.25</v>
      </c>
      <c r="O131" s="78">
        <f t="shared" si="6"/>
        <v>100</v>
      </c>
      <c r="P131" s="78"/>
      <c r="Q131" s="80">
        <v>39.1</v>
      </c>
      <c r="R131" s="80">
        <v>12.2</v>
      </c>
      <c r="S131" s="80">
        <v>12.4</v>
      </c>
      <c r="T131" s="80">
        <v>1.7999999999999998</v>
      </c>
      <c r="U131" s="80">
        <v>34.5</v>
      </c>
      <c r="V131" s="78">
        <f t="shared" si="7"/>
        <v>100</v>
      </c>
      <c r="W131" s="78"/>
      <c r="X131" s="80"/>
      <c r="Y131" s="80"/>
      <c r="Z131" s="80"/>
      <c r="AA131" s="80"/>
      <c r="AB131" s="80"/>
      <c r="AC131" s="78"/>
      <c r="AD131" s="78"/>
      <c r="AE131" s="80"/>
      <c r="AF131" s="80"/>
      <c r="AG131" s="80"/>
      <c r="AH131" s="80"/>
      <c r="AI131" s="80"/>
      <c r="AJ131" s="78"/>
      <c r="AM131" s="57"/>
      <c r="AN131" s="58"/>
      <c r="AO131" s="58" t="s">
        <v>161</v>
      </c>
      <c r="AP131" s="59">
        <f>AVERAGE(AP116:AP127)</f>
        <v>13.3575</v>
      </c>
      <c r="AQ131" s="59">
        <f>AVERAGE(AQ116:AQ127)</f>
        <v>1.9608333333333334</v>
      </c>
    </row>
    <row r="132" spans="1:67" ht="20.100000000000001" customHeight="1">
      <c r="A132" s="31">
        <v>17</v>
      </c>
      <c r="B132" s="32" t="s">
        <v>38</v>
      </c>
      <c r="C132" s="32" t="s">
        <v>38</v>
      </c>
      <c r="D132" s="33" t="s">
        <v>41</v>
      </c>
      <c r="E132" s="42">
        <v>45393</v>
      </c>
      <c r="F132" s="34">
        <v>0.5625</v>
      </c>
      <c r="G132" s="41">
        <v>11.24</v>
      </c>
      <c r="H132" s="41">
        <v>5.97</v>
      </c>
      <c r="I132" s="101"/>
      <c r="J132" s="77">
        <v>30.99</v>
      </c>
      <c r="K132" s="77">
        <v>32.4</v>
      </c>
      <c r="L132" s="77">
        <v>10.52</v>
      </c>
      <c r="M132" s="77">
        <v>2.91</v>
      </c>
      <c r="N132" s="77">
        <v>23.18</v>
      </c>
      <c r="O132" s="77">
        <f t="shared" si="6"/>
        <v>100</v>
      </c>
      <c r="P132" s="78"/>
      <c r="Q132" s="77">
        <v>48.699999999999996</v>
      </c>
      <c r="R132" s="77">
        <v>17.899999999999999</v>
      </c>
      <c r="S132" s="77">
        <v>9.4</v>
      </c>
      <c r="T132" s="77">
        <v>2</v>
      </c>
      <c r="U132" s="77">
        <v>22</v>
      </c>
      <c r="V132" s="77">
        <f t="shared" si="7"/>
        <v>100</v>
      </c>
      <c r="W132" s="78"/>
      <c r="X132" s="77"/>
      <c r="Y132" s="77"/>
      <c r="Z132" s="77"/>
      <c r="AA132" s="77"/>
      <c r="AB132" s="77"/>
      <c r="AC132" s="77"/>
      <c r="AD132" s="78"/>
      <c r="AE132" s="77"/>
      <c r="AF132" s="77"/>
      <c r="AG132" s="77"/>
      <c r="AH132" s="77"/>
      <c r="AI132" s="77"/>
      <c r="AJ132" s="77"/>
      <c r="AM132" s="57"/>
      <c r="AN132" s="58"/>
      <c r="AO132" s="58" t="s">
        <v>162</v>
      </c>
      <c r="AP132" s="59">
        <f>_xlfn.STDEV.S(AP116:AP127)</f>
        <v>1.9060865429174276</v>
      </c>
      <c r="AQ132" s="59">
        <f>_xlfn.STDEV.S(AQ116:AQ127)</f>
        <v>2.6869836360882551</v>
      </c>
    </row>
    <row r="133" spans="1:67" ht="20.100000000000001" customHeight="1">
      <c r="A133" s="31">
        <v>18</v>
      </c>
      <c r="B133" s="32" t="s">
        <v>38</v>
      </c>
      <c r="C133" s="32" t="s">
        <v>38</v>
      </c>
      <c r="D133" s="33" t="s">
        <v>42</v>
      </c>
      <c r="E133" s="42">
        <v>45393</v>
      </c>
      <c r="F133" s="34">
        <v>0.62847222222222221</v>
      </c>
      <c r="G133" s="41">
        <v>11.5</v>
      </c>
      <c r="H133" s="41">
        <v>5.45</v>
      </c>
      <c r="I133" s="101"/>
      <c r="J133" s="77">
        <v>31.91</v>
      </c>
      <c r="K133" s="77">
        <v>33.020000000000003</v>
      </c>
      <c r="L133" s="77">
        <v>7.49</v>
      </c>
      <c r="M133" s="77">
        <v>2.44</v>
      </c>
      <c r="N133" s="77">
        <v>25.14</v>
      </c>
      <c r="O133" s="77">
        <f t="shared" si="6"/>
        <v>100</v>
      </c>
      <c r="P133" s="78"/>
      <c r="Q133" s="77">
        <v>50.3</v>
      </c>
      <c r="R133" s="77">
        <v>17.899999999999999</v>
      </c>
      <c r="S133" s="77">
        <v>9.3000000000000007</v>
      </c>
      <c r="T133" s="77">
        <v>1.7999999999999998</v>
      </c>
      <c r="U133" s="77">
        <v>20.7</v>
      </c>
      <c r="V133" s="77">
        <f t="shared" si="7"/>
        <v>99.999999999999986</v>
      </c>
      <c r="W133" s="78"/>
      <c r="X133" s="77"/>
      <c r="Y133" s="77"/>
      <c r="Z133" s="77"/>
      <c r="AA133" s="77"/>
      <c r="AB133" s="77"/>
      <c r="AC133" s="77"/>
      <c r="AD133" s="78"/>
      <c r="AE133" s="77"/>
      <c r="AF133" s="77"/>
      <c r="AG133" s="77"/>
      <c r="AH133" s="77"/>
      <c r="AI133" s="77"/>
      <c r="AJ133" s="77"/>
    </row>
    <row r="134" spans="1:67" ht="20.100000000000001" customHeight="1">
      <c r="A134" s="31">
        <v>19</v>
      </c>
      <c r="B134" s="32" t="s">
        <v>38</v>
      </c>
      <c r="C134" s="32" t="s">
        <v>43</v>
      </c>
      <c r="D134" s="33" t="s">
        <v>40</v>
      </c>
      <c r="E134" s="42">
        <v>45393</v>
      </c>
      <c r="F134" s="34">
        <v>0.56597222222222221</v>
      </c>
      <c r="G134" s="41">
        <v>12.27</v>
      </c>
      <c r="H134" s="41">
        <v>6.11</v>
      </c>
      <c r="I134" s="101"/>
      <c r="J134" s="77">
        <v>31.52</v>
      </c>
      <c r="K134" s="77">
        <v>37.81</v>
      </c>
      <c r="L134" s="77">
        <v>9.5</v>
      </c>
      <c r="M134" s="77">
        <v>3.3</v>
      </c>
      <c r="N134" s="77">
        <v>17.87</v>
      </c>
      <c r="O134" s="77">
        <f t="shared" si="6"/>
        <v>100</v>
      </c>
      <c r="P134" s="78"/>
      <c r="Q134" s="77">
        <v>51.1</v>
      </c>
      <c r="R134" s="77">
        <v>19.600000000000001</v>
      </c>
      <c r="S134" s="77">
        <v>8.4</v>
      </c>
      <c r="T134" s="77">
        <v>1.7999999999999998</v>
      </c>
      <c r="U134" s="77">
        <v>19.100000000000001</v>
      </c>
      <c r="V134" s="77">
        <f t="shared" si="7"/>
        <v>100</v>
      </c>
      <c r="W134" s="78"/>
      <c r="X134" s="77"/>
      <c r="Y134" s="77"/>
      <c r="Z134" s="77"/>
      <c r="AA134" s="77"/>
      <c r="AB134" s="77"/>
      <c r="AC134" s="77"/>
      <c r="AD134" s="78"/>
      <c r="AE134" s="77"/>
      <c r="AF134" s="77"/>
      <c r="AG134" s="77"/>
      <c r="AH134" s="77"/>
      <c r="AI134" s="77"/>
      <c r="AJ134" s="77"/>
    </row>
    <row r="135" spans="1:67" ht="20.100000000000001" customHeight="1">
      <c r="A135" s="31">
        <v>20</v>
      </c>
      <c r="B135" s="32" t="s">
        <v>38</v>
      </c>
      <c r="C135" s="32" t="s">
        <v>43</v>
      </c>
      <c r="D135" s="33" t="s">
        <v>44</v>
      </c>
      <c r="E135" s="42">
        <v>45393</v>
      </c>
      <c r="F135" s="34">
        <v>0.57291666666666663</v>
      </c>
      <c r="G135" s="41">
        <v>10.25</v>
      </c>
      <c r="H135" s="41">
        <v>7.37</v>
      </c>
      <c r="I135" s="101"/>
      <c r="J135" s="77">
        <v>27.09</v>
      </c>
      <c r="K135" s="77">
        <v>29.73</v>
      </c>
      <c r="L135" s="77">
        <v>16.27</v>
      </c>
      <c r="M135" s="77">
        <v>4.71</v>
      </c>
      <c r="N135" s="77">
        <v>22.2</v>
      </c>
      <c r="O135" s="77">
        <f t="shared" si="6"/>
        <v>100</v>
      </c>
      <c r="P135" s="78"/>
      <c r="Q135" s="77">
        <v>45.2</v>
      </c>
      <c r="R135" s="77">
        <v>16.900000000000002</v>
      </c>
      <c r="S135" s="77">
        <v>11.3</v>
      </c>
      <c r="T135" s="77">
        <v>2.1</v>
      </c>
      <c r="U135" s="77">
        <v>24.5</v>
      </c>
      <c r="V135" s="77">
        <f t="shared" si="7"/>
        <v>100</v>
      </c>
      <c r="W135" s="78"/>
      <c r="X135" s="77"/>
      <c r="Y135" s="77"/>
      <c r="Z135" s="77"/>
      <c r="AA135" s="77"/>
      <c r="AB135" s="77"/>
      <c r="AC135" s="77"/>
      <c r="AD135" s="78"/>
      <c r="AE135" s="77"/>
      <c r="AF135" s="77"/>
      <c r="AG135" s="77"/>
      <c r="AH135" s="77"/>
      <c r="AI135" s="77"/>
      <c r="AJ135" s="77"/>
    </row>
    <row r="136" spans="1:67" ht="20.100000000000001" customHeight="1">
      <c r="A136" s="22">
        <v>21</v>
      </c>
      <c r="B136" s="14" t="s">
        <v>45</v>
      </c>
      <c r="C136" s="14" t="s">
        <v>45</v>
      </c>
      <c r="D136" s="15" t="s">
        <v>46</v>
      </c>
      <c r="E136" s="16">
        <v>45393</v>
      </c>
      <c r="F136" s="17">
        <v>0.44097222222222227</v>
      </c>
      <c r="G136" s="39">
        <v>4.84</v>
      </c>
      <c r="H136" s="39">
        <v>5.72</v>
      </c>
      <c r="I136" s="101"/>
      <c r="J136" s="77">
        <v>8.7200000000000006</v>
      </c>
      <c r="K136" s="77">
        <v>10.86</v>
      </c>
      <c r="L136" s="77">
        <v>12.62</v>
      </c>
      <c r="M136" s="77">
        <v>1.6</v>
      </c>
      <c r="N136" s="77">
        <v>66.2</v>
      </c>
      <c r="O136" s="77">
        <f t="shared" si="6"/>
        <v>100</v>
      </c>
      <c r="P136" s="78"/>
      <c r="Q136" s="77">
        <v>25.1</v>
      </c>
      <c r="R136" s="77">
        <v>8.2000000000000011</v>
      </c>
      <c r="S136" s="77">
        <v>16.900000000000002</v>
      </c>
      <c r="T136" s="77">
        <v>2</v>
      </c>
      <c r="U136" s="77">
        <v>47.8</v>
      </c>
      <c r="V136" s="77">
        <f t="shared" si="7"/>
        <v>100</v>
      </c>
      <c r="W136" s="78"/>
      <c r="X136" s="77"/>
      <c r="Y136" s="77"/>
      <c r="Z136" s="77"/>
      <c r="AA136" s="77"/>
      <c r="AB136" s="77"/>
      <c r="AC136" s="77"/>
      <c r="AD136" s="78"/>
      <c r="AE136" s="77"/>
      <c r="AF136" s="77"/>
      <c r="AG136" s="77"/>
      <c r="AH136" s="77"/>
      <c r="AI136" s="77"/>
      <c r="AJ136" s="77"/>
    </row>
    <row r="137" spans="1:67" ht="20.100000000000001" customHeight="1">
      <c r="A137" s="22">
        <v>22</v>
      </c>
      <c r="B137" s="14" t="s">
        <v>45</v>
      </c>
      <c r="C137" s="14" t="s">
        <v>45</v>
      </c>
      <c r="D137" s="19" t="s">
        <v>47</v>
      </c>
      <c r="E137" s="16">
        <v>45393</v>
      </c>
      <c r="F137" s="20">
        <v>0.46180555555555558</v>
      </c>
      <c r="G137" s="40">
        <v>7.46</v>
      </c>
      <c r="H137" s="40">
        <v>3.75</v>
      </c>
      <c r="I137" s="101"/>
      <c r="J137" s="78">
        <v>44.57</v>
      </c>
      <c r="K137" s="78">
        <v>2.72</v>
      </c>
      <c r="L137" s="78">
        <v>3.46</v>
      </c>
      <c r="M137" s="78">
        <v>1.29</v>
      </c>
      <c r="N137" s="78">
        <v>47.96</v>
      </c>
      <c r="O137" s="78">
        <f t="shared" si="6"/>
        <v>100</v>
      </c>
      <c r="P137" s="78"/>
      <c r="Q137" s="80">
        <v>37.4</v>
      </c>
      <c r="R137" s="80">
        <v>11</v>
      </c>
      <c r="S137" s="80">
        <v>12.7</v>
      </c>
      <c r="T137" s="80">
        <v>1.6</v>
      </c>
      <c r="U137" s="80">
        <v>37.299999999999997</v>
      </c>
      <c r="V137" s="78">
        <f t="shared" si="7"/>
        <v>100</v>
      </c>
      <c r="W137" s="78"/>
      <c r="X137" s="80"/>
      <c r="Y137" s="80"/>
      <c r="Z137" s="80"/>
      <c r="AA137" s="80"/>
      <c r="AB137" s="80"/>
      <c r="AC137" s="78"/>
      <c r="AD137" s="78"/>
      <c r="AE137" s="80"/>
      <c r="AF137" s="80"/>
      <c r="AG137" s="80"/>
      <c r="AH137" s="80"/>
      <c r="AI137" s="80"/>
      <c r="AJ137" s="78"/>
    </row>
    <row r="138" spans="1:67" ht="20.100000000000001" customHeight="1">
      <c r="A138" s="22">
        <v>23</v>
      </c>
      <c r="B138" s="14" t="s">
        <v>45</v>
      </c>
      <c r="C138" s="14" t="s">
        <v>45</v>
      </c>
      <c r="D138" s="19" t="s">
        <v>29</v>
      </c>
      <c r="E138" s="16">
        <v>45393</v>
      </c>
      <c r="F138" s="20">
        <v>0.47569444444444442</v>
      </c>
      <c r="G138" s="40">
        <v>7.95</v>
      </c>
      <c r="H138" s="40">
        <v>4.3499999999999996</v>
      </c>
      <c r="I138" s="101"/>
      <c r="J138" s="78">
        <v>36.69</v>
      </c>
      <c r="K138" s="78">
        <v>10.119999999999999</v>
      </c>
      <c r="L138" s="78">
        <v>8.18</v>
      </c>
      <c r="M138" s="78">
        <v>0.82</v>
      </c>
      <c r="N138" s="78">
        <v>44.19</v>
      </c>
      <c r="O138" s="78">
        <f t="shared" si="6"/>
        <v>100</v>
      </c>
      <c r="P138" s="78"/>
      <c r="Q138" s="80">
        <v>39.300000000000004</v>
      </c>
      <c r="R138" s="80">
        <v>12.2</v>
      </c>
      <c r="S138" s="80">
        <v>12.4</v>
      </c>
      <c r="T138" s="80">
        <v>1.9</v>
      </c>
      <c r="U138" s="80">
        <v>34.200000000000003</v>
      </c>
      <c r="V138" s="78">
        <f t="shared" si="7"/>
        <v>100</v>
      </c>
      <c r="W138" s="78"/>
      <c r="X138" s="80"/>
      <c r="Y138" s="80"/>
      <c r="Z138" s="80"/>
      <c r="AA138" s="80"/>
      <c r="AB138" s="80"/>
      <c r="AC138" s="78"/>
      <c r="AD138" s="78"/>
      <c r="AE138" s="80"/>
      <c r="AF138" s="80"/>
      <c r="AG138" s="80"/>
      <c r="AH138" s="80"/>
      <c r="AI138" s="80"/>
      <c r="AJ138" s="78"/>
    </row>
    <row r="139" spans="1:67" ht="20.100000000000001" customHeight="1" thickBot="1">
      <c r="A139" s="46">
        <v>24</v>
      </c>
      <c r="B139" s="47" t="s">
        <v>45</v>
      </c>
      <c r="C139" s="47" t="s">
        <v>45</v>
      </c>
      <c r="D139" s="48" t="s">
        <v>48</v>
      </c>
      <c r="E139" s="49">
        <v>45393</v>
      </c>
      <c r="F139" s="50">
        <v>0.48958333333333331</v>
      </c>
      <c r="G139" s="53">
        <v>8.2100000000000009</v>
      </c>
      <c r="H139" s="53">
        <v>4.57</v>
      </c>
      <c r="I139" s="101"/>
      <c r="J139" s="78">
        <v>35.200000000000003</v>
      </c>
      <c r="K139" s="78">
        <v>12.59</v>
      </c>
      <c r="L139" s="78">
        <v>6.95</v>
      </c>
      <c r="M139" s="78">
        <v>1.43</v>
      </c>
      <c r="N139" s="78">
        <v>43.83</v>
      </c>
      <c r="O139" s="78">
        <f t="shared" si="6"/>
        <v>100</v>
      </c>
      <c r="P139" s="78"/>
      <c r="Q139" s="80">
        <v>39.800000000000004</v>
      </c>
      <c r="R139" s="80">
        <v>12.5</v>
      </c>
      <c r="S139" s="80">
        <v>12.4</v>
      </c>
      <c r="T139" s="80">
        <v>1.9</v>
      </c>
      <c r="U139" s="80">
        <v>33.4</v>
      </c>
      <c r="V139" s="78">
        <f t="shared" si="7"/>
        <v>100</v>
      </c>
      <c r="W139" s="78"/>
      <c r="X139" s="80"/>
      <c r="Y139" s="80"/>
      <c r="Z139" s="80"/>
      <c r="AA139" s="80"/>
      <c r="AB139" s="80"/>
      <c r="AC139" s="78"/>
      <c r="AD139" s="78"/>
      <c r="AE139" s="80"/>
      <c r="AF139" s="80"/>
      <c r="AG139" s="80"/>
      <c r="AH139" s="80"/>
      <c r="AI139" s="80"/>
      <c r="AJ139" s="78"/>
    </row>
    <row r="140" spans="1:67" ht="20.100000000000001" customHeight="1"/>
    <row r="141" spans="1:67" ht="20.100000000000001" customHeight="1"/>
    <row r="142" spans="1:67" ht="20.100000000000001" customHeight="1"/>
    <row r="143" spans="1:67" ht="20.100000000000001" customHeight="1">
      <c r="J143" s="65" t="s">
        <v>153</v>
      </c>
      <c r="K143" s="66" t="s">
        <v>111</v>
      </c>
      <c r="L143" s="67" t="s">
        <v>67</v>
      </c>
      <c r="M143" s="62"/>
      <c r="N143" s="65" t="s">
        <v>154</v>
      </c>
      <c r="O143" s="66" t="s">
        <v>111</v>
      </c>
      <c r="P143" s="67" t="s">
        <v>67</v>
      </c>
      <c r="Q143" s="62"/>
      <c r="R143" s="65" t="s">
        <v>155</v>
      </c>
      <c r="S143" s="66" t="s">
        <v>111</v>
      </c>
      <c r="T143" s="67" t="s">
        <v>67</v>
      </c>
      <c r="U143" s="62"/>
      <c r="V143" s="65" t="s">
        <v>157</v>
      </c>
      <c r="W143" s="66" t="s">
        <v>111</v>
      </c>
      <c r="X143" s="67" t="s">
        <v>67</v>
      </c>
      <c r="Y143" s="62"/>
    </row>
    <row r="144" spans="1:67" ht="20.100000000000001" customHeight="1">
      <c r="J144" s="65" t="s">
        <v>161</v>
      </c>
      <c r="K144" s="65">
        <v>13.3575</v>
      </c>
      <c r="L144" s="65">
        <v>1.9608333333333334</v>
      </c>
      <c r="M144" s="62"/>
      <c r="N144" s="65" t="s">
        <v>161</v>
      </c>
      <c r="O144" s="65">
        <v>19.794999999999998</v>
      </c>
      <c r="P144" s="65">
        <v>5.2956249999999994</v>
      </c>
      <c r="Q144" s="62"/>
      <c r="R144" s="65" t="s">
        <v>161</v>
      </c>
      <c r="S144" s="65">
        <v>0.86499999999999999</v>
      </c>
      <c r="T144" s="65">
        <v>14.385000000000002</v>
      </c>
      <c r="U144" s="62"/>
      <c r="V144" s="65" t="s">
        <v>161</v>
      </c>
      <c r="W144" s="68">
        <v>2.492</v>
      </c>
      <c r="X144" s="68">
        <v>-0.24799999999999994</v>
      </c>
      <c r="Y144" s="62"/>
    </row>
    <row r="145" spans="1:61" ht="20.100000000000001" customHeight="1">
      <c r="J145" s="65" t="s">
        <v>162</v>
      </c>
      <c r="K145" s="65">
        <v>1.9060865429174276</v>
      </c>
      <c r="L145" s="65">
        <v>2.6869836360882551</v>
      </c>
      <c r="M145" s="62"/>
      <c r="N145" s="65" t="s">
        <v>162</v>
      </c>
      <c r="O145" s="65">
        <v>3.2607766384274761</v>
      </c>
      <c r="P145" s="65">
        <v>4.0307872658009201</v>
      </c>
      <c r="Q145" s="62"/>
      <c r="R145" s="65" t="s">
        <v>162</v>
      </c>
      <c r="S145" s="65">
        <v>0.3323401871576776</v>
      </c>
      <c r="T145" s="65">
        <v>5.1830927060973853</v>
      </c>
      <c r="U145" s="62"/>
      <c r="V145" s="65" t="s">
        <v>162</v>
      </c>
      <c r="W145" s="68">
        <v>1.278796309034399</v>
      </c>
      <c r="X145" s="68">
        <v>1.0289654999075528</v>
      </c>
      <c r="Y145" s="62"/>
    </row>
    <row r="146" spans="1:61" ht="20.100000000000001" customHeight="1">
      <c r="A146" s="64">
        <v>46144</v>
      </c>
      <c r="B146" t="s">
        <v>181</v>
      </c>
    </row>
    <row r="147" spans="1:61" ht="27.75" customHeight="1">
      <c r="A147" s="89" t="s">
        <v>50</v>
      </c>
      <c r="B147" s="89"/>
      <c r="C147" s="89"/>
      <c r="D147" s="89"/>
      <c r="E147" s="89"/>
      <c r="F147" s="89"/>
      <c r="J147" s="62" t="s">
        <v>166</v>
      </c>
    </row>
    <row r="148" spans="1:61" ht="20.100000000000001" customHeight="1" thickBot="1">
      <c r="Q148" t="s">
        <v>167</v>
      </c>
      <c r="S148" t="s">
        <v>168</v>
      </c>
      <c r="Y148" t="s">
        <v>185</v>
      </c>
    </row>
    <row r="149" spans="1:61" ht="20.100000000000001" customHeight="1" thickBot="1">
      <c r="A149" s="90" t="s">
        <v>1</v>
      </c>
      <c r="B149" s="92" t="s">
        <v>62</v>
      </c>
      <c r="C149" s="92" t="s">
        <v>63</v>
      </c>
      <c r="D149" s="90" t="s">
        <v>7</v>
      </c>
      <c r="E149" s="94" t="s">
        <v>8</v>
      </c>
      <c r="F149" s="95"/>
      <c r="G149" s="8"/>
      <c r="H149" s="8"/>
      <c r="I149" s="99"/>
      <c r="J149" s="60" t="s">
        <v>159</v>
      </c>
      <c r="N149">
        <v>100</v>
      </c>
      <c r="Q149" s="60" t="s">
        <v>163</v>
      </c>
      <c r="U149">
        <v>100</v>
      </c>
      <c r="X149" s="60"/>
      <c r="AE149" s="60"/>
      <c r="AO149" t="s">
        <v>153</v>
      </c>
      <c r="AU149" t="s">
        <v>154</v>
      </c>
      <c r="BA149" t="s">
        <v>155</v>
      </c>
      <c r="BG149" t="s">
        <v>157</v>
      </c>
    </row>
    <row r="150" spans="1:61" ht="20.100000000000001" customHeight="1" thickBot="1">
      <c r="A150" s="91"/>
      <c r="B150" s="91"/>
      <c r="C150" s="91"/>
      <c r="D150" s="93"/>
      <c r="E150" s="1" t="s">
        <v>0</v>
      </c>
      <c r="F150" s="4" t="s">
        <v>11</v>
      </c>
      <c r="G150" s="9" t="s">
        <v>66</v>
      </c>
      <c r="H150" s="9" t="s">
        <v>67</v>
      </c>
      <c r="I150" s="100"/>
      <c r="J150" s="60" t="s">
        <v>153</v>
      </c>
      <c r="K150" s="60" t="s">
        <v>154</v>
      </c>
      <c r="L150" s="60" t="s">
        <v>155</v>
      </c>
      <c r="M150" s="60" t="s">
        <v>157</v>
      </c>
      <c r="N150" s="61" t="s">
        <v>158</v>
      </c>
      <c r="Q150" s="60" t="s">
        <v>153</v>
      </c>
      <c r="R150" s="60" t="s">
        <v>154</v>
      </c>
      <c r="S150" s="60" t="s">
        <v>155</v>
      </c>
      <c r="T150" s="60" t="s">
        <v>157</v>
      </c>
      <c r="U150" s="61" t="s">
        <v>158</v>
      </c>
      <c r="X150" s="60"/>
      <c r="Y150" s="60"/>
      <c r="Z150" s="60"/>
      <c r="AA150" s="60"/>
      <c r="AB150" s="61"/>
      <c r="AE150" s="60"/>
      <c r="AF150" s="60"/>
      <c r="AG150" s="60"/>
      <c r="AH150" s="60"/>
      <c r="AI150" s="61"/>
      <c r="AM150" s="55" t="s">
        <v>117</v>
      </c>
      <c r="AN150" s="55" t="s">
        <v>118</v>
      </c>
      <c r="AO150" s="55" t="s">
        <v>119</v>
      </c>
      <c r="AP150" s="56" t="s">
        <v>120</v>
      </c>
      <c r="AQ150" s="56" t="s">
        <v>121</v>
      </c>
      <c r="AS150" s="55" t="s">
        <v>117</v>
      </c>
      <c r="AT150" s="55" t="s">
        <v>118</v>
      </c>
      <c r="AU150" s="55" t="s">
        <v>119</v>
      </c>
      <c r="AV150" s="56" t="s">
        <v>120</v>
      </c>
      <c r="AW150" s="56" t="s">
        <v>121</v>
      </c>
      <c r="AY150" s="55" t="s">
        <v>117</v>
      </c>
      <c r="AZ150" s="55" t="s">
        <v>118</v>
      </c>
      <c r="BA150" s="55" t="s">
        <v>119</v>
      </c>
      <c r="BB150" s="56" t="s">
        <v>120</v>
      </c>
      <c r="BC150" s="56" t="s">
        <v>121</v>
      </c>
      <c r="BE150" s="55" t="s">
        <v>117</v>
      </c>
      <c r="BF150" s="55" t="s">
        <v>118</v>
      </c>
      <c r="BG150" s="55" t="s">
        <v>119</v>
      </c>
      <c r="BH150" s="56" t="s">
        <v>120</v>
      </c>
      <c r="BI150" s="56" t="s">
        <v>121</v>
      </c>
    </row>
    <row r="151" spans="1:61" ht="20.100000000000001" customHeight="1">
      <c r="A151" s="30">
        <v>1</v>
      </c>
      <c r="B151" s="25" t="s">
        <v>17</v>
      </c>
      <c r="C151" s="25" t="s">
        <v>17</v>
      </c>
      <c r="D151" s="10" t="s">
        <v>18</v>
      </c>
      <c r="E151" s="11">
        <v>45394</v>
      </c>
      <c r="F151" s="12">
        <v>0.40625</v>
      </c>
      <c r="G151" s="38">
        <v>6.79</v>
      </c>
      <c r="H151" s="38">
        <v>2.9</v>
      </c>
      <c r="I151" s="101"/>
      <c r="J151" s="81"/>
      <c r="K151" s="81"/>
      <c r="L151" s="81"/>
      <c r="M151" s="81"/>
      <c r="N151" s="74"/>
      <c r="O151" s="74"/>
      <c r="P151" s="74"/>
      <c r="Q151" s="76">
        <v>39.299999999999997</v>
      </c>
      <c r="R151" s="76">
        <v>13.700000000000001</v>
      </c>
      <c r="S151" s="76">
        <v>19.7</v>
      </c>
      <c r="T151" s="76">
        <v>27.3</v>
      </c>
      <c r="U151" s="74">
        <f>SUM(Q151:T151)</f>
        <v>100</v>
      </c>
      <c r="V151" s="74"/>
      <c r="W151" s="74"/>
      <c r="X151" s="83"/>
      <c r="Y151" s="83"/>
      <c r="Z151" s="83"/>
      <c r="AA151" s="83"/>
      <c r="AB151" s="84"/>
      <c r="AC151" s="74"/>
      <c r="AD151" s="74"/>
      <c r="AE151" s="83"/>
      <c r="AF151" s="83"/>
      <c r="AG151" s="83"/>
      <c r="AH151" s="83"/>
      <c r="AI151" s="84"/>
      <c r="AJ151" s="63"/>
      <c r="AM151" s="57" t="s">
        <v>114</v>
      </c>
      <c r="AN151" s="58" t="s">
        <v>113</v>
      </c>
      <c r="AO151" s="58" t="s">
        <v>49</v>
      </c>
      <c r="AP151" s="59">
        <v>16.52</v>
      </c>
      <c r="AQ151" s="59">
        <v>5.16</v>
      </c>
      <c r="AS151" s="57" t="s">
        <v>74</v>
      </c>
      <c r="AT151" s="58" t="s">
        <v>75</v>
      </c>
      <c r="AU151" s="58" t="s">
        <v>76</v>
      </c>
      <c r="AV151" s="59">
        <v>17.66</v>
      </c>
      <c r="AW151" s="59">
        <v>10.89</v>
      </c>
      <c r="AY151" s="57" t="s">
        <v>101</v>
      </c>
      <c r="AZ151" s="58" t="s">
        <v>138</v>
      </c>
      <c r="BA151" s="58" t="s">
        <v>140</v>
      </c>
      <c r="BB151" s="59">
        <v>0.63</v>
      </c>
      <c r="BC151" s="59">
        <v>10.72</v>
      </c>
      <c r="BE151" s="57" t="s">
        <v>84</v>
      </c>
      <c r="BF151" s="58" t="s">
        <v>71</v>
      </c>
      <c r="BG151" s="58" t="s">
        <v>85</v>
      </c>
      <c r="BH151" s="59">
        <v>4.34</v>
      </c>
      <c r="BI151" s="59">
        <v>0.88</v>
      </c>
    </row>
    <row r="152" spans="1:61" ht="20.100000000000001" customHeight="1">
      <c r="A152" s="22">
        <v>2</v>
      </c>
      <c r="B152" s="14" t="s">
        <v>17</v>
      </c>
      <c r="C152" s="14" t="s">
        <v>17</v>
      </c>
      <c r="D152" s="15" t="s">
        <v>20</v>
      </c>
      <c r="E152" s="16">
        <v>45394</v>
      </c>
      <c r="F152" s="17">
        <v>0.4375</v>
      </c>
      <c r="G152" s="39">
        <v>10.94</v>
      </c>
      <c r="H152" s="39">
        <v>0.19</v>
      </c>
      <c r="I152" s="101"/>
      <c r="J152" s="81"/>
      <c r="K152" s="81"/>
      <c r="L152" s="81"/>
      <c r="M152" s="81"/>
      <c r="N152" s="74"/>
      <c r="O152" s="74"/>
      <c r="P152" s="74"/>
      <c r="Q152" s="76">
        <v>53.300000000000004</v>
      </c>
      <c r="R152" s="76">
        <v>13.5</v>
      </c>
      <c r="S152" s="76">
        <v>8.4</v>
      </c>
      <c r="T152" s="76">
        <v>24.7</v>
      </c>
      <c r="U152" s="74">
        <f t="shared" ref="U152:U174" si="8">SUM(Q152:T152)</f>
        <v>99.90000000000002</v>
      </c>
      <c r="V152" s="74"/>
      <c r="W152" s="74"/>
      <c r="X152" s="83"/>
      <c r="Y152" s="83"/>
      <c r="Z152" s="83"/>
      <c r="AA152" s="83"/>
      <c r="AB152" s="84"/>
      <c r="AC152" s="74"/>
      <c r="AD152" s="74"/>
      <c r="AE152" s="83"/>
      <c r="AF152" s="83"/>
      <c r="AG152" s="83"/>
      <c r="AH152" s="83"/>
      <c r="AI152" s="84"/>
      <c r="AJ152" s="63"/>
      <c r="AM152" s="57" t="s">
        <v>70</v>
      </c>
      <c r="AN152" s="58" t="s">
        <v>71</v>
      </c>
      <c r="AO152" s="58" t="s">
        <v>86</v>
      </c>
      <c r="AP152" s="59">
        <v>15.92</v>
      </c>
      <c r="AQ152" s="59">
        <v>-0.37</v>
      </c>
      <c r="AS152" s="57" t="s">
        <v>74</v>
      </c>
      <c r="AT152" s="58" t="s">
        <v>75</v>
      </c>
      <c r="AU152" s="58" t="s">
        <v>76</v>
      </c>
      <c r="AV152" s="59">
        <v>18.170000000000002</v>
      </c>
      <c r="AW152" s="59">
        <v>9.27</v>
      </c>
      <c r="AY152" s="57" t="s">
        <v>102</v>
      </c>
      <c r="AZ152" s="58" t="s">
        <v>138</v>
      </c>
      <c r="BA152" s="58" t="s">
        <v>139</v>
      </c>
      <c r="BB152" s="59">
        <v>1.1000000000000001</v>
      </c>
      <c r="BC152" s="59">
        <v>18.05</v>
      </c>
      <c r="BE152" s="57" t="s">
        <v>133</v>
      </c>
      <c r="BF152" s="58" t="s">
        <v>125</v>
      </c>
      <c r="BG152" s="58" t="s">
        <v>134</v>
      </c>
      <c r="BH152" s="59">
        <v>2.98</v>
      </c>
      <c r="BI152" s="59">
        <v>0.23</v>
      </c>
    </row>
    <row r="153" spans="1:61" ht="20.100000000000001" customHeight="1">
      <c r="A153" s="22">
        <v>3</v>
      </c>
      <c r="B153" s="14" t="s">
        <v>17</v>
      </c>
      <c r="C153" s="14" t="s">
        <v>17</v>
      </c>
      <c r="D153" s="15" t="s">
        <v>21</v>
      </c>
      <c r="E153" s="16">
        <v>45394</v>
      </c>
      <c r="F153" s="17">
        <v>0.4513888888888889</v>
      </c>
      <c r="G153" s="39">
        <v>10.09</v>
      </c>
      <c r="H153" s="39">
        <v>1.5</v>
      </c>
      <c r="I153" s="101"/>
      <c r="J153" s="81"/>
      <c r="K153" s="81"/>
      <c r="L153" s="81"/>
      <c r="M153" s="81"/>
      <c r="N153" s="74"/>
      <c r="O153" s="74"/>
      <c r="P153" s="74"/>
      <c r="Q153" s="76">
        <v>47</v>
      </c>
      <c r="R153" s="76">
        <v>14.299999999999999</v>
      </c>
      <c r="S153" s="76">
        <v>10.199999999999999</v>
      </c>
      <c r="T153" s="76">
        <v>28.499999999999996</v>
      </c>
      <c r="U153" s="74">
        <f t="shared" si="8"/>
        <v>100</v>
      </c>
      <c r="V153" s="74"/>
      <c r="W153" s="74"/>
      <c r="X153" s="83"/>
      <c r="Y153" s="83"/>
      <c r="Z153" s="83"/>
      <c r="AA153" s="83"/>
      <c r="AB153" s="84"/>
      <c r="AC153" s="74"/>
      <c r="AD153" s="74"/>
      <c r="AE153" s="83"/>
      <c r="AF153" s="83"/>
      <c r="AG153" s="83"/>
      <c r="AH153" s="83"/>
      <c r="AI153" s="84"/>
      <c r="AJ153" s="63"/>
      <c r="AM153" s="57" t="s">
        <v>79</v>
      </c>
      <c r="AN153" s="58"/>
      <c r="AO153" s="58" t="s">
        <v>169</v>
      </c>
      <c r="AP153" s="59">
        <v>15.17</v>
      </c>
      <c r="AQ153" s="59">
        <v>-3.82</v>
      </c>
      <c r="AS153" s="57" t="s">
        <v>96</v>
      </c>
      <c r="AT153" s="58"/>
      <c r="AU153" s="58" t="s">
        <v>105</v>
      </c>
      <c r="AV153" s="59">
        <v>15.309999999999999</v>
      </c>
      <c r="AW153" s="59">
        <v>3.085</v>
      </c>
      <c r="AY153" s="57"/>
      <c r="AZ153" s="58"/>
      <c r="BA153" s="58"/>
      <c r="BB153" s="59"/>
      <c r="BC153" s="59"/>
      <c r="BE153" s="57" t="s">
        <v>131</v>
      </c>
      <c r="BF153" s="58" t="s">
        <v>125</v>
      </c>
      <c r="BG153" s="58" t="s">
        <v>132</v>
      </c>
      <c r="BH153" s="59">
        <v>0.92</v>
      </c>
      <c r="BI153" s="59">
        <v>0.08</v>
      </c>
    </row>
    <row r="154" spans="1:61" ht="20.100000000000001" customHeight="1">
      <c r="A154" s="22">
        <v>4</v>
      </c>
      <c r="B154" s="14" t="s">
        <v>17</v>
      </c>
      <c r="C154" s="14" t="s">
        <v>17</v>
      </c>
      <c r="D154" s="15" t="s">
        <v>22</v>
      </c>
      <c r="E154" s="16">
        <v>45394</v>
      </c>
      <c r="F154" s="17">
        <v>0.46527777777777773</v>
      </c>
      <c r="G154" s="39">
        <v>10.63</v>
      </c>
      <c r="H154" s="39">
        <v>2.19</v>
      </c>
      <c r="I154" s="101"/>
      <c r="J154" s="81"/>
      <c r="K154" s="81"/>
      <c r="L154" s="81"/>
      <c r="M154" s="81"/>
      <c r="N154" s="74"/>
      <c r="O154" s="74"/>
      <c r="P154" s="74"/>
      <c r="Q154" s="76">
        <v>48.1</v>
      </c>
      <c r="R154" s="76">
        <v>15.8</v>
      </c>
      <c r="S154" s="76">
        <v>11</v>
      </c>
      <c r="T154" s="76">
        <v>25.1</v>
      </c>
      <c r="U154" s="74">
        <f t="shared" si="8"/>
        <v>100</v>
      </c>
      <c r="V154" s="74"/>
      <c r="W154" s="74"/>
      <c r="X154" s="83"/>
      <c r="Y154" s="83"/>
      <c r="Z154" s="83"/>
      <c r="AA154" s="83"/>
      <c r="AB154" s="84"/>
      <c r="AC154" s="74"/>
      <c r="AD154" s="74"/>
      <c r="AE154" s="83"/>
      <c r="AF154" s="83"/>
      <c r="AG154" s="83"/>
      <c r="AH154" s="83"/>
      <c r="AI154" s="84"/>
      <c r="AJ154" s="63"/>
      <c r="AM154" s="57" t="s">
        <v>74</v>
      </c>
      <c r="AN154" s="58"/>
      <c r="AO154" s="58" t="s">
        <v>170</v>
      </c>
      <c r="AP154" s="59">
        <v>14.62</v>
      </c>
      <c r="AQ154" s="59">
        <v>0.65</v>
      </c>
      <c r="AS154" s="57" t="s">
        <v>98</v>
      </c>
      <c r="AT154" s="58"/>
      <c r="AU154" s="58" t="s">
        <v>106</v>
      </c>
      <c r="AV154" s="59">
        <v>19.239999999999998</v>
      </c>
      <c r="AW154" s="59">
        <v>8.4600000000000009</v>
      </c>
      <c r="AY154" s="57"/>
      <c r="AZ154" s="58"/>
      <c r="BA154" s="58"/>
      <c r="BB154" s="59"/>
      <c r="BC154" s="59"/>
      <c r="BE154" s="57" t="s">
        <v>124</v>
      </c>
      <c r="BF154" s="58" t="s">
        <v>125</v>
      </c>
      <c r="BG154" s="58" t="s">
        <v>126</v>
      </c>
      <c r="BH154" s="59">
        <v>2.36</v>
      </c>
      <c r="BI154" s="59">
        <v>-0.6</v>
      </c>
    </row>
    <row r="155" spans="1:61" ht="20.100000000000001" customHeight="1">
      <c r="A155" s="31">
        <v>5</v>
      </c>
      <c r="B155" s="32" t="s">
        <v>23</v>
      </c>
      <c r="C155" s="32" t="s">
        <v>23</v>
      </c>
      <c r="D155" s="33" t="s">
        <v>24</v>
      </c>
      <c r="E155" s="42">
        <v>45394</v>
      </c>
      <c r="F155" s="34">
        <v>0.625</v>
      </c>
      <c r="G155" s="41">
        <v>5.58</v>
      </c>
      <c r="H155" s="41">
        <v>6.49</v>
      </c>
      <c r="I155" s="101"/>
      <c r="J155" s="81"/>
      <c r="K155" s="81"/>
      <c r="L155" s="81"/>
      <c r="M155" s="81"/>
      <c r="N155" s="74"/>
      <c r="O155" s="74"/>
      <c r="P155" s="74"/>
      <c r="Q155" s="76">
        <v>26.6</v>
      </c>
      <c r="R155" s="76">
        <v>10.199999999999999</v>
      </c>
      <c r="S155" s="76">
        <v>35</v>
      </c>
      <c r="T155" s="76">
        <v>28.199999999999996</v>
      </c>
      <c r="U155" s="74">
        <f t="shared" si="8"/>
        <v>100</v>
      </c>
      <c r="V155" s="74"/>
      <c r="W155" s="74"/>
      <c r="X155" s="83"/>
      <c r="Y155" s="83"/>
      <c r="Z155" s="83"/>
      <c r="AA155" s="83"/>
      <c r="AB155" s="84"/>
      <c r="AC155" s="74"/>
      <c r="AD155" s="74"/>
      <c r="AE155" s="83"/>
      <c r="AF155" s="83"/>
      <c r="AG155" s="83"/>
      <c r="AH155" s="83"/>
      <c r="AI155" s="84"/>
      <c r="AJ155" s="63"/>
      <c r="AM155" s="57" t="s">
        <v>115</v>
      </c>
      <c r="AN155" s="58" t="s">
        <v>113</v>
      </c>
      <c r="AO155" s="58" t="s">
        <v>116</v>
      </c>
      <c r="AP155" s="59">
        <v>14.07</v>
      </c>
      <c r="AQ155" s="59">
        <v>3.84</v>
      </c>
      <c r="AS155" s="57" t="s">
        <v>100</v>
      </c>
      <c r="AT155" s="58"/>
      <c r="AU155" s="58" t="s">
        <v>109</v>
      </c>
      <c r="AV155" s="59">
        <v>20.925000000000001</v>
      </c>
      <c r="AW155" s="59">
        <v>5.27</v>
      </c>
      <c r="AY155" s="57"/>
      <c r="AZ155" s="58"/>
      <c r="BA155" s="58"/>
      <c r="BB155" s="59"/>
      <c r="BC155" s="59"/>
      <c r="BE155" s="57" t="s">
        <v>127</v>
      </c>
      <c r="BF155" s="58" t="s">
        <v>125</v>
      </c>
      <c r="BG155" s="58" t="s">
        <v>128</v>
      </c>
      <c r="BH155" s="59">
        <v>1.86</v>
      </c>
      <c r="BI155" s="59">
        <v>-1.83</v>
      </c>
    </row>
    <row r="156" spans="1:61" ht="20.100000000000001" customHeight="1">
      <c r="A156" s="31">
        <v>6</v>
      </c>
      <c r="B156" s="32" t="s">
        <v>23</v>
      </c>
      <c r="C156" s="32" t="s">
        <v>23</v>
      </c>
      <c r="D156" s="33" t="s">
        <v>25</v>
      </c>
      <c r="E156" s="42">
        <v>45394</v>
      </c>
      <c r="F156" s="34">
        <v>0.63888888888888895</v>
      </c>
      <c r="G156" s="41">
        <v>6.75</v>
      </c>
      <c r="H156" s="41">
        <v>7.6</v>
      </c>
      <c r="I156" s="101"/>
      <c r="J156" s="81"/>
      <c r="K156" s="81"/>
      <c r="L156" s="81"/>
      <c r="M156" s="81"/>
      <c r="N156" s="74"/>
      <c r="O156" s="74"/>
      <c r="P156" s="74"/>
      <c r="Q156" s="76">
        <v>30.2</v>
      </c>
      <c r="R156" s="76">
        <v>12.6</v>
      </c>
      <c r="S156" s="76">
        <v>36.1</v>
      </c>
      <c r="T156" s="76">
        <v>21.2</v>
      </c>
      <c r="U156" s="74">
        <f t="shared" si="8"/>
        <v>100.10000000000001</v>
      </c>
      <c r="V156" s="74"/>
      <c r="W156" s="74"/>
      <c r="X156" s="83"/>
      <c r="Y156" s="83"/>
      <c r="Z156" s="83"/>
      <c r="AA156" s="83"/>
      <c r="AB156" s="84"/>
      <c r="AC156" s="74"/>
      <c r="AD156" s="74"/>
      <c r="AE156" s="83"/>
      <c r="AF156" s="83"/>
      <c r="AG156" s="83"/>
      <c r="AH156" s="83"/>
      <c r="AI156" s="84"/>
      <c r="AJ156" s="63"/>
      <c r="AM156" s="57" t="s">
        <v>141</v>
      </c>
      <c r="AN156" s="58" t="s">
        <v>72</v>
      </c>
      <c r="AO156" s="58" t="s">
        <v>142</v>
      </c>
      <c r="AP156" s="59">
        <v>13.38</v>
      </c>
      <c r="AQ156" s="59">
        <v>4.66</v>
      </c>
      <c r="AS156" s="57" t="s">
        <v>148</v>
      </c>
      <c r="AT156" s="58"/>
      <c r="AU156" s="58" t="s">
        <v>149</v>
      </c>
      <c r="AV156" s="59">
        <v>24.47</v>
      </c>
      <c r="AW156" s="59">
        <v>-0.67</v>
      </c>
      <c r="AY156" s="57"/>
      <c r="AZ156" s="58"/>
      <c r="BA156" s="58"/>
      <c r="BB156" s="59"/>
      <c r="BC156" s="59"/>
      <c r="BE156" s="57"/>
      <c r="BF156" s="58"/>
      <c r="BG156" s="58"/>
      <c r="BH156" s="59"/>
      <c r="BI156" s="59"/>
    </row>
    <row r="157" spans="1:61" ht="20.100000000000001" customHeight="1">
      <c r="A157" s="31">
        <v>7</v>
      </c>
      <c r="B157" s="32" t="s">
        <v>23</v>
      </c>
      <c r="C157" s="32" t="s">
        <v>23</v>
      </c>
      <c r="D157" s="33" t="s">
        <v>26</v>
      </c>
      <c r="E157" s="42">
        <v>45393</v>
      </c>
      <c r="F157" s="34">
        <v>0.63888888888888895</v>
      </c>
      <c r="G157" s="41">
        <v>8.2100000000000009</v>
      </c>
      <c r="H157" s="41">
        <v>5.56</v>
      </c>
      <c r="I157" s="101"/>
      <c r="J157" s="81"/>
      <c r="K157" s="81"/>
      <c r="L157" s="81"/>
      <c r="M157" s="81"/>
      <c r="N157" s="74"/>
      <c r="O157" s="74"/>
      <c r="P157" s="74"/>
      <c r="Q157" s="76">
        <v>37.700000000000003</v>
      </c>
      <c r="R157" s="76">
        <v>14.799999999999999</v>
      </c>
      <c r="S157" s="76">
        <v>22.8</v>
      </c>
      <c r="T157" s="76">
        <v>24.7</v>
      </c>
      <c r="U157" s="74">
        <f t="shared" si="8"/>
        <v>100</v>
      </c>
      <c r="V157" s="74"/>
      <c r="W157" s="74"/>
      <c r="X157" s="83"/>
      <c r="Y157" s="83"/>
      <c r="Z157" s="83"/>
      <c r="AA157" s="83"/>
      <c r="AB157" s="84"/>
      <c r="AC157" s="74"/>
      <c r="AD157" s="74"/>
      <c r="AE157" s="83"/>
      <c r="AF157" s="83"/>
      <c r="AG157" s="83"/>
      <c r="AH157" s="83"/>
      <c r="AI157" s="84"/>
      <c r="AJ157" s="63"/>
      <c r="AM157" s="57" t="s">
        <v>115</v>
      </c>
      <c r="AN157" s="58" t="s">
        <v>113</v>
      </c>
      <c r="AO157" s="58" t="s">
        <v>116</v>
      </c>
      <c r="AP157" s="59">
        <v>12.44</v>
      </c>
      <c r="AQ157" s="59">
        <v>3.65</v>
      </c>
      <c r="AS157" s="57" t="s">
        <v>137</v>
      </c>
      <c r="AT157" s="58"/>
      <c r="AU157" s="58" t="s">
        <v>110</v>
      </c>
      <c r="AV157" s="59">
        <v>24.39</v>
      </c>
      <c r="AW157" s="59">
        <v>1.3149999999999999</v>
      </c>
      <c r="AY157" s="57"/>
      <c r="AZ157" s="58"/>
      <c r="BA157" s="58" t="s">
        <v>161</v>
      </c>
      <c r="BB157" s="59">
        <f>AVERAGE(BB151:BB152)</f>
        <v>0.86499999999999999</v>
      </c>
      <c r="BC157" s="59">
        <f>AVERAGE(BC151:BC152)</f>
        <v>14.385000000000002</v>
      </c>
      <c r="BE157" s="57"/>
      <c r="BF157" s="58"/>
      <c r="BG157" s="58"/>
      <c r="BH157" s="59"/>
      <c r="BI157" s="59"/>
    </row>
    <row r="158" spans="1:61" ht="20.100000000000001" customHeight="1">
      <c r="A158" s="31">
        <v>8</v>
      </c>
      <c r="B158" s="32" t="s">
        <v>23</v>
      </c>
      <c r="C158" s="32" t="s">
        <v>27</v>
      </c>
      <c r="D158" s="33" t="s">
        <v>28</v>
      </c>
      <c r="E158" s="42">
        <v>45393</v>
      </c>
      <c r="F158" s="34">
        <v>0.65277777777777779</v>
      </c>
      <c r="G158" s="82">
        <v>1.58</v>
      </c>
      <c r="H158" s="82">
        <v>-0.43</v>
      </c>
      <c r="I158" s="103"/>
      <c r="J158" s="81"/>
      <c r="K158" s="81"/>
      <c r="L158" s="81"/>
      <c r="M158" s="81"/>
      <c r="N158" s="74"/>
      <c r="O158" s="74"/>
      <c r="P158" s="74"/>
      <c r="Q158" s="76">
        <v>12.1</v>
      </c>
      <c r="R158" s="76">
        <v>4.5999999999999996</v>
      </c>
      <c r="S158" s="76">
        <v>11.200000000000001</v>
      </c>
      <c r="T158" s="76">
        <v>72.099999999999994</v>
      </c>
      <c r="U158" s="74">
        <f t="shared" si="8"/>
        <v>100</v>
      </c>
      <c r="V158" s="74"/>
      <c r="W158" s="74"/>
      <c r="X158" s="83"/>
      <c r="Y158" s="83"/>
      <c r="Z158" s="83"/>
      <c r="AA158" s="83"/>
      <c r="AB158" s="84"/>
      <c r="AC158" s="74"/>
      <c r="AD158" s="74"/>
      <c r="AE158" s="83"/>
      <c r="AF158" s="83"/>
      <c r="AG158" s="83"/>
      <c r="AH158" s="83"/>
      <c r="AI158" s="84"/>
      <c r="AJ158" s="63"/>
      <c r="AM158" s="57" t="s">
        <v>115</v>
      </c>
      <c r="AN158" s="58" t="s">
        <v>113</v>
      </c>
      <c r="AO158" s="58" t="s">
        <v>116</v>
      </c>
      <c r="AP158" s="59">
        <v>12.27</v>
      </c>
      <c r="AQ158" s="59">
        <v>4.01</v>
      </c>
      <c r="AS158" s="57" t="s">
        <v>89</v>
      </c>
      <c r="AT158" s="58"/>
      <c r="AU158" s="58" t="s">
        <v>88</v>
      </c>
      <c r="AV158" s="59">
        <v>18.195</v>
      </c>
      <c r="AW158" s="59">
        <v>4.7449999999999992</v>
      </c>
      <c r="AY158" s="57"/>
      <c r="AZ158" s="58"/>
      <c r="BA158" s="58" t="s">
        <v>162</v>
      </c>
      <c r="BB158" s="59">
        <f>_xlfn.STDEV.S(BB151:BB152)</f>
        <v>0.3323401871576776</v>
      </c>
      <c r="BC158" s="59">
        <f>_xlfn.STDEV.S(BC151:BC152)</f>
        <v>5.1830927060973853</v>
      </c>
      <c r="BE158" s="57"/>
      <c r="BF158" s="58"/>
      <c r="BG158" s="58"/>
      <c r="BH158" s="59"/>
      <c r="BI158" s="59"/>
    </row>
    <row r="159" spans="1:61" ht="20.100000000000001" customHeight="1">
      <c r="A159" s="31">
        <v>9</v>
      </c>
      <c r="B159" s="32" t="s">
        <v>23</v>
      </c>
      <c r="C159" s="32" t="s">
        <v>27</v>
      </c>
      <c r="D159" s="33" t="s">
        <v>30</v>
      </c>
      <c r="E159" s="42">
        <v>45393</v>
      </c>
      <c r="F159" s="34">
        <v>0.64236111111111105</v>
      </c>
      <c r="G159" s="41">
        <v>12.48</v>
      </c>
      <c r="H159" s="41">
        <v>2.62</v>
      </c>
      <c r="I159" s="101"/>
      <c r="J159" s="81"/>
      <c r="K159" s="81"/>
      <c r="L159" s="81"/>
      <c r="M159" s="81"/>
      <c r="N159" s="74"/>
      <c r="O159" s="74"/>
      <c r="P159" s="74"/>
      <c r="Q159" s="76">
        <v>52.300000000000004</v>
      </c>
      <c r="R159" s="76">
        <v>19.3</v>
      </c>
      <c r="S159" s="76">
        <v>9.7000000000000011</v>
      </c>
      <c r="T159" s="76">
        <v>18.7</v>
      </c>
      <c r="U159" s="74">
        <f t="shared" si="8"/>
        <v>100.00000000000001</v>
      </c>
      <c r="V159" s="74"/>
      <c r="W159" s="74"/>
      <c r="X159" s="83"/>
      <c r="Y159" s="83"/>
      <c r="Z159" s="83"/>
      <c r="AA159" s="83"/>
      <c r="AB159" s="84"/>
      <c r="AC159" s="74"/>
      <c r="AD159" s="74"/>
      <c r="AE159" s="83"/>
      <c r="AF159" s="83"/>
      <c r="AG159" s="83"/>
      <c r="AH159" s="83"/>
      <c r="AI159" s="84"/>
      <c r="AJ159" s="63"/>
      <c r="AM159" s="57" t="s">
        <v>147</v>
      </c>
      <c r="AN159" s="58" t="s">
        <v>72</v>
      </c>
      <c r="AO159" s="58" t="s">
        <v>144</v>
      </c>
      <c r="AP159" s="59">
        <v>12.15</v>
      </c>
      <c r="AQ159" s="59">
        <v>-0.53</v>
      </c>
      <c r="AS159" s="57"/>
      <c r="AT159" s="58"/>
      <c r="AU159" s="58"/>
      <c r="AV159" s="59"/>
      <c r="AW159" s="59"/>
      <c r="BE159" s="57"/>
      <c r="BF159" s="58"/>
      <c r="BG159" s="58"/>
      <c r="BH159" s="59"/>
      <c r="BI159" s="59"/>
    </row>
    <row r="160" spans="1:61" ht="20.100000000000001" customHeight="1">
      <c r="A160" s="22">
        <v>10</v>
      </c>
      <c r="B160" s="14" t="s">
        <v>31</v>
      </c>
      <c r="C160" s="14" t="s">
        <v>31</v>
      </c>
      <c r="D160" s="15" t="s">
        <v>32</v>
      </c>
      <c r="E160" s="16">
        <v>45394</v>
      </c>
      <c r="F160" s="17">
        <v>0.55902777777777779</v>
      </c>
      <c r="G160" s="39">
        <v>8.51</v>
      </c>
      <c r="H160" s="39">
        <v>8.32</v>
      </c>
      <c r="I160" s="101"/>
      <c r="J160" s="81"/>
      <c r="K160" s="81"/>
      <c r="L160" s="81"/>
      <c r="M160" s="81"/>
      <c r="N160" s="74"/>
      <c r="O160" s="74"/>
      <c r="P160" s="74"/>
      <c r="Q160" s="76">
        <v>35</v>
      </c>
      <c r="R160" s="76">
        <v>17.100000000000001</v>
      </c>
      <c r="S160" s="76">
        <v>31.8</v>
      </c>
      <c r="T160" s="76">
        <v>16.2</v>
      </c>
      <c r="U160" s="74">
        <f t="shared" si="8"/>
        <v>100.10000000000001</v>
      </c>
      <c r="V160" s="74"/>
      <c r="W160" s="74"/>
      <c r="X160" s="83"/>
      <c r="Y160" s="83"/>
      <c r="Z160" s="83"/>
      <c r="AA160" s="83"/>
      <c r="AB160" s="84"/>
      <c r="AC160" s="74"/>
      <c r="AD160" s="74"/>
      <c r="AE160" s="83"/>
      <c r="AF160" s="83"/>
      <c r="AG160" s="83"/>
      <c r="AH160" s="83"/>
      <c r="AI160" s="84"/>
      <c r="AJ160" s="63"/>
      <c r="AM160" s="57" t="s">
        <v>81</v>
      </c>
      <c r="AN160" s="58"/>
      <c r="AO160" s="58" t="s">
        <v>171</v>
      </c>
      <c r="AP160" s="59">
        <v>12.14</v>
      </c>
      <c r="AQ160" s="59">
        <v>1.42</v>
      </c>
      <c r="AS160" s="57"/>
      <c r="AT160" s="58"/>
      <c r="AU160" s="58"/>
      <c r="AV160" s="59"/>
      <c r="AW160" s="59"/>
      <c r="BE160" s="57"/>
      <c r="BF160" s="58"/>
      <c r="BG160" s="58"/>
      <c r="BH160" s="59"/>
      <c r="BI160" s="59"/>
    </row>
    <row r="161" spans="1:61" ht="20.100000000000001" customHeight="1">
      <c r="A161" s="22">
        <v>11</v>
      </c>
      <c r="B161" s="14" t="s">
        <v>31</v>
      </c>
      <c r="C161" s="14" t="s">
        <v>31</v>
      </c>
      <c r="D161" s="15" t="s">
        <v>33</v>
      </c>
      <c r="E161" s="16">
        <v>45394</v>
      </c>
      <c r="F161" s="17">
        <v>0.60416666666666663</v>
      </c>
      <c r="G161" s="39">
        <v>8.24</v>
      </c>
      <c r="H161" s="39">
        <v>6.51</v>
      </c>
      <c r="I161" s="101"/>
      <c r="J161" s="81"/>
      <c r="K161" s="81"/>
      <c r="L161" s="81"/>
      <c r="M161" s="81"/>
      <c r="N161" s="74"/>
      <c r="O161" s="74"/>
      <c r="P161" s="74"/>
      <c r="Q161" s="76">
        <v>36.5</v>
      </c>
      <c r="R161" s="76">
        <v>15.2</v>
      </c>
      <c r="S161" s="76">
        <v>26.700000000000003</v>
      </c>
      <c r="T161" s="76">
        <v>21.6</v>
      </c>
      <c r="U161" s="74">
        <f t="shared" si="8"/>
        <v>100</v>
      </c>
      <c r="V161" s="74"/>
      <c r="W161" s="74"/>
      <c r="X161" s="83"/>
      <c r="Y161" s="83"/>
      <c r="Z161" s="83"/>
      <c r="AA161" s="83"/>
      <c r="AB161" s="84"/>
      <c r="AC161" s="74"/>
      <c r="AD161" s="74"/>
      <c r="AE161" s="83"/>
      <c r="AF161" s="83"/>
      <c r="AG161" s="83"/>
      <c r="AH161" s="83"/>
      <c r="AI161" s="84"/>
      <c r="AJ161" s="63"/>
      <c r="AM161" s="57" t="s">
        <v>81</v>
      </c>
      <c r="AN161" s="58" t="s">
        <v>71</v>
      </c>
      <c r="AO161" s="58" t="s">
        <v>82</v>
      </c>
      <c r="AP161" s="59">
        <v>10.89</v>
      </c>
      <c r="AQ161" s="59">
        <v>1.05</v>
      </c>
      <c r="AS161" s="57"/>
      <c r="AT161" s="58"/>
      <c r="AU161" s="58"/>
      <c r="AV161" s="59"/>
      <c r="AW161" s="59"/>
      <c r="BE161" s="57"/>
      <c r="BF161" s="58"/>
      <c r="BG161" s="58"/>
      <c r="BH161" s="59"/>
      <c r="BI161" s="59"/>
    </row>
    <row r="162" spans="1:61" ht="20.100000000000001" customHeight="1">
      <c r="A162" s="22">
        <v>12</v>
      </c>
      <c r="B162" s="14" t="s">
        <v>31</v>
      </c>
      <c r="C162" s="14" t="s">
        <v>31</v>
      </c>
      <c r="D162" s="15" t="s">
        <v>34</v>
      </c>
      <c r="E162" s="16">
        <v>45394</v>
      </c>
      <c r="F162" s="17">
        <v>0.61111111111111105</v>
      </c>
      <c r="G162" s="39">
        <v>8.6199999999999992</v>
      </c>
      <c r="H162" s="39">
        <v>5.83</v>
      </c>
      <c r="I162" s="101"/>
      <c r="J162" s="81"/>
      <c r="K162" s="81"/>
      <c r="L162" s="81"/>
      <c r="M162" s="81"/>
      <c r="N162" s="74"/>
      <c r="O162" s="74"/>
      <c r="P162" s="74"/>
      <c r="Q162" s="76">
        <v>38.299999999999997</v>
      </c>
      <c r="R162" s="76">
        <v>15.8</v>
      </c>
      <c r="S162" s="76">
        <v>22.900000000000002</v>
      </c>
      <c r="T162" s="76">
        <v>23</v>
      </c>
      <c r="U162" s="74">
        <f t="shared" si="8"/>
        <v>100</v>
      </c>
      <c r="V162" s="74"/>
      <c r="W162" s="74"/>
      <c r="X162" s="83"/>
      <c r="Y162" s="83"/>
      <c r="Z162" s="83"/>
      <c r="AA162" s="83"/>
      <c r="AB162" s="84"/>
      <c r="AC162" s="74"/>
      <c r="AD162" s="74"/>
      <c r="AE162" s="83"/>
      <c r="AF162" s="83"/>
      <c r="AG162" s="83"/>
      <c r="AH162" s="83"/>
      <c r="AI162" s="84"/>
      <c r="AJ162" s="63"/>
      <c r="AM162" s="57" t="s">
        <v>172</v>
      </c>
      <c r="AN162" s="58"/>
      <c r="AO162" s="58" t="s">
        <v>173</v>
      </c>
      <c r="AP162" s="59">
        <v>10.72</v>
      </c>
      <c r="AQ162" s="59">
        <v>3.81</v>
      </c>
      <c r="AS162" s="57"/>
      <c r="AT162" s="58"/>
      <c r="AU162" s="58"/>
      <c r="AV162" s="59"/>
      <c r="AW162" s="59"/>
      <c r="BE162" s="57"/>
      <c r="BF162" s="58"/>
      <c r="BG162" s="58"/>
      <c r="BH162" s="59"/>
      <c r="BI162" s="59"/>
    </row>
    <row r="163" spans="1:61" ht="20.100000000000001" customHeight="1">
      <c r="A163" s="22">
        <v>13</v>
      </c>
      <c r="B163" s="14" t="s">
        <v>31</v>
      </c>
      <c r="C163" s="14" t="s">
        <v>35</v>
      </c>
      <c r="D163" s="15" t="s">
        <v>36</v>
      </c>
      <c r="E163" s="16">
        <v>45394</v>
      </c>
      <c r="F163" s="17">
        <v>0.59375</v>
      </c>
      <c r="G163" s="39">
        <v>9.1300000000000008</v>
      </c>
      <c r="H163" s="39">
        <v>4.09</v>
      </c>
      <c r="I163" s="101"/>
      <c r="J163" s="81"/>
      <c r="K163" s="81"/>
      <c r="L163" s="81"/>
      <c r="M163" s="81"/>
      <c r="N163" s="74"/>
      <c r="O163" s="74"/>
      <c r="P163" s="74"/>
      <c r="Q163" s="76">
        <v>41.8</v>
      </c>
      <c r="R163" s="76">
        <v>15.2</v>
      </c>
      <c r="S163" s="76">
        <v>16.400000000000002</v>
      </c>
      <c r="T163" s="76">
        <v>26.700000000000003</v>
      </c>
      <c r="U163" s="74">
        <f t="shared" si="8"/>
        <v>100.10000000000001</v>
      </c>
      <c r="V163" s="74"/>
      <c r="W163" s="74"/>
      <c r="X163" s="83"/>
      <c r="Y163" s="83"/>
      <c r="Z163" s="83"/>
      <c r="AA163" s="83"/>
      <c r="AB163" s="84"/>
      <c r="AC163" s="74"/>
      <c r="AD163" s="74"/>
      <c r="AE163" s="83"/>
      <c r="AF163" s="83"/>
      <c r="AG163" s="83"/>
      <c r="AH163" s="83"/>
      <c r="AI163" s="84"/>
      <c r="AJ163" s="63"/>
      <c r="AM163" s="57"/>
      <c r="AN163" s="58"/>
      <c r="AO163" s="58"/>
      <c r="AP163" s="59"/>
      <c r="AQ163" s="59"/>
      <c r="AS163" s="57"/>
      <c r="AT163" s="58"/>
      <c r="AU163" s="58"/>
      <c r="AV163" s="59"/>
      <c r="AW163" s="59"/>
      <c r="BE163" s="57"/>
      <c r="BF163" s="58"/>
      <c r="BG163" s="58" t="s">
        <v>161</v>
      </c>
      <c r="BH163" s="59">
        <f>AVERAGE(BH151:BH160)</f>
        <v>2.492</v>
      </c>
      <c r="BI163" s="59">
        <f>AVERAGE(BI151:BI155)</f>
        <v>-0.24799999999999994</v>
      </c>
    </row>
    <row r="164" spans="1:61" ht="20.100000000000001" customHeight="1">
      <c r="A164" s="22">
        <v>14</v>
      </c>
      <c r="B164" s="14" t="s">
        <v>31</v>
      </c>
      <c r="C164" s="14" t="s">
        <v>5</v>
      </c>
      <c r="D164" s="15" t="s">
        <v>29</v>
      </c>
      <c r="E164" s="16">
        <v>45394</v>
      </c>
      <c r="F164" s="17">
        <v>0.58680555555555558</v>
      </c>
      <c r="G164" s="39">
        <v>8.94</v>
      </c>
      <c r="H164" s="39">
        <v>4.2699999999999996</v>
      </c>
      <c r="I164" s="101"/>
      <c r="J164" s="81"/>
      <c r="K164" s="81"/>
      <c r="L164" s="81"/>
      <c r="M164" s="81"/>
      <c r="N164" s="74"/>
      <c r="O164" s="74"/>
      <c r="P164" s="74"/>
      <c r="Q164" s="76">
        <v>40.9</v>
      </c>
      <c r="R164" s="76">
        <v>15</v>
      </c>
      <c r="S164" s="76">
        <v>17.5</v>
      </c>
      <c r="T164" s="76">
        <v>26.6</v>
      </c>
      <c r="U164" s="74">
        <f t="shared" si="8"/>
        <v>100</v>
      </c>
      <c r="V164" s="74"/>
      <c r="W164" s="74"/>
      <c r="X164" s="83"/>
      <c r="Y164" s="83"/>
      <c r="Z164" s="83"/>
      <c r="AA164" s="83"/>
      <c r="AB164" s="84"/>
      <c r="AC164" s="74"/>
      <c r="AD164" s="74"/>
      <c r="AE164" s="83"/>
      <c r="AF164" s="83"/>
      <c r="AG164" s="83"/>
      <c r="AH164" s="83"/>
      <c r="AI164" s="84"/>
      <c r="AJ164" s="63"/>
      <c r="AM164" s="57"/>
      <c r="AN164" s="58"/>
      <c r="AO164" s="58"/>
      <c r="AP164" s="59"/>
      <c r="AQ164" s="59"/>
      <c r="AS164" s="57"/>
      <c r="AT164" s="58"/>
      <c r="AU164" s="58" t="s">
        <v>161</v>
      </c>
      <c r="AV164" s="59">
        <f>AVERAGE(AV151:AV158)</f>
        <v>19.794999999999998</v>
      </c>
      <c r="AW164" s="59">
        <f>AVERAGE(AW151:AW158)</f>
        <v>5.2956249999999994</v>
      </c>
      <c r="BE164" s="57"/>
      <c r="BF164" s="58"/>
      <c r="BG164" s="58" t="s">
        <v>162</v>
      </c>
      <c r="BH164" s="59">
        <f>_xlfn.STDEV.S(BH151:BH160)</f>
        <v>1.278796309034399</v>
      </c>
      <c r="BI164" s="59">
        <f>_xlfn.STDEV.S(BI151:BI160)</f>
        <v>1.0289654999075528</v>
      </c>
    </row>
    <row r="165" spans="1:61" ht="20.100000000000001" customHeight="1">
      <c r="A165" s="22">
        <v>15</v>
      </c>
      <c r="B165" s="14" t="s">
        <v>31</v>
      </c>
      <c r="C165" s="14" t="s">
        <v>35</v>
      </c>
      <c r="D165" s="15" t="s">
        <v>29</v>
      </c>
      <c r="E165" s="16">
        <v>45394</v>
      </c>
      <c r="F165" s="17">
        <v>0.58333333333333337</v>
      </c>
      <c r="G165" s="39">
        <v>10.39</v>
      </c>
      <c r="H165" s="39">
        <v>5.64</v>
      </c>
      <c r="I165" s="101"/>
      <c r="J165" s="81"/>
      <c r="K165" s="81"/>
      <c r="L165" s="81"/>
      <c r="M165" s="81"/>
      <c r="N165" s="74"/>
      <c r="O165" s="74"/>
      <c r="P165" s="74"/>
      <c r="Q165" s="76">
        <v>44.4</v>
      </c>
      <c r="R165" s="76">
        <v>18.8</v>
      </c>
      <c r="S165" s="76">
        <v>17.5</v>
      </c>
      <c r="T165" s="76">
        <v>19.3</v>
      </c>
      <c r="U165" s="74">
        <f t="shared" si="8"/>
        <v>100</v>
      </c>
      <c r="V165" s="74"/>
      <c r="W165" s="74"/>
      <c r="X165" s="83"/>
      <c r="Y165" s="83"/>
      <c r="Z165" s="83"/>
      <c r="AA165" s="83"/>
      <c r="AB165" s="84"/>
      <c r="AC165" s="74"/>
      <c r="AD165" s="74"/>
      <c r="AE165" s="83"/>
      <c r="AF165" s="83"/>
      <c r="AG165" s="83"/>
      <c r="AH165" s="83"/>
      <c r="AI165" s="84"/>
      <c r="AJ165" s="63"/>
      <c r="AM165" s="57"/>
      <c r="AN165" s="58"/>
      <c r="AO165" s="58"/>
      <c r="AP165" s="59"/>
      <c r="AQ165" s="59"/>
      <c r="AS165" s="57"/>
      <c r="AT165" s="58"/>
      <c r="AU165" s="58" t="s">
        <v>162</v>
      </c>
      <c r="AV165" s="59">
        <f>_xlfn.STDEV.S(AV151:AV158)</f>
        <v>3.2607766384274761</v>
      </c>
      <c r="AW165" s="59">
        <f>_xlfn.STDEV.S(AW151:AW158)</f>
        <v>4.0307872658009201</v>
      </c>
    </row>
    <row r="166" spans="1:61" ht="20.100000000000001" customHeight="1">
      <c r="A166" s="31">
        <v>16</v>
      </c>
      <c r="B166" s="32" t="s">
        <v>38</v>
      </c>
      <c r="C166" s="32" t="s">
        <v>38</v>
      </c>
      <c r="D166" s="33" t="s">
        <v>39</v>
      </c>
      <c r="E166" s="42">
        <v>45394</v>
      </c>
      <c r="F166" s="34">
        <v>0.60763888888888895</v>
      </c>
      <c r="G166" s="41">
        <v>7.92</v>
      </c>
      <c r="H166" s="41">
        <v>4.59</v>
      </c>
      <c r="I166" s="101"/>
      <c r="J166" s="81"/>
      <c r="K166" s="81"/>
      <c r="L166" s="81"/>
      <c r="M166" s="81"/>
      <c r="N166" s="74"/>
      <c r="O166" s="74"/>
      <c r="P166" s="74"/>
      <c r="Q166" s="76">
        <v>36.9</v>
      </c>
      <c r="R166" s="76">
        <v>13.700000000000001</v>
      </c>
      <c r="S166" s="76">
        <v>20.200000000000003</v>
      </c>
      <c r="T166" s="76">
        <v>29.2</v>
      </c>
      <c r="U166" s="74">
        <f t="shared" si="8"/>
        <v>100.00000000000001</v>
      </c>
      <c r="V166" s="74"/>
      <c r="W166" s="74"/>
      <c r="X166" s="83"/>
      <c r="Y166" s="83"/>
      <c r="Z166" s="83"/>
      <c r="AA166" s="83"/>
      <c r="AB166" s="84"/>
      <c r="AC166" s="74"/>
      <c r="AD166" s="74"/>
      <c r="AE166" s="83"/>
      <c r="AF166" s="83"/>
      <c r="AG166" s="83"/>
      <c r="AH166" s="83"/>
      <c r="AI166" s="84"/>
      <c r="AJ166" s="63"/>
      <c r="AM166" s="57"/>
      <c r="AN166" s="58"/>
      <c r="AO166" s="58" t="s">
        <v>161</v>
      </c>
      <c r="AP166" s="59">
        <f>AVERAGE(AP151:AP162)</f>
        <v>13.3575</v>
      </c>
      <c r="AQ166" s="59">
        <f>AVERAGE(AQ151:AQ162)</f>
        <v>1.9608333333333334</v>
      </c>
    </row>
    <row r="167" spans="1:61" ht="20.100000000000001" customHeight="1">
      <c r="A167" s="31">
        <v>17</v>
      </c>
      <c r="B167" s="32" t="s">
        <v>38</v>
      </c>
      <c r="C167" s="32" t="s">
        <v>38</v>
      </c>
      <c r="D167" s="33" t="s">
        <v>41</v>
      </c>
      <c r="E167" s="42">
        <v>45393</v>
      </c>
      <c r="F167" s="34">
        <v>0.5625</v>
      </c>
      <c r="G167" s="41">
        <v>11.24</v>
      </c>
      <c r="H167" s="41">
        <v>5.97</v>
      </c>
      <c r="I167" s="101"/>
      <c r="J167" s="81"/>
      <c r="K167" s="81"/>
      <c r="L167" s="81"/>
      <c r="M167" s="81"/>
      <c r="N167" s="74"/>
      <c r="O167" s="74"/>
      <c r="P167" s="74"/>
      <c r="Q167" s="76">
        <v>45.2</v>
      </c>
      <c r="R167" s="76">
        <v>21</v>
      </c>
      <c r="S167" s="76">
        <v>16.900000000000002</v>
      </c>
      <c r="T167" s="76">
        <v>16.8</v>
      </c>
      <c r="U167" s="74">
        <f t="shared" si="8"/>
        <v>99.9</v>
      </c>
      <c r="V167" s="74"/>
      <c r="W167" s="74"/>
      <c r="X167" s="83"/>
      <c r="Y167" s="83"/>
      <c r="Z167" s="83"/>
      <c r="AA167" s="83"/>
      <c r="AB167" s="84"/>
      <c r="AC167" s="74"/>
      <c r="AD167" s="74"/>
      <c r="AE167" s="83"/>
      <c r="AF167" s="83"/>
      <c r="AG167" s="83"/>
      <c r="AH167" s="83"/>
      <c r="AI167" s="84"/>
      <c r="AJ167" s="63"/>
      <c r="AM167" s="57"/>
      <c r="AN167" s="58"/>
      <c r="AO167" s="58" t="s">
        <v>162</v>
      </c>
      <c r="AP167" s="59">
        <f>_xlfn.STDEV.S(AP151:AP162)</f>
        <v>1.9060865429174276</v>
      </c>
      <c r="AQ167" s="59">
        <f>_xlfn.STDEV.S(AQ151:AQ162)</f>
        <v>2.6869836360882551</v>
      </c>
    </row>
    <row r="168" spans="1:61" ht="20.100000000000001" customHeight="1">
      <c r="A168" s="31">
        <v>18</v>
      </c>
      <c r="B168" s="32" t="s">
        <v>38</v>
      </c>
      <c r="C168" s="32" t="s">
        <v>38</v>
      </c>
      <c r="D168" s="33" t="s">
        <v>42</v>
      </c>
      <c r="E168" s="42">
        <v>45393</v>
      </c>
      <c r="F168" s="34">
        <v>0.62847222222222221</v>
      </c>
      <c r="G168" s="41">
        <v>11.5</v>
      </c>
      <c r="H168" s="41">
        <v>5.45</v>
      </c>
      <c r="I168" s="101"/>
      <c r="J168" s="81"/>
      <c r="K168" s="81"/>
      <c r="L168" s="81"/>
      <c r="M168" s="81"/>
      <c r="N168" s="74"/>
      <c r="O168" s="74"/>
      <c r="P168" s="74"/>
      <c r="Q168" s="76">
        <v>46</v>
      </c>
      <c r="R168" s="76">
        <v>21.6</v>
      </c>
      <c r="S168" s="76">
        <v>15.2</v>
      </c>
      <c r="T168" s="76">
        <v>17.2</v>
      </c>
      <c r="U168" s="74">
        <f t="shared" si="8"/>
        <v>100</v>
      </c>
      <c r="V168" s="74"/>
      <c r="W168" s="74"/>
      <c r="X168" s="83"/>
      <c r="Y168" s="83"/>
      <c r="Z168" s="83"/>
      <c r="AA168" s="83"/>
      <c r="AB168" s="84"/>
      <c r="AC168" s="74"/>
      <c r="AD168" s="74"/>
      <c r="AE168" s="83"/>
      <c r="AF168" s="83"/>
      <c r="AG168" s="83"/>
      <c r="AH168" s="83"/>
      <c r="AI168" s="84"/>
      <c r="AJ168" s="63"/>
    </row>
    <row r="169" spans="1:61" ht="20.100000000000001" customHeight="1">
      <c r="A169" s="31">
        <v>19</v>
      </c>
      <c r="B169" s="32" t="s">
        <v>38</v>
      </c>
      <c r="C169" s="32" t="s">
        <v>43</v>
      </c>
      <c r="D169" s="33" t="s">
        <v>40</v>
      </c>
      <c r="E169" s="42">
        <v>45393</v>
      </c>
      <c r="F169" s="34">
        <v>0.56597222222222221</v>
      </c>
      <c r="G169" s="41">
        <v>12.27</v>
      </c>
      <c r="H169" s="41">
        <v>6.11</v>
      </c>
      <c r="I169" s="101"/>
      <c r="J169" s="81"/>
      <c r="K169" s="81"/>
      <c r="L169" s="81"/>
      <c r="M169" s="81"/>
      <c r="N169" s="74"/>
      <c r="O169" s="74"/>
      <c r="P169" s="74"/>
      <c r="Q169" s="76">
        <v>47.4</v>
      </c>
      <c r="R169" s="76">
        <v>23</v>
      </c>
      <c r="S169" s="76">
        <v>14.6</v>
      </c>
      <c r="T169" s="76">
        <v>15.1</v>
      </c>
      <c r="U169" s="74">
        <f t="shared" si="8"/>
        <v>100.1</v>
      </c>
      <c r="V169" s="74"/>
      <c r="W169" s="74"/>
      <c r="X169" s="83"/>
      <c r="Y169" s="83"/>
      <c r="Z169" s="83"/>
      <c r="AA169" s="83"/>
      <c r="AB169" s="84"/>
      <c r="AC169" s="74"/>
      <c r="AD169" s="74"/>
      <c r="AE169" s="83"/>
      <c r="AF169" s="83"/>
      <c r="AG169" s="83"/>
      <c r="AH169" s="83"/>
      <c r="AI169" s="84"/>
      <c r="AJ169" s="63"/>
    </row>
    <row r="170" spans="1:61" ht="20.100000000000001" customHeight="1">
      <c r="A170" s="31">
        <v>20</v>
      </c>
      <c r="B170" s="32" t="s">
        <v>38</v>
      </c>
      <c r="C170" s="32" t="s">
        <v>43</v>
      </c>
      <c r="D170" s="33" t="s">
        <v>44</v>
      </c>
      <c r="E170" s="42">
        <v>45393</v>
      </c>
      <c r="F170" s="34">
        <v>0.57291666666666663</v>
      </c>
      <c r="G170" s="41">
        <v>10.25</v>
      </c>
      <c r="H170" s="41">
        <v>7.37</v>
      </c>
      <c r="I170" s="101"/>
      <c r="J170" s="81"/>
      <c r="K170" s="81"/>
      <c r="L170" s="81"/>
      <c r="M170" s="81"/>
      <c r="N170" s="74"/>
      <c r="O170" s="74"/>
      <c r="P170" s="74"/>
      <c r="Q170" s="76">
        <v>41.199999999999996</v>
      </c>
      <c r="R170" s="76">
        <v>20.399999999999999</v>
      </c>
      <c r="S170" s="76">
        <v>22.7</v>
      </c>
      <c r="T170" s="76">
        <v>15.8</v>
      </c>
      <c r="U170" s="74">
        <f t="shared" si="8"/>
        <v>100.1</v>
      </c>
      <c r="V170" s="74"/>
      <c r="W170" s="74"/>
      <c r="X170" s="83"/>
      <c r="Y170" s="83"/>
      <c r="Z170" s="83"/>
      <c r="AA170" s="83"/>
      <c r="AB170" s="84"/>
      <c r="AC170" s="74"/>
      <c r="AD170" s="74"/>
      <c r="AE170" s="83"/>
      <c r="AF170" s="83"/>
      <c r="AG170" s="83"/>
      <c r="AH170" s="83"/>
      <c r="AI170" s="84"/>
      <c r="AJ170" s="63"/>
    </row>
    <row r="171" spans="1:61" ht="20.100000000000001" customHeight="1">
      <c r="A171" s="22">
        <v>21</v>
      </c>
      <c r="B171" s="14" t="s">
        <v>45</v>
      </c>
      <c r="C171" s="14" t="s">
        <v>45</v>
      </c>
      <c r="D171" s="15" t="s">
        <v>46</v>
      </c>
      <c r="E171" s="16">
        <v>45393</v>
      </c>
      <c r="F171" s="17">
        <v>0.44097222222222227</v>
      </c>
      <c r="G171" s="39">
        <v>4.84</v>
      </c>
      <c r="H171" s="39">
        <v>5.72</v>
      </c>
      <c r="I171" s="101"/>
      <c r="J171" s="81"/>
      <c r="K171" s="81"/>
      <c r="L171" s="81"/>
      <c r="M171" s="81"/>
      <c r="N171" s="74"/>
      <c r="O171" s="74"/>
      <c r="P171" s="74"/>
      <c r="Q171" s="76">
        <v>24.3</v>
      </c>
      <c r="R171" s="76">
        <v>9.1</v>
      </c>
      <c r="S171" s="76">
        <v>33.800000000000004</v>
      </c>
      <c r="T171" s="76">
        <v>32.800000000000004</v>
      </c>
      <c r="U171" s="74">
        <f t="shared" si="8"/>
        <v>100</v>
      </c>
      <c r="V171" s="74"/>
      <c r="W171" s="74"/>
      <c r="X171" s="83"/>
      <c r="Y171" s="83"/>
      <c r="Z171" s="83"/>
      <c r="AA171" s="83"/>
      <c r="AB171" s="84"/>
      <c r="AC171" s="74"/>
      <c r="AD171" s="74"/>
      <c r="AE171" s="83"/>
      <c r="AF171" s="83"/>
      <c r="AG171" s="83"/>
      <c r="AH171" s="83"/>
      <c r="AI171" s="84"/>
      <c r="AJ171" s="63"/>
    </row>
    <row r="172" spans="1:61" ht="20.100000000000001" customHeight="1">
      <c r="A172" s="22">
        <v>22</v>
      </c>
      <c r="B172" s="14" t="s">
        <v>45</v>
      </c>
      <c r="C172" s="14" t="s">
        <v>45</v>
      </c>
      <c r="D172" s="19" t="s">
        <v>47</v>
      </c>
      <c r="E172" s="16">
        <v>45393</v>
      </c>
      <c r="F172" s="20">
        <v>0.46180555555555558</v>
      </c>
      <c r="G172" s="40">
        <v>7.46</v>
      </c>
      <c r="H172" s="40">
        <v>3.75</v>
      </c>
      <c r="I172" s="101"/>
      <c r="J172" s="81"/>
      <c r="K172" s="81"/>
      <c r="L172" s="81"/>
      <c r="M172" s="81"/>
      <c r="N172" s="74"/>
      <c r="O172" s="74"/>
      <c r="P172" s="74"/>
      <c r="Q172" s="76">
        <v>35.5</v>
      </c>
      <c r="R172" s="76">
        <v>12.2</v>
      </c>
      <c r="S172" s="76">
        <v>18.8</v>
      </c>
      <c r="T172" s="76">
        <v>33.4</v>
      </c>
      <c r="U172" s="74">
        <f t="shared" si="8"/>
        <v>99.9</v>
      </c>
      <c r="V172" s="74"/>
      <c r="W172" s="74"/>
      <c r="X172" s="83"/>
      <c r="Y172" s="83"/>
      <c r="Z172" s="83"/>
      <c r="AA172" s="83"/>
      <c r="AB172" s="84"/>
      <c r="AC172" s="74"/>
      <c r="AD172" s="74"/>
      <c r="AE172" s="83"/>
      <c r="AF172" s="83"/>
      <c r="AG172" s="83"/>
      <c r="AH172" s="83"/>
      <c r="AI172" s="84"/>
      <c r="AJ172" s="63"/>
    </row>
    <row r="173" spans="1:61" ht="20.100000000000001" customHeight="1">
      <c r="A173" s="22">
        <v>23</v>
      </c>
      <c r="B173" s="14" t="s">
        <v>45</v>
      </c>
      <c r="C173" s="14" t="s">
        <v>45</v>
      </c>
      <c r="D173" s="19" t="s">
        <v>29</v>
      </c>
      <c r="E173" s="16">
        <v>45393</v>
      </c>
      <c r="F173" s="20">
        <v>0.47569444444444442</v>
      </c>
      <c r="G173" s="40">
        <v>7.95</v>
      </c>
      <c r="H173" s="40">
        <v>4.3499999999999996</v>
      </c>
      <c r="I173" s="101"/>
      <c r="J173" s="81"/>
      <c r="K173" s="81"/>
      <c r="L173" s="81"/>
      <c r="M173" s="81"/>
      <c r="N173" s="74"/>
      <c r="O173" s="74"/>
      <c r="P173" s="74"/>
      <c r="Q173" s="76">
        <v>37.299999999999997</v>
      </c>
      <c r="R173" s="76">
        <v>13.100000000000001</v>
      </c>
      <c r="S173" s="76">
        <v>19.900000000000002</v>
      </c>
      <c r="T173" s="76">
        <v>29.7</v>
      </c>
      <c r="U173" s="74">
        <f t="shared" si="8"/>
        <v>100</v>
      </c>
      <c r="V173" s="74"/>
      <c r="W173" s="74"/>
      <c r="X173" s="83"/>
      <c r="Y173" s="83"/>
      <c r="Z173" s="83"/>
      <c r="AA173" s="83"/>
      <c r="AB173" s="84"/>
      <c r="AC173" s="74"/>
      <c r="AD173" s="74"/>
      <c r="AE173" s="83"/>
      <c r="AF173" s="83"/>
      <c r="AG173" s="83"/>
      <c r="AH173" s="83"/>
      <c r="AI173" s="84"/>
      <c r="AJ173" s="63"/>
    </row>
    <row r="174" spans="1:61" ht="20.100000000000001" customHeight="1" thickBot="1">
      <c r="A174" s="46">
        <v>24</v>
      </c>
      <c r="B174" s="47" t="s">
        <v>45</v>
      </c>
      <c r="C174" s="47" t="s">
        <v>45</v>
      </c>
      <c r="D174" s="48" t="s">
        <v>48</v>
      </c>
      <c r="E174" s="49">
        <v>45393</v>
      </c>
      <c r="F174" s="50">
        <v>0.48958333333333331</v>
      </c>
      <c r="G174" s="53">
        <v>8.2100000000000009</v>
      </c>
      <c r="H174" s="53">
        <v>4.57</v>
      </c>
      <c r="I174" s="101"/>
      <c r="J174" s="81"/>
      <c r="K174" s="81"/>
      <c r="L174" s="81"/>
      <c r="M174" s="81"/>
      <c r="N174" s="74"/>
      <c r="O174" s="74"/>
      <c r="P174" s="74"/>
      <c r="Q174" s="76">
        <v>38.1</v>
      </c>
      <c r="R174" s="76">
        <v>14.299999999999999</v>
      </c>
      <c r="S174" s="76">
        <v>19.7</v>
      </c>
      <c r="T174" s="76">
        <v>27.900000000000002</v>
      </c>
      <c r="U174" s="74">
        <f t="shared" si="8"/>
        <v>100</v>
      </c>
      <c r="V174" s="74"/>
      <c r="W174" s="74"/>
      <c r="X174" s="83"/>
      <c r="Y174" s="83"/>
      <c r="Z174" s="83"/>
      <c r="AA174" s="83"/>
      <c r="AB174" s="84"/>
      <c r="AC174" s="74"/>
      <c r="AD174" s="74"/>
      <c r="AE174" s="83"/>
      <c r="AF174" s="83"/>
      <c r="AG174" s="83"/>
      <c r="AH174" s="83"/>
      <c r="AI174" s="84"/>
      <c r="AJ174" s="63"/>
    </row>
    <row r="175" spans="1:61" ht="20.100000000000001" customHeight="1"/>
    <row r="176" spans="1:61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</sheetData>
  <mergeCells count="30">
    <mergeCell ref="A147:F147"/>
    <mergeCell ref="A149:A150"/>
    <mergeCell ref="B149:B150"/>
    <mergeCell ref="C149:C150"/>
    <mergeCell ref="D149:D150"/>
    <mergeCell ref="E149:F149"/>
    <mergeCell ref="A112:F112"/>
    <mergeCell ref="A114:A115"/>
    <mergeCell ref="B114:B115"/>
    <mergeCell ref="C114:C115"/>
    <mergeCell ref="D114:D115"/>
    <mergeCell ref="E114:F114"/>
    <mergeCell ref="A77:F77"/>
    <mergeCell ref="A79:A80"/>
    <mergeCell ref="B79:B80"/>
    <mergeCell ref="C79:C80"/>
    <mergeCell ref="D79:D80"/>
    <mergeCell ref="E79:F79"/>
    <mergeCell ref="A42:F42"/>
    <mergeCell ref="A44:A45"/>
    <mergeCell ref="B44:B45"/>
    <mergeCell ref="C44:C45"/>
    <mergeCell ref="D44:D45"/>
    <mergeCell ref="E44:F44"/>
    <mergeCell ref="A7:F7"/>
    <mergeCell ref="A9:A10"/>
    <mergeCell ref="B9:B10"/>
    <mergeCell ref="C9:C10"/>
    <mergeCell ref="D9:D10"/>
    <mergeCell ref="E9:F9"/>
  </mergeCells>
  <phoneticPr fontId="1" type="noConversion"/>
  <conditionalFormatting sqref="X46:AB6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{A67EF726-93B9-48C5-98F8-095AA216F278}</x14:id>
        </ext>
      </extLst>
    </cfRule>
  </conditionalFormatting>
  <conditionalFormatting sqref="AE46:AI69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{6CBF9E7D-B355-4232-BD08-F6A5DE4E4446}</x14:id>
        </ext>
      </extLst>
    </cfRule>
  </conditionalFormatting>
  <conditionalFormatting sqref="X81:AB10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{F23A9E53-5A44-43B6-97CB-0DCE18A0B6F7}</x14:id>
        </ext>
      </extLst>
    </cfRule>
  </conditionalFormatting>
  <conditionalFormatting sqref="AE81:AI104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{F18FB6C3-D562-4A01-B2EE-05228A3C2F9D}</x14:id>
        </ext>
      </extLst>
    </cfRule>
  </conditionalFormatting>
  <conditionalFormatting sqref="X116:AB13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{2329609D-58D7-4DC8-B4ED-6093E4C5914D}</x14:id>
        </ext>
      </extLst>
    </cfRule>
  </conditionalFormatting>
  <conditionalFormatting sqref="AE116:AI139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{BF01C70D-23E4-424A-94C3-6558EBCD7A83}</x14:id>
        </ext>
      </extLst>
    </cfRule>
  </conditionalFormatting>
  <conditionalFormatting sqref="X11:AB3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{00D773C1-E66B-4680-ADAE-154C4735ACB0}</x14:id>
        </ext>
      </extLst>
    </cfRule>
  </conditionalFormatting>
  <conditionalFormatting sqref="AE11:AI3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{D028D70B-0533-4753-8755-59B4DC842D84}</x14:id>
        </ext>
      </extLst>
    </cfRule>
  </conditionalFormatting>
  <conditionalFormatting sqref="X151:AA17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{47C0E26A-ADF6-4678-B8D8-76CEE0EE626C}</x14:id>
        </ext>
      </extLst>
    </cfRule>
  </conditionalFormatting>
  <conditionalFormatting sqref="AE151:AH17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{58ACE6B3-03C5-460C-B8E2-B6B488EF76B6}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EF726-93B9-48C5-98F8-095AA216F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X46:AB69</xm:sqref>
        </x14:conditionalFormatting>
        <x14:conditionalFormatting xmlns:xm="http://schemas.microsoft.com/office/excel/2006/main">
          <x14:cfRule type="dataBar" id="{6CBF9E7D-B355-4232-BD08-F6A5DE4E444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AE46:AI69</xm:sqref>
        </x14:conditionalFormatting>
        <x14:conditionalFormatting xmlns:xm="http://schemas.microsoft.com/office/excel/2006/main">
          <x14:cfRule type="dataBar" id="{F23A9E53-5A44-43B6-97CB-0DCE18A0B6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X81:AB104</xm:sqref>
        </x14:conditionalFormatting>
        <x14:conditionalFormatting xmlns:xm="http://schemas.microsoft.com/office/excel/2006/main">
          <x14:cfRule type="dataBar" id="{F18FB6C3-D562-4A01-B2EE-05228A3C2F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AE81:AI104</xm:sqref>
        </x14:conditionalFormatting>
        <x14:conditionalFormatting xmlns:xm="http://schemas.microsoft.com/office/excel/2006/main">
          <x14:cfRule type="dataBar" id="{2329609D-58D7-4DC8-B4ED-6093E4C59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X116:AB139</xm:sqref>
        </x14:conditionalFormatting>
        <x14:conditionalFormatting xmlns:xm="http://schemas.microsoft.com/office/excel/2006/main">
          <x14:cfRule type="dataBar" id="{BF01C70D-23E4-424A-94C3-6558EBCD7A8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AE116:AI139</xm:sqref>
        </x14:conditionalFormatting>
        <x14:conditionalFormatting xmlns:xm="http://schemas.microsoft.com/office/excel/2006/main">
          <x14:cfRule type="dataBar" id="{00D773C1-E66B-4680-ADAE-154C4735A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X11:AB34</xm:sqref>
        </x14:conditionalFormatting>
        <x14:conditionalFormatting xmlns:xm="http://schemas.microsoft.com/office/excel/2006/main">
          <x14:cfRule type="dataBar" id="{D028D70B-0533-4753-8755-59B4DC842D8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AE11:AI34</xm:sqref>
        </x14:conditionalFormatting>
        <x14:conditionalFormatting xmlns:xm="http://schemas.microsoft.com/office/excel/2006/main">
          <x14:cfRule type="dataBar" id="{47C0E26A-ADF6-4678-B8D8-76CEE0EE6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X151:AA174</xm:sqref>
        </x14:conditionalFormatting>
        <x14:conditionalFormatting xmlns:xm="http://schemas.microsoft.com/office/excel/2006/main">
          <x14:cfRule type="dataBar" id="{58ACE6B3-03C5-460C-B8E2-B6B488EF76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AE151:AH174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분석 결과 정리중(계속)</vt:lpstr>
      <vt:lpstr>회의용 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Hi</cp:lastModifiedBy>
  <cp:lastPrinted>2026-04-16T05:28:16Z</cp:lastPrinted>
  <dcterms:created xsi:type="dcterms:W3CDTF">2018-05-02T05:09:56Z</dcterms:created>
  <dcterms:modified xsi:type="dcterms:W3CDTF">2026-05-05T05:23:22Z</dcterms:modified>
</cp:coreProperties>
</file>