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업무관련자료\2026년 업무자료\2026~2027년 조사연구사업 관련(안정동위원소, 국가 수질측정망 적용)\2026년 연구사업 관련\오염원 기여율 산정 모델 비교\EMMTE, MixSIAR 비교\"/>
    </mc:Choice>
  </mc:AlternateContent>
  <bookViews>
    <workbookView xWindow="28680" yWindow="-120" windowWidth="29040" windowHeight="15720" tabRatio="737" firstSheet="4" activeTab="4"/>
  </bookViews>
  <sheets>
    <sheet name="4월" sheetId="37" r:id="rId1"/>
    <sheet name="6월" sheetId="42" r:id="rId2"/>
    <sheet name="8월" sheetId="43" r:id="rId3"/>
    <sheet name="10월" sheetId="48" r:id="rId4"/>
    <sheet name="9월 19일_기여율 결과 포함" sheetId="44" r:id="rId5"/>
    <sheet name="summary_statistics_MixSIAR_0919" sheetId="71" r:id="rId6"/>
    <sheet name="diagnostics_MixSIAR_0919(long)" sheetId="72" r:id="rId7"/>
    <sheet name="9월 20일 A" sheetId="45" r:id="rId8"/>
    <sheet name="9월 20일 P" sheetId="46" r:id="rId9"/>
    <sheet name="9월 23일_기여율 결과 포함" sheetId="47" r:id="rId10"/>
    <sheet name="summary_statistics_MixSIAR_0923" sheetId="69" r:id="rId11"/>
    <sheet name="diagnostics_MixSIAR_0923(long)" sheetId="70" r:id="rId12"/>
    <sheet name="오염원(하수)" sheetId="55" r:id="rId13"/>
    <sheet name="오염원(퇴비)" sheetId="56" r:id="rId14"/>
    <sheet name="오염원(비료)" sheetId="57" r:id="rId15"/>
    <sheet name="오염원(강우)" sheetId="58" r:id="rId16"/>
    <sheet name="오염원(토양_산림)" sheetId="59" r:id="rId17"/>
  </sheets>
  <definedNames>
    <definedName name="_xlnm._FilterDatabase" localSheetId="15" hidden="1">'오염원(강우)'!$A$1:$E$22</definedName>
    <definedName name="_xlnm._FilterDatabase" localSheetId="14" hidden="1">'오염원(비료)'!$A$1:$E$22</definedName>
    <definedName name="_xlnm._FilterDatabase" localSheetId="16" hidden="1">'오염원(토양_산림)'!$A$1:$E$19</definedName>
    <definedName name="_xlnm._FilterDatabase" localSheetId="13" hidden="1">'오염원(퇴비)'!$A$1:$E$22</definedName>
    <definedName name="_xlnm._FilterDatabase" localSheetId="12" hidden="1">'오염원(하수)'!$A$1:$E$22</definedName>
    <definedName name="_xlnm.Print_Area" localSheetId="0">'4월'!#REF!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6" i="44" l="1"/>
  <c r="AL7" i="44"/>
  <c r="AL8" i="44"/>
  <c r="AL9" i="44"/>
  <c r="AL10" i="44"/>
  <c r="AL11" i="44"/>
  <c r="AL12" i="44"/>
  <c r="AL13" i="44"/>
  <c r="AL14" i="44"/>
  <c r="AL15" i="44"/>
  <c r="AL16" i="44"/>
  <c r="AL17" i="44"/>
  <c r="AL18" i="44"/>
  <c r="AL19" i="44"/>
  <c r="AL20" i="44"/>
  <c r="AL21" i="44"/>
  <c r="AL22" i="44"/>
  <c r="AL23" i="44"/>
  <c r="AL24" i="44"/>
  <c r="AL25" i="44"/>
  <c r="AL26" i="44"/>
  <c r="AL27" i="44"/>
  <c r="AL28" i="44"/>
  <c r="AL5" i="44"/>
  <c r="AE6" i="44" l="1"/>
  <c r="AE7" i="44"/>
  <c r="AE8" i="44"/>
  <c r="AE9" i="44"/>
  <c r="AE10" i="44"/>
  <c r="AE11" i="44"/>
  <c r="AE12" i="44"/>
  <c r="AE13" i="44"/>
  <c r="AE14" i="44"/>
  <c r="AE15" i="44"/>
  <c r="AE16" i="44"/>
  <c r="AE17" i="44"/>
  <c r="AE18" i="44"/>
  <c r="AE19" i="44"/>
  <c r="AE20" i="44"/>
  <c r="AE21" i="44"/>
  <c r="AE22" i="44"/>
  <c r="AE23" i="44"/>
  <c r="AE24" i="44"/>
  <c r="AE25" i="44"/>
  <c r="AE26" i="44"/>
  <c r="AE27" i="44"/>
  <c r="AE28" i="44"/>
  <c r="AE5" i="44"/>
  <c r="AL6" i="47"/>
  <c r="AL7" i="47"/>
  <c r="AL8" i="47"/>
  <c r="AL9" i="47"/>
  <c r="AL10" i="47"/>
  <c r="AL11" i="47"/>
  <c r="AL12" i="47"/>
  <c r="AL13" i="47"/>
  <c r="AL14" i="47"/>
  <c r="AL15" i="47"/>
  <c r="AL16" i="47"/>
  <c r="AL17" i="47"/>
  <c r="AL18" i="47"/>
  <c r="AL19" i="47"/>
  <c r="AL20" i="47"/>
  <c r="AL21" i="47"/>
  <c r="AL22" i="47"/>
  <c r="AL23" i="47"/>
  <c r="AL24" i="47"/>
  <c r="AL25" i="47"/>
  <c r="AL26" i="47"/>
  <c r="AL27" i="47"/>
  <c r="AL28" i="47"/>
  <c r="AL5" i="47"/>
  <c r="AE6" i="47" l="1"/>
  <c r="AE7" i="47"/>
  <c r="AE8" i="47"/>
  <c r="AE9" i="47"/>
  <c r="AE10" i="47"/>
  <c r="AE11" i="47"/>
  <c r="AE12" i="47"/>
  <c r="AE13" i="47"/>
  <c r="AE14" i="47"/>
  <c r="AE15" i="47"/>
  <c r="AE16" i="47"/>
  <c r="AE17" i="47"/>
  <c r="AE18" i="47"/>
  <c r="AE19" i="47"/>
  <c r="AE20" i="47"/>
  <c r="AE21" i="47"/>
  <c r="AE22" i="47"/>
  <c r="AE23" i="47"/>
  <c r="AE24" i="47"/>
  <c r="AE25" i="47"/>
  <c r="AE26" i="47"/>
  <c r="AE27" i="47"/>
  <c r="AE28" i="47"/>
  <c r="AE5" i="47"/>
  <c r="E16" i="55"/>
  <c r="D16" i="55"/>
</calcChain>
</file>

<file path=xl/sharedStrings.xml><?xml version="1.0" encoding="utf-8"?>
<sst xmlns="http://schemas.openxmlformats.org/spreadsheetml/2006/main" count="2552" uniqueCount="1328">
  <si>
    <t>채수일</t>
    <phoneticPr fontId="2" type="noConversion"/>
  </si>
  <si>
    <t>No</t>
    <phoneticPr fontId="2" type="noConversion"/>
  </si>
  <si>
    <r>
      <t>NH</t>
    </r>
    <r>
      <rPr>
        <b/>
        <vertAlign val="subscript"/>
        <sz val="12"/>
        <rFont val="휴먼명조"/>
        <family val="3"/>
        <charset val="129"/>
      </rPr>
      <t>4</t>
    </r>
    <r>
      <rPr>
        <b/>
        <sz val="12"/>
        <rFont val="휴먼명조"/>
        <family val="3"/>
        <charset val="129"/>
      </rPr>
      <t>-N</t>
    </r>
    <phoneticPr fontId="2" type="noConversion"/>
  </si>
  <si>
    <r>
      <t>NO</t>
    </r>
    <r>
      <rPr>
        <b/>
        <vertAlign val="subscript"/>
        <sz val="12"/>
        <rFont val="휴먼명조"/>
        <family val="3"/>
        <charset val="129"/>
      </rPr>
      <t>3</t>
    </r>
    <r>
      <rPr>
        <b/>
        <sz val="12"/>
        <rFont val="휴먼명조"/>
        <family val="3"/>
        <charset val="129"/>
      </rPr>
      <t>-N</t>
    </r>
    <phoneticPr fontId="2" type="noConversion"/>
  </si>
  <si>
    <r>
      <t>Cl</t>
    </r>
    <r>
      <rPr>
        <b/>
        <vertAlign val="superscript"/>
        <sz val="12"/>
        <rFont val="휴먼명조"/>
        <family val="3"/>
        <charset val="129"/>
      </rPr>
      <t>-</t>
    </r>
    <phoneticPr fontId="2" type="noConversion"/>
  </si>
  <si>
    <t>대촌천</t>
    <phoneticPr fontId="1" type="noConversion"/>
  </si>
  <si>
    <t>DTN</t>
    <phoneticPr fontId="2" type="noConversion"/>
  </si>
  <si>
    <t>조사지점</t>
    <phoneticPr fontId="2" type="noConversion"/>
  </si>
  <si>
    <t>채수일시</t>
    <phoneticPr fontId="2" type="noConversion"/>
  </si>
  <si>
    <t>현장측정결과</t>
    <phoneticPr fontId="1" type="noConversion"/>
  </si>
  <si>
    <t>Memo</t>
    <phoneticPr fontId="2" type="noConversion"/>
  </si>
  <si>
    <t>채수시각</t>
    <phoneticPr fontId="2" type="noConversion"/>
  </si>
  <si>
    <t>날씨</t>
    <phoneticPr fontId="2" type="noConversion"/>
  </si>
  <si>
    <t>수온</t>
    <phoneticPr fontId="2" type="noConversion"/>
  </si>
  <si>
    <t>pH</t>
    <phoneticPr fontId="2" type="noConversion"/>
  </si>
  <si>
    <t>DO</t>
    <phoneticPr fontId="2" type="noConversion"/>
  </si>
  <si>
    <t>EC</t>
    <phoneticPr fontId="2" type="noConversion"/>
  </si>
  <si>
    <t>광주천</t>
    <phoneticPr fontId="1" type="noConversion"/>
  </si>
  <si>
    <t>용산교</t>
    <phoneticPr fontId="1" type="noConversion"/>
  </si>
  <si>
    <t>맑음</t>
    <phoneticPr fontId="1" type="noConversion"/>
  </si>
  <si>
    <t>제2광천교</t>
    <phoneticPr fontId="1" type="noConversion"/>
  </si>
  <si>
    <t>유촌교</t>
    <phoneticPr fontId="1" type="noConversion"/>
  </si>
  <si>
    <t>치평교</t>
    <phoneticPr fontId="1" type="noConversion"/>
  </si>
  <si>
    <t>장성천</t>
    <phoneticPr fontId="1" type="noConversion"/>
  </si>
  <si>
    <t>해등교</t>
    <phoneticPr fontId="1" type="noConversion"/>
  </si>
  <si>
    <t>장성교</t>
    <phoneticPr fontId="1" type="noConversion"/>
  </si>
  <si>
    <t>구석현교</t>
    <phoneticPr fontId="1" type="noConversion"/>
  </si>
  <si>
    <t>감정천</t>
    <phoneticPr fontId="1" type="noConversion"/>
  </si>
  <si>
    <t>복암제(새마을교)</t>
    <phoneticPr fontId="1" type="noConversion"/>
  </si>
  <si>
    <t>새마을교</t>
    <phoneticPr fontId="1" type="noConversion"/>
  </si>
  <si>
    <t>학산교</t>
    <phoneticPr fontId="1" type="noConversion"/>
  </si>
  <si>
    <t>지석천</t>
    <phoneticPr fontId="1" type="noConversion"/>
  </si>
  <si>
    <t>지석교</t>
    <phoneticPr fontId="1" type="noConversion"/>
  </si>
  <si>
    <t>덕례교 인근</t>
    <phoneticPr fontId="1" type="noConversion"/>
  </si>
  <si>
    <t>신가교</t>
    <phoneticPr fontId="1" type="noConversion"/>
  </si>
  <si>
    <t>구치천</t>
    <phoneticPr fontId="1" type="noConversion"/>
  </si>
  <si>
    <t>상류(새마을교)</t>
    <phoneticPr fontId="1" type="noConversion"/>
  </si>
  <si>
    <t>맑음</t>
  </si>
  <si>
    <t>영산천</t>
    <phoneticPr fontId="1" type="noConversion"/>
  </si>
  <si>
    <t>연포교</t>
    <phoneticPr fontId="1" type="noConversion"/>
  </si>
  <si>
    <t>죽촌교</t>
    <phoneticPr fontId="1" type="noConversion"/>
  </si>
  <si>
    <t>신천교</t>
    <phoneticPr fontId="1" type="noConversion"/>
  </si>
  <si>
    <t>영산강자전거길</t>
    <phoneticPr fontId="1" type="noConversion"/>
  </si>
  <si>
    <t>월산천</t>
    <phoneticPr fontId="1" type="noConversion"/>
  </si>
  <si>
    <t>춘정교</t>
    <phoneticPr fontId="1" type="noConversion"/>
  </si>
  <si>
    <t>만봉천</t>
    <phoneticPr fontId="1" type="noConversion"/>
  </si>
  <si>
    <t>만봉1교</t>
    <phoneticPr fontId="1" type="noConversion"/>
  </si>
  <si>
    <t>송죽교</t>
    <phoneticPr fontId="1" type="noConversion"/>
  </si>
  <si>
    <t>양곡교</t>
    <phoneticPr fontId="1" type="noConversion"/>
  </si>
  <si>
    <t>빛가람 방류수</t>
  </si>
  <si>
    <t>2024년 조사연구사업 4월</t>
    <phoneticPr fontId="1" type="noConversion"/>
  </si>
  <si>
    <t>DON</t>
    <phoneticPr fontId="2" type="noConversion"/>
  </si>
  <si>
    <r>
      <t>NO</t>
    </r>
    <r>
      <rPr>
        <b/>
        <vertAlign val="subscript"/>
        <sz val="12"/>
        <rFont val="휴먼명조"/>
        <charset val="129"/>
      </rPr>
      <t>2</t>
    </r>
    <r>
      <rPr>
        <b/>
        <sz val="12"/>
        <rFont val="휴먼명조"/>
        <family val="3"/>
        <charset val="129"/>
      </rPr>
      <t>-N</t>
    </r>
    <phoneticPr fontId="2" type="noConversion"/>
  </si>
  <si>
    <t>DOC</t>
    <phoneticPr fontId="2" type="noConversion"/>
  </si>
  <si>
    <t>DTP</t>
    <phoneticPr fontId="2" type="noConversion"/>
  </si>
  <si>
    <r>
      <t>PO</t>
    </r>
    <r>
      <rPr>
        <b/>
        <vertAlign val="subscript"/>
        <sz val="12"/>
        <rFont val="휴먼명조"/>
        <charset val="129"/>
      </rPr>
      <t>4</t>
    </r>
    <r>
      <rPr>
        <b/>
        <sz val="12"/>
        <rFont val="휴먼명조"/>
        <family val="3"/>
        <charset val="129"/>
      </rPr>
      <t>-P</t>
    </r>
    <phoneticPr fontId="2" type="noConversion"/>
  </si>
  <si>
    <t>수질항목 분석결과</t>
    <phoneticPr fontId="1" type="noConversion"/>
  </si>
  <si>
    <t>광주천</t>
    <phoneticPr fontId="1" type="noConversion"/>
  </si>
  <si>
    <t>장성천</t>
    <phoneticPr fontId="1" type="noConversion"/>
  </si>
  <si>
    <t>지석천</t>
    <phoneticPr fontId="1" type="noConversion"/>
  </si>
  <si>
    <t>영산천</t>
    <phoneticPr fontId="1" type="noConversion"/>
  </si>
  <si>
    <t>만봉천</t>
    <phoneticPr fontId="1" type="noConversion"/>
  </si>
  <si>
    <t>하천명</t>
    <phoneticPr fontId="1" type="noConversion"/>
  </si>
  <si>
    <t>지류명</t>
    <phoneticPr fontId="1" type="noConversion"/>
  </si>
  <si>
    <r>
      <t>Cl</t>
    </r>
    <r>
      <rPr>
        <b/>
        <vertAlign val="superscript"/>
        <sz val="12"/>
        <color rgb="FFFF0000"/>
        <rFont val="휴먼명조"/>
        <family val="3"/>
        <charset val="129"/>
      </rPr>
      <t>-</t>
    </r>
    <phoneticPr fontId="2" type="noConversion"/>
  </si>
  <si>
    <t>2024년 조사연구사업 6월</t>
    <phoneticPr fontId="1" type="noConversion"/>
  </si>
  <si>
    <t>n.a.</t>
  </si>
  <si>
    <t>2024년 조사연구사업 8월</t>
    <phoneticPr fontId="1" type="noConversion"/>
  </si>
  <si>
    <t>복암제 앞</t>
    <phoneticPr fontId="1" type="noConversion"/>
  </si>
  <si>
    <t>덕례교</t>
    <phoneticPr fontId="1" type="noConversion"/>
  </si>
  <si>
    <t>2024년 조사연구사업 10월</t>
    <phoneticPr fontId="1" type="noConversion"/>
  </si>
  <si>
    <t>2024년 조사연구사업 9월 강우기(전)</t>
    <phoneticPr fontId="1" type="noConversion"/>
  </si>
  <si>
    <t>2024년 조사연구사업 9월 강우기(중-오전)</t>
    <phoneticPr fontId="1" type="noConversion"/>
  </si>
  <si>
    <t>2024년 조사연구사업 9월 강우기(중-오후)</t>
    <phoneticPr fontId="1" type="noConversion"/>
  </si>
  <si>
    <t>2024년 조사연구사업 9월 강우기(후)</t>
    <phoneticPr fontId="1" type="noConversion"/>
  </si>
  <si>
    <t>B</t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</si>
  <si>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2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</si>
  <si>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2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</si>
  <si>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2" type="noConversion"/>
  </si>
  <si>
    <t>n/a</t>
  </si>
  <si>
    <t>비</t>
  </si>
  <si>
    <t>흐림</t>
  </si>
  <si>
    <t>EM-30</t>
  </si>
  <si>
    <t>EM-07</t>
  </si>
  <si>
    <t>광주천</t>
  </si>
  <si>
    <t>지석천</t>
  </si>
  <si>
    <t>만봉천</t>
  </si>
  <si>
    <t>EM-03</t>
  </si>
  <si>
    <t>장성천</t>
  </si>
  <si>
    <t>감정천 퇴비유출수</t>
  </si>
  <si>
    <t>EM-04</t>
  </si>
  <si>
    <t>장성천 산림유출수</t>
  </si>
  <si>
    <t>EM-05</t>
  </si>
  <si>
    <t>산포천 논배수로</t>
  </si>
  <si>
    <t>EM-06</t>
  </si>
  <si>
    <t>증심사천 방류수</t>
  </si>
  <si>
    <t>신안천 방류수</t>
  </si>
  <si>
    <t>EM-15</t>
  </si>
  <si>
    <t>광주천 산림유출수</t>
  </si>
  <si>
    <t>신안천방류수</t>
  </si>
  <si>
    <t>내정마을방류수</t>
  </si>
  <si>
    <t>광주천 부숙퇴비</t>
  </si>
  <si>
    <t>EM16</t>
  </si>
  <si>
    <t>EM13</t>
  </si>
  <si>
    <t>대촌천 논토양1</t>
  </si>
  <si>
    <t>EM19</t>
  </si>
  <si>
    <t>광주천 산림토(대나무)</t>
  </si>
  <si>
    <t>EM21</t>
  </si>
  <si>
    <t>EM23</t>
  </si>
  <si>
    <t>EM24</t>
  </si>
  <si>
    <t>EM27</t>
  </si>
  <si>
    <t>EM33</t>
  </si>
  <si>
    <t>EM34</t>
  </si>
  <si>
    <t>EM43</t>
  </si>
  <si>
    <t>EM45</t>
  </si>
  <si>
    <t>EM47</t>
  </si>
  <si>
    <t>광주천 논토양</t>
  </si>
  <si>
    <t>만봉천 논토양</t>
  </si>
  <si>
    <t>만봉천 부숙퇴비(소)</t>
  </si>
  <si>
    <t>영산천 부숙퇴비(소)</t>
  </si>
  <si>
    <t>영산천 논토양</t>
  </si>
  <si>
    <t>돈분퇴비</t>
  </si>
  <si>
    <t>승가교 퇴비(소)</t>
  </si>
  <si>
    <t>남평퇴비</t>
  </si>
  <si>
    <t>n.a.</t>
    <phoneticPr fontId="1" type="noConversion"/>
  </si>
  <si>
    <r>
      <t>NH</t>
    </r>
    <r>
      <rPr>
        <b/>
        <vertAlign val="subscript"/>
        <sz val="12"/>
        <color theme="1"/>
        <rFont val="휴먼명조"/>
        <family val="3"/>
        <charset val="129"/>
      </rPr>
      <t>4</t>
    </r>
    <r>
      <rPr>
        <b/>
        <sz val="12"/>
        <color theme="1"/>
        <rFont val="휴먼명조"/>
        <family val="3"/>
        <charset val="129"/>
      </rPr>
      <t>-N</t>
    </r>
    <phoneticPr fontId="2" type="noConversion"/>
  </si>
  <si>
    <r>
      <t>NO</t>
    </r>
    <r>
      <rPr>
        <b/>
        <vertAlign val="subscript"/>
        <sz val="12"/>
        <color theme="1"/>
        <rFont val="휴먼명조"/>
        <family val="3"/>
        <charset val="129"/>
      </rPr>
      <t>3</t>
    </r>
    <r>
      <rPr>
        <b/>
        <sz val="12"/>
        <color theme="1"/>
        <rFont val="휴먼명조"/>
        <family val="3"/>
        <charset val="129"/>
      </rPr>
      <t>-N</t>
    </r>
    <phoneticPr fontId="2" type="noConversion"/>
  </si>
  <si>
    <r>
      <t>NO</t>
    </r>
    <r>
      <rPr>
        <b/>
        <vertAlign val="subscript"/>
        <sz val="12"/>
        <color theme="1"/>
        <rFont val="휴먼명조"/>
        <family val="3"/>
        <charset val="129"/>
      </rPr>
      <t>2</t>
    </r>
    <r>
      <rPr>
        <b/>
        <sz val="12"/>
        <color theme="1"/>
        <rFont val="휴먼명조"/>
        <family val="3"/>
        <charset val="129"/>
      </rPr>
      <t>-N</t>
    </r>
    <phoneticPr fontId="2" type="noConversion"/>
  </si>
  <si>
    <r>
      <t>PO</t>
    </r>
    <r>
      <rPr>
        <b/>
        <vertAlign val="subscript"/>
        <sz val="12"/>
        <color theme="1"/>
        <rFont val="휴먼명조"/>
        <family val="3"/>
        <charset val="129"/>
      </rPr>
      <t>4</t>
    </r>
    <r>
      <rPr>
        <b/>
        <sz val="12"/>
        <color theme="1"/>
        <rFont val="휴먼명조"/>
        <family val="3"/>
        <charset val="129"/>
      </rPr>
      <t>-P</t>
    </r>
    <phoneticPr fontId="2" type="noConversion"/>
  </si>
  <si>
    <r>
      <t>Cl</t>
    </r>
    <r>
      <rPr>
        <b/>
        <vertAlign val="superscript"/>
        <sz val="12"/>
        <color theme="1"/>
        <rFont val="휴먼명조"/>
        <family val="3"/>
        <charset val="129"/>
      </rPr>
      <t>-</t>
    </r>
    <phoneticPr fontId="2" type="noConversion"/>
  </si>
  <si>
    <r>
      <rPr>
        <b/>
        <vertAlign val="superscript"/>
        <sz val="12"/>
        <color theme="1"/>
        <rFont val="휴먼명조"/>
        <family val="3"/>
        <charset val="129"/>
      </rPr>
      <t>15</t>
    </r>
    <r>
      <rPr>
        <b/>
        <sz val="12"/>
        <color theme="1"/>
        <rFont val="휴먼명조"/>
        <family val="3"/>
        <charset val="129"/>
      </rPr>
      <t>N</t>
    </r>
    <phoneticPr fontId="2" type="noConversion"/>
  </si>
  <si>
    <t>B</t>
    <phoneticPr fontId="2" type="noConversion"/>
  </si>
  <si>
    <r>
      <rPr>
        <b/>
        <vertAlign val="superscript"/>
        <sz val="12"/>
        <color theme="1"/>
        <rFont val="휴먼명조"/>
        <family val="3"/>
        <charset val="129"/>
      </rPr>
      <t>18</t>
    </r>
    <r>
      <rPr>
        <b/>
        <sz val="12"/>
        <color theme="1"/>
        <rFont val="휴먼명조"/>
        <family val="3"/>
        <charset val="129"/>
      </rPr>
      <t>O</t>
    </r>
    <phoneticPr fontId="2" type="noConversion"/>
  </si>
  <si>
    <t>비</t>
    <phoneticPr fontId="1" type="noConversion"/>
  </si>
  <si>
    <t>흐림</t>
    <phoneticPr fontId="1" type="noConversion"/>
  </si>
  <si>
    <t>n.a</t>
    <phoneticPr fontId="2" type="noConversion"/>
  </si>
  <si>
    <t>영산천</t>
  </si>
  <si>
    <t>EM02</t>
  </si>
  <si>
    <t>EM-02</t>
  </si>
  <si>
    <t>빛가람 수질복원센터 방류수</t>
  </si>
  <si>
    <t>ID</t>
    <phoneticPr fontId="44" type="noConversion"/>
  </si>
  <si>
    <t>하천명</t>
    <phoneticPr fontId="44" type="noConversion"/>
  </si>
  <si>
    <t>채수지점</t>
    <phoneticPr fontId="45" type="noConversion"/>
  </si>
  <si>
    <r>
      <rPr>
        <b/>
        <vertAlign val="superscript"/>
        <sz val="10"/>
        <rFont val="맑은 고딕"/>
        <family val="3"/>
        <charset val="129"/>
        <scheme val="minor"/>
      </rPr>
      <t>15</t>
    </r>
    <r>
      <rPr>
        <b/>
        <sz val="10"/>
        <rFont val="맑은 고딕"/>
        <family val="3"/>
        <charset val="129"/>
        <scheme val="minor"/>
      </rPr>
      <t>N</t>
    </r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</si>
  <si>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</si>
  <si>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  <phoneticPr fontId="1" type="noConversion"/>
  </si>
  <si>
    <t>비고</t>
    <phoneticPr fontId="1" type="noConversion"/>
  </si>
  <si>
    <t>EM-18</t>
  </si>
  <si>
    <t>강우(빗물)</t>
  </si>
  <si>
    <t>EM-20</t>
  </si>
  <si>
    <t>산림</t>
  </si>
  <si>
    <t>동화호 상류01</t>
  </si>
  <si>
    <t>EM-21</t>
  </si>
  <si>
    <t>동화호 상류02</t>
  </si>
  <si>
    <t>EM-22</t>
  </si>
  <si>
    <t>장남호 상류</t>
  </si>
  <si>
    <t>EM-23</t>
  </si>
  <si>
    <t>동화천 상류</t>
  </si>
  <si>
    <t>EM-24</t>
  </si>
  <si>
    <t>오수천 상류</t>
  </si>
  <si>
    <t>EM-25</t>
  </si>
  <si>
    <t>EM42</t>
  </si>
  <si>
    <t>EM44</t>
  </si>
  <si>
    <t>비료</t>
  </si>
  <si>
    <t>복합비료(밭에 주로 사용)</t>
  </si>
  <si>
    <t>복합비료(논에 주로 사용)</t>
  </si>
  <si>
    <t>EM-08</t>
  </si>
  <si>
    <t>산포하수처리장 방류수</t>
  </si>
  <si>
    <t>JS-82-20B</t>
  </si>
  <si>
    <t>화순천 하수처리장 방류수</t>
  </si>
  <si>
    <t>JS-92-9B</t>
  </si>
  <si>
    <t>마을하수처리장 방류수</t>
  </si>
  <si>
    <t>JS-10-20B</t>
  </si>
  <si>
    <t>JS-EM-M5</t>
  </si>
  <si>
    <t>추동천 퇴비</t>
  </si>
  <si>
    <t>EM-40</t>
  </si>
  <si>
    <t>강우시료</t>
  </si>
  <si>
    <t>장성천 논토양</t>
  </si>
  <si>
    <t>avg</t>
    <phoneticPr fontId="1" type="noConversion"/>
  </si>
  <si>
    <t>sewage</t>
    <phoneticPr fontId="1" type="noConversion"/>
  </si>
  <si>
    <t>manure</t>
    <phoneticPr fontId="1" type="noConversion"/>
  </si>
  <si>
    <t>fertilizer</t>
    <phoneticPr fontId="1" type="noConversion"/>
  </si>
  <si>
    <t>rain</t>
    <phoneticPr fontId="1" type="noConversion"/>
  </si>
  <si>
    <t>soil</t>
    <phoneticPr fontId="1" type="noConversion"/>
  </si>
  <si>
    <t>p.n24.soil</t>
  </si>
  <si>
    <t>p.n23.soil</t>
  </si>
  <si>
    <t>p.n22.soil</t>
  </si>
  <si>
    <t>p.n21.soil</t>
  </si>
  <si>
    <t>p.n20.soil</t>
  </si>
  <si>
    <t>p.n19.soil</t>
  </si>
  <si>
    <t>p.n18.soil</t>
  </si>
  <si>
    <t>p.n17.soil</t>
  </si>
  <si>
    <t>p.n16.soil</t>
  </si>
  <si>
    <t>p.n15.soil</t>
  </si>
  <si>
    <t>p.n14.soil</t>
  </si>
  <si>
    <t>p.n13.soil</t>
  </si>
  <si>
    <t>p.n12.soil</t>
  </si>
  <si>
    <t>p.n11.soil</t>
  </si>
  <si>
    <t>p.n10.soil</t>
  </si>
  <si>
    <t>p.n09.soil</t>
  </si>
  <si>
    <t>p.n08.soil</t>
  </si>
  <si>
    <t>p.n07.soil</t>
  </si>
  <si>
    <t>p.n06.soil</t>
  </si>
  <si>
    <t>p.n05.soil</t>
  </si>
  <si>
    <t>p.n04.soil</t>
  </si>
  <si>
    <t>p.n03.soil</t>
  </si>
  <si>
    <t>p.n02.soil</t>
  </si>
  <si>
    <t>p.n01.soil</t>
  </si>
  <si>
    <t>p.n24.sewage</t>
  </si>
  <si>
    <t>p.n23.sewage</t>
  </si>
  <si>
    <t>p.n22.sewage</t>
  </si>
  <si>
    <t>p.n21.sewage</t>
  </si>
  <si>
    <t>p.n20.sewage</t>
  </si>
  <si>
    <t>p.n19.sewage</t>
  </si>
  <si>
    <t>p.n18.sewage</t>
  </si>
  <si>
    <t>p.n17.sewage</t>
  </si>
  <si>
    <t>p.n16.sewage</t>
  </si>
  <si>
    <t>p.n15.sewage</t>
  </si>
  <si>
    <t>p.n14.sewage</t>
  </si>
  <si>
    <t>p.n13.sewage</t>
  </si>
  <si>
    <t>p.n12.sewage</t>
  </si>
  <si>
    <t>p.n11.sewage</t>
  </si>
  <si>
    <t>p.n10.sewage</t>
  </si>
  <si>
    <t>p.n09.sewage</t>
  </si>
  <si>
    <t>p.n08.sewage</t>
  </si>
  <si>
    <t>p.n07.sewage</t>
  </si>
  <si>
    <t>p.n06.sewage</t>
  </si>
  <si>
    <t>p.n05.sewage</t>
  </si>
  <si>
    <t>p.n04.sewage</t>
  </si>
  <si>
    <t>p.n03.sewage</t>
  </si>
  <si>
    <t>p.n02.sewage</t>
  </si>
  <si>
    <t>p.n01.sewage</t>
  </si>
  <si>
    <t>p.n24.rain</t>
  </si>
  <si>
    <t>p.n23.rain</t>
  </si>
  <si>
    <t>p.n22.rain</t>
  </si>
  <si>
    <t>p.n21.rain</t>
  </si>
  <si>
    <t>p.n20.rain</t>
  </si>
  <si>
    <t>p.n19.rain</t>
  </si>
  <si>
    <t>p.n18.rain</t>
  </si>
  <si>
    <t>p.n17.rain</t>
  </si>
  <si>
    <t>p.n16.rain</t>
  </si>
  <si>
    <t>p.n15.rain</t>
  </si>
  <si>
    <t>p.n14.rain</t>
  </si>
  <si>
    <t>p.n13.rain</t>
  </si>
  <si>
    <t>p.n12.rain</t>
  </si>
  <si>
    <t>p.n11.rain</t>
  </si>
  <si>
    <t>p.n10.rain</t>
  </si>
  <si>
    <t>p.n09.rain</t>
  </si>
  <si>
    <t>p.n08.rain</t>
  </si>
  <si>
    <t>p.n07.rain</t>
  </si>
  <si>
    <t>p.n06.rain</t>
  </si>
  <si>
    <t>p.n05.rain</t>
  </si>
  <si>
    <t>p.n04.rain</t>
  </si>
  <si>
    <t>p.n03.rain</t>
  </si>
  <si>
    <t>p.n02.rain</t>
  </si>
  <si>
    <t>p.n01.rain</t>
  </si>
  <si>
    <t>p.n24.manure</t>
  </si>
  <si>
    <t>p.n23.manure</t>
  </si>
  <si>
    <t>p.n22.manure</t>
  </si>
  <si>
    <t>p.n21.manure</t>
  </si>
  <si>
    <t>p.n20.manure</t>
  </si>
  <si>
    <t>p.n19.manure</t>
  </si>
  <si>
    <t>p.n18.manure</t>
  </si>
  <si>
    <t>p.n17.manure</t>
  </si>
  <si>
    <t>p.n16.manure</t>
  </si>
  <si>
    <t>p.n15.manure</t>
  </si>
  <si>
    <t>p.n14.manure</t>
  </si>
  <si>
    <t>p.n13.manure</t>
  </si>
  <si>
    <t>p.n12.manure</t>
  </si>
  <si>
    <t>p.n11.manure</t>
  </si>
  <si>
    <t>p.n10.manure</t>
  </si>
  <si>
    <t>p.n09.manure</t>
  </si>
  <si>
    <t>p.n08.manure</t>
  </si>
  <si>
    <t>p.n07.manure</t>
  </si>
  <si>
    <t>p.n06.manure</t>
  </si>
  <si>
    <t>p.n05.manure</t>
  </si>
  <si>
    <t>p.n04.manure</t>
  </si>
  <si>
    <t>p.n03.manure</t>
  </si>
  <si>
    <t>p.n02.manure</t>
  </si>
  <si>
    <t>p.n01.manure</t>
  </si>
  <si>
    <t>p.n24.fertilizer</t>
  </si>
  <si>
    <t>p.n23.fertilizer</t>
  </si>
  <si>
    <t>p.n22.fertilizer</t>
  </si>
  <si>
    <t>p.n21.fertilizer</t>
  </si>
  <si>
    <t>p.n20.fertilizer</t>
  </si>
  <si>
    <t>p.n19.fertilizer</t>
  </si>
  <si>
    <t>p.n18.fertilizer</t>
  </si>
  <si>
    <t>p.n17.fertilizer</t>
  </si>
  <si>
    <t>p.n16.fertilizer</t>
  </si>
  <si>
    <t>p.n15.fertilizer</t>
  </si>
  <si>
    <t>p.n14.fertilizer</t>
  </si>
  <si>
    <t>p.n13.fertilizer</t>
  </si>
  <si>
    <t>p.n12.fertilizer</t>
  </si>
  <si>
    <t>p.n11.fertilizer</t>
  </si>
  <si>
    <t>p.n10.fertilizer</t>
  </si>
  <si>
    <t>p.n09.fertilizer</t>
  </si>
  <si>
    <t>p.n08.fertilizer</t>
  </si>
  <si>
    <t>p.n07.fertilizer</t>
  </si>
  <si>
    <t>p.n06.fertilizer</t>
  </si>
  <si>
    <t>p.n05.fertilizer</t>
  </si>
  <si>
    <t>p.n04.fertilizer</t>
  </si>
  <si>
    <t>p.n03.fertilizer</t>
  </si>
  <si>
    <t>p.n02.fertilizer</t>
  </si>
  <si>
    <t>p.n01.fertilizer</t>
  </si>
  <si>
    <t>SD</t>
    <phoneticPr fontId="1" type="noConversion"/>
  </si>
  <si>
    <t>Mean</t>
    <phoneticPr fontId="1" type="noConversion"/>
  </si>
  <si>
    <t>#################################################################</t>
  </si>
  <si>
    <t># Summary Statistics</t>
  </si>
  <si>
    <t xml:space="preserve">               chain1 chain2 chain3</t>
  </si>
  <si>
    <t>And here are the Geweke diagnostics for all variables:</t>
  </si>
  <si>
    <t xml:space="preserve">       Chain 1 Chain 2 Chain 3</t>
  </si>
  <si>
    <t>):</t>
  </si>
  <si>
    <t xml:space="preserve">Number of variables outside +/-1.96 in each chain (out of </t>
  </si>
  <si>
    <t>The Geweke diagnostic is a standard z-score, so we'd expect 5% to be outside +/-1.96</t>
  </si>
  <si>
    <t>################################################################################</t>
  </si>
  <si>
    <t># Geweke Diagnostic</t>
  </si>
  <si>
    <t>ilr.fac1[1,4]         NaN        NaN</t>
  </si>
  <si>
    <t>ilr.fac1[1,3]         NaN        NaN</t>
  </si>
  <si>
    <t>ilr.fac1[1,2]         NaN        NaN</t>
  </si>
  <si>
    <t>ilr.fac1[1,1]         NaN        NaN</t>
  </si>
  <si>
    <t xml:space="preserve">               Point est. Upper C.I.</t>
  </si>
  <si>
    <t>And here are the Gelman diagnostics for all variables:</t>
  </si>
  <si>
    <t xml:space="preserve">             Point est. Upper C.I.</t>
  </si>
  <si>
    <t>The worst variables are:</t>
  </si>
  <si>
    <t xml:space="preserve">                      </t>
  </si>
  <si>
    <t>Generally the Gelman diagnostic should be &lt; 1.05</t>
  </si>
  <si>
    <t># Gelman-Rubin Diagnostic</t>
  </si>
  <si>
    <t>TOTAL</t>
    <phoneticPr fontId="1" type="noConversion"/>
  </si>
  <si>
    <t>Result_EMMTE (%)</t>
    <phoneticPr fontId="1" type="noConversion"/>
  </si>
  <si>
    <t>Result_MixSIAR (probability)</t>
    <phoneticPr fontId="1" type="noConversion"/>
  </si>
  <si>
    <t>run="long"</t>
    <phoneticPr fontId="1" type="noConversion"/>
  </si>
  <si>
    <t>모델 수렴도 재확보</t>
    <phoneticPr fontId="1" type="noConversion"/>
  </si>
  <si>
    <t>DIC = 192.2272</t>
  </si>
  <si>
    <t>p.global[5]    -1.547  0.679 -0.070</t>
  </si>
  <si>
    <t>p.global[4]    -0.156  0.038 -0.562</t>
  </si>
  <si>
    <t>p.global[3]    -0.743 -0.277 -1.045</t>
  </si>
  <si>
    <t>p.global[2]    -0.179  0.017 -0.671</t>
  </si>
  <si>
    <t>p.global[1]     1.877 -0.966  0.660</t>
  </si>
  <si>
    <t>p.fac1[9,5]    -1.975 -1.035 -0.932</t>
  </si>
  <si>
    <t>p.fac1[9,4]     0.693  0.978  0.615</t>
  </si>
  <si>
    <t>p.fac1[9,3]     0.308  0.176 -2.788</t>
  </si>
  <si>
    <t>p.fac1[9,2]     0.306  1.192 -0.305</t>
  </si>
  <si>
    <t>p.fac1[9,1]     1.530 -0.338  0.822</t>
  </si>
  <si>
    <t>p.fac1[8,5]    -0.479  1.334  0.305</t>
  </si>
  <si>
    <t>p.fac1[8,4]     0.062 -0.148 -0.144</t>
  </si>
  <si>
    <t>p.fac1[8,3]    -0.022 -1.095 -0.073</t>
  </si>
  <si>
    <t>p.fac1[8,2]    -0.151 -0.123  0.048</t>
  </si>
  <si>
    <t>p.fac1[8,1]     0.935 -3.371 -0.369</t>
  </si>
  <si>
    <t>p.fac1[7,5]     0.531 -0.241  0.076</t>
  </si>
  <si>
    <t>p.fac1[7,4]    -0.162 -0.009  0.283</t>
  </si>
  <si>
    <t>p.fac1[7,3]    -0.272  0.973 -1.666</t>
  </si>
  <si>
    <t>p.fac1[7,2]    -2.374 -0.268  0.131</t>
  </si>
  <si>
    <t>p.fac1[7,1]     0.704  0.315 -0.493</t>
  </si>
  <si>
    <t>p.fac1[6,5]     0.563  1.557  0.557</t>
  </si>
  <si>
    <t>p.fac1[6,4]    -0.086 -0.512 -0.460</t>
  </si>
  <si>
    <t>p.fac1[6,3]    -0.058 -0.844 -0.551</t>
  </si>
  <si>
    <t>p.fac1[6,2]    -1.418 -1.191 -0.511</t>
  </si>
  <si>
    <t>p.fac1[6,1]     0.104 -0.978  0.114</t>
  </si>
  <si>
    <t>p.fac1[5,5]    -0.126  0.333  0.342</t>
  </si>
  <si>
    <t>p.fac1[5,4]     0.607  1.395  0.895</t>
  </si>
  <si>
    <t>p.fac1[5,3]    -1.869 -0.350 -2.726</t>
  </si>
  <si>
    <t>p.fac1[5,2]    -2.215  0.106  0.066</t>
  </si>
  <si>
    <t>p.fac1[5,1]     0.283 -1.137 -1.066</t>
  </si>
  <si>
    <t>p.fac1[4,5]    -2.847  2.140  0.749</t>
  </si>
  <si>
    <t>p.fac1[4,4]     1.456 -0.741 -0.313</t>
  </si>
  <si>
    <t>p.fac1[4,3]    -0.214 -1.166 -0.305</t>
  </si>
  <si>
    <t>p.fac1[4,2]    -1.079  0.385  0.056</t>
  </si>
  <si>
    <t>p.fac1[4,1]     2.503 -2.030 -0.642</t>
  </si>
  <si>
    <t>p.fac1[3,5]    -2.040  0.463 -0.149</t>
  </si>
  <si>
    <t>p.fac1[3,4]    -1.225  1.238 -0.263</t>
  </si>
  <si>
    <t>p.fac1[3,3]    -0.068  0.426 -1.202</t>
  </si>
  <si>
    <t>p.fac1[3,2]     0.409 -1.212  0.271</t>
  </si>
  <si>
    <t>p.fac1[3,1]     2.562 -0.985  0.336</t>
  </si>
  <si>
    <t>p.fac1[24,5]   -0.557  0.545  0.339</t>
  </si>
  <si>
    <t>p.fac1[24,4]   -0.507 -0.408 -0.401</t>
  </si>
  <si>
    <t>p.fac1[24,3]   -1.278  0.540 -2.239</t>
  </si>
  <si>
    <t>p.fac1[24,2]   -0.537  0.076  0.604</t>
  </si>
  <si>
    <t>p.fac1[24,1]    1.386 -0.291 -0.378</t>
  </si>
  <si>
    <t>p.fac1[23,5]   -0.554  0.527 -0.416</t>
  </si>
  <si>
    <t>p.fac1[23,4]   -1.522 -0.060  0.126</t>
  </si>
  <si>
    <t>p.fac1[23,3]   -1.794  0.867 -1.114</t>
  </si>
  <si>
    <t>p.fac1[23,2]   -2.356 -0.269 -0.310</t>
  </si>
  <si>
    <t>p.fac1[23,1]    1.568 -0.699  0.449</t>
  </si>
  <si>
    <t>p.fac1[22,5]   -2.291 -0.829  0.199</t>
  </si>
  <si>
    <t>p.fac1[22,4]    0.864  0.039 -0.523</t>
  </si>
  <si>
    <t>p.fac1[22,3]   -0.924  0.260 -2.268</t>
  </si>
  <si>
    <t>p.fac1[22,2]    0.000  0.909 -0.547</t>
  </si>
  <si>
    <t>p.fac1[22,1]    1.567  0.453  0.389</t>
  </si>
  <si>
    <t>p.fac1[21,5]   -1.787  1.002 -1.056</t>
  </si>
  <si>
    <t>p.fac1[21,4]    1.492 -0.621  0.548</t>
  </si>
  <si>
    <t>p.fac1[21,3]   -0.447 -1.696  0.694</t>
  </si>
  <si>
    <t>p.fac1[21,2]    0.664  0.068 -0.125</t>
  </si>
  <si>
    <t>p.fac1[21,1]    1.032 -0.622  0.841</t>
  </si>
  <si>
    <t>p.fac1[20,5]   -0.543  1.935 -0.066</t>
  </si>
  <si>
    <t>p.fac1[20,4]   -0.204 -3.444 -0.351</t>
  </si>
  <si>
    <t>p.fac1[20,3]    0.389  0.046 -0.270</t>
  </si>
  <si>
    <t>p.fac1[20,2]   -0.315  0.658 -0.014</t>
  </si>
  <si>
    <t>p.fac1[20,1]    1.363  0.125  0.833</t>
  </si>
  <si>
    <t>p.fac1[2,5]    -0.712 -0.201 -0.591</t>
  </si>
  <si>
    <t>p.fac1[2,4]    -0.485  0.830 -0.300</t>
  </si>
  <si>
    <t>p.fac1[2,3]     0.612 -1.365 -1.006</t>
  </si>
  <si>
    <t>p.fac1[2,2]    -1.539 -0.582  0.036</t>
  </si>
  <si>
    <t>p.fac1[2,1]     1.391 -0.136  0.842</t>
  </si>
  <si>
    <t>p.fac1[19,5]   -2.216  2.070 -0.204</t>
  </si>
  <si>
    <t>p.fac1[19,4]    0.495 -1.635 -0.788</t>
  </si>
  <si>
    <t>p.fac1[19,3]    0.791 -1.024 -0.706</t>
  </si>
  <si>
    <t>p.fac1[19,2]    0.888 -1.294  0.085</t>
  </si>
  <si>
    <t>p.fac1[19,1]    1.673 -0.053  1.570</t>
  </si>
  <si>
    <t>p.fac1[18,5]   -2.241  0.288  0.150</t>
  </si>
  <si>
    <t>p.fac1[18,4]    0.069  0.123 -0.333</t>
  </si>
  <si>
    <t>p.fac1[18,3]   -0.475  0.082 -0.231</t>
  </si>
  <si>
    <t>p.fac1[18,2]    0.511 -1.032 -0.833</t>
  </si>
  <si>
    <t>p.fac1[18,1]    1.350 -0.029  0.784</t>
  </si>
  <si>
    <t>p.fac1[17,5]   -0.793  0.022 -0.963</t>
  </si>
  <si>
    <t>p.fac1[17,4]    0.417 -0.603  0.431</t>
  </si>
  <si>
    <t>p.fac1[17,3]    0.931 -1.216 -1.900</t>
  </si>
  <si>
    <t>p.fac1[17,2]   -0.823  0.853 -1.085</t>
  </si>
  <si>
    <t>p.fac1[17,1]    1.084  0.230  1.768</t>
  </si>
  <si>
    <t>p.fac1[16,5]   -0.142  0.523 -0.383</t>
  </si>
  <si>
    <t>p.fac1[16,4]   -0.313  0.604 -0.698</t>
  </si>
  <si>
    <t>p.fac1[16,3]   -0.635 -0.847 -0.590</t>
  </si>
  <si>
    <t>p.fac1[16,2]   -0.408 -0.198 -0.596</t>
  </si>
  <si>
    <t>p.fac1[16,1]    0.879 -1.430  1.567</t>
  </si>
  <si>
    <t>p.fac1[15,5]    0.025  0.480  0.299</t>
  </si>
  <si>
    <t>p.fac1[15,4]   -0.347 -0.023 -0.722</t>
  </si>
  <si>
    <t>p.fac1[15,3]   -1.261 -0.524 -0.199</t>
  </si>
  <si>
    <t>p.fac1[15,2]    0.398  0.042 -1.151</t>
  </si>
  <si>
    <t>p.fac1[15,1]    0.414 -0.882  1.323</t>
  </si>
  <si>
    <t>p.fac1[14,5]   -1.012  1.451 -0.602</t>
  </si>
  <si>
    <t>p.fac1[14,4]    0.126 -1.030  1.392</t>
  </si>
  <si>
    <t>p.fac1[14,3]   -1.058 -2.700 -1.704</t>
  </si>
  <si>
    <t>p.fac1[14,2]   -0.577 -0.835  0.041</t>
  </si>
  <si>
    <t>p.fac1[14,1]    1.674 -0.356 -0.255</t>
  </si>
  <si>
    <t>p.fac1[13,5]   -0.769 -0.432  0.036</t>
  </si>
  <si>
    <t>p.fac1[13,4]   -0.397  1.163  0.109</t>
  </si>
  <si>
    <t>p.fac1[13,3]   -1.355 -0.732 -0.994</t>
  </si>
  <si>
    <t>p.fac1[13,2]   -0.558 -0.647 -0.580</t>
  </si>
  <si>
    <t>p.fac1[13,1]    2.461 -0.565  0.237</t>
  </si>
  <si>
    <t>p.fac1[12,5]   -0.346  0.204  0.440</t>
  </si>
  <si>
    <t>p.fac1[12,4]    0.269  1.028 -0.192</t>
  </si>
  <si>
    <t>p.fac1[12,3]   -1.034  0.753 -2.404</t>
  </si>
  <si>
    <t>p.fac1[12,2]   -0.192  0.031 -1.261</t>
  </si>
  <si>
    <t>p.fac1[12,1]    0.458 -1.396  0.255</t>
  </si>
  <si>
    <t>p.fac1[11,5]    0.165 -0.028  1.474</t>
  </si>
  <si>
    <t>p.fac1[11,4]   -2.924  0.097 -2.240</t>
  </si>
  <si>
    <t>p.fac1[11,3]    0.176 -0.672 -0.949</t>
  </si>
  <si>
    <t>p.fac1[11,2]   -0.443  0.977 -0.066</t>
  </si>
  <si>
    <t>p.fac1[11,1]    1.346 -0.339  0.153</t>
  </si>
  <si>
    <t>p.fac1[10,5]   -0.165  0.130 -1.096</t>
  </si>
  <si>
    <t>p.fac1[10,4]   -3.301 -0.091 -1.271</t>
  </si>
  <si>
    <t>p.fac1[10,3]    0.298  0.755 -1.093</t>
  </si>
  <si>
    <t>p.fac1[10,2]    0.971  0.097  0.676</t>
  </si>
  <si>
    <t>p.fac1[10,1]    1.015 -0.275  2.074</t>
  </si>
  <si>
    <t>p.fac1[1,5]    -1.547  0.679 -0.070</t>
  </si>
  <si>
    <t>p.fac1[1,4]    -0.156  0.038 -0.562</t>
  </si>
  <si>
    <t>p.fac1[1,3]    -0.743 -0.277 -1.045</t>
  </si>
  <si>
    <t>p.fac1[1,2]    -0.179  0.017 -0.671</t>
  </si>
  <si>
    <t>p.fac1[1,1]     1.877 -0.966  0.660</t>
  </si>
  <si>
    <t>loglik[9]      -1.107 -0.972  0.711</t>
  </si>
  <si>
    <t>loglik[8]      -0.578 -0.449 -0.711</t>
  </si>
  <si>
    <t>loglik[7]      -1.692 -1.490 -0.255</t>
  </si>
  <si>
    <t>loglik[6]      -0.617 -0.902 -1.642</t>
  </si>
  <si>
    <t>loglik[5]       1.250 -1.009 -1.334</t>
  </si>
  <si>
    <t>loglik[4]      -0.995 -0.088  0.928</t>
  </si>
  <si>
    <t>loglik[3]       0.872 -0.248 -0.250</t>
  </si>
  <si>
    <t>loglik[24]     -0.091 -0.743  0.460</t>
  </si>
  <si>
    <t>loglik[23]      1.931 -0.203  0.728</t>
  </si>
  <si>
    <t>loglik[22]      0.408 -0.538  0.863</t>
  </si>
  <si>
    <t>loglik[21]     -1.848  0.516  0.674</t>
  </si>
  <si>
    <t>loglik[20]     -0.517 -0.683 -0.204</t>
  </si>
  <si>
    <t>loglik[2]       0.187  0.067 -0.342</t>
  </si>
  <si>
    <t>loglik[19]      0.738 -1.060  0.207</t>
  </si>
  <si>
    <t>loglik[18]      0.263 -0.184  0.575</t>
  </si>
  <si>
    <t>loglik[17]     -0.091 -0.303  1.400</t>
  </si>
  <si>
    <t>loglik[16]     -0.435  0.956  1.530</t>
  </si>
  <si>
    <t>loglik[15]     -0.851 -0.294 -1.609</t>
  </si>
  <si>
    <t>loglik[14]     -1.588  0.848  2.920</t>
  </si>
  <si>
    <t>loglik[13]     -0.972  2.604  0.437</t>
  </si>
  <si>
    <t>loglik[12]     -0.005  0.075  2.549</t>
  </si>
  <si>
    <t>loglik[11]      0.819  1.081  1.564</t>
  </si>
  <si>
    <t>loglik[10]      0.435  0.772  0.951</t>
  </si>
  <si>
    <t>loglik[1]      -0.313  1.066  0.831</t>
  </si>
  <si>
    <t>ilr.fac1[9,4]   0.831  0.974  0.056</t>
  </si>
  <si>
    <t>ilr.fac1[9,3]  -0.278 -0.376 -3.754</t>
  </si>
  <si>
    <t>ilr.fac1[9,2]  -2.213  1.114  0.844</t>
  </si>
  <si>
    <t>ilr.fac1[9,1]  -0.563 -0.815  1.219</t>
  </si>
  <si>
    <t>ilr.fac1[8,4]  -0.216 -1.096 -0.098</t>
  </si>
  <si>
    <t>ilr.fac1[8,3]   0.462 -0.389 -0.988</t>
  </si>
  <si>
    <t>ilr.fac1[8,2]  -0.723 -0.981 -1.767</t>
  </si>
  <si>
    <t>ilr.fac1[8,1]  -0.013 -0.073  0.338</t>
  </si>
  <si>
    <t>ilr.fac1[7,4]  -1.537  1.722 -1.046</t>
  </si>
  <si>
    <t>ilr.fac1[7,3]   0.108  1.634 -1.824</t>
  </si>
  <si>
    <t>ilr.fac1[7,2]  -1.176 -1.383  0.007</t>
  </si>
  <si>
    <t>ilr.fac1[7,1]   1.528  1.319  0.194</t>
  </si>
  <si>
    <t>ilr.fac1[6,4]  -1.609 -1.906  0.167</t>
  </si>
  <si>
    <t>ilr.fac1[6,3]  -0.371 -0.495  1.635</t>
  </si>
  <si>
    <t>ilr.fac1[6,2]  -0.752 -1.409  0.255</t>
  </si>
  <si>
    <t>ilr.fac1[6,1]  -2.402  0.971 -1.074</t>
  </si>
  <si>
    <t>ilr.fac1[5,4]  -2.571  0.089 -0.220</t>
  </si>
  <si>
    <t>ilr.fac1[5,3]  -2.481 -0.956 -1.370</t>
  </si>
  <si>
    <t>ilr.fac1[5,2]   0.676 -0.740  0.849</t>
  </si>
  <si>
    <t>ilr.fac1[5,1]  -0.300 -2.299 -1.178</t>
  </si>
  <si>
    <t>ilr.fac1[4,4]   2.637 -2.113 -0.535</t>
  </si>
  <si>
    <t>ilr.fac1[4,3]  -1.519 -0.286 -0.660</t>
  </si>
  <si>
    <t>ilr.fac1[4,2]   0.124 -1.131 -3.630</t>
  </si>
  <si>
    <t>ilr.fac1[4,1]   1.580 -1.943 -0.721</t>
  </si>
  <si>
    <t>ilr.fac1[3,4]   1.552  0.009 -0.436</t>
  </si>
  <si>
    <t>ilr.fac1[3,3]   1.394 -2.181 -0.206</t>
  </si>
  <si>
    <t>ilr.fac1[3,2]  -0.119 -0.059  1.632</t>
  </si>
  <si>
    <t>ilr.fac1[3,1]  -0.605 -0.021  0.298</t>
  </si>
  <si>
    <t>ilr.fac1[24,4] -1.045  0.089 -0.498</t>
  </si>
  <si>
    <t>ilr.fac1[24,3]  0.495  0.434 -1.235</t>
  </si>
  <si>
    <t>ilr.fac1[24,2]  1.423 -1.052  1.220</t>
  </si>
  <si>
    <t>ilr.fac1[24,1]  0.859 -0.291 -0.588</t>
  </si>
  <si>
    <t>ilr.fac1[23,4] -1.034  0.258  0.252</t>
  </si>
  <si>
    <t>ilr.fac1[23,3] -0.224 -0.492 -0.652</t>
  </si>
  <si>
    <t>ilr.fac1[23,2]  0.676 -0.803 -1.239</t>
  </si>
  <si>
    <t>ilr.fac1[23,1]  1.175 -0.069 -0.314</t>
  </si>
  <si>
    <t>ilr.fac1[22,4]  1.460  1.386 -0.711</t>
  </si>
  <si>
    <t>ilr.fac1[22,3] -0.955  1.298 -0.364</t>
  </si>
  <si>
    <t>ilr.fac1[22,2]  0.594 -0.537 -0.164</t>
  </si>
  <si>
    <t>ilr.fac1[22,1]  0.278  0.238 -1.085</t>
  </si>
  <si>
    <t>ilr.fac1[21,4]  0.697 -0.547  1.696</t>
  </si>
  <si>
    <t>ilr.fac1[21,3] -2.491  0.483  0.534</t>
  </si>
  <si>
    <t>ilr.fac1[21,2] -0.110  0.300 -1.233</t>
  </si>
  <si>
    <t>ilr.fac1[21,1] -0.708 -0.560  1.241</t>
  </si>
  <si>
    <t>ilr.fac1[20,4]  0.298 -0.842  0.339</t>
  </si>
  <si>
    <t>ilr.fac1[20,3]  0.312  2.430 -0.185</t>
  </si>
  <si>
    <t>ilr.fac1[20,2] -0.783  0.123 -0.481</t>
  </si>
  <si>
    <t>ilr.fac1[20,1] -0.101 -1.178 -0.512</t>
  </si>
  <si>
    <t>ilr.fac1[2,4]  -0.054  0.459  0.181</t>
  </si>
  <si>
    <t>ilr.fac1[2,3]   0.297 -0.545  0.471</t>
  </si>
  <si>
    <t>ilr.fac1[2,2]  -1.645 -0.649 -0.851</t>
  </si>
  <si>
    <t>ilr.fac1[2,1]   0.644  0.076 -0.071</t>
  </si>
  <si>
    <t>ilr.fac1[19,4]  1.195 -1.874 -0.132</t>
  </si>
  <si>
    <t>ilr.fac1[19,3]  0.331  0.721  0.040</t>
  </si>
  <si>
    <t>ilr.fac1[19,2] -1.843 -0.209  0.387</t>
  </si>
  <si>
    <t>ilr.fac1[19,1]  0.084  0.008  0.403</t>
  </si>
  <si>
    <t>ilr.fac1[18,4]  0.936  0.408  0.312</t>
  </si>
  <si>
    <t>ilr.fac1[18,3]  0.807 -0.194  0.798</t>
  </si>
  <si>
    <t>ilr.fac1[18,2] -0.045 -0.140 -0.157</t>
  </si>
  <si>
    <t>ilr.fac1[18,1] -2.156  0.675  0.664</t>
  </si>
  <si>
    <t>ilr.fac1[17,4]  0.481 -0.253  0.846</t>
  </si>
  <si>
    <t>ilr.fac1[17,3] -0.196  1.497 -0.621</t>
  </si>
  <si>
    <t>ilr.fac1[17,2] -1.505 -0.693 -0.502</t>
  </si>
  <si>
    <t>ilr.fac1[17,1] -0.346  0.841  2.302</t>
  </si>
  <si>
    <t>ilr.fac1[16,4] -1.106 -0.088  0.418</t>
  </si>
  <si>
    <t>ilr.fac1[16,3] -0.373 -0.624 -0.095</t>
  </si>
  <si>
    <t>ilr.fac1[16,2] -0.252  0.015  0.388</t>
  </si>
  <si>
    <t>ilr.fac1[16,1] -0.891  0.239  0.137</t>
  </si>
  <si>
    <t>ilr.fac1[15,4] -1.342  0.120  0.390</t>
  </si>
  <si>
    <t>ilr.fac1[15,3] -0.050 -0.104  0.333</t>
  </si>
  <si>
    <t>ilr.fac1[15,2] -0.301  0.748 -2.202</t>
  </si>
  <si>
    <t>ilr.fac1[15,1] -1.738 -1.237  1.284</t>
  </si>
  <si>
    <t>ilr.fac1[14,4]  0.351 -0.842  0.320</t>
  </si>
  <si>
    <t>ilr.fac1[14,3]  0.592  0.750 -1.239</t>
  </si>
  <si>
    <t>ilr.fac1[14,2] -0.941  1.153  0.356</t>
  </si>
  <si>
    <t>ilr.fac1[14,1] -0.008  0.174 -1.286</t>
  </si>
  <si>
    <t>ilr.fac1[13,4] -0.335  0.132 -0.280</t>
  </si>
  <si>
    <t>ilr.fac1[13,3]  0.103 -2.525 -0.568</t>
  </si>
  <si>
    <t>ilr.fac1[13,2]  2.282 -0.176 -0.386</t>
  </si>
  <si>
    <t>ilr.fac1[13,1] -0.753  1.495  0.614</t>
  </si>
  <si>
    <t>ilr.fac1[12,4] -0.613 -0.083 -0.158</t>
  </si>
  <si>
    <t>ilr.fac1[12,3] -0.215 -1.439 -0.371</t>
  </si>
  <si>
    <t>ilr.fac1[12,2] -1.404 -0.501 -1.468</t>
  </si>
  <si>
    <t>ilr.fac1[12,1] -0.491  0.804  1.399</t>
  </si>
  <si>
    <t>ilr.fac1[11,4] -0.908  0.271 -1.085</t>
  </si>
  <si>
    <t>ilr.fac1[11,3]  3.255 -0.096  1.762</t>
  </si>
  <si>
    <t>ilr.fac1[11,2]  0.474  1.906  1.380</t>
  </si>
  <si>
    <t>ilr.fac1[11,1] -0.206 -0.772 -0.220</t>
  </si>
  <si>
    <t>ilr.fac1[10,4] -0.441  0.246  0.916</t>
  </si>
  <si>
    <t>ilr.fac1[10,3]  1.654 -0.444  1.087</t>
  </si>
  <si>
    <t>ilr.fac1[10,2] -0.643 -0.359  1.659</t>
  </si>
  <si>
    <t>ilr.fac1[10,1] -2.129 -0.298  0.541</t>
  </si>
  <si>
    <t>deviance        0.441 -0.331 -0.345</t>
  </si>
  <si>
    <t>Geweke      24      12      13</t>
  </si>
  <si>
    <t>p.global[5]     1.0008834  1.0030808</t>
  </si>
  <si>
    <t>p.global[4]     1.0000430  1.0002659</t>
  </si>
  <si>
    <t>p.global[3]     1.0348239  1.0369860</t>
  </si>
  <si>
    <t>p.global[2]     1.0010631  1.0016091</t>
  </si>
  <si>
    <t>p.global[1]     1.0016464  1.0043896</t>
  </si>
  <si>
    <t>p.fac1[9,5]     1.0005282  1.0013588</t>
  </si>
  <si>
    <t>p.fac1[9,4]     0.9999681  0.9999946</t>
  </si>
  <si>
    <t>p.fac1[9,3]     1.0454520  1.0491249</t>
  </si>
  <si>
    <t>p.fac1[9,2]     1.0012146  1.0022608</t>
  </si>
  <si>
    <t>p.fac1[9,1]     1.0004507  1.0015694</t>
  </si>
  <si>
    <t>p.fac1[8,5]     0.9999008  1.0007788</t>
  </si>
  <si>
    <t>p.fac1[8,4]     0.9995927  0.9996537</t>
  </si>
  <si>
    <t>p.fac1[8,3]     1.0188449  1.0236386</t>
  </si>
  <si>
    <t>p.fac1[8,2]     0.9997581  1.0000125</t>
  </si>
  <si>
    <t>p.fac1[8,1]     1.0006277  1.0024707</t>
  </si>
  <si>
    <t>p.fac1[7,5]     1.0003800  1.0010715</t>
  </si>
  <si>
    <t>p.fac1[7,4]     0.9997046  1.0000009</t>
  </si>
  <si>
    <t>p.fac1[7,3]     1.0224981  1.0239193</t>
  </si>
  <si>
    <t>p.fac1[7,2]     0.9998032  1.0001740</t>
  </si>
  <si>
    <t>p.fac1[7,1]     1.0001539  1.0002981</t>
  </si>
  <si>
    <t>p.fac1[6,5]     1.0000713  1.0009552</t>
  </si>
  <si>
    <t>p.fac1[6,4]     0.9999390  1.0005591</t>
  </si>
  <si>
    <t>p.fac1[6,3]     1.0267160  1.0298457</t>
  </si>
  <si>
    <t>p.fac1[6,2]     1.0000739  1.0006597</t>
  </si>
  <si>
    <t>p.fac1[6,1]     0.9996866  1.0001566</t>
  </si>
  <si>
    <t>p.fac1[5,5]     1.0005159  1.0027721</t>
  </si>
  <si>
    <t>p.fac1[5,4]     1.0037141  1.0053415</t>
  </si>
  <si>
    <t>p.fac1[5,3]     1.0060375  1.0072133</t>
  </si>
  <si>
    <t>p.fac1[5,2]     1.0052503  1.0061404</t>
  </si>
  <si>
    <t>p.fac1[5,1]     1.0005056  1.0021491</t>
  </si>
  <si>
    <t>p.fac1[4,5]     1.0003771  1.0023737</t>
  </si>
  <si>
    <t>p.fac1[4,4]     1.0000446  1.0007786</t>
  </si>
  <si>
    <t>p.fac1[4,3]     1.0402681  1.0458584</t>
  </si>
  <si>
    <t>p.fac1[4,2]     1.0011902  1.0034504</t>
  </si>
  <si>
    <t>p.fac1[4,1]     1.0020203  1.0039875</t>
  </si>
  <si>
    <t>p.fac1[3,5]     1.0001068  1.0015289</t>
  </si>
  <si>
    <t>p.fac1[3,4]     1.0000801  1.0003418</t>
  </si>
  <si>
    <t>p.fac1[3,3]     1.0216995  1.0229967</t>
  </si>
  <si>
    <t>p.fac1[3,2]     1.0000855  1.0001613</t>
  </si>
  <si>
    <t>p.fac1[3,1]     1.0003839  1.0021316</t>
  </si>
  <si>
    <t>p.fac1[24,5]    1.0004541  1.0026520</t>
  </si>
  <si>
    <t>p.fac1[24,4]    1.0013677  1.0033172</t>
  </si>
  <si>
    <t>p.fac1[24,3]    1.0252001  1.0273196</t>
  </si>
  <si>
    <t>p.fac1[24,2]    1.0059093  1.0146361</t>
  </si>
  <si>
    <t>p.fac1[24,1]    1.0016183  1.0046183</t>
  </si>
  <si>
    <t>p.fac1[23,5]    0.9998115  0.9999594</t>
  </si>
  <si>
    <t>p.fac1[23,4]    1.0006237  1.0009180</t>
  </si>
  <si>
    <t>p.fac1[23,3]    1.0241029  1.0247255</t>
  </si>
  <si>
    <t>p.fac1[23,2]    1.0019227  1.0021704</t>
  </si>
  <si>
    <t>p.fac1[23,1]    1.0003734  1.0011790</t>
  </si>
  <si>
    <t>p.fac1[22,5]    0.9998284  1.0003928</t>
  </si>
  <si>
    <t>p.fac1[22,4]    1.0002351  1.0006866</t>
  </si>
  <si>
    <t>p.fac1[22,3]    1.0017542  1.0029799</t>
  </si>
  <si>
    <t>p.fac1[22,2]    1.0055142  1.0099013</t>
  </si>
  <si>
    <t>p.fac1[22,1]    0.9998719  1.0003264</t>
  </si>
  <si>
    <t>p.fac1[21,5]    0.9999528  1.0006498</t>
  </si>
  <si>
    <t>p.fac1[21,4]    1.0000350  1.0005028</t>
  </si>
  <si>
    <t>p.fac1[21,3]    1.0063207  1.0070202</t>
  </si>
  <si>
    <t>p.fac1[21,2]    1.0005868  1.0020325</t>
  </si>
  <si>
    <t>p.fac1[21,1]    1.0001056  1.0006478</t>
  </si>
  <si>
    <t>p.fac1[20,5]    1.0008005  1.0039695</t>
  </si>
  <si>
    <t>p.fac1[20,4]    1.0007317  1.0035421</t>
  </si>
  <si>
    <t>p.fac1[20,3]    1.0134556  1.0137492</t>
  </si>
  <si>
    <t>p.fac1[20,2]    0.9998097  0.9998658</t>
  </si>
  <si>
    <t>p.fac1[20,1]    1.0004312  1.0016271</t>
  </si>
  <si>
    <t>p.fac1[2,5]     1.0010720  1.0036492</t>
  </si>
  <si>
    <t>p.fac1[2,4]     1.0016937  1.0028580</t>
  </si>
  <si>
    <t>p.fac1[2,3]     1.0706784  1.0724350</t>
  </si>
  <si>
    <t>p.fac1[2,2]     1.0051199  1.0092795</t>
  </si>
  <si>
    <t>p.fac1[2,1]     1.0002133  1.0009889</t>
  </si>
  <si>
    <t>p.fac1[19,5]    0.9999032  1.0006656</t>
  </si>
  <si>
    <t>p.fac1[19,4]    1.0003787  1.0012118</t>
  </si>
  <si>
    <t>p.fac1[19,3]    1.0253835  1.0270698</t>
  </si>
  <si>
    <t>p.fac1[19,2]    1.0021411  1.0030306</t>
  </si>
  <si>
    <t>p.fac1[19,1]    1.0004769  1.0018650</t>
  </si>
  <si>
    <t>p.fac1[18,5]    1.0004684  1.0025173</t>
  </si>
  <si>
    <t>p.fac1[18,4]    1.0008357  1.0025804</t>
  </si>
  <si>
    <t>p.fac1[18,3]    1.0025143  1.0035079</t>
  </si>
  <si>
    <t>p.fac1[18,2]    1.0016102  1.0024956</t>
  </si>
  <si>
    <t>p.fac1[18,1]    1.0008871  1.0021765</t>
  </si>
  <si>
    <t>p.fac1[17,5]    1.0002578  1.0013855</t>
  </si>
  <si>
    <t>p.fac1[17,4]    0.9996067  0.9998016</t>
  </si>
  <si>
    <t>p.fac1[17,3]    1.0217086  1.0226048</t>
  </si>
  <si>
    <t>p.fac1[17,2]    0.9997138  1.0001404</t>
  </si>
  <si>
    <t>p.fac1[17,1]    1.0017785  1.0070991</t>
  </si>
  <si>
    <t>p.fac1[16,5]    1.0000746  1.0004273</t>
  </si>
  <si>
    <t>p.fac1[16,4]    1.0004254  1.0018030</t>
  </si>
  <si>
    <t>p.fac1[16,3]    1.0249786  1.0287906</t>
  </si>
  <si>
    <t>p.fac1[16,2]    1.0007139  1.0016763</t>
  </si>
  <si>
    <t>p.fac1[16,1]    1.0046163  1.0093991</t>
  </si>
  <si>
    <t>p.fac1[15,5]    0.9997693  1.0001022</t>
  </si>
  <si>
    <t>p.fac1[15,4]    1.0002404  1.0014117</t>
  </si>
  <si>
    <t>p.fac1[15,3]    1.0142235  1.0155764</t>
  </si>
  <si>
    <t>p.fac1[15,2]    1.0045185  1.0108600</t>
  </si>
  <si>
    <t>p.fac1[15,1]    1.0008259  1.0013670</t>
  </si>
  <si>
    <t>p.fac1[14,5]    1.0012329  1.0058408</t>
  </si>
  <si>
    <t>p.fac1[14,4]    1.0013197  1.0053759</t>
  </si>
  <si>
    <t>p.fac1[14,3]    1.0011918  1.0021012</t>
  </si>
  <si>
    <t>p.fac1[14,2]    0.9999067  1.0006259</t>
  </si>
  <si>
    <t>p.fac1[14,1]    1.0002448  1.0013790</t>
  </si>
  <si>
    <t>p.fac1[13,5]    1.0002251  1.0020530</t>
  </si>
  <si>
    <t>p.fac1[13,4]    1.0007389  1.0039226</t>
  </si>
  <si>
    <t>p.fac1[13,3]    1.0158543  1.0175268</t>
  </si>
  <si>
    <t>p.fac1[13,2]    0.9999065  1.0008566</t>
  </si>
  <si>
    <t>p.fac1[13,1]    1.0019297  1.0046479</t>
  </si>
  <si>
    <t>p.fac1[12,5]    0.9995309  0.9995326</t>
  </si>
  <si>
    <t>p.fac1[12,4]    1.0014921  1.0033366</t>
  </si>
  <si>
    <t>p.fac1[12,3]    1.0191525  1.0199356</t>
  </si>
  <si>
    <t>p.fac1[12,2]    0.9997605  1.0001399</t>
  </si>
  <si>
    <t>p.fac1[12,1]    0.9999062  1.0008832</t>
  </si>
  <si>
    <t>p.fac1[11,5]    0.9996218  0.9998792</t>
  </si>
  <si>
    <t>p.fac1[11,4]    1.0009753  1.0031018</t>
  </si>
  <si>
    <t>p.fac1[11,3]    1.0217543  1.0217653</t>
  </si>
  <si>
    <t>p.fac1[11,2]    1.0006068  1.0008866</t>
  </si>
  <si>
    <t>p.fac1[11,1]    1.0002893  1.0019543</t>
  </si>
  <si>
    <t>p.fac1[10,5]    1.0002735  1.0010152</t>
  </si>
  <si>
    <t>p.fac1[10,4]    1.0010614  1.0034833</t>
  </si>
  <si>
    <t>p.fac1[10,3]    1.0235615  1.0280507</t>
  </si>
  <si>
    <t>p.fac1[10,2]    1.0003233  1.0010283</t>
  </si>
  <si>
    <t>p.fac1[10,1]    1.0013422  1.0037896</t>
  </si>
  <si>
    <t>p.fac1[1,5]     1.0008834  1.0030808</t>
  </si>
  <si>
    <t>p.fac1[1,4]     1.0000430  1.0002659</t>
  </si>
  <si>
    <t>p.fac1[1,3]     1.0348239  1.0369860</t>
  </si>
  <si>
    <t>p.fac1[1,2]     1.0010631  1.0016091</t>
  </si>
  <si>
    <t>p.fac1[1,1]     1.0016464  1.0043896</t>
  </si>
  <si>
    <t>loglik[9]       1.0006526  1.0016527</t>
  </si>
  <si>
    <t>loglik[8]       0.9998616  1.0000599</t>
  </si>
  <si>
    <t>loglik[7]       1.0006074  1.0020880</t>
  </si>
  <si>
    <t>loglik[6]       1.0014780  1.0021092</t>
  </si>
  <si>
    <t>loglik[5]       0.9995716  0.9996654</t>
  </si>
  <si>
    <t>loglik[4]       1.0028631  1.0032220</t>
  </si>
  <si>
    <t>loglik[3]       1.0016403  1.0029247</t>
  </si>
  <si>
    <t>loglik[24]      0.9997575  1.0003544</t>
  </si>
  <si>
    <t>loglik[23]      0.9996534  0.9999772</t>
  </si>
  <si>
    <t>loglik[22]      1.0018992  1.0027519</t>
  </si>
  <si>
    <t>loglik[21]      1.0003854  1.0008112</t>
  </si>
  <si>
    <t>loglik[20]      1.0007031  1.0023115</t>
  </si>
  <si>
    <t>loglik[2]       1.0079888  1.0144192</t>
  </si>
  <si>
    <t>loglik[19]      1.0013067  1.0035778</t>
  </si>
  <si>
    <t>loglik[18]      0.9998892  1.0000671</t>
  </si>
  <si>
    <t>loglik[17]      1.0011146  1.0013961</t>
  </si>
  <si>
    <t>loglik[16]      1.0000113  1.0008986</t>
  </si>
  <si>
    <t>loglik[15]      1.0003865  1.0019165</t>
  </si>
  <si>
    <t>loglik[14]      1.0008735  1.0025715</t>
  </si>
  <si>
    <t>loglik[13]      1.0015159  1.0020939</t>
  </si>
  <si>
    <t>loglik[12]      1.0008291  1.0036786</t>
  </si>
  <si>
    <t>loglik[11]      1.0025503  1.0062359</t>
  </si>
  <si>
    <t>loglik[10]      1.0014870  1.0020106</t>
  </si>
  <si>
    <t>loglik[1]       1.0007424  1.0026791</t>
  </si>
  <si>
    <t>ilr.fac1[9,4]   1.0006651  1.0021313</t>
  </si>
  <si>
    <t>ilr.fac1[9,3]   1.0007279  1.0017499</t>
  </si>
  <si>
    <t>ilr.fac1[9,2]   1.0009664  1.0034142</t>
  </si>
  <si>
    <t>ilr.fac1[9,1]   1.0002172  1.0011418</t>
  </si>
  <si>
    <t>ilr.fac1[8,4]   1.0002574  1.0004817</t>
  </si>
  <si>
    <t>ilr.fac1[8,3]   0.9997917  1.0000379</t>
  </si>
  <si>
    <t>ilr.fac1[8,2]   1.0009810  1.0047225</t>
  </si>
  <si>
    <t>ilr.fac1[8,1]   0.9999795  1.0008391</t>
  </si>
  <si>
    <t>ilr.fac1[7,4]   1.0020867  1.0034713</t>
  </si>
  <si>
    <t>ilr.fac1[7,3]   1.0001173  1.0003298</t>
  </si>
  <si>
    <t>ilr.fac1[7,2]   1.0001371  1.0003809</t>
  </si>
  <si>
    <t>ilr.fac1[7,1]   0.9996538  0.9996759</t>
  </si>
  <si>
    <t>ilr.fac1[6,4]   1.0007070  1.0025164</t>
  </si>
  <si>
    <t>ilr.fac1[6,3]   1.0003402  1.0024547</t>
  </si>
  <si>
    <t>ilr.fac1[6,2]   0.9996069  0.9998583</t>
  </si>
  <si>
    <t>ilr.fac1[6,1]   1.0008776  1.0043518</t>
  </si>
  <si>
    <t>ilr.fac1[5,4]   0.9998001  1.0006054</t>
  </si>
  <si>
    <t>ilr.fac1[5,3]   0.9998395  1.0001011</t>
  </si>
  <si>
    <t>ilr.fac1[5,2]   0.9997399  1.0000127</t>
  </si>
  <si>
    <t>ilr.fac1[5,1]   0.9999665  1.0008995</t>
  </si>
  <si>
    <t>ilr.fac1[4,4]   1.0001300  1.0009879</t>
  </si>
  <si>
    <t>ilr.fac1[4,3]   1.0014427  1.0052849</t>
  </si>
  <si>
    <t>ilr.fac1[4,2]   1.0001289  1.0008429</t>
  </si>
  <si>
    <t>ilr.fac1[4,1]   0.9997080  1.0001120</t>
  </si>
  <si>
    <t>ilr.fac1[3,4]   0.9999820  1.0011897</t>
  </si>
  <si>
    <t>ilr.fac1[3,3]   0.9999830  1.0009612</t>
  </si>
  <si>
    <t>ilr.fac1[3,2]   0.9998453  1.0007029</t>
  </si>
  <si>
    <t>ilr.fac1[3,1]   0.9999771  1.0005125</t>
  </si>
  <si>
    <t>ilr.fac1[24,4]  0.9999452  1.0007888</t>
  </si>
  <si>
    <t>ilr.fac1[24,3]  1.0023054  1.0094249</t>
  </si>
  <si>
    <t>ilr.fac1[24,2]  0.9997221  1.0002514</t>
  </si>
  <si>
    <t>ilr.fac1[24,1]  1.0014869  1.0050073</t>
  </si>
  <si>
    <t>ilr.fac1[23,4]  1.0002286  1.0003559</t>
  </si>
  <si>
    <t>ilr.fac1[23,3]  0.9999085  0.9999825</t>
  </si>
  <si>
    <t>ilr.fac1[23,2]  1.0000186  1.0013315</t>
  </si>
  <si>
    <t>ilr.fac1[23,1]  1.0002182  1.0020060</t>
  </si>
  <si>
    <t>ilr.fac1[22,4]  0.9999249  1.0000379</t>
  </si>
  <si>
    <t>ilr.fac1[22,3]  1.0000672  1.0010574</t>
  </si>
  <si>
    <t>ilr.fac1[22,2]  1.0020888  1.0045549</t>
  </si>
  <si>
    <t>ilr.fac1[22,1]  1.0010202  1.0049005</t>
  </si>
  <si>
    <t>ilr.fac1[21,4]  1.0014425  1.0020207</t>
  </si>
  <si>
    <t>ilr.fac1[21,3]  1.0010867  1.0052659</t>
  </si>
  <si>
    <t>ilr.fac1[21,2]  1.0009987  1.0049883</t>
  </si>
  <si>
    <t>ilr.fac1[21,1]  1.0005694  1.0031769</t>
  </si>
  <si>
    <t>ilr.fac1[20,4]  1.0008394  1.0033800</t>
  </si>
  <si>
    <t>ilr.fac1[20,3]  1.0001058  1.0008260</t>
  </si>
  <si>
    <t>ilr.fac1[20,2]  1.0002032  1.0007794</t>
  </si>
  <si>
    <t>ilr.fac1[20,1]  0.9999679  1.0010165</t>
  </si>
  <si>
    <t>ilr.fac1[2,4]   1.0024616  1.0067532</t>
  </si>
  <si>
    <t>ilr.fac1[2,3]   0.9999779  1.0007990</t>
  </si>
  <si>
    <t>ilr.fac1[2,2]   1.0001441  1.0018533</t>
  </si>
  <si>
    <t>ilr.fac1[2,1]   1.0009994  1.0040873</t>
  </si>
  <si>
    <t>ilr.fac1[19,4]  1.0005748  1.0006096</t>
  </si>
  <si>
    <t>ilr.fac1[19,3]  0.9998939  1.0006716</t>
  </si>
  <si>
    <t>ilr.fac1[19,2]  1.0005144  1.0020626</t>
  </si>
  <si>
    <t>ilr.fac1[19,1]  1.0006922  1.0015476</t>
  </si>
  <si>
    <t>ilr.fac1[18,4]  1.0005370  1.0018715</t>
  </si>
  <si>
    <t>ilr.fac1[18,3]  0.9997233  1.0002232</t>
  </si>
  <si>
    <t>ilr.fac1[18,2]  0.9998539  0.9998556</t>
  </si>
  <si>
    <t>ilr.fac1[18,1]  1.0002679  1.0010838</t>
  </si>
  <si>
    <t>ilr.fac1[17,4]  1.0003431  1.0012894</t>
  </si>
  <si>
    <t>ilr.fac1[17,3]  0.9996125  0.9997689</t>
  </si>
  <si>
    <t>ilr.fac1[17,2]  1.0002182  1.0010649</t>
  </si>
  <si>
    <t>ilr.fac1[17,1]  1.0003021  1.0016502</t>
  </si>
  <si>
    <t>ilr.fac1[16,4]  1.0002619  1.0009341</t>
  </si>
  <si>
    <t>ilr.fac1[16,3]  0.9996032  0.9998542</t>
  </si>
  <si>
    <t>ilr.fac1[16,2]  1.0009051  1.0038023</t>
  </si>
  <si>
    <t>ilr.fac1[16,1]  0.9995935  0.9996997</t>
  </si>
  <si>
    <t>ilr.fac1[15,4]  1.0003237  1.0024056</t>
  </si>
  <si>
    <t>ilr.fac1[15,3]  1.0018253  1.0058578</t>
  </si>
  <si>
    <t>ilr.fac1[15,2]  1.0007033  1.0018685</t>
  </si>
  <si>
    <t>ilr.fac1[15,1]  1.0007710  1.0028502</t>
  </si>
  <si>
    <t>ilr.fac1[14,4]  1.0010001  1.0040619</t>
  </si>
  <si>
    <t>ilr.fac1[14,3]  1.0010973  1.0035552</t>
  </si>
  <si>
    <t>ilr.fac1[14,2]  1.0005421  1.0030498</t>
  </si>
  <si>
    <t>ilr.fac1[14,1]  1.0018082  1.0028689</t>
  </si>
  <si>
    <t>ilr.fac1[13,4]  1.0011559  1.0055806</t>
  </si>
  <si>
    <t>ilr.fac1[13,3]  1.0003927  1.0020601</t>
  </si>
  <si>
    <t>ilr.fac1[13,2]  1.0002962  1.0016092</t>
  </si>
  <si>
    <t>ilr.fac1[13,1]  1.0002246  1.0021089</t>
  </si>
  <si>
    <t>ilr.fac1[12,4]  1.0001347  1.0017006</t>
  </si>
  <si>
    <t>ilr.fac1[12,3]  1.0011469  1.0041966</t>
  </si>
  <si>
    <t>ilr.fac1[12,2]  1.0003402  1.0025065</t>
  </si>
  <si>
    <t>ilr.fac1[12,1]  0.9995040  0.9995078</t>
  </si>
  <si>
    <t>ilr.fac1[11,4]  0.9997094  1.0000715</t>
  </si>
  <si>
    <t>ilr.fac1[11,3]  1.0007821  1.0027636</t>
  </si>
  <si>
    <t>ilr.fac1[11,2]  1.0006202  1.0035631</t>
  </si>
  <si>
    <t>ilr.fac1[11,1]  0.9998154  1.0004990</t>
  </si>
  <si>
    <t>ilr.fac1[10,4]  0.9995756  0.9996188</t>
  </si>
  <si>
    <t>ilr.fac1[10,3]  1.0014095  1.0057565</t>
  </si>
  <si>
    <t>ilr.fac1[10,2]  1.0001105  1.0012655</t>
  </si>
  <si>
    <t>ilr.fac1[10,1]  1.0003630  1.0017658</t>
  </si>
  <si>
    <t>deviance        1.0005535  1.0032191</t>
  </si>
  <si>
    <t>p.fac1[23,3]   1.024103   1.024725</t>
  </si>
  <si>
    <t>p.fac1[16,3]   1.024979   1.028791</t>
  </si>
  <si>
    <t>p.fac1[24,3]   1.025200   1.027320</t>
  </si>
  <si>
    <t>p.fac1[19,3]   1.025384   1.027070</t>
  </si>
  <si>
    <t>p.fac1[6,3]    1.026716   1.029846</t>
  </si>
  <si>
    <t>p.global[3]    1.034824   1.036986</t>
  </si>
  <si>
    <t>p.fac1[1,3]    1.034824   1.036986</t>
  </si>
  <si>
    <t>p.fac1[4,3]    1.040268   1.045858</t>
  </si>
  <si>
    <t>p.fac1[9,3]    1.045452   1.049125</t>
  </si>
  <si>
    <t>p.fac1[2,3]    1.070678   1.072435</t>
  </si>
  <si>
    <t>0 &gt; 1.1</t>
  </si>
  <si>
    <t>1 &gt; 1.05</t>
  </si>
  <si>
    <t>Out of 246 variables: 20 &gt; 1.01</t>
  </si>
  <si>
    <t>DIC = 200.5691</t>
  </si>
  <si>
    <t>p.global[5]     1.866 -1.777 -2.223</t>
  </si>
  <si>
    <t>p.global[4]    -2.017  1.501  2.356</t>
  </si>
  <si>
    <t>p.global[3]    -1.169  0.587 -1.045</t>
  </si>
  <si>
    <t>p.global[2]     0.891 -0.730 -1.208</t>
  </si>
  <si>
    <t>p.global[1]    -1.093  1.031  0.073</t>
  </si>
  <si>
    <t>p.fac1[9,5]     1.121 -0.701 -1.757</t>
  </si>
  <si>
    <t>p.fac1[9,4]     0.183  1.260  1.766</t>
  </si>
  <si>
    <t>p.fac1[9,3]    -1.097  0.896 -0.898</t>
  </si>
  <si>
    <t>p.fac1[9,2]    -0.789 -1.931  0.200</t>
  </si>
  <si>
    <t>p.fac1[9,1]    -2.318  0.238  0.118</t>
  </si>
  <si>
    <t>p.fac1[8,5]    -0.271 -1.086 -2.117</t>
  </si>
  <si>
    <t>p.fac1[8,4]    -0.129  0.981  1.789</t>
  </si>
  <si>
    <t>p.fac1[8,3]     0.673  0.823  0.405</t>
  </si>
  <si>
    <t>p.fac1[8,2]     1.387 -1.640 -0.449</t>
  </si>
  <si>
    <t>p.fac1[8,1]    -0.256  0.591  1.068</t>
  </si>
  <si>
    <t>p.fac1[7,5]     1.033 -0.098  0.061</t>
  </si>
  <si>
    <t>p.fac1[7,4]    -0.328 -0.257 -0.467</t>
  </si>
  <si>
    <t>p.fac1[7,3]     0.603  0.663  0.928</t>
  </si>
  <si>
    <t>p.fac1[7,2]    -0.684 -0.695  1.098</t>
  </si>
  <si>
    <t>p.fac1[7,1]    -0.668  0.725 -1.457</t>
  </si>
  <si>
    <t>p.fac1[6,5]     0.607 -1.505 -4.040</t>
  </si>
  <si>
    <t>p.fac1[6,4]     0.855  0.175  2.557</t>
  </si>
  <si>
    <t>p.fac1[6,3]    -2.181  0.901 -0.186</t>
  </si>
  <si>
    <t>p.fac1[6,2]    -0.656  0.320 -0.627</t>
  </si>
  <si>
    <t>p.fac1[6,1]    -3.217  1.386 -0.034</t>
  </si>
  <si>
    <t>p.fac1[5,5]     0.540 -1.133 -0.553</t>
  </si>
  <si>
    <t>p.fac1[5,4]    -0.273  0.930  0.870</t>
  </si>
  <si>
    <t>p.fac1[5,3]     0.241  0.662 -1.431</t>
  </si>
  <si>
    <t>p.fac1[5,2]     0.828 -0.032 -0.782</t>
  </si>
  <si>
    <t>p.fac1[5,1]    -1.632  0.649  0.553</t>
  </si>
  <si>
    <t>p.fac1[4,5]    -2.089 -0.901 -1.546</t>
  </si>
  <si>
    <t>p.fac1[4,4]     1.493  0.142  1.909</t>
  </si>
  <si>
    <t>p.fac1[4,3]    -2.732 -0.225  0.205</t>
  </si>
  <si>
    <t>p.fac1[4,2]    -0.121  0.440 -1.052</t>
  </si>
  <si>
    <t>p.fac1[4,1]    -1.069  0.694 -0.663</t>
  </si>
  <si>
    <t>p.fac1[3,5]    -0.635 -1.348 -0.461</t>
  </si>
  <si>
    <t>p.fac1[3,4]    -0.871  0.937  0.625</t>
  </si>
  <si>
    <t>p.fac1[3,3]    -0.738 -0.011 -1.208</t>
  </si>
  <si>
    <t>p.fac1[3,2]     2.065 -0.475 -0.301</t>
  </si>
  <si>
    <t>p.fac1[3,1]    -1.508  1.548 -0.112</t>
  </si>
  <si>
    <t>p.fac1[24,5]    1.027 -0.930 -1.548</t>
  </si>
  <si>
    <t>p.fac1[24,4]   -0.971  1.468  1.046</t>
  </si>
  <si>
    <t>p.fac1[24,3]   -0.734 -0.814 -0.286</t>
  </si>
  <si>
    <t>p.fac1[24,2]    0.730 -2.476 -0.385</t>
  </si>
  <si>
    <t>p.fac1[24,1]   -1.048  1.547  1.786</t>
  </si>
  <si>
    <t>p.fac1[23,5]   -0.319 -0.239 -1.350</t>
  </si>
  <si>
    <t>p.fac1[23,4]   -0.509  0.168  1.596</t>
  </si>
  <si>
    <t>p.fac1[23,3]   -0.121 -1.300 -0.251</t>
  </si>
  <si>
    <t>p.fac1[23,2]    1.716  0.402 -0.474</t>
  </si>
  <si>
    <t>p.fac1[23,1]   -1.971 -0.675 -0.448</t>
  </si>
  <si>
    <t>p.fac1[22,5]   -0.988 -1.547 -1.439</t>
  </si>
  <si>
    <t>p.fac1[22,4]    1.498  1.820  1.399</t>
  </si>
  <si>
    <t>p.fac1[22,3]   -1.567  0.648 -0.145</t>
  </si>
  <si>
    <t>p.fac1[22,2]   -0.196 -0.974 -0.765</t>
  </si>
  <si>
    <t>p.fac1[22,1]   -1.329 -0.014  0.415</t>
  </si>
  <si>
    <t>p.fac1[21,5]    1.134 -1.128 -1.910</t>
  </si>
  <si>
    <t>p.fac1[21,4]   -0.348  1.126  1.379</t>
  </si>
  <si>
    <t>p.fac1[21,3]   -1.390  1.547 -0.467</t>
  </si>
  <si>
    <t>p.fac1[21,2]   -0.747 -1.180 -0.141</t>
  </si>
  <si>
    <t>p.fac1[21,1]   -0.583  0.747  0.255</t>
  </si>
  <si>
    <t>p.fac1[20,5]    0.939  0.279 -1.520</t>
  </si>
  <si>
    <t>p.fac1[20,4]   -0.573  1.011  1.017</t>
  </si>
  <si>
    <t>p.fac1[20,3]   -0.962 -1.439 -2.676</t>
  </si>
  <si>
    <t>p.fac1[20,2]   -0.506 -2.223  0.259</t>
  </si>
  <si>
    <t>p.fac1[20,1]    0.569  0.655  0.743</t>
  </si>
  <si>
    <t>p.fac1[2,5]     0.146 -1.187 -2.012</t>
  </si>
  <si>
    <t>p.fac1[2,4]     0.041  0.795  2.885</t>
  </si>
  <si>
    <t>p.fac1[2,3]    -2.268  0.235 -1.589</t>
  </si>
  <si>
    <t>p.fac1[2,2]    -0.052 -0.001 -1.834</t>
  </si>
  <si>
    <t>p.fac1[2,1]    -0.177  0.380 -0.053</t>
  </si>
  <si>
    <t>p.fac1[19,5]   -0.140 -1.688 -1.195</t>
  </si>
  <si>
    <t>p.fac1[19,4]    0.337  0.928  0.978</t>
  </si>
  <si>
    <t>p.fac1[19,3]   -2.618  0.486 -0.719</t>
  </si>
  <si>
    <t>p.fac1[19,2]    0.169 -0.115  0.314</t>
  </si>
  <si>
    <t>p.fac1[19,1]   -0.959  0.357 -0.864</t>
  </si>
  <si>
    <t>p.fac1[18,5]    0.235 -2.501 -1.970</t>
  </si>
  <si>
    <t>p.fac1[18,4]   -0.165  3.553  1.719</t>
  </si>
  <si>
    <t>p.fac1[18,3]   -0.627  0.187 -3.209</t>
  </si>
  <si>
    <t>p.fac1[18,2]    0.474 -1.005 -0.571</t>
  </si>
  <si>
    <t>p.fac1[18,1]   -1.738  0.134  1.046</t>
  </si>
  <si>
    <t>p.fac1[17,5]    1.409 -0.652 -1.263</t>
  </si>
  <si>
    <t>p.fac1[17,4]   -0.366  0.327  1.584</t>
  </si>
  <si>
    <t>p.fac1[17,3]   -0.542  0.804 -1.289</t>
  </si>
  <si>
    <t>p.fac1[17,2]   -1.319  0.188 -0.484</t>
  </si>
  <si>
    <t>p.fac1[17,1]   -0.289  0.213  1.254</t>
  </si>
  <si>
    <t>p.fac1[16,5]    1.221 -0.647 -0.934</t>
  </si>
  <si>
    <t>p.fac1[16,4]   -1.302  1.118 -0.653</t>
  </si>
  <si>
    <t>p.fac1[16,3]   -0.900 -0.443  0.725</t>
  </si>
  <si>
    <t>p.fac1[16,2]    0.947 -1.155  1.490</t>
  </si>
  <si>
    <t>p.fac1[16,1]   -1.077  0.352  1.104</t>
  </si>
  <si>
    <t>p.fac1[15,5]    0.059 -2.523 -0.068</t>
  </si>
  <si>
    <t>p.fac1[15,4]    0.042  0.766  0.278</t>
  </si>
  <si>
    <t>p.fac1[15,3]    0.182  0.262 -0.808</t>
  </si>
  <si>
    <t>p.fac1[15,2]    0.451  0.569  0.022</t>
  </si>
  <si>
    <t>p.fac1[15,1]   -1.372  1.350 -0.598</t>
  </si>
  <si>
    <t>p.fac1[14,5]   -0.785 -2.486  0.396</t>
  </si>
  <si>
    <t>p.fac1[14,4]   -0.273  1.430  0.351</t>
  </si>
  <si>
    <t>p.fac1[14,3]   -0.155  1.391 -1.538</t>
  </si>
  <si>
    <t>p.fac1[14,2]    1.426  0.121 -0.403</t>
  </si>
  <si>
    <t>p.fac1[14,1]    0.611  0.811 -0.433</t>
  </si>
  <si>
    <t>p.fac1[13,5]   -0.516 -0.968 -1.436</t>
  </si>
  <si>
    <t>p.fac1[13,4]   -0.141 -0.890  1.076</t>
  </si>
  <si>
    <t>p.fac1[13,3]   -0.108  1.740 -0.767</t>
  </si>
  <si>
    <t>p.fac1[13,2]    0.956  1.313  0.210</t>
  </si>
  <si>
    <t>p.fac1[13,1]   -0.654  1.143 -0.102</t>
  </si>
  <si>
    <t>p.fac1[12,5]    1.389  1.205 -1.255</t>
  </si>
  <si>
    <t>p.fac1[12,4]   -1.654 -0.454  1.439</t>
  </si>
  <si>
    <t>p.fac1[12,3]   -0.682  1.015  0.014</t>
  </si>
  <si>
    <t>p.fac1[12,2]    1.071 -0.785 -0.128</t>
  </si>
  <si>
    <t>p.fac1[12,1]   -0.168 -0.507 -0.493</t>
  </si>
  <si>
    <t>p.fac1[11,5]   -1.423 -1.893 -2.297</t>
  </si>
  <si>
    <t>p.fac1[11,4]    1.862  1.611  3.487</t>
  </si>
  <si>
    <t>p.fac1[11,3]    0.588  0.692  0.449</t>
  </si>
  <si>
    <t>p.fac1[11,2]   -1.285 -0.376 -2.788</t>
  </si>
  <si>
    <t>p.fac1[11,1]   -0.765  0.149  0.651</t>
  </si>
  <si>
    <t>p.fac1[10,5]    1.481  1.423 -0.951</t>
  </si>
  <si>
    <t>p.fac1[10,4]    0.279 -0.140  2.126</t>
  </si>
  <si>
    <t>p.fac1[10,3]   -0.145 -0.833 -1.531</t>
  </si>
  <si>
    <t>p.fac1[10,2]   -1.186 -0.722 -1.307</t>
  </si>
  <si>
    <t>p.fac1[10,1]   -2.401 -0.810 -1.416</t>
  </si>
  <si>
    <t>p.fac1[1,5]     1.866 -1.777 -2.223</t>
  </si>
  <si>
    <t>p.fac1[1,4]    -2.017  1.501  2.356</t>
  </si>
  <si>
    <t>p.fac1[1,3]    -1.169  0.587 -1.045</t>
  </si>
  <si>
    <t>p.fac1[1,2]     0.891 -0.730 -1.208</t>
  </si>
  <si>
    <t>p.fac1[1,1]    -1.093  1.031  0.073</t>
  </si>
  <si>
    <t>loglik[9]       0.611  0.087 -1.988</t>
  </si>
  <si>
    <t>loglik[8]      -0.543 -0.560 -1.381</t>
  </si>
  <si>
    <t>loglik[7]       0.095  0.552 -0.109</t>
  </si>
  <si>
    <t>loglik[6]      -0.500 -1.139  1.210</t>
  </si>
  <si>
    <t>loglik[5]      -0.760 -1.843  0.292</t>
  </si>
  <si>
    <t>loglik[4]       2.928  1.695  1.258</t>
  </si>
  <si>
    <t>loglik[3]       0.355 -0.198 -0.164</t>
  </si>
  <si>
    <t>loglik[24]     -0.050 -0.889 -0.106</t>
  </si>
  <si>
    <t>loglik[23]     -0.447  0.911 -0.628</t>
  </si>
  <si>
    <t>loglik[22]      0.592 -1.054 -0.283</t>
  </si>
  <si>
    <t>loglik[21]     -0.439  0.839  0.567</t>
  </si>
  <si>
    <t>loglik[20]     -0.377  0.895 -0.843</t>
  </si>
  <si>
    <t>loglik[2]       0.920  0.234  1.794</t>
  </si>
  <si>
    <t>loglik[19]      0.167  0.557 -0.091</t>
  </si>
  <si>
    <t>loglik[18]     -0.265  1.540  3.784</t>
  </si>
  <si>
    <t>loglik[17]     -0.127  0.110  0.304</t>
  </si>
  <si>
    <t>loglik[16]      2.470  0.631  1.107</t>
  </si>
  <si>
    <t>loglik[15]      2.369 -0.030  1.127</t>
  </si>
  <si>
    <t>loglik[14]      1.160  0.667  0.058</t>
  </si>
  <si>
    <t>loglik[13]      0.297  0.873 -0.825</t>
  </si>
  <si>
    <t>loglik[12]      1.689  0.825  0.074</t>
  </si>
  <si>
    <t>loglik[11]      2.119  0.667 -1.187</t>
  </si>
  <si>
    <t>loglik[10]     -0.142  0.290 -0.183</t>
  </si>
  <si>
    <t>loglik[1]       1.157 -0.582 -2.072</t>
  </si>
  <si>
    <t>ilr.fac1[9,4]  -1.003  0.236  2.047</t>
  </si>
  <si>
    <t>ilr.fac1[9,3]  -1.209 -1.440  1.084</t>
  </si>
  <si>
    <t>ilr.fac1[9,2]  -0.532 -2.526 -1.053</t>
  </si>
  <si>
    <t>ilr.fac1[9,1]  -0.127  0.726 -0.630</t>
  </si>
  <si>
    <t>ilr.fac1[8,4]   1.068  0.695  1.672</t>
  </si>
  <si>
    <t>ilr.fac1[8,3]  -0.167 -0.269 -1.443</t>
  </si>
  <si>
    <t>ilr.fac1[8,2]   0.933 -0.566 -0.114</t>
  </si>
  <si>
    <t>ilr.fac1[8,1]   0.859  0.540  0.621</t>
  </si>
  <si>
    <t>ilr.fac1[7,4]   0.011 -0.512 -0.814</t>
  </si>
  <si>
    <t>ilr.fac1[7,3]  -0.732  0.640  2.115</t>
  </si>
  <si>
    <t>ilr.fac1[7,2]  -2.324  0.508 -0.383</t>
  </si>
  <si>
    <t>ilr.fac1[7,1]   1.192  1.652 -0.673</t>
  </si>
  <si>
    <t>ilr.fac1[6,4]   0.021  1.291  1.156</t>
  </si>
  <si>
    <t>ilr.fac1[6,3]  -2.815  0.959 -0.025</t>
  </si>
  <si>
    <t>ilr.fac1[6,2]  -1.104  0.506 -0.684</t>
  </si>
  <si>
    <t>ilr.fac1[6,1]  -0.987  1.839 -0.292</t>
  </si>
  <si>
    <t>ilr.fac1[5,4]   0.153  1.307 -0.891</t>
  </si>
  <si>
    <t>ilr.fac1[5,3]  -0.424  0.680  0.441</t>
  </si>
  <si>
    <t>ilr.fac1[5,2]  -0.280 -0.742  0.978</t>
  </si>
  <si>
    <t>ilr.fac1[5,1]  -0.689 -0.525 -0.215</t>
  </si>
  <si>
    <t>ilr.fac1[4,4]   1.373 -0.001  0.303</t>
  </si>
  <si>
    <t>ilr.fac1[4,3]  -1.932 -0.287  0.247</t>
  </si>
  <si>
    <t>ilr.fac1[4,2]  -0.249  1.910 -2.233</t>
  </si>
  <si>
    <t>ilr.fac1[4,1]  -0.107 -0.486  0.137</t>
  </si>
  <si>
    <t>ilr.fac1[3,4]   0.502  1.265 -0.259</t>
  </si>
  <si>
    <t>ilr.fac1[3,3]   0.551 -0.155  0.938</t>
  </si>
  <si>
    <t>ilr.fac1[3,2]  -0.739  0.327  0.203</t>
  </si>
  <si>
    <t>ilr.fac1[3,1]  -1.776  1.153 -1.297</t>
  </si>
  <si>
    <t>ilr.fac1[24,4] -0.491  0.144  0.974</t>
  </si>
  <si>
    <t>ilr.fac1[24,3] -0.346 -0.630  0.253</t>
  </si>
  <si>
    <t>ilr.fac1[24,2] -0.045  1.144  1.372</t>
  </si>
  <si>
    <t>ilr.fac1[24,1] -0.211  1.892  0.714</t>
  </si>
  <si>
    <t>ilr.fac1[23,4]  1.061 -0.649 -0.789</t>
  </si>
  <si>
    <t>ilr.fac1[23,3] -0.381  0.499 -1.900</t>
  </si>
  <si>
    <t>ilr.fac1[23,2] -1.295  1.130  0.502</t>
  </si>
  <si>
    <t>ilr.fac1[23,1] -2.031 -1.023 -0.685</t>
  </si>
  <si>
    <t>ilr.fac1[22,4]  1.031  0.942  0.564</t>
  </si>
  <si>
    <t>ilr.fac1[22,3] -2.388 -1.235  0.138</t>
  </si>
  <si>
    <t>ilr.fac1[22,2]  0.239 -0.530 -0.674</t>
  </si>
  <si>
    <t>ilr.fac1[22,1]  0.944 -0.864  1.209</t>
  </si>
  <si>
    <t>ilr.fac1[21,4] -0.009  0.423  0.456</t>
  </si>
  <si>
    <t>ilr.fac1[21,3] -0.767 -0.519  0.592</t>
  </si>
  <si>
    <t>ilr.fac1[21,2] -0.521 -0.836  0.572</t>
  </si>
  <si>
    <t>ilr.fac1[21,1]  0.009  0.552 -1.178</t>
  </si>
  <si>
    <t>ilr.fac1[20,4] -1.291 -1.176  0.901</t>
  </si>
  <si>
    <t>ilr.fac1[20,3] -1.609 -0.373  0.861</t>
  </si>
  <si>
    <t>ilr.fac1[20,2]  0.969  1.719  1.165</t>
  </si>
  <si>
    <t>ilr.fac1[20,1]  1.180  2.101  0.085</t>
  </si>
  <si>
    <t>ilr.fac1[2,4]   0.354  0.597  0.345</t>
  </si>
  <si>
    <t>ilr.fac1[2,3]  -0.334 -0.430 -0.750</t>
  </si>
  <si>
    <t>ilr.fac1[2,2]   1.551  1.435 -1.107</t>
  </si>
  <si>
    <t>ilr.fac1[2,1]   0.778  0.343  1.148</t>
  </si>
  <si>
    <t>ilr.fac1[19,4]  0.654  0.841  0.567</t>
  </si>
  <si>
    <t>ilr.fac1[19,3] -1.643 -0.222  0.687</t>
  </si>
  <si>
    <t>ilr.fac1[19,2]  2.081 -1.343 -0.221</t>
  </si>
  <si>
    <t>ilr.fac1[19,1]  0.645  1.236 -1.840</t>
  </si>
  <si>
    <t>ilr.fac1[18,4]  0.045  2.123  0.312</t>
  </si>
  <si>
    <t>ilr.fac1[18,3] -1.248 -1.069 -0.092</t>
  </si>
  <si>
    <t>ilr.fac1[18,2] -1.002  0.997  2.667</t>
  </si>
  <si>
    <t>ilr.fac1[18,1] -0.907  0.445  0.953</t>
  </si>
  <si>
    <t>ilr.fac1[17,4]  0.408  0.071  0.378</t>
  </si>
  <si>
    <t>ilr.fac1[17,3]  0.210  0.416  1.459</t>
  </si>
  <si>
    <t>ilr.fac1[17,2] -0.659 -0.364  2.060</t>
  </si>
  <si>
    <t>ilr.fac1[17,1]  1.079 -0.834  1.666</t>
  </si>
  <si>
    <t>ilr.fac1[16,4]  0.655 -0.468  0.459</t>
  </si>
  <si>
    <t>ilr.fac1[16,3]  0.595 -0.431  2.366</t>
  </si>
  <si>
    <t>ilr.fac1[16,2]  0.047 -0.264 -0.039</t>
  </si>
  <si>
    <t>ilr.fac1[16,1] -0.743  0.227  0.687</t>
  </si>
  <si>
    <t>ilr.fac1[15,4]  1.465  2.311 -1.293</t>
  </si>
  <si>
    <t>ilr.fac1[15,3]  0.444  0.938  1.320</t>
  </si>
  <si>
    <t>ilr.fac1[15,2] -1.847  0.903 -1.472</t>
  </si>
  <si>
    <t>ilr.fac1[15,1] -0.068 -0.301 -0.020</t>
  </si>
  <si>
    <t>ilr.fac1[14,4]  1.917  3.572 -1.582</t>
  </si>
  <si>
    <t>ilr.fac1[14,3] -0.315  0.994 -0.209</t>
  </si>
  <si>
    <t>ilr.fac1[14,2]  0.934 -0.680  1.165</t>
  </si>
  <si>
    <t>ilr.fac1[14,1]  1.109  0.590 -0.127</t>
  </si>
  <si>
    <t>ilr.fac1[13,4]  1.398  1.557 -0.928</t>
  </si>
  <si>
    <t>ilr.fac1[13,3]  0.047  2.421 -0.110</t>
  </si>
  <si>
    <t>ilr.fac1[13,2] -1.881  0.161 -1.032</t>
  </si>
  <si>
    <t>ilr.fac1[13,1] -0.608  1.994 -0.679</t>
  </si>
  <si>
    <t>ilr.fac1[12,4] -0.893 -2.308 -0.138</t>
  </si>
  <si>
    <t>ilr.fac1[12,3]  0.165  0.793  0.152</t>
  </si>
  <si>
    <t>ilr.fac1[12,2]  1.507 -0.989 -0.131</t>
  </si>
  <si>
    <t>ilr.fac1[12,1] -0.154 -1.777 -0.428</t>
  </si>
  <si>
    <t>ilr.fac1[11,4]  2.140  0.163  0.864</t>
  </si>
  <si>
    <t>ilr.fac1[11,3] -1.960 -0.823 -1.605</t>
  </si>
  <si>
    <t>ilr.fac1[11,2]  0.120 -0.665 -2.520</t>
  </si>
  <si>
    <t>ilr.fac1[11,1]  0.516 -0.302  1.244</t>
  </si>
  <si>
    <t>ilr.fac1[10,4] -1.982 -2.140 -0.410</t>
  </si>
  <si>
    <t>ilr.fac1[10,3] -2.543 -0.537 -0.766</t>
  </si>
  <si>
    <t>ilr.fac1[10,2]  1.083  0.834 -0.255</t>
  </si>
  <si>
    <t>ilr.fac1[10,1]  0.340 -0.509 -0.200</t>
  </si>
  <si>
    <t>deviance       -1.422  0.154 -0.949</t>
  </si>
  <si>
    <t>Geweke      24      15      26</t>
  </si>
  <si>
    <t>p.global[5]     1.0002769  1.0022161</t>
  </si>
  <si>
    <t>p.global[4]     1.0015633  1.0067654</t>
  </si>
  <si>
    <t>p.global[3]     1.0056605  1.0070584</t>
  </si>
  <si>
    <t>p.global[2]     1.0001479  1.0018739</t>
  </si>
  <si>
    <t>p.global[1]     1.0016646  1.0035232</t>
  </si>
  <si>
    <t>p.fac1[9,5]     0.9997935  0.9998800</t>
  </si>
  <si>
    <t>p.fac1[9,4]     1.0009470  1.0029997</t>
  </si>
  <si>
    <t>p.fac1[9,3]     1.0043407  1.0072605</t>
  </si>
  <si>
    <t>p.fac1[9,2]     1.0023734  1.0057263</t>
  </si>
  <si>
    <t>p.fac1[9,1]     1.0025824  1.0058418</t>
  </si>
  <si>
    <t>p.fac1[8,5]     0.9998758  1.0000220</t>
  </si>
  <si>
    <t>p.fac1[8,4]     0.9997562  1.0002500</t>
  </si>
  <si>
    <t>p.fac1[8,3]     1.0050913  1.0056937</t>
  </si>
  <si>
    <t>p.fac1[8,2]     1.0120637  1.0120960</t>
  </si>
  <si>
    <t>p.fac1[8,1]     1.0035006  1.0039566</t>
  </si>
  <si>
    <t>p.fac1[7,5]     1.0004640  1.0013917</t>
  </si>
  <si>
    <t>p.fac1[7,4]     1.0004331  1.0017559</t>
  </si>
  <si>
    <t>p.fac1[7,3]     1.0906234  1.0912056</t>
  </si>
  <si>
    <t>p.fac1[7,2]     1.0001276  1.0005457</t>
  </si>
  <si>
    <t>p.fac1[7,1]     0.9999557  1.0000097</t>
  </si>
  <si>
    <t>p.fac1[6,5]     1.0006211  1.0019784</t>
  </si>
  <si>
    <t>p.fac1[6,4]     1.0006434  1.0027260</t>
  </si>
  <si>
    <t>p.fac1[6,3]     1.0081326  1.0091390</t>
  </si>
  <si>
    <t>p.fac1[6,2]     0.9997969  1.0000064</t>
  </si>
  <si>
    <t>p.fac1[6,1]     1.0002641  1.0017645</t>
  </si>
  <si>
    <t>p.fac1[5,5]     1.0000462  1.0011827</t>
  </si>
  <si>
    <t>p.fac1[5,4]     1.0000659  1.0009446</t>
  </si>
  <si>
    <t>p.fac1[5,3]     1.0039434  1.0060573</t>
  </si>
  <si>
    <t>p.fac1[5,2]     1.0021823  1.0064081</t>
  </si>
  <si>
    <t>p.fac1[5,1]     1.0065705  1.0130743</t>
  </si>
  <si>
    <t>p.fac1[4,5]     1.0015514  1.0021088</t>
  </si>
  <si>
    <t>p.fac1[4,4]     1.0007577  1.0036035</t>
  </si>
  <si>
    <t>p.fac1[4,3]     1.0062630  1.0065698</t>
  </si>
  <si>
    <t>p.fac1[4,2]     1.0022997  1.0063960</t>
  </si>
  <si>
    <t>p.fac1[4,1]     0.9996841  0.9997206</t>
  </si>
  <si>
    <t>p.fac1[3,5]     1.0007217  1.0008550</t>
  </si>
  <si>
    <t>p.fac1[3,4]     1.0006485  1.0029738</t>
  </si>
  <si>
    <t>p.fac1[3,3]     1.0253092  1.0258331</t>
  </si>
  <si>
    <t>p.fac1[3,2]     1.0005520  1.0031997</t>
  </si>
  <si>
    <t>p.fac1[3,1]     1.0038973  1.0104017</t>
  </si>
  <si>
    <t>p.fac1[24,5]    1.0004548  1.0028189</t>
  </si>
  <si>
    <t>p.fac1[24,4]    1.0005865  1.0034710</t>
  </si>
  <si>
    <t>p.fac1[24,3]    1.0256384  1.0302985</t>
  </si>
  <si>
    <t>p.fac1[24,2]    1.0001911  1.0008944</t>
  </si>
  <si>
    <t>p.fac1[24,1]    1.0013180  1.0022488</t>
  </si>
  <si>
    <t>p.fac1[23,5]    0.9997016  0.9998480</t>
  </si>
  <si>
    <t>p.fac1[23,4]    1.0003114  1.0014780</t>
  </si>
  <si>
    <t>p.fac1[23,3]    1.0063706  1.0065953</t>
  </si>
  <si>
    <t>p.fac1[23,2]    1.0002026  1.0013733</t>
  </si>
  <si>
    <t>p.fac1[23,1]    0.9999996  1.0007915</t>
  </si>
  <si>
    <t>p.fac1[22,5]    1.0023948  1.0080923</t>
  </si>
  <si>
    <t>p.fac1[22,4]    1.0036369  1.0144920</t>
  </si>
  <si>
    <t>p.fac1[22,3]    1.0341413  1.0351114</t>
  </si>
  <si>
    <t>p.fac1[22,2]    1.0032299  1.0089048</t>
  </si>
  <si>
    <t>p.fac1[22,1]    0.9999942  1.0000011</t>
  </si>
  <si>
    <t>p.fac1[21,5]    1.0002329  1.0009970</t>
  </si>
  <si>
    <t>p.fac1[21,4]    0.9998330  1.0004680</t>
  </si>
  <si>
    <t>p.fac1[21,3]    1.0173841  1.0195864</t>
  </si>
  <si>
    <t>p.fac1[21,2]    0.9996835  0.9998455</t>
  </si>
  <si>
    <t>p.fac1[21,1]    1.0008438  1.0024485</t>
  </si>
  <si>
    <t>p.fac1[20,5]    0.9997657  1.0001339</t>
  </si>
  <si>
    <t>p.fac1[20,4]    0.9998639  1.0000787</t>
  </si>
  <si>
    <t>p.fac1[20,3]    1.0143405  1.0176526</t>
  </si>
  <si>
    <t>p.fac1[20,2]    1.0006376  1.0021961</t>
  </si>
  <si>
    <t>p.fac1[20,1]    1.0021350  1.0027863</t>
  </si>
  <si>
    <t>p.fac1[2,5]     0.9997465  1.0001757</t>
  </si>
  <si>
    <t>p.fac1[2,4]     1.0003100  1.0020182</t>
  </si>
  <si>
    <t>p.fac1[2,3]     1.0032014  1.0036096</t>
  </si>
  <si>
    <t>p.fac1[2,2]     1.0002580  1.0015769</t>
  </si>
  <si>
    <t>p.fac1[2,1]     1.0064213  1.0069723</t>
  </si>
  <si>
    <t>p.fac1[19,5]    1.0013167  1.0045508</t>
  </si>
  <si>
    <t>p.fac1[19,4]    1.0004155  1.0028596</t>
  </si>
  <si>
    <t>p.fac1[19,3]    1.0024115  1.0026051</t>
  </si>
  <si>
    <t>p.fac1[19,2]    0.9995424  0.9996209</t>
  </si>
  <si>
    <t>p.fac1[19,1]    1.0002964  1.0013853</t>
  </si>
  <si>
    <t>p.fac1[18,5]    1.0024546  1.0075310</t>
  </si>
  <si>
    <t>p.fac1[18,4]    1.0013913  1.0063230</t>
  </si>
  <si>
    <t>p.fac1[18,3]    1.0057163  1.0061936</t>
  </si>
  <si>
    <t>p.fac1[18,2]    0.9998337  1.0007193</t>
  </si>
  <si>
    <t>p.fac1[18,1]    1.0001243  1.0013161</t>
  </si>
  <si>
    <t>p.fac1[17,5]    1.0012303  1.0032188</t>
  </si>
  <si>
    <t>p.fac1[17,4]    1.0011321  1.0048264</t>
  </si>
  <si>
    <t>p.fac1[17,3]    1.0017223  1.0045572</t>
  </si>
  <si>
    <t>p.fac1[17,2]    1.0001223  1.0011697</t>
  </si>
  <si>
    <t>p.fac1[17,1]    1.0003025  1.0012060</t>
  </si>
  <si>
    <t>p.fac1[16,5]    1.0009145  1.0030311</t>
  </si>
  <si>
    <t>p.fac1[16,4]    1.0001806  1.0016624</t>
  </si>
  <si>
    <t>p.fac1[16,3]    1.0043647  1.0057857</t>
  </si>
  <si>
    <t>p.fac1[16,2]    1.0011121  1.0038848</t>
  </si>
  <si>
    <t>p.fac1[16,1]    1.0002970  1.0013364</t>
  </si>
  <si>
    <t>p.fac1[15,5]    0.9997952  1.0004897</t>
  </si>
  <si>
    <t>p.fac1[15,4]    0.9995929  0.9995959</t>
  </si>
  <si>
    <t>p.fac1[15,3]    1.0019869  1.0024585</t>
  </si>
  <si>
    <t>p.fac1[15,2]    1.0001025  1.0011675</t>
  </si>
  <si>
    <t>p.fac1[15,1]    1.0003494  1.0011191</t>
  </si>
  <si>
    <t>p.fac1[14,5]    1.0016511  1.0052271</t>
  </si>
  <si>
    <t>p.fac1[14,4]    1.0002816  1.0021907</t>
  </si>
  <si>
    <t>p.fac1[14,3]    1.0233726  1.0243133</t>
  </si>
  <si>
    <t>p.fac1[14,2]    1.0020097  1.0060892</t>
  </si>
  <si>
    <t>p.fac1[14,1]    1.0019262  1.0034126</t>
  </si>
  <si>
    <t>p.fac1[13,5]    1.0006219  1.0032431</t>
  </si>
  <si>
    <t>p.fac1[13,4]    1.0010525  1.0046821</t>
  </si>
  <si>
    <t>p.fac1[13,3]    0.9997520  1.0001410</t>
  </si>
  <si>
    <t>p.fac1[13,2]    0.9996506  0.9997084</t>
  </si>
  <si>
    <t>p.fac1[13,1]    1.0020366  1.0041358</t>
  </si>
  <si>
    <t>p.fac1[12,5]    1.0008995  1.0041374</t>
  </si>
  <si>
    <t>p.fac1[12,4]    1.0001625  1.0016786</t>
  </si>
  <si>
    <t>p.fac1[12,3]    1.0355209  1.0376036</t>
  </si>
  <si>
    <t>p.fac1[12,2]    0.9998292  0.9999203</t>
  </si>
  <si>
    <t>p.fac1[12,1]    1.0005595  1.0006948</t>
  </si>
  <si>
    <t>p.fac1[11,5]    1.0004225  1.0028908</t>
  </si>
  <si>
    <t>p.fac1[11,4]    1.0022843  1.0088749</t>
  </si>
  <si>
    <t>p.fac1[11,3]    0.9997173  0.9999885</t>
  </si>
  <si>
    <t>p.fac1[11,2]    1.0033409  1.0080457</t>
  </si>
  <si>
    <t>p.fac1[11,1]    1.0005979  1.0022460</t>
  </si>
  <si>
    <t>p.fac1[10,5]    1.0011423  1.0045446</t>
  </si>
  <si>
    <t>p.fac1[10,4]    1.0006998  1.0034378</t>
  </si>
  <si>
    <t>p.fac1[10,3]    1.0178897  1.0185735</t>
  </si>
  <si>
    <t>p.fac1[10,2]    0.9998298  1.0000275</t>
  </si>
  <si>
    <t>p.fac1[10,1]    1.0009658  1.0020056</t>
  </si>
  <si>
    <t>p.fac1[1,5]     1.0002769  1.0022161</t>
  </si>
  <si>
    <t>p.fac1[1,4]     1.0015633  1.0067654</t>
  </si>
  <si>
    <t>p.fac1[1,3]     1.0056605  1.0070584</t>
  </si>
  <si>
    <t>p.fac1[1,2]     1.0001479  1.0018739</t>
  </si>
  <si>
    <t>p.fac1[1,1]     1.0016646  1.0035232</t>
  </si>
  <si>
    <t>loglik[9]       0.9995531  0.9996508</t>
  </si>
  <si>
    <t>loglik[8]       1.0026964  1.0078710</t>
  </si>
  <si>
    <t>loglik[7]       1.0006826  1.0036302</t>
  </si>
  <si>
    <t>loglik[6]       1.0014260  1.0063477</t>
  </si>
  <si>
    <t>loglik[5]       1.0013559  1.0040016</t>
  </si>
  <si>
    <t>loglik[4]       1.0016470  1.0056863</t>
  </si>
  <si>
    <t>loglik[3]       0.9997793  1.0001906</t>
  </si>
  <si>
    <t>loglik[24]      1.0015524  1.0032837</t>
  </si>
  <si>
    <t>loglik[23]      1.0036256  1.0037167</t>
  </si>
  <si>
    <t>loglik[22]      1.0004180  1.0012203</t>
  </si>
  <si>
    <t>loglik[21]      1.0006228  1.0025691</t>
  </si>
  <si>
    <t>loglik[20]      1.0027456  1.0075949</t>
  </si>
  <si>
    <t>loglik[2]       1.0033697  1.0041732</t>
  </si>
  <si>
    <t>loglik[19]      1.0036729  1.0064892</t>
  </si>
  <si>
    <t>loglik[18]      1.0030286  1.0042965</t>
  </si>
  <si>
    <t>loglik[17]      1.0007515  1.0015476</t>
  </si>
  <si>
    <t>loglik[16]      1.0003795  1.0023683</t>
  </si>
  <si>
    <t>loglik[15]      1.0005457  1.0019503</t>
  </si>
  <si>
    <t>loglik[14]      1.0015613  1.0028934</t>
  </si>
  <si>
    <t>loglik[13]      1.0002076  1.0013867</t>
  </si>
  <si>
    <t>loglik[12]      1.0011260  1.0023263</t>
  </si>
  <si>
    <t>loglik[11]      1.0006566  1.0026142</t>
  </si>
  <si>
    <t>loglik[10]      1.0006070  1.0016760</t>
  </si>
  <si>
    <t>loglik[1]       0.9997129  1.0000401</t>
  </si>
  <si>
    <t>ilr.fac1[9,4]   1.0001583  1.0017955</t>
  </si>
  <si>
    <t>ilr.fac1[9,3]   1.0002461  1.0015405</t>
  </si>
  <si>
    <t>ilr.fac1[9,2]   0.9997834  1.0003987</t>
  </si>
  <si>
    <t>ilr.fac1[9,1]   0.9998707  1.0002307</t>
  </si>
  <si>
    <t>ilr.fac1[8,4]   0.9999036  1.0007298</t>
  </si>
  <si>
    <t>ilr.fac1[8,3]   1.0003037  1.0016682</t>
  </si>
  <si>
    <t>ilr.fac1[8,2]   1.0000777  1.0009773</t>
  </si>
  <si>
    <t>ilr.fac1[8,1]   1.0006216  1.0010056</t>
  </si>
  <si>
    <t>ilr.fac1[7,4]   1.0006325  1.0008118</t>
  </si>
  <si>
    <t>ilr.fac1[7,3]   0.9999847  1.0007360</t>
  </si>
  <si>
    <t>ilr.fac1[7,2]   1.0008258  1.0022707</t>
  </si>
  <si>
    <t>ilr.fac1[7,1]   1.0005577  1.0008557</t>
  </si>
  <si>
    <t>ilr.fac1[6,4]   1.0021067  1.0045627</t>
  </si>
  <si>
    <t>ilr.fac1[6,3]   1.0003844  1.0004818</t>
  </si>
  <si>
    <t>ilr.fac1[6,2]   1.0006132  1.0017917</t>
  </si>
  <si>
    <t>ilr.fac1[6,1]   1.0005865  1.0006148</t>
  </si>
  <si>
    <t>ilr.fac1[5,4]   0.9999491  1.0008922</t>
  </si>
  <si>
    <t>ilr.fac1[5,3]   1.0005615  1.0011157</t>
  </si>
  <si>
    <t>ilr.fac1[5,2]   1.0012561  1.0045473</t>
  </si>
  <si>
    <t>ilr.fac1[5,1]   1.0012971  1.0049181</t>
  </si>
  <si>
    <t>ilr.fac1[4,4]   1.0008954  1.0025197</t>
  </si>
  <si>
    <t>ilr.fac1[4,3]   1.0008054  1.0030489</t>
  </si>
  <si>
    <t>ilr.fac1[4,2]   1.0003857  1.0013516</t>
  </si>
  <si>
    <t>ilr.fac1[4,1]   0.9996670  1.0000368</t>
  </si>
  <si>
    <t>ilr.fac1[3,4]   1.0009866  1.0040881</t>
  </si>
  <si>
    <t>ilr.fac1[3,3]   1.0002883  1.0008966</t>
  </si>
  <si>
    <t>ilr.fac1[3,2]   1.0025615  1.0104096</t>
  </si>
  <si>
    <t>ilr.fac1[3,1]   1.0002077  1.0011079</t>
  </si>
  <si>
    <t>ilr.fac1[24,4]  1.0001162  1.0013383</t>
  </si>
  <si>
    <t>ilr.fac1[24,3]  1.0004421  1.0023641</t>
  </si>
  <si>
    <t>ilr.fac1[24,2]  1.0011194  1.0052115</t>
  </si>
  <si>
    <t>ilr.fac1[24,1]  1.0002817  1.0011346</t>
  </si>
  <si>
    <t>ilr.fac1[23,4]  0.9999772  1.0006535</t>
  </si>
  <si>
    <t>ilr.fac1[23,3]  1.0001863  1.0008464</t>
  </si>
  <si>
    <t>ilr.fac1[23,2]  1.0005701  1.0028014</t>
  </si>
  <si>
    <t>ilr.fac1[23,1]  0.9996373  0.9998795</t>
  </si>
  <si>
    <t>ilr.fac1[22,4]  1.0008839  1.0031330</t>
  </si>
  <si>
    <t>ilr.fac1[22,3]  1.0020612  1.0066311</t>
  </si>
  <si>
    <t>ilr.fac1[22,2]  1.0002143  1.0013711</t>
  </si>
  <si>
    <t>ilr.fac1[22,1]  1.0017022  1.0064071</t>
  </si>
  <si>
    <t>ilr.fac1[21,4]  1.0002993  1.0021745</t>
  </si>
  <si>
    <t>ilr.fac1[21,3]  0.9997427  0.9998531</t>
  </si>
  <si>
    <t>ilr.fac1[21,2]  1.0008208  1.0042901</t>
  </si>
  <si>
    <t>ilr.fac1[21,1]  1.0016370  1.0059594</t>
  </si>
  <si>
    <t>ilr.fac1[20,4]  1.0011106  1.0037511</t>
  </si>
  <si>
    <t>ilr.fac1[20,3]  0.9999675  1.0005746</t>
  </si>
  <si>
    <t>ilr.fac1[20,2]  1.0004269  1.0017826</t>
  </si>
  <si>
    <t>ilr.fac1[20,1]  1.0008028  1.0033223</t>
  </si>
  <si>
    <t>ilr.fac1[2,4]   0.9998292  1.0005520</t>
  </si>
  <si>
    <t>ilr.fac1[2,3]   1.0003090  1.0005013</t>
  </si>
  <si>
    <t>ilr.fac1[2,2]   1.0020268  1.0059097</t>
  </si>
  <si>
    <t>ilr.fac1[2,1]   1.0011509  1.0020865</t>
  </si>
  <si>
    <t>ilr.fac1[19,4]  1.0003378  1.0012747</t>
  </si>
  <si>
    <t>ilr.fac1[19,3]  0.9997336  1.0000959</t>
  </si>
  <si>
    <t>ilr.fac1[19,2]  1.0002345  1.0014825</t>
  </si>
  <si>
    <t>ilr.fac1[19,1]  1.0017793  1.0073113</t>
  </si>
  <si>
    <t>ilr.fac1[18,4]  1.0004837  1.0024839</t>
  </si>
  <si>
    <t>ilr.fac1[18,3]  1.0008010  1.0033684</t>
  </si>
  <si>
    <t>ilr.fac1[18,2]  1.0007155  1.0025674</t>
  </si>
  <si>
    <t>ilr.fac1[18,1]  1.0013357  1.0053435</t>
  </si>
  <si>
    <t>ilr.fac1[17,4]  0.9996874  0.9997369</t>
  </si>
  <si>
    <t>ilr.fac1[17,3]  1.0011628  1.0020756</t>
  </si>
  <si>
    <t>ilr.fac1[17,2]  1.0004328  1.0017666</t>
  </si>
  <si>
    <t>ilr.fac1[17,1]  1.0002931  1.0004829</t>
  </si>
  <si>
    <t>ilr.fac1[16,4]  1.0005464  1.0023955</t>
  </si>
  <si>
    <t>ilr.fac1[16,3]  1.0012387  1.0055033</t>
  </si>
  <si>
    <t>ilr.fac1[16,2]  1.0003163  1.0011668</t>
  </si>
  <si>
    <t>ilr.fac1[16,1]  1.0000901  1.0012275</t>
  </si>
  <si>
    <t>ilr.fac1[15,4]  1.0008537  1.0043625</t>
  </si>
  <si>
    <t>ilr.fac1[15,3]  1.0006468  1.0024416</t>
  </si>
  <si>
    <t>ilr.fac1[15,2]  1.0001614  1.0007400</t>
  </si>
  <si>
    <t>ilr.fac1[15,1]  1.0007624  1.0030481</t>
  </si>
  <si>
    <t>ilr.fac1[14,4]  1.0019106  1.0071441</t>
  </si>
  <si>
    <t>ilr.fac1[14,3]  0.9999861  1.0000935</t>
  </si>
  <si>
    <t>ilr.fac1[14,2]  1.0003187  1.0005696</t>
  </si>
  <si>
    <t>ilr.fac1[14,1]  1.0015156  1.0038857</t>
  </si>
  <si>
    <t>ilr.fac1[13,4]  1.0004698  1.0007956</t>
  </si>
  <si>
    <t>ilr.fac1[13,3]  0.9996126  0.9998876</t>
  </si>
  <si>
    <t>ilr.fac1[13,2]  1.0001355  1.0008570</t>
  </si>
  <si>
    <t>ilr.fac1[13,1]  0.9998111  1.0004241</t>
  </si>
  <si>
    <t>ilr.fac1[12,4]  1.0011183  1.0041218</t>
  </si>
  <si>
    <t>ilr.fac1[12,3]  0.9999103  1.0008392</t>
  </si>
  <si>
    <t>ilr.fac1[12,2]  1.0010980  1.0047981</t>
  </si>
  <si>
    <t>ilr.fac1[12,1]  1.0005642  1.0013734</t>
  </si>
  <si>
    <t>ilr.fac1[11,4]  1.0012000  1.0037141</t>
  </si>
  <si>
    <t>ilr.fac1[11,3]  1.0021406  1.0083694</t>
  </si>
  <si>
    <t>ilr.fac1[11,2]  0.9996159  0.9998421</t>
  </si>
  <si>
    <t>ilr.fac1[11,1]  1.0021847  1.0078239</t>
  </si>
  <si>
    <t>ilr.fac1[10,4]  1.0015329  1.0065699</t>
  </si>
  <si>
    <t>ilr.fac1[10,3]  0.9997545  0.9997936</t>
  </si>
  <si>
    <t>ilr.fac1[10,2]  1.0003640  1.0017114</t>
  </si>
  <si>
    <t>ilr.fac1[10,1]  1.0017839  1.0053845</t>
  </si>
  <si>
    <t>deviance        1.0034460  1.0123945</t>
  </si>
  <si>
    <t>p.fac1[8,2]    1.012064   1.012096</t>
  </si>
  <si>
    <t>p.fac1[20,3]   1.014341   1.017653</t>
  </si>
  <si>
    <t>p.fac1[21,3]   1.017384   1.019586</t>
  </si>
  <si>
    <t>p.fac1[10,3]   1.017890   1.018573</t>
  </si>
  <si>
    <t>p.fac1[14,3]   1.023373   1.024313</t>
  </si>
  <si>
    <t>p.fac1[3,3]    1.025309   1.025833</t>
  </si>
  <si>
    <t>p.fac1[24,3]   1.025638   1.030298</t>
  </si>
  <si>
    <t>p.fac1[22,3]   1.034141   1.035111</t>
  </si>
  <si>
    <t>p.fac1[12,3]   1.035521   1.037604</t>
  </si>
  <si>
    <t>p.fac1[7,3]    1.090623   1.091206</t>
  </si>
  <si>
    <t>Out of 246 variables: 10 &gt; 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</si>
</sst>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"/>
    <numFmt numFmtId="177" formatCode="0.00_ "/>
    <numFmt numFmtId="178" formatCode="0.000_ "/>
  </numFmts>
  <fonts count="5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4"/>
      <color theme="0"/>
      <name val="휴먼명조"/>
      <family val="3"/>
      <charset val="129"/>
    </font>
    <font>
      <u/>
      <sz val="20"/>
      <color theme="1"/>
      <name val="맑은 고딕"/>
      <family val="2"/>
      <charset val="129"/>
      <scheme val="minor"/>
    </font>
    <font>
      <b/>
      <sz val="12"/>
      <name val="휴먼명조"/>
      <family val="3"/>
      <charset val="129"/>
    </font>
    <font>
      <b/>
      <vertAlign val="subscript"/>
      <sz val="12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vertAlign val="subscript"/>
      <sz val="12"/>
      <name val="휴먼명조"/>
      <charset val="129"/>
    </font>
    <font>
      <b/>
      <sz val="11"/>
      <color theme="1"/>
      <name val="맑은 고딕"/>
      <family val="3"/>
      <charset val="129"/>
      <scheme val="minor"/>
    </font>
    <font>
      <b/>
      <sz val="14"/>
      <name val="돋움"/>
      <family val="3"/>
      <charset val="129"/>
    </font>
    <font>
      <b/>
      <sz val="14"/>
      <color indexed="9"/>
      <name val="돋움"/>
      <family val="3"/>
      <charset val="129"/>
    </font>
    <font>
      <b/>
      <sz val="11"/>
      <color theme="3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vertAlign val="superscript"/>
      <sz val="12"/>
      <color rgb="FFFF0000"/>
      <name val="휴먼명조"/>
      <family val="3"/>
      <charset val="129"/>
    </font>
    <font>
      <sz val="14"/>
      <color theme="1"/>
      <name val="맑은 고딕"/>
      <family val="3"/>
      <charset val="129"/>
      <scheme val="minor"/>
    </font>
    <font>
      <b/>
      <sz val="15"/>
      <color theme="3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b/>
      <sz val="12"/>
      <color theme="1"/>
      <name val="휴먼명조"/>
      <family val="3"/>
      <charset val="129"/>
    </font>
    <font>
      <b/>
      <vertAlign val="subscript"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24"/>
      <color rgb="FF0000FF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b/>
      <sz val="10"/>
      <name val="맑은 고딕"/>
      <family val="3"/>
      <charset val="129"/>
      <scheme val="minor"/>
    </font>
    <font>
      <b/>
      <vertAlign val="superscript"/>
      <sz val="1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2"/>
      <scheme val="minor"/>
    </font>
    <font>
      <b/>
      <sz val="11"/>
      <color rgb="FF00B0F0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5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4506668294322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6">
    <xf numFmtId="0" fontId="0" fillId="0" borderId="0">
      <alignment vertical="center"/>
    </xf>
    <xf numFmtId="0" fontId="9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3" borderId="6" applyNumberFormat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9" fillId="4" borderId="5" applyNumberFormat="0" applyFont="0" applyAlignment="0" applyProtection="0">
      <alignment vertical="center"/>
    </xf>
    <xf numFmtId="0" fontId="9" fillId="24" borderId="7" applyNumberFormat="0" applyFont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23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>
      <alignment vertical="center"/>
    </xf>
    <xf numFmtId="0" fontId="31" fillId="0" borderId="39" applyNumberFormat="0" applyFill="0" applyAlignment="0" applyProtection="0">
      <alignment vertical="center"/>
    </xf>
    <xf numFmtId="0" fontId="36" fillId="0" borderId="48" applyNumberFormat="0" applyFill="0" applyAlignment="0" applyProtection="0"/>
    <xf numFmtId="0" fontId="37" fillId="0" borderId="0"/>
    <xf numFmtId="0" fontId="38" fillId="0" borderId="49" applyNumberFormat="0" applyFill="0" applyAlignment="0" applyProtection="0"/>
    <xf numFmtId="0" fontId="42" fillId="0" borderId="0">
      <alignment vertical="center"/>
    </xf>
  </cellStyleXfs>
  <cellXfs count="135">
    <xf numFmtId="0" fontId="0" fillId="0" borderId="0" xfId="0">
      <alignment vertical="center"/>
    </xf>
    <xf numFmtId="49" fontId="5" fillId="3" borderId="3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8" fillId="0" borderId="0" xfId="0" applyFont="1" applyAlignment="1">
      <alignment horizontal="right" vertical="center"/>
    </xf>
    <xf numFmtId="49" fontId="5" fillId="3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5" fillId="30" borderId="4" xfId="0" applyNumberFormat="1" applyFont="1" applyFill="1" applyBorder="1" applyAlignment="1">
      <alignment horizontal="center" vertical="center" wrapText="1"/>
    </xf>
    <xf numFmtId="0" fontId="33" fillId="0" borderId="0" xfId="0" applyFont="1">
      <alignment vertical="center"/>
    </xf>
    <xf numFmtId="0" fontId="32" fillId="0" borderId="0" xfId="0" applyFont="1">
      <alignment vertical="center"/>
    </xf>
    <xf numFmtId="49" fontId="30" fillId="28" borderId="46" xfId="0" applyNumberFormat="1" applyFont="1" applyFill="1" applyBorder="1" applyAlignment="1">
      <alignment horizontal="center" vertical="center" wrapText="1"/>
    </xf>
    <xf numFmtId="49" fontId="5" fillId="30" borderId="42" xfId="0" applyNumberFormat="1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14" fontId="8" fillId="0" borderId="21" xfId="0" applyNumberFormat="1" applyFont="1" applyBorder="1" applyAlignment="1">
      <alignment horizontal="center" vertical="center"/>
    </xf>
    <xf numFmtId="20" fontId="8" fillId="0" borderId="21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14" fontId="8" fillId="0" borderId="25" xfId="0" applyNumberFormat="1" applyFont="1" applyBorder="1" applyAlignment="1">
      <alignment horizontal="center" vertical="center"/>
    </xf>
    <xf numFmtId="20" fontId="8" fillId="0" borderId="25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20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14" fontId="8" fillId="0" borderId="41" xfId="0" applyNumberFormat="1" applyFont="1" applyBorder="1" applyAlignment="1">
      <alignment horizontal="center" vertical="center"/>
    </xf>
    <xf numFmtId="176" fontId="8" fillId="0" borderId="21" xfId="0" applyNumberFormat="1" applyFont="1" applyBorder="1" applyAlignment="1">
      <alignment horizontal="center" vertical="center"/>
    </xf>
    <xf numFmtId="176" fontId="8" fillId="0" borderId="25" xfId="0" applyNumberFormat="1" applyFont="1" applyBorder="1" applyAlignment="1">
      <alignment horizontal="center" vertical="center"/>
    </xf>
    <xf numFmtId="2" fontId="8" fillId="0" borderId="25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14" fontId="8" fillId="0" borderId="43" xfId="0" applyNumberFormat="1" applyFont="1" applyBorder="1" applyAlignment="1">
      <alignment horizontal="center" vertical="center"/>
    </xf>
    <xf numFmtId="177" fontId="8" fillId="0" borderId="33" xfId="0" applyNumberFormat="1" applyFont="1" applyBorder="1" applyAlignment="1">
      <alignment horizontal="center" vertical="center"/>
    </xf>
    <xf numFmtId="177" fontId="8" fillId="0" borderId="34" xfId="0" applyNumberFormat="1" applyFont="1" applyBorder="1" applyAlignment="1">
      <alignment horizontal="center" vertical="center"/>
    </xf>
    <xf numFmtId="177" fontId="8" fillId="0" borderId="40" xfId="0" applyNumberFormat="1" applyFont="1" applyBorder="1" applyAlignment="1">
      <alignment horizontal="center" vertical="center"/>
    </xf>
    <xf numFmtId="177" fontId="8" fillId="0" borderId="35" xfId="0" applyNumberFormat="1" applyFont="1" applyBorder="1" applyAlignment="1">
      <alignment horizontal="center" vertical="center"/>
    </xf>
    <xf numFmtId="0" fontId="8" fillId="32" borderId="23" xfId="0" applyFont="1" applyFill="1" applyBorder="1" applyAlignment="1">
      <alignment horizontal="center" vertical="center"/>
    </xf>
    <xf numFmtId="0" fontId="8" fillId="32" borderId="24" xfId="0" applyFont="1" applyFill="1" applyBorder="1" applyAlignment="1">
      <alignment horizontal="center" vertical="center"/>
    </xf>
    <xf numFmtId="0" fontId="8" fillId="32" borderId="25" xfId="0" applyFont="1" applyFill="1" applyBorder="1" applyAlignment="1">
      <alignment horizontal="center" vertical="center"/>
    </xf>
    <xf numFmtId="14" fontId="8" fillId="32" borderId="41" xfId="0" applyNumberFormat="1" applyFont="1" applyFill="1" applyBorder="1" applyAlignment="1">
      <alignment horizontal="center" vertical="center"/>
    </xf>
    <xf numFmtId="20" fontId="8" fillId="32" borderId="25" xfId="0" applyNumberFormat="1" applyFont="1" applyFill="1" applyBorder="1" applyAlignment="1">
      <alignment horizontal="center" vertical="center"/>
    </xf>
    <xf numFmtId="2" fontId="8" fillId="32" borderId="25" xfId="0" applyNumberFormat="1" applyFont="1" applyFill="1" applyBorder="1" applyAlignment="1">
      <alignment horizontal="center" vertical="center"/>
    </xf>
    <xf numFmtId="177" fontId="8" fillId="32" borderId="40" xfId="0" applyNumberFormat="1" applyFont="1" applyFill="1" applyBorder="1" applyAlignment="1">
      <alignment horizontal="center" vertical="center"/>
    </xf>
    <xf numFmtId="0" fontId="8" fillId="32" borderId="26" xfId="0" applyFont="1" applyFill="1" applyBorder="1" applyAlignment="1">
      <alignment horizontal="center" vertical="center"/>
    </xf>
    <xf numFmtId="177" fontId="8" fillId="32" borderId="34" xfId="0" applyNumberFormat="1" applyFont="1" applyFill="1" applyBorder="1" applyAlignment="1">
      <alignment horizontal="center" vertical="center"/>
    </xf>
    <xf numFmtId="177" fontId="8" fillId="32" borderId="35" xfId="0" applyNumberFormat="1" applyFont="1" applyFill="1" applyBorder="1" applyAlignment="1">
      <alignment horizontal="center" vertical="center"/>
    </xf>
    <xf numFmtId="49" fontId="39" fillId="3" borderId="4" xfId="0" applyNumberFormat="1" applyFont="1" applyFill="1" applyBorder="1" applyAlignment="1">
      <alignment horizontal="center" vertical="center" wrapText="1"/>
    </xf>
    <xf numFmtId="2" fontId="8" fillId="0" borderId="21" xfId="0" applyNumberFormat="1" applyFont="1" applyBorder="1" applyAlignment="1">
      <alignment horizontal="center" vertical="center"/>
    </xf>
    <xf numFmtId="2" fontId="8" fillId="0" borderId="33" xfId="0" applyNumberFormat="1" applyFont="1" applyBorder="1" applyAlignment="1">
      <alignment horizontal="center" vertical="center"/>
    </xf>
    <xf numFmtId="2" fontId="8" fillId="0" borderId="34" xfId="0" applyNumberFormat="1" applyFont="1" applyBorder="1" applyAlignment="1">
      <alignment horizontal="center" vertical="center"/>
    </xf>
    <xf numFmtId="2" fontId="8" fillId="0" borderId="35" xfId="0" applyNumberFormat="1" applyFont="1" applyBorder="1" applyAlignment="1">
      <alignment horizontal="center" vertical="center"/>
    </xf>
    <xf numFmtId="2" fontId="8" fillId="0" borderId="20" xfId="0" applyNumberFormat="1" applyFont="1" applyBorder="1" applyAlignment="1">
      <alignment horizontal="center" vertical="center"/>
    </xf>
    <xf numFmtId="2" fontId="8" fillId="0" borderId="24" xfId="0" applyNumberFormat="1" applyFont="1" applyBorder="1" applyAlignment="1">
      <alignment horizontal="center" vertical="center"/>
    </xf>
    <xf numFmtId="2" fontId="8" fillId="0" borderId="40" xfId="0" applyNumberFormat="1" applyFont="1" applyBorder="1" applyAlignment="1">
      <alignment horizontal="center" vertical="center"/>
    </xf>
    <xf numFmtId="2" fontId="8" fillId="32" borderId="24" xfId="0" applyNumberFormat="1" applyFont="1" applyFill="1" applyBorder="1" applyAlignment="1">
      <alignment horizontal="center" vertical="center"/>
    </xf>
    <xf numFmtId="2" fontId="8" fillId="32" borderId="34" xfId="0" applyNumberFormat="1" applyFont="1" applyFill="1" applyBorder="1" applyAlignment="1">
      <alignment horizontal="center" vertical="center"/>
    </xf>
    <xf numFmtId="2" fontId="8" fillId="32" borderId="40" xfId="0" applyNumberFormat="1" applyFont="1" applyFill="1" applyBorder="1" applyAlignment="1">
      <alignment horizontal="center" vertical="center"/>
    </xf>
    <xf numFmtId="2" fontId="8" fillId="32" borderId="35" xfId="0" applyNumberFormat="1" applyFont="1" applyFill="1" applyBorder="1" applyAlignment="1">
      <alignment horizontal="center" vertical="center"/>
    </xf>
    <xf numFmtId="2" fontId="8" fillId="0" borderId="22" xfId="0" applyNumberFormat="1" applyFont="1" applyBorder="1" applyAlignment="1">
      <alignment horizontal="center" vertical="center"/>
    </xf>
    <xf numFmtId="2" fontId="8" fillId="0" borderId="26" xfId="0" applyNumberFormat="1" applyFont="1" applyBorder="1" applyAlignment="1">
      <alignment horizontal="center" vertical="center"/>
    </xf>
    <xf numFmtId="2" fontId="8" fillId="32" borderId="26" xfId="0" applyNumberFormat="1" applyFont="1" applyFill="1" applyBorder="1" applyAlignment="1">
      <alignment horizontal="center" vertical="center"/>
    </xf>
    <xf numFmtId="2" fontId="8" fillId="0" borderId="28" xfId="0" applyNumberFormat="1" applyFont="1" applyBorder="1" applyAlignment="1">
      <alignment horizontal="center" vertical="center"/>
    </xf>
    <xf numFmtId="14" fontId="8" fillId="32" borderId="25" xfId="0" applyNumberFormat="1" applyFont="1" applyFill="1" applyBorder="1" applyAlignment="1">
      <alignment horizontal="center" vertical="center"/>
    </xf>
    <xf numFmtId="0" fontId="8" fillId="32" borderId="50" xfId="0" applyFont="1" applyFill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2" fontId="8" fillId="0" borderId="45" xfId="0" applyNumberFormat="1" applyFont="1" applyBorder="1" applyAlignment="1">
      <alignment horizontal="center" vertical="center"/>
    </xf>
    <xf numFmtId="2" fontId="8" fillId="32" borderId="45" xfId="0" applyNumberFormat="1" applyFont="1" applyFill="1" applyBorder="1" applyAlignment="1">
      <alignment horizontal="center" vertical="center"/>
    </xf>
    <xf numFmtId="176" fontId="8" fillId="32" borderId="25" xfId="0" applyNumberFormat="1" applyFont="1" applyFill="1" applyBorder="1" applyAlignment="1">
      <alignment horizontal="center" vertical="center"/>
    </xf>
    <xf numFmtId="1" fontId="8" fillId="32" borderId="25" xfId="0" applyNumberFormat="1" applyFont="1" applyFill="1" applyBorder="1" applyAlignment="1">
      <alignment horizontal="center" vertical="center"/>
    </xf>
    <xf numFmtId="1" fontId="8" fillId="0" borderId="25" xfId="0" applyNumberFormat="1" applyFont="1" applyBorder="1" applyAlignment="1">
      <alignment horizontal="center" vertical="center"/>
    </xf>
    <xf numFmtId="176" fontId="8" fillId="0" borderId="27" xfId="0" applyNumberFormat="1" applyFont="1" applyBorder="1" applyAlignment="1">
      <alignment horizontal="center" vertical="center"/>
    </xf>
    <xf numFmtId="1" fontId="8" fillId="0" borderId="21" xfId="0" applyNumberFormat="1" applyFont="1" applyBorder="1" applyAlignment="1">
      <alignment horizontal="center" vertical="center"/>
    </xf>
    <xf numFmtId="1" fontId="8" fillId="0" borderId="27" xfId="0" applyNumberFormat="1" applyFont="1" applyBorder="1" applyAlignment="1">
      <alignment horizontal="center" vertical="center"/>
    </xf>
    <xf numFmtId="0" fontId="33" fillId="32" borderId="26" xfId="0" applyFont="1" applyFill="1" applyBorder="1" applyAlignment="1">
      <alignment horizontal="center" vertical="center"/>
    </xf>
    <xf numFmtId="2" fontId="8" fillId="31" borderId="33" xfId="0" applyNumberFormat="1" applyFont="1" applyFill="1" applyBorder="1" applyAlignment="1">
      <alignment horizontal="center" vertical="center"/>
    </xf>
    <xf numFmtId="2" fontId="8" fillId="31" borderId="34" xfId="0" applyNumberFormat="1" applyFont="1" applyFill="1" applyBorder="1" applyAlignment="1">
      <alignment horizontal="center" vertical="center"/>
    </xf>
    <xf numFmtId="2" fontId="8" fillId="31" borderId="40" xfId="0" applyNumberFormat="1" applyFont="1" applyFill="1" applyBorder="1" applyAlignment="1">
      <alignment horizontal="center" vertical="center"/>
    </xf>
    <xf numFmtId="2" fontId="8" fillId="31" borderId="35" xfId="0" applyNumberFormat="1" applyFont="1" applyFill="1" applyBorder="1" applyAlignment="1">
      <alignment horizontal="center" vertical="center"/>
    </xf>
    <xf numFmtId="2" fontId="33" fillId="31" borderId="35" xfId="0" applyNumberFormat="1" applyFont="1" applyFill="1" applyBorder="1" applyAlignment="1">
      <alignment horizontal="center" vertical="center"/>
    </xf>
    <xf numFmtId="177" fontId="8" fillId="31" borderId="33" xfId="0" applyNumberFormat="1" applyFont="1" applyFill="1" applyBorder="1" applyAlignment="1">
      <alignment horizontal="center" vertical="center"/>
    </xf>
    <xf numFmtId="177" fontId="8" fillId="31" borderId="34" xfId="0" applyNumberFormat="1" applyFont="1" applyFill="1" applyBorder="1" applyAlignment="1">
      <alignment horizontal="center" vertical="center"/>
    </xf>
    <xf numFmtId="177" fontId="8" fillId="31" borderId="40" xfId="0" applyNumberFormat="1" applyFont="1" applyFill="1" applyBorder="1" applyAlignment="1">
      <alignment horizontal="center" vertical="center"/>
    </xf>
    <xf numFmtId="177" fontId="8" fillId="31" borderId="35" xfId="0" applyNumberFormat="1" applyFont="1" applyFill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14" fontId="8" fillId="0" borderId="31" xfId="0" applyNumberFormat="1" applyFont="1" applyBorder="1" applyAlignment="1">
      <alignment horizontal="center" vertical="center"/>
    </xf>
    <xf numFmtId="20" fontId="8" fillId="0" borderId="31" xfId="0" applyNumberFormat="1" applyFont="1" applyBorder="1" applyAlignment="1">
      <alignment horizontal="center" vertical="center"/>
    </xf>
    <xf numFmtId="176" fontId="8" fillId="0" borderId="31" xfId="0" applyNumberFormat="1" applyFont="1" applyBorder="1" applyAlignment="1">
      <alignment horizontal="center" vertical="center"/>
    </xf>
    <xf numFmtId="1" fontId="8" fillId="0" borderId="31" xfId="0" applyNumberFormat="1" applyFont="1" applyBorder="1" applyAlignment="1">
      <alignment horizontal="center" vertical="center"/>
    </xf>
    <xf numFmtId="2" fontId="8" fillId="0" borderId="36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43" fillId="29" borderId="51" xfId="55" applyFont="1" applyFill="1" applyBorder="1" applyAlignment="1">
      <alignment horizontal="center" vertical="center"/>
    </xf>
    <xf numFmtId="49" fontId="46" fillId="29" borderId="51" xfId="55" applyNumberFormat="1" applyFont="1" applyFill="1" applyBorder="1" applyAlignment="1">
      <alignment horizontal="center" vertical="center" wrapText="1"/>
    </xf>
    <xf numFmtId="0" fontId="8" fillId="0" borderId="0" xfId="55" applyFont="1">
      <alignment vertical="center"/>
    </xf>
    <xf numFmtId="0" fontId="48" fillId="0" borderId="0" xfId="55" applyFont="1">
      <alignment vertical="center"/>
    </xf>
    <xf numFmtId="49" fontId="35" fillId="0" borderId="51" xfId="55" applyNumberFormat="1" applyFont="1" applyBorder="1" applyAlignment="1">
      <alignment horizontal="center" vertical="center"/>
    </xf>
    <xf numFmtId="0" fontId="49" fillId="0" borderId="51" xfId="53" applyFont="1" applyBorder="1" applyAlignment="1">
      <alignment horizontal="center"/>
    </xf>
    <xf numFmtId="2" fontId="49" fillId="0" borderId="51" xfId="53" applyNumberFormat="1" applyFont="1" applyBorder="1" applyAlignment="1">
      <alignment horizontal="center"/>
    </xf>
    <xf numFmtId="2" fontId="49" fillId="0" borderId="51" xfId="55" applyNumberFormat="1" applyFont="1" applyBorder="1" applyAlignment="1">
      <alignment horizontal="center" vertical="center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  <xf numFmtId="2" fontId="28" fillId="0" borderId="33" xfId="0" applyNumberFormat="1" applyFont="1" applyBorder="1" applyAlignment="1">
      <alignment horizontal="center" vertical="center"/>
    </xf>
    <xf numFmtId="2" fontId="28" fillId="0" borderId="34" xfId="0" applyNumberFormat="1" applyFont="1" applyBorder="1" applyAlignment="1">
      <alignment horizontal="center" vertical="center"/>
    </xf>
    <xf numFmtId="2" fontId="28" fillId="0" borderId="40" xfId="0" applyNumberFormat="1" applyFont="1" applyBorder="1" applyAlignment="1">
      <alignment horizontal="center" vertical="center"/>
    </xf>
    <xf numFmtId="2" fontId="28" fillId="0" borderId="35" xfId="0" applyNumberFormat="1" applyFont="1" applyBorder="1" applyAlignment="1">
      <alignment horizontal="center" vertical="center"/>
    </xf>
    <xf numFmtId="2" fontId="28" fillId="32" borderId="40" xfId="0" applyNumberFormat="1" applyFont="1" applyFill="1" applyBorder="1" applyAlignment="1">
      <alignment horizontal="center" vertical="center"/>
    </xf>
    <xf numFmtId="2" fontId="28" fillId="32" borderId="34" xfId="0" applyNumberFormat="1" applyFont="1" applyFill="1" applyBorder="1" applyAlignment="1">
      <alignment horizontal="center" vertical="center"/>
    </xf>
    <xf numFmtId="2" fontId="28" fillId="32" borderId="35" xfId="0" applyNumberFormat="1" applyFont="1" applyFill="1" applyBorder="1" applyAlignment="1">
      <alignment horizontal="center" vertical="center"/>
    </xf>
    <xf numFmtId="0" fontId="28" fillId="0" borderId="0" xfId="0" applyFont="1">
      <alignment vertical="center"/>
    </xf>
    <xf numFmtId="0" fontId="50" fillId="0" borderId="0" xfId="0" applyFont="1">
      <alignment vertical="center"/>
    </xf>
    <xf numFmtId="178" fontId="8" fillId="0" borderId="0" xfId="0" applyNumberFormat="1" applyFon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28" fillId="0" borderId="0" xfId="0" applyNumberFormat="1" applyFont="1">
      <alignment vertical="center"/>
    </xf>
    <xf numFmtId="177" fontId="28" fillId="0" borderId="0" xfId="0" applyNumberFormat="1" applyFont="1">
      <alignment vertical="center"/>
    </xf>
    <xf numFmtId="49" fontId="29" fillId="29" borderId="16" xfId="0" applyNumberFormat="1" applyFont="1" applyFill="1" applyBorder="1" applyAlignment="1">
      <alignment horizontal="center" vertical="center" wrapText="1"/>
    </xf>
    <xf numFmtId="49" fontId="29" fillId="29" borderId="18" xfId="0" applyNumberFormat="1" applyFont="1" applyFill="1" applyBorder="1" applyAlignment="1">
      <alignment horizontal="center" vertical="center" wrapText="1"/>
    </xf>
    <xf numFmtId="49" fontId="30" fillId="28" borderId="37" xfId="0" applyNumberFormat="1" applyFont="1" applyFill="1" applyBorder="1" applyAlignment="1">
      <alignment horizontal="center" vertical="center" wrapText="1"/>
    </xf>
    <xf numFmtId="49" fontId="30" fillId="28" borderId="38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17" xfId="0" applyNumberFormat="1" applyFont="1" applyFill="1" applyBorder="1" applyAlignment="1">
      <alignment horizontal="center" vertical="center" wrapText="1"/>
    </xf>
    <xf numFmtId="49" fontId="3" fillId="2" borderId="15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29" fillId="27" borderId="3" xfId="0" applyNumberFormat="1" applyFont="1" applyFill="1" applyBorder="1" applyAlignment="1">
      <alignment horizontal="center" vertical="center" wrapText="1"/>
    </xf>
    <xf numFmtId="49" fontId="29" fillId="27" borderId="4" xfId="0" applyNumberFormat="1" applyFont="1" applyFill="1" applyBorder="1" applyAlignment="1">
      <alignment horizontal="center" vertical="center" wrapText="1"/>
    </xf>
    <xf numFmtId="49" fontId="30" fillId="28" borderId="4" xfId="0" applyNumberFormat="1" applyFont="1" applyFill="1" applyBorder="1" applyAlignment="1">
      <alignment horizontal="center" vertical="center" wrapText="1"/>
    </xf>
    <xf numFmtId="49" fontId="29" fillId="29" borderId="47" xfId="0" applyNumberFormat="1" applyFont="1" applyFill="1" applyBorder="1" applyAlignment="1">
      <alignment horizontal="center" vertical="center" wrapText="1"/>
    </xf>
    <xf numFmtId="49" fontId="29" fillId="29" borderId="44" xfId="0" applyNumberFormat="1" applyFont="1" applyFill="1" applyBorder="1" applyAlignment="1">
      <alignment horizontal="center" vertical="center" wrapText="1"/>
    </xf>
  </cellXfs>
  <cellStyles count="56">
    <cellStyle name="20% - 강조색1 2" xfId="2"/>
    <cellStyle name="20% - 강조색2 2" xfId="3"/>
    <cellStyle name="20% - 강조색3 2" xfId="4"/>
    <cellStyle name="20% - 강조색4 2" xfId="5"/>
    <cellStyle name="20% - 강조색5 2" xfId="6"/>
    <cellStyle name="20% - 강조색6 2" xfId="7"/>
    <cellStyle name="40% - 강조색1 2" xfId="8"/>
    <cellStyle name="40% - 강조색2 2" xfId="9"/>
    <cellStyle name="40% - 강조색3 2" xfId="10"/>
    <cellStyle name="40% - 강조색4 2" xfId="11"/>
    <cellStyle name="40% - 강조색5 2" xfId="12"/>
    <cellStyle name="40% - 강조색6 2" xfId="13"/>
    <cellStyle name="60% - 강조색1 2" xfId="14"/>
    <cellStyle name="60% - 강조색2 2" xfId="15"/>
    <cellStyle name="60% - 강조색3 2" xfId="16"/>
    <cellStyle name="60% - 강조색4 2" xfId="17"/>
    <cellStyle name="60% - 강조색5 2" xfId="18"/>
    <cellStyle name="60% - 강조색6 2" xfId="19"/>
    <cellStyle name="강조색1 2" xfId="20"/>
    <cellStyle name="강조색2 2" xfId="21"/>
    <cellStyle name="강조색3 2" xfId="22"/>
    <cellStyle name="강조색4 2" xfId="23"/>
    <cellStyle name="강조색5 2" xfId="24"/>
    <cellStyle name="강조색6 2" xfId="25"/>
    <cellStyle name="경고문 2" xfId="26"/>
    <cellStyle name="계산 2" xfId="27"/>
    <cellStyle name="나쁨 2" xfId="28"/>
    <cellStyle name="메모 2" xfId="29"/>
    <cellStyle name="메모 3" xfId="30"/>
    <cellStyle name="보통 2" xfId="31"/>
    <cellStyle name="설명 텍스트 2" xfId="32"/>
    <cellStyle name="셀 확인 2" xfId="33"/>
    <cellStyle name="연결된 셀 2" xfId="34"/>
    <cellStyle name="요약 2" xfId="35"/>
    <cellStyle name="입력 2" xfId="36"/>
    <cellStyle name="제목 1 2" xfId="37"/>
    <cellStyle name="제목 1 2 2" xfId="52"/>
    <cellStyle name="제목 2 2" xfId="38"/>
    <cellStyle name="제목 3 2" xfId="39"/>
    <cellStyle name="제목 3 2 2" xfId="54"/>
    <cellStyle name="제목 3 3" xfId="51"/>
    <cellStyle name="제목 4 2" xfId="40"/>
    <cellStyle name="제목 5" xfId="41"/>
    <cellStyle name="좋음 2" xfId="42"/>
    <cellStyle name="출력 2" xfId="43"/>
    <cellStyle name="표준" xfId="0" builtinId="0"/>
    <cellStyle name="표준 15" xfId="50"/>
    <cellStyle name="표준 2" xfId="1"/>
    <cellStyle name="표준 2 2" xfId="44"/>
    <cellStyle name="표준 2 3" xfId="55"/>
    <cellStyle name="표준 3" xfId="45"/>
    <cellStyle name="표준 3 2" xfId="46"/>
    <cellStyle name="표준 4" xfId="47"/>
    <cellStyle name="표준 5" xfId="53"/>
    <cellStyle name="표준 7" xfId="48"/>
    <cellStyle name="표준 9" xfId="49"/>
  </cellStyles>
  <dxfs count="0"/>
  <tableStyles count="0" defaultTableStyle="TableStyleMedium2" defaultPivotStyle="PivotStyleLight16"/>
  <colors>
    <mruColors>
      <color rgb="FF0000CC"/>
      <color rgb="FF7DF9A6"/>
      <color rgb="FFE2EFDA"/>
      <color rgb="FF993300"/>
      <color rgb="FF80F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1AC-4DC2-830B-630DA3BBDA0C}"/>
              </c:ext>
            </c:extLst>
          </c:dPt>
          <c:xVal>
            <c:numRef>
              <c:f>'오염원(하수)'!$D$2:$D$22</c:f>
              <c:numCache>
                <c:formatCode>0.00</c:formatCode>
                <c:ptCount val="21"/>
                <c:pt idx="0">
                  <c:v>8.52</c:v>
                </c:pt>
                <c:pt idx="1">
                  <c:v>12.27</c:v>
                </c:pt>
                <c:pt idx="2">
                  <c:v>14.07</c:v>
                </c:pt>
                <c:pt idx="3">
                  <c:v>12.44</c:v>
                </c:pt>
                <c:pt idx="4">
                  <c:v>16.52</c:v>
                </c:pt>
                <c:pt idx="5">
                  <c:v>10.89</c:v>
                </c:pt>
                <c:pt idx="6">
                  <c:v>19.190000000000001</c:v>
                </c:pt>
                <c:pt idx="7">
                  <c:v>15.92</c:v>
                </c:pt>
                <c:pt idx="8">
                  <c:v>13.38</c:v>
                </c:pt>
                <c:pt idx="9">
                  <c:v>7.56</c:v>
                </c:pt>
                <c:pt idx="10">
                  <c:v>20.5</c:v>
                </c:pt>
                <c:pt idx="11">
                  <c:v>23.7</c:v>
                </c:pt>
                <c:pt idx="12">
                  <c:v>12.15</c:v>
                </c:pt>
                <c:pt idx="14">
                  <c:v>14.393076923076922</c:v>
                </c:pt>
              </c:numCache>
            </c:numRef>
          </c:xVal>
          <c:yVal>
            <c:numRef>
              <c:f>'오염원(하수)'!$E$2:$E$22</c:f>
              <c:numCache>
                <c:formatCode>0.00</c:formatCode>
                <c:ptCount val="21"/>
                <c:pt idx="0">
                  <c:v>2.98</c:v>
                </c:pt>
                <c:pt idx="1">
                  <c:v>4.01</c:v>
                </c:pt>
                <c:pt idx="2">
                  <c:v>3.84</c:v>
                </c:pt>
                <c:pt idx="3">
                  <c:v>3.65</c:v>
                </c:pt>
                <c:pt idx="4">
                  <c:v>5.16</c:v>
                </c:pt>
                <c:pt idx="5">
                  <c:v>1.05</c:v>
                </c:pt>
                <c:pt idx="6">
                  <c:v>4</c:v>
                </c:pt>
                <c:pt idx="7">
                  <c:v>-0.37</c:v>
                </c:pt>
                <c:pt idx="8">
                  <c:v>4.66</c:v>
                </c:pt>
                <c:pt idx="9">
                  <c:v>-0.25</c:v>
                </c:pt>
                <c:pt idx="10">
                  <c:v>5.45</c:v>
                </c:pt>
                <c:pt idx="11">
                  <c:v>6.6</c:v>
                </c:pt>
                <c:pt idx="12">
                  <c:v>-0.53</c:v>
                </c:pt>
                <c:pt idx="14">
                  <c:v>3.0961538461538463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AC-4DC2-830B-630DA3BBDA0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'오염원(하수)'!$D$2:$D$22</c:f>
              <c:numCache>
                <c:formatCode>0.00</c:formatCode>
                <c:ptCount val="21"/>
                <c:pt idx="0">
                  <c:v>8.52</c:v>
                </c:pt>
                <c:pt idx="1">
                  <c:v>12.27</c:v>
                </c:pt>
                <c:pt idx="2">
                  <c:v>14.07</c:v>
                </c:pt>
                <c:pt idx="3">
                  <c:v>12.44</c:v>
                </c:pt>
                <c:pt idx="4">
                  <c:v>16.52</c:v>
                </c:pt>
                <c:pt idx="5">
                  <c:v>10.89</c:v>
                </c:pt>
                <c:pt idx="6">
                  <c:v>19.190000000000001</c:v>
                </c:pt>
                <c:pt idx="7">
                  <c:v>15.92</c:v>
                </c:pt>
                <c:pt idx="8">
                  <c:v>13.38</c:v>
                </c:pt>
                <c:pt idx="9">
                  <c:v>7.56</c:v>
                </c:pt>
                <c:pt idx="10">
                  <c:v>20.5</c:v>
                </c:pt>
                <c:pt idx="11">
                  <c:v>23.7</c:v>
                </c:pt>
                <c:pt idx="12">
                  <c:v>12.15</c:v>
                </c:pt>
                <c:pt idx="14">
                  <c:v>14.393076923076922</c:v>
                </c:pt>
              </c:numCache>
            </c:numRef>
          </c:xVal>
          <c:yVal>
            <c:numRef>
              <c:f>'오염원(하수)'!$F$2:$F$22</c:f>
              <c:numCache>
                <c:formatCode>0.00</c:formatCode>
                <c:ptCount val="2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1AC-4DC2-830B-630DA3BBD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CDA-4F0D-A8F1-563979FDF339}"/>
              </c:ext>
            </c:extLst>
          </c:dPt>
          <c:xVal>
            <c:numRef>
              <c:f>'오염원(퇴비)'!$D$2:$D$22</c:f>
              <c:numCache>
                <c:formatCode>0.00</c:formatCode>
                <c:ptCount val="21"/>
                <c:pt idx="0">
                  <c:v>17.66</c:v>
                </c:pt>
                <c:pt idx="1">
                  <c:v>18.170000000000002</c:v>
                </c:pt>
                <c:pt idx="2">
                  <c:v>15.309999999999999</c:v>
                </c:pt>
                <c:pt idx="3">
                  <c:v>19.239999999999998</c:v>
                </c:pt>
                <c:pt idx="4">
                  <c:v>4.09</c:v>
                </c:pt>
                <c:pt idx="5">
                  <c:v>20.925000000000001</c:v>
                </c:pt>
                <c:pt idx="6">
                  <c:v>24.47</c:v>
                </c:pt>
                <c:pt idx="7">
                  <c:v>24.39</c:v>
                </c:pt>
                <c:pt idx="8">
                  <c:v>18.195</c:v>
                </c:pt>
                <c:pt idx="9">
                  <c:v>9.6</c:v>
                </c:pt>
                <c:pt idx="10">
                  <c:v>8.6150000000000002</c:v>
                </c:pt>
                <c:pt idx="11">
                  <c:v>17.560000000000002</c:v>
                </c:pt>
              </c:numCache>
            </c:numRef>
          </c:xVal>
          <c:yVal>
            <c:numRef>
              <c:f>'오염원(퇴비)'!$E$2:$E$22</c:f>
              <c:numCache>
                <c:formatCode>0.00</c:formatCode>
                <c:ptCount val="21"/>
                <c:pt idx="0">
                  <c:v>10.89</c:v>
                </c:pt>
                <c:pt idx="1">
                  <c:v>9.27</c:v>
                </c:pt>
                <c:pt idx="2">
                  <c:v>3.085</c:v>
                </c:pt>
                <c:pt idx="3">
                  <c:v>8.4600000000000009</c:v>
                </c:pt>
                <c:pt idx="4">
                  <c:v>16.754999999999999</c:v>
                </c:pt>
                <c:pt idx="5">
                  <c:v>5.27</c:v>
                </c:pt>
                <c:pt idx="6">
                  <c:v>-0.67</c:v>
                </c:pt>
                <c:pt idx="7">
                  <c:v>1.3149999999999999</c:v>
                </c:pt>
                <c:pt idx="8">
                  <c:v>4.7449999999999992</c:v>
                </c:pt>
                <c:pt idx="9">
                  <c:v>5.88</c:v>
                </c:pt>
                <c:pt idx="10">
                  <c:v>11.465</c:v>
                </c:pt>
                <c:pt idx="11">
                  <c:v>8.84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DA-4F0D-A8F1-563979FDF33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'오염원(퇴비)'!$D$2:$D$22</c:f>
              <c:numCache>
                <c:formatCode>0.00</c:formatCode>
                <c:ptCount val="21"/>
                <c:pt idx="0">
                  <c:v>17.66</c:v>
                </c:pt>
                <c:pt idx="1">
                  <c:v>18.170000000000002</c:v>
                </c:pt>
                <c:pt idx="2">
                  <c:v>15.309999999999999</c:v>
                </c:pt>
                <c:pt idx="3">
                  <c:v>19.239999999999998</c:v>
                </c:pt>
                <c:pt idx="4">
                  <c:v>4.09</c:v>
                </c:pt>
                <c:pt idx="5">
                  <c:v>20.925000000000001</c:v>
                </c:pt>
                <c:pt idx="6">
                  <c:v>24.47</c:v>
                </c:pt>
                <c:pt idx="7">
                  <c:v>24.39</c:v>
                </c:pt>
                <c:pt idx="8">
                  <c:v>18.195</c:v>
                </c:pt>
                <c:pt idx="9">
                  <c:v>9.6</c:v>
                </c:pt>
                <c:pt idx="10">
                  <c:v>8.6150000000000002</c:v>
                </c:pt>
                <c:pt idx="11">
                  <c:v>17.560000000000002</c:v>
                </c:pt>
              </c:numCache>
            </c:numRef>
          </c:xVal>
          <c:yVal>
            <c:numRef>
              <c:f>'오염원(퇴비)'!$F$2:$F$22</c:f>
              <c:numCache>
                <c:formatCode>0.00</c:formatCode>
                <c:ptCount val="2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CDA-4F0D-A8F1-563979FDF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F67-4626-AB2C-3BB788F028FB}"/>
              </c:ext>
            </c:extLst>
          </c:dPt>
          <c:xVal>
            <c:numRef>
              <c:f>'오염원(비료)'!$D$2:$D$22</c:f>
              <c:numCache>
                <c:formatCode>0.00</c:formatCode>
                <c:ptCount val="21"/>
                <c:pt idx="0">
                  <c:v>0.63</c:v>
                </c:pt>
                <c:pt idx="1">
                  <c:v>1.1000000000000001</c:v>
                </c:pt>
                <c:pt idx="2">
                  <c:v>1.665</c:v>
                </c:pt>
                <c:pt idx="3">
                  <c:v>1.4100000000000001</c:v>
                </c:pt>
                <c:pt idx="4">
                  <c:v>0.53</c:v>
                </c:pt>
              </c:numCache>
            </c:numRef>
          </c:xVal>
          <c:yVal>
            <c:numRef>
              <c:f>'오염원(비료)'!$E$2:$E$22</c:f>
              <c:numCache>
                <c:formatCode>0.00</c:formatCode>
                <c:ptCount val="21"/>
                <c:pt idx="0">
                  <c:v>10.72</c:v>
                </c:pt>
                <c:pt idx="1">
                  <c:v>18.05</c:v>
                </c:pt>
                <c:pt idx="2">
                  <c:v>4.1099999999999994</c:v>
                </c:pt>
                <c:pt idx="3">
                  <c:v>8.9700000000000006</c:v>
                </c:pt>
                <c:pt idx="4">
                  <c:v>7.29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67-4626-AB2C-3BB788F028F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'오염원(비료)'!$D$2:$D$22</c:f>
              <c:numCache>
                <c:formatCode>0.00</c:formatCode>
                <c:ptCount val="21"/>
                <c:pt idx="0">
                  <c:v>0.63</c:v>
                </c:pt>
                <c:pt idx="1">
                  <c:v>1.1000000000000001</c:v>
                </c:pt>
                <c:pt idx="2">
                  <c:v>1.665</c:v>
                </c:pt>
                <c:pt idx="3">
                  <c:v>1.4100000000000001</c:v>
                </c:pt>
                <c:pt idx="4">
                  <c:v>0.53</c:v>
                </c:pt>
              </c:numCache>
            </c:numRef>
          </c:xVal>
          <c:yVal>
            <c:numRef>
              <c:f>'오염원(비료)'!$F$2:$F$22</c:f>
              <c:numCache>
                <c:formatCode>0.00</c:formatCode>
                <c:ptCount val="2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F67-4626-AB2C-3BB788F02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63C-46A5-B283-1B06A3CF56CF}"/>
              </c:ext>
            </c:extLst>
          </c:dPt>
          <c:xVal>
            <c:numRef>
              <c:f>'오염원(강우)'!$D$2:$D$22</c:f>
              <c:numCache>
                <c:formatCode>0.00</c:formatCode>
                <c:ptCount val="21"/>
                <c:pt idx="0">
                  <c:v>3.25</c:v>
                </c:pt>
                <c:pt idx="1">
                  <c:v>1.75</c:v>
                </c:pt>
                <c:pt idx="2">
                  <c:v>0.13</c:v>
                </c:pt>
              </c:numCache>
            </c:numRef>
          </c:xVal>
          <c:yVal>
            <c:numRef>
              <c:f>'오염원(강우)'!$E$2:$E$22</c:f>
              <c:numCache>
                <c:formatCode>0.00</c:formatCode>
                <c:ptCount val="21"/>
                <c:pt idx="0">
                  <c:v>40.020000000000003</c:v>
                </c:pt>
                <c:pt idx="1">
                  <c:v>45.94</c:v>
                </c:pt>
                <c:pt idx="2">
                  <c:v>51.47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63C-46A5-B283-1B06A3CF56C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'오염원(강우)'!$D$2:$D$22</c:f>
              <c:numCache>
                <c:formatCode>0.00</c:formatCode>
                <c:ptCount val="21"/>
                <c:pt idx="0">
                  <c:v>3.25</c:v>
                </c:pt>
                <c:pt idx="1">
                  <c:v>1.75</c:v>
                </c:pt>
                <c:pt idx="2">
                  <c:v>0.13</c:v>
                </c:pt>
              </c:numCache>
            </c:numRef>
          </c:xVal>
          <c:yVal>
            <c:numRef>
              <c:f>'오염원(강우)'!$F$2:$F$22</c:f>
              <c:numCache>
                <c:formatCode>0.00</c:formatCode>
                <c:ptCount val="2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63C-46A5-B283-1B06A3CF5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6CA-4A3E-8A51-9758093CA696}"/>
              </c:ext>
            </c:extLst>
          </c:dPt>
          <c:xVal>
            <c:numRef>
              <c:f>'오염원(토양_산림)'!$D$2:$D$19</c:f>
              <c:numCache>
                <c:formatCode>0.00</c:formatCode>
                <c:ptCount val="18"/>
                <c:pt idx="0">
                  <c:v>1.75</c:v>
                </c:pt>
                <c:pt idx="1">
                  <c:v>4.34</c:v>
                </c:pt>
                <c:pt idx="2">
                  <c:v>3.76</c:v>
                </c:pt>
                <c:pt idx="3">
                  <c:v>2.36</c:v>
                </c:pt>
                <c:pt idx="4">
                  <c:v>1.86</c:v>
                </c:pt>
                <c:pt idx="5">
                  <c:v>7.77</c:v>
                </c:pt>
                <c:pt idx="6">
                  <c:v>0.92</c:v>
                </c:pt>
                <c:pt idx="7">
                  <c:v>2.98</c:v>
                </c:pt>
              </c:numCache>
            </c:numRef>
          </c:xVal>
          <c:yVal>
            <c:numRef>
              <c:f>'오염원(토양_산림)'!$E$2:$E$19</c:f>
              <c:numCache>
                <c:formatCode>0.00</c:formatCode>
                <c:ptCount val="18"/>
                <c:pt idx="0">
                  <c:v>7.65</c:v>
                </c:pt>
                <c:pt idx="1">
                  <c:v>0.88</c:v>
                </c:pt>
                <c:pt idx="2">
                  <c:v>8.43</c:v>
                </c:pt>
                <c:pt idx="3">
                  <c:v>-0.6</c:v>
                </c:pt>
                <c:pt idx="4">
                  <c:v>-1.83</c:v>
                </c:pt>
                <c:pt idx="5">
                  <c:v>2.4</c:v>
                </c:pt>
                <c:pt idx="6">
                  <c:v>0.08</c:v>
                </c:pt>
                <c:pt idx="7">
                  <c:v>0.23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6CA-4A3E-8A51-9758093CA69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'오염원(토양_산림)'!$D$2:$D$19</c:f>
              <c:numCache>
                <c:formatCode>0.00</c:formatCode>
                <c:ptCount val="18"/>
                <c:pt idx="0">
                  <c:v>1.75</c:v>
                </c:pt>
                <c:pt idx="1">
                  <c:v>4.34</c:v>
                </c:pt>
                <c:pt idx="2">
                  <c:v>3.76</c:v>
                </c:pt>
                <c:pt idx="3">
                  <c:v>2.36</c:v>
                </c:pt>
                <c:pt idx="4">
                  <c:v>1.86</c:v>
                </c:pt>
                <c:pt idx="5">
                  <c:v>7.77</c:v>
                </c:pt>
                <c:pt idx="6">
                  <c:v>0.92</c:v>
                </c:pt>
                <c:pt idx="7">
                  <c:v>2.98</c:v>
                </c:pt>
              </c:numCache>
            </c:numRef>
          </c:xVal>
          <c:yVal>
            <c:numRef>
              <c:f>'오염원(토양_산림)'!$F$2:$F$19</c:f>
              <c:numCache>
                <c:formatCode>0.00</c:formatCode>
                <c:ptCount val="1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6CA-4A3E-8A51-9758093CA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4</xdr:row>
      <xdr:rowOff>0</xdr:rowOff>
    </xdr:from>
    <xdr:to>
      <xdr:col>36</xdr:col>
      <xdr:colOff>192824</xdr:colOff>
      <xdr:row>39</xdr:row>
      <xdr:rowOff>124866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EB6F0FE-2872-4A87-8F14-1B040B85A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25325" y="838200"/>
          <a:ext cx="16652024" cy="745911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21</xdr:col>
      <xdr:colOff>152400</xdr:colOff>
      <xdr:row>77</xdr:row>
      <xdr:rowOff>38100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25A40C9-9377-4829-AE2D-6C8D2F35F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25325" y="9848850"/>
          <a:ext cx="6324600" cy="6324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4</xdr:row>
      <xdr:rowOff>0</xdr:rowOff>
    </xdr:from>
    <xdr:to>
      <xdr:col>38</xdr:col>
      <xdr:colOff>459753</xdr:colOff>
      <xdr:row>48</xdr:row>
      <xdr:rowOff>201340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7D592D7-0994-4477-BC6C-9C34A5B33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25325" y="838200"/>
          <a:ext cx="18290553" cy="942154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59</xdr:row>
      <xdr:rowOff>0</xdr:rowOff>
    </xdr:from>
    <xdr:to>
      <xdr:col>21</xdr:col>
      <xdr:colOff>152400</xdr:colOff>
      <xdr:row>89</xdr:row>
      <xdr:rowOff>38100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69FC7EE-E461-4FD1-BD96-597F5EFD8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25325" y="12363450"/>
          <a:ext cx="6324600" cy="6324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A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A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A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A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A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A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A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A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A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A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A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A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B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B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B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B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B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B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B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B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B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B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B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B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B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B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C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C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C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C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C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C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C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C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C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C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C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C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C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C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C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D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D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D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D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D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D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D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D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D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D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D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D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D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D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D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560291</xdr:colOff>
      <xdr:row>0</xdr:row>
      <xdr:rowOff>291351</xdr:rowOff>
    </xdr:from>
    <xdr:to>
      <xdr:col>15</xdr:col>
      <xdr:colOff>638426</xdr:colOff>
      <xdr:row>21</xdr:row>
      <xdr:rowOff>11207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pSpPr/>
      </xdr:nvGrpSpPr>
      <xdr:grpSpPr>
        <a:xfrm>
          <a:off x="10186144" y="291351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E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E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E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E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E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E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E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E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E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E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E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E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E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E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E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36"/>
  <sheetViews>
    <sheetView zoomScale="80" zoomScaleNormal="80" workbookViewId="0">
      <pane xSplit="4" ySplit="4" topLeftCell="E5" activePane="bottomRight" state="frozen"/>
      <selection pane="topRight" activeCell="C1" sqref="C1"/>
      <selection pane="bottomLeft" activeCell="A5" sqref="A5"/>
      <selection pane="bottomRight" activeCell="Y26" sqref="Y26"/>
    </sheetView>
  </sheetViews>
  <sheetFormatPr defaultRowHeight="16.5" x14ac:dyDescent="0.3"/>
  <cols>
    <col min="1" max="1" width="6.75" bestFit="1" customWidth="1"/>
    <col min="2" max="3" width="9.5" bestFit="1" customWidth="1"/>
    <col min="4" max="4" width="16.5" bestFit="1" customWidth="1"/>
    <col min="5" max="5" width="11.625" bestFit="1" customWidth="1"/>
    <col min="6" max="6" width="10.625" bestFit="1" customWidth="1"/>
    <col min="7" max="20" width="7.625" customWidth="1"/>
    <col min="21" max="21" width="9" bestFit="1" customWidth="1"/>
    <col min="22" max="24" width="7.625" customWidth="1"/>
    <col min="25" max="25" width="32.375" style="5" customWidth="1"/>
  </cols>
  <sheetData>
    <row r="1" spans="1:25" ht="31.5" x14ac:dyDescent="0.3">
      <c r="A1" s="125" t="s">
        <v>50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Y1" s="2"/>
    </row>
    <row r="2" spans="1:25" ht="17.25" thickBot="1" x14ac:dyDescent="0.35">
      <c r="Y2" s="3"/>
    </row>
    <row r="3" spans="1:25" ht="26.25" customHeight="1" thickBot="1" x14ac:dyDescent="0.35">
      <c r="A3" s="126" t="s">
        <v>1</v>
      </c>
      <c r="B3" s="128" t="s">
        <v>62</v>
      </c>
      <c r="C3" s="128" t="s">
        <v>63</v>
      </c>
      <c r="D3" s="126" t="s">
        <v>7</v>
      </c>
      <c r="E3" s="130" t="s">
        <v>8</v>
      </c>
      <c r="F3" s="131"/>
      <c r="G3" s="132" t="s">
        <v>9</v>
      </c>
      <c r="H3" s="132"/>
      <c r="I3" s="132"/>
      <c r="J3" s="132"/>
      <c r="K3" s="132"/>
      <c r="L3" s="123" t="s">
        <v>56</v>
      </c>
      <c r="M3" s="124"/>
      <c r="N3" s="124"/>
      <c r="O3" s="124"/>
      <c r="P3" s="124"/>
      <c r="Q3" s="124"/>
      <c r="R3" s="124"/>
      <c r="S3" s="124"/>
      <c r="T3" s="124"/>
      <c r="U3" s="9"/>
      <c r="V3" s="9"/>
      <c r="W3" s="9"/>
      <c r="X3" s="9"/>
      <c r="Y3" s="121" t="s">
        <v>10</v>
      </c>
    </row>
    <row r="4" spans="1:25" ht="33.75" customHeight="1" thickBot="1" x14ac:dyDescent="0.35">
      <c r="A4" s="127"/>
      <c r="B4" s="127"/>
      <c r="C4" s="127"/>
      <c r="D4" s="129"/>
      <c r="E4" s="1" t="s">
        <v>0</v>
      </c>
      <c r="F4" s="4" t="s">
        <v>11</v>
      </c>
      <c r="G4" s="4" t="s">
        <v>12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6</v>
      </c>
      <c r="M4" s="4" t="s">
        <v>51</v>
      </c>
      <c r="N4" s="4" t="s">
        <v>2</v>
      </c>
      <c r="O4" s="4" t="s">
        <v>3</v>
      </c>
      <c r="P4" s="4" t="s">
        <v>52</v>
      </c>
      <c r="Q4" s="4" t="s">
        <v>53</v>
      </c>
      <c r="R4" s="4" t="s">
        <v>54</v>
      </c>
      <c r="S4" s="4" t="s">
        <v>55</v>
      </c>
      <c r="T4" s="6" t="s">
        <v>4</v>
      </c>
      <c r="U4" s="10" t="s">
        <v>77</v>
      </c>
      <c r="V4" s="10" t="s">
        <v>78</v>
      </c>
      <c r="W4" s="10" t="s">
        <v>75</v>
      </c>
      <c r="X4" s="10" t="s">
        <v>76</v>
      </c>
      <c r="Y4" s="122"/>
    </row>
    <row r="5" spans="1:25" ht="20.100000000000001" customHeight="1" x14ac:dyDescent="0.3">
      <c r="A5" s="35">
        <v>1</v>
      </c>
      <c r="B5" s="30" t="s">
        <v>57</v>
      </c>
      <c r="C5" s="30" t="s">
        <v>17</v>
      </c>
      <c r="D5" s="13" t="s">
        <v>18</v>
      </c>
      <c r="E5" s="14">
        <v>45394</v>
      </c>
      <c r="F5" s="15">
        <v>0.40625</v>
      </c>
      <c r="G5" s="13" t="s">
        <v>19</v>
      </c>
      <c r="H5" s="52">
        <v>13.4</v>
      </c>
      <c r="I5" s="52">
        <v>7.66</v>
      </c>
      <c r="J5" s="52">
        <v>11.37</v>
      </c>
      <c r="K5" s="52">
        <v>200.1</v>
      </c>
      <c r="L5" s="53">
        <v>1.5620000000000001</v>
      </c>
      <c r="M5" s="53"/>
      <c r="N5" s="53">
        <v>2.8000000000000001E-2</v>
      </c>
      <c r="O5" s="53">
        <v>1.5338708615263741</v>
      </c>
      <c r="P5" s="53" t="s">
        <v>135</v>
      </c>
      <c r="Q5" s="53">
        <v>1.2</v>
      </c>
      <c r="R5" s="53">
        <v>1.9E-2</v>
      </c>
      <c r="S5" s="53">
        <v>1.4999999999999999E-2</v>
      </c>
      <c r="T5" s="53">
        <v>21.926092412394119</v>
      </c>
      <c r="U5" s="53">
        <v>6.79</v>
      </c>
      <c r="V5" s="53">
        <v>2.9</v>
      </c>
      <c r="W5" s="53" t="s">
        <v>79</v>
      </c>
      <c r="X5" s="53">
        <v>6.8100892305781313</v>
      </c>
      <c r="Y5" s="16"/>
    </row>
    <row r="6" spans="1:25" ht="20.100000000000001" customHeight="1" x14ac:dyDescent="0.3">
      <c r="A6" s="25">
        <v>2</v>
      </c>
      <c r="B6" s="17" t="s">
        <v>57</v>
      </c>
      <c r="C6" s="17" t="s">
        <v>17</v>
      </c>
      <c r="D6" s="18" t="s">
        <v>20</v>
      </c>
      <c r="E6" s="19">
        <v>45394</v>
      </c>
      <c r="F6" s="20">
        <v>0.4375</v>
      </c>
      <c r="G6" s="18" t="s">
        <v>19</v>
      </c>
      <c r="H6" s="29">
        <v>17.899999999999999</v>
      </c>
      <c r="I6" s="29">
        <v>7.63</v>
      </c>
      <c r="J6" s="29">
        <v>10.66</v>
      </c>
      <c r="K6" s="29">
        <v>381</v>
      </c>
      <c r="L6" s="54">
        <v>5.1319999999999997</v>
      </c>
      <c r="M6" s="54"/>
      <c r="N6" s="54">
        <v>0.82399999999999995</v>
      </c>
      <c r="O6" s="54">
        <v>3.8056685669511721</v>
      </c>
      <c r="P6" s="54">
        <v>0.75779406996970966</v>
      </c>
      <c r="Q6" s="54">
        <v>3.4</v>
      </c>
      <c r="R6" s="54">
        <v>4.1000000000000002E-2</v>
      </c>
      <c r="S6" s="54">
        <v>2.9000000000000001E-2</v>
      </c>
      <c r="T6" s="54">
        <v>48.553205182927933</v>
      </c>
      <c r="U6" s="54">
        <v>10.94</v>
      </c>
      <c r="V6" s="54">
        <v>0.19</v>
      </c>
      <c r="W6" s="54">
        <v>91.9</v>
      </c>
      <c r="X6" s="54">
        <v>11.530193967408453</v>
      </c>
      <c r="Y6" s="21"/>
    </row>
    <row r="7" spans="1:25" ht="20.100000000000001" customHeight="1" x14ac:dyDescent="0.3">
      <c r="A7" s="25">
        <v>3</v>
      </c>
      <c r="B7" s="17" t="s">
        <v>57</v>
      </c>
      <c r="C7" s="17" t="s">
        <v>17</v>
      </c>
      <c r="D7" s="18" t="s">
        <v>21</v>
      </c>
      <c r="E7" s="19">
        <v>45394</v>
      </c>
      <c r="F7" s="20">
        <v>0.4513888888888889</v>
      </c>
      <c r="G7" s="18" t="s">
        <v>19</v>
      </c>
      <c r="H7" s="29">
        <v>19.100000000000001</v>
      </c>
      <c r="I7" s="29">
        <v>7.58</v>
      </c>
      <c r="J7" s="29">
        <v>9.67</v>
      </c>
      <c r="K7" s="29">
        <v>357</v>
      </c>
      <c r="L7" s="54">
        <v>4.3529999999999998</v>
      </c>
      <c r="M7" s="54"/>
      <c r="N7" s="54">
        <v>0.90200000000000002</v>
      </c>
      <c r="O7" s="54">
        <v>2.9836540688462629</v>
      </c>
      <c r="P7" s="54">
        <v>0.5708632001190197</v>
      </c>
      <c r="Q7" s="54">
        <v>3.5</v>
      </c>
      <c r="R7" s="54">
        <v>7.8E-2</v>
      </c>
      <c r="S7" s="54">
        <v>6.9000000000000006E-2</v>
      </c>
      <c r="T7" s="54">
        <v>42.668927928854785</v>
      </c>
      <c r="U7" s="54">
        <v>10.09</v>
      </c>
      <c r="V7" s="54">
        <v>1.5</v>
      </c>
      <c r="W7" s="54">
        <v>25.3</v>
      </c>
      <c r="X7" s="54">
        <v>11.842993595465368</v>
      </c>
      <c r="Y7" s="21"/>
    </row>
    <row r="8" spans="1:25" ht="20.100000000000001" customHeight="1" x14ac:dyDescent="0.3">
      <c r="A8" s="25">
        <v>4</v>
      </c>
      <c r="B8" s="17" t="s">
        <v>57</v>
      </c>
      <c r="C8" s="17" t="s">
        <v>17</v>
      </c>
      <c r="D8" s="18" t="s">
        <v>22</v>
      </c>
      <c r="E8" s="19">
        <v>45394</v>
      </c>
      <c r="F8" s="20">
        <v>0.46527777777777773</v>
      </c>
      <c r="G8" s="18" t="s">
        <v>19</v>
      </c>
      <c r="H8" s="29">
        <v>20.399999999999999</v>
      </c>
      <c r="I8" s="29">
        <v>7.35</v>
      </c>
      <c r="J8" s="29">
        <v>9</v>
      </c>
      <c r="K8" s="29">
        <v>348</v>
      </c>
      <c r="L8" s="54">
        <v>3.8969999999999998</v>
      </c>
      <c r="M8" s="54"/>
      <c r="N8" s="54">
        <v>0.78200000000000003</v>
      </c>
      <c r="O8" s="54">
        <v>2.6470789824688241</v>
      </c>
      <c r="P8" s="54">
        <v>0.50575484929842918</v>
      </c>
      <c r="Q8" s="54">
        <v>3.5</v>
      </c>
      <c r="R8" s="54">
        <v>5.8999999999999997E-2</v>
      </c>
      <c r="S8" s="54">
        <v>4.8000000000000001E-2</v>
      </c>
      <c r="T8" s="54">
        <v>41.228925543629487</v>
      </c>
      <c r="U8" s="54">
        <v>10.63</v>
      </c>
      <c r="V8" s="54">
        <v>2.19</v>
      </c>
      <c r="W8" s="54">
        <v>19.899999999999999</v>
      </c>
      <c r="X8" s="54">
        <v>12.303652359256734</v>
      </c>
      <c r="Y8" s="21"/>
    </row>
    <row r="9" spans="1:25" ht="20.100000000000001" customHeight="1" x14ac:dyDescent="0.3">
      <c r="A9" s="41">
        <v>5</v>
      </c>
      <c r="B9" s="42" t="s">
        <v>58</v>
      </c>
      <c r="C9" s="42" t="s">
        <v>23</v>
      </c>
      <c r="D9" s="43" t="s">
        <v>24</v>
      </c>
      <c r="E9" s="67">
        <v>45394</v>
      </c>
      <c r="F9" s="45">
        <v>0.625</v>
      </c>
      <c r="G9" s="43" t="s">
        <v>19</v>
      </c>
      <c r="H9" s="46">
        <v>23.3</v>
      </c>
      <c r="I9" s="46">
        <v>8.59</v>
      </c>
      <c r="J9" s="46">
        <v>9.51</v>
      </c>
      <c r="K9" s="46">
        <v>167.4</v>
      </c>
      <c r="L9" s="60">
        <v>1.5269999999999999</v>
      </c>
      <c r="M9" s="60"/>
      <c r="N9" s="60">
        <v>2.8000000000000001E-2</v>
      </c>
      <c r="O9" s="60">
        <v>1.3577461209228088</v>
      </c>
      <c r="P9" s="60" t="s">
        <v>135</v>
      </c>
      <c r="Q9" s="60">
        <v>2.5</v>
      </c>
      <c r="R9" s="60">
        <v>2.5000000000000001E-2</v>
      </c>
      <c r="S9" s="60">
        <v>8.9999999999999993E-3</v>
      </c>
      <c r="T9" s="60">
        <v>13.465682479565089</v>
      </c>
      <c r="U9" s="60">
        <v>5.58</v>
      </c>
      <c r="V9" s="60">
        <v>6.49</v>
      </c>
      <c r="W9" s="60">
        <v>8.1999999999999993</v>
      </c>
      <c r="X9" s="60">
        <v>15.388054287513553</v>
      </c>
      <c r="Y9" s="48"/>
    </row>
    <row r="10" spans="1:25" ht="20.100000000000001" customHeight="1" x14ac:dyDescent="0.3">
      <c r="A10" s="41">
        <v>6</v>
      </c>
      <c r="B10" s="42" t="s">
        <v>58</v>
      </c>
      <c r="C10" s="42" t="s">
        <v>23</v>
      </c>
      <c r="D10" s="43" t="s">
        <v>25</v>
      </c>
      <c r="E10" s="67">
        <v>45394</v>
      </c>
      <c r="F10" s="45">
        <v>0.63888888888888895</v>
      </c>
      <c r="G10" s="43" t="s">
        <v>19</v>
      </c>
      <c r="H10" s="46">
        <v>20.5</v>
      </c>
      <c r="I10" s="46">
        <v>7.61</v>
      </c>
      <c r="J10" s="46">
        <v>10.02</v>
      </c>
      <c r="K10" s="46">
        <v>279</v>
      </c>
      <c r="L10" s="60">
        <v>2.8879999999999999</v>
      </c>
      <c r="M10" s="60"/>
      <c r="N10" s="60">
        <v>0.128</v>
      </c>
      <c r="O10" s="60">
        <v>2.3599395974240749</v>
      </c>
      <c r="P10" s="60">
        <v>4.16973481937844E-2</v>
      </c>
      <c r="Q10" s="60">
        <v>3.8</v>
      </c>
      <c r="R10" s="60">
        <v>0.13700000000000001</v>
      </c>
      <c r="S10" s="60">
        <v>0.13200000000000001</v>
      </c>
      <c r="T10" s="60">
        <v>24.609506883467702</v>
      </c>
      <c r="U10" s="60">
        <v>6.75</v>
      </c>
      <c r="V10" s="60">
        <v>7.6</v>
      </c>
      <c r="W10" s="60">
        <v>14.7</v>
      </c>
      <c r="X10" s="60">
        <v>11.914577909851953</v>
      </c>
      <c r="Y10" s="48"/>
    </row>
    <row r="11" spans="1:25" ht="20.100000000000001" customHeight="1" x14ac:dyDescent="0.3">
      <c r="A11" s="41">
        <v>7</v>
      </c>
      <c r="B11" s="42" t="s">
        <v>58</v>
      </c>
      <c r="C11" s="42" t="s">
        <v>23</v>
      </c>
      <c r="D11" s="43" t="s">
        <v>26</v>
      </c>
      <c r="E11" s="67">
        <v>45393</v>
      </c>
      <c r="F11" s="45">
        <v>0.63888888888888895</v>
      </c>
      <c r="G11" s="43" t="s">
        <v>19</v>
      </c>
      <c r="H11" s="72">
        <v>17.5</v>
      </c>
      <c r="I11" s="72">
        <v>7.38</v>
      </c>
      <c r="J11" s="72">
        <v>9.8800000000000008</v>
      </c>
      <c r="K11" s="73">
        <v>267</v>
      </c>
      <c r="L11" s="60">
        <v>3.016</v>
      </c>
      <c r="M11" s="60"/>
      <c r="N11" s="60">
        <v>0.191</v>
      </c>
      <c r="O11" s="60">
        <v>2.4391271227247548</v>
      </c>
      <c r="P11" s="60">
        <v>7.7295428737773897E-2</v>
      </c>
      <c r="Q11" s="60">
        <v>4.3</v>
      </c>
      <c r="R11" s="60">
        <v>0.251</v>
      </c>
      <c r="S11" s="60">
        <v>0.249</v>
      </c>
      <c r="T11" s="60">
        <v>21.663703887468678</v>
      </c>
      <c r="U11" s="60">
        <v>8.2100000000000009</v>
      </c>
      <c r="V11" s="60">
        <v>5.56</v>
      </c>
      <c r="W11" s="60">
        <v>19.2</v>
      </c>
      <c r="X11" s="60">
        <v>10.009981831868686</v>
      </c>
      <c r="Y11" s="48"/>
    </row>
    <row r="12" spans="1:25" s="7" customFormat="1" ht="20.100000000000001" customHeight="1" x14ac:dyDescent="0.3">
      <c r="A12" s="41">
        <v>8</v>
      </c>
      <c r="B12" s="42" t="s">
        <v>58</v>
      </c>
      <c r="C12" s="42" t="s">
        <v>27</v>
      </c>
      <c r="D12" s="43" t="s">
        <v>28</v>
      </c>
      <c r="E12" s="67">
        <v>45393</v>
      </c>
      <c r="F12" s="45">
        <v>0.65277777777777779</v>
      </c>
      <c r="G12" s="43" t="s">
        <v>19</v>
      </c>
      <c r="H12" s="72">
        <v>15.2</v>
      </c>
      <c r="I12" s="72">
        <v>7.18</v>
      </c>
      <c r="J12" s="72">
        <v>8.57</v>
      </c>
      <c r="K12" s="73">
        <v>447</v>
      </c>
      <c r="L12" s="60">
        <v>10.587</v>
      </c>
      <c r="M12" s="60"/>
      <c r="N12" s="60">
        <v>7.5830000000000002</v>
      </c>
      <c r="O12" s="60">
        <v>0.97586059085562704</v>
      </c>
      <c r="P12" s="60">
        <v>8.6902733014795064E-2</v>
      </c>
      <c r="Q12" s="60">
        <v>13.8</v>
      </c>
      <c r="R12" s="60">
        <v>4.4939999999999998</v>
      </c>
      <c r="S12" s="60">
        <v>4.4489999999999998</v>
      </c>
      <c r="T12" s="60">
        <v>28.874406034046217</v>
      </c>
      <c r="U12" s="60">
        <v>1.58</v>
      </c>
      <c r="V12" s="60">
        <v>-0.43</v>
      </c>
      <c r="W12" s="60">
        <v>29.5</v>
      </c>
      <c r="X12" s="60">
        <v>10.352175185906143</v>
      </c>
      <c r="Y12" s="48"/>
    </row>
    <row r="13" spans="1:25" ht="20.100000000000001" customHeight="1" x14ac:dyDescent="0.3">
      <c r="A13" s="41">
        <v>9</v>
      </c>
      <c r="B13" s="42" t="s">
        <v>58</v>
      </c>
      <c r="C13" s="42" t="s">
        <v>27</v>
      </c>
      <c r="D13" s="43" t="s">
        <v>30</v>
      </c>
      <c r="E13" s="67">
        <v>45393</v>
      </c>
      <c r="F13" s="45">
        <v>0.64236111111111105</v>
      </c>
      <c r="G13" s="43" t="s">
        <v>19</v>
      </c>
      <c r="H13" s="72">
        <v>17.600000000000001</v>
      </c>
      <c r="I13" s="72">
        <v>8.07</v>
      </c>
      <c r="J13" s="72">
        <v>12.5</v>
      </c>
      <c r="K13" s="73">
        <v>306</v>
      </c>
      <c r="L13" s="60">
        <v>5.1479999999999997</v>
      </c>
      <c r="M13" s="60"/>
      <c r="N13" s="60">
        <v>0.44400000000000001</v>
      </c>
      <c r="O13" s="60">
        <v>3.8062637015242489</v>
      </c>
      <c r="P13" s="60">
        <v>0.37424985100928226</v>
      </c>
      <c r="Q13" s="60">
        <v>8.3000000000000007</v>
      </c>
      <c r="R13" s="60">
        <v>1.298</v>
      </c>
      <c r="S13" s="60">
        <v>1.2909999999999999</v>
      </c>
      <c r="T13" s="60">
        <v>22.829088136986975</v>
      </c>
      <c r="U13" s="60">
        <v>12.48</v>
      </c>
      <c r="V13" s="60">
        <v>2.62</v>
      </c>
      <c r="W13" s="60" t="s">
        <v>79</v>
      </c>
      <c r="X13" s="60">
        <v>12.076708490286192</v>
      </c>
      <c r="Y13" s="48"/>
    </row>
    <row r="14" spans="1:25" ht="20.100000000000001" customHeight="1" x14ac:dyDescent="0.3">
      <c r="A14" s="25">
        <v>10</v>
      </c>
      <c r="B14" s="17" t="s">
        <v>59</v>
      </c>
      <c r="C14" s="17" t="s">
        <v>31</v>
      </c>
      <c r="D14" s="18" t="s">
        <v>32</v>
      </c>
      <c r="E14" s="19">
        <v>45394</v>
      </c>
      <c r="F14" s="20">
        <v>0.55902777777777779</v>
      </c>
      <c r="G14" s="18" t="s">
        <v>19</v>
      </c>
      <c r="H14" s="28">
        <v>20.100000000000001</v>
      </c>
      <c r="I14" s="28">
        <v>9.43</v>
      </c>
      <c r="J14" s="28">
        <v>13.8</v>
      </c>
      <c r="K14" s="74">
        <v>159.5</v>
      </c>
      <c r="L14" s="54">
        <v>1.5369999999999999</v>
      </c>
      <c r="M14" s="54"/>
      <c r="N14" s="54">
        <v>0.06</v>
      </c>
      <c r="O14" s="54">
        <v>1.3490559741266328</v>
      </c>
      <c r="P14" s="54" t="s">
        <v>135</v>
      </c>
      <c r="Q14" s="54">
        <v>2.4</v>
      </c>
      <c r="R14" s="54">
        <v>1.9E-2</v>
      </c>
      <c r="S14" s="54">
        <v>7.0000000000000001E-3</v>
      </c>
      <c r="T14" s="54">
        <v>10.187097958523417</v>
      </c>
      <c r="U14" s="54">
        <v>8.51</v>
      </c>
      <c r="V14" s="54">
        <v>8.32</v>
      </c>
      <c r="W14" s="54">
        <v>8.6999999999999993</v>
      </c>
      <c r="X14" s="54">
        <v>13.328055480267331</v>
      </c>
      <c r="Y14" s="21"/>
    </row>
    <row r="15" spans="1:25" ht="20.100000000000001" customHeight="1" x14ac:dyDescent="0.3">
      <c r="A15" s="25">
        <v>11</v>
      </c>
      <c r="B15" s="17" t="s">
        <v>59</v>
      </c>
      <c r="C15" s="17" t="s">
        <v>31</v>
      </c>
      <c r="D15" s="18" t="s">
        <v>33</v>
      </c>
      <c r="E15" s="19">
        <v>45394</v>
      </c>
      <c r="F15" s="20">
        <v>0.60416666666666663</v>
      </c>
      <c r="G15" s="18" t="s">
        <v>19</v>
      </c>
      <c r="H15" s="28">
        <v>18.8</v>
      </c>
      <c r="I15" s="28">
        <v>7.93</v>
      </c>
      <c r="J15" s="28">
        <v>10.17</v>
      </c>
      <c r="K15" s="74">
        <v>192.7</v>
      </c>
      <c r="L15" s="54">
        <v>2.169</v>
      </c>
      <c r="M15" s="54"/>
      <c r="N15" s="54">
        <v>2.1999999999999999E-2</v>
      </c>
      <c r="O15" s="54">
        <v>2.0674211944327476</v>
      </c>
      <c r="P15" s="54" t="s">
        <v>135</v>
      </c>
      <c r="Q15" s="54">
        <v>2</v>
      </c>
      <c r="R15" s="54">
        <v>4.7E-2</v>
      </c>
      <c r="S15" s="54">
        <v>4.2999999999999997E-2</v>
      </c>
      <c r="T15" s="54">
        <v>12.831242270508705</v>
      </c>
      <c r="U15" s="54">
        <v>8.24</v>
      </c>
      <c r="V15" s="54">
        <v>6.51</v>
      </c>
      <c r="W15" s="54">
        <v>11.6</v>
      </c>
      <c r="X15" s="54">
        <v>13.545452837707971</v>
      </c>
      <c r="Y15" s="21"/>
    </row>
    <row r="16" spans="1:25" ht="20.100000000000001" customHeight="1" x14ac:dyDescent="0.3">
      <c r="A16" s="25">
        <v>12</v>
      </c>
      <c r="B16" s="17" t="s">
        <v>59</v>
      </c>
      <c r="C16" s="17" t="s">
        <v>31</v>
      </c>
      <c r="D16" s="18" t="s">
        <v>34</v>
      </c>
      <c r="E16" s="19">
        <v>45394</v>
      </c>
      <c r="F16" s="20">
        <v>0.61111111111111105</v>
      </c>
      <c r="G16" s="18" t="s">
        <v>19</v>
      </c>
      <c r="H16" s="28">
        <v>20.6</v>
      </c>
      <c r="I16" s="28">
        <v>8.49</v>
      </c>
      <c r="J16" s="28">
        <v>11.2</v>
      </c>
      <c r="K16" s="74">
        <v>200.4</v>
      </c>
      <c r="L16" s="54">
        <v>2.4790000000000001</v>
      </c>
      <c r="M16" s="54"/>
      <c r="N16" s="54">
        <v>3.5000000000000003E-2</v>
      </c>
      <c r="O16" s="54">
        <v>2.3482003300928995</v>
      </c>
      <c r="P16" s="54" t="s">
        <v>135</v>
      </c>
      <c r="Q16" s="54">
        <v>2.1</v>
      </c>
      <c r="R16" s="54">
        <v>5.0999999999999997E-2</v>
      </c>
      <c r="S16" s="54">
        <v>4.8000000000000001E-2</v>
      </c>
      <c r="T16" s="54">
        <v>14.247692060289525</v>
      </c>
      <c r="U16" s="54">
        <v>8.6199999999999992</v>
      </c>
      <c r="V16" s="54">
        <v>5.83</v>
      </c>
      <c r="W16" s="54">
        <v>11.2</v>
      </c>
      <c r="X16" s="54">
        <v>14.539856019900043</v>
      </c>
      <c r="Y16" s="21"/>
    </row>
    <row r="17" spans="1:25" ht="20.100000000000001" customHeight="1" x14ac:dyDescent="0.3">
      <c r="A17" s="25">
        <v>13</v>
      </c>
      <c r="B17" s="17" t="s">
        <v>59</v>
      </c>
      <c r="C17" s="17" t="s">
        <v>35</v>
      </c>
      <c r="D17" s="18" t="s">
        <v>36</v>
      </c>
      <c r="E17" s="19">
        <v>45394</v>
      </c>
      <c r="F17" s="20">
        <v>0.59375</v>
      </c>
      <c r="G17" s="18" t="s">
        <v>37</v>
      </c>
      <c r="H17" s="28">
        <v>20</v>
      </c>
      <c r="I17" s="28">
        <v>7.91</v>
      </c>
      <c r="J17" s="28">
        <v>10.9</v>
      </c>
      <c r="K17" s="74">
        <v>264</v>
      </c>
      <c r="L17" s="54">
        <v>3.7250000000000001</v>
      </c>
      <c r="M17" s="54"/>
      <c r="N17" s="54">
        <v>0.246</v>
      </c>
      <c r="O17" s="54">
        <v>3.3700928149145133</v>
      </c>
      <c r="P17" s="54">
        <v>6.9030757429925982E-2</v>
      </c>
      <c r="Q17" s="54">
        <v>2.2000000000000002</v>
      </c>
      <c r="R17" s="54">
        <v>0.106</v>
      </c>
      <c r="S17" s="54">
        <v>0.105</v>
      </c>
      <c r="T17" s="54">
        <v>20.963677081464517</v>
      </c>
      <c r="U17" s="54">
        <v>9.1300000000000008</v>
      </c>
      <c r="V17" s="54">
        <v>4.09</v>
      </c>
      <c r="W17" s="54">
        <v>9.3000000000000007</v>
      </c>
      <c r="X17" s="54">
        <v>15.702781473289019</v>
      </c>
      <c r="Y17" s="21"/>
    </row>
    <row r="18" spans="1:25" ht="20.100000000000001" customHeight="1" x14ac:dyDescent="0.3">
      <c r="A18" s="25">
        <v>14</v>
      </c>
      <c r="B18" s="17" t="s">
        <v>59</v>
      </c>
      <c r="C18" s="17" t="s">
        <v>5</v>
      </c>
      <c r="D18" s="18" t="s">
        <v>29</v>
      </c>
      <c r="E18" s="19">
        <v>45394</v>
      </c>
      <c r="F18" s="20">
        <v>0.58680555555555558</v>
      </c>
      <c r="G18" s="18" t="s">
        <v>37</v>
      </c>
      <c r="H18" s="28">
        <v>21.3</v>
      </c>
      <c r="I18" s="28">
        <v>7.61</v>
      </c>
      <c r="J18" s="28">
        <v>10.199999999999999</v>
      </c>
      <c r="K18" s="74">
        <v>330</v>
      </c>
      <c r="L18" s="54">
        <v>3.2210000000000001</v>
      </c>
      <c r="M18" s="54"/>
      <c r="N18" s="54">
        <v>0.48799999999999999</v>
      </c>
      <c r="O18" s="54">
        <v>2.409154906701044</v>
      </c>
      <c r="P18" s="54">
        <v>0.20265185356162441</v>
      </c>
      <c r="Q18" s="54">
        <v>2.8</v>
      </c>
      <c r="R18" s="54">
        <v>7.3999999999999996E-2</v>
      </c>
      <c r="S18" s="54">
        <v>7.0000000000000007E-2</v>
      </c>
      <c r="T18" s="54">
        <v>37.782982991834189</v>
      </c>
      <c r="U18" s="54">
        <v>8.94</v>
      </c>
      <c r="V18" s="54">
        <v>4.2699999999999996</v>
      </c>
      <c r="W18" s="54">
        <v>16.5</v>
      </c>
      <c r="X18" s="54">
        <v>12.61424864341576</v>
      </c>
      <c r="Y18" s="21"/>
    </row>
    <row r="19" spans="1:25" ht="20.100000000000001" customHeight="1" x14ac:dyDescent="0.3">
      <c r="A19" s="25">
        <v>15</v>
      </c>
      <c r="B19" s="17" t="s">
        <v>59</v>
      </c>
      <c r="C19" s="17" t="s">
        <v>35</v>
      </c>
      <c r="D19" s="18" t="s">
        <v>29</v>
      </c>
      <c r="E19" s="19">
        <v>45394</v>
      </c>
      <c r="F19" s="20">
        <v>0.58333333333333337</v>
      </c>
      <c r="G19" s="18" t="s">
        <v>37</v>
      </c>
      <c r="H19" s="28">
        <v>19.2</v>
      </c>
      <c r="I19" s="28">
        <v>8.1999999999999993</v>
      </c>
      <c r="J19" s="28">
        <v>10.36</v>
      </c>
      <c r="K19" s="74">
        <v>265</v>
      </c>
      <c r="L19" s="54">
        <v>2.9990000000000001</v>
      </c>
      <c r="M19" s="54"/>
      <c r="N19" s="54">
        <v>8.3000000000000004E-2</v>
      </c>
      <c r="O19" s="54">
        <v>2.8600034333719488</v>
      </c>
      <c r="P19" s="54">
        <v>1.7071790625036165E-3</v>
      </c>
      <c r="Q19" s="54">
        <v>2.4</v>
      </c>
      <c r="R19" s="54">
        <v>7.3999999999999996E-2</v>
      </c>
      <c r="S19" s="54">
        <v>7.0999999999999994E-2</v>
      </c>
      <c r="T19" s="54">
        <v>20.981463254273066</v>
      </c>
      <c r="U19" s="54">
        <v>10.39</v>
      </c>
      <c r="V19" s="54">
        <v>5.64</v>
      </c>
      <c r="W19" s="54">
        <v>12.4</v>
      </c>
      <c r="X19" s="54">
        <v>16.465379552633163</v>
      </c>
      <c r="Y19" s="21"/>
    </row>
    <row r="20" spans="1:25" ht="20.100000000000001" customHeight="1" x14ac:dyDescent="0.3">
      <c r="A20" s="41">
        <v>16</v>
      </c>
      <c r="B20" s="42" t="s">
        <v>60</v>
      </c>
      <c r="C20" s="42" t="s">
        <v>38</v>
      </c>
      <c r="D20" s="43" t="s">
        <v>39</v>
      </c>
      <c r="E20" s="67">
        <v>45394</v>
      </c>
      <c r="F20" s="45">
        <v>0.60763888888888895</v>
      </c>
      <c r="G20" s="43" t="s">
        <v>37</v>
      </c>
      <c r="H20" s="72">
        <v>16.7</v>
      </c>
      <c r="I20" s="72">
        <v>7.74</v>
      </c>
      <c r="J20" s="72">
        <v>9.69</v>
      </c>
      <c r="K20" s="73">
        <v>280</v>
      </c>
      <c r="L20" s="60">
        <v>4.0350000000000001</v>
      </c>
      <c r="M20" s="60"/>
      <c r="N20" s="60">
        <v>0.11600000000000001</v>
      </c>
      <c r="O20" s="60">
        <v>3.6370006163330189</v>
      </c>
      <c r="P20" s="60">
        <v>7.1019486261476195E-2</v>
      </c>
      <c r="Q20" s="60">
        <v>3.7</v>
      </c>
      <c r="R20" s="60">
        <v>7.6999999999999999E-2</v>
      </c>
      <c r="S20" s="60">
        <v>7.0999999999999994E-2</v>
      </c>
      <c r="T20" s="60">
        <v>20.656813665762371</v>
      </c>
      <c r="U20" s="60">
        <v>7.92</v>
      </c>
      <c r="V20" s="60">
        <v>4.59</v>
      </c>
      <c r="W20" s="60">
        <v>12.1</v>
      </c>
      <c r="X20" s="60">
        <v>13.006279806017819</v>
      </c>
      <c r="Y20" s="48"/>
    </row>
    <row r="21" spans="1:25" ht="20.100000000000001" customHeight="1" x14ac:dyDescent="0.3">
      <c r="A21" s="41">
        <v>17</v>
      </c>
      <c r="B21" s="42" t="s">
        <v>60</v>
      </c>
      <c r="C21" s="42" t="s">
        <v>38</v>
      </c>
      <c r="D21" s="43" t="s">
        <v>41</v>
      </c>
      <c r="E21" s="67">
        <v>45393</v>
      </c>
      <c r="F21" s="45">
        <v>0.5625</v>
      </c>
      <c r="G21" s="43" t="s">
        <v>37</v>
      </c>
      <c r="H21" s="72">
        <v>20</v>
      </c>
      <c r="I21" s="72">
        <v>7.57</v>
      </c>
      <c r="J21" s="72">
        <v>9.91</v>
      </c>
      <c r="K21" s="73">
        <v>372</v>
      </c>
      <c r="L21" s="60">
        <v>4.7130000000000001</v>
      </c>
      <c r="M21" s="60"/>
      <c r="N21" s="60">
        <v>0.129</v>
      </c>
      <c r="O21" s="60">
        <v>4.3850525263799121</v>
      </c>
      <c r="P21" s="60">
        <v>6.3094173518871088E-2</v>
      </c>
      <c r="Q21" s="60">
        <v>3.7</v>
      </c>
      <c r="R21" s="60">
        <v>8.3000000000000004E-2</v>
      </c>
      <c r="S21" s="60">
        <v>7.5999999999999998E-2</v>
      </c>
      <c r="T21" s="60">
        <v>42.086888752878899</v>
      </c>
      <c r="U21" s="60">
        <v>11.24</v>
      </c>
      <c r="V21" s="60">
        <v>5.97</v>
      </c>
      <c r="W21" s="60">
        <v>17.3</v>
      </c>
      <c r="X21" s="60">
        <v>11.329123160711552</v>
      </c>
      <c r="Y21" s="48"/>
    </row>
    <row r="22" spans="1:25" ht="20.100000000000001" customHeight="1" x14ac:dyDescent="0.3">
      <c r="A22" s="41">
        <v>18</v>
      </c>
      <c r="B22" s="42" t="s">
        <v>60</v>
      </c>
      <c r="C22" s="42" t="s">
        <v>38</v>
      </c>
      <c r="D22" s="43" t="s">
        <v>42</v>
      </c>
      <c r="E22" s="67">
        <v>45393</v>
      </c>
      <c r="F22" s="45">
        <v>0.62847222222222221</v>
      </c>
      <c r="G22" s="43" t="s">
        <v>37</v>
      </c>
      <c r="H22" s="72">
        <v>18.399999999999999</v>
      </c>
      <c r="I22" s="72">
        <v>7.16</v>
      </c>
      <c r="J22" s="72">
        <v>8.81</v>
      </c>
      <c r="K22" s="73">
        <v>393</v>
      </c>
      <c r="L22" s="60">
        <v>5.0999999999999996</v>
      </c>
      <c r="M22" s="60"/>
      <c r="N22" s="60">
        <v>0.374</v>
      </c>
      <c r="O22" s="60">
        <v>4.4413298229600713</v>
      </c>
      <c r="P22" s="60">
        <v>0.15166091643205315</v>
      </c>
      <c r="Q22" s="60">
        <v>4</v>
      </c>
      <c r="R22" s="60">
        <v>6.2E-2</v>
      </c>
      <c r="S22" s="60">
        <v>5.3999999999999999E-2</v>
      </c>
      <c r="T22" s="60">
        <v>46.199351722238532</v>
      </c>
      <c r="U22" s="60">
        <v>11.5</v>
      </c>
      <c r="V22" s="60">
        <v>5.45</v>
      </c>
      <c r="W22" s="60">
        <v>19.100000000000001</v>
      </c>
      <c r="X22" s="60">
        <v>11.436419136503728</v>
      </c>
      <c r="Y22" s="48"/>
    </row>
    <row r="23" spans="1:25" ht="20.100000000000001" customHeight="1" x14ac:dyDescent="0.3">
      <c r="A23" s="41">
        <v>19</v>
      </c>
      <c r="B23" s="42" t="s">
        <v>60</v>
      </c>
      <c r="C23" s="42" t="s">
        <v>43</v>
      </c>
      <c r="D23" s="43" t="s">
        <v>40</v>
      </c>
      <c r="E23" s="67">
        <v>45393</v>
      </c>
      <c r="F23" s="45">
        <v>0.56597222222222221</v>
      </c>
      <c r="G23" s="43" t="s">
        <v>37</v>
      </c>
      <c r="H23" s="72">
        <v>20.399999999999999</v>
      </c>
      <c r="I23" s="72">
        <v>7.15</v>
      </c>
      <c r="J23" s="72">
        <v>9.94</v>
      </c>
      <c r="K23" s="73">
        <v>427</v>
      </c>
      <c r="L23" s="60">
        <v>4.4729999999999999</v>
      </c>
      <c r="M23" s="60"/>
      <c r="N23" s="60">
        <v>0.26700000000000002</v>
      </c>
      <c r="O23" s="60">
        <v>3.9058742648607598</v>
      </c>
      <c r="P23" s="60">
        <v>7.8217782921411683E-2</v>
      </c>
      <c r="Q23" s="60">
        <v>3.9</v>
      </c>
      <c r="R23" s="60">
        <v>0.02</v>
      </c>
      <c r="S23" s="60">
        <v>7.0000000000000001E-3</v>
      </c>
      <c r="T23" s="60">
        <v>64.491191417810811</v>
      </c>
      <c r="U23" s="60">
        <v>12.27</v>
      </c>
      <c r="V23" s="60">
        <v>6.11</v>
      </c>
      <c r="W23" s="60">
        <v>20.2</v>
      </c>
      <c r="X23" s="60">
        <v>10.396885695613589</v>
      </c>
      <c r="Y23" s="48"/>
    </row>
    <row r="24" spans="1:25" ht="19.5" customHeight="1" x14ac:dyDescent="0.3">
      <c r="A24" s="41">
        <v>20</v>
      </c>
      <c r="B24" s="42" t="s">
        <v>60</v>
      </c>
      <c r="C24" s="42" t="s">
        <v>43</v>
      </c>
      <c r="D24" s="43" t="s">
        <v>44</v>
      </c>
      <c r="E24" s="67">
        <v>45393</v>
      </c>
      <c r="F24" s="45">
        <v>0.57291666666666663</v>
      </c>
      <c r="G24" s="43" t="s">
        <v>37</v>
      </c>
      <c r="H24" s="72">
        <v>17.7</v>
      </c>
      <c r="I24" s="72">
        <v>8.4600000000000009</v>
      </c>
      <c r="J24" s="72">
        <v>13.23</v>
      </c>
      <c r="K24" s="73">
        <v>488</v>
      </c>
      <c r="L24" s="60">
        <v>5.1660000000000004</v>
      </c>
      <c r="M24" s="60"/>
      <c r="N24" s="60">
        <v>6.3E-2</v>
      </c>
      <c r="O24" s="60">
        <v>4.9679283032825374</v>
      </c>
      <c r="P24" s="60">
        <v>0.12958430283036404</v>
      </c>
      <c r="Q24" s="60">
        <v>2.9</v>
      </c>
      <c r="R24" s="60">
        <v>4.8000000000000001E-2</v>
      </c>
      <c r="S24" s="60">
        <v>2.3E-2</v>
      </c>
      <c r="T24" s="60">
        <v>53.23904304944535</v>
      </c>
      <c r="U24" s="60">
        <v>10.25</v>
      </c>
      <c r="V24" s="60">
        <v>7.37</v>
      </c>
      <c r="W24" s="60">
        <v>23.4</v>
      </c>
      <c r="X24" s="60">
        <v>10.85344472189681</v>
      </c>
      <c r="Y24" s="48"/>
    </row>
    <row r="25" spans="1:25" ht="20.100000000000001" customHeight="1" x14ac:dyDescent="0.3">
      <c r="A25" s="25">
        <v>21</v>
      </c>
      <c r="B25" s="17" t="s">
        <v>61</v>
      </c>
      <c r="C25" s="17" t="s">
        <v>45</v>
      </c>
      <c r="D25" s="18" t="s">
        <v>46</v>
      </c>
      <c r="E25" s="19">
        <v>45393</v>
      </c>
      <c r="F25" s="20">
        <v>0.44097222222222227</v>
      </c>
      <c r="G25" s="18" t="s">
        <v>37</v>
      </c>
      <c r="H25" s="28">
        <v>14.7</v>
      </c>
      <c r="I25" s="28">
        <v>7.64</v>
      </c>
      <c r="J25" s="28">
        <v>10.1</v>
      </c>
      <c r="K25" s="74">
        <v>195</v>
      </c>
      <c r="L25" s="54">
        <v>1.575</v>
      </c>
      <c r="M25" s="54"/>
      <c r="N25" s="54">
        <v>3.9E-2</v>
      </c>
      <c r="O25" s="54">
        <v>1.4978781437023474</v>
      </c>
      <c r="P25" s="54" t="s">
        <v>135</v>
      </c>
      <c r="Q25" s="54">
        <v>1.7</v>
      </c>
      <c r="R25" s="54">
        <v>6.0000000000000001E-3</v>
      </c>
      <c r="S25" s="54">
        <v>2E-3</v>
      </c>
      <c r="T25" s="54">
        <v>11.157679937554409</v>
      </c>
      <c r="U25" s="54">
        <v>4.84</v>
      </c>
      <c r="V25" s="54">
        <v>5.72</v>
      </c>
      <c r="W25" s="54">
        <v>8.6999999999999993</v>
      </c>
      <c r="X25" s="54">
        <v>14.992753436048833</v>
      </c>
      <c r="Y25" s="21"/>
    </row>
    <row r="26" spans="1:25" ht="20.100000000000001" customHeight="1" x14ac:dyDescent="0.3">
      <c r="A26" s="25">
        <v>22</v>
      </c>
      <c r="B26" s="17" t="s">
        <v>61</v>
      </c>
      <c r="C26" s="17" t="s">
        <v>45</v>
      </c>
      <c r="D26" s="22" t="s">
        <v>47</v>
      </c>
      <c r="E26" s="19">
        <v>45393</v>
      </c>
      <c r="F26" s="23">
        <v>0.46180555555555558</v>
      </c>
      <c r="G26" s="18" t="s">
        <v>37</v>
      </c>
      <c r="H26" s="28">
        <v>17.3</v>
      </c>
      <c r="I26" s="28">
        <v>7.3</v>
      </c>
      <c r="J26" s="28">
        <v>9.5</v>
      </c>
      <c r="K26" s="74">
        <v>232</v>
      </c>
      <c r="L26" s="55">
        <v>1.9910000000000001</v>
      </c>
      <c r="M26" s="55"/>
      <c r="N26" s="55">
        <v>4.2000000000000003E-2</v>
      </c>
      <c r="O26" s="55">
        <v>1.8417102276897697</v>
      </c>
      <c r="P26" s="54" t="s">
        <v>135</v>
      </c>
      <c r="Q26" s="55">
        <v>2.7</v>
      </c>
      <c r="R26" s="55">
        <v>5.3999999999999999E-2</v>
      </c>
      <c r="S26" s="55">
        <v>5.0999999999999997E-2</v>
      </c>
      <c r="T26" s="55">
        <v>17.228406114095094</v>
      </c>
      <c r="U26" s="55">
        <v>7.46</v>
      </c>
      <c r="V26" s="55">
        <v>3.75</v>
      </c>
      <c r="W26" s="55">
        <v>11.3</v>
      </c>
      <c r="X26" s="55">
        <v>13.044520469711662</v>
      </c>
      <c r="Y26" s="24"/>
    </row>
    <row r="27" spans="1:25" ht="20.100000000000001" customHeight="1" x14ac:dyDescent="0.3">
      <c r="A27" s="25">
        <v>23</v>
      </c>
      <c r="B27" s="17" t="s">
        <v>61</v>
      </c>
      <c r="C27" s="17" t="s">
        <v>45</v>
      </c>
      <c r="D27" s="22" t="s">
        <v>29</v>
      </c>
      <c r="E27" s="19">
        <v>45393</v>
      </c>
      <c r="F27" s="23">
        <v>0.47569444444444442</v>
      </c>
      <c r="G27" s="18" t="s">
        <v>37</v>
      </c>
      <c r="H27" s="28">
        <v>17.8</v>
      </c>
      <c r="I27" s="28">
        <v>7.54</v>
      </c>
      <c r="J27" s="28">
        <v>10.7</v>
      </c>
      <c r="K27" s="74">
        <v>237</v>
      </c>
      <c r="L27" s="55">
        <v>2.1120000000000001</v>
      </c>
      <c r="M27" s="55"/>
      <c r="N27" s="55">
        <v>5.7000000000000002E-2</v>
      </c>
      <c r="O27" s="55">
        <v>1.9377533187741629</v>
      </c>
      <c r="P27" s="54" t="s">
        <v>135</v>
      </c>
      <c r="Q27" s="55">
        <v>2.8</v>
      </c>
      <c r="R27" s="55">
        <v>4.8000000000000001E-2</v>
      </c>
      <c r="S27" s="55">
        <v>4.2999999999999997E-2</v>
      </c>
      <c r="T27" s="55">
        <v>18.676808109788333</v>
      </c>
      <c r="U27" s="55">
        <v>7.95</v>
      </c>
      <c r="V27" s="55">
        <v>4.3499999999999996</v>
      </c>
      <c r="W27" s="55">
        <v>12.1</v>
      </c>
      <c r="X27" s="55">
        <v>13.065326733831593</v>
      </c>
      <c r="Y27" s="24"/>
    </row>
    <row r="28" spans="1:25" ht="20.100000000000001" customHeight="1" thickBot="1" x14ac:dyDescent="0.35">
      <c r="A28" s="88">
        <v>24</v>
      </c>
      <c r="B28" s="89" t="s">
        <v>61</v>
      </c>
      <c r="C28" s="89" t="s">
        <v>45</v>
      </c>
      <c r="D28" s="90" t="s">
        <v>48</v>
      </c>
      <c r="E28" s="91">
        <v>45393</v>
      </c>
      <c r="F28" s="92">
        <v>0.48958333333333331</v>
      </c>
      <c r="G28" s="90" t="s">
        <v>37</v>
      </c>
      <c r="H28" s="93">
        <v>16.899999999999999</v>
      </c>
      <c r="I28" s="93">
        <v>7.29</v>
      </c>
      <c r="J28" s="93">
        <v>8.75</v>
      </c>
      <c r="K28" s="94">
        <v>248</v>
      </c>
      <c r="L28" s="95">
        <v>2.1680000000000001</v>
      </c>
      <c r="M28" s="95"/>
      <c r="N28" s="95">
        <v>6.5000000000000002E-2</v>
      </c>
      <c r="O28" s="95">
        <v>1.9645769962820305</v>
      </c>
      <c r="P28" s="95" t="s">
        <v>135</v>
      </c>
      <c r="Q28" s="95">
        <v>2.7</v>
      </c>
      <c r="R28" s="95">
        <v>3.7999999999999999E-2</v>
      </c>
      <c r="S28" s="95">
        <v>3.3000000000000002E-2</v>
      </c>
      <c r="T28" s="95">
        <v>18.945319130868253</v>
      </c>
      <c r="U28" s="95">
        <v>8.2100000000000009</v>
      </c>
      <c r="V28" s="95">
        <v>4.57</v>
      </c>
      <c r="W28" s="95">
        <v>13.4</v>
      </c>
      <c r="X28" s="95">
        <v>12.926440961420095</v>
      </c>
      <c r="Y28" s="96"/>
    </row>
    <row r="29" spans="1:25" ht="20.100000000000001" customHeight="1" x14ac:dyDescent="0.3">
      <c r="A29" s="5"/>
      <c r="B29" s="5"/>
      <c r="C29" s="5"/>
      <c r="D29" s="5"/>
      <c r="E29" s="31"/>
      <c r="F29" s="32"/>
      <c r="G29" s="5"/>
      <c r="H29" s="33"/>
      <c r="I29" s="33"/>
      <c r="J29" s="33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</row>
    <row r="30" spans="1:25" ht="20.100000000000001" customHeight="1" x14ac:dyDescent="0.3">
      <c r="A30" s="5"/>
      <c r="B30" s="5"/>
      <c r="C30" s="5"/>
      <c r="D30" s="5"/>
      <c r="E30" s="31"/>
      <c r="F30" s="32"/>
      <c r="G30" s="5"/>
      <c r="H30" s="33"/>
      <c r="I30" s="33"/>
      <c r="J30" s="33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</row>
    <row r="31" spans="1:25" x14ac:dyDescent="0.3">
      <c r="A31" s="5"/>
      <c r="B31" s="5"/>
      <c r="C31" s="5"/>
      <c r="D31" s="5"/>
      <c r="E31" s="31"/>
      <c r="F31" s="32"/>
      <c r="G31" s="5"/>
      <c r="H31" s="33"/>
      <c r="I31" s="33"/>
      <c r="J31" s="33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</row>
    <row r="32" spans="1:25" ht="33.75" customHeight="1" x14ac:dyDescent="0.3"/>
    <row r="33" ht="20.100000000000001" customHeight="1" x14ac:dyDescent="0.3"/>
    <row r="34" ht="20.100000000000001" customHeight="1" x14ac:dyDescent="0.3"/>
    <row r="35" ht="20.100000000000001" customHeight="1" x14ac:dyDescent="0.3"/>
    <row r="36" ht="20.100000000000001" customHeight="1" x14ac:dyDescent="0.3"/>
    <row r="37" ht="20.100000000000001" customHeight="1" x14ac:dyDescent="0.3"/>
    <row r="38" ht="20.100000000000001" customHeight="1" x14ac:dyDescent="0.3"/>
    <row r="39" ht="20.100000000000001" customHeight="1" x14ac:dyDescent="0.3"/>
    <row r="40" ht="20.100000000000001" customHeight="1" x14ac:dyDescent="0.3"/>
    <row r="41" ht="20.100000000000001" customHeight="1" x14ac:dyDescent="0.3"/>
    <row r="42" ht="20.100000000000001" customHeight="1" x14ac:dyDescent="0.3"/>
    <row r="43" ht="20.100000000000001" customHeight="1" x14ac:dyDescent="0.3"/>
    <row r="44" ht="20.100000000000001" customHeight="1" x14ac:dyDescent="0.3"/>
    <row r="45" ht="20.100000000000001" customHeight="1" x14ac:dyDescent="0.3"/>
    <row r="46" ht="20.100000000000001" customHeight="1" x14ac:dyDescent="0.3"/>
    <row r="47" ht="20.100000000000001" customHeight="1" x14ac:dyDescent="0.3"/>
    <row r="48" ht="20.100000000000001" customHeight="1" x14ac:dyDescent="0.3"/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  <row r="291" ht="20.100000000000001" customHeight="1" x14ac:dyDescent="0.3"/>
    <row r="292" ht="20.100000000000001" customHeight="1" x14ac:dyDescent="0.3"/>
    <row r="293" ht="20.100000000000001" customHeight="1" x14ac:dyDescent="0.3"/>
    <row r="294" ht="20.100000000000001" customHeight="1" x14ac:dyDescent="0.3"/>
    <row r="295" ht="20.100000000000001" customHeight="1" x14ac:dyDescent="0.3"/>
    <row r="296" ht="20.100000000000001" customHeight="1" x14ac:dyDescent="0.3"/>
    <row r="297" ht="20.100000000000001" customHeight="1" x14ac:dyDescent="0.3"/>
    <row r="298" ht="20.100000000000001" customHeight="1" x14ac:dyDescent="0.3"/>
    <row r="299" ht="20.100000000000001" customHeight="1" x14ac:dyDescent="0.3"/>
    <row r="300" ht="20.100000000000001" customHeight="1" x14ac:dyDescent="0.3"/>
    <row r="301" ht="20.100000000000001" customHeight="1" x14ac:dyDescent="0.3"/>
    <row r="302" ht="20.100000000000001" customHeight="1" x14ac:dyDescent="0.3"/>
    <row r="303" ht="20.100000000000001" customHeight="1" x14ac:dyDescent="0.3"/>
    <row r="304" ht="20.100000000000001" customHeight="1" x14ac:dyDescent="0.3"/>
    <row r="305" ht="20.100000000000001" customHeight="1" x14ac:dyDescent="0.3"/>
    <row r="306" ht="20.100000000000001" customHeight="1" x14ac:dyDescent="0.3"/>
    <row r="307" ht="20.100000000000001" customHeight="1" x14ac:dyDescent="0.3"/>
    <row r="308" ht="20.100000000000001" customHeight="1" x14ac:dyDescent="0.3"/>
    <row r="309" ht="20.100000000000001" customHeight="1" x14ac:dyDescent="0.3"/>
    <row r="310" ht="20.100000000000001" customHeight="1" x14ac:dyDescent="0.3"/>
    <row r="311" ht="20.100000000000001" customHeight="1" x14ac:dyDescent="0.3"/>
    <row r="312" ht="20.100000000000001" customHeight="1" x14ac:dyDescent="0.3"/>
    <row r="313" ht="20.100000000000001" customHeight="1" x14ac:dyDescent="0.3"/>
    <row r="314" ht="20.100000000000001" customHeight="1" x14ac:dyDescent="0.3"/>
    <row r="315" ht="20.100000000000001" customHeight="1" x14ac:dyDescent="0.3"/>
    <row r="316" ht="20.100000000000001" customHeight="1" x14ac:dyDescent="0.3"/>
    <row r="317" ht="20.100000000000001" customHeight="1" x14ac:dyDescent="0.3"/>
    <row r="318" ht="20.100000000000001" customHeight="1" x14ac:dyDescent="0.3"/>
    <row r="319" ht="20.100000000000001" customHeight="1" x14ac:dyDescent="0.3"/>
    <row r="320" ht="20.100000000000001" customHeight="1" x14ac:dyDescent="0.3"/>
    <row r="321" ht="20.100000000000001" customHeight="1" x14ac:dyDescent="0.3"/>
    <row r="322" ht="20.100000000000001" customHeight="1" x14ac:dyDescent="0.3"/>
    <row r="323" ht="20.100000000000001" customHeight="1" x14ac:dyDescent="0.3"/>
    <row r="324" ht="20.100000000000001" customHeight="1" x14ac:dyDescent="0.3"/>
    <row r="325" ht="20.100000000000001" customHeight="1" x14ac:dyDescent="0.3"/>
    <row r="326" ht="20.100000000000001" customHeight="1" x14ac:dyDescent="0.3"/>
    <row r="327" ht="20.100000000000001" customHeight="1" x14ac:dyDescent="0.3"/>
    <row r="328" ht="20.100000000000001" customHeight="1" x14ac:dyDescent="0.3"/>
    <row r="329" ht="20.100000000000001" customHeight="1" x14ac:dyDescent="0.3"/>
    <row r="330" ht="20.100000000000001" customHeight="1" x14ac:dyDescent="0.3"/>
    <row r="331" ht="20.100000000000001" customHeight="1" x14ac:dyDescent="0.3"/>
    <row r="332" ht="20.100000000000001" customHeight="1" x14ac:dyDescent="0.3"/>
    <row r="333" ht="20.100000000000001" customHeight="1" x14ac:dyDescent="0.3"/>
    <row r="334" ht="20.100000000000001" customHeight="1" x14ac:dyDescent="0.3"/>
    <row r="335" ht="20.100000000000001" customHeight="1" x14ac:dyDescent="0.3"/>
    <row r="336" ht="20.100000000000001" customHeight="1" x14ac:dyDescent="0.3"/>
  </sheetData>
  <mergeCells count="9">
    <mergeCell ref="Y3:Y4"/>
    <mergeCell ref="L3:T3"/>
    <mergeCell ref="A1:K1"/>
    <mergeCell ref="A3:A4"/>
    <mergeCell ref="C3:C4"/>
    <mergeCell ref="D3:D4"/>
    <mergeCell ref="E3:F3"/>
    <mergeCell ref="G3:K3"/>
    <mergeCell ref="B3:B4"/>
  </mergeCells>
  <phoneticPr fontId="1" type="noConversion"/>
  <pageMargins left="0.23622047244094491" right="0.23622047244094491" top="0.74803149606299213" bottom="0.74803149606299213" header="0.31496062992125984" footer="0.31496062992125984"/>
  <pageSetup paperSize="9" scale="39" orientation="landscape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2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B35" sqref="B35"/>
    </sheetView>
  </sheetViews>
  <sheetFormatPr defaultRowHeight="16.5" x14ac:dyDescent="0.3"/>
  <cols>
    <col min="1" max="1" width="7.5" bestFit="1" customWidth="1"/>
    <col min="2" max="3" width="9.5" bestFit="1" customWidth="1"/>
    <col min="4" max="4" width="26.875" bestFit="1" customWidth="1"/>
    <col min="5" max="5" width="11.625" bestFit="1" customWidth="1"/>
    <col min="6" max="6" width="10.625" bestFit="1" customWidth="1"/>
    <col min="7" max="11" width="7.625" customWidth="1"/>
    <col min="12" max="12" width="7.625" style="8" customWidth="1"/>
    <col min="13" max="13" width="7.625" customWidth="1"/>
    <col min="14" max="15" width="7.625" style="8" customWidth="1"/>
    <col min="16" max="19" width="7.625" customWidth="1"/>
    <col min="20" max="24" width="7.625" style="8" customWidth="1"/>
    <col min="25" max="25" width="32.375" style="5" customWidth="1"/>
  </cols>
  <sheetData>
    <row r="1" spans="1:25" ht="31.5" hidden="1" customHeight="1" x14ac:dyDescent="0.3">
      <c r="A1" s="125" t="s">
        <v>65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Y1" s="2"/>
    </row>
    <row r="2" spans="1:25" ht="17.25" thickBot="1" x14ac:dyDescent="0.35">
      <c r="Y2" s="3"/>
    </row>
    <row r="3" spans="1:25" ht="26.25" customHeight="1" thickBot="1" x14ac:dyDescent="0.35">
      <c r="A3" s="126" t="s">
        <v>1</v>
      </c>
      <c r="B3" s="128" t="s">
        <v>62</v>
      </c>
      <c r="C3" s="128" t="s">
        <v>63</v>
      </c>
      <c r="D3" s="126" t="s">
        <v>7</v>
      </c>
      <c r="E3" s="130" t="s">
        <v>8</v>
      </c>
      <c r="F3" s="131"/>
      <c r="G3" s="132" t="s">
        <v>9</v>
      </c>
      <c r="H3" s="132"/>
      <c r="I3" s="132"/>
      <c r="J3" s="132"/>
      <c r="K3" s="132"/>
      <c r="L3" s="123" t="s">
        <v>56</v>
      </c>
      <c r="M3" s="124"/>
      <c r="N3" s="124"/>
      <c r="O3" s="124"/>
      <c r="P3" s="124"/>
      <c r="Q3" s="124"/>
      <c r="R3" s="124"/>
      <c r="S3" s="124"/>
      <c r="T3" s="124"/>
      <c r="U3" s="9"/>
      <c r="V3" s="9"/>
      <c r="W3" s="9"/>
      <c r="X3" s="9"/>
      <c r="Y3" s="133" t="s">
        <v>10</v>
      </c>
    </row>
    <row r="4" spans="1:25" ht="33.75" customHeight="1" thickBot="1" x14ac:dyDescent="0.35">
      <c r="A4" s="127"/>
      <c r="B4" s="127"/>
      <c r="C4" s="127"/>
      <c r="D4" s="129"/>
      <c r="E4" s="1" t="s">
        <v>0</v>
      </c>
      <c r="F4" s="4" t="s">
        <v>11</v>
      </c>
      <c r="G4" s="4" t="s">
        <v>12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6</v>
      </c>
      <c r="M4" s="4" t="s">
        <v>51</v>
      </c>
      <c r="N4" s="4" t="s">
        <v>125</v>
      </c>
      <c r="O4" s="4" t="s">
        <v>126</v>
      </c>
      <c r="P4" s="4" t="s">
        <v>127</v>
      </c>
      <c r="Q4" s="4" t="s">
        <v>53</v>
      </c>
      <c r="R4" s="4" t="s">
        <v>54</v>
      </c>
      <c r="S4" s="4" t="s">
        <v>128</v>
      </c>
      <c r="T4" s="4" t="s">
        <v>129</v>
      </c>
      <c r="U4" s="4" t="s">
        <v>130</v>
      </c>
      <c r="V4" s="4" t="s">
        <v>78</v>
      </c>
      <c r="W4" s="4" t="s">
        <v>131</v>
      </c>
      <c r="X4" s="10" t="s">
        <v>76</v>
      </c>
      <c r="Y4" s="134"/>
    </row>
    <row r="5" spans="1:25" ht="20.100000000000001" customHeight="1" x14ac:dyDescent="0.3">
      <c r="A5" s="35">
        <v>1</v>
      </c>
      <c r="B5" s="30" t="s">
        <v>17</v>
      </c>
      <c r="C5" s="30" t="s">
        <v>17</v>
      </c>
      <c r="D5" s="13" t="s">
        <v>18</v>
      </c>
      <c r="E5" s="36">
        <v>45457</v>
      </c>
      <c r="F5" s="15">
        <v>0.40625</v>
      </c>
      <c r="G5" s="13" t="s">
        <v>19</v>
      </c>
      <c r="H5" s="27">
        <v>21.5</v>
      </c>
      <c r="I5" s="27">
        <v>8.4</v>
      </c>
      <c r="J5" s="27">
        <v>9.6</v>
      </c>
      <c r="K5" s="76">
        <v>180</v>
      </c>
      <c r="L5" s="56">
        <v>0.78</v>
      </c>
      <c r="M5" s="53"/>
      <c r="N5" s="53">
        <v>3.2000000000000001E-2</v>
      </c>
      <c r="O5" s="53">
        <v>0.59</v>
      </c>
      <c r="P5" s="53" t="s">
        <v>66</v>
      </c>
      <c r="Q5" s="53">
        <v>2</v>
      </c>
      <c r="R5" s="53">
        <v>3.6999999999999998E-2</v>
      </c>
      <c r="S5" s="53">
        <v>1.9E-2</v>
      </c>
      <c r="T5" s="53">
        <v>25.29</v>
      </c>
      <c r="U5" s="53">
        <v>9.65</v>
      </c>
      <c r="V5" s="53">
        <v>4.49</v>
      </c>
      <c r="W5" s="53">
        <v>22.1098770696678</v>
      </c>
      <c r="X5" s="53">
        <v>6.7661375921548306</v>
      </c>
      <c r="Y5" s="16"/>
    </row>
    <row r="6" spans="1:25" ht="20.100000000000001" customHeight="1" x14ac:dyDescent="0.3">
      <c r="A6" s="25">
        <v>2</v>
      </c>
      <c r="B6" s="17" t="s">
        <v>17</v>
      </c>
      <c r="C6" s="17" t="s">
        <v>17</v>
      </c>
      <c r="D6" s="18" t="s">
        <v>20</v>
      </c>
      <c r="E6" s="26">
        <v>45457</v>
      </c>
      <c r="F6" s="20">
        <v>0.4375</v>
      </c>
      <c r="G6" s="18" t="s">
        <v>19</v>
      </c>
      <c r="H6" s="28">
        <v>25.38</v>
      </c>
      <c r="I6" s="28">
        <v>7.9</v>
      </c>
      <c r="J6" s="28">
        <v>13.59</v>
      </c>
      <c r="K6" s="74">
        <v>423</v>
      </c>
      <c r="L6" s="57">
        <v>6.8440000000000003</v>
      </c>
      <c r="M6" s="54"/>
      <c r="N6" s="54">
        <v>4.75</v>
      </c>
      <c r="O6" s="54">
        <v>1.718</v>
      </c>
      <c r="P6" s="54" t="s">
        <v>66</v>
      </c>
      <c r="Q6" s="54">
        <v>5.4</v>
      </c>
      <c r="R6" s="54">
        <v>6.0999999999999999E-2</v>
      </c>
      <c r="S6" s="54">
        <v>2.1999999999999999E-2</v>
      </c>
      <c r="T6" s="54">
        <v>67.840999999999994</v>
      </c>
      <c r="U6" s="54">
        <v>13.72</v>
      </c>
      <c r="V6" s="54">
        <v>0.34</v>
      </c>
      <c r="W6" s="54">
        <v>33.312334370837704</v>
      </c>
      <c r="X6" s="54">
        <v>9.1149019973507652</v>
      </c>
      <c r="Y6" s="21"/>
    </row>
    <row r="7" spans="1:25" ht="20.100000000000001" customHeight="1" x14ac:dyDescent="0.3">
      <c r="A7" s="25">
        <v>3</v>
      </c>
      <c r="B7" s="17" t="s">
        <v>17</v>
      </c>
      <c r="C7" s="17" t="s">
        <v>17</v>
      </c>
      <c r="D7" s="18" t="s">
        <v>21</v>
      </c>
      <c r="E7" s="26">
        <v>45457</v>
      </c>
      <c r="F7" s="20">
        <v>0.4513888888888889</v>
      </c>
      <c r="G7" s="18" t="s">
        <v>19</v>
      </c>
      <c r="H7" s="28">
        <v>27.42</v>
      </c>
      <c r="I7" s="28">
        <v>8.84</v>
      </c>
      <c r="J7" s="28">
        <v>13.72</v>
      </c>
      <c r="K7" s="74">
        <v>348</v>
      </c>
      <c r="L7" s="57">
        <v>4.3890000000000002</v>
      </c>
      <c r="M7" s="54"/>
      <c r="N7" s="54">
        <v>0.314</v>
      </c>
      <c r="O7" s="54">
        <v>3.2090000000000001</v>
      </c>
      <c r="P7" s="54" t="s">
        <v>66</v>
      </c>
      <c r="Q7" s="54">
        <v>5.4</v>
      </c>
      <c r="R7" s="54">
        <v>3.5000000000000003E-2</v>
      </c>
      <c r="S7" s="54">
        <v>1E-3</v>
      </c>
      <c r="T7" s="54">
        <v>56.59</v>
      </c>
      <c r="U7" s="58">
        <v>14.14</v>
      </c>
      <c r="V7" s="58">
        <v>-1.1599999999999999</v>
      </c>
      <c r="W7" s="58">
        <v>30.307226794084801</v>
      </c>
      <c r="X7" s="54">
        <v>9.5407009587316072</v>
      </c>
      <c r="Y7" s="21"/>
    </row>
    <row r="8" spans="1:25" ht="20.100000000000001" customHeight="1" x14ac:dyDescent="0.3">
      <c r="A8" s="25">
        <v>4</v>
      </c>
      <c r="B8" s="17" t="s">
        <v>17</v>
      </c>
      <c r="C8" s="17" t="s">
        <v>17</v>
      </c>
      <c r="D8" s="18" t="s">
        <v>22</v>
      </c>
      <c r="E8" s="26">
        <v>45457</v>
      </c>
      <c r="F8" s="20">
        <v>0.46527777777777773</v>
      </c>
      <c r="G8" s="18" t="s">
        <v>19</v>
      </c>
      <c r="H8" s="28">
        <v>28.43</v>
      </c>
      <c r="I8" s="28">
        <v>9.09</v>
      </c>
      <c r="J8" s="28">
        <v>10.08</v>
      </c>
      <c r="K8" s="74">
        <v>339</v>
      </c>
      <c r="L8" s="57">
        <v>2.335</v>
      </c>
      <c r="M8" s="54"/>
      <c r="N8" s="54">
        <v>0.155</v>
      </c>
      <c r="O8" s="54">
        <v>1.4830000000000001</v>
      </c>
      <c r="P8" s="54" t="s">
        <v>66</v>
      </c>
      <c r="Q8" s="54">
        <v>6.1</v>
      </c>
      <c r="R8" s="54">
        <v>8.2000000000000003E-2</v>
      </c>
      <c r="S8" s="54">
        <v>5.0999999999999997E-2</v>
      </c>
      <c r="T8" s="54">
        <v>54.719000000000001</v>
      </c>
      <c r="U8" s="55">
        <v>15.12</v>
      </c>
      <c r="V8" s="55">
        <v>1.38</v>
      </c>
      <c r="W8" s="55">
        <v>28.172749485468199</v>
      </c>
      <c r="X8" s="55">
        <v>10.026667631068687</v>
      </c>
      <c r="Y8" s="21"/>
    </row>
    <row r="9" spans="1:25" ht="20.100000000000001" customHeight="1" x14ac:dyDescent="0.3">
      <c r="A9" s="41">
        <v>5</v>
      </c>
      <c r="B9" s="42" t="s">
        <v>23</v>
      </c>
      <c r="C9" s="42" t="s">
        <v>23</v>
      </c>
      <c r="D9" s="43" t="s">
        <v>24</v>
      </c>
      <c r="E9" s="44">
        <v>45457</v>
      </c>
      <c r="F9" s="45">
        <v>0.625</v>
      </c>
      <c r="G9" s="43" t="s">
        <v>19</v>
      </c>
      <c r="H9" s="72">
        <v>23.1</v>
      </c>
      <c r="I9" s="72">
        <v>7.7</v>
      </c>
      <c r="J9" s="72">
        <v>8.0500000000000007</v>
      </c>
      <c r="K9" s="73">
        <v>166.1</v>
      </c>
      <c r="L9" s="59">
        <v>1.272</v>
      </c>
      <c r="M9" s="60"/>
      <c r="N9" s="60">
        <v>0.192</v>
      </c>
      <c r="O9" s="61">
        <v>0.77100000000000002</v>
      </c>
      <c r="P9" s="61" t="s">
        <v>66</v>
      </c>
      <c r="Q9" s="61">
        <v>4.0999999999999996</v>
      </c>
      <c r="R9" s="61">
        <v>3.4000000000000002E-2</v>
      </c>
      <c r="S9" s="61">
        <v>0.01</v>
      </c>
      <c r="T9" s="61">
        <v>11.804</v>
      </c>
      <c r="U9" s="61">
        <v>5.77</v>
      </c>
      <c r="V9" s="61">
        <v>2.79</v>
      </c>
      <c r="W9" s="61">
        <v>9.3235686071382098</v>
      </c>
      <c r="X9" s="61">
        <v>16.641686143105574</v>
      </c>
      <c r="Y9" s="48"/>
    </row>
    <row r="10" spans="1:25" ht="20.100000000000001" customHeight="1" x14ac:dyDescent="0.3">
      <c r="A10" s="41">
        <v>6</v>
      </c>
      <c r="B10" s="42" t="s">
        <v>23</v>
      </c>
      <c r="C10" s="42" t="s">
        <v>23</v>
      </c>
      <c r="D10" s="43" t="s">
        <v>25</v>
      </c>
      <c r="E10" s="44">
        <v>45457</v>
      </c>
      <c r="F10" s="45">
        <v>0.63888888888888895</v>
      </c>
      <c r="G10" s="43" t="s">
        <v>19</v>
      </c>
      <c r="H10" s="72">
        <v>24.7</v>
      </c>
      <c r="I10" s="72">
        <v>7.35</v>
      </c>
      <c r="J10" s="72">
        <v>7.68</v>
      </c>
      <c r="K10" s="73">
        <v>200.1</v>
      </c>
      <c r="L10" s="59">
        <v>1.5580000000000001</v>
      </c>
      <c r="M10" s="60"/>
      <c r="N10" s="60">
        <v>0.13600000000000001</v>
      </c>
      <c r="O10" s="60">
        <v>0.89400000000000002</v>
      </c>
      <c r="P10" s="60" t="s">
        <v>66</v>
      </c>
      <c r="Q10" s="60">
        <v>6.2</v>
      </c>
      <c r="R10" s="60">
        <v>6.5000000000000002E-2</v>
      </c>
      <c r="S10" s="60">
        <v>5.1999999999999998E-2</v>
      </c>
      <c r="T10" s="60">
        <v>16.141999999999999</v>
      </c>
      <c r="U10" s="60">
        <v>5.56</v>
      </c>
      <c r="V10" s="60">
        <v>2.4500000000000002</v>
      </c>
      <c r="W10" s="60">
        <v>13.7850400260194</v>
      </c>
      <c r="X10" s="60">
        <v>12.440342318778107</v>
      </c>
      <c r="Y10" s="48"/>
    </row>
    <row r="11" spans="1:25" ht="20.100000000000001" customHeight="1" x14ac:dyDescent="0.3">
      <c r="A11" s="41">
        <v>7</v>
      </c>
      <c r="B11" s="42" t="s">
        <v>23</v>
      </c>
      <c r="C11" s="42" t="s">
        <v>23</v>
      </c>
      <c r="D11" s="43" t="s">
        <v>26</v>
      </c>
      <c r="E11" s="44">
        <v>45457</v>
      </c>
      <c r="F11" s="45">
        <v>0.63888888888888895</v>
      </c>
      <c r="G11" s="43" t="s">
        <v>19</v>
      </c>
      <c r="H11" s="72">
        <v>25.3</v>
      </c>
      <c r="I11" s="72">
        <v>7.31</v>
      </c>
      <c r="J11" s="72">
        <v>7.25</v>
      </c>
      <c r="K11" s="73">
        <v>220.4</v>
      </c>
      <c r="L11" s="59">
        <v>1.718</v>
      </c>
      <c r="M11" s="60"/>
      <c r="N11" s="60">
        <v>0.10100000000000001</v>
      </c>
      <c r="O11" s="60">
        <v>1.0489999999999999</v>
      </c>
      <c r="P11" s="60" t="s">
        <v>66</v>
      </c>
      <c r="Q11" s="60">
        <v>6.6</v>
      </c>
      <c r="R11" s="60">
        <v>9.1999999999999998E-2</v>
      </c>
      <c r="S11" s="60">
        <v>7.8E-2</v>
      </c>
      <c r="T11" s="60">
        <v>18.344000000000001</v>
      </c>
      <c r="U11" s="60">
        <v>6.43</v>
      </c>
      <c r="V11" s="60">
        <v>2.91</v>
      </c>
      <c r="W11" s="60">
        <v>15.278497514306499</v>
      </c>
      <c r="X11" s="60">
        <v>12.395354544312564</v>
      </c>
      <c r="Y11" s="48"/>
    </row>
    <row r="12" spans="1:25" ht="20.100000000000001" customHeight="1" x14ac:dyDescent="0.3">
      <c r="A12" s="41">
        <v>8</v>
      </c>
      <c r="B12" s="42" t="s">
        <v>23</v>
      </c>
      <c r="C12" s="42" t="s">
        <v>27</v>
      </c>
      <c r="D12" s="43" t="s">
        <v>28</v>
      </c>
      <c r="E12" s="44">
        <v>45457</v>
      </c>
      <c r="F12" s="45">
        <v>0.65277777777777779</v>
      </c>
      <c r="G12" s="43" t="s">
        <v>19</v>
      </c>
      <c r="H12" s="72">
        <v>25.7</v>
      </c>
      <c r="I12" s="72">
        <v>7</v>
      </c>
      <c r="J12" s="72">
        <v>5.5</v>
      </c>
      <c r="K12" s="73">
        <v>369.2</v>
      </c>
      <c r="L12" s="59">
        <v>5.2030000000000003</v>
      </c>
      <c r="M12" s="60"/>
      <c r="N12" s="60">
        <v>3.8260000000000001</v>
      </c>
      <c r="O12" s="60">
        <v>0.46899999999999997</v>
      </c>
      <c r="P12" s="60" t="s">
        <v>66</v>
      </c>
      <c r="Q12" s="60">
        <v>11.4</v>
      </c>
      <c r="R12" s="60">
        <v>1.9470000000000001</v>
      </c>
      <c r="S12" s="60">
        <v>1.9370000000000001</v>
      </c>
      <c r="T12" s="60">
        <v>20.645</v>
      </c>
      <c r="U12" s="60">
        <v>0.5</v>
      </c>
      <c r="V12" s="60">
        <v>-3.18</v>
      </c>
      <c r="W12" s="60">
        <v>20.007911964009502</v>
      </c>
      <c r="X12" s="60">
        <v>12.118616073041489</v>
      </c>
      <c r="Y12" s="48"/>
    </row>
    <row r="13" spans="1:25" ht="20.100000000000001" customHeight="1" x14ac:dyDescent="0.3">
      <c r="A13" s="41">
        <v>9</v>
      </c>
      <c r="B13" s="42" t="s">
        <v>23</v>
      </c>
      <c r="C13" s="42" t="s">
        <v>27</v>
      </c>
      <c r="D13" s="43" t="s">
        <v>30</v>
      </c>
      <c r="E13" s="44">
        <v>45457</v>
      </c>
      <c r="F13" s="45">
        <v>0.64236111111111105</v>
      </c>
      <c r="G13" s="43" t="s">
        <v>19</v>
      </c>
      <c r="H13" s="72">
        <v>27.2</v>
      </c>
      <c r="I13" s="72">
        <v>7.42</v>
      </c>
      <c r="J13" s="72">
        <v>7.81</v>
      </c>
      <c r="K13" s="73">
        <v>357.7</v>
      </c>
      <c r="L13" s="59">
        <v>2.673</v>
      </c>
      <c r="M13" s="60"/>
      <c r="N13" s="60">
        <v>0.25700000000000001</v>
      </c>
      <c r="O13" s="60">
        <v>1.4970000000000001</v>
      </c>
      <c r="P13" s="60" t="s">
        <v>66</v>
      </c>
      <c r="Q13" s="60">
        <v>8.5</v>
      </c>
      <c r="R13" s="60">
        <v>0.32900000000000001</v>
      </c>
      <c r="S13" s="60">
        <v>0.316</v>
      </c>
      <c r="T13" s="60">
        <v>37.978999999999999</v>
      </c>
      <c r="U13" s="62">
        <v>10.37</v>
      </c>
      <c r="V13" s="62">
        <v>0.99</v>
      </c>
      <c r="W13" s="62">
        <v>23.810053793747201</v>
      </c>
      <c r="X13" s="62">
        <v>9.7693430417629123</v>
      </c>
      <c r="Y13" s="48"/>
    </row>
    <row r="14" spans="1:25" ht="20.100000000000001" customHeight="1" x14ac:dyDescent="0.3">
      <c r="A14" s="25">
        <v>10</v>
      </c>
      <c r="B14" s="17" t="s">
        <v>31</v>
      </c>
      <c r="C14" s="17" t="s">
        <v>31</v>
      </c>
      <c r="D14" s="18" t="s">
        <v>32</v>
      </c>
      <c r="E14" s="26">
        <v>45457</v>
      </c>
      <c r="F14" s="20">
        <v>0.55902777777777779</v>
      </c>
      <c r="G14" s="18" t="s">
        <v>19</v>
      </c>
      <c r="H14" s="28">
        <v>27.75</v>
      </c>
      <c r="I14" s="28">
        <v>9.0399999999999991</v>
      </c>
      <c r="J14" s="28">
        <v>14.48</v>
      </c>
      <c r="K14" s="74">
        <v>232.4</v>
      </c>
      <c r="L14" s="57">
        <v>1.702</v>
      </c>
      <c r="M14" s="54"/>
      <c r="N14" s="54">
        <v>6.0999999999999999E-2</v>
      </c>
      <c r="O14" s="58">
        <v>0.97199999999999998</v>
      </c>
      <c r="P14" s="58" t="s">
        <v>66</v>
      </c>
      <c r="Q14" s="58">
        <v>7.1</v>
      </c>
      <c r="R14" s="58">
        <v>8.6999999999999994E-2</v>
      </c>
      <c r="S14" s="58">
        <v>6.8000000000000005E-2</v>
      </c>
      <c r="T14" s="58">
        <v>20.626000000000001</v>
      </c>
      <c r="U14" s="58">
        <v>10.15</v>
      </c>
      <c r="V14" s="58">
        <v>9.92</v>
      </c>
      <c r="W14" s="58">
        <v>24.873571813861201</v>
      </c>
      <c r="X14" s="58">
        <v>10.709017843283263</v>
      </c>
      <c r="Y14" s="21"/>
    </row>
    <row r="15" spans="1:25" ht="20.100000000000001" customHeight="1" x14ac:dyDescent="0.3">
      <c r="A15" s="25">
        <v>11</v>
      </c>
      <c r="B15" s="17" t="s">
        <v>31</v>
      </c>
      <c r="C15" s="17" t="s">
        <v>31</v>
      </c>
      <c r="D15" s="18" t="s">
        <v>33</v>
      </c>
      <c r="E15" s="26">
        <v>45457</v>
      </c>
      <c r="F15" s="20">
        <v>0.60416666666666663</v>
      </c>
      <c r="G15" s="18" t="s">
        <v>19</v>
      </c>
      <c r="H15" s="28">
        <v>28.89</v>
      </c>
      <c r="I15" s="28">
        <v>9.4</v>
      </c>
      <c r="J15" s="28">
        <v>15.38</v>
      </c>
      <c r="K15" s="74">
        <v>234.3</v>
      </c>
      <c r="L15" s="57">
        <v>1.125</v>
      </c>
      <c r="M15" s="54"/>
      <c r="N15" s="54">
        <v>0.114</v>
      </c>
      <c r="O15" s="54">
        <v>0.439</v>
      </c>
      <c r="P15" s="54" t="s">
        <v>66</v>
      </c>
      <c r="Q15" s="54">
        <v>6.7</v>
      </c>
      <c r="R15" s="54">
        <v>4.9000000000000002E-2</v>
      </c>
      <c r="S15" s="54">
        <v>0.02</v>
      </c>
      <c r="T15" s="54">
        <v>22.864999999999998</v>
      </c>
      <c r="U15" s="54">
        <v>12.72</v>
      </c>
      <c r="V15" s="54">
        <v>9.1300000000000008</v>
      </c>
      <c r="W15" s="54">
        <v>24.021067207072299</v>
      </c>
      <c r="X15" s="54">
        <v>10.100749744356985</v>
      </c>
      <c r="Y15" s="21"/>
    </row>
    <row r="16" spans="1:25" ht="20.100000000000001" customHeight="1" x14ac:dyDescent="0.3">
      <c r="A16" s="25">
        <v>12</v>
      </c>
      <c r="B16" s="17" t="s">
        <v>31</v>
      </c>
      <c r="C16" s="17" t="s">
        <v>31</v>
      </c>
      <c r="D16" s="18" t="s">
        <v>34</v>
      </c>
      <c r="E16" s="26">
        <v>45457</v>
      </c>
      <c r="F16" s="20">
        <v>0.61111111111111105</v>
      </c>
      <c r="G16" s="18" t="s">
        <v>19</v>
      </c>
      <c r="H16" s="28">
        <v>27.79</v>
      </c>
      <c r="I16" s="28">
        <v>8.64</v>
      </c>
      <c r="J16" s="28">
        <v>8.7100000000000009</v>
      </c>
      <c r="K16" s="74">
        <v>251.2</v>
      </c>
      <c r="L16" s="57">
        <v>1.946</v>
      </c>
      <c r="M16" s="54"/>
      <c r="N16" s="54">
        <v>6.5000000000000002E-2</v>
      </c>
      <c r="O16" s="54">
        <v>1.24</v>
      </c>
      <c r="P16" s="54" t="s">
        <v>66</v>
      </c>
      <c r="Q16" s="54">
        <v>7.3</v>
      </c>
      <c r="R16" s="54">
        <v>0.107</v>
      </c>
      <c r="S16" s="54">
        <v>9.7000000000000003E-2</v>
      </c>
      <c r="T16" s="54">
        <v>24.498999999999999</v>
      </c>
      <c r="U16" s="54">
        <v>12.22</v>
      </c>
      <c r="V16" s="54">
        <v>4.43</v>
      </c>
      <c r="W16" s="54">
        <v>23.61225277214</v>
      </c>
      <c r="X16" s="54">
        <v>11.139294539611988</v>
      </c>
      <c r="Y16" s="21"/>
    </row>
    <row r="17" spans="1:25" ht="20.100000000000001" customHeight="1" x14ac:dyDescent="0.3">
      <c r="A17" s="25">
        <v>13</v>
      </c>
      <c r="B17" s="17" t="s">
        <v>31</v>
      </c>
      <c r="C17" s="17" t="s">
        <v>35</v>
      </c>
      <c r="D17" s="18" t="s">
        <v>36</v>
      </c>
      <c r="E17" s="26">
        <v>45457</v>
      </c>
      <c r="F17" s="20">
        <v>0.59375</v>
      </c>
      <c r="G17" s="18" t="s">
        <v>37</v>
      </c>
      <c r="H17" s="28">
        <v>26.01</v>
      </c>
      <c r="I17" s="28">
        <v>7.5</v>
      </c>
      <c r="J17" s="28">
        <v>4.62</v>
      </c>
      <c r="K17" s="74">
        <v>243</v>
      </c>
      <c r="L17" s="57">
        <v>1.512</v>
      </c>
      <c r="M17" s="54"/>
      <c r="N17" s="54">
        <v>0.20899999999999999</v>
      </c>
      <c r="O17" s="54">
        <v>0.77600000000000002</v>
      </c>
      <c r="P17" s="54" t="s">
        <v>66</v>
      </c>
      <c r="Q17" s="54">
        <v>6.3</v>
      </c>
      <c r="R17" s="54">
        <v>0.121</v>
      </c>
      <c r="S17" s="54">
        <v>6.4000000000000001E-2</v>
      </c>
      <c r="T17" s="54">
        <v>21.664999999999999</v>
      </c>
      <c r="U17" s="54">
        <v>9.82</v>
      </c>
      <c r="V17" s="54">
        <v>4.8</v>
      </c>
      <c r="W17" s="54">
        <v>25.620566401085899</v>
      </c>
      <c r="X17" s="54">
        <v>11.173446452060476</v>
      </c>
      <c r="Y17" s="21"/>
    </row>
    <row r="18" spans="1:25" ht="20.100000000000001" customHeight="1" x14ac:dyDescent="0.3">
      <c r="A18" s="25">
        <v>14</v>
      </c>
      <c r="B18" s="17" t="s">
        <v>31</v>
      </c>
      <c r="C18" s="17" t="s">
        <v>5</v>
      </c>
      <c r="D18" s="18" t="s">
        <v>29</v>
      </c>
      <c r="E18" s="26">
        <v>45457</v>
      </c>
      <c r="F18" s="20">
        <v>0.58680555555555558</v>
      </c>
      <c r="G18" s="18" t="s">
        <v>37</v>
      </c>
      <c r="H18" s="28">
        <v>28.72</v>
      </c>
      <c r="I18" s="28">
        <v>7.54</v>
      </c>
      <c r="J18" s="28">
        <v>8.64</v>
      </c>
      <c r="K18" s="74">
        <v>286.60000000000002</v>
      </c>
      <c r="L18" s="57">
        <v>2.2269999999999999</v>
      </c>
      <c r="M18" s="54"/>
      <c r="N18" s="54">
        <v>0.13</v>
      </c>
      <c r="O18" s="54">
        <v>1.3</v>
      </c>
      <c r="P18" s="54" t="s">
        <v>66</v>
      </c>
      <c r="Q18" s="54">
        <v>7.9</v>
      </c>
      <c r="R18" s="54">
        <v>9.1999999999999998E-2</v>
      </c>
      <c r="S18" s="54">
        <v>7.9000000000000001E-2</v>
      </c>
      <c r="T18" s="54">
        <v>39.970999999999997</v>
      </c>
      <c r="U18" s="54">
        <v>8.89</v>
      </c>
      <c r="V18" s="54">
        <v>2.81</v>
      </c>
      <c r="W18" s="54">
        <v>23.773362659581501</v>
      </c>
      <c r="X18" s="54">
        <v>11.938153629723613</v>
      </c>
      <c r="Y18" s="21"/>
    </row>
    <row r="19" spans="1:25" ht="20.100000000000001" customHeight="1" x14ac:dyDescent="0.3">
      <c r="A19" s="25">
        <v>15</v>
      </c>
      <c r="B19" s="17" t="s">
        <v>31</v>
      </c>
      <c r="C19" s="17" t="s">
        <v>35</v>
      </c>
      <c r="D19" s="18" t="s">
        <v>29</v>
      </c>
      <c r="E19" s="26">
        <v>45457</v>
      </c>
      <c r="F19" s="20">
        <v>0.58333333333333337</v>
      </c>
      <c r="G19" s="18" t="s">
        <v>37</v>
      </c>
      <c r="H19" s="28">
        <v>26.98</v>
      </c>
      <c r="I19" s="28">
        <v>7.41</v>
      </c>
      <c r="J19" s="28">
        <v>5.8</v>
      </c>
      <c r="K19" s="74">
        <v>221.5</v>
      </c>
      <c r="L19" s="57">
        <v>1.232</v>
      </c>
      <c r="M19" s="54"/>
      <c r="N19" s="54">
        <v>9.1999999999999998E-2</v>
      </c>
      <c r="O19" s="54">
        <v>0.61199999999999999</v>
      </c>
      <c r="P19" s="54" t="s">
        <v>66</v>
      </c>
      <c r="Q19" s="54">
        <v>6.5</v>
      </c>
      <c r="R19" s="54">
        <v>0.1</v>
      </c>
      <c r="S19" s="54">
        <v>8.8999999999999996E-2</v>
      </c>
      <c r="T19" s="54">
        <v>20.428999999999998</v>
      </c>
      <c r="U19" s="55">
        <v>9.73</v>
      </c>
      <c r="V19" s="55">
        <v>7.23</v>
      </c>
      <c r="W19" s="55">
        <v>23.9947228940174</v>
      </c>
      <c r="X19" s="55">
        <v>11.344487482363885</v>
      </c>
      <c r="Y19" s="21"/>
    </row>
    <row r="20" spans="1:25" ht="20.100000000000001" customHeight="1" x14ac:dyDescent="0.3">
      <c r="A20" s="41">
        <v>16</v>
      </c>
      <c r="B20" s="42" t="s">
        <v>38</v>
      </c>
      <c r="C20" s="42" t="s">
        <v>38</v>
      </c>
      <c r="D20" s="43" t="s">
        <v>39</v>
      </c>
      <c r="E20" s="44">
        <v>45457</v>
      </c>
      <c r="F20" s="45">
        <v>0.60763888888888895</v>
      </c>
      <c r="G20" s="43" t="s">
        <v>37</v>
      </c>
      <c r="H20" s="72">
        <v>26.78</v>
      </c>
      <c r="I20" s="72">
        <v>7.72</v>
      </c>
      <c r="J20" s="72">
        <v>7.35</v>
      </c>
      <c r="K20" s="73">
        <v>133.5</v>
      </c>
      <c r="L20" s="59">
        <v>1.5109999999999999</v>
      </c>
      <c r="M20" s="60"/>
      <c r="N20" s="60">
        <v>0.189</v>
      </c>
      <c r="O20" s="61">
        <v>0.73899999999999999</v>
      </c>
      <c r="P20" s="61" t="s">
        <v>66</v>
      </c>
      <c r="Q20" s="61">
        <v>5.6</v>
      </c>
      <c r="R20" s="61">
        <v>0.05</v>
      </c>
      <c r="S20" s="61">
        <v>3.5999999999999997E-2</v>
      </c>
      <c r="T20" s="61">
        <v>11.904999999999999</v>
      </c>
      <c r="U20" s="61">
        <v>4.3499999999999996</v>
      </c>
      <c r="V20" s="61">
        <v>2.1800000000000002</v>
      </c>
      <c r="W20" s="61">
        <v>11.7606538704652</v>
      </c>
      <c r="X20" s="61">
        <v>15.164711788202389</v>
      </c>
      <c r="Y20" s="48"/>
    </row>
    <row r="21" spans="1:25" ht="20.100000000000001" customHeight="1" x14ac:dyDescent="0.3">
      <c r="A21" s="41">
        <v>17</v>
      </c>
      <c r="B21" s="42" t="s">
        <v>38</v>
      </c>
      <c r="C21" s="42" t="s">
        <v>38</v>
      </c>
      <c r="D21" s="43" t="s">
        <v>41</v>
      </c>
      <c r="E21" s="44">
        <v>45457</v>
      </c>
      <c r="F21" s="45">
        <v>0.5625</v>
      </c>
      <c r="G21" s="43" t="s">
        <v>37</v>
      </c>
      <c r="H21" s="72">
        <v>26.59</v>
      </c>
      <c r="I21" s="72">
        <v>7.55</v>
      </c>
      <c r="J21" s="72">
        <v>7.99</v>
      </c>
      <c r="K21" s="73">
        <v>168.6</v>
      </c>
      <c r="L21" s="59">
        <v>1.9410000000000001</v>
      </c>
      <c r="M21" s="60"/>
      <c r="N21" s="60">
        <v>0.19700000000000001</v>
      </c>
      <c r="O21" s="60">
        <v>1.2689999999999999</v>
      </c>
      <c r="P21" s="60" t="s">
        <v>66</v>
      </c>
      <c r="Q21" s="60">
        <v>5.7</v>
      </c>
      <c r="R21" s="60">
        <v>7.1999999999999995E-2</v>
      </c>
      <c r="S21" s="60">
        <v>6.0999999999999999E-2</v>
      </c>
      <c r="T21" s="60">
        <v>18.673999999999999</v>
      </c>
      <c r="U21" s="60">
        <v>7.94</v>
      </c>
      <c r="V21" s="60">
        <v>2.3199999999999998</v>
      </c>
      <c r="W21" s="60">
        <v>12.994058289706</v>
      </c>
      <c r="X21" s="60">
        <v>14.25181833467304</v>
      </c>
      <c r="Y21" s="48"/>
    </row>
    <row r="22" spans="1:25" ht="20.100000000000001" customHeight="1" x14ac:dyDescent="0.3">
      <c r="A22" s="41">
        <v>18</v>
      </c>
      <c r="B22" s="42" t="s">
        <v>38</v>
      </c>
      <c r="C22" s="42" t="s">
        <v>38</v>
      </c>
      <c r="D22" s="43" t="s">
        <v>42</v>
      </c>
      <c r="E22" s="44">
        <v>45457</v>
      </c>
      <c r="F22" s="45">
        <v>0.62847222222222221</v>
      </c>
      <c r="G22" s="43" t="s">
        <v>37</v>
      </c>
      <c r="H22" s="72">
        <v>28.49</v>
      </c>
      <c r="I22" s="72">
        <v>7.5</v>
      </c>
      <c r="J22" s="72">
        <v>8.84</v>
      </c>
      <c r="K22" s="73">
        <v>263.3</v>
      </c>
      <c r="L22" s="59">
        <v>2.1269999999999998</v>
      </c>
      <c r="M22" s="60"/>
      <c r="N22" s="60">
        <v>0.19600000000000001</v>
      </c>
      <c r="O22" s="60">
        <v>1.377</v>
      </c>
      <c r="P22" s="60" t="s">
        <v>66</v>
      </c>
      <c r="Q22" s="60">
        <v>6.4</v>
      </c>
      <c r="R22" s="60">
        <v>0.08</v>
      </c>
      <c r="S22" s="60">
        <v>6.7000000000000004E-2</v>
      </c>
      <c r="T22" s="60">
        <v>27.225999999999999</v>
      </c>
      <c r="U22" s="60">
        <v>8.11</v>
      </c>
      <c r="V22" s="60">
        <v>2.57</v>
      </c>
      <c r="W22" s="60">
        <v>17.871998340811501</v>
      </c>
      <c r="X22" s="60">
        <v>12.604643846970632</v>
      </c>
      <c r="Y22" s="48"/>
    </row>
    <row r="23" spans="1:25" ht="20.100000000000001" customHeight="1" x14ac:dyDescent="0.3">
      <c r="A23" s="41">
        <v>19</v>
      </c>
      <c r="B23" s="42" t="s">
        <v>38</v>
      </c>
      <c r="C23" s="42" t="s">
        <v>43</v>
      </c>
      <c r="D23" s="43" t="s">
        <v>40</v>
      </c>
      <c r="E23" s="44">
        <v>45457</v>
      </c>
      <c r="F23" s="45">
        <v>0.56597222222222221</v>
      </c>
      <c r="G23" s="43" t="s">
        <v>37</v>
      </c>
      <c r="H23" s="72">
        <v>27.85</v>
      </c>
      <c r="I23" s="72">
        <v>7.49</v>
      </c>
      <c r="J23" s="72">
        <v>8.93</v>
      </c>
      <c r="K23" s="73">
        <v>282.10000000000002</v>
      </c>
      <c r="L23" s="59">
        <v>3.87</v>
      </c>
      <c r="M23" s="60"/>
      <c r="N23" s="60">
        <v>0.23499999999999999</v>
      </c>
      <c r="O23" s="60">
        <v>3.2719999999999998</v>
      </c>
      <c r="P23" s="60" t="s">
        <v>66</v>
      </c>
      <c r="Q23" s="60">
        <v>4.8</v>
      </c>
      <c r="R23" s="60">
        <v>3.1E-2</v>
      </c>
      <c r="S23" s="60">
        <v>1.4E-2</v>
      </c>
      <c r="T23" s="60">
        <v>48.887</v>
      </c>
      <c r="U23" s="60">
        <v>10.58</v>
      </c>
      <c r="V23" s="60">
        <v>4.47</v>
      </c>
      <c r="W23" s="60">
        <v>17.678067304593998</v>
      </c>
      <c r="X23" s="60">
        <v>12.902446465201056</v>
      </c>
      <c r="Y23" s="48"/>
    </row>
    <row r="24" spans="1:25" ht="19.5" customHeight="1" x14ac:dyDescent="0.3">
      <c r="A24" s="41">
        <v>20</v>
      </c>
      <c r="B24" s="42" t="s">
        <v>38</v>
      </c>
      <c r="C24" s="42" t="s">
        <v>43</v>
      </c>
      <c r="D24" s="43" t="s">
        <v>44</v>
      </c>
      <c r="E24" s="44">
        <v>45457</v>
      </c>
      <c r="F24" s="45">
        <v>0.57291666666666663</v>
      </c>
      <c r="G24" s="43" t="s">
        <v>37</v>
      </c>
      <c r="H24" s="72">
        <v>27.3</v>
      </c>
      <c r="I24" s="72">
        <v>8.2899999999999991</v>
      </c>
      <c r="J24" s="72">
        <v>8.83</v>
      </c>
      <c r="K24" s="73">
        <v>202.2</v>
      </c>
      <c r="L24" s="59">
        <v>2.4289999999999998</v>
      </c>
      <c r="M24" s="60"/>
      <c r="N24" s="60">
        <v>8.5000000000000006E-2</v>
      </c>
      <c r="O24" s="60">
        <v>1.9019999999999999</v>
      </c>
      <c r="P24" s="60" t="s">
        <v>66</v>
      </c>
      <c r="Q24" s="60">
        <v>5.2</v>
      </c>
      <c r="R24" s="60">
        <v>3.9E-2</v>
      </c>
      <c r="S24" s="60">
        <v>0.02</v>
      </c>
      <c r="T24" s="60">
        <v>22.791</v>
      </c>
      <c r="U24" s="62">
        <v>7.97</v>
      </c>
      <c r="V24" s="62">
        <v>4.29</v>
      </c>
      <c r="W24" s="62">
        <v>12.424265342897099</v>
      </c>
      <c r="X24" s="62">
        <v>14.216397469913211</v>
      </c>
      <c r="Y24" s="48"/>
    </row>
    <row r="25" spans="1:25" ht="20.100000000000001" customHeight="1" x14ac:dyDescent="0.3">
      <c r="A25" s="25">
        <v>21</v>
      </c>
      <c r="B25" s="17" t="s">
        <v>45</v>
      </c>
      <c r="C25" s="17" t="s">
        <v>45</v>
      </c>
      <c r="D25" s="18" t="s">
        <v>46</v>
      </c>
      <c r="E25" s="26">
        <v>45457</v>
      </c>
      <c r="F25" s="20">
        <v>0.44097222222222227</v>
      </c>
      <c r="G25" s="18" t="s">
        <v>37</v>
      </c>
      <c r="H25" s="28">
        <v>26.1</v>
      </c>
      <c r="I25" s="28">
        <v>7.38</v>
      </c>
      <c r="J25" s="28">
        <v>7.68</v>
      </c>
      <c r="K25" s="74">
        <v>279</v>
      </c>
      <c r="L25" s="57">
        <v>1.2889999999999999</v>
      </c>
      <c r="M25" s="54"/>
      <c r="N25" s="54">
        <v>3.5000000000000003E-2</v>
      </c>
      <c r="O25" s="58">
        <v>0.96599999999999997</v>
      </c>
      <c r="P25" s="58" t="s">
        <v>66</v>
      </c>
      <c r="Q25" s="58">
        <v>4.5</v>
      </c>
      <c r="R25" s="58">
        <v>2.1999999999999999E-2</v>
      </c>
      <c r="S25" s="58">
        <v>8.9999999999999993E-3</v>
      </c>
      <c r="T25" s="58">
        <v>14.125999999999999</v>
      </c>
      <c r="U25" s="58">
        <v>8.34</v>
      </c>
      <c r="V25" s="58">
        <v>3.27</v>
      </c>
      <c r="W25" s="58">
        <v>13.645109197605899</v>
      </c>
      <c r="X25" s="58">
        <v>14.017935416137773</v>
      </c>
      <c r="Y25" s="21"/>
    </row>
    <row r="26" spans="1:25" ht="20.100000000000001" customHeight="1" x14ac:dyDescent="0.3">
      <c r="A26" s="25">
        <v>22</v>
      </c>
      <c r="B26" s="17" t="s">
        <v>45</v>
      </c>
      <c r="C26" s="17" t="s">
        <v>45</v>
      </c>
      <c r="D26" s="22" t="s">
        <v>47</v>
      </c>
      <c r="E26" s="26">
        <v>45457</v>
      </c>
      <c r="F26" s="23">
        <v>0.46180555555555558</v>
      </c>
      <c r="G26" s="18" t="s">
        <v>37</v>
      </c>
      <c r="H26" s="28">
        <v>27.3</v>
      </c>
      <c r="I26" s="28">
        <v>7.32</v>
      </c>
      <c r="J26" s="28">
        <v>7.55</v>
      </c>
      <c r="K26" s="74">
        <v>208</v>
      </c>
      <c r="L26" s="57">
        <v>1.357</v>
      </c>
      <c r="M26" s="55"/>
      <c r="N26" s="55">
        <v>0.10199999999999999</v>
      </c>
      <c r="O26" s="55">
        <v>0.873</v>
      </c>
      <c r="P26" s="55" t="s">
        <v>66</v>
      </c>
      <c r="Q26" s="55">
        <v>5.5</v>
      </c>
      <c r="R26" s="55">
        <v>5.8000000000000003E-2</v>
      </c>
      <c r="S26" s="55">
        <v>5.3999999999999999E-2</v>
      </c>
      <c r="T26" s="55">
        <v>16.196000000000002</v>
      </c>
      <c r="U26" s="55">
        <v>8.49</v>
      </c>
      <c r="V26" s="55">
        <v>2.2799999999999998</v>
      </c>
      <c r="W26" s="55">
        <v>14.019806396022799</v>
      </c>
      <c r="X26" s="55">
        <v>13.802633710466361</v>
      </c>
      <c r="Y26" s="24"/>
    </row>
    <row r="27" spans="1:25" ht="20.100000000000001" customHeight="1" x14ac:dyDescent="0.3">
      <c r="A27" s="25">
        <v>23</v>
      </c>
      <c r="B27" s="17" t="s">
        <v>45</v>
      </c>
      <c r="C27" s="17" t="s">
        <v>45</v>
      </c>
      <c r="D27" s="22" t="s">
        <v>29</v>
      </c>
      <c r="E27" s="26">
        <v>45457</v>
      </c>
      <c r="F27" s="23">
        <v>0.47569444444444442</v>
      </c>
      <c r="G27" s="18" t="s">
        <v>37</v>
      </c>
      <c r="H27" s="75">
        <v>28.4</v>
      </c>
      <c r="I27" s="75">
        <v>7.51</v>
      </c>
      <c r="J27" s="75">
        <v>7.91</v>
      </c>
      <c r="K27" s="77">
        <v>243</v>
      </c>
      <c r="L27" s="57">
        <v>1.641</v>
      </c>
      <c r="M27" s="55"/>
      <c r="N27" s="55">
        <v>9.6000000000000002E-2</v>
      </c>
      <c r="O27" s="55">
        <v>0.93700000000000006</v>
      </c>
      <c r="P27" s="55" t="s">
        <v>66</v>
      </c>
      <c r="Q27" s="55">
        <v>7.6</v>
      </c>
      <c r="R27" s="55">
        <v>0.08</v>
      </c>
      <c r="S27" s="55">
        <v>6.8000000000000005E-2</v>
      </c>
      <c r="T27" s="55">
        <v>18.216999999999999</v>
      </c>
      <c r="U27" s="55">
        <v>9.02</v>
      </c>
      <c r="V27" s="55">
        <v>2.79</v>
      </c>
      <c r="W27" s="55">
        <v>18.016412874533302</v>
      </c>
      <c r="X27" s="55">
        <v>12.659408332206301</v>
      </c>
      <c r="Y27" s="24"/>
    </row>
    <row r="28" spans="1:25" ht="20.100000000000001" customHeight="1" x14ac:dyDescent="0.3">
      <c r="A28" s="25">
        <v>24</v>
      </c>
      <c r="B28" s="17" t="s">
        <v>45</v>
      </c>
      <c r="C28" s="17" t="s">
        <v>45</v>
      </c>
      <c r="D28" s="18" t="s">
        <v>48</v>
      </c>
      <c r="E28" s="26">
        <v>45457</v>
      </c>
      <c r="F28" s="20">
        <v>0.48958333333333331</v>
      </c>
      <c r="G28" s="18" t="s">
        <v>19</v>
      </c>
      <c r="H28" s="28">
        <v>28.6</v>
      </c>
      <c r="I28" s="28">
        <v>7.48</v>
      </c>
      <c r="J28" s="28">
        <v>8.6</v>
      </c>
      <c r="K28" s="74">
        <v>254</v>
      </c>
      <c r="L28" s="57">
        <v>1.7809999999999999</v>
      </c>
      <c r="M28" s="54"/>
      <c r="N28" s="54">
        <v>9.1999999999999998E-2</v>
      </c>
      <c r="O28" s="54">
        <v>1.0660000000000001</v>
      </c>
      <c r="P28" s="54" t="s">
        <v>66</v>
      </c>
      <c r="Q28" s="54">
        <v>7.6</v>
      </c>
      <c r="R28" s="54">
        <v>7.6999999999999999E-2</v>
      </c>
      <c r="S28" s="54">
        <v>6.7000000000000004E-2</v>
      </c>
      <c r="T28" s="54">
        <v>19.501000000000001</v>
      </c>
      <c r="U28" s="54">
        <v>9</v>
      </c>
      <c r="V28" s="54">
        <v>3.1</v>
      </c>
      <c r="W28" s="54">
        <v>19.701362294826001</v>
      </c>
      <c r="X28" s="54">
        <v>12.363415262155343</v>
      </c>
      <c r="Y28" s="21"/>
    </row>
    <row r="29" spans="1:25" ht="20.100000000000001" customHeight="1" x14ac:dyDescent="0.3"/>
    <row r="30" spans="1:25" ht="20.100000000000001" customHeight="1" x14ac:dyDescent="0.3"/>
    <row r="31" spans="1:25" ht="20.100000000000001" customHeight="1" x14ac:dyDescent="0.3"/>
    <row r="32" spans="1:25" ht="20.100000000000001" customHeight="1" x14ac:dyDescent="0.3"/>
    <row r="33" ht="20.100000000000001" customHeight="1" x14ac:dyDescent="0.3"/>
    <row r="34" ht="20.100000000000001" customHeight="1" x14ac:dyDescent="0.3"/>
    <row r="35" ht="20.100000000000001" customHeight="1" x14ac:dyDescent="0.3"/>
    <row r="36" ht="20.100000000000001" customHeight="1" x14ac:dyDescent="0.3"/>
    <row r="37" ht="20.100000000000001" customHeight="1" x14ac:dyDescent="0.3"/>
    <row r="38" ht="20.100000000000001" customHeight="1" x14ac:dyDescent="0.3"/>
    <row r="39" ht="20.100000000000001" customHeight="1" x14ac:dyDescent="0.3"/>
    <row r="40" ht="20.100000000000001" customHeight="1" x14ac:dyDescent="0.3"/>
    <row r="41" ht="20.100000000000001" customHeight="1" x14ac:dyDescent="0.3"/>
    <row r="42" ht="20.100000000000001" customHeight="1" x14ac:dyDescent="0.3"/>
    <row r="43" ht="20.100000000000001" customHeight="1" x14ac:dyDescent="0.3"/>
    <row r="44" ht="20.100000000000001" customHeight="1" x14ac:dyDescent="0.3"/>
    <row r="45" ht="20.100000000000001" customHeight="1" x14ac:dyDescent="0.3"/>
    <row r="46" ht="20.100000000000001" customHeight="1" x14ac:dyDescent="0.3"/>
    <row r="47" ht="20.100000000000001" customHeight="1" x14ac:dyDescent="0.3"/>
    <row r="48" ht="20.100000000000001" customHeight="1" x14ac:dyDescent="0.3"/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  <row r="291" ht="20.100000000000001" customHeight="1" x14ac:dyDescent="0.3"/>
    <row r="292" ht="20.100000000000001" customHeight="1" x14ac:dyDescent="0.3"/>
    <row r="293" ht="20.100000000000001" customHeight="1" x14ac:dyDescent="0.3"/>
    <row r="294" ht="20.100000000000001" customHeight="1" x14ac:dyDescent="0.3"/>
    <row r="295" ht="20.100000000000001" customHeight="1" x14ac:dyDescent="0.3"/>
    <row r="296" ht="20.100000000000001" customHeight="1" x14ac:dyDescent="0.3"/>
    <row r="297" ht="20.100000000000001" customHeight="1" x14ac:dyDescent="0.3"/>
    <row r="298" ht="20.100000000000001" customHeight="1" x14ac:dyDescent="0.3"/>
    <row r="299" ht="20.100000000000001" customHeight="1" x14ac:dyDescent="0.3"/>
    <row r="300" ht="20.100000000000001" customHeight="1" x14ac:dyDescent="0.3"/>
    <row r="301" ht="20.100000000000001" customHeight="1" x14ac:dyDescent="0.3"/>
    <row r="302" ht="20.100000000000001" customHeight="1" x14ac:dyDescent="0.3"/>
    <row r="303" ht="20.100000000000001" customHeight="1" x14ac:dyDescent="0.3"/>
    <row r="304" ht="20.100000000000001" customHeight="1" x14ac:dyDescent="0.3"/>
    <row r="305" ht="20.100000000000001" customHeight="1" x14ac:dyDescent="0.3"/>
    <row r="306" ht="20.100000000000001" customHeight="1" x14ac:dyDescent="0.3"/>
    <row r="307" ht="20.100000000000001" customHeight="1" x14ac:dyDescent="0.3"/>
    <row r="308" ht="20.100000000000001" customHeight="1" x14ac:dyDescent="0.3"/>
    <row r="309" ht="20.100000000000001" customHeight="1" x14ac:dyDescent="0.3"/>
    <row r="310" ht="20.100000000000001" customHeight="1" x14ac:dyDescent="0.3"/>
    <row r="311" ht="20.100000000000001" customHeight="1" x14ac:dyDescent="0.3"/>
    <row r="312" ht="20.100000000000001" customHeight="1" x14ac:dyDescent="0.3"/>
    <row r="313" ht="20.100000000000001" customHeight="1" x14ac:dyDescent="0.3"/>
    <row r="314" ht="20.100000000000001" customHeight="1" x14ac:dyDescent="0.3"/>
    <row r="315" ht="20.100000000000001" customHeight="1" x14ac:dyDescent="0.3"/>
    <row r="316" ht="20.100000000000001" customHeight="1" x14ac:dyDescent="0.3"/>
    <row r="317" ht="20.100000000000001" customHeight="1" x14ac:dyDescent="0.3"/>
    <row r="318" ht="20.100000000000001" customHeight="1" x14ac:dyDescent="0.3"/>
    <row r="319" ht="20.100000000000001" customHeight="1" x14ac:dyDescent="0.3"/>
    <row r="320" ht="20.100000000000001" customHeight="1" x14ac:dyDescent="0.3"/>
    <row r="321" ht="20.100000000000001" customHeight="1" x14ac:dyDescent="0.3"/>
    <row r="322" ht="20.100000000000001" customHeight="1" x14ac:dyDescent="0.3"/>
    <row r="323" ht="20.100000000000001" customHeight="1" x14ac:dyDescent="0.3"/>
    <row r="324" ht="20.100000000000001" customHeight="1" x14ac:dyDescent="0.3"/>
    <row r="325" ht="20.100000000000001" customHeight="1" x14ac:dyDescent="0.3"/>
    <row r="326" ht="20.100000000000001" customHeight="1" x14ac:dyDescent="0.3"/>
  </sheetData>
  <mergeCells count="9">
    <mergeCell ref="L3:T3"/>
    <mergeCell ref="Y3:Y4"/>
    <mergeCell ref="A1:K1"/>
    <mergeCell ref="A3:A4"/>
    <mergeCell ref="B3:B4"/>
    <mergeCell ref="C3:C4"/>
    <mergeCell ref="D3:D4"/>
    <mergeCell ref="E3:F3"/>
    <mergeCell ref="G3:K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22"/>
  <sheetViews>
    <sheetView zoomScale="80" zoomScaleNormal="80" workbookViewId="0">
      <selection activeCell="A29" sqref="A29:XFD30"/>
    </sheetView>
  </sheetViews>
  <sheetFormatPr defaultRowHeight="16.5" x14ac:dyDescent="0.3"/>
  <cols>
    <col min="1" max="1" width="7.5" bestFit="1" customWidth="1"/>
    <col min="2" max="2" width="10.125" bestFit="1" customWidth="1"/>
    <col min="3" max="3" width="9.5" bestFit="1" customWidth="1"/>
    <col min="4" max="4" width="27.5" bestFit="1" customWidth="1"/>
    <col min="5" max="5" width="11.625" bestFit="1" customWidth="1"/>
    <col min="6" max="6" width="10.625" bestFit="1" customWidth="1"/>
    <col min="7" max="11" width="7.625" customWidth="1"/>
    <col min="12" max="12" width="7.625" style="8" customWidth="1"/>
    <col min="13" max="13" width="7.625" customWidth="1"/>
    <col min="14" max="15" width="7.625" style="8" customWidth="1"/>
    <col min="16" max="19" width="7.625" customWidth="1"/>
    <col min="20" max="24" width="7.625" style="8" customWidth="1"/>
    <col min="25" max="25" width="32.375" style="5" customWidth="1"/>
  </cols>
  <sheetData>
    <row r="1" spans="1:25" ht="31.5" x14ac:dyDescent="0.3">
      <c r="A1" s="125" t="s">
        <v>67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Y1" s="2"/>
    </row>
    <row r="2" spans="1:25" ht="17.25" thickBot="1" x14ac:dyDescent="0.35">
      <c r="Y2" s="3"/>
    </row>
    <row r="3" spans="1:25" ht="26.25" customHeight="1" thickBot="1" x14ac:dyDescent="0.35">
      <c r="A3" s="126" t="s">
        <v>1</v>
      </c>
      <c r="B3" s="128" t="s">
        <v>62</v>
      </c>
      <c r="C3" s="128" t="s">
        <v>63</v>
      </c>
      <c r="D3" s="126" t="s">
        <v>7</v>
      </c>
      <c r="E3" s="130" t="s">
        <v>8</v>
      </c>
      <c r="F3" s="131"/>
      <c r="G3" s="132" t="s">
        <v>9</v>
      </c>
      <c r="H3" s="132"/>
      <c r="I3" s="132"/>
      <c r="J3" s="132"/>
      <c r="K3" s="132"/>
      <c r="L3" s="123" t="s">
        <v>56</v>
      </c>
      <c r="M3" s="124"/>
      <c r="N3" s="124"/>
      <c r="O3" s="124"/>
      <c r="P3" s="124"/>
      <c r="Q3" s="124"/>
      <c r="R3" s="124"/>
      <c r="S3" s="124"/>
      <c r="T3" s="124"/>
      <c r="U3" s="9"/>
      <c r="V3" s="9"/>
      <c r="W3" s="9"/>
      <c r="X3" s="9"/>
      <c r="Y3" s="133" t="s">
        <v>10</v>
      </c>
    </row>
    <row r="4" spans="1:25" ht="33.75" customHeight="1" thickBot="1" x14ac:dyDescent="0.35">
      <c r="A4" s="127"/>
      <c r="B4" s="127"/>
      <c r="C4" s="127"/>
      <c r="D4" s="129"/>
      <c r="E4" s="1" t="s">
        <v>0</v>
      </c>
      <c r="F4" s="4" t="s">
        <v>11</v>
      </c>
      <c r="G4" s="4" t="s">
        <v>12</v>
      </c>
      <c r="H4" s="4" t="s">
        <v>13</v>
      </c>
      <c r="I4" s="4" t="s">
        <v>14</v>
      </c>
      <c r="J4" s="4" t="s">
        <v>15</v>
      </c>
      <c r="K4" s="4" t="s">
        <v>16</v>
      </c>
      <c r="L4" s="51" t="s">
        <v>6</v>
      </c>
      <c r="M4" s="51" t="s">
        <v>51</v>
      </c>
      <c r="N4" s="51" t="s">
        <v>125</v>
      </c>
      <c r="O4" s="51" t="s">
        <v>126</v>
      </c>
      <c r="P4" s="51" t="s">
        <v>127</v>
      </c>
      <c r="Q4" s="51" t="s">
        <v>53</v>
      </c>
      <c r="R4" s="51" t="s">
        <v>54</v>
      </c>
      <c r="S4" s="51" t="s">
        <v>128</v>
      </c>
      <c r="T4" s="51" t="s">
        <v>129</v>
      </c>
      <c r="U4" s="51" t="s">
        <v>130</v>
      </c>
      <c r="V4" s="51" t="s">
        <v>132</v>
      </c>
      <c r="W4" s="51" t="s">
        <v>131</v>
      </c>
      <c r="X4" s="10" t="s">
        <v>76</v>
      </c>
      <c r="Y4" s="134"/>
    </row>
    <row r="5" spans="1:25" ht="20.100000000000001" customHeight="1" x14ac:dyDescent="0.3">
      <c r="A5" s="11">
        <v>1</v>
      </c>
      <c r="B5" s="12" t="s">
        <v>17</v>
      </c>
      <c r="C5" s="12" t="s">
        <v>17</v>
      </c>
      <c r="D5" s="13" t="s">
        <v>18</v>
      </c>
      <c r="E5" s="36">
        <v>45505</v>
      </c>
      <c r="F5" s="15"/>
      <c r="G5" s="13" t="s">
        <v>19</v>
      </c>
      <c r="H5" s="27">
        <v>22.03</v>
      </c>
      <c r="I5" s="27">
        <v>8.06</v>
      </c>
      <c r="J5" s="27">
        <v>9.82</v>
      </c>
      <c r="K5" s="76">
        <v>79.2</v>
      </c>
      <c r="L5" s="56">
        <v>0.94099999999999995</v>
      </c>
      <c r="M5" s="53"/>
      <c r="N5" s="53">
        <v>1.4999999999999999E-2</v>
      </c>
      <c r="O5" s="53">
        <v>0.77150000000000007</v>
      </c>
      <c r="P5" s="53" t="s">
        <v>124</v>
      </c>
      <c r="Q5" s="53">
        <v>1.5</v>
      </c>
      <c r="R5" s="53">
        <v>0.02</v>
      </c>
      <c r="S5" s="53">
        <v>8.0000000000000002E-3</v>
      </c>
      <c r="T5" s="53">
        <v>5.9535</v>
      </c>
      <c r="U5" s="53">
        <v>4.2699999999999996</v>
      </c>
      <c r="V5" s="53">
        <v>2.19</v>
      </c>
      <c r="W5" s="53">
        <v>7.9</v>
      </c>
      <c r="X5" s="53">
        <v>18.410498660070385</v>
      </c>
      <c r="Y5" s="16"/>
    </row>
    <row r="6" spans="1:25" ht="20.100000000000001" customHeight="1" x14ac:dyDescent="0.3">
      <c r="A6" s="25">
        <v>2</v>
      </c>
      <c r="B6" s="17" t="s">
        <v>17</v>
      </c>
      <c r="C6" s="17" t="s">
        <v>17</v>
      </c>
      <c r="D6" s="18" t="s">
        <v>20</v>
      </c>
      <c r="E6" s="26">
        <v>45505</v>
      </c>
      <c r="F6" s="20"/>
      <c r="G6" s="18" t="s">
        <v>19</v>
      </c>
      <c r="H6" s="28">
        <v>27.74</v>
      </c>
      <c r="I6" s="28">
        <v>7.74</v>
      </c>
      <c r="J6" s="28">
        <v>12.06</v>
      </c>
      <c r="K6" s="74">
        <v>200.5</v>
      </c>
      <c r="L6" s="57">
        <v>1.65</v>
      </c>
      <c r="M6" s="54"/>
      <c r="N6" s="54">
        <v>0.40799999999999997</v>
      </c>
      <c r="O6" s="54">
        <v>0.99350000000000005</v>
      </c>
      <c r="P6" s="54" t="s">
        <v>124</v>
      </c>
      <c r="Q6" s="54">
        <v>2.1</v>
      </c>
      <c r="R6" s="54">
        <v>9.6000000000000002E-2</v>
      </c>
      <c r="S6" s="54">
        <v>0.09</v>
      </c>
      <c r="T6" s="54">
        <v>16.461500000000001</v>
      </c>
      <c r="U6" s="54">
        <v>9.77</v>
      </c>
      <c r="V6" s="54">
        <v>1.44</v>
      </c>
      <c r="W6" s="54">
        <v>16.2</v>
      </c>
      <c r="X6" s="54">
        <v>11.220882420824196</v>
      </c>
      <c r="Y6" s="21"/>
    </row>
    <row r="7" spans="1:25" ht="20.100000000000001" customHeight="1" x14ac:dyDescent="0.3">
      <c r="A7" s="25">
        <v>3</v>
      </c>
      <c r="B7" s="17" t="s">
        <v>17</v>
      </c>
      <c r="C7" s="17" t="s">
        <v>17</v>
      </c>
      <c r="D7" s="18" t="s">
        <v>21</v>
      </c>
      <c r="E7" s="26">
        <v>45505</v>
      </c>
      <c r="F7" s="20"/>
      <c r="G7" s="18" t="s">
        <v>19</v>
      </c>
      <c r="H7" s="28">
        <v>28.05</v>
      </c>
      <c r="I7" s="28">
        <v>7.75</v>
      </c>
      <c r="J7" s="28">
        <v>9.65</v>
      </c>
      <c r="K7" s="74">
        <v>135.80000000000001</v>
      </c>
      <c r="L7" s="57">
        <v>1.4410000000000001</v>
      </c>
      <c r="M7" s="54"/>
      <c r="N7" s="54">
        <v>0.16200000000000001</v>
      </c>
      <c r="O7" s="54">
        <v>1.0895000000000001</v>
      </c>
      <c r="P7" s="54" t="s">
        <v>124</v>
      </c>
      <c r="Q7" s="54">
        <v>1.9</v>
      </c>
      <c r="R7" s="54">
        <v>7.2999999999999995E-2</v>
      </c>
      <c r="S7" s="54">
        <v>6.3E-2</v>
      </c>
      <c r="T7" s="54">
        <v>12.7425</v>
      </c>
      <c r="U7" s="58">
        <v>8.26</v>
      </c>
      <c r="V7" s="58">
        <v>1.24</v>
      </c>
      <c r="W7" s="58">
        <v>12</v>
      </c>
      <c r="X7" s="54">
        <v>10.81233356276784</v>
      </c>
      <c r="Y7" s="21"/>
    </row>
    <row r="8" spans="1:25" ht="20.100000000000001" customHeight="1" x14ac:dyDescent="0.3">
      <c r="A8" s="25">
        <v>4</v>
      </c>
      <c r="B8" s="17" t="s">
        <v>17</v>
      </c>
      <c r="C8" s="17" t="s">
        <v>17</v>
      </c>
      <c r="D8" s="18" t="s">
        <v>22</v>
      </c>
      <c r="E8" s="26">
        <v>45505</v>
      </c>
      <c r="F8" s="20"/>
      <c r="G8" s="18" t="s">
        <v>19</v>
      </c>
      <c r="H8" s="28">
        <v>29.04</v>
      </c>
      <c r="I8" s="28">
        <v>7.73</v>
      </c>
      <c r="J8" s="28">
        <v>9.92</v>
      </c>
      <c r="K8" s="74">
        <v>132.6</v>
      </c>
      <c r="L8" s="57">
        <v>1.1870000000000001</v>
      </c>
      <c r="M8" s="70"/>
      <c r="N8" s="54">
        <v>8.8999999999999996E-2</v>
      </c>
      <c r="O8" s="54">
        <v>0.93100000000000005</v>
      </c>
      <c r="P8" s="54" t="s">
        <v>124</v>
      </c>
      <c r="Q8" s="54">
        <v>1.9</v>
      </c>
      <c r="R8" s="54">
        <v>7.9000000000000001E-2</v>
      </c>
      <c r="S8" s="54">
        <v>7.0999999999999994E-2</v>
      </c>
      <c r="T8" s="54">
        <v>12.621500000000001</v>
      </c>
      <c r="U8" s="54">
        <v>8.34</v>
      </c>
      <c r="V8" s="54">
        <v>1.78</v>
      </c>
      <c r="W8" s="54">
        <v>12.1</v>
      </c>
      <c r="X8" s="54">
        <v>15.357042076736549</v>
      </c>
      <c r="Y8" s="21"/>
    </row>
    <row r="9" spans="1:25" ht="20.100000000000001" customHeight="1" x14ac:dyDescent="0.3">
      <c r="A9" s="41">
        <v>5</v>
      </c>
      <c r="B9" s="42" t="s">
        <v>23</v>
      </c>
      <c r="C9" s="42" t="s">
        <v>23</v>
      </c>
      <c r="D9" s="43" t="s">
        <v>24</v>
      </c>
      <c r="E9" s="44">
        <v>45505</v>
      </c>
      <c r="F9" s="45"/>
      <c r="G9" s="43" t="s">
        <v>19</v>
      </c>
      <c r="H9" s="72">
        <v>28.8</v>
      </c>
      <c r="I9" s="72">
        <v>7.58</v>
      </c>
      <c r="J9" s="72">
        <v>7.83</v>
      </c>
      <c r="K9" s="73">
        <v>213.5</v>
      </c>
      <c r="L9" s="59">
        <v>1.5109999999999999</v>
      </c>
      <c r="M9" s="61"/>
      <c r="N9" s="61">
        <v>2.5000000000000001E-2</v>
      </c>
      <c r="O9" s="61">
        <v>1.2669999999999999</v>
      </c>
      <c r="P9" s="61" t="s">
        <v>124</v>
      </c>
      <c r="Q9" s="61">
        <v>2.4</v>
      </c>
      <c r="R9" s="61">
        <v>0.04</v>
      </c>
      <c r="S9" s="61">
        <v>2.9000000000000001E-2</v>
      </c>
      <c r="T9" s="61">
        <v>12.502500000000001</v>
      </c>
      <c r="U9" s="61">
        <v>7.55</v>
      </c>
      <c r="V9" s="61">
        <v>3.78</v>
      </c>
      <c r="W9" s="61">
        <v>12.2</v>
      </c>
      <c r="X9" s="61">
        <v>17.90516792585467</v>
      </c>
      <c r="Y9" s="68"/>
    </row>
    <row r="10" spans="1:25" ht="20.100000000000001" customHeight="1" x14ac:dyDescent="0.3">
      <c r="A10" s="41">
        <v>6</v>
      </c>
      <c r="B10" s="42" t="s">
        <v>23</v>
      </c>
      <c r="C10" s="42" t="s">
        <v>23</v>
      </c>
      <c r="D10" s="43" t="s">
        <v>25</v>
      </c>
      <c r="E10" s="44">
        <v>45505</v>
      </c>
      <c r="F10" s="45"/>
      <c r="G10" s="43" t="s">
        <v>19</v>
      </c>
      <c r="H10" s="72">
        <v>30.4</v>
      </c>
      <c r="I10" s="72">
        <v>7.43</v>
      </c>
      <c r="J10" s="72">
        <v>7.66</v>
      </c>
      <c r="K10" s="73">
        <v>245.8</v>
      </c>
      <c r="L10" s="59">
        <v>1.744</v>
      </c>
      <c r="M10" s="60"/>
      <c r="N10" s="60">
        <v>4.2000000000000003E-2</v>
      </c>
      <c r="O10" s="60">
        <v>1.347</v>
      </c>
      <c r="P10" s="60" t="s">
        <v>124</v>
      </c>
      <c r="Q10" s="60">
        <v>3.5</v>
      </c>
      <c r="R10" s="60">
        <v>0.10100000000000001</v>
      </c>
      <c r="S10" s="60">
        <v>9.2999999999999999E-2</v>
      </c>
      <c r="T10" s="60">
        <v>15.840499999999999</v>
      </c>
      <c r="U10" s="60">
        <v>9.6300000000000008</v>
      </c>
      <c r="V10" s="60">
        <v>3.97</v>
      </c>
      <c r="W10" s="60">
        <v>20.399999999999999</v>
      </c>
      <c r="X10" s="60">
        <v>14.453827496424987</v>
      </c>
      <c r="Y10" s="48"/>
    </row>
    <row r="11" spans="1:25" ht="20.100000000000001" customHeight="1" x14ac:dyDescent="0.3">
      <c r="A11" s="41">
        <v>7</v>
      </c>
      <c r="B11" s="42" t="s">
        <v>23</v>
      </c>
      <c r="C11" s="42" t="s">
        <v>23</v>
      </c>
      <c r="D11" s="43" t="s">
        <v>26</v>
      </c>
      <c r="E11" s="44">
        <v>45505</v>
      </c>
      <c r="F11" s="45"/>
      <c r="G11" s="43" t="s">
        <v>19</v>
      </c>
      <c r="H11" s="72">
        <v>30.4</v>
      </c>
      <c r="I11" s="72">
        <v>7.37</v>
      </c>
      <c r="J11" s="72">
        <v>7.04</v>
      </c>
      <c r="K11" s="73">
        <v>270.89999999999998</v>
      </c>
      <c r="L11" s="59">
        <v>2.7909999999999999</v>
      </c>
      <c r="M11" s="60"/>
      <c r="N11" s="60">
        <v>0.496</v>
      </c>
      <c r="O11" s="60">
        <v>1.7384999999999999</v>
      </c>
      <c r="P11" s="60" t="s">
        <v>124</v>
      </c>
      <c r="Q11" s="60">
        <v>4.3</v>
      </c>
      <c r="R11" s="60">
        <v>0.40699999999999997</v>
      </c>
      <c r="S11" s="60">
        <v>0.39900000000000002</v>
      </c>
      <c r="T11" s="60">
        <v>17.154</v>
      </c>
      <c r="U11" s="60">
        <v>9.94</v>
      </c>
      <c r="V11" s="60">
        <v>1.1499999999999999</v>
      </c>
      <c r="W11" s="60">
        <v>22.2</v>
      </c>
      <c r="X11" s="60">
        <v>12.340795765495628</v>
      </c>
      <c r="Y11" s="48"/>
    </row>
    <row r="12" spans="1:25" ht="20.100000000000001" customHeight="1" x14ac:dyDescent="0.3">
      <c r="A12" s="41">
        <v>8</v>
      </c>
      <c r="B12" s="42" t="s">
        <v>23</v>
      </c>
      <c r="C12" s="42" t="s">
        <v>27</v>
      </c>
      <c r="D12" s="43" t="s">
        <v>68</v>
      </c>
      <c r="E12" s="44">
        <v>45505</v>
      </c>
      <c r="F12" s="45"/>
      <c r="G12" s="43" t="s">
        <v>19</v>
      </c>
      <c r="H12" s="72">
        <v>28.1</v>
      </c>
      <c r="I12" s="72">
        <v>7.3</v>
      </c>
      <c r="J12" s="72">
        <v>5.15</v>
      </c>
      <c r="K12" s="73">
        <v>634</v>
      </c>
      <c r="L12" s="59">
        <v>21.959</v>
      </c>
      <c r="M12" s="60"/>
      <c r="N12" s="60">
        <v>20.334</v>
      </c>
      <c r="O12" s="60">
        <v>0.26949999999999996</v>
      </c>
      <c r="P12" s="60" t="s">
        <v>124</v>
      </c>
      <c r="Q12" s="60">
        <v>14.7</v>
      </c>
      <c r="R12" s="60">
        <v>6.032</v>
      </c>
      <c r="S12" s="60">
        <v>5.88</v>
      </c>
      <c r="T12" s="60">
        <v>35.139499999999998</v>
      </c>
      <c r="U12" s="60">
        <v>9.42</v>
      </c>
      <c r="V12" s="60">
        <v>-0.25</v>
      </c>
      <c r="W12" s="60">
        <v>47.5</v>
      </c>
      <c r="X12" s="60">
        <v>11.156085521405624</v>
      </c>
      <c r="Y12" s="48"/>
    </row>
    <row r="13" spans="1:25" ht="20.100000000000001" customHeight="1" x14ac:dyDescent="0.3">
      <c r="A13" s="41">
        <v>9</v>
      </c>
      <c r="B13" s="42" t="s">
        <v>23</v>
      </c>
      <c r="C13" s="42" t="s">
        <v>27</v>
      </c>
      <c r="D13" s="43" t="s">
        <v>30</v>
      </c>
      <c r="E13" s="44">
        <v>45505</v>
      </c>
      <c r="F13" s="45"/>
      <c r="G13" s="43" t="s">
        <v>19</v>
      </c>
      <c r="H13" s="72">
        <v>30.1</v>
      </c>
      <c r="I13" s="72">
        <v>7.36</v>
      </c>
      <c r="J13" s="72">
        <v>6.17</v>
      </c>
      <c r="K13" s="73">
        <v>441</v>
      </c>
      <c r="L13" s="59">
        <v>12.265000000000001</v>
      </c>
      <c r="M13" s="71"/>
      <c r="N13" s="60">
        <v>5.9880000000000004</v>
      </c>
      <c r="O13" s="60">
        <v>4.4104999999999999</v>
      </c>
      <c r="P13" s="60" t="s">
        <v>124</v>
      </c>
      <c r="Q13" s="60">
        <v>9.5</v>
      </c>
      <c r="R13" s="60">
        <v>3.085</v>
      </c>
      <c r="S13" s="60">
        <v>2.984</v>
      </c>
      <c r="T13" s="60">
        <v>28.026499999999999</v>
      </c>
      <c r="U13" s="60">
        <v>8.73</v>
      </c>
      <c r="V13" s="60">
        <v>-3.85</v>
      </c>
      <c r="W13" s="60">
        <v>36.700000000000003</v>
      </c>
      <c r="X13" s="60">
        <v>12.289043184084358</v>
      </c>
      <c r="Y13" s="48"/>
    </row>
    <row r="14" spans="1:25" ht="20.100000000000001" customHeight="1" x14ac:dyDescent="0.3">
      <c r="A14" s="25">
        <v>10</v>
      </c>
      <c r="B14" s="17" t="s">
        <v>31</v>
      </c>
      <c r="C14" s="17" t="s">
        <v>31</v>
      </c>
      <c r="D14" s="18" t="s">
        <v>32</v>
      </c>
      <c r="E14" s="26">
        <v>45505</v>
      </c>
      <c r="F14" s="20"/>
      <c r="G14" s="18" t="s">
        <v>19</v>
      </c>
      <c r="H14" s="28">
        <v>26.36</v>
      </c>
      <c r="I14" s="28">
        <v>7.9</v>
      </c>
      <c r="J14" s="28">
        <v>8.61</v>
      </c>
      <c r="K14" s="74">
        <v>151</v>
      </c>
      <c r="L14" s="57">
        <v>1.8959999999999999</v>
      </c>
      <c r="M14" s="58"/>
      <c r="N14" s="58">
        <v>8.5000000000000006E-2</v>
      </c>
      <c r="O14" s="58">
        <v>1.5265</v>
      </c>
      <c r="P14" s="58" t="s">
        <v>124</v>
      </c>
      <c r="Q14" s="58">
        <v>2.4</v>
      </c>
      <c r="R14" s="58">
        <v>8.4000000000000005E-2</v>
      </c>
      <c r="S14" s="58">
        <v>7.4999999999999997E-2</v>
      </c>
      <c r="T14" s="58">
        <v>8.5150000000000006</v>
      </c>
      <c r="U14" s="58">
        <v>8.39</v>
      </c>
      <c r="V14" s="58">
        <v>2.54</v>
      </c>
      <c r="W14" s="58">
        <v>15.1</v>
      </c>
      <c r="X14" s="58">
        <v>12.441195327151821</v>
      </c>
      <c r="Y14" s="69"/>
    </row>
    <row r="15" spans="1:25" ht="20.100000000000001" customHeight="1" x14ac:dyDescent="0.3">
      <c r="A15" s="25">
        <v>11</v>
      </c>
      <c r="B15" s="17" t="s">
        <v>31</v>
      </c>
      <c r="C15" s="17" t="s">
        <v>31</v>
      </c>
      <c r="D15" s="18" t="s">
        <v>69</v>
      </c>
      <c r="E15" s="26">
        <v>45505</v>
      </c>
      <c r="F15" s="20"/>
      <c r="G15" s="18" t="s">
        <v>19</v>
      </c>
      <c r="H15" s="28">
        <v>26.6</v>
      </c>
      <c r="I15" s="28">
        <v>8</v>
      </c>
      <c r="J15" s="28">
        <v>10.4</v>
      </c>
      <c r="K15" s="74">
        <v>142</v>
      </c>
      <c r="L15" s="57">
        <v>1.6890000000000001</v>
      </c>
      <c r="M15" s="54"/>
      <c r="N15" s="54">
        <v>1.7000000000000001E-2</v>
      </c>
      <c r="O15" s="54">
        <v>1.4264999999999999</v>
      </c>
      <c r="P15" s="54" t="s">
        <v>124</v>
      </c>
      <c r="Q15" s="54">
        <v>2.2999999999999998</v>
      </c>
      <c r="R15" s="54">
        <v>5.6000000000000001E-2</v>
      </c>
      <c r="S15" s="54">
        <v>5.0999999999999997E-2</v>
      </c>
      <c r="T15" s="54">
        <v>8.0670000000000002</v>
      </c>
      <c r="U15" s="54">
        <v>8.4700000000000006</v>
      </c>
      <c r="V15" s="54">
        <v>2.4700000000000002</v>
      </c>
      <c r="W15" s="54">
        <v>14.1</v>
      </c>
      <c r="X15" s="54">
        <v>14.122288252046367</v>
      </c>
      <c r="Y15" s="21"/>
    </row>
    <row r="16" spans="1:25" ht="20.100000000000001" customHeight="1" x14ac:dyDescent="0.3">
      <c r="A16" s="25">
        <v>12</v>
      </c>
      <c r="B16" s="17" t="s">
        <v>31</v>
      </c>
      <c r="C16" s="17" t="s">
        <v>31</v>
      </c>
      <c r="D16" s="18" t="s">
        <v>34</v>
      </c>
      <c r="E16" s="26">
        <v>45505</v>
      </c>
      <c r="F16" s="20"/>
      <c r="G16" s="18" t="s">
        <v>19</v>
      </c>
      <c r="H16" s="28">
        <v>27.04</v>
      </c>
      <c r="I16" s="28">
        <v>7.93</v>
      </c>
      <c r="J16" s="28">
        <v>10.38</v>
      </c>
      <c r="K16" s="74">
        <v>148</v>
      </c>
      <c r="L16" s="57">
        <v>1.8169999999999999</v>
      </c>
      <c r="M16" s="54"/>
      <c r="N16" s="54">
        <v>0.02</v>
      </c>
      <c r="O16" s="54">
        <v>1.5514999999999999</v>
      </c>
      <c r="P16" s="54" t="s">
        <v>124</v>
      </c>
      <c r="Q16" s="54">
        <v>2.2999999999999998</v>
      </c>
      <c r="R16" s="54">
        <v>6.3E-2</v>
      </c>
      <c r="S16" s="54">
        <v>5.8000000000000003E-2</v>
      </c>
      <c r="T16" s="54">
        <v>8.8210000000000015</v>
      </c>
      <c r="U16" s="54">
        <v>8.9700000000000006</v>
      </c>
      <c r="V16" s="54">
        <v>2.84</v>
      </c>
      <c r="W16" s="54">
        <v>14.9</v>
      </c>
      <c r="X16" s="54">
        <v>14.811278109441663</v>
      </c>
      <c r="Y16" s="21"/>
    </row>
    <row r="17" spans="1:25" ht="20.100000000000001" customHeight="1" x14ac:dyDescent="0.3">
      <c r="A17" s="25">
        <v>13</v>
      </c>
      <c r="B17" s="17" t="s">
        <v>31</v>
      </c>
      <c r="C17" s="17" t="s">
        <v>35</v>
      </c>
      <c r="D17" s="18" t="s">
        <v>36</v>
      </c>
      <c r="E17" s="26">
        <v>45505</v>
      </c>
      <c r="F17" s="20"/>
      <c r="G17" s="18" t="s">
        <v>37</v>
      </c>
      <c r="H17" s="28">
        <v>28.19</v>
      </c>
      <c r="I17" s="28">
        <v>7</v>
      </c>
      <c r="J17" s="28">
        <v>7.27</v>
      </c>
      <c r="K17" s="74">
        <v>142.4</v>
      </c>
      <c r="L17" s="57">
        <v>1.8440000000000001</v>
      </c>
      <c r="M17" s="54"/>
      <c r="N17" s="54">
        <v>0.05</v>
      </c>
      <c r="O17" s="54">
        <v>1.5175000000000001</v>
      </c>
      <c r="P17" s="54" t="s">
        <v>124</v>
      </c>
      <c r="Q17" s="54">
        <v>2.4</v>
      </c>
      <c r="R17" s="54">
        <v>7.5999999999999998E-2</v>
      </c>
      <c r="S17" s="54">
        <v>7.0000000000000007E-2</v>
      </c>
      <c r="T17" s="54">
        <v>8.4375</v>
      </c>
      <c r="U17" s="54">
        <v>8.69</v>
      </c>
      <c r="V17" s="54">
        <v>2.15</v>
      </c>
      <c r="W17" s="54">
        <v>15</v>
      </c>
      <c r="X17" s="54">
        <v>15.952224006126059</v>
      </c>
      <c r="Y17" s="21"/>
    </row>
    <row r="18" spans="1:25" ht="20.100000000000001" customHeight="1" x14ac:dyDescent="0.3">
      <c r="A18" s="25">
        <v>14</v>
      </c>
      <c r="B18" s="17" t="s">
        <v>31</v>
      </c>
      <c r="C18" s="17" t="s">
        <v>5</v>
      </c>
      <c r="D18" s="18" t="s">
        <v>29</v>
      </c>
      <c r="E18" s="26">
        <v>45505</v>
      </c>
      <c r="F18" s="20"/>
      <c r="G18" s="18" t="s">
        <v>37</v>
      </c>
      <c r="H18" s="28">
        <v>30.86</v>
      </c>
      <c r="I18" s="28">
        <v>7.53</v>
      </c>
      <c r="J18" s="28">
        <v>10.220000000000001</v>
      </c>
      <c r="K18" s="74">
        <v>263.89999999999998</v>
      </c>
      <c r="L18" s="57">
        <v>2.0350000000000001</v>
      </c>
      <c r="M18" s="54"/>
      <c r="N18" s="54">
        <v>3.9E-2</v>
      </c>
      <c r="O18" s="54">
        <v>1.6120000000000001</v>
      </c>
      <c r="P18" s="54" t="s">
        <v>124</v>
      </c>
      <c r="Q18" s="54">
        <v>3</v>
      </c>
      <c r="R18" s="54">
        <v>7.6999999999999999E-2</v>
      </c>
      <c r="S18" s="54">
        <v>6.9000000000000006E-2</v>
      </c>
      <c r="T18" s="54">
        <v>33.662999999999997</v>
      </c>
      <c r="U18" s="54">
        <v>11.32</v>
      </c>
      <c r="V18" s="54">
        <v>3.44</v>
      </c>
      <c r="W18" s="54">
        <v>21.5</v>
      </c>
      <c r="X18" s="54">
        <v>13.786840063645389</v>
      </c>
      <c r="Y18" s="21"/>
    </row>
    <row r="19" spans="1:25" ht="20.100000000000001" customHeight="1" x14ac:dyDescent="0.3">
      <c r="A19" s="25">
        <v>15</v>
      </c>
      <c r="B19" s="17" t="s">
        <v>31</v>
      </c>
      <c r="C19" s="17" t="s">
        <v>35</v>
      </c>
      <c r="D19" s="18" t="s">
        <v>29</v>
      </c>
      <c r="E19" s="26">
        <v>45505</v>
      </c>
      <c r="F19" s="20"/>
      <c r="G19" s="18" t="s">
        <v>37</v>
      </c>
      <c r="H19" s="28">
        <v>28.47</v>
      </c>
      <c r="I19" s="28">
        <v>7.07</v>
      </c>
      <c r="J19" s="28">
        <v>6.2</v>
      </c>
      <c r="K19" s="74">
        <v>145.6</v>
      </c>
      <c r="L19" s="57">
        <v>1.7729999999999999</v>
      </c>
      <c r="M19" s="70"/>
      <c r="N19" s="54">
        <v>0.03</v>
      </c>
      <c r="O19" s="54">
        <v>1.4875</v>
      </c>
      <c r="P19" s="54" t="s">
        <v>124</v>
      </c>
      <c r="Q19" s="54">
        <v>2.4</v>
      </c>
      <c r="R19" s="54">
        <v>0.1</v>
      </c>
      <c r="S19" s="54">
        <v>9.6000000000000002E-2</v>
      </c>
      <c r="T19" s="54">
        <v>8.6289999999999996</v>
      </c>
      <c r="U19" s="54">
        <v>8.94</v>
      </c>
      <c r="V19" s="54">
        <v>2.4500000000000002</v>
      </c>
      <c r="W19" s="54">
        <v>14.9</v>
      </c>
      <c r="X19" s="54">
        <v>14.086277748596887</v>
      </c>
      <c r="Y19" s="21"/>
    </row>
    <row r="20" spans="1:25" ht="20.100000000000001" customHeight="1" x14ac:dyDescent="0.3">
      <c r="A20" s="41">
        <v>16</v>
      </c>
      <c r="B20" s="42" t="s">
        <v>38</v>
      </c>
      <c r="C20" s="42" t="s">
        <v>38</v>
      </c>
      <c r="D20" s="43" t="s">
        <v>39</v>
      </c>
      <c r="E20" s="44">
        <v>45505</v>
      </c>
      <c r="F20" s="45"/>
      <c r="G20" s="43" t="s">
        <v>37</v>
      </c>
      <c r="H20" s="72">
        <v>26.77</v>
      </c>
      <c r="I20" s="72">
        <v>7.7</v>
      </c>
      <c r="J20" s="72">
        <v>10.050000000000001</v>
      </c>
      <c r="K20" s="73">
        <v>126</v>
      </c>
      <c r="L20" s="59">
        <v>1.165</v>
      </c>
      <c r="M20" s="61"/>
      <c r="N20" s="61">
        <v>7.1999999999999995E-2</v>
      </c>
      <c r="O20" s="61">
        <v>0.79249999999999998</v>
      </c>
      <c r="P20" s="61" t="s">
        <v>124</v>
      </c>
      <c r="Q20" s="61">
        <v>3.3</v>
      </c>
      <c r="R20" s="61">
        <v>4.7E-2</v>
      </c>
      <c r="S20" s="61">
        <v>3.5000000000000003E-2</v>
      </c>
      <c r="T20" s="61">
        <v>9.1705000000000005</v>
      </c>
      <c r="U20" s="61">
        <v>7.89</v>
      </c>
      <c r="V20" s="61">
        <v>2.7</v>
      </c>
      <c r="W20" s="61">
        <v>12.5</v>
      </c>
      <c r="X20" s="61">
        <v>15.214517916197266</v>
      </c>
      <c r="Y20" s="68"/>
    </row>
    <row r="21" spans="1:25" ht="20.100000000000001" customHeight="1" x14ac:dyDescent="0.3">
      <c r="A21" s="41">
        <v>17</v>
      </c>
      <c r="B21" s="42" t="s">
        <v>38</v>
      </c>
      <c r="C21" s="42" t="s">
        <v>38</v>
      </c>
      <c r="D21" s="43" t="s">
        <v>41</v>
      </c>
      <c r="E21" s="44">
        <v>45505</v>
      </c>
      <c r="F21" s="45"/>
      <c r="G21" s="43" t="s">
        <v>37</v>
      </c>
      <c r="H21" s="72">
        <v>27.9</v>
      </c>
      <c r="I21" s="72">
        <v>7.73</v>
      </c>
      <c r="J21" s="72">
        <v>9.56</v>
      </c>
      <c r="K21" s="73">
        <v>214</v>
      </c>
      <c r="L21" s="59">
        <v>2.6480000000000001</v>
      </c>
      <c r="M21" s="60"/>
      <c r="N21" s="60">
        <v>5.2999999999999999E-2</v>
      </c>
      <c r="O21" s="60">
        <v>2.17</v>
      </c>
      <c r="P21" s="60" t="s">
        <v>124</v>
      </c>
      <c r="Q21" s="60">
        <v>3.4</v>
      </c>
      <c r="R21" s="60">
        <v>6.9000000000000006E-2</v>
      </c>
      <c r="S21" s="60">
        <v>0.06</v>
      </c>
      <c r="T21" s="60">
        <v>23.383499999999998</v>
      </c>
      <c r="U21" s="60">
        <v>9.74</v>
      </c>
      <c r="V21" s="60">
        <v>2.78</v>
      </c>
      <c r="W21" s="60">
        <v>19.600000000000001</v>
      </c>
      <c r="X21" s="60">
        <v>12.308926844573243</v>
      </c>
      <c r="Y21" s="48"/>
    </row>
    <row r="22" spans="1:25" ht="20.100000000000001" customHeight="1" x14ac:dyDescent="0.3">
      <c r="A22" s="41">
        <v>18</v>
      </c>
      <c r="B22" s="42" t="s">
        <v>38</v>
      </c>
      <c r="C22" s="42" t="s">
        <v>38</v>
      </c>
      <c r="D22" s="43" t="s">
        <v>42</v>
      </c>
      <c r="E22" s="44">
        <v>45505</v>
      </c>
      <c r="F22" s="45"/>
      <c r="G22" s="43" t="s">
        <v>37</v>
      </c>
      <c r="H22" s="72">
        <v>28.47</v>
      </c>
      <c r="I22" s="72">
        <v>7.7</v>
      </c>
      <c r="J22" s="72">
        <v>11.49</v>
      </c>
      <c r="K22" s="73">
        <v>215</v>
      </c>
      <c r="L22" s="59">
        <v>2.4630000000000001</v>
      </c>
      <c r="M22" s="60"/>
      <c r="N22" s="60">
        <v>2.1999999999999999E-2</v>
      </c>
      <c r="O22" s="60">
        <v>2.0415000000000001</v>
      </c>
      <c r="P22" s="60" t="s">
        <v>124</v>
      </c>
      <c r="Q22" s="60">
        <v>3.5</v>
      </c>
      <c r="R22" s="60">
        <v>7.0000000000000007E-2</v>
      </c>
      <c r="S22" s="60">
        <v>5.8000000000000003E-2</v>
      </c>
      <c r="T22" s="60">
        <v>23.64</v>
      </c>
      <c r="U22" s="60">
        <v>10.28</v>
      </c>
      <c r="V22" s="60">
        <v>3.69</v>
      </c>
      <c r="W22" s="60">
        <v>19.899999999999999</v>
      </c>
      <c r="X22" s="60">
        <v>12.589078109529861</v>
      </c>
      <c r="Y22" s="48"/>
    </row>
    <row r="23" spans="1:25" ht="20.100000000000001" customHeight="1" x14ac:dyDescent="0.3">
      <c r="A23" s="41">
        <v>19</v>
      </c>
      <c r="B23" s="42" t="s">
        <v>38</v>
      </c>
      <c r="C23" s="42" t="s">
        <v>43</v>
      </c>
      <c r="D23" s="43" t="s">
        <v>40</v>
      </c>
      <c r="E23" s="44">
        <v>45505</v>
      </c>
      <c r="F23" s="45"/>
      <c r="G23" s="43" t="s">
        <v>37</v>
      </c>
      <c r="H23" s="72">
        <v>27.02</v>
      </c>
      <c r="I23" s="72">
        <v>7.58</v>
      </c>
      <c r="J23" s="72">
        <v>10.56</v>
      </c>
      <c r="K23" s="73">
        <v>330</v>
      </c>
      <c r="L23" s="59">
        <v>4.5659999999999998</v>
      </c>
      <c r="M23" s="60"/>
      <c r="N23" s="60">
        <v>4.7E-2</v>
      </c>
      <c r="O23" s="60">
        <v>4.0984999999999996</v>
      </c>
      <c r="P23" s="60" t="s">
        <v>124</v>
      </c>
      <c r="Q23" s="60">
        <v>3</v>
      </c>
      <c r="R23" s="60">
        <v>2.4E-2</v>
      </c>
      <c r="S23" s="60">
        <v>8.9999999999999993E-3</v>
      </c>
      <c r="T23" s="60">
        <v>50.16</v>
      </c>
      <c r="U23" s="60">
        <v>10.36</v>
      </c>
      <c r="V23" s="60">
        <v>4.1100000000000003</v>
      </c>
      <c r="W23" s="60">
        <v>23.4</v>
      </c>
      <c r="X23" s="60">
        <v>11.413211776695743</v>
      </c>
      <c r="Y23" s="48"/>
    </row>
    <row r="24" spans="1:25" ht="19.5" customHeight="1" x14ac:dyDescent="0.3">
      <c r="A24" s="41">
        <v>20</v>
      </c>
      <c r="B24" s="42" t="s">
        <v>38</v>
      </c>
      <c r="C24" s="42" t="s">
        <v>43</v>
      </c>
      <c r="D24" s="43" t="s">
        <v>44</v>
      </c>
      <c r="E24" s="44">
        <v>45505</v>
      </c>
      <c r="F24" s="45"/>
      <c r="G24" s="43" t="s">
        <v>37</v>
      </c>
      <c r="H24" s="72">
        <v>25.77</v>
      </c>
      <c r="I24" s="72">
        <v>7.73</v>
      </c>
      <c r="J24" s="72">
        <v>9.8000000000000007</v>
      </c>
      <c r="K24" s="73">
        <v>375</v>
      </c>
      <c r="L24" s="59">
        <v>4.6909999999999998</v>
      </c>
      <c r="M24" s="71"/>
      <c r="N24" s="60">
        <v>8.7999999999999995E-2</v>
      </c>
      <c r="O24" s="60">
        <v>4.3185000000000002</v>
      </c>
      <c r="P24" s="60" t="s">
        <v>124</v>
      </c>
      <c r="Q24" s="60">
        <v>2.5</v>
      </c>
      <c r="R24" s="60">
        <v>4.7E-2</v>
      </c>
      <c r="S24" s="60">
        <v>3.1E-2</v>
      </c>
      <c r="T24" s="60">
        <v>39.164000000000001</v>
      </c>
      <c r="U24" s="60">
        <v>10.029999999999999</v>
      </c>
      <c r="V24" s="60">
        <v>4.93</v>
      </c>
      <c r="W24" s="60">
        <v>28.6</v>
      </c>
      <c r="X24" s="60">
        <v>11.076660320896547</v>
      </c>
      <c r="Y24" s="48"/>
    </row>
    <row r="25" spans="1:25" ht="20.100000000000001" customHeight="1" x14ac:dyDescent="0.3">
      <c r="A25" s="25">
        <v>21</v>
      </c>
      <c r="B25" s="17" t="s">
        <v>45</v>
      </c>
      <c r="C25" s="17" t="s">
        <v>45</v>
      </c>
      <c r="D25" s="18" t="s">
        <v>46</v>
      </c>
      <c r="E25" s="26">
        <v>45505</v>
      </c>
      <c r="F25" s="20"/>
      <c r="G25" s="18" t="s">
        <v>37</v>
      </c>
      <c r="H25" s="28">
        <v>27.5</v>
      </c>
      <c r="I25" s="28">
        <v>7.57</v>
      </c>
      <c r="J25" s="28">
        <v>7.16</v>
      </c>
      <c r="K25" s="74">
        <v>237.8</v>
      </c>
      <c r="L25" s="57">
        <v>0.92200000000000004</v>
      </c>
      <c r="M25" s="58"/>
      <c r="N25" s="58">
        <v>8.4000000000000005E-2</v>
      </c>
      <c r="O25" s="58">
        <v>0.626</v>
      </c>
      <c r="P25" s="58" t="s">
        <v>124</v>
      </c>
      <c r="Q25" s="58">
        <v>3</v>
      </c>
      <c r="R25" s="58">
        <v>2.7E-2</v>
      </c>
      <c r="S25" s="58">
        <v>1.6E-2</v>
      </c>
      <c r="T25" s="58">
        <v>8.3125</v>
      </c>
      <c r="U25" s="58">
        <v>7.62</v>
      </c>
      <c r="V25" s="58">
        <v>1.76</v>
      </c>
      <c r="W25" s="58">
        <v>20.399999999999999</v>
      </c>
      <c r="X25" s="58">
        <v>15.598087430779284</v>
      </c>
      <c r="Y25" s="69"/>
    </row>
    <row r="26" spans="1:25" ht="20.100000000000001" customHeight="1" x14ac:dyDescent="0.3">
      <c r="A26" s="25">
        <v>22</v>
      </c>
      <c r="B26" s="17" t="s">
        <v>45</v>
      </c>
      <c r="C26" s="17" t="s">
        <v>45</v>
      </c>
      <c r="D26" s="22" t="s">
        <v>47</v>
      </c>
      <c r="E26" s="26">
        <v>45505</v>
      </c>
      <c r="F26" s="23"/>
      <c r="G26" s="18" t="s">
        <v>37</v>
      </c>
      <c r="H26" s="28">
        <v>28.9</v>
      </c>
      <c r="I26" s="28">
        <v>7.29</v>
      </c>
      <c r="J26" s="28">
        <v>6.26</v>
      </c>
      <c r="K26" s="74">
        <v>139.30000000000001</v>
      </c>
      <c r="L26" s="57">
        <v>0.95099999999999996</v>
      </c>
      <c r="M26" s="55"/>
      <c r="N26" s="55">
        <v>7.2999999999999995E-2</v>
      </c>
      <c r="O26" s="55">
        <v>0.64400000000000002</v>
      </c>
      <c r="P26" s="55" t="s">
        <v>124</v>
      </c>
      <c r="Q26" s="55">
        <v>3</v>
      </c>
      <c r="R26" s="55">
        <v>8.1000000000000003E-2</v>
      </c>
      <c r="S26" s="55">
        <v>7.5999999999999998E-2</v>
      </c>
      <c r="T26" s="55">
        <v>8.9124999999999996</v>
      </c>
      <c r="U26" s="55">
        <v>10.94</v>
      </c>
      <c r="V26" s="55">
        <v>3.94</v>
      </c>
      <c r="W26" s="55">
        <v>11.2</v>
      </c>
      <c r="X26" s="55">
        <v>17.738500668438796</v>
      </c>
      <c r="Y26" s="24"/>
    </row>
    <row r="27" spans="1:25" ht="20.100000000000001" customHeight="1" x14ac:dyDescent="0.3">
      <c r="A27" s="25">
        <v>23</v>
      </c>
      <c r="B27" s="17" t="s">
        <v>45</v>
      </c>
      <c r="C27" s="17" t="s">
        <v>45</v>
      </c>
      <c r="D27" s="22" t="s">
        <v>29</v>
      </c>
      <c r="E27" s="26">
        <v>45505</v>
      </c>
      <c r="F27" s="23"/>
      <c r="G27" s="18" t="s">
        <v>37</v>
      </c>
      <c r="H27" s="75">
        <v>29.5</v>
      </c>
      <c r="I27" s="75">
        <v>7.39</v>
      </c>
      <c r="J27" s="75">
        <v>7.1</v>
      </c>
      <c r="K27" s="77">
        <v>147</v>
      </c>
      <c r="L27" s="57">
        <v>0.96899999999999997</v>
      </c>
      <c r="M27" s="55"/>
      <c r="N27" s="55">
        <v>5.1999999999999998E-2</v>
      </c>
      <c r="O27" s="55">
        <v>0.64200000000000002</v>
      </c>
      <c r="P27" s="55" t="s">
        <v>124</v>
      </c>
      <c r="Q27" s="55">
        <v>3.1</v>
      </c>
      <c r="R27" s="55">
        <v>6.6000000000000003E-2</v>
      </c>
      <c r="S27" s="55">
        <v>5.7000000000000002E-2</v>
      </c>
      <c r="T27" s="55">
        <v>9.407</v>
      </c>
      <c r="U27" s="55">
        <v>8.89</v>
      </c>
      <c r="V27" s="55">
        <v>2.56</v>
      </c>
      <c r="W27" s="55">
        <v>15.3</v>
      </c>
      <c r="X27" s="55">
        <v>15.572651866179566</v>
      </c>
      <c r="Y27" s="24"/>
    </row>
    <row r="28" spans="1:25" ht="20.100000000000001" customHeight="1" x14ac:dyDescent="0.3">
      <c r="A28" s="25">
        <v>24</v>
      </c>
      <c r="B28" s="17" t="s">
        <v>45</v>
      </c>
      <c r="C28" s="17" t="s">
        <v>45</v>
      </c>
      <c r="D28" s="18" t="s">
        <v>48</v>
      </c>
      <c r="E28" s="26">
        <v>45505</v>
      </c>
      <c r="F28" s="20"/>
      <c r="G28" s="18" t="s">
        <v>19</v>
      </c>
      <c r="H28" s="28">
        <v>29.5</v>
      </c>
      <c r="I28" s="28">
        <v>7.31</v>
      </c>
      <c r="J28" s="28">
        <v>7.23</v>
      </c>
      <c r="K28" s="74">
        <v>152.4</v>
      </c>
      <c r="L28" s="57">
        <v>0.95499999999999996</v>
      </c>
      <c r="M28" s="54"/>
      <c r="N28" s="54">
        <v>3.4000000000000002E-2</v>
      </c>
      <c r="O28" s="54">
        <v>0.65</v>
      </c>
      <c r="P28" s="54" t="s">
        <v>124</v>
      </c>
      <c r="Q28" s="54">
        <v>3.5</v>
      </c>
      <c r="R28" s="54">
        <v>6.9000000000000006E-2</v>
      </c>
      <c r="S28" s="54">
        <v>0.06</v>
      </c>
      <c r="T28" s="54">
        <v>9.5294999999999987</v>
      </c>
      <c r="U28" s="54">
        <v>9.6199999999999992</v>
      </c>
      <c r="V28" s="54">
        <v>2.5499999999999998</v>
      </c>
      <c r="W28" s="54">
        <v>14.6</v>
      </c>
      <c r="X28" s="54">
        <v>15.427783680287854</v>
      </c>
      <c r="Y28" s="21"/>
    </row>
    <row r="29" spans="1:25" ht="20.100000000000001" customHeight="1" x14ac:dyDescent="0.3"/>
    <row r="30" spans="1:25" ht="20.100000000000001" customHeight="1" x14ac:dyDescent="0.3"/>
    <row r="31" spans="1:25" ht="20.100000000000001" customHeight="1" x14ac:dyDescent="0.3"/>
    <row r="32" spans="1:25" ht="20.100000000000001" customHeight="1" x14ac:dyDescent="0.3"/>
    <row r="33" ht="20.100000000000001" customHeight="1" x14ac:dyDescent="0.3"/>
    <row r="34" ht="20.100000000000001" customHeight="1" x14ac:dyDescent="0.3"/>
    <row r="35" ht="20.100000000000001" customHeight="1" x14ac:dyDescent="0.3"/>
    <row r="36" ht="20.100000000000001" customHeight="1" x14ac:dyDescent="0.3"/>
    <row r="37" ht="20.100000000000001" customHeight="1" x14ac:dyDescent="0.3"/>
    <row r="38" ht="20.100000000000001" customHeight="1" x14ac:dyDescent="0.3"/>
    <row r="39" ht="20.100000000000001" customHeight="1" x14ac:dyDescent="0.3"/>
    <row r="40" ht="20.100000000000001" customHeight="1" x14ac:dyDescent="0.3"/>
    <row r="41" ht="20.100000000000001" customHeight="1" x14ac:dyDescent="0.3"/>
    <row r="42" ht="20.100000000000001" customHeight="1" x14ac:dyDescent="0.3"/>
    <row r="43" ht="20.100000000000001" customHeight="1" x14ac:dyDescent="0.3"/>
    <row r="44" ht="20.100000000000001" customHeight="1" x14ac:dyDescent="0.3"/>
    <row r="45" ht="20.100000000000001" customHeight="1" x14ac:dyDescent="0.3"/>
    <row r="46" ht="20.100000000000001" customHeight="1" x14ac:dyDescent="0.3"/>
    <row r="47" ht="20.100000000000001" customHeight="1" x14ac:dyDescent="0.3"/>
    <row r="48" ht="20.100000000000001" customHeight="1" x14ac:dyDescent="0.3"/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  <row r="291" ht="20.100000000000001" customHeight="1" x14ac:dyDescent="0.3"/>
    <row r="292" ht="20.100000000000001" customHeight="1" x14ac:dyDescent="0.3"/>
    <row r="293" ht="20.100000000000001" customHeight="1" x14ac:dyDescent="0.3"/>
    <row r="294" ht="20.100000000000001" customHeight="1" x14ac:dyDescent="0.3"/>
    <row r="295" ht="20.100000000000001" customHeight="1" x14ac:dyDescent="0.3"/>
    <row r="296" ht="20.100000000000001" customHeight="1" x14ac:dyDescent="0.3"/>
    <row r="297" ht="20.100000000000001" customHeight="1" x14ac:dyDescent="0.3"/>
    <row r="298" ht="20.100000000000001" customHeight="1" x14ac:dyDescent="0.3"/>
    <row r="299" ht="20.100000000000001" customHeight="1" x14ac:dyDescent="0.3"/>
    <row r="300" ht="20.100000000000001" customHeight="1" x14ac:dyDescent="0.3"/>
    <row r="301" ht="20.100000000000001" customHeight="1" x14ac:dyDescent="0.3"/>
    <row r="302" ht="20.100000000000001" customHeight="1" x14ac:dyDescent="0.3"/>
    <row r="303" ht="20.100000000000001" customHeight="1" x14ac:dyDescent="0.3"/>
    <row r="304" ht="20.100000000000001" customHeight="1" x14ac:dyDescent="0.3"/>
    <row r="305" ht="20.100000000000001" customHeight="1" x14ac:dyDescent="0.3"/>
    <row r="306" ht="20.100000000000001" customHeight="1" x14ac:dyDescent="0.3"/>
    <row r="307" ht="20.100000000000001" customHeight="1" x14ac:dyDescent="0.3"/>
    <row r="308" ht="20.100000000000001" customHeight="1" x14ac:dyDescent="0.3"/>
    <row r="309" ht="20.100000000000001" customHeight="1" x14ac:dyDescent="0.3"/>
    <row r="310" ht="20.100000000000001" customHeight="1" x14ac:dyDescent="0.3"/>
    <row r="311" ht="20.100000000000001" customHeight="1" x14ac:dyDescent="0.3"/>
    <row r="312" ht="20.100000000000001" customHeight="1" x14ac:dyDescent="0.3"/>
    <row r="313" ht="20.100000000000001" customHeight="1" x14ac:dyDescent="0.3"/>
    <row r="314" ht="20.100000000000001" customHeight="1" x14ac:dyDescent="0.3"/>
    <row r="315" ht="20.100000000000001" customHeight="1" x14ac:dyDescent="0.3"/>
    <row r="316" ht="20.100000000000001" customHeight="1" x14ac:dyDescent="0.3"/>
    <row r="317" ht="20.100000000000001" customHeight="1" x14ac:dyDescent="0.3"/>
    <row r="318" ht="20.100000000000001" customHeight="1" x14ac:dyDescent="0.3"/>
    <row r="319" ht="20.100000000000001" customHeight="1" x14ac:dyDescent="0.3"/>
    <row r="320" ht="20.100000000000001" customHeight="1" x14ac:dyDescent="0.3"/>
    <row r="321" ht="20.100000000000001" customHeight="1" x14ac:dyDescent="0.3"/>
    <row r="322" ht="20.100000000000001" customHeight="1" x14ac:dyDescent="0.3"/>
  </sheetData>
  <mergeCells count="9">
    <mergeCell ref="L3:T3"/>
    <mergeCell ref="Y3:Y4"/>
    <mergeCell ref="A1:K1"/>
    <mergeCell ref="A3:A4"/>
    <mergeCell ref="B3:B4"/>
    <mergeCell ref="C3:C4"/>
    <mergeCell ref="D3:D4"/>
    <mergeCell ref="E3:F3"/>
    <mergeCell ref="G3:K3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22"/>
  <sheetViews>
    <sheetView zoomScale="80" zoomScaleNormal="80" workbookViewId="0">
      <selection activeCell="E34" sqref="E34"/>
    </sheetView>
  </sheetViews>
  <sheetFormatPr defaultRowHeight="16.5" x14ac:dyDescent="0.3"/>
  <cols>
    <col min="1" max="1" width="7.625" bestFit="1" customWidth="1"/>
    <col min="2" max="3" width="9.5" bestFit="1" customWidth="1"/>
    <col min="4" max="4" width="27.5" bestFit="1" customWidth="1"/>
    <col min="5" max="5" width="12.5" bestFit="1" customWidth="1"/>
    <col min="6" max="6" width="10.625" bestFit="1" customWidth="1"/>
    <col min="7" max="11" width="7.625" customWidth="1"/>
    <col min="12" max="12" width="7.625" style="8" customWidth="1"/>
    <col min="13" max="13" width="7.625" customWidth="1"/>
    <col min="14" max="15" width="7.625" style="8" customWidth="1"/>
    <col min="16" max="19" width="7.625" customWidth="1"/>
    <col min="20" max="24" width="7.625" style="8" customWidth="1"/>
    <col min="25" max="25" width="32.375" style="5" customWidth="1"/>
  </cols>
  <sheetData>
    <row r="1" spans="1:25" ht="31.5" x14ac:dyDescent="0.3">
      <c r="A1" s="125" t="s">
        <v>70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Y1" s="2"/>
    </row>
    <row r="2" spans="1:25" ht="17.25" thickBot="1" x14ac:dyDescent="0.35">
      <c r="Y2" s="3"/>
    </row>
    <row r="3" spans="1:25" ht="26.25" customHeight="1" thickBot="1" x14ac:dyDescent="0.35">
      <c r="A3" s="126" t="s">
        <v>1</v>
      </c>
      <c r="B3" s="128" t="s">
        <v>62</v>
      </c>
      <c r="C3" s="128" t="s">
        <v>63</v>
      </c>
      <c r="D3" s="126" t="s">
        <v>7</v>
      </c>
      <c r="E3" s="130" t="s">
        <v>8</v>
      </c>
      <c r="F3" s="131"/>
      <c r="G3" s="132" t="s">
        <v>9</v>
      </c>
      <c r="H3" s="132"/>
      <c r="I3" s="132"/>
      <c r="J3" s="132"/>
      <c r="K3" s="132"/>
      <c r="L3" s="123" t="s">
        <v>56</v>
      </c>
      <c r="M3" s="124"/>
      <c r="N3" s="124"/>
      <c r="O3" s="124"/>
      <c r="P3" s="124"/>
      <c r="Q3" s="124"/>
      <c r="R3" s="124"/>
      <c r="S3" s="124"/>
      <c r="T3" s="124"/>
      <c r="U3" s="9"/>
      <c r="V3" s="9"/>
      <c r="W3" s="9"/>
      <c r="X3" s="9"/>
      <c r="Y3" s="133" t="s">
        <v>10</v>
      </c>
    </row>
    <row r="4" spans="1:25" ht="33.75" customHeight="1" thickBot="1" x14ac:dyDescent="0.35">
      <c r="A4" s="127"/>
      <c r="B4" s="127"/>
      <c r="C4" s="127"/>
      <c r="D4" s="129"/>
      <c r="E4" s="1" t="s">
        <v>0</v>
      </c>
      <c r="F4" s="4" t="s">
        <v>11</v>
      </c>
      <c r="G4" s="4" t="s">
        <v>12</v>
      </c>
      <c r="H4" s="4" t="s">
        <v>13</v>
      </c>
      <c r="I4" s="4" t="s">
        <v>14</v>
      </c>
      <c r="J4" s="51" t="s">
        <v>15</v>
      </c>
      <c r="K4" s="51" t="s">
        <v>16</v>
      </c>
      <c r="L4" s="51" t="s">
        <v>6</v>
      </c>
      <c r="M4" s="51" t="s">
        <v>51</v>
      </c>
      <c r="N4" s="51" t="s">
        <v>125</v>
      </c>
      <c r="O4" s="51" t="s">
        <v>126</v>
      </c>
      <c r="P4" s="51" t="s">
        <v>127</v>
      </c>
      <c r="Q4" s="51" t="s">
        <v>53</v>
      </c>
      <c r="R4" s="51" t="s">
        <v>54</v>
      </c>
      <c r="S4" s="4" t="s">
        <v>55</v>
      </c>
      <c r="T4" s="4" t="s">
        <v>64</v>
      </c>
      <c r="U4" s="4" t="s">
        <v>77</v>
      </c>
      <c r="V4" s="4" t="s">
        <v>78</v>
      </c>
      <c r="W4" s="4" t="s">
        <v>131</v>
      </c>
      <c r="X4" s="10" t="s">
        <v>76</v>
      </c>
      <c r="Y4" s="134"/>
    </row>
    <row r="5" spans="1:25" ht="20.100000000000001" customHeight="1" x14ac:dyDescent="0.3">
      <c r="A5" s="11">
        <v>1</v>
      </c>
      <c r="B5" s="12" t="s">
        <v>17</v>
      </c>
      <c r="C5" s="12" t="s">
        <v>17</v>
      </c>
      <c r="D5" s="13" t="s">
        <v>18</v>
      </c>
      <c r="E5" s="36">
        <v>45588</v>
      </c>
      <c r="F5" s="15"/>
      <c r="G5" s="13" t="s">
        <v>19</v>
      </c>
      <c r="H5" s="27">
        <v>15.1</v>
      </c>
      <c r="I5" s="27">
        <v>8.65</v>
      </c>
      <c r="J5" s="27">
        <v>10.7</v>
      </c>
      <c r="K5" s="76">
        <v>120</v>
      </c>
      <c r="L5" s="56">
        <v>2.6930000000000001</v>
      </c>
      <c r="M5" s="53"/>
      <c r="N5" s="53">
        <v>2.4E-2</v>
      </c>
      <c r="O5" s="53">
        <v>1.9605000000000001</v>
      </c>
      <c r="P5" s="53" t="s">
        <v>124</v>
      </c>
      <c r="Q5" s="53">
        <v>2.1</v>
      </c>
      <c r="R5" s="53">
        <v>4.2000000000000003E-2</v>
      </c>
      <c r="S5" s="53">
        <v>3.5999999999999997E-2</v>
      </c>
      <c r="T5" s="53">
        <v>11.442499999999999</v>
      </c>
      <c r="U5" s="53">
        <v>4.92</v>
      </c>
      <c r="V5" s="53">
        <v>0.5</v>
      </c>
      <c r="W5" s="79">
        <v>13.896890898994201</v>
      </c>
      <c r="X5" s="79">
        <v>12.540678624624269</v>
      </c>
      <c r="Y5" s="16"/>
    </row>
    <row r="6" spans="1:25" ht="20.100000000000001" customHeight="1" x14ac:dyDescent="0.3">
      <c r="A6" s="25">
        <v>2</v>
      </c>
      <c r="B6" s="17" t="s">
        <v>17</v>
      </c>
      <c r="C6" s="17" t="s">
        <v>17</v>
      </c>
      <c r="D6" s="18" t="s">
        <v>20</v>
      </c>
      <c r="E6" s="26">
        <v>45588</v>
      </c>
      <c r="F6" s="20"/>
      <c r="G6" s="18" t="s">
        <v>19</v>
      </c>
      <c r="H6" s="28">
        <v>15.57</v>
      </c>
      <c r="I6" s="28">
        <v>7.97</v>
      </c>
      <c r="J6" s="28">
        <v>10.35</v>
      </c>
      <c r="K6" s="74">
        <v>124</v>
      </c>
      <c r="L6" s="57">
        <v>3.1160000000000001</v>
      </c>
      <c r="M6" s="54"/>
      <c r="N6" s="54">
        <v>3.6999999999999998E-2</v>
      </c>
      <c r="O6" s="54">
        <v>2.2409999999999997</v>
      </c>
      <c r="P6" s="54" t="s">
        <v>124</v>
      </c>
      <c r="Q6" s="54">
        <v>2.2999999999999998</v>
      </c>
      <c r="R6" s="54">
        <v>5.0999999999999997E-2</v>
      </c>
      <c r="S6" s="54">
        <v>4.7E-2</v>
      </c>
      <c r="T6" s="54">
        <v>16.421500000000002</v>
      </c>
      <c r="U6" s="54">
        <v>7.29</v>
      </c>
      <c r="V6" s="54">
        <v>0.85</v>
      </c>
      <c r="W6" s="80">
        <v>14.478039120131999</v>
      </c>
      <c r="X6" s="80">
        <v>13.263877628320099</v>
      </c>
      <c r="Y6" s="21"/>
    </row>
    <row r="7" spans="1:25" ht="20.100000000000001" customHeight="1" x14ac:dyDescent="0.3">
      <c r="A7" s="25">
        <v>3</v>
      </c>
      <c r="B7" s="17" t="s">
        <v>17</v>
      </c>
      <c r="C7" s="17" t="s">
        <v>17</v>
      </c>
      <c r="D7" s="18" t="s">
        <v>21</v>
      </c>
      <c r="E7" s="26">
        <v>45588</v>
      </c>
      <c r="F7" s="20"/>
      <c r="G7" s="18" t="s">
        <v>19</v>
      </c>
      <c r="H7" s="28">
        <v>15.6</v>
      </c>
      <c r="I7" s="28">
        <v>7.85</v>
      </c>
      <c r="J7" s="28">
        <v>9.7200000000000006</v>
      </c>
      <c r="K7" s="74">
        <v>130</v>
      </c>
      <c r="L7" s="57">
        <v>3.2490000000000001</v>
      </c>
      <c r="M7" s="54"/>
      <c r="N7" s="54">
        <v>0.129</v>
      </c>
      <c r="O7" s="54">
        <v>2.2270000000000003</v>
      </c>
      <c r="P7" s="54" t="s">
        <v>124</v>
      </c>
      <c r="Q7" s="54">
        <v>2.4</v>
      </c>
      <c r="R7" s="54">
        <v>6.3E-2</v>
      </c>
      <c r="S7" s="54">
        <v>5.8999999999999997E-2</v>
      </c>
      <c r="T7" s="54">
        <v>14.895</v>
      </c>
      <c r="U7" s="58">
        <v>7.41</v>
      </c>
      <c r="V7" s="58">
        <v>0.24</v>
      </c>
      <c r="W7" s="81">
        <v>16.665627912642101</v>
      </c>
      <c r="X7" s="80">
        <v>12.047180254139146</v>
      </c>
      <c r="Y7" s="21"/>
    </row>
    <row r="8" spans="1:25" ht="20.100000000000001" customHeight="1" x14ac:dyDescent="0.3">
      <c r="A8" s="25">
        <v>4</v>
      </c>
      <c r="B8" s="17" t="s">
        <v>17</v>
      </c>
      <c r="C8" s="17" t="s">
        <v>17</v>
      </c>
      <c r="D8" s="18" t="s">
        <v>22</v>
      </c>
      <c r="E8" s="26">
        <v>45588</v>
      </c>
      <c r="F8" s="20"/>
      <c r="G8" s="18" t="s">
        <v>19</v>
      </c>
      <c r="H8" s="28">
        <v>16.11</v>
      </c>
      <c r="I8" s="28">
        <v>7.91</v>
      </c>
      <c r="J8" s="28">
        <v>8.7200000000000006</v>
      </c>
      <c r="K8" s="74">
        <v>136</v>
      </c>
      <c r="L8" s="57">
        <v>3.6030000000000002</v>
      </c>
      <c r="M8" s="54"/>
      <c r="N8" s="54">
        <v>0.52500000000000002</v>
      </c>
      <c r="O8" s="54">
        <v>2.0324999999999998</v>
      </c>
      <c r="P8" s="54" t="s">
        <v>124</v>
      </c>
      <c r="Q8" s="54">
        <v>3</v>
      </c>
      <c r="R8" s="54">
        <v>8.5000000000000006E-2</v>
      </c>
      <c r="S8" s="54">
        <v>7.9000000000000001E-2</v>
      </c>
      <c r="T8" s="54">
        <v>15.514500000000002</v>
      </c>
      <c r="U8" s="55">
        <v>6.89</v>
      </c>
      <c r="V8" s="55">
        <v>7.0000000000000007E-2</v>
      </c>
      <c r="W8" s="82">
        <v>15.4111817894751</v>
      </c>
      <c r="X8" s="82">
        <v>11.63328511248679</v>
      </c>
      <c r="Y8" s="21"/>
    </row>
    <row r="9" spans="1:25" ht="20.100000000000001" customHeight="1" x14ac:dyDescent="0.3">
      <c r="A9" s="41">
        <v>5</v>
      </c>
      <c r="B9" s="42" t="s">
        <v>23</v>
      </c>
      <c r="C9" s="42" t="s">
        <v>23</v>
      </c>
      <c r="D9" s="43" t="s">
        <v>24</v>
      </c>
      <c r="E9" s="44">
        <v>45588</v>
      </c>
      <c r="F9" s="45"/>
      <c r="G9" s="43" t="s">
        <v>19</v>
      </c>
      <c r="H9" s="72">
        <v>18</v>
      </c>
      <c r="I9" s="72">
        <v>7.41</v>
      </c>
      <c r="J9" s="72">
        <v>9.25</v>
      </c>
      <c r="K9" s="73">
        <v>144</v>
      </c>
      <c r="L9" s="59">
        <v>2.1989999999999998</v>
      </c>
      <c r="M9" s="60"/>
      <c r="N9" s="60">
        <v>2.9000000000000001E-2</v>
      </c>
      <c r="O9" s="61">
        <v>1.4805000000000001</v>
      </c>
      <c r="P9" s="61" t="s">
        <v>124</v>
      </c>
      <c r="Q9" s="61">
        <v>3.6</v>
      </c>
      <c r="R9" s="61">
        <v>3.2000000000000001E-2</v>
      </c>
      <c r="S9" s="61">
        <v>2.1000000000000001E-2</v>
      </c>
      <c r="T9" s="61">
        <v>10.387</v>
      </c>
      <c r="U9" s="61">
        <v>2.44</v>
      </c>
      <c r="V9" s="61">
        <v>2.2599999999999998</v>
      </c>
      <c r="W9" s="81">
        <v>12.478927183639099</v>
      </c>
      <c r="X9" s="81">
        <v>16.835534129674812</v>
      </c>
      <c r="Y9" s="48"/>
    </row>
    <row r="10" spans="1:25" ht="20.100000000000001" customHeight="1" x14ac:dyDescent="0.3">
      <c r="A10" s="41">
        <v>6</v>
      </c>
      <c r="B10" s="42" t="s">
        <v>23</v>
      </c>
      <c r="C10" s="42" t="s">
        <v>23</v>
      </c>
      <c r="D10" s="43" t="s">
        <v>25</v>
      </c>
      <c r="E10" s="44">
        <v>45588</v>
      </c>
      <c r="F10" s="45"/>
      <c r="G10" s="43" t="s">
        <v>19</v>
      </c>
      <c r="H10" s="72">
        <v>18.100000000000001</v>
      </c>
      <c r="I10" s="72">
        <v>7.22</v>
      </c>
      <c r="J10" s="72">
        <v>8.94</v>
      </c>
      <c r="K10" s="73">
        <v>224</v>
      </c>
      <c r="L10" s="59">
        <v>2.7429999999999999</v>
      </c>
      <c r="M10" s="60"/>
      <c r="N10" s="60">
        <v>0.318</v>
      </c>
      <c r="O10" s="60">
        <v>1.333</v>
      </c>
      <c r="P10" s="60" t="s">
        <v>124</v>
      </c>
      <c r="Q10" s="60">
        <v>5.8</v>
      </c>
      <c r="R10" s="60">
        <v>0.151</v>
      </c>
      <c r="S10" s="60">
        <v>0.14799999999999999</v>
      </c>
      <c r="T10" s="60">
        <v>16.0565</v>
      </c>
      <c r="U10" s="60">
        <v>6.62</v>
      </c>
      <c r="V10" s="60">
        <v>1.68</v>
      </c>
      <c r="W10" s="80">
        <v>19.8380222359106</v>
      </c>
      <c r="X10" s="80">
        <v>10.807556523547534</v>
      </c>
      <c r="Y10" s="48"/>
    </row>
    <row r="11" spans="1:25" ht="20.100000000000001" customHeight="1" x14ac:dyDescent="0.3">
      <c r="A11" s="41">
        <v>7</v>
      </c>
      <c r="B11" s="42" t="s">
        <v>23</v>
      </c>
      <c r="C11" s="42" t="s">
        <v>23</v>
      </c>
      <c r="D11" s="43" t="s">
        <v>26</v>
      </c>
      <c r="E11" s="44">
        <v>45588</v>
      </c>
      <c r="F11" s="45"/>
      <c r="G11" s="43" t="s">
        <v>19</v>
      </c>
      <c r="H11" s="72">
        <v>18.399999999999999</v>
      </c>
      <c r="I11" s="72">
        <v>7.35</v>
      </c>
      <c r="J11" s="72">
        <v>8.35</v>
      </c>
      <c r="K11" s="73">
        <v>250.6</v>
      </c>
      <c r="L11" s="59">
        <v>3.7330000000000001</v>
      </c>
      <c r="M11" s="60"/>
      <c r="N11" s="60">
        <v>0.95799999999999996</v>
      </c>
      <c r="O11" s="60">
        <v>1.5205</v>
      </c>
      <c r="P11" s="60" t="s">
        <v>124</v>
      </c>
      <c r="Q11" s="60">
        <v>6.3</v>
      </c>
      <c r="R11" s="60">
        <v>0.36799999999999999</v>
      </c>
      <c r="S11" s="60">
        <v>0.36299999999999999</v>
      </c>
      <c r="T11" s="60">
        <v>17.060000000000002</v>
      </c>
      <c r="U11" s="60">
        <v>6.79</v>
      </c>
      <c r="V11" s="60">
        <v>0.95</v>
      </c>
      <c r="W11" s="80">
        <v>21.872443846139799</v>
      </c>
      <c r="X11" s="80">
        <v>10.733127034739054</v>
      </c>
      <c r="Y11" s="48"/>
    </row>
    <row r="12" spans="1:25" ht="20.100000000000001" customHeight="1" x14ac:dyDescent="0.3">
      <c r="A12" s="41">
        <v>8</v>
      </c>
      <c r="B12" s="42" t="s">
        <v>23</v>
      </c>
      <c r="C12" s="42" t="s">
        <v>27</v>
      </c>
      <c r="D12" s="43" t="s">
        <v>68</v>
      </c>
      <c r="E12" s="44">
        <v>45588</v>
      </c>
      <c r="F12" s="45"/>
      <c r="G12" s="43" t="s">
        <v>19</v>
      </c>
      <c r="H12" s="72">
        <v>17.600000000000001</v>
      </c>
      <c r="I12" s="72">
        <v>7.45</v>
      </c>
      <c r="J12" s="72">
        <v>8</v>
      </c>
      <c r="K12" s="73">
        <v>628</v>
      </c>
      <c r="L12" s="59">
        <v>22.818999999999999</v>
      </c>
      <c r="M12" s="60"/>
      <c r="N12" s="60">
        <v>19.853000000000002</v>
      </c>
      <c r="O12" s="60">
        <v>0.91850000000000009</v>
      </c>
      <c r="P12" s="60" t="s">
        <v>124</v>
      </c>
      <c r="Q12" s="60">
        <v>16.600000000000001</v>
      </c>
      <c r="R12" s="60">
        <v>5.3639999999999999</v>
      </c>
      <c r="S12" s="60">
        <v>5.3250000000000002</v>
      </c>
      <c r="T12" s="60">
        <v>36.055499999999995</v>
      </c>
      <c r="U12" s="60">
        <v>10.32</v>
      </c>
      <c r="V12" s="60">
        <v>4.21</v>
      </c>
      <c r="W12" s="80">
        <v>41.067101062067003</v>
      </c>
      <c r="X12" s="80">
        <v>11.005440024430158</v>
      </c>
      <c r="Y12" s="48"/>
    </row>
    <row r="13" spans="1:25" ht="20.100000000000001" customHeight="1" x14ac:dyDescent="0.3">
      <c r="A13" s="41">
        <v>9</v>
      </c>
      <c r="B13" s="42" t="s">
        <v>23</v>
      </c>
      <c r="C13" s="42" t="s">
        <v>27</v>
      </c>
      <c r="D13" s="43" t="s">
        <v>30</v>
      </c>
      <c r="E13" s="44">
        <v>45588</v>
      </c>
      <c r="F13" s="45"/>
      <c r="G13" s="43" t="s">
        <v>19</v>
      </c>
      <c r="H13" s="72">
        <v>18.899999999999999</v>
      </c>
      <c r="I13" s="72">
        <v>7.3</v>
      </c>
      <c r="J13" s="72">
        <v>7.29</v>
      </c>
      <c r="K13" s="73">
        <v>382.4</v>
      </c>
      <c r="L13" s="59">
        <v>10.385</v>
      </c>
      <c r="M13" s="60"/>
      <c r="N13" s="60">
        <v>5.8640000000000008</v>
      </c>
      <c r="O13" s="60">
        <v>2.3380000000000001</v>
      </c>
      <c r="P13" s="60" t="s">
        <v>124</v>
      </c>
      <c r="Q13" s="60">
        <v>10.4</v>
      </c>
      <c r="R13" s="60">
        <v>1.9510000000000001</v>
      </c>
      <c r="S13" s="60">
        <v>1.948</v>
      </c>
      <c r="T13" s="60">
        <v>24.9405</v>
      </c>
      <c r="U13" s="62">
        <v>6.19</v>
      </c>
      <c r="V13" s="62">
        <v>-0.22</v>
      </c>
      <c r="W13" s="82">
        <v>30.251724412158602</v>
      </c>
      <c r="X13" s="82">
        <v>10.766736109423746</v>
      </c>
      <c r="Y13" s="48"/>
    </row>
    <row r="14" spans="1:25" ht="20.100000000000001" customHeight="1" x14ac:dyDescent="0.3">
      <c r="A14" s="25">
        <v>10</v>
      </c>
      <c r="B14" s="17" t="s">
        <v>31</v>
      </c>
      <c r="C14" s="17" t="s">
        <v>31</v>
      </c>
      <c r="D14" s="18" t="s">
        <v>32</v>
      </c>
      <c r="E14" s="26">
        <v>45588</v>
      </c>
      <c r="F14" s="20"/>
      <c r="G14" s="18" t="s">
        <v>19</v>
      </c>
      <c r="H14" s="28">
        <v>18.75</v>
      </c>
      <c r="I14" s="28">
        <v>8.0399999999999991</v>
      </c>
      <c r="J14" s="28">
        <v>8.4</v>
      </c>
      <c r="K14" s="74">
        <v>162.1</v>
      </c>
      <c r="L14" s="57">
        <v>2.5569999999999999</v>
      </c>
      <c r="M14" s="54"/>
      <c r="N14" s="54">
        <v>8.3000000000000004E-2</v>
      </c>
      <c r="O14" s="58">
        <v>1.6985000000000001</v>
      </c>
      <c r="P14" s="58" t="s">
        <v>124</v>
      </c>
      <c r="Q14" s="58">
        <v>3.6</v>
      </c>
      <c r="R14" s="58">
        <v>0.109</v>
      </c>
      <c r="S14" s="58">
        <v>0.10199999999999999</v>
      </c>
      <c r="T14" s="58">
        <v>7.942499999999999</v>
      </c>
      <c r="U14" s="58">
        <v>4.51</v>
      </c>
      <c r="V14" s="58">
        <v>-0.12</v>
      </c>
      <c r="W14" s="81">
        <v>13.9363082505633</v>
      </c>
      <c r="X14" s="81">
        <v>13.179953300936075</v>
      </c>
      <c r="Y14" s="21"/>
    </row>
    <row r="15" spans="1:25" ht="20.100000000000001" customHeight="1" x14ac:dyDescent="0.3">
      <c r="A15" s="25">
        <v>11</v>
      </c>
      <c r="B15" s="17" t="s">
        <v>31</v>
      </c>
      <c r="C15" s="17" t="s">
        <v>31</v>
      </c>
      <c r="D15" s="18" t="s">
        <v>69</v>
      </c>
      <c r="E15" s="26">
        <v>45588</v>
      </c>
      <c r="F15" s="20"/>
      <c r="G15" s="18" t="s">
        <v>19</v>
      </c>
      <c r="H15" s="28">
        <v>18.510000000000002</v>
      </c>
      <c r="I15" s="28">
        <v>7.53</v>
      </c>
      <c r="J15" s="28">
        <v>9.2100000000000009</v>
      </c>
      <c r="K15" s="74">
        <v>129.69999999999999</v>
      </c>
      <c r="L15" s="57">
        <v>2.4590000000000001</v>
      </c>
      <c r="M15" s="54"/>
      <c r="N15" s="54">
        <v>7.9000000000000001E-2</v>
      </c>
      <c r="O15" s="54">
        <v>1.645</v>
      </c>
      <c r="P15" s="54" t="s">
        <v>124</v>
      </c>
      <c r="Q15" s="54">
        <v>3.8</v>
      </c>
      <c r="R15" s="54">
        <v>9.4E-2</v>
      </c>
      <c r="S15" s="54">
        <v>9.0999999999999998E-2</v>
      </c>
      <c r="T15" s="54">
        <v>6.9145000000000003</v>
      </c>
      <c r="U15" s="54">
        <v>4.25</v>
      </c>
      <c r="V15" s="54">
        <v>-0.15</v>
      </c>
      <c r="W15" s="80">
        <v>13.131399058966799</v>
      </c>
      <c r="X15" s="80">
        <v>12.963878245020599</v>
      </c>
      <c r="Y15" s="21"/>
    </row>
    <row r="16" spans="1:25" ht="20.100000000000001" customHeight="1" x14ac:dyDescent="0.3">
      <c r="A16" s="25">
        <v>12</v>
      </c>
      <c r="B16" s="17" t="s">
        <v>31</v>
      </c>
      <c r="C16" s="17" t="s">
        <v>31</v>
      </c>
      <c r="D16" s="18" t="s">
        <v>34</v>
      </c>
      <c r="E16" s="26">
        <v>45588</v>
      </c>
      <c r="F16" s="20"/>
      <c r="G16" s="18" t="s">
        <v>19</v>
      </c>
      <c r="H16" s="28">
        <v>18.54</v>
      </c>
      <c r="I16" s="28">
        <v>7.41</v>
      </c>
      <c r="J16" s="28">
        <v>9.1</v>
      </c>
      <c r="K16" s="74">
        <v>129.19999999999999</v>
      </c>
      <c r="L16" s="57">
        <v>2.512</v>
      </c>
      <c r="M16" s="54"/>
      <c r="N16" s="54">
        <v>8.1000000000000003E-2</v>
      </c>
      <c r="O16" s="54">
        <v>1.6515</v>
      </c>
      <c r="P16" s="54" t="s">
        <v>124</v>
      </c>
      <c r="Q16" s="54">
        <v>3.9</v>
      </c>
      <c r="R16" s="54">
        <v>0.104</v>
      </c>
      <c r="S16" s="54">
        <v>0.1</v>
      </c>
      <c r="T16" s="54">
        <v>7.3150000000000004</v>
      </c>
      <c r="U16" s="54">
        <v>4.5199999999999996</v>
      </c>
      <c r="V16" s="54">
        <v>0.03</v>
      </c>
      <c r="W16" s="80">
        <v>13.296192473170199</v>
      </c>
      <c r="X16" s="80">
        <v>12.545742995491826</v>
      </c>
      <c r="Y16" s="21"/>
    </row>
    <row r="17" spans="1:25" ht="20.100000000000001" customHeight="1" x14ac:dyDescent="0.3">
      <c r="A17" s="25">
        <v>13</v>
      </c>
      <c r="B17" s="17" t="s">
        <v>31</v>
      </c>
      <c r="C17" s="17" t="s">
        <v>35</v>
      </c>
      <c r="D17" s="18" t="s">
        <v>36</v>
      </c>
      <c r="E17" s="26">
        <v>45588</v>
      </c>
      <c r="F17" s="20"/>
      <c r="G17" s="18" t="s">
        <v>37</v>
      </c>
      <c r="H17" s="28">
        <v>18.12</v>
      </c>
      <c r="I17" s="28">
        <v>7.5</v>
      </c>
      <c r="J17" s="28">
        <v>8.5500000000000007</v>
      </c>
      <c r="K17" s="74">
        <v>178.2</v>
      </c>
      <c r="L17" s="57">
        <v>3.1709999999999998</v>
      </c>
      <c r="M17" s="54"/>
      <c r="N17" s="54">
        <v>4.2000000000000003E-2</v>
      </c>
      <c r="O17" s="54">
        <v>2.2839999999999998</v>
      </c>
      <c r="P17" s="54" t="s">
        <v>124</v>
      </c>
      <c r="Q17" s="54">
        <v>3.4</v>
      </c>
      <c r="R17" s="54">
        <v>5.7000000000000002E-2</v>
      </c>
      <c r="S17" s="54">
        <v>5.2999999999999999E-2</v>
      </c>
      <c r="T17" s="54">
        <v>8.702</v>
      </c>
      <c r="U17" s="54">
        <v>6.03</v>
      </c>
      <c r="V17" s="54">
        <v>2.27</v>
      </c>
      <c r="W17" s="80">
        <v>14.416243499966001</v>
      </c>
      <c r="X17" s="80">
        <v>18.021246428732596</v>
      </c>
      <c r="Y17" s="21"/>
    </row>
    <row r="18" spans="1:25" ht="20.100000000000001" customHeight="1" x14ac:dyDescent="0.3">
      <c r="A18" s="25">
        <v>14</v>
      </c>
      <c r="B18" s="17" t="s">
        <v>31</v>
      </c>
      <c r="C18" s="17" t="s">
        <v>5</v>
      </c>
      <c r="D18" s="18" t="s">
        <v>29</v>
      </c>
      <c r="E18" s="26">
        <v>45588</v>
      </c>
      <c r="F18" s="20"/>
      <c r="G18" s="18" t="s">
        <v>37</v>
      </c>
      <c r="H18" s="28">
        <v>19.21</v>
      </c>
      <c r="I18" s="28">
        <v>7.39</v>
      </c>
      <c r="J18" s="28">
        <v>8.67</v>
      </c>
      <c r="K18" s="74">
        <v>210.6</v>
      </c>
      <c r="L18" s="57">
        <v>2.7530000000000001</v>
      </c>
      <c r="M18" s="54"/>
      <c r="N18" s="54">
        <v>0.14599999999999999</v>
      </c>
      <c r="O18" s="54">
        <v>1.7270000000000001</v>
      </c>
      <c r="P18" s="54" t="s">
        <v>124</v>
      </c>
      <c r="Q18" s="54">
        <v>4.3</v>
      </c>
      <c r="R18" s="54">
        <v>0.104</v>
      </c>
      <c r="S18" s="54">
        <v>0.10199999999999999</v>
      </c>
      <c r="T18" s="54">
        <v>23.999499999999998</v>
      </c>
      <c r="U18" s="54">
        <v>7.46</v>
      </c>
      <c r="V18" s="54">
        <v>1.76</v>
      </c>
      <c r="W18" s="80">
        <v>19.719071532803198</v>
      </c>
      <c r="X18" s="80">
        <v>10.180838082554878</v>
      </c>
      <c r="Y18" s="21"/>
    </row>
    <row r="19" spans="1:25" ht="20.100000000000001" customHeight="1" x14ac:dyDescent="0.3">
      <c r="A19" s="25">
        <v>15</v>
      </c>
      <c r="B19" s="17" t="s">
        <v>31</v>
      </c>
      <c r="C19" s="17" t="s">
        <v>35</v>
      </c>
      <c r="D19" s="18" t="s">
        <v>29</v>
      </c>
      <c r="E19" s="26">
        <v>45588</v>
      </c>
      <c r="F19" s="20"/>
      <c r="G19" s="18" t="s">
        <v>37</v>
      </c>
      <c r="H19" s="28">
        <v>17.829999999999998</v>
      </c>
      <c r="I19" s="28">
        <v>7.41</v>
      </c>
      <c r="J19" s="28">
        <v>8.3000000000000007</v>
      </c>
      <c r="K19" s="74">
        <v>163.6</v>
      </c>
      <c r="L19" s="57">
        <v>3.0859999999999999</v>
      </c>
      <c r="M19" s="54"/>
      <c r="N19" s="54">
        <v>4.7E-2</v>
      </c>
      <c r="O19" s="54">
        <v>2.1865000000000001</v>
      </c>
      <c r="P19" s="54" t="s">
        <v>124</v>
      </c>
      <c r="Q19" s="54">
        <v>3.7</v>
      </c>
      <c r="R19" s="54">
        <v>8.4000000000000005E-2</v>
      </c>
      <c r="S19" s="54">
        <v>8.2000000000000003E-2</v>
      </c>
      <c r="T19" s="54">
        <v>8.6959999999999997</v>
      </c>
      <c r="U19" s="55">
        <v>6.17</v>
      </c>
      <c r="V19" s="55">
        <v>3.08</v>
      </c>
      <c r="W19" s="82">
        <v>14.7076795328604</v>
      </c>
      <c r="X19" s="82">
        <v>17.150613858736342</v>
      </c>
      <c r="Y19" s="21"/>
    </row>
    <row r="20" spans="1:25" ht="20.100000000000001" customHeight="1" x14ac:dyDescent="0.3">
      <c r="A20" s="41">
        <v>16</v>
      </c>
      <c r="B20" s="42" t="s">
        <v>38</v>
      </c>
      <c r="C20" s="42" t="s">
        <v>38</v>
      </c>
      <c r="D20" s="43" t="s">
        <v>39</v>
      </c>
      <c r="E20" s="44">
        <v>45588</v>
      </c>
      <c r="F20" s="45"/>
      <c r="G20" s="43" t="s">
        <v>37</v>
      </c>
      <c r="H20" s="72">
        <v>18.39</v>
      </c>
      <c r="I20" s="72">
        <v>7.21</v>
      </c>
      <c r="J20" s="72">
        <v>9.02</v>
      </c>
      <c r="K20" s="73">
        <v>190.6</v>
      </c>
      <c r="L20" s="59">
        <v>1.8859999999999999</v>
      </c>
      <c r="M20" s="60"/>
      <c r="N20" s="60">
        <v>0.13500000000000001</v>
      </c>
      <c r="O20" s="61">
        <v>1.0305</v>
      </c>
      <c r="P20" s="61" t="s">
        <v>124</v>
      </c>
      <c r="Q20" s="61">
        <v>5.6</v>
      </c>
      <c r="R20" s="61">
        <v>9.7000000000000003E-2</v>
      </c>
      <c r="S20" s="61">
        <v>8.5999999999999993E-2</v>
      </c>
      <c r="T20" s="61">
        <v>10.555499999999999</v>
      </c>
      <c r="U20" s="61">
        <v>7.54</v>
      </c>
      <c r="V20" s="61">
        <v>2.2400000000000002</v>
      </c>
      <c r="W20" s="81">
        <v>20.4383980390277</v>
      </c>
      <c r="X20" s="81">
        <v>11.234785168073468</v>
      </c>
      <c r="Y20" s="48"/>
    </row>
    <row r="21" spans="1:25" ht="20.100000000000001" customHeight="1" x14ac:dyDescent="0.3">
      <c r="A21" s="41">
        <v>17</v>
      </c>
      <c r="B21" s="42" t="s">
        <v>38</v>
      </c>
      <c r="C21" s="42" t="s">
        <v>38</v>
      </c>
      <c r="D21" s="43" t="s">
        <v>41</v>
      </c>
      <c r="E21" s="44">
        <v>45588</v>
      </c>
      <c r="F21" s="45"/>
      <c r="G21" s="43" t="s">
        <v>37</v>
      </c>
      <c r="H21" s="72">
        <v>19.93</v>
      </c>
      <c r="I21" s="72">
        <v>7.7</v>
      </c>
      <c r="J21" s="72">
        <v>255.4</v>
      </c>
      <c r="K21" s="73">
        <v>9.01</v>
      </c>
      <c r="L21" s="59">
        <v>2.83</v>
      </c>
      <c r="M21" s="60"/>
      <c r="N21" s="60">
        <v>0.10100000000000001</v>
      </c>
      <c r="O21" s="60">
        <v>1.7450000000000001</v>
      </c>
      <c r="P21" s="60" t="s">
        <v>124</v>
      </c>
      <c r="Q21" s="60">
        <v>5.3</v>
      </c>
      <c r="R21" s="60">
        <v>0.105</v>
      </c>
      <c r="S21" s="60">
        <v>9.6000000000000002E-2</v>
      </c>
      <c r="T21" s="60">
        <v>22.067</v>
      </c>
      <c r="U21" s="60">
        <v>9.83</v>
      </c>
      <c r="V21" s="60">
        <v>3.15</v>
      </c>
      <c r="W21" s="80">
        <v>24.9304068138484</v>
      </c>
      <c r="X21" s="80">
        <v>10.542530191905319</v>
      </c>
      <c r="Y21" s="48"/>
    </row>
    <row r="22" spans="1:25" ht="20.100000000000001" customHeight="1" x14ac:dyDescent="0.3">
      <c r="A22" s="41">
        <v>18</v>
      </c>
      <c r="B22" s="42" t="s">
        <v>38</v>
      </c>
      <c r="C22" s="42" t="s">
        <v>38</v>
      </c>
      <c r="D22" s="43" t="s">
        <v>42</v>
      </c>
      <c r="E22" s="44">
        <v>45588</v>
      </c>
      <c r="F22" s="45"/>
      <c r="G22" s="43" t="s">
        <v>37</v>
      </c>
      <c r="H22" s="72">
        <v>18.97</v>
      </c>
      <c r="I22" s="72">
        <v>7.69</v>
      </c>
      <c r="J22" s="72">
        <v>8.99</v>
      </c>
      <c r="K22" s="73">
        <v>234.7</v>
      </c>
      <c r="L22" s="59">
        <v>2.6110000000000002</v>
      </c>
      <c r="M22" s="60"/>
      <c r="N22" s="60">
        <v>0.106</v>
      </c>
      <c r="O22" s="60">
        <v>1.5609999999999999</v>
      </c>
      <c r="P22" s="60" t="s">
        <v>124</v>
      </c>
      <c r="Q22" s="60">
        <v>5.7</v>
      </c>
      <c r="R22" s="60">
        <v>0.13700000000000001</v>
      </c>
      <c r="S22" s="60">
        <v>0.129</v>
      </c>
      <c r="T22" s="60">
        <v>20.6435</v>
      </c>
      <c r="U22" s="60">
        <v>9.56</v>
      </c>
      <c r="V22" s="60">
        <v>3.01</v>
      </c>
      <c r="W22" s="80">
        <v>25.022152480684799</v>
      </c>
      <c r="X22" s="80">
        <v>10.068759635196821</v>
      </c>
      <c r="Y22" s="48"/>
    </row>
    <row r="23" spans="1:25" ht="20.100000000000001" customHeight="1" x14ac:dyDescent="0.3">
      <c r="A23" s="41">
        <v>19</v>
      </c>
      <c r="B23" s="42" t="s">
        <v>38</v>
      </c>
      <c r="C23" s="42" t="s">
        <v>43</v>
      </c>
      <c r="D23" s="43" t="s">
        <v>40</v>
      </c>
      <c r="E23" s="44">
        <v>45588</v>
      </c>
      <c r="F23" s="45"/>
      <c r="G23" s="43" t="s">
        <v>37</v>
      </c>
      <c r="H23" s="72">
        <v>20.81</v>
      </c>
      <c r="I23" s="72">
        <v>7.62</v>
      </c>
      <c r="J23" s="72">
        <v>8.7799999999999994</v>
      </c>
      <c r="K23" s="73">
        <v>320</v>
      </c>
      <c r="L23" s="59">
        <v>3.3330000000000002</v>
      </c>
      <c r="M23" s="60"/>
      <c r="N23" s="60">
        <v>6.7000000000000004E-2</v>
      </c>
      <c r="O23" s="60">
        <v>2.1850000000000001</v>
      </c>
      <c r="P23" s="60" t="s">
        <v>124</v>
      </c>
      <c r="Q23" s="60">
        <v>3.9</v>
      </c>
      <c r="R23" s="60">
        <v>5.2999999999999999E-2</v>
      </c>
      <c r="S23" s="60">
        <v>4.5999999999999999E-2</v>
      </c>
      <c r="T23" s="60">
        <v>31.6935</v>
      </c>
      <c r="U23" s="60">
        <v>11.13</v>
      </c>
      <c r="V23" s="60">
        <v>3.91</v>
      </c>
      <c r="W23" s="80">
        <v>25.077982302351799</v>
      </c>
      <c r="X23" s="80">
        <v>11.303881480634658</v>
      </c>
      <c r="Y23" s="48"/>
    </row>
    <row r="24" spans="1:25" s="7" customFormat="1" ht="19.5" customHeight="1" x14ac:dyDescent="0.3">
      <c r="A24" s="41">
        <v>20</v>
      </c>
      <c r="B24" s="42" t="s">
        <v>38</v>
      </c>
      <c r="C24" s="42" t="s">
        <v>43</v>
      </c>
      <c r="D24" s="43" t="s">
        <v>44</v>
      </c>
      <c r="E24" s="44">
        <v>45588</v>
      </c>
      <c r="F24" s="45"/>
      <c r="G24" s="43" t="s">
        <v>37</v>
      </c>
      <c r="H24" s="72">
        <v>18.41</v>
      </c>
      <c r="I24" s="72">
        <v>7.35</v>
      </c>
      <c r="J24" s="72">
        <v>9.0500000000000007</v>
      </c>
      <c r="K24" s="73">
        <v>300.7</v>
      </c>
      <c r="L24" s="59">
        <v>2.641</v>
      </c>
      <c r="M24" s="60"/>
      <c r="N24" s="60">
        <v>0.115</v>
      </c>
      <c r="O24" s="60">
        <v>1.6564999999999999</v>
      </c>
      <c r="P24" s="60" t="s">
        <v>124</v>
      </c>
      <c r="Q24" s="60">
        <v>4.3</v>
      </c>
      <c r="R24" s="60">
        <v>8.2000000000000003E-2</v>
      </c>
      <c r="S24" s="60">
        <v>7.5999999999999998E-2</v>
      </c>
      <c r="T24" s="60">
        <v>31.116499999999998</v>
      </c>
      <c r="U24" s="62">
        <v>9.23</v>
      </c>
      <c r="V24" s="62">
        <v>4.6900000000000004</v>
      </c>
      <c r="W24" s="83">
        <v>24.9451619893808</v>
      </c>
      <c r="X24" s="83">
        <v>10.464918431610126</v>
      </c>
      <c r="Y24" s="78"/>
    </row>
    <row r="25" spans="1:25" ht="20.100000000000001" customHeight="1" x14ac:dyDescent="0.3">
      <c r="A25" s="25">
        <v>21</v>
      </c>
      <c r="B25" s="17" t="s">
        <v>45</v>
      </c>
      <c r="C25" s="17" t="s">
        <v>45</v>
      </c>
      <c r="D25" s="18" t="s">
        <v>46</v>
      </c>
      <c r="E25" s="26">
        <v>45588</v>
      </c>
      <c r="F25" s="20"/>
      <c r="G25" s="18" t="s">
        <v>37</v>
      </c>
      <c r="H25" s="28">
        <v>18.399999999999999</v>
      </c>
      <c r="I25" s="28">
        <v>7.91</v>
      </c>
      <c r="J25" s="28">
        <v>8.93</v>
      </c>
      <c r="K25" s="74">
        <v>181</v>
      </c>
      <c r="L25" s="57">
        <v>2.6739999999999999</v>
      </c>
      <c r="M25" s="54"/>
      <c r="N25" s="54">
        <v>7.9000000000000001E-2</v>
      </c>
      <c r="O25" s="58">
        <v>1.871</v>
      </c>
      <c r="P25" s="58" t="s">
        <v>124</v>
      </c>
      <c r="Q25" s="58">
        <v>3.2</v>
      </c>
      <c r="R25" s="58">
        <v>2.9000000000000001E-2</v>
      </c>
      <c r="S25" s="58">
        <v>2.1000000000000001E-2</v>
      </c>
      <c r="T25" s="58">
        <v>7.4284999999999997</v>
      </c>
      <c r="U25" s="58">
        <v>3.22</v>
      </c>
      <c r="V25" s="58">
        <v>0.83</v>
      </c>
      <c r="W25" s="81">
        <v>12.410130218106501</v>
      </c>
      <c r="X25" s="81">
        <v>17.705643726059094</v>
      </c>
      <c r="Y25" s="21"/>
    </row>
    <row r="26" spans="1:25" ht="20.100000000000001" customHeight="1" x14ac:dyDescent="0.3">
      <c r="A26" s="25">
        <v>22</v>
      </c>
      <c r="B26" s="17" t="s">
        <v>45</v>
      </c>
      <c r="C26" s="17" t="s">
        <v>45</v>
      </c>
      <c r="D26" s="22" t="s">
        <v>47</v>
      </c>
      <c r="E26" s="26">
        <v>45588</v>
      </c>
      <c r="F26" s="23"/>
      <c r="G26" s="18" t="s">
        <v>37</v>
      </c>
      <c r="H26" s="28">
        <v>18.3</v>
      </c>
      <c r="I26" s="28">
        <v>7.51</v>
      </c>
      <c r="J26" s="28">
        <v>8.6</v>
      </c>
      <c r="K26" s="74">
        <v>185.4</v>
      </c>
      <c r="L26" s="57">
        <v>2.778</v>
      </c>
      <c r="M26" s="55"/>
      <c r="N26" s="55">
        <v>0.115</v>
      </c>
      <c r="O26" s="55">
        <v>1.7544999999999999</v>
      </c>
      <c r="P26" s="55" t="s">
        <v>124</v>
      </c>
      <c r="Q26" s="55">
        <v>4.9000000000000004</v>
      </c>
      <c r="R26" s="55">
        <v>0.14899999999999999</v>
      </c>
      <c r="S26" s="55">
        <v>0.14000000000000001</v>
      </c>
      <c r="T26" s="55">
        <v>9.4600000000000009</v>
      </c>
      <c r="U26" s="55">
        <v>6.15</v>
      </c>
      <c r="V26" s="55">
        <v>0.99</v>
      </c>
      <c r="W26" s="82">
        <v>19.3256304546188</v>
      </c>
      <c r="X26" s="82">
        <v>10.233065857295609</v>
      </c>
      <c r="Y26" s="24"/>
    </row>
    <row r="27" spans="1:25" ht="20.100000000000001" customHeight="1" x14ac:dyDescent="0.3">
      <c r="A27" s="25">
        <v>23</v>
      </c>
      <c r="B27" s="17" t="s">
        <v>45</v>
      </c>
      <c r="C27" s="17" t="s">
        <v>45</v>
      </c>
      <c r="D27" s="22" t="s">
        <v>29</v>
      </c>
      <c r="E27" s="26">
        <v>45588</v>
      </c>
      <c r="F27" s="23"/>
      <c r="G27" s="18" t="s">
        <v>37</v>
      </c>
      <c r="H27" s="75">
        <v>18.3</v>
      </c>
      <c r="I27" s="75">
        <v>7.37</v>
      </c>
      <c r="J27" s="75">
        <v>8.8699999999999992</v>
      </c>
      <c r="K27" s="77">
        <v>183.8</v>
      </c>
      <c r="L27" s="57">
        <v>2.66</v>
      </c>
      <c r="M27" s="55"/>
      <c r="N27" s="55">
        <v>0.113</v>
      </c>
      <c r="O27" s="54">
        <v>1.6604999999999999</v>
      </c>
      <c r="P27" s="54" t="s">
        <v>124</v>
      </c>
      <c r="Q27" s="54">
        <v>5.2</v>
      </c>
      <c r="R27" s="54">
        <v>0.155</v>
      </c>
      <c r="S27" s="54">
        <v>0.14299999999999999</v>
      </c>
      <c r="T27" s="54">
        <v>9.8264999999999993</v>
      </c>
      <c r="U27" s="55">
        <v>6.28</v>
      </c>
      <c r="V27" s="55">
        <v>0.74</v>
      </c>
      <c r="W27" s="82">
        <v>21.072021411688301</v>
      </c>
      <c r="X27" s="82">
        <v>9.538197315477948</v>
      </c>
      <c r="Y27" s="24"/>
    </row>
    <row r="28" spans="1:25" ht="20.100000000000001" customHeight="1" x14ac:dyDescent="0.3">
      <c r="A28" s="25">
        <v>24</v>
      </c>
      <c r="B28" s="17" t="s">
        <v>45</v>
      </c>
      <c r="C28" s="17" t="s">
        <v>45</v>
      </c>
      <c r="D28" s="18" t="s">
        <v>48</v>
      </c>
      <c r="E28" s="26">
        <v>45588</v>
      </c>
      <c r="F28" s="20"/>
      <c r="G28" s="18" t="s">
        <v>19</v>
      </c>
      <c r="H28" s="28">
        <v>18.399999999999999</v>
      </c>
      <c r="I28" s="28">
        <v>7.3</v>
      </c>
      <c r="J28" s="28">
        <v>8.7100000000000009</v>
      </c>
      <c r="K28" s="74">
        <v>188.2</v>
      </c>
      <c r="L28" s="57">
        <v>2.65</v>
      </c>
      <c r="M28" s="54"/>
      <c r="N28" s="54">
        <v>9.7000000000000003E-2</v>
      </c>
      <c r="O28" s="54">
        <v>1.6549999999999998</v>
      </c>
      <c r="P28" s="54" t="s">
        <v>124</v>
      </c>
      <c r="Q28" s="54">
        <v>5.2</v>
      </c>
      <c r="R28" s="54">
        <v>0.16600000000000001</v>
      </c>
      <c r="S28" s="54">
        <v>0.155</v>
      </c>
      <c r="T28" s="54">
        <v>10.079000000000001</v>
      </c>
      <c r="U28" s="54">
        <v>6.47</v>
      </c>
      <c r="V28" s="54">
        <v>0.7</v>
      </c>
      <c r="W28" s="80">
        <v>21.213029806404801</v>
      </c>
      <c r="X28" s="80">
        <v>9.3239794663101954</v>
      </c>
      <c r="Y28" s="21"/>
    </row>
    <row r="29" spans="1:25" ht="20.100000000000001" customHeight="1" x14ac:dyDescent="0.3"/>
    <row r="30" spans="1:25" ht="20.100000000000001" customHeight="1" x14ac:dyDescent="0.3"/>
    <row r="31" spans="1:25" ht="20.100000000000001" customHeight="1" x14ac:dyDescent="0.3"/>
    <row r="32" spans="1:25" ht="20.100000000000001" customHeight="1" x14ac:dyDescent="0.3"/>
    <row r="33" ht="20.100000000000001" customHeight="1" x14ac:dyDescent="0.3"/>
    <row r="34" ht="20.100000000000001" customHeight="1" x14ac:dyDescent="0.3"/>
    <row r="35" ht="20.100000000000001" customHeight="1" x14ac:dyDescent="0.3"/>
    <row r="36" ht="20.100000000000001" customHeight="1" x14ac:dyDescent="0.3"/>
    <row r="37" ht="20.100000000000001" customHeight="1" x14ac:dyDescent="0.3"/>
    <row r="38" ht="20.100000000000001" customHeight="1" x14ac:dyDescent="0.3"/>
    <row r="39" ht="20.100000000000001" customHeight="1" x14ac:dyDescent="0.3"/>
    <row r="40" ht="20.100000000000001" customHeight="1" x14ac:dyDescent="0.3"/>
    <row r="41" ht="20.100000000000001" customHeight="1" x14ac:dyDescent="0.3"/>
    <row r="42" ht="20.100000000000001" customHeight="1" x14ac:dyDescent="0.3"/>
    <row r="43" ht="20.100000000000001" customHeight="1" x14ac:dyDescent="0.3"/>
    <row r="44" ht="20.100000000000001" customHeight="1" x14ac:dyDescent="0.3"/>
    <row r="45" ht="20.100000000000001" customHeight="1" x14ac:dyDescent="0.3"/>
    <row r="46" ht="20.100000000000001" customHeight="1" x14ac:dyDescent="0.3"/>
    <row r="47" ht="20.100000000000001" customHeight="1" x14ac:dyDescent="0.3"/>
    <row r="48" ht="20.100000000000001" customHeight="1" x14ac:dyDescent="0.3"/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  <row r="291" ht="20.100000000000001" customHeight="1" x14ac:dyDescent="0.3"/>
    <row r="292" ht="20.100000000000001" customHeight="1" x14ac:dyDescent="0.3"/>
    <row r="293" ht="20.100000000000001" customHeight="1" x14ac:dyDescent="0.3"/>
    <row r="294" ht="20.100000000000001" customHeight="1" x14ac:dyDescent="0.3"/>
    <row r="295" ht="20.100000000000001" customHeight="1" x14ac:dyDescent="0.3"/>
    <row r="296" ht="20.100000000000001" customHeight="1" x14ac:dyDescent="0.3"/>
    <row r="297" ht="20.100000000000001" customHeight="1" x14ac:dyDescent="0.3"/>
    <row r="298" ht="20.100000000000001" customHeight="1" x14ac:dyDescent="0.3"/>
    <row r="299" ht="20.100000000000001" customHeight="1" x14ac:dyDescent="0.3"/>
    <row r="300" ht="20.100000000000001" customHeight="1" x14ac:dyDescent="0.3"/>
    <row r="301" ht="20.100000000000001" customHeight="1" x14ac:dyDescent="0.3"/>
    <row r="302" ht="20.100000000000001" customHeight="1" x14ac:dyDescent="0.3"/>
    <row r="303" ht="20.100000000000001" customHeight="1" x14ac:dyDescent="0.3"/>
    <row r="304" ht="20.100000000000001" customHeight="1" x14ac:dyDescent="0.3"/>
    <row r="305" ht="20.100000000000001" customHeight="1" x14ac:dyDescent="0.3"/>
    <row r="306" ht="20.100000000000001" customHeight="1" x14ac:dyDescent="0.3"/>
    <row r="307" ht="20.100000000000001" customHeight="1" x14ac:dyDescent="0.3"/>
    <row r="308" ht="20.100000000000001" customHeight="1" x14ac:dyDescent="0.3"/>
    <row r="309" ht="20.100000000000001" customHeight="1" x14ac:dyDescent="0.3"/>
    <row r="310" ht="20.100000000000001" customHeight="1" x14ac:dyDescent="0.3"/>
    <row r="311" ht="20.100000000000001" customHeight="1" x14ac:dyDescent="0.3"/>
    <row r="312" ht="20.100000000000001" customHeight="1" x14ac:dyDescent="0.3"/>
    <row r="313" ht="20.100000000000001" customHeight="1" x14ac:dyDescent="0.3"/>
    <row r="314" ht="20.100000000000001" customHeight="1" x14ac:dyDescent="0.3"/>
    <row r="315" ht="20.100000000000001" customHeight="1" x14ac:dyDescent="0.3"/>
    <row r="316" ht="20.100000000000001" customHeight="1" x14ac:dyDescent="0.3"/>
    <row r="317" ht="20.100000000000001" customHeight="1" x14ac:dyDescent="0.3"/>
    <row r="318" ht="20.100000000000001" customHeight="1" x14ac:dyDescent="0.3"/>
    <row r="319" ht="20.100000000000001" customHeight="1" x14ac:dyDescent="0.3"/>
    <row r="320" ht="20.100000000000001" customHeight="1" x14ac:dyDescent="0.3"/>
    <row r="321" ht="20.100000000000001" customHeight="1" x14ac:dyDescent="0.3"/>
    <row r="322" ht="20.100000000000001" customHeight="1" x14ac:dyDescent="0.3"/>
  </sheetData>
  <mergeCells count="9">
    <mergeCell ref="L3:T3"/>
    <mergeCell ref="Y3:Y4"/>
    <mergeCell ref="A1:K1"/>
    <mergeCell ref="A3:A4"/>
    <mergeCell ref="B3:B4"/>
    <mergeCell ref="C3:C4"/>
    <mergeCell ref="D3:D4"/>
    <mergeCell ref="E3:F3"/>
    <mergeCell ref="G3:K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18"/>
  <sheetViews>
    <sheetView tabSelected="1" topLeftCell="H1" zoomScale="80" zoomScaleNormal="80" workbookViewId="0">
      <selection activeCell="Y33" sqref="Y33"/>
    </sheetView>
  </sheetViews>
  <sheetFormatPr defaultRowHeight="16.5" x14ac:dyDescent="0.3"/>
  <cols>
    <col min="1" max="1" width="7.5" bestFit="1" customWidth="1"/>
    <col min="2" max="3" width="9.5" bestFit="1" customWidth="1"/>
    <col min="4" max="4" width="16.5" bestFit="1" customWidth="1"/>
    <col min="5" max="5" width="11.625" bestFit="1" customWidth="1"/>
    <col min="6" max="6" width="10.625" bestFit="1" customWidth="1"/>
    <col min="7" max="11" width="7.625" customWidth="1"/>
    <col min="12" max="12" width="7.625" style="8" customWidth="1"/>
    <col min="13" max="13" width="7.625" customWidth="1"/>
    <col min="14" max="15" width="7.625" style="8" customWidth="1"/>
    <col min="16" max="19" width="7.625" customWidth="1"/>
    <col min="20" max="24" width="7.625" style="8" customWidth="1"/>
    <col min="25" max="25" width="32.375" style="5" customWidth="1"/>
  </cols>
  <sheetData>
    <row r="1" spans="1:38" ht="31.5" x14ac:dyDescent="0.3">
      <c r="A1" s="125" t="s">
        <v>71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Y1" s="2"/>
    </row>
    <row r="2" spans="1:38" ht="17.25" thickBot="1" x14ac:dyDescent="0.35">
      <c r="Y2" s="3"/>
      <c r="Z2" t="s">
        <v>330</v>
      </c>
      <c r="AB2" t="s">
        <v>331</v>
      </c>
    </row>
    <row r="3" spans="1:38" ht="26.25" customHeight="1" thickBot="1" x14ac:dyDescent="0.35">
      <c r="A3" s="126" t="s">
        <v>1</v>
      </c>
      <c r="B3" s="128" t="s">
        <v>62</v>
      </c>
      <c r="C3" s="128" t="s">
        <v>63</v>
      </c>
      <c r="D3" s="126" t="s">
        <v>7</v>
      </c>
      <c r="E3" s="130" t="s">
        <v>8</v>
      </c>
      <c r="F3" s="131"/>
      <c r="G3" s="132" t="s">
        <v>9</v>
      </c>
      <c r="H3" s="132"/>
      <c r="I3" s="132"/>
      <c r="J3" s="132"/>
      <c r="K3" s="132"/>
      <c r="L3" s="123" t="s">
        <v>56</v>
      </c>
      <c r="M3" s="124"/>
      <c r="N3" s="124"/>
      <c r="O3" s="124"/>
      <c r="P3" s="124"/>
      <c r="Q3" s="124"/>
      <c r="R3" s="124"/>
      <c r="S3" s="124"/>
      <c r="T3" s="124"/>
      <c r="U3" s="9"/>
      <c r="V3" s="9"/>
      <c r="W3" s="9"/>
      <c r="X3" s="9"/>
      <c r="Y3" s="133" t="s">
        <v>10</v>
      </c>
      <c r="Z3" s="114" t="s">
        <v>329</v>
      </c>
      <c r="AE3">
        <v>1</v>
      </c>
      <c r="AG3" s="114" t="s">
        <v>328</v>
      </c>
      <c r="AL3">
        <v>100</v>
      </c>
    </row>
    <row r="4" spans="1:38" ht="33.75" customHeight="1" thickBot="1" x14ac:dyDescent="0.35">
      <c r="A4" s="127"/>
      <c r="B4" s="127"/>
      <c r="C4" s="127"/>
      <c r="D4" s="129"/>
      <c r="E4" s="1" t="s">
        <v>0</v>
      </c>
      <c r="F4" s="4" t="s">
        <v>11</v>
      </c>
      <c r="G4" s="4" t="s">
        <v>12</v>
      </c>
      <c r="H4" s="4" t="s">
        <v>13</v>
      </c>
      <c r="I4" s="4" t="s">
        <v>14</v>
      </c>
      <c r="J4" s="51" t="s">
        <v>15</v>
      </c>
      <c r="K4" s="51" t="s">
        <v>16</v>
      </c>
      <c r="L4" s="51" t="s">
        <v>6</v>
      </c>
      <c r="M4" s="51" t="s">
        <v>51</v>
      </c>
      <c r="N4" s="51" t="s">
        <v>125</v>
      </c>
      <c r="O4" s="51" t="s">
        <v>126</v>
      </c>
      <c r="P4" s="51" t="s">
        <v>127</v>
      </c>
      <c r="Q4" s="51" t="s">
        <v>53</v>
      </c>
      <c r="R4" s="51" t="s">
        <v>54</v>
      </c>
      <c r="S4" s="51" t="s">
        <v>128</v>
      </c>
      <c r="T4" s="51" t="s">
        <v>129</v>
      </c>
      <c r="U4" s="51" t="s">
        <v>130</v>
      </c>
      <c r="V4" s="4" t="s">
        <v>78</v>
      </c>
      <c r="W4" s="4" t="s">
        <v>131</v>
      </c>
      <c r="X4" s="10" t="s">
        <v>76</v>
      </c>
      <c r="Y4" s="134"/>
      <c r="Z4" s="114" t="s">
        <v>179</v>
      </c>
      <c r="AA4" s="114" t="s">
        <v>180</v>
      </c>
      <c r="AB4" s="114" t="s">
        <v>181</v>
      </c>
      <c r="AC4" s="114" t="s">
        <v>182</v>
      </c>
      <c r="AD4" s="114" t="s">
        <v>183</v>
      </c>
      <c r="AE4" s="115" t="s">
        <v>327</v>
      </c>
      <c r="AG4" s="114" t="s">
        <v>179</v>
      </c>
      <c r="AH4" s="114" t="s">
        <v>180</v>
      </c>
      <c r="AI4" s="114" t="s">
        <v>181</v>
      </c>
      <c r="AJ4" s="114" t="s">
        <v>182</v>
      </c>
      <c r="AK4" s="114" t="s">
        <v>183</v>
      </c>
      <c r="AL4" s="115" t="s">
        <v>327</v>
      </c>
    </row>
    <row r="5" spans="1:38" ht="20.100000000000001" customHeight="1" x14ac:dyDescent="0.3">
      <c r="A5" s="11">
        <v>1</v>
      </c>
      <c r="B5" s="12" t="s">
        <v>17</v>
      </c>
      <c r="C5" s="12" t="s">
        <v>17</v>
      </c>
      <c r="D5" s="13" t="s">
        <v>18</v>
      </c>
      <c r="E5" s="36">
        <v>45554</v>
      </c>
      <c r="F5" s="15"/>
      <c r="G5" s="13" t="s">
        <v>19</v>
      </c>
      <c r="H5" s="27">
        <v>29.1</v>
      </c>
      <c r="I5" s="27">
        <v>7.79</v>
      </c>
      <c r="J5" s="27">
        <v>7.41</v>
      </c>
      <c r="K5" s="76">
        <v>213</v>
      </c>
      <c r="L5" s="56"/>
      <c r="M5" s="53"/>
      <c r="N5" s="53"/>
      <c r="O5" s="53">
        <v>0.79800000000000004</v>
      </c>
      <c r="P5" s="53"/>
      <c r="Q5" s="53"/>
      <c r="R5" s="53"/>
      <c r="S5" s="53"/>
      <c r="T5" s="53">
        <v>19.614999999999998</v>
      </c>
      <c r="U5" s="53">
        <v>8.39</v>
      </c>
      <c r="V5" s="53">
        <v>-1.28</v>
      </c>
      <c r="W5" s="84">
        <v>27.662456528967201</v>
      </c>
      <c r="X5" s="84">
        <v>4.8610379223890661</v>
      </c>
      <c r="Y5" s="16"/>
      <c r="Z5" s="118">
        <v>0.46899999999999997</v>
      </c>
      <c r="AA5" s="118">
        <v>0.13</v>
      </c>
      <c r="AB5" s="118">
        <v>4.9000000000000002E-2</v>
      </c>
      <c r="AC5" s="118">
        <v>7.0000000000000001E-3</v>
      </c>
      <c r="AD5" s="118">
        <v>0.34499999999999997</v>
      </c>
      <c r="AE5" s="118">
        <f>SUM(Z5:AD5)</f>
        <v>1</v>
      </c>
      <c r="AG5" s="117">
        <v>10.83</v>
      </c>
      <c r="AH5" s="117">
        <v>0.76</v>
      </c>
      <c r="AI5" s="117">
        <v>1.47</v>
      </c>
      <c r="AJ5" s="117">
        <v>0.27</v>
      </c>
      <c r="AK5" s="117">
        <v>86.67</v>
      </c>
      <c r="AL5" s="117">
        <f>SUM(AG5:AK5)</f>
        <v>100</v>
      </c>
    </row>
    <row r="6" spans="1:38" ht="20.100000000000001" customHeight="1" x14ac:dyDescent="0.3">
      <c r="A6" s="25">
        <v>2</v>
      </c>
      <c r="B6" s="17" t="s">
        <v>17</v>
      </c>
      <c r="C6" s="17" t="s">
        <v>17</v>
      </c>
      <c r="D6" s="18" t="s">
        <v>20</v>
      </c>
      <c r="E6" s="26">
        <v>45554</v>
      </c>
      <c r="F6" s="20"/>
      <c r="G6" s="18" t="s">
        <v>19</v>
      </c>
      <c r="H6" s="28">
        <v>31.1</v>
      </c>
      <c r="I6" s="28">
        <v>8.2100000000000009</v>
      </c>
      <c r="J6" s="28">
        <v>8.58</v>
      </c>
      <c r="K6" s="74">
        <v>364</v>
      </c>
      <c r="L6" s="57"/>
      <c r="M6" s="54"/>
      <c r="N6" s="54"/>
      <c r="O6" s="54">
        <v>4.1859999999999999</v>
      </c>
      <c r="P6" s="54"/>
      <c r="Q6" s="54"/>
      <c r="R6" s="54"/>
      <c r="S6" s="54"/>
      <c r="T6" s="54">
        <v>42.957000000000001</v>
      </c>
      <c r="U6" s="54">
        <v>13.52</v>
      </c>
      <c r="V6" s="54">
        <v>-2.37</v>
      </c>
      <c r="W6" s="85">
        <v>24.7672766162591</v>
      </c>
      <c r="X6" s="85">
        <v>9.7239065437712533</v>
      </c>
      <c r="Y6" s="21"/>
      <c r="Z6" s="118">
        <v>0.54500000000000004</v>
      </c>
      <c r="AA6" s="118">
        <v>0.151</v>
      </c>
      <c r="AB6" s="118">
        <v>3.9E-2</v>
      </c>
      <c r="AC6" s="118">
        <v>7.0000000000000001E-3</v>
      </c>
      <c r="AD6" s="118">
        <v>0.25800000000000001</v>
      </c>
      <c r="AE6" s="118">
        <f t="shared" ref="AE6:AE28" si="0">SUM(Z6:AD6)</f>
        <v>1</v>
      </c>
      <c r="AG6" s="117">
        <v>31.07</v>
      </c>
      <c r="AH6" s="117">
        <v>1.37</v>
      </c>
      <c r="AI6" s="117">
        <v>1.27</v>
      </c>
      <c r="AJ6" s="117">
        <v>0.28000000000000003</v>
      </c>
      <c r="AK6" s="117">
        <v>66.010000000000005</v>
      </c>
      <c r="AL6" s="117">
        <f t="shared" ref="AL6:AL28" si="1">SUM(AG6:AK6)</f>
        <v>100</v>
      </c>
    </row>
    <row r="7" spans="1:38" ht="20.100000000000001" customHeight="1" x14ac:dyDescent="0.3">
      <c r="A7" s="25">
        <v>3</v>
      </c>
      <c r="B7" s="17" t="s">
        <v>17</v>
      </c>
      <c r="C7" s="17" t="s">
        <v>17</v>
      </c>
      <c r="D7" s="18" t="s">
        <v>21</v>
      </c>
      <c r="E7" s="26">
        <v>45554</v>
      </c>
      <c r="F7" s="20"/>
      <c r="G7" s="18" t="s">
        <v>19</v>
      </c>
      <c r="H7" s="28">
        <v>32.799999999999997</v>
      </c>
      <c r="I7" s="28">
        <v>8.0500000000000007</v>
      </c>
      <c r="J7" s="28">
        <v>8.2899999999999991</v>
      </c>
      <c r="K7" s="74">
        <v>391</v>
      </c>
      <c r="L7" s="57"/>
      <c r="M7" s="54"/>
      <c r="N7" s="54"/>
      <c r="O7" s="54">
        <v>3.1080000000000001</v>
      </c>
      <c r="P7" s="54"/>
      <c r="Q7" s="54"/>
      <c r="R7" s="54"/>
      <c r="S7" s="54"/>
      <c r="T7" s="54">
        <v>47.884</v>
      </c>
      <c r="U7" s="58">
        <v>14.02</v>
      </c>
      <c r="V7" s="58">
        <v>-3.68</v>
      </c>
      <c r="W7" s="86">
        <v>24.0792961930403</v>
      </c>
      <c r="X7" s="85">
        <v>9.7627583260568862</v>
      </c>
      <c r="Y7" s="21"/>
      <c r="Z7" s="118">
        <v>0.55300000000000005</v>
      </c>
      <c r="AA7" s="118">
        <v>0.156</v>
      </c>
      <c r="AB7" s="118">
        <v>3.6999999999999998E-2</v>
      </c>
      <c r="AC7" s="118">
        <v>6.0000000000000001E-3</v>
      </c>
      <c r="AD7" s="118">
        <v>0.248</v>
      </c>
      <c r="AE7" s="118">
        <f t="shared" si="0"/>
        <v>1</v>
      </c>
      <c r="AG7" s="117">
        <v>26.04</v>
      </c>
      <c r="AH7" s="117">
        <v>1.81</v>
      </c>
      <c r="AI7" s="117">
        <v>1.91</v>
      </c>
      <c r="AJ7" s="117">
        <v>0.31</v>
      </c>
      <c r="AK7" s="117">
        <v>69.930000000000007</v>
      </c>
      <c r="AL7" s="117">
        <f t="shared" si="1"/>
        <v>100</v>
      </c>
    </row>
    <row r="8" spans="1:38" ht="20.100000000000001" customHeight="1" x14ac:dyDescent="0.3">
      <c r="A8" s="25">
        <v>4</v>
      </c>
      <c r="B8" s="17" t="s">
        <v>17</v>
      </c>
      <c r="C8" s="17" t="s">
        <v>17</v>
      </c>
      <c r="D8" s="18" t="s">
        <v>22</v>
      </c>
      <c r="E8" s="26">
        <v>45554</v>
      </c>
      <c r="F8" s="20"/>
      <c r="G8" s="18" t="s">
        <v>19</v>
      </c>
      <c r="H8" s="28">
        <v>32.799999999999997</v>
      </c>
      <c r="I8" s="28">
        <v>8.24</v>
      </c>
      <c r="J8" s="28">
        <v>9.39</v>
      </c>
      <c r="K8" s="74">
        <v>333</v>
      </c>
      <c r="L8" s="57"/>
      <c r="M8" s="54"/>
      <c r="N8" s="54"/>
      <c r="O8" s="54">
        <v>1.391</v>
      </c>
      <c r="P8" s="54"/>
      <c r="Q8" s="54"/>
      <c r="R8" s="54"/>
      <c r="S8" s="54"/>
      <c r="T8" s="54">
        <v>38.052999999999997</v>
      </c>
      <c r="U8" s="55">
        <v>14.22</v>
      </c>
      <c r="V8" s="55">
        <v>-1.24</v>
      </c>
      <c r="W8" s="87">
        <v>21.889296347698799</v>
      </c>
      <c r="X8" s="87">
        <v>10.573961372083717</v>
      </c>
      <c r="Y8" s="21"/>
      <c r="Z8" s="118">
        <v>0.56200000000000006</v>
      </c>
      <c r="AA8" s="118">
        <v>0.16300000000000001</v>
      </c>
      <c r="AB8" s="118">
        <v>3.6999999999999998E-2</v>
      </c>
      <c r="AC8" s="118">
        <v>7.0000000000000001E-3</v>
      </c>
      <c r="AD8" s="118">
        <v>0.23100000000000001</v>
      </c>
      <c r="AE8" s="118">
        <f t="shared" si="0"/>
        <v>1.0000000000000002</v>
      </c>
      <c r="AG8" s="117">
        <v>23.27</v>
      </c>
      <c r="AH8" s="117">
        <v>1.55</v>
      </c>
      <c r="AI8" s="117">
        <v>2.25</v>
      </c>
      <c r="AJ8" s="117">
        <v>0.14000000000000001</v>
      </c>
      <c r="AK8" s="117">
        <v>72.790000000000006</v>
      </c>
      <c r="AL8" s="117">
        <f t="shared" si="1"/>
        <v>100</v>
      </c>
    </row>
    <row r="9" spans="1:38" ht="20.100000000000001" customHeight="1" x14ac:dyDescent="0.3">
      <c r="A9" s="41">
        <v>5</v>
      </c>
      <c r="B9" s="42" t="s">
        <v>23</v>
      </c>
      <c r="C9" s="42" t="s">
        <v>23</v>
      </c>
      <c r="D9" s="43" t="s">
        <v>24</v>
      </c>
      <c r="E9" s="44">
        <v>45554</v>
      </c>
      <c r="F9" s="45"/>
      <c r="G9" s="43" t="s">
        <v>19</v>
      </c>
      <c r="H9" s="72">
        <v>28.75</v>
      </c>
      <c r="I9" s="72">
        <v>6.94</v>
      </c>
      <c r="J9" s="72">
        <v>7.81</v>
      </c>
      <c r="K9" s="73">
        <v>148</v>
      </c>
      <c r="L9" s="59"/>
      <c r="M9" s="60"/>
      <c r="N9" s="60"/>
      <c r="O9" s="61">
        <v>0.77700000000000002</v>
      </c>
      <c r="P9" s="61"/>
      <c r="Q9" s="61"/>
      <c r="R9" s="61"/>
      <c r="S9" s="61"/>
      <c r="T9" s="61">
        <v>14.064</v>
      </c>
      <c r="U9" s="61">
        <v>8.1300000000000008</v>
      </c>
      <c r="V9" s="61">
        <v>2.91</v>
      </c>
      <c r="W9" s="86">
        <v>13.911002779847699</v>
      </c>
      <c r="X9" s="86">
        <v>10.855459951514934</v>
      </c>
      <c r="Y9" s="48"/>
      <c r="Z9" s="118">
        <v>0.41599999999999998</v>
      </c>
      <c r="AA9" s="118">
        <v>0.129</v>
      </c>
      <c r="AB9" s="118">
        <v>7.0000000000000007E-2</v>
      </c>
      <c r="AC9" s="118">
        <v>0.01</v>
      </c>
      <c r="AD9" s="118">
        <v>0.375</v>
      </c>
      <c r="AE9" s="118">
        <f t="shared" si="0"/>
        <v>1</v>
      </c>
      <c r="AG9" s="117">
        <v>41.5</v>
      </c>
      <c r="AH9" s="117">
        <v>2.2599999999999998</v>
      </c>
      <c r="AI9" s="117">
        <v>1.78</v>
      </c>
      <c r="AJ9" s="117">
        <v>0.33</v>
      </c>
      <c r="AK9" s="117">
        <v>54.13</v>
      </c>
      <c r="AL9" s="117">
        <f t="shared" si="1"/>
        <v>100</v>
      </c>
    </row>
    <row r="10" spans="1:38" ht="20.100000000000001" customHeight="1" x14ac:dyDescent="0.3">
      <c r="A10" s="41">
        <v>6</v>
      </c>
      <c r="B10" s="42" t="s">
        <v>23</v>
      </c>
      <c r="C10" s="42" t="s">
        <v>23</v>
      </c>
      <c r="D10" s="43" t="s">
        <v>25</v>
      </c>
      <c r="E10" s="44">
        <v>45554</v>
      </c>
      <c r="F10" s="45"/>
      <c r="G10" s="43" t="s">
        <v>19</v>
      </c>
      <c r="H10" s="72">
        <v>28.65</v>
      </c>
      <c r="I10" s="72">
        <v>6.75</v>
      </c>
      <c r="J10" s="72">
        <v>8.06</v>
      </c>
      <c r="K10" s="73">
        <v>177</v>
      </c>
      <c r="L10" s="59"/>
      <c r="M10" s="60"/>
      <c r="N10" s="60"/>
      <c r="O10" s="60">
        <v>1.403</v>
      </c>
      <c r="P10" s="60"/>
      <c r="Q10" s="60"/>
      <c r="R10" s="60"/>
      <c r="S10" s="60"/>
      <c r="T10" s="60">
        <v>23.036000000000001</v>
      </c>
      <c r="U10" s="60">
        <v>9.49</v>
      </c>
      <c r="V10" s="60">
        <v>2.95</v>
      </c>
      <c r="W10" s="85">
        <v>22.975329252380899</v>
      </c>
      <c r="X10" s="85">
        <v>9.6362096420400398</v>
      </c>
      <c r="Y10" s="48"/>
      <c r="Z10" s="118">
        <v>0.44</v>
      </c>
      <c r="AA10" s="118">
        <v>0.14399999999999999</v>
      </c>
      <c r="AB10" s="118">
        <v>6.3E-2</v>
      </c>
      <c r="AC10" s="118">
        <v>8.9999999999999993E-3</v>
      </c>
      <c r="AD10" s="118">
        <v>0.34399999999999997</v>
      </c>
      <c r="AE10" s="118">
        <f t="shared" si="0"/>
        <v>1</v>
      </c>
      <c r="AG10" s="117">
        <v>48.5</v>
      </c>
      <c r="AH10" s="117">
        <v>4.58</v>
      </c>
      <c r="AI10" s="117">
        <v>1.52</v>
      </c>
      <c r="AJ10" s="117">
        <v>0.33</v>
      </c>
      <c r="AK10" s="117">
        <v>45.07</v>
      </c>
      <c r="AL10" s="117">
        <f t="shared" si="1"/>
        <v>100</v>
      </c>
    </row>
    <row r="11" spans="1:38" ht="20.100000000000001" customHeight="1" x14ac:dyDescent="0.3">
      <c r="A11" s="41">
        <v>7</v>
      </c>
      <c r="B11" s="42" t="s">
        <v>23</v>
      </c>
      <c r="C11" s="42" t="s">
        <v>23</v>
      </c>
      <c r="D11" s="43" t="s">
        <v>26</v>
      </c>
      <c r="E11" s="44">
        <v>45554</v>
      </c>
      <c r="F11" s="45"/>
      <c r="G11" s="43" t="s">
        <v>19</v>
      </c>
      <c r="H11" s="72">
        <v>28.68</v>
      </c>
      <c r="I11" s="72">
        <v>6.78</v>
      </c>
      <c r="J11" s="72">
        <v>7.37</v>
      </c>
      <c r="K11" s="73">
        <v>188</v>
      </c>
      <c r="L11" s="59"/>
      <c r="M11" s="60"/>
      <c r="N11" s="60"/>
      <c r="O11" s="60">
        <v>1.7809999999999999</v>
      </c>
      <c r="P11" s="60"/>
      <c r="Q11" s="60"/>
      <c r="R11" s="60"/>
      <c r="S11" s="60"/>
      <c r="T11" s="60">
        <v>23.76</v>
      </c>
      <c r="U11" s="60">
        <v>7.61</v>
      </c>
      <c r="V11" s="60">
        <v>-0.36</v>
      </c>
      <c r="W11" s="85">
        <v>24.174021086351001</v>
      </c>
      <c r="X11" s="85">
        <v>9.6380549193237357</v>
      </c>
      <c r="Y11" s="48"/>
      <c r="Z11" s="119">
        <v>0.39700000000000002</v>
      </c>
      <c r="AA11" s="119">
        <v>0.11600000000000001</v>
      </c>
      <c r="AB11" s="119">
        <v>6.3E-2</v>
      </c>
      <c r="AC11" s="119">
        <v>8.0000000000000002E-3</v>
      </c>
      <c r="AD11" s="119">
        <v>0.41599999999999998</v>
      </c>
      <c r="AE11" s="119">
        <f t="shared" si="0"/>
        <v>1</v>
      </c>
      <c r="AF11" s="114"/>
      <c r="AG11" s="120">
        <v>16.38</v>
      </c>
      <c r="AH11" s="120">
        <v>1.82</v>
      </c>
      <c r="AI11" s="120">
        <v>0.97</v>
      </c>
      <c r="AJ11" s="120">
        <v>0.18</v>
      </c>
      <c r="AK11" s="120">
        <v>80.650000000000006</v>
      </c>
      <c r="AL11" s="120">
        <f t="shared" si="1"/>
        <v>100</v>
      </c>
    </row>
    <row r="12" spans="1:38" ht="20.100000000000001" customHeight="1" x14ac:dyDescent="0.3">
      <c r="A12" s="41">
        <v>8</v>
      </c>
      <c r="B12" s="42" t="s">
        <v>23</v>
      </c>
      <c r="C12" s="42" t="s">
        <v>27</v>
      </c>
      <c r="D12" s="43" t="s">
        <v>68</v>
      </c>
      <c r="E12" s="44">
        <v>45554</v>
      </c>
      <c r="F12" s="45"/>
      <c r="G12" s="43" t="s">
        <v>19</v>
      </c>
      <c r="H12" s="72">
        <v>24.29</v>
      </c>
      <c r="I12" s="72">
        <v>6.51</v>
      </c>
      <c r="J12" s="72">
        <v>6.25</v>
      </c>
      <c r="K12" s="73">
        <v>345</v>
      </c>
      <c r="L12" s="59"/>
      <c r="M12" s="60"/>
      <c r="N12" s="60"/>
      <c r="O12" s="60">
        <v>0.33900000000000002</v>
      </c>
      <c r="P12" s="60"/>
      <c r="Q12" s="60"/>
      <c r="R12" s="60"/>
      <c r="S12" s="60"/>
      <c r="T12" s="60">
        <v>36.484000000000002</v>
      </c>
      <c r="U12" s="60">
        <v>-0.56999999999999995</v>
      </c>
      <c r="V12" s="60">
        <v>-1.45</v>
      </c>
      <c r="W12" s="85">
        <v>43.650194090885002</v>
      </c>
      <c r="X12" s="85">
        <v>10.378581309505863</v>
      </c>
      <c r="Y12" s="48"/>
      <c r="Z12" s="119">
        <v>0.221</v>
      </c>
      <c r="AA12" s="119">
        <v>5.7000000000000002E-2</v>
      </c>
      <c r="AB12" s="119">
        <v>5.5E-2</v>
      </c>
      <c r="AC12" s="119">
        <v>7.0000000000000001E-3</v>
      </c>
      <c r="AD12" s="119">
        <v>0.66</v>
      </c>
      <c r="AE12" s="119">
        <f t="shared" si="0"/>
        <v>1</v>
      </c>
      <c r="AF12" s="114"/>
      <c r="AG12" s="120">
        <v>0.97</v>
      </c>
      <c r="AH12" s="120">
        <v>1.1399999999999999</v>
      </c>
      <c r="AI12" s="120">
        <v>49.86</v>
      </c>
      <c r="AJ12" s="120">
        <v>0.27</v>
      </c>
      <c r="AK12" s="120">
        <v>47.76</v>
      </c>
      <c r="AL12" s="120">
        <f t="shared" si="1"/>
        <v>100</v>
      </c>
    </row>
    <row r="13" spans="1:38" ht="20.100000000000001" customHeight="1" x14ac:dyDescent="0.3">
      <c r="A13" s="41">
        <v>9</v>
      </c>
      <c r="B13" s="42" t="s">
        <v>23</v>
      </c>
      <c r="C13" s="42" t="s">
        <v>27</v>
      </c>
      <c r="D13" s="43" t="s">
        <v>30</v>
      </c>
      <c r="E13" s="44">
        <v>45554</v>
      </c>
      <c r="F13" s="45"/>
      <c r="G13" s="43" t="s">
        <v>19</v>
      </c>
      <c r="H13" s="72">
        <v>28.04</v>
      </c>
      <c r="I13" s="72">
        <v>6.77</v>
      </c>
      <c r="J13" s="72">
        <v>6.7</v>
      </c>
      <c r="K13" s="73">
        <v>235</v>
      </c>
      <c r="L13" s="59"/>
      <c r="M13" s="60"/>
      <c r="N13" s="60"/>
      <c r="O13" s="60">
        <v>2.4089999999999998</v>
      </c>
      <c r="P13" s="60"/>
      <c r="Q13" s="60"/>
      <c r="R13" s="60"/>
      <c r="S13" s="60"/>
      <c r="T13" s="60">
        <v>28.713999999999999</v>
      </c>
      <c r="U13" s="62">
        <v>3.82</v>
      </c>
      <c r="V13" s="62">
        <v>-1.38</v>
      </c>
      <c r="W13" s="87">
        <v>33.637222309601903</v>
      </c>
      <c r="X13" s="87">
        <v>9.7771056395464235</v>
      </c>
      <c r="Y13" s="48"/>
      <c r="Z13" s="118">
        <v>0.29699999999999999</v>
      </c>
      <c r="AA13" s="118">
        <v>8.5999999999999993E-2</v>
      </c>
      <c r="AB13" s="118">
        <v>7.4999999999999997E-2</v>
      </c>
      <c r="AC13" s="118">
        <v>8.0000000000000002E-3</v>
      </c>
      <c r="AD13" s="118">
        <v>0.53400000000000003</v>
      </c>
      <c r="AE13" s="118">
        <f t="shared" si="0"/>
        <v>1</v>
      </c>
      <c r="AG13" s="117">
        <v>27.17</v>
      </c>
      <c r="AH13" s="117">
        <v>1.87</v>
      </c>
      <c r="AI13" s="117">
        <v>1.35</v>
      </c>
      <c r="AJ13" s="117">
        <v>0.13</v>
      </c>
      <c r="AK13" s="117">
        <v>69.48</v>
      </c>
      <c r="AL13" s="117">
        <f t="shared" si="1"/>
        <v>100</v>
      </c>
    </row>
    <row r="14" spans="1:38" ht="20.100000000000001" customHeight="1" x14ac:dyDescent="0.3">
      <c r="A14" s="25">
        <v>10</v>
      </c>
      <c r="B14" s="17" t="s">
        <v>31</v>
      </c>
      <c r="C14" s="17" t="s">
        <v>31</v>
      </c>
      <c r="D14" s="18" t="s">
        <v>32</v>
      </c>
      <c r="E14" s="26">
        <v>45554</v>
      </c>
      <c r="F14" s="20"/>
      <c r="G14" s="18" t="s">
        <v>19</v>
      </c>
      <c r="H14" s="28">
        <v>30.78</v>
      </c>
      <c r="I14" s="28">
        <v>6.84</v>
      </c>
      <c r="J14" s="28">
        <v>8.3000000000000007</v>
      </c>
      <c r="K14" s="74">
        <v>240.6</v>
      </c>
      <c r="L14" s="57"/>
      <c r="M14" s="54"/>
      <c r="N14" s="54"/>
      <c r="O14" s="58">
        <v>1.2070000000000001</v>
      </c>
      <c r="P14" s="58"/>
      <c r="Q14" s="58"/>
      <c r="R14" s="58"/>
      <c r="S14" s="58"/>
      <c r="T14" s="58">
        <v>13.584</v>
      </c>
      <c r="U14" s="58">
        <v>9.73</v>
      </c>
      <c r="V14" s="58">
        <v>5</v>
      </c>
      <c r="W14" s="86">
        <v>22.345902492668699</v>
      </c>
      <c r="X14" s="86">
        <v>10.675003707627972</v>
      </c>
      <c r="Y14" s="21"/>
      <c r="Z14" s="118">
        <v>0.439</v>
      </c>
      <c r="AA14" s="118">
        <v>0.16</v>
      </c>
      <c r="AB14" s="118">
        <v>6.8000000000000005E-2</v>
      </c>
      <c r="AC14" s="118">
        <v>1.0999999999999999E-2</v>
      </c>
      <c r="AD14" s="118">
        <v>0.32200000000000001</v>
      </c>
      <c r="AE14" s="118">
        <f t="shared" si="0"/>
        <v>1</v>
      </c>
      <c r="AG14" s="117">
        <v>30.91</v>
      </c>
      <c r="AH14" s="117">
        <v>25.1</v>
      </c>
      <c r="AI14" s="117">
        <v>10.130000000000001</v>
      </c>
      <c r="AJ14" s="117">
        <v>1.24</v>
      </c>
      <c r="AK14" s="117">
        <v>32.619999999999997</v>
      </c>
      <c r="AL14" s="117">
        <f t="shared" si="1"/>
        <v>100</v>
      </c>
    </row>
    <row r="15" spans="1:38" ht="20.100000000000001" customHeight="1" x14ac:dyDescent="0.3">
      <c r="A15" s="25">
        <v>11</v>
      </c>
      <c r="B15" s="17" t="s">
        <v>31</v>
      </c>
      <c r="C15" s="17" t="s">
        <v>31</v>
      </c>
      <c r="D15" s="18" t="s">
        <v>69</v>
      </c>
      <c r="E15" s="26">
        <v>45554</v>
      </c>
      <c r="F15" s="20"/>
      <c r="G15" s="18" t="s">
        <v>19</v>
      </c>
      <c r="H15" s="28">
        <v>30.3</v>
      </c>
      <c r="I15" s="28">
        <v>6.96</v>
      </c>
      <c r="J15" s="28">
        <v>6.97</v>
      </c>
      <c r="K15" s="74">
        <v>241.5</v>
      </c>
      <c r="L15" s="57"/>
      <c r="M15" s="54"/>
      <c r="N15" s="54"/>
      <c r="O15" s="54">
        <v>0.82899999999999996</v>
      </c>
      <c r="P15" s="54"/>
      <c r="Q15" s="54"/>
      <c r="R15" s="54"/>
      <c r="S15" s="54"/>
      <c r="T15" s="54">
        <v>13.785</v>
      </c>
      <c r="U15" s="54">
        <v>10.98</v>
      </c>
      <c r="V15" s="54">
        <v>4.84</v>
      </c>
      <c r="W15" s="85">
        <v>22.933259168901401</v>
      </c>
      <c r="X15" s="85">
        <v>11.747042629575766</v>
      </c>
      <c r="Y15" s="21"/>
      <c r="Z15" s="118">
        <v>0.47299999999999998</v>
      </c>
      <c r="AA15" s="118">
        <v>0.16600000000000001</v>
      </c>
      <c r="AB15" s="118">
        <v>5.8000000000000003E-2</v>
      </c>
      <c r="AC15" s="118">
        <v>0.01</v>
      </c>
      <c r="AD15" s="118">
        <v>0.29299999999999998</v>
      </c>
      <c r="AE15" s="118">
        <f t="shared" si="0"/>
        <v>1</v>
      </c>
      <c r="AG15" s="117">
        <v>36.58</v>
      </c>
      <c r="AH15" s="117">
        <v>28.04</v>
      </c>
      <c r="AI15" s="117">
        <v>5.93</v>
      </c>
      <c r="AJ15" s="117">
        <v>1.1599999999999999</v>
      </c>
      <c r="AK15" s="117">
        <v>28.29</v>
      </c>
      <c r="AL15" s="117">
        <f t="shared" si="1"/>
        <v>100</v>
      </c>
    </row>
    <row r="16" spans="1:38" ht="20.100000000000001" customHeight="1" x14ac:dyDescent="0.3">
      <c r="A16" s="25">
        <v>12</v>
      </c>
      <c r="B16" s="17" t="s">
        <v>31</v>
      </c>
      <c r="C16" s="17" t="s">
        <v>31</v>
      </c>
      <c r="D16" s="18" t="s">
        <v>34</v>
      </c>
      <c r="E16" s="26">
        <v>45554</v>
      </c>
      <c r="F16" s="20"/>
      <c r="G16" s="18" t="s">
        <v>19</v>
      </c>
      <c r="H16" s="28">
        <v>32.1</v>
      </c>
      <c r="I16" s="28">
        <v>7.73</v>
      </c>
      <c r="J16" s="28">
        <v>10.67</v>
      </c>
      <c r="K16" s="74">
        <v>250</v>
      </c>
      <c r="L16" s="57"/>
      <c r="M16" s="54"/>
      <c r="N16" s="54"/>
      <c r="O16" s="54">
        <v>1.43</v>
      </c>
      <c r="P16" s="54"/>
      <c r="Q16" s="54"/>
      <c r="R16" s="54"/>
      <c r="S16" s="54"/>
      <c r="T16" s="54">
        <v>15.304</v>
      </c>
      <c r="U16" s="54">
        <v>11.17</v>
      </c>
      <c r="V16" s="54">
        <v>3.23</v>
      </c>
      <c r="W16" s="85">
        <v>23.326753447322499</v>
      </c>
      <c r="X16" s="85">
        <v>12.827652694409942</v>
      </c>
      <c r="Y16" s="21"/>
      <c r="Z16" s="119">
        <v>0.48</v>
      </c>
      <c r="AA16" s="119">
        <v>0.16</v>
      </c>
      <c r="AB16" s="119">
        <v>5.6000000000000001E-2</v>
      </c>
      <c r="AC16" s="119">
        <v>8.9999999999999993E-3</v>
      </c>
      <c r="AD16" s="119">
        <v>0.29499999999999998</v>
      </c>
      <c r="AE16" s="119">
        <f t="shared" si="0"/>
        <v>1</v>
      </c>
      <c r="AF16" s="114"/>
      <c r="AG16" s="120">
        <v>67.349999999999994</v>
      </c>
      <c r="AH16" s="120">
        <v>2.85</v>
      </c>
      <c r="AI16" s="120">
        <v>2.62</v>
      </c>
      <c r="AJ16" s="120">
        <v>0.61</v>
      </c>
      <c r="AK16" s="120">
        <v>26.57</v>
      </c>
      <c r="AL16" s="120">
        <f t="shared" si="1"/>
        <v>100</v>
      </c>
    </row>
    <row r="17" spans="1:38" ht="20.100000000000001" customHeight="1" x14ac:dyDescent="0.3">
      <c r="A17" s="25">
        <v>13</v>
      </c>
      <c r="B17" s="17" t="s">
        <v>31</v>
      </c>
      <c r="C17" s="17" t="s">
        <v>35</v>
      </c>
      <c r="D17" s="18" t="s">
        <v>36</v>
      </c>
      <c r="E17" s="26">
        <v>45554</v>
      </c>
      <c r="F17" s="20"/>
      <c r="G17" s="18" t="s">
        <v>37</v>
      </c>
      <c r="H17" s="28">
        <v>30.1</v>
      </c>
      <c r="I17" s="28">
        <v>7.69</v>
      </c>
      <c r="J17" s="28">
        <v>6.12</v>
      </c>
      <c r="K17" s="74">
        <v>278</v>
      </c>
      <c r="L17" s="57"/>
      <c r="M17" s="54"/>
      <c r="N17" s="54"/>
      <c r="O17" s="54">
        <v>0.92100000000000004</v>
      </c>
      <c r="P17" s="54"/>
      <c r="Q17" s="54"/>
      <c r="R17" s="54"/>
      <c r="S17" s="54"/>
      <c r="T17" s="54">
        <v>13.321999999999999</v>
      </c>
      <c r="U17" s="54">
        <v>9.98</v>
      </c>
      <c r="V17" s="54">
        <v>3.95</v>
      </c>
      <c r="W17" s="85">
        <v>21.242223856986101</v>
      </c>
      <c r="X17" s="85">
        <v>11.374547535418611</v>
      </c>
      <c r="Y17" s="21"/>
      <c r="Z17" s="118">
        <v>0.44900000000000001</v>
      </c>
      <c r="AA17" s="118">
        <v>0.153</v>
      </c>
      <c r="AB17" s="118">
        <v>6.0999999999999999E-2</v>
      </c>
      <c r="AC17" s="118">
        <v>0.01</v>
      </c>
      <c r="AD17" s="118">
        <v>0.32700000000000001</v>
      </c>
      <c r="AE17" s="118">
        <f t="shared" si="0"/>
        <v>1</v>
      </c>
      <c r="AG17" s="117">
        <v>40.24</v>
      </c>
      <c r="AH17" s="117">
        <v>17.149999999999999</v>
      </c>
      <c r="AI17" s="117">
        <v>3.29</v>
      </c>
      <c r="AJ17" s="117">
        <v>0.77</v>
      </c>
      <c r="AK17" s="117">
        <v>38.549999999999997</v>
      </c>
      <c r="AL17" s="117">
        <f t="shared" si="1"/>
        <v>100</v>
      </c>
    </row>
    <row r="18" spans="1:38" ht="20.100000000000001" customHeight="1" x14ac:dyDescent="0.3">
      <c r="A18" s="25">
        <v>14</v>
      </c>
      <c r="B18" s="17" t="s">
        <v>31</v>
      </c>
      <c r="C18" s="17" t="s">
        <v>5</v>
      </c>
      <c r="D18" s="18" t="s">
        <v>29</v>
      </c>
      <c r="E18" s="26">
        <v>45554</v>
      </c>
      <c r="F18" s="20"/>
      <c r="G18" s="18" t="s">
        <v>37</v>
      </c>
      <c r="H18" s="28">
        <v>32.4</v>
      </c>
      <c r="I18" s="28">
        <v>7.93</v>
      </c>
      <c r="J18" s="28">
        <v>9.24</v>
      </c>
      <c r="K18" s="74">
        <v>324</v>
      </c>
      <c r="L18" s="57"/>
      <c r="M18" s="54"/>
      <c r="N18" s="54"/>
      <c r="O18" s="54">
        <v>0.71399999999999997</v>
      </c>
      <c r="P18" s="54"/>
      <c r="Q18" s="54"/>
      <c r="R18" s="54"/>
      <c r="S18" s="54"/>
      <c r="T18" s="54">
        <v>30.302</v>
      </c>
      <c r="U18" s="54">
        <v>10.94</v>
      </c>
      <c r="V18" s="54">
        <v>4.0599999999999996</v>
      </c>
      <c r="W18" s="85">
        <v>24.192532410911401</v>
      </c>
      <c r="X18" s="85">
        <v>10.734604160738293</v>
      </c>
      <c r="Y18" s="21"/>
      <c r="Z18" s="118">
        <v>0.47199999999999998</v>
      </c>
      <c r="AA18" s="118">
        <v>0.16</v>
      </c>
      <c r="AB18" s="118">
        <v>5.7000000000000002E-2</v>
      </c>
      <c r="AC18" s="118">
        <v>0.01</v>
      </c>
      <c r="AD18" s="118">
        <v>0.30099999999999999</v>
      </c>
      <c r="AE18" s="118">
        <f t="shared" si="0"/>
        <v>1</v>
      </c>
      <c r="AG18" s="117">
        <v>46.71</v>
      </c>
      <c r="AH18" s="117">
        <v>18.78</v>
      </c>
      <c r="AI18" s="117">
        <v>3.4</v>
      </c>
      <c r="AJ18" s="117">
        <v>0.62</v>
      </c>
      <c r="AK18" s="117">
        <v>30.49</v>
      </c>
      <c r="AL18" s="117">
        <f t="shared" si="1"/>
        <v>100.00000000000001</v>
      </c>
    </row>
    <row r="19" spans="1:38" ht="20.100000000000001" customHeight="1" x14ac:dyDescent="0.3">
      <c r="A19" s="25">
        <v>15</v>
      </c>
      <c r="B19" s="17" t="s">
        <v>31</v>
      </c>
      <c r="C19" s="17" t="s">
        <v>35</v>
      </c>
      <c r="D19" s="18" t="s">
        <v>29</v>
      </c>
      <c r="E19" s="26">
        <v>45554</v>
      </c>
      <c r="F19" s="20"/>
      <c r="G19" s="18" t="s">
        <v>37</v>
      </c>
      <c r="H19" s="28">
        <v>30.2</v>
      </c>
      <c r="I19" s="28">
        <v>7.45</v>
      </c>
      <c r="J19" s="28">
        <v>5.91</v>
      </c>
      <c r="K19" s="74">
        <v>267</v>
      </c>
      <c r="L19" s="57"/>
      <c r="M19" s="54"/>
      <c r="N19" s="54"/>
      <c r="O19" s="54">
        <v>0.82</v>
      </c>
      <c r="P19" s="54"/>
      <c r="Q19" s="54"/>
      <c r="R19" s="54"/>
      <c r="S19" s="54"/>
      <c r="T19" s="54">
        <v>13.989000000000001</v>
      </c>
      <c r="U19" s="54">
        <v>11.33</v>
      </c>
      <c r="V19" s="54">
        <v>4.95</v>
      </c>
      <c r="W19" s="87">
        <v>21.552344605112602</v>
      </c>
      <c r="X19" s="87">
        <v>11.346246662814474</v>
      </c>
      <c r="Y19" s="21"/>
      <c r="Z19" s="118">
        <v>0.48199999999999998</v>
      </c>
      <c r="AA19" s="118">
        <v>0.16400000000000001</v>
      </c>
      <c r="AB19" s="118">
        <v>5.8000000000000003E-2</v>
      </c>
      <c r="AC19" s="118">
        <v>0.01</v>
      </c>
      <c r="AD19" s="118">
        <v>0.28599999999999998</v>
      </c>
      <c r="AE19" s="118">
        <f t="shared" si="0"/>
        <v>1</v>
      </c>
      <c r="AG19" s="117">
        <v>38.729999999999997</v>
      </c>
      <c r="AH19" s="117">
        <v>28.45</v>
      </c>
      <c r="AI19" s="117">
        <v>6.68</v>
      </c>
      <c r="AJ19" s="117">
        <v>1.22</v>
      </c>
      <c r="AK19" s="117">
        <v>24.92</v>
      </c>
      <c r="AL19" s="117">
        <f t="shared" si="1"/>
        <v>99.999999999999986</v>
      </c>
    </row>
    <row r="20" spans="1:38" ht="20.100000000000001" customHeight="1" x14ac:dyDescent="0.3">
      <c r="A20" s="41">
        <v>16</v>
      </c>
      <c r="B20" s="42" t="s">
        <v>38</v>
      </c>
      <c r="C20" s="42" t="s">
        <v>38</v>
      </c>
      <c r="D20" s="43" t="s">
        <v>39</v>
      </c>
      <c r="E20" s="44">
        <v>45554</v>
      </c>
      <c r="F20" s="45"/>
      <c r="G20" s="43" t="s">
        <v>37</v>
      </c>
      <c r="H20" s="72">
        <v>29</v>
      </c>
      <c r="I20" s="72">
        <v>7.66</v>
      </c>
      <c r="J20" s="72">
        <v>6.83</v>
      </c>
      <c r="K20" s="73">
        <v>200.4</v>
      </c>
      <c r="L20" s="59"/>
      <c r="M20" s="60"/>
      <c r="N20" s="60"/>
      <c r="O20" s="61">
        <v>1.835</v>
      </c>
      <c r="P20" s="61"/>
      <c r="Q20" s="61"/>
      <c r="R20" s="61"/>
      <c r="S20" s="61"/>
      <c r="T20" s="61">
        <v>12.936</v>
      </c>
      <c r="U20" s="61">
        <v>8.52</v>
      </c>
      <c r="V20" s="61">
        <v>3.52</v>
      </c>
      <c r="W20" s="86">
        <v>13.9410216488528</v>
      </c>
      <c r="X20" s="86">
        <v>14.455444642589853</v>
      </c>
      <c r="Y20" s="48"/>
      <c r="Z20" s="118">
        <v>0.42</v>
      </c>
      <c r="AA20" s="118">
        <v>0.13500000000000001</v>
      </c>
      <c r="AB20" s="118">
        <v>6.9000000000000006E-2</v>
      </c>
      <c r="AC20" s="118">
        <v>0.01</v>
      </c>
      <c r="AD20" s="118">
        <v>0.36599999999999999</v>
      </c>
      <c r="AE20" s="118">
        <f t="shared" si="0"/>
        <v>0.99999999999999989</v>
      </c>
      <c r="AG20" s="117">
        <v>36.909999999999997</v>
      </c>
      <c r="AH20" s="117">
        <v>9.57</v>
      </c>
      <c r="AI20" s="117">
        <v>2.33</v>
      </c>
      <c r="AJ20" s="117">
        <v>0.9</v>
      </c>
      <c r="AK20" s="117">
        <v>50.29</v>
      </c>
      <c r="AL20" s="117">
        <f t="shared" si="1"/>
        <v>100</v>
      </c>
    </row>
    <row r="21" spans="1:38" ht="20.100000000000001" customHeight="1" x14ac:dyDescent="0.3">
      <c r="A21" s="41">
        <v>17</v>
      </c>
      <c r="B21" s="42" t="s">
        <v>38</v>
      </c>
      <c r="C21" s="42" t="s">
        <v>38</v>
      </c>
      <c r="D21" s="43" t="s">
        <v>41</v>
      </c>
      <c r="E21" s="44">
        <v>45554</v>
      </c>
      <c r="F21" s="45"/>
      <c r="G21" s="43" t="s">
        <v>37</v>
      </c>
      <c r="H21" s="72">
        <v>31.2</v>
      </c>
      <c r="I21" s="72">
        <v>7.78</v>
      </c>
      <c r="J21" s="72">
        <v>8.76</v>
      </c>
      <c r="K21" s="73">
        <v>242.3</v>
      </c>
      <c r="L21" s="59"/>
      <c r="M21" s="60"/>
      <c r="N21" s="60"/>
      <c r="O21" s="60">
        <v>1.9239999999999999</v>
      </c>
      <c r="P21" s="60"/>
      <c r="Q21" s="60"/>
      <c r="R21" s="60"/>
      <c r="S21" s="60"/>
      <c r="T21" s="60">
        <v>21.669</v>
      </c>
      <c r="U21" s="60">
        <v>10.67</v>
      </c>
      <c r="V21" s="60">
        <v>2.06</v>
      </c>
      <c r="W21" s="85">
        <v>18.785204981710802</v>
      </c>
      <c r="X21" s="85">
        <v>10.859373350748992</v>
      </c>
      <c r="Y21" s="48"/>
      <c r="Z21" s="118">
        <v>0.47599999999999998</v>
      </c>
      <c r="AA21" s="118">
        <v>0.14899999999999999</v>
      </c>
      <c r="AB21" s="118">
        <v>5.6000000000000001E-2</v>
      </c>
      <c r="AC21" s="118">
        <v>8.9999999999999993E-3</v>
      </c>
      <c r="AD21" s="118">
        <v>0.31</v>
      </c>
      <c r="AE21" s="118">
        <f t="shared" si="0"/>
        <v>1</v>
      </c>
      <c r="AG21" s="117">
        <v>41.9</v>
      </c>
      <c r="AH21" s="117">
        <v>1.5</v>
      </c>
      <c r="AI21" s="117">
        <v>1.81</v>
      </c>
      <c r="AJ21" s="117">
        <v>0.09</v>
      </c>
      <c r="AK21" s="117">
        <v>54.7</v>
      </c>
      <c r="AL21" s="117">
        <f t="shared" si="1"/>
        <v>100</v>
      </c>
    </row>
    <row r="22" spans="1:38" ht="20.100000000000001" customHeight="1" x14ac:dyDescent="0.3">
      <c r="A22" s="41">
        <v>18</v>
      </c>
      <c r="B22" s="42" t="s">
        <v>38</v>
      </c>
      <c r="C22" s="42" t="s">
        <v>38</v>
      </c>
      <c r="D22" s="43" t="s">
        <v>42</v>
      </c>
      <c r="E22" s="44">
        <v>45554</v>
      </c>
      <c r="F22" s="45"/>
      <c r="G22" s="43" t="s">
        <v>37</v>
      </c>
      <c r="H22" s="72">
        <v>31.05</v>
      </c>
      <c r="I22" s="72">
        <v>7.68</v>
      </c>
      <c r="J22" s="72">
        <v>9.3000000000000007</v>
      </c>
      <c r="K22" s="73">
        <v>295.2</v>
      </c>
      <c r="L22" s="59"/>
      <c r="M22" s="60"/>
      <c r="N22" s="60"/>
      <c r="O22" s="60">
        <v>1.694</v>
      </c>
      <c r="P22" s="60"/>
      <c r="Q22" s="60"/>
      <c r="R22" s="60"/>
      <c r="S22" s="60"/>
      <c r="T22" s="60">
        <v>34.601999999999997</v>
      </c>
      <c r="U22" s="60">
        <v>12.47</v>
      </c>
      <c r="V22" s="60">
        <v>1.56</v>
      </c>
      <c r="W22" s="85">
        <v>23.0926526076871</v>
      </c>
      <c r="X22" s="85">
        <v>9.5820343771464991</v>
      </c>
      <c r="Y22" s="48"/>
      <c r="Z22" s="119">
        <v>0.51500000000000001</v>
      </c>
      <c r="AA22" s="119">
        <v>0.16200000000000001</v>
      </c>
      <c r="AB22" s="119">
        <v>4.7E-2</v>
      </c>
      <c r="AC22" s="119">
        <v>8.0000000000000002E-3</v>
      </c>
      <c r="AD22" s="119">
        <v>0.26800000000000002</v>
      </c>
      <c r="AE22" s="119">
        <f t="shared" si="0"/>
        <v>1</v>
      </c>
      <c r="AF22" s="114"/>
      <c r="AG22" s="120">
        <v>25.92</v>
      </c>
      <c r="AH22" s="120">
        <v>2.12</v>
      </c>
      <c r="AI22" s="120">
        <v>0.48</v>
      </c>
      <c r="AJ22" s="120">
        <v>0.18</v>
      </c>
      <c r="AK22" s="120">
        <v>71.3</v>
      </c>
      <c r="AL22" s="120">
        <f t="shared" si="1"/>
        <v>100</v>
      </c>
    </row>
    <row r="23" spans="1:38" ht="20.100000000000001" customHeight="1" x14ac:dyDescent="0.3">
      <c r="A23" s="41">
        <v>19</v>
      </c>
      <c r="B23" s="42" t="s">
        <v>38</v>
      </c>
      <c r="C23" s="42" t="s">
        <v>43</v>
      </c>
      <c r="D23" s="43" t="s">
        <v>40</v>
      </c>
      <c r="E23" s="44">
        <v>45554</v>
      </c>
      <c r="F23" s="45"/>
      <c r="G23" s="43" t="s">
        <v>37</v>
      </c>
      <c r="H23" s="72">
        <v>31.11</v>
      </c>
      <c r="I23" s="72">
        <v>7.69</v>
      </c>
      <c r="J23" s="72">
        <v>8.51</v>
      </c>
      <c r="K23" s="73">
        <v>393.3</v>
      </c>
      <c r="L23" s="59"/>
      <c r="M23" s="60"/>
      <c r="N23" s="60"/>
      <c r="O23" s="60">
        <v>4.9610000000000003</v>
      </c>
      <c r="P23" s="60"/>
      <c r="Q23" s="60"/>
      <c r="R23" s="60"/>
      <c r="S23" s="60"/>
      <c r="T23" s="60">
        <v>63.668999999999997</v>
      </c>
      <c r="U23" s="60">
        <v>13.59</v>
      </c>
      <c r="V23" s="60">
        <v>3.96</v>
      </c>
      <c r="W23" s="85">
        <v>20.478990392428699</v>
      </c>
      <c r="X23" s="85">
        <v>11.784308695411415</v>
      </c>
      <c r="Y23" s="48"/>
      <c r="Z23" s="119">
        <v>0.52400000000000002</v>
      </c>
      <c r="AA23" s="119">
        <v>0.185</v>
      </c>
      <c r="AB23" s="119">
        <v>4.8000000000000001E-2</v>
      </c>
      <c r="AC23" s="119">
        <v>8.9999999999999993E-3</v>
      </c>
      <c r="AD23" s="119">
        <v>0.23400000000000001</v>
      </c>
      <c r="AE23" s="119">
        <f t="shared" si="0"/>
        <v>1.0000000000000002</v>
      </c>
      <c r="AF23" s="114"/>
      <c r="AG23" s="120">
        <v>68.89</v>
      </c>
      <c r="AH23" s="120">
        <v>19.170000000000002</v>
      </c>
      <c r="AI23" s="120">
        <v>1.4</v>
      </c>
      <c r="AJ23" s="120">
        <v>0.36</v>
      </c>
      <c r="AK23" s="120">
        <v>10.18</v>
      </c>
      <c r="AL23" s="120">
        <f t="shared" si="1"/>
        <v>100</v>
      </c>
    </row>
    <row r="24" spans="1:38" ht="19.5" customHeight="1" x14ac:dyDescent="0.3">
      <c r="A24" s="41">
        <v>20</v>
      </c>
      <c r="B24" s="42" t="s">
        <v>38</v>
      </c>
      <c r="C24" s="42" t="s">
        <v>43</v>
      </c>
      <c r="D24" s="43" t="s">
        <v>44</v>
      </c>
      <c r="E24" s="44">
        <v>45554</v>
      </c>
      <c r="F24" s="45"/>
      <c r="G24" s="43" t="s">
        <v>37</v>
      </c>
      <c r="H24" s="72">
        <v>30</v>
      </c>
      <c r="I24" s="72">
        <v>7.58</v>
      </c>
      <c r="J24" s="72">
        <v>8.25</v>
      </c>
      <c r="K24" s="73">
        <v>398.5</v>
      </c>
      <c r="L24" s="59"/>
      <c r="M24" s="60"/>
      <c r="N24" s="60"/>
      <c r="O24" s="60">
        <v>4.0640000000000001</v>
      </c>
      <c r="P24" s="60"/>
      <c r="Q24" s="60"/>
      <c r="R24" s="60"/>
      <c r="S24" s="60"/>
      <c r="T24" s="60">
        <v>42.067</v>
      </c>
      <c r="U24" s="60">
        <v>10.210000000000001</v>
      </c>
      <c r="V24" s="60">
        <v>3.1</v>
      </c>
      <c r="W24" s="87">
        <v>16.1979172318017</v>
      </c>
      <c r="X24" s="87">
        <v>10.688000129315089</v>
      </c>
      <c r="Y24" s="48"/>
      <c r="Z24" s="118">
        <v>0.46200000000000002</v>
      </c>
      <c r="AA24" s="118">
        <v>0.151</v>
      </c>
      <c r="AB24" s="118">
        <v>5.8000000000000003E-2</v>
      </c>
      <c r="AC24" s="118">
        <v>0.01</v>
      </c>
      <c r="AD24" s="118">
        <v>0.31900000000000001</v>
      </c>
      <c r="AE24" s="118">
        <f t="shared" si="0"/>
        <v>1</v>
      </c>
      <c r="AG24" s="117">
        <v>52.25</v>
      </c>
      <c r="AH24" s="117">
        <v>5.84</v>
      </c>
      <c r="AI24" s="117">
        <v>0.79</v>
      </c>
      <c r="AJ24" s="117">
        <v>0.59</v>
      </c>
      <c r="AK24" s="117">
        <v>40.53</v>
      </c>
      <c r="AL24" s="117">
        <f t="shared" si="1"/>
        <v>100</v>
      </c>
    </row>
    <row r="25" spans="1:38" ht="20.100000000000001" customHeight="1" x14ac:dyDescent="0.3">
      <c r="A25" s="25">
        <v>21</v>
      </c>
      <c r="B25" s="17" t="s">
        <v>45</v>
      </c>
      <c r="C25" s="17" t="s">
        <v>45</v>
      </c>
      <c r="D25" s="18" t="s">
        <v>46</v>
      </c>
      <c r="E25" s="26">
        <v>45554</v>
      </c>
      <c r="F25" s="20"/>
      <c r="G25" s="18" t="s">
        <v>37</v>
      </c>
      <c r="H25" s="28">
        <v>27.04</v>
      </c>
      <c r="I25" s="28">
        <v>7.6</v>
      </c>
      <c r="J25" s="28">
        <v>8.77</v>
      </c>
      <c r="K25" s="74">
        <v>190</v>
      </c>
      <c r="L25" s="57"/>
      <c r="M25" s="54"/>
      <c r="N25" s="54"/>
      <c r="O25" s="58">
        <v>0.49</v>
      </c>
      <c r="P25" s="58"/>
      <c r="Q25" s="58"/>
      <c r="R25" s="58"/>
      <c r="S25" s="58"/>
      <c r="T25" s="58">
        <v>11.234</v>
      </c>
      <c r="U25" s="58">
        <v>10</v>
      </c>
      <c r="V25" s="58">
        <v>2.96</v>
      </c>
      <c r="W25" s="86">
        <v>19.212721507059499</v>
      </c>
      <c r="X25" s="86">
        <v>11.710734289954006</v>
      </c>
      <c r="Y25" s="21"/>
      <c r="Z25" s="118">
        <v>0.46100000000000002</v>
      </c>
      <c r="AA25" s="118">
        <v>0.14799999999999999</v>
      </c>
      <c r="AB25" s="118">
        <v>0.06</v>
      </c>
      <c r="AC25" s="118">
        <v>8.9999999999999993E-3</v>
      </c>
      <c r="AD25" s="118">
        <v>0.32200000000000001</v>
      </c>
      <c r="AE25" s="118">
        <f t="shared" si="0"/>
        <v>1</v>
      </c>
      <c r="AG25" s="117">
        <v>50.84</v>
      </c>
      <c r="AH25" s="117">
        <v>3.68</v>
      </c>
      <c r="AI25" s="117">
        <v>0.71</v>
      </c>
      <c r="AJ25" s="117">
        <v>0.43</v>
      </c>
      <c r="AK25" s="117">
        <v>44.34</v>
      </c>
      <c r="AL25" s="117">
        <f t="shared" si="1"/>
        <v>100</v>
      </c>
    </row>
    <row r="26" spans="1:38" ht="20.100000000000001" customHeight="1" x14ac:dyDescent="0.3">
      <c r="A26" s="25">
        <v>22</v>
      </c>
      <c r="B26" s="17" t="s">
        <v>45</v>
      </c>
      <c r="C26" s="17" t="s">
        <v>45</v>
      </c>
      <c r="D26" s="22" t="s">
        <v>47</v>
      </c>
      <c r="E26" s="26">
        <v>45554</v>
      </c>
      <c r="F26" s="23"/>
      <c r="G26" s="18" t="s">
        <v>37</v>
      </c>
      <c r="H26" s="28">
        <v>27.15</v>
      </c>
      <c r="I26" s="28">
        <v>7.07</v>
      </c>
      <c r="J26" s="28">
        <v>8.2100000000000009</v>
      </c>
      <c r="K26" s="74">
        <v>170</v>
      </c>
      <c r="L26" s="57"/>
      <c r="M26" s="55"/>
      <c r="N26" s="55"/>
      <c r="O26" s="55">
        <v>1.1399999999999999</v>
      </c>
      <c r="P26" s="55"/>
      <c r="Q26" s="55"/>
      <c r="R26" s="55"/>
      <c r="S26" s="55"/>
      <c r="T26" s="55">
        <v>17.195</v>
      </c>
      <c r="U26" s="55">
        <v>10.44</v>
      </c>
      <c r="V26" s="55">
        <v>1.64</v>
      </c>
      <c r="W26" s="87">
        <v>19.488333528425802</v>
      </c>
      <c r="X26" s="87">
        <v>11.729203250046893</v>
      </c>
      <c r="Y26" s="24"/>
      <c r="Z26" s="119">
        <v>0.46899999999999997</v>
      </c>
      <c r="AA26" s="119">
        <v>0.151</v>
      </c>
      <c r="AB26" s="119">
        <v>5.5E-2</v>
      </c>
      <c r="AC26" s="119">
        <v>8.9999999999999993E-3</v>
      </c>
      <c r="AD26" s="119">
        <v>0.316</v>
      </c>
      <c r="AE26" s="119">
        <f t="shared" si="0"/>
        <v>1</v>
      </c>
      <c r="AF26" s="114"/>
      <c r="AG26" s="120">
        <v>18.440000000000001</v>
      </c>
      <c r="AH26" s="120">
        <v>2.79</v>
      </c>
      <c r="AI26" s="120">
        <v>1.19</v>
      </c>
      <c r="AJ26" s="120">
        <v>0.18</v>
      </c>
      <c r="AK26" s="120">
        <v>77.400000000000006</v>
      </c>
      <c r="AL26" s="120">
        <f t="shared" si="1"/>
        <v>100</v>
      </c>
    </row>
    <row r="27" spans="1:38" ht="20.100000000000001" customHeight="1" x14ac:dyDescent="0.3">
      <c r="A27" s="25">
        <v>23</v>
      </c>
      <c r="B27" s="17" t="s">
        <v>45</v>
      </c>
      <c r="C27" s="17" t="s">
        <v>45</v>
      </c>
      <c r="D27" s="22" t="s">
        <v>29</v>
      </c>
      <c r="E27" s="26">
        <v>45554</v>
      </c>
      <c r="F27" s="23"/>
      <c r="G27" s="18" t="s">
        <v>37</v>
      </c>
      <c r="H27" s="75">
        <v>29.1</v>
      </c>
      <c r="I27" s="75">
        <v>7.14</v>
      </c>
      <c r="J27" s="75">
        <v>9.57</v>
      </c>
      <c r="K27" s="77">
        <v>163</v>
      </c>
      <c r="L27" s="57"/>
      <c r="M27" s="55"/>
      <c r="N27" s="55"/>
      <c r="O27" s="55">
        <v>1.2929999999999999</v>
      </c>
      <c r="P27" s="55"/>
      <c r="Q27" s="55"/>
      <c r="R27" s="55"/>
      <c r="S27" s="55"/>
      <c r="T27" s="55">
        <v>17.489999999999998</v>
      </c>
      <c r="U27" s="55">
        <v>12.09</v>
      </c>
      <c r="V27" s="55">
        <v>1.59</v>
      </c>
      <c r="W27" s="87">
        <v>19.602583287055499</v>
      </c>
      <c r="X27" s="87">
        <v>11.489430196837569</v>
      </c>
      <c r="Y27" s="24"/>
      <c r="Z27" s="119">
        <v>0.503</v>
      </c>
      <c r="AA27" s="119">
        <v>0.161</v>
      </c>
      <c r="AB27" s="119">
        <v>4.9000000000000002E-2</v>
      </c>
      <c r="AC27" s="119">
        <v>8.9999999999999993E-3</v>
      </c>
      <c r="AD27" s="119">
        <v>0.27800000000000002</v>
      </c>
      <c r="AE27" s="119">
        <f t="shared" si="0"/>
        <v>1</v>
      </c>
      <c r="AF27" s="114"/>
      <c r="AG27" s="120">
        <v>12.02</v>
      </c>
      <c r="AH27" s="120">
        <v>1.25</v>
      </c>
      <c r="AI27" s="120">
        <v>1.54</v>
      </c>
      <c r="AJ27" s="120">
        <v>0.27</v>
      </c>
      <c r="AK27" s="120">
        <v>84.92</v>
      </c>
      <c r="AL27" s="120">
        <f t="shared" si="1"/>
        <v>100</v>
      </c>
    </row>
    <row r="28" spans="1:38" ht="20.100000000000001" customHeight="1" x14ac:dyDescent="0.3">
      <c r="A28" s="25">
        <v>24</v>
      </c>
      <c r="B28" s="17" t="s">
        <v>45</v>
      </c>
      <c r="C28" s="17" t="s">
        <v>45</v>
      </c>
      <c r="D28" s="18" t="s">
        <v>48</v>
      </c>
      <c r="E28" s="26">
        <v>45554</v>
      </c>
      <c r="F28" s="20"/>
      <c r="G28" s="18" t="s">
        <v>19</v>
      </c>
      <c r="H28" s="28">
        <v>29.14</v>
      </c>
      <c r="I28" s="28">
        <v>6.95</v>
      </c>
      <c r="J28" s="28">
        <v>8.77</v>
      </c>
      <c r="K28" s="74">
        <v>155</v>
      </c>
      <c r="L28" s="57"/>
      <c r="M28" s="54"/>
      <c r="N28" s="54"/>
      <c r="O28" s="54">
        <v>0.83899999999999997</v>
      </c>
      <c r="P28" s="54"/>
      <c r="Q28" s="54"/>
      <c r="R28" s="54"/>
      <c r="S28" s="54"/>
      <c r="T28" s="54">
        <v>16.988</v>
      </c>
      <c r="U28" s="54">
        <v>9.6999999999999993</v>
      </c>
      <c r="V28" s="54">
        <v>-0.33</v>
      </c>
      <c r="W28" s="85">
        <v>19.456382492073001</v>
      </c>
      <c r="X28" s="85">
        <v>10.817744322287382</v>
      </c>
      <c r="Y28" s="21"/>
      <c r="Z28" s="119">
        <v>0.45100000000000001</v>
      </c>
      <c r="AA28" s="119">
        <v>0.128</v>
      </c>
      <c r="AB28" s="119">
        <v>5.7000000000000002E-2</v>
      </c>
      <c r="AC28" s="119">
        <v>8.0000000000000002E-3</v>
      </c>
      <c r="AD28" s="119">
        <v>0.35599999999999998</v>
      </c>
      <c r="AE28" s="119">
        <f t="shared" si="0"/>
        <v>1</v>
      </c>
      <c r="AF28" s="114"/>
      <c r="AG28" s="120">
        <v>5.91</v>
      </c>
      <c r="AH28" s="120">
        <v>2.4900000000000002</v>
      </c>
      <c r="AI28" s="120">
        <v>1.37</v>
      </c>
      <c r="AJ28" s="120">
        <v>0.26</v>
      </c>
      <c r="AK28" s="120">
        <v>89.97</v>
      </c>
      <c r="AL28" s="120">
        <f t="shared" si="1"/>
        <v>100</v>
      </c>
    </row>
    <row r="29" spans="1:38" ht="20.100000000000001" customHeight="1" x14ac:dyDescent="0.3"/>
    <row r="30" spans="1:38" ht="20.100000000000001" customHeight="1" x14ac:dyDescent="0.3"/>
    <row r="31" spans="1:38" ht="20.100000000000001" customHeight="1" x14ac:dyDescent="0.3"/>
    <row r="32" spans="1:38" ht="20.100000000000001" customHeight="1" x14ac:dyDescent="0.3"/>
    <row r="33" ht="20.100000000000001" customHeight="1" x14ac:dyDescent="0.3"/>
    <row r="34" ht="20.100000000000001" customHeight="1" x14ac:dyDescent="0.3"/>
    <row r="35" ht="20.100000000000001" customHeight="1" x14ac:dyDescent="0.3"/>
    <row r="36" ht="20.100000000000001" customHeight="1" x14ac:dyDescent="0.3"/>
    <row r="37" ht="20.100000000000001" customHeight="1" x14ac:dyDescent="0.3"/>
    <row r="38" ht="20.100000000000001" customHeight="1" x14ac:dyDescent="0.3"/>
    <row r="39" ht="20.100000000000001" customHeight="1" x14ac:dyDescent="0.3"/>
    <row r="40" ht="20.100000000000001" customHeight="1" x14ac:dyDescent="0.3"/>
    <row r="41" ht="20.100000000000001" customHeight="1" x14ac:dyDescent="0.3"/>
    <row r="42" ht="20.100000000000001" customHeight="1" x14ac:dyDescent="0.3"/>
    <row r="43" ht="20.100000000000001" customHeight="1" x14ac:dyDescent="0.3"/>
    <row r="44" ht="20.100000000000001" customHeight="1" x14ac:dyDescent="0.3"/>
    <row r="45" ht="20.100000000000001" customHeight="1" x14ac:dyDescent="0.3"/>
    <row r="46" ht="20.100000000000001" customHeight="1" x14ac:dyDescent="0.3"/>
    <row r="47" ht="20.100000000000001" customHeight="1" x14ac:dyDescent="0.3"/>
    <row r="48" ht="20.100000000000001" customHeight="1" x14ac:dyDescent="0.3"/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  <row r="291" ht="20.100000000000001" customHeight="1" x14ac:dyDescent="0.3"/>
    <row r="292" ht="20.100000000000001" customHeight="1" x14ac:dyDescent="0.3"/>
    <row r="293" ht="20.100000000000001" customHeight="1" x14ac:dyDescent="0.3"/>
    <row r="294" ht="20.100000000000001" customHeight="1" x14ac:dyDescent="0.3"/>
    <row r="295" ht="20.100000000000001" customHeight="1" x14ac:dyDescent="0.3"/>
    <row r="296" ht="20.100000000000001" customHeight="1" x14ac:dyDescent="0.3"/>
    <row r="297" ht="20.100000000000001" customHeight="1" x14ac:dyDescent="0.3"/>
    <row r="298" ht="20.100000000000001" customHeight="1" x14ac:dyDescent="0.3"/>
    <row r="299" ht="20.100000000000001" customHeight="1" x14ac:dyDescent="0.3"/>
    <row r="300" ht="20.100000000000001" customHeight="1" x14ac:dyDescent="0.3"/>
    <row r="301" ht="20.100000000000001" customHeight="1" x14ac:dyDescent="0.3"/>
    <row r="302" ht="20.100000000000001" customHeight="1" x14ac:dyDescent="0.3"/>
    <row r="303" ht="20.100000000000001" customHeight="1" x14ac:dyDescent="0.3"/>
    <row r="304" ht="20.100000000000001" customHeight="1" x14ac:dyDescent="0.3"/>
    <row r="305" ht="20.100000000000001" customHeight="1" x14ac:dyDescent="0.3"/>
    <row r="306" ht="20.100000000000001" customHeight="1" x14ac:dyDescent="0.3"/>
    <row r="307" ht="20.100000000000001" customHeight="1" x14ac:dyDescent="0.3"/>
    <row r="308" ht="20.100000000000001" customHeight="1" x14ac:dyDescent="0.3"/>
    <row r="309" ht="20.100000000000001" customHeight="1" x14ac:dyDescent="0.3"/>
    <row r="310" ht="20.100000000000001" customHeight="1" x14ac:dyDescent="0.3"/>
    <row r="311" ht="20.100000000000001" customHeight="1" x14ac:dyDescent="0.3"/>
    <row r="312" ht="20.100000000000001" customHeight="1" x14ac:dyDescent="0.3"/>
    <row r="313" ht="20.100000000000001" customHeight="1" x14ac:dyDescent="0.3"/>
    <row r="314" ht="20.100000000000001" customHeight="1" x14ac:dyDescent="0.3"/>
    <row r="315" ht="20.100000000000001" customHeight="1" x14ac:dyDescent="0.3"/>
    <row r="316" ht="20.100000000000001" customHeight="1" x14ac:dyDescent="0.3"/>
    <row r="317" ht="20.100000000000001" customHeight="1" x14ac:dyDescent="0.3"/>
    <row r="318" ht="20.100000000000001" customHeight="1" x14ac:dyDescent="0.3"/>
  </sheetData>
  <mergeCells count="9">
    <mergeCell ref="L3:T3"/>
    <mergeCell ref="Y3:Y4"/>
    <mergeCell ref="A1:K1"/>
    <mergeCell ref="A3:A4"/>
    <mergeCell ref="B3:B4"/>
    <mergeCell ref="C3:C4"/>
    <mergeCell ref="D3:D4"/>
    <mergeCell ref="E3:F3"/>
    <mergeCell ref="G3:K3"/>
  </mergeCells>
  <phoneticPr fontId="1" type="noConversion"/>
  <conditionalFormatting sqref="Z5:AD2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{B84816B2-E38B-49E3-96DC-E62556AFB572}</x14:id>
        </ext>
      </extLst>
    </cfRule>
  </conditionalFormatting>
  <conditionalFormatting sqref="AG5:AK2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{6ABBB55C-8577-498C-8E9D-DD39518AF310}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84816B2-E38B-49E3-96DC-E62556AFB5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Z5:AD28</xm:sqref>
        </x14:conditionalFormatting>
        <x14:conditionalFormatting xmlns:xm="http://schemas.microsoft.com/office/excel/2006/main">
          <x14:cfRule type="dataBar" id="{6ABBB55C-8577-498C-8E9D-DD39518AF31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AG5:AK28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28"/>
  <sheetViews>
    <sheetView topLeftCell="A97" workbookViewId="0">
      <selection activeCell="A125" sqref="A125"/>
    </sheetView>
  </sheetViews>
  <sheetFormatPr defaultRowHeight="16.5" x14ac:dyDescent="0.3"/>
  <cols>
    <col min="1" max="1" width="81.625" bestFit="1" customWidth="1"/>
    <col min="2" max="9" width="6.5" bestFit="1" customWidth="1"/>
    <col min="10" max="10" width="7.5" bestFit="1" customWidth="1"/>
  </cols>
  <sheetData>
    <row r="2" spans="1:10" x14ac:dyDescent="0.3">
      <c r="A2" t="s">
        <v>306</v>
      </c>
    </row>
    <row r="3" spans="1:10" x14ac:dyDescent="0.3">
      <c r="A3" t="s">
        <v>307</v>
      </c>
    </row>
    <row r="4" spans="1:10" x14ac:dyDescent="0.3">
      <c r="A4" t="s">
        <v>306</v>
      </c>
    </row>
    <row r="6" spans="1:10" x14ac:dyDescent="0.3">
      <c r="A6" t="s">
        <v>831</v>
      </c>
    </row>
    <row r="8" spans="1:10" x14ac:dyDescent="0.3">
      <c r="B8" t="s">
        <v>305</v>
      </c>
      <c r="C8" t="s">
        <v>304</v>
      </c>
      <c r="D8" s="105">
        <v>2.5000000000000001E-2</v>
      </c>
      <c r="E8" s="106">
        <v>0.05</v>
      </c>
      <c r="F8" s="106">
        <v>0.25</v>
      </c>
      <c r="G8" s="106">
        <v>0.5</v>
      </c>
      <c r="H8" s="106">
        <v>0.75</v>
      </c>
      <c r="I8" s="106">
        <v>0.95</v>
      </c>
      <c r="J8" s="105">
        <v>0.97499999999999998</v>
      </c>
    </row>
    <row r="9" spans="1:10" x14ac:dyDescent="0.3">
      <c r="A9" t="s">
        <v>303</v>
      </c>
      <c r="B9">
        <v>4.9000000000000002E-2</v>
      </c>
      <c r="C9">
        <v>4.5999999999999999E-2</v>
      </c>
      <c r="D9">
        <v>2E-3</v>
      </c>
      <c r="E9">
        <v>3.0000000000000001E-3</v>
      </c>
      <c r="F9">
        <v>1.6E-2</v>
      </c>
      <c r="G9">
        <v>3.5000000000000003E-2</v>
      </c>
      <c r="H9">
        <v>6.7000000000000004E-2</v>
      </c>
      <c r="I9">
        <v>0.14099999999999999</v>
      </c>
      <c r="J9">
        <v>0.17799999999999999</v>
      </c>
    </row>
    <row r="10" spans="1:10" x14ac:dyDescent="0.3">
      <c r="A10" t="s">
        <v>302</v>
      </c>
      <c r="B10">
        <v>3.9E-2</v>
      </c>
      <c r="C10">
        <v>5.2999999999999999E-2</v>
      </c>
      <c r="D10">
        <v>1E-3</v>
      </c>
      <c r="E10">
        <v>1E-3</v>
      </c>
      <c r="F10">
        <v>7.0000000000000001E-3</v>
      </c>
      <c r="G10">
        <v>0.02</v>
      </c>
      <c r="H10">
        <v>4.9000000000000002E-2</v>
      </c>
      <c r="I10">
        <v>0.14299999999999999</v>
      </c>
      <c r="J10">
        <v>0.188</v>
      </c>
    </row>
    <row r="11" spans="1:10" x14ac:dyDescent="0.3">
      <c r="A11" t="s">
        <v>301</v>
      </c>
      <c r="B11">
        <v>3.6999999999999998E-2</v>
      </c>
      <c r="C11">
        <v>0.05</v>
      </c>
      <c r="D11">
        <v>1E-3</v>
      </c>
      <c r="E11">
        <v>1E-3</v>
      </c>
      <c r="F11">
        <v>7.0000000000000001E-3</v>
      </c>
      <c r="G11">
        <v>1.7999999999999999E-2</v>
      </c>
      <c r="H11">
        <v>4.4999999999999998E-2</v>
      </c>
      <c r="I11">
        <v>0.14000000000000001</v>
      </c>
      <c r="J11">
        <v>0.17799999999999999</v>
      </c>
    </row>
    <row r="12" spans="1:10" x14ac:dyDescent="0.3">
      <c r="A12" t="s">
        <v>300</v>
      </c>
      <c r="B12">
        <v>3.6999999999999998E-2</v>
      </c>
      <c r="C12">
        <v>4.7E-2</v>
      </c>
      <c r="D12">
        <v>1E-3</v>
      </c>
      <c r="E12">
        <v>1E-3</v>
      </c>
      <c r="F12">
        <v>7.0000000000000001E-3</v>
      </c>
      <c r="G12">
        <v>0.02</v>
      </c>
      <c r="H12">
        <v>4.7E-2</v>
      </c>
      <c r="I12">
        <v>0.13500000000000001</v>
      </c>
      <c r="J12">
        <v>0.17699999999999999</v>
      </c>
    </row>
    <row r="13" spans="1:10" x14ac:dyDescent="0.3">
      <c r="A13" t="s">
        <v>299</v>
      </c>
      <c r="B13">
        <v>7.0000000000000007E-2</v>
      </c>
      <c r="C13">
        <v>9.5000000000000001E-2</v>
      </c>
      <c r="D13">
        <v>1E-3</v>
      </c>
      <c r="E13">
        <v>2E-3</v>
      </c>
      <c r="F13">
        <v>0.01</v>
      </c>
      <c r="G13">
        <v>3.1E-2</v>
      </c>
      <c r="H13">
        <v>8.7999999999999995E-2</v>
      </c>
      <c r="I13">
        <v>0.28100000000000003</v>
      </c>
      <c r="J13">
        <v>0.35799999999999998</v>
      </c>
    </row>
    <row r="14" spans="1:10" x14ac:dyDescent="0.3">
      <c r="A14" t="s">
        <v>298</v>
      </c>
      <c r="B14">
        <v>6.3E-2</v>
      </c>
      <c r="C14">
        <v>8.3000000000000004E-2</v>
      </c>
      <c r="D14">
        <v>1E-3</v>
      </c>
      <c r="E14">
        <v>2E-3</v>
      </c>
      <c r="F14">
        <v>8.9999999999999993E-3</v>
      </c>
      <c r="G14">
        <v>0.03</v>
      </c>
      <c r="H14">
        <v>0.08</v>
      </c>
      <c r="I14">
        <v>0.246</v>
      </c>
      <c r="J14">
        <v>0.308</v>
      </c>
    </row>
    <row r="15" spans="1:10" x14ac:dyDescent="0.3">
      <c r="A15" t="s">
        <v>297</v>
      </c>
      <c r="B15">
        <v>6.3E-2</v>
      </c>
      <c r="C15">
        <v>9.1999999999999998E-2</v>
      </c>
      <c r="D15">
        <v>1E-3</v>
      </c>
      <c r="E15">
        <v>1E-3</v>
      </c>
      <c r="F15">
        <v>8.0000000000000002E-3</v>
      </c>
      <c r="G15">
        <v>2.5000000000000001E-2</v>
      </c>
      <c r="H15">
        <v>7.2999999999999995E-2</v>
      </c>
      <c r="I15">
        <v>0.25900000000000001</v>
      </c>
      <c r="J15">
        <v>0.34599999999999997</v>
      </c>
    </row>
    <row r="16" spans="1:10" x14ac:dyDescent="0.3">
      <c r="A16" t="s">
        <v>296</v>
      </c>
      <c r="B16">
        <v>5.5E-2</v>
      </c>
      <c r="C16">
        <v>0.11700000000000001</v>
      </c>
      <c r="D16">
        <v>0</v>
      </c>
      <c r="E16">
        <v>1E-3</v>
      </c>
      <c r="F16">
        <v>6.0000000000000001E-3</v>
      </c>
      <c r="G16">
        <v>1.7000000000000001E-2</v>
      </c>
      <c r="H16">
        <v>5.0999999999999997E-2</v>
      </c>
      <c r="I16">
        <v>0.21299999999999999</v>
      </c>
      <c r="J16">
        <v>0.434</v>
      </c>
    </row>
    <row r="17" spans="1:10" x14ac:dyDescent="0.3">
      <c r="A17" t="s">
        <v>295</v>
      </c>
      <c r="B17">
        <v>7.4999999999999997E-2</v>
      </c>
      <c r="C17">
        <v>0.13</v>
      </c>
      <c r="D17">
        <v>1E-3</v>
      </c>
      <c r="E17">
        <v>1E-3</v>
      </c>
      <c r="F17">
        <v>7.0000000000000001E-3</v>
      </c>
      <c r="G17">
        <v>2.5000000000000001E-2</v>
      </c>
      <c r="H17">
        <v>7.8E-2</v>
      </c>
      <c r="I17">
        <v>0.36</v>
      </c>
      <c r="J17">
        <v>0.52100000000000002</v>
      </c>
    </row>
    <row r="18" spans="1:10" x14ac:dyDescent="0.3">
      <c r="A18" t="s">
        <v>294</v>
      </c>
      <c r="B18">
        <v>6.8000000000000005E-2</v>
      </c>
      <c r="C18">
        <v>8.7999999999999995E-2</v>
      </c>
      <c r="D18">
        <v>1E-3</v>
      </c>
      <c r="E18">
        <v>2E-3</v>
      </c>
      <c r="F18">
        <v>0.01</v>
      </c>
      <c r="G18">
        <v>3.2000000000000001E-2</v>
      </c>
      <c r="H18">
        <v>0.09</v>
      </c>
      <c r="I18">
        <v>0.25700000000000001</v>
      </c>
      <c r="J18">
        <v>0.32400000000000001</v>
      </c>
    </row>
    <row r="19" spans="1:10" x14ac:dyDescent="0.3">
      <c r="A19" t="s">
        <v>293</v>
      </c>
      <c r="B19">
        <v>5.8000000000000003E-2</v>
      </c>
      <c r="C19">
        <v>7.3999999999999996E-2</v>
      </c>
      <c r="D19">
        <v>1E-3</v>
      </c>
      <c r="E19">
        <v>2E-3</v>
      </c>
      <c r="F19">
        <v>8.9999999999999993E-3</v>
      </c>
      <c r="G19">
        <v>0.03</v>
      </c>
      <c r="H19">
        <v>7.6999999999999999E-2</v>
      </c>
      <c r="I19">
        <v>0.217</v>
      </c>
      <c r="J19">
        <v>0.27200000000000002</v>
      </c>
    </row>
    <row r="20" spans="1:10" x14ac:dyDescent="0.3">
      <c r="A20" t="s">
        <v>292</v>
      </c>
      <c r="B20">
        <v>5.6000000000000001E-2</v>
      </c>
      <c r="C20">
        <v>7.3999999999999996E-2</v>
      </c>
      <c r="D20">
        <v>1E-3</v>
      </c>
      <c r="E20">
        <v>1E-3</v>
      </c>
      <c r="F20">
        <v>8.9999999999999993E-3</v>
      </c>
      <c r="G20">
        <v>2.7E-2</v>
      </c>
      <c r="H20">
        <v>7.0999999999999994E-2</v>
      </c>
      <c r="I20">
        <v>0.221</v>
      </c>
      <c r="J20">
        <v>0.27600000000000002</v>
      </c>
    </row>
    <row r="21" spans="1:10" x14ac:dyDescent="0.3">
      <c r="A21" t="s">
        <v>291</v>
      </c>
      <c r="B21">
        <v>6.0999999999999999E-2</v>
      </c>
      <c r="C21">
        <v>0.08</v>
      </c>
      <c r="D21">
        <v>1E-3</v>
      </c>
      <c r="E21">
        <v>2E-3</v>
      </c>
      <c r="F21">
        <v>8.9999999999999993E-3</v>
      </c>
      <c r="G21">
        <v>3.1E-2</v>
      </c>
      <c r="H21">
        <v>0.08</v>
      </c>
      <c r="I21">
        <v>0.23699999999999999</v>
      </c>
      <c r="J21">
        <v>0.29899999999999999</v>
      </c>
    </row>
    <row r="22" spans="1:10" x14ac:dyDescent="0.3">
      <c r="A22" t="s">
        <v>290</v>
      </c>
      <c r="B22">
        <v>5.7000000000000002E-2</v>
      </c>
      <c r="C22">
        <v>7.0999999999999994E-2</v>
      </c>
      <c r="D22">
        <v>1E-3</v>
      </c>
      <c r="E22">
        <v>1E-3</v>
      </c>
      <c r="F22">
        <v>8.9999999999999993E-3</v>
      </c>
      <c r="G22">
        <v>2.9000000000000001E-2</v>
      </c>
      <c r="H22">
        <v>7.5999999999999998E-2</v>
      </c>
      <c r="I22">
        <v>0.20899999999999999</v>
      </c>
      <c r="J22">
        <v>0.26800000000000002</v>
      </c>
    </row>
    <row r="23" spans="1:10" x14ac:dyDescent="0.3">
      <c r="A23" t="s">
        <v>289</v>
      </c>
      <c r="B23">
        <v>5.8000000000000003E-2</v>
      </c>
      <c r="C23">
        <v>7.3999999999999996E-2</v>
      </c>
      <c r="D23">
        <v>1E-3</v>
      </c>
      <c r="E23">
        <v>1E-3</v>
      </c>
      <c r="F23">
        <v>8.9999999999999993E-3</v>
      </c>
      <c r="G23">
        <v>2.8000000000000001E-2</v>
      </c>
      <c r="H23">
        <v>7.6999999999999999E-2</v>
      </c>
      <c r="I23">
        <v>0.219</v>
      </c>
      <c r="J23">
        <v>0.26800000000000002</v>
      </c>
    </row>
    <row r="24" spans="1:10" x14ac:dyDescent="0.3">
      <c r="A24" t="s">
        <v>288</v>
      </c>
      <c r="B24">
        <v>6.9000000000000006E-2</v>
      </c>
      <c r="C24">
        <v>9.2999999999999999E-2</v>
      </c>
      <c r="D24">
        <v>1E-3</v>
      </c>
      <c r="E24">
        <v>1E-3</v>
      </c>
      <c r="F24">
        <v>0.01</v>
      </c>
      <c r="G24">
        <v>3.1E-2</v>
      </c>
      <c r="H24">
        <v>8.8999999999999996E-2</v>
      </c>
      <c r="I24">
        <v>0.27400000000000002</v>
      </c>
      <c r="J24">
        <v>0.34100000000000003</v>
      </c>
    </row>
    <row r="25" spans="1:10" x14ac:dyDescent="0.3">
      <c r="A25" t="s">
        <v>287</v>
      </c>
      <c r="B25">
        <v>5.6000000000000001E-2</v>
      </c>
      <c r="C25">
        <v>7.1999999999999995E-2</v>
      </c>
      <c r="D25">
        <v>1E-3</v>
      </c>
      <c r="E25">
        <v>1E-3</v>
      </c>
      <c r="F25">
        <v>8.9999999999999993E-3</v>
      </c>
      <c r="G25">
        <v>2.9000000000000001E-2</v>
      </c>
      <c r="H25">
        <v>7.3999999999999996E-2</v>
      </c>
      <c r="I25">
        <v>0.21199999999999999</v>
      </c>
      <c r="J25">
        <v>0.27600000000000002</v>
      </c>
    </row>
    <row r="26" spans="1:10" x14ac:dyDescent="0.3">
      <c r="A26" t="s">
        <v>286</v>
      </c>
      <c r="B26">
        <v>4.7E-2</v>
      </c>
      <c r="C26">
        <v>0.06</v>
      </c>
      <c r="D26">
        <v>1E-3</v>
      </c>
      <c r="E26">
        <v>1E-3</v>
      </c>
      <c r="F26">
        <v>8.0000000000000002E-3</v>
      </c>
      <c r="G26">
        <v>2.3E-2</v>
      </c>
      <c r="H26">
        <v>6.2E-2</v>
      </c>
      <c r="I26">
        <v>0.17100000000000001</v>
      </c>
      <c r="J26">
        <v>0.217</v>
      </c>
    </row>
    <row r="27" spans="1:10" x14ac:dyDescent="0.3">
      <c r="A27" t="s">
        <v>285</v>
      </c>
      <c r="B27">
        <v>4.8000000000000001E-2</v>
      </c>
      <c r="C27">
        <v>0.06</v>
      </c>
      <c r="D27">
        <v>1E-3</v>
      </c>
      <c r="E27">
        <v>2E-3</v>
      </c>
      <c r="F27">
        <v>8.9999999999999993E-3</v>
      </c>
      <c r="G27">
        <v>2.5000000000000001E-2</v>
      </c>
      <c r="H27">
        <v>6.3E-2</v>
      </c>
      <c r="I27">
        <v>0.17100000000000001</v>
      </c>
      <c r="J27">
        <v>0.219</v>
      </c>
    </row>
    <row r="28" spans="1:10" x14ac:dyDescent="0.3">
      <c r="A28" t="s">
        <v>284</v>
      </c>
      <c r="B28">
        <v>5.8000000000000003E-2</v>
      </c>
      <c r="C28">
        <v>7.5999999999999998E-2</v>
      </c>
      <c r="D28">
        <v>1E-3</v>
      </c>
      <c r="E28">
        <v>1E-3</v>
      </c>
      <c r="F28">
        <v>8.9999999999999993E-3</v>
      </c>
      <c r="G28">
        <v>2.8000000000000001E-2</v>
      </c>
      <c r="H28">
        <v>7.5999999999999998E-2</v>
      </c>
      <c r="I28">
        <v>0.21299999999999999</v>
      </c>
      <c r="J28">
        <v>0.27200000000000002</v>
      </c>
    </row>
    <row r="29" spans="1:10" x14ac:dyDescent="0.3">
      <c r="A29" t="s">
        <v>283</v>
      </c>
      <c r="B29">
        <v>0.06</v>
      </c>
      <c r="C29">
        <v>8.1000000000000003E-2</v>
      </c>
      <c r="D29">
        <v>1E-3</v>
      </c>
      <c r="E29">
        <v>1E-3</v>
      </c>
      <c r="F29">
        <v>8.9999999999999993E-3</v>
      </c>
      <c r="G29">
        <v>2.7E-2</v>
      </c>
      <c r="H29">
        <v>7.5999999999999998E-2</v>
      </c>
      <c r="I29">
        <v>0.23499999999999999</v>
      </c>
      <c r="J29">
        <v>0.30599999999999999</v>
      </c>
    </row>
    <row r="30" spans="1:10" x14ac:dyDescent="0.3">
      <c r="A30" t="s">
        <v>282</v>
      </c>
      <c r="B30">
        <v>5.5E-2</v>
      </c>
      <c r="C30">
        <v>7.3999999999999996E-2</v>
      </c>
      <c r="D30">
        <v>1E-3</v>
      </c>
      <c r="E30">
        <v>2E-3</v>
      </c>
      <c r="F30">
        <v>8.9999999999999993E-3</v>
      </c>
      <c r="G30">
        <v>2.8000000000000001E-2</v>
      </c>
      <c r="H30">
        <v>6.9000000000000006E-2</v>
      </c>
      <c r="I30">
        <v>0.22</v>
      </c>
      <c r="J30">
        <v>0.28399999999999997</v>
      </c>
    </row>
    <row r="31" spans="1:10" x14ac:dyDescent="0.3">
      <c r="A31" t="s">
        <v>281</v>
      </c>
      <c r="B31">
        <v>4.9000000000000002E-2</v>
      </c>
      <c r="C31">
        <v>6.4000000000000001E-2</v>
      </c>
      <c r="D31">
        <v>1E-3</v>
      </c>
      <c r="E31">
        <v>1E-3</v>
      </c>
      <c r="F31">
        <v>8.0000000000000002E-3</v>
      </c>
      <c r="G31">
        <v>2.4E-2</v>
      </c>
      <c r="H31">
        <v>6.5000000000000002E-2</v>
      </c>
      <c r="I31">
        <v>0.182</v>
      </c>
      <c r="J31">
        <v>0.22900000000000001</v>
      </c>
    </row>
    <row r="32" spans="1:10" x14ac:dyDescent="0.3">
      <c r="A32" t="s">
        <v>280</v>
      </c>
      <c r="B32">
        <v>5.7000000000000002E-2</v>
      </c>
      <c r="C32">
        <v>7.9000000000000001E-2</v>
      </c>
      <c r="D32">
        <v>1E-3</v>
      </c>
      <c r="E32">
        <v>1E-3</v>
      </c>
      <c r="F32">
        <v>8.9999999999999993E-3</v>
      </c>
      <c r="G32">
        <v>2.5999999999999999E-2</v>
      </c>
      <c r="H32">
        <v>7.0999999999999994E-2</v>
      </c>
      <c r="I32">
        <v>0.222</v>
      </c>
      <c r="J32">
        <v>0.29399999999999998</v>
      </c>
    </row>
    <row r="33" spans="1:10" x14ac:dyDescent="0.3">
      <c r="A33" t="s">
        <v>279</v>
      </c>
      <c r="B33">
        <v>0.13</v>
      </c>
      <c r="C33">
        <v>8.3000000000000004E-2</v>
      </c>
      <c r="D33">
        <v>0.01</v>
      </c>
      <c r="E33">
        <v>0.02</v>
      </c>
      <c r="F33">
        <v>6.8000000000000005E-2</v>
      </c>
      <c r="G33">
        <v>0.115</v>
      </c>
      <c r="H33">
        <v>0.17799999999999999</v>
      </c>
      <c r="I33">
        <v>0.28499999999999998</v>
      </c>
      <c r="J33">
        <v>0.32600000000000001</v>
      </c>
    </row>
    <row r="34" spans="1:10" x14ac:dyDescent="0.3">
      <c r="A34" t="s">
        <v>278</v>
      </c>
      <c r="B34">
        <v>0.151</v>
      </c>
      <c r="C34">
        <v>0.16900000000000001</v>
      </c>
      <c r="D34">
        <v>3.0000000000000001E-3</v>
      </c>
      <c r="E34">
        <v>6.0000000000000001E-3</v>
      </c>
      <c r="F34">
        <v>3.2000000000000001E-2</v>
      </c>
      <c r="G34">
        <v>8.2000000000000003E-2</v>
      </c>
      <c r="H34">
        <v>0.21199999999999999</v>
      </c>
      <c r="I34">
        <v>0.52900000000000003</v>
      </c>
      <c r="J34">
        <v>0.60799999999999998</v>
      </c>
    </row>
    <row r="35" spans="1:10" x14ac:dyDescent="0.3">
      <c r="A35" t="s">
        <v>277</v>
      </c>
      <c r="B35">
        <v>0.156</v>
      </c>
      <c r="C35">
        <v>0.184</v>
      </c>
      <c r="D35">
        <v>3.0000000000000001E-3</v>
      </c>
      <c r="E35">
        <v>5.0000000000000001E-3</v>
      </c>
      <c r="F35">
        <v>2.5000000000000001E-2</v>
      </c>
      <c r="G35">
        <v>7.3999999999999996E-2</v>
      </c>
      <c r="H35">
        <v>0.222</v>
      </c>
      <c r="I35">
        <v>0.57299999999999995</v>
      </c>
      <c r="J35">
        <v>0.66200000000000003</v>
      </c>
    </row>
    <row r="36" spans="1:10" x14ac:dyDescent="0.3">
      <c r="A36" t="s">
        <v>276</v>
      </c>
      <c r="B36">
        <v>0.16300000000000001</v>
      </c>
      <c r="C36">
        <v>0.17899999999999999</v>
      </c>
      <c r="D36">
        <v>3.0000000000000001E-3</v>
      </c>
      <c r="E36">
        <v>6.0000000000000001E-3</v>
      </c>
      <c r="F36">
        <v>3.2000000000000001E-2</v>
      </c>
      <c r="G36">
        <v>8.7999999999999995E-2</v>
      </c>
      <c r="H36">
        <v>0.23699999999999999</v>
      </c>
      <c r="I36">
        <v>0.55400000000000005</v>
      </c>
      <c r="J36">
        <v>0.65800000000000003</v>
      </c>
    </row>
    <row r="37" spans="1:10" x14ac:dyDescent="0.3">
      <c r="A37" t="s">
        <v>275</v>
      </c>
      <c r="B37">
        <v>0.129</v>
      </c>
      <c r="C37">
        <v>0.123</v>
      </c>
      <c r="D37">
        <v>4.0000000000000001E-3</v>
      </c>
      <c r="E37">
        <v>8.0000000000000002E-3</v>
      </c>
      <c r="F37">
        <v>3.6999999999999998E-2</v>
      </c>
      <c r="G37">
        <v>9.0999999999999998E-2</v>
      </c>
      <c r="H37">
        <v>0.183</v>
      </c>
      <c r="I37">
        <v>0.376</v>
      </c>
      <c r="J37">
        <v>0.44900000000000001</v>
      </c>
    </row>
    <row r="38" spans="1:10" x14ac:dyDescent="0.3">
      <c r="A38" t="s">
        <v>274</v>
      </c>
      <c r="B38">
        <v>0.14399999999999999</v>
      </c>
      <c r="C38">
        <v>0.13700000000000001</v>
      </c>
      <c r="D38">
        <v>4.0000000000000001E-3</v>
      </c>
      <c r="E38">
        <v>8.0000000000000002E-3</v>
      </c>
      <c r="F38">
        <v>3.9E-2</v>
      </c>
      <c r="G38">
        <v>9.9000000000000005E-2</v>
      </c>
      <c r="H38">
        <v>0.21299999999999999</v>
      </c>
      <c r="I38">
        <v>0.434</v>
      </c>
      <c r="J38">
        <v>0.51</v>
      </c>
    </row>
    <row r="39" spans="1:10" x14ac:dyDescent="0.3">
      <c r="A39" t="s">
        <v>273</v>
      </c>
      <c r="B39">
        <v>0.11600000000000001</v>
      </c>
      <c r="C39">
        <v>0.11899999999999999</v>
      </c>
      <c r="D39">
        <v>3.0000000000000001E-3</v>
      </c>
      <c r="E39">
        <v>7.0000000000000001E-3</v>
      </c>
      <c r="F39">
        <v>3.2000000000000001E-2</v>
      </c>
      <c r="G39">
        <v>7.6999999999999999E-2</v>
      </c>
      <c r="H39">
        <v>0.16</v>
      </c>
      <c r="I39">
        <v>0.35799999999999998</v>
      </c>
      <c r="J39">
        <v>0.441</v>
      </c>
    </row>
    <row r="40" spans="1:10" x14ac:dyDescent="0.3">
      <c r="A40" t="s">
        <v>272</v>
      </c>
      <c r="B40">
        <v>5.7000000000000002E-2</v>
      </c>
      <c r="C40">
        <v>7.0999999999999994E-2</v>
      </c>
      <c r="D40">
        <v>3.0000000000000001E-3</v>
      </c>
      <c r="E40">
        <v>4.0000000000000001E-3</v>
      </c>
      <c r="F40">
        <v>1.7999999999999999E-2</v>
      </c>
      <c r="G40">
        <v>3.6999999999999998E-2</v>
      </c>
      <c r="H40">
        <v>7.0999999999999994E-2</v>
      </c>
      <c r="I40">
        <v>0.16800000000000001</v>
      </c>
      <c r="J40">
        <v>0.218</v>
      </c>
    </row>
    <row r="41" spans="1:10" x14ac:dyDescent="0.3">
      <c r="A41" t="s">
        <v>271</v>
      </c>
      <c r="B41">
        <v>8.5999999999999993E-2</v>
      </c>
      <c r="C41">
        <v>9.5000000000000001E-2</v>
      </c>
      <c r="D41">
        <v>4.0000000000000001E-3</v>
      </c>
      <c r="E41">
        <v>6.0000000000000001E-3</v>
      </c>
      <c r="F41">
        <v>2.5000000000000001E-2</v>
      </c>
      <c r="G41">
        <v>5.6000000000000001E-2</v>
      </c>
      <c r="H41">
        <v>0.113</v>
      </c>
      <c r="I41">
        <v>0.25700000000000001</v>
      </c>
      <c r="J41">
        <v>0.34399999999999997</v>
      </c>
    </row>
    <row r="42" spans="1:10" x14ac:dyDescent="0.3">
      <c r="A42" t="s">
        <v>270</v>
      </c>
      <c r="B42">
        <v>0.16</v>
      </c>
      <c r="C42">
        <v>0.15</v>
      </c>
      <c r="D42">
        <v>4.0000000000000001E-3</v>
      </c>
      <c r="E42">
        <v>7.0000000000000001E-3</v>
      </c>
      <c r="F42">
        <v>4.1000000000000002E-2</v>
      </c>
      <c r="G42">
        <v>0.115</v>
      </c>
      <c r="H42">
        <v>0.24</v>
      </c>
      <c r="I42">
        <v>0.45600000000000002</v>
      </c>
      <c r="J42">
        <v>0.53700000000000003</v>
      </c>
    </row>
    <row r="43" spans="1:10" x14ac:dyDescent="0.3">
      <c r="A43" t="s">
        <v>269</v>
      </c>
      <c r="B43">
        <v>0.16600000000000001</v>
      </c>
      <c r="C43">
        <v>0.156</v>
      </c>
      <c r="D43">
        <v>4.0000000000000001E-3</v>
      </c>
      <c r="E43">
        <v>7.0000000000000001E-3</v>
      </c>
      <c r="F43">
        <v>4.3999999999999997E-2</v>
      </c>
      <c r="G43">
        <v>0.11799999999999999</v>
      </c>
      <c r="H43">
        <v>0.24399999999999999</v>
      </c>
      <c r="I43">
        <v>0.48199999999999998</v>
      </c>
      <c r="J43">
        <v>0.56399999999999995</v>
      </c>
    </row>
    <row r="44" spans="1:10" x14ac:dyDescent="0.3">
      <c r="A44" t="s">
        <v>268</v>
      </c>
      <c r="B44">
        <v>0.16</v>
      </c>
      <c r="C44">
        <v>0.152</v>
      </c>
      <c r="D44">
        <v>4.0000000000000001E-3</v>
      </c>
      <c r="E44">
        <v>7.0000000000000001E-3</v>
      </c>
      <c r="F44">
        <v>4.1000000000000002E-2</v>
      </c>
      <c r="G44">
        <v>0.113</v>
      </c>
      <c r="H44">
        <v>0.23899999999999999</v>
      </c>
      <c r="I44">
        <v>0.47299999999999998</v>
      </c>
      <c r="J44">
        <v>0.55300000000000005</v>
      </c>
    </row>
    <row r="45" spans="1:10" x14ac:dyDescent="0.3">
      <c r="A45" t="s">
        <v>267</v>
      </c>
      <c r="B45">
        <v>0.153</v>
      </c>
      <c r="C45">
        <v>0.14899999999999999</v>
      </c>
      <c r="D45">
        <v>4.0000000000000001E-3</v>
      </c>
      <c r="E45">
        <v>8.0000000000000002E-3</v>
      </c>
      <c r="F45">
        <v>4.1000000000000002E-2</v>
      </c>
      <c r="G45">
        <v>0.10199999999999999</v>
      </c>
      <c r="H45">
        <v>0.224</v>
      </c>
      <c r="I45">
        <v>0.46</v>
      </c>
      <c r="J45">
        <v>0.55800000000000005</v>
      </c>
    </row>
    <row r="46" spans="1:10" x14ac:dyDescent="0.3">
      <c r="A46" t="s">
        <v>266</v>
      </c>
      <c r="B46">
        <v>0.16</v>
      </c>
      <c r="C46">
        <v>0.14799999999999999</v>
      </c>
      <c r="D46">
        <v>3.0000000000000001E-3</v>
      </c>
      <c r="E46">
        <v>7.0000000000000001E-3</v>
      </c>
      <c r="F46">
        <v>4.2999999999999997E-2</v>
      </c>
      <c r="G46">
        <v>0.11600000000000001</v>
      </c>
      <c r="H46">
        <v>0.24299999999999999</v>
      </c>
      <c r="I46">
        <v>0.45300000000000001</v>
      </c>
      <c r="J46">
        <v>0.53400000000000003</v>
      </c>
    </row>
    <row r="47" spans="1:10" x14ac:dyDescent="0.3">
      <c r="A47" t="s">
        <v>265</v>
      </c>
      <c r="B47">
        <v>0.16400000000000001</v>
      </c>
      <c r="C47">
        <v>0.155</v>
      </c>
      <c r="D47">
        <v>3.0000000000000001E-3</v>
      </c>
      <c r="E47">
        <v>7.0000000000000001E-3</v>
      </c>
      <c r="F47">
        <v>4.1000000000000002E-2</v>
      </c>
      <c r="G47">
        <v>0.11899999999999999</v>
      </c>
      <c r="H47">
        <v>0.24299999999999999</v>
      </c>
      <c r="I47">
        <v>0.48199999999999998</v>
      </c>
      <c r="J47">
        <v>0.55200000000000005</v>
      </c>
    </row>
    <row r="48" spans="1:10" x14ac:dyDescent="0.3">
      <c r="A48" t="s">
        <v>264</v>
      </c>
      <c r="B48">
        <v>0.13500000000000001</v>
      </c>
      <c r="C48">
        <v>0.13</v>
      </c>
      <c r="D48">
        <v>4.0000000000000001E-3</v>
      </c>
      <c r="E48">
        <v>8.0000000000000002E-3</v>
      </c>
      <c r="F48">
        <v>3.6999999999999998E-2</v>
      </c>
      <c r="G48">
        <v>9.4E-2</v>
      </c>
      <c r="H48">
        <v>0.19500000000000001</v>
      </c>
      <c r="I48">
        <v>0.39400000000000002</v>
      </c>
      <c r="J48">
        <v>0.48099999999999998</v>
      </c>
    </row>
    <row r="49" spans="1:10" x14ac:dyDescent="0.3">
      <c r="A49" t="s">
        <v>263</v>
      </c>
      <c r="B49">
        <v>0.14899999999999999</v>
      </c>
      <c r="C49">
        <v>0.14099999999999999</v>
      </c>
      <c r="D49">
        <v>4.0000000000000001E-3</v>
      </c>
      <c r="E49">
        <v>7.0000000000000001E-3</v>
      </c>
      <c r="F49">
        <v>4.1000000000000002E-2</v>
      </c>
      <c r="G49">
        <v>0.106</v>
      </c>
      <c r="H49">
        <v>0.219</v>
      </c>
      <c r="I49">
        <v>0.435</v>
      </c>
      <c r="J49">
        <v>0.52100000000000002</v>
      </c>
    </row>
    <row r="50" spans="1:10" x14ac:dyDescent="0.3">
      <c r="A50" t="s">
        <v>262</v>
      </c>
      <c r="B50">
        <v>0.16200000000000001</v>
      </c>
      <c r="C50">
        <v>0.161</v>
      </c>
      <c r="D50">
        <v>4.0000000000000001E-3</v>
      </c>
      <c r="E50">
        <v>6.0000000000000001E-3</v>
      </c>
      <c r="F50">
        <v>3.7999999999999999E-2</v>
      </c>
      <c r="G50">
        <v>0.105</v>
      </c>
      <c r="H50">
        <v>0.246</v>
      </c>
      <c r="I50">
        <v>0.48499999999999999</v>
      </c>
      <c r="J50">
        <v>0.57799999999999996</v>
      </c>
    </row>
    <row r="51" spans="1:10" x14ac:dyDescent="0.3">
      <c r="A51" t="s">
        <v>261</v>
      </c>
      <c r="B51">
        <v>0.185</v>
      </c>
      <c r="C51">
        <v>0.17599999999999999</v>
      </c>
      <c r="D51">
        <v>4.0000000000000001E-3</v>
      </c>
      <c r="E51">
        <v>6.0000000000000001E-3</v>
      </c>
      <c r="F51">
        <v>0.04</v>
      </c>
      <c r="G51">
        <v>0.127</v>
      </c>
      <c r="H51">
        <v>0.28799999999999998</v>
      </c>
      <c r="I51">
        <v>0.54200000000000004</v>
      </c>
      <c r="J51">
        <v>0.61499999999999999</v>
      </c>
    </row>
    <row r="52" spans="1:10" x14ac:dyDescent="0.3">
      <c r="A52" t="s">
        <v>260</v>
      </c>
      <c r="B52">
        <v>0.151</v>
      </c>
      <c r="C52">
        <v>0.14399999999999999</v>
      </c>
      <c r="D52">
        <v>4.0000000000000001E-3</v>
      </c>
      <c r="E52">
        <v>7.0000000000000001E-3</v>
      </c>
      <c r="F52">
        <v>3.9E-2</v>
      </c>
      <c r="G52">
        <v>0.106</v>
      </c>
      <c r="H52">
        <v>0.221</v>
      </c>
      <c r="I52">
        <v>0.441</v>
      </c>
      <c r="J52">
        <v>0.52900000000000003</v>
      </c>
    </row>
    <row r="53" spans="1:10" x14ac:dyDescent="0.3">
      <c r="A53" t="s">
        <v>259</v>
      </c>
      <c r="B53">
        <v>0.14799999999999999</v>
      </c>
      <c r="C53">
        <v>0.14099999999999999</v>
      </c>
      <c r="D53">
        <v>4.0000000000000001E-3</v>
      </c>
      <c r="E53">
        <v>7.0000000000000001E-3</v>
      </c>
      <c r="F53">
        <v>4.1000000000000002E-2</v>
      </c>
      <c r="G53">
        <v>0.10100000000000001</v>
      </c>
      <c r="H53">
        <v>0.21299999999999999</v>
      </c>
      <c r="I53">
        <v>0.42899999999999999</v>
      </c>
      <c r="J53">
        <v>0.51900000000000002</v>
      </c>
    </row>
    <row r="54" spans="1:10" x14ac:dyDescent="0.3">
      <c r="A54" t="s">
        <v>258</v>
      </c>
      <c r="B54">
        <v>0.151</v>
      </c>
      <c r="C54">
        <v>0.14599999999999999</v>
      </c>
      <c r="D54">
        <v>4.0000000000000001E-3</v>
      </c>
      <c r="E54">
        <v>7.0000000000000001E-3</v>
      </c>
      <c r="F54">
        <v>0.04</v>
      </c>
      <c r="G54">
        <v>0.10199999999999999</v>
      </c>
      <c r="H54">
        <v>0.219</v>
      </c>
      <c r="I54">
        <v>0.45</v>
      </c>
      <c r="J54">
        <v>0.52800000000000002</v>
      </c>
    </row>
    <row r="55" spans="1:10" x14ac:dyDescent="0.3">
      <c r="A55" t="s">
        <v>257</v>
      </c>
      <c r="B55">
        <v>0.161</v>
      </c>
      <c r="C55">
        <v>0.158</v>
      </c>
      <c r="D55">
        <v>3.0000000000000001E-3</v>
      </c>
      <c r="E55">
        <v>6.0000000000000001E-3</v>
      </c>
      <c r="F55">
        <v>3.7999999999999999E-2</v>
      </c>
      <c r="G55">
        <v>0.111</v>
      </c>
      <c r="H55">
        <v>0.23799999999999999</v>
      </c>
      <c r="I55">
        <v>0.48399999999999999</v>
      </c>
      <c r="J55">
        <v>0.57899999999999996</v>
      </c>
    </row>
    <row r="56" spans="1:10" x14ac:dyDescent="0.3">
      <c r="A56" t="s">
        <v>256</v>
      </c>
      <c r="B56">
        <v>0.128</v>
      </c>
      <c r="C56">
        <v>0.13300000000000001</v>
      </c>
      <c r="D56">
        <v>3.0000000000000001E-3</v>
      </c>
      <c r="E56">
        <v>7.0000000000000001E-3</v>
      </c>
      <c r="F56">
        <v>3.2000000000000001E-2</v>
      </c>
      <c r="G56">
        <v>8.2000000000000003E-2</v>
      </c>
      <c r="H56">
        <v>0.182</v>
      </c>
      <c r="I56">
        <v>0.40100000000000002</v>
      </c>
      <c r="J56">
        <v>0.49399999999999999</v>
      </c>
    </row>
    <row r="57" spans="1:10" x14ac:dyDescent="0.3">
      <c r="A57" t="s">
        <v>255</v>
      </c>
      <c r="B57">
        <v>7.0000000000000001E-3</v>
      </c>
      <c r="C57">
        <v>0.01</v>
      </c>
      <c r="D57">
        <v>0</v>
      </c>
      <c r="E57">
        <v>0</v>
      </c>
      <c r="F57">
        <v>2E-3</v>
      </c>
      <c r="G57">
        <v>5.0000000000000001E-3</v>
      </c>
      <c r="H57">
        <v>8.9999999999999993E-3</v>
      </c>
      <c r="I57">
        <v>2.1000000000000001E-2</v>
      </c>
      <c r="J57">
        <v>2.9000000000000001E-2</v>
      </c>
    </row>
    <row r="58" spans="1:10" x14ac:dyDescent="0.3">
      <c r="A58" t="s">
        <v>254</v>
      </c>
      <c r="B58">
        <v>7.0000000000000001E-3</v>
      </c>
      <c r="C58">
        <v>1.7000000000000001E-2</v>
      </c>
      <c r="D58">
        <v>0</v>
      </c>
      <c r="E58">
        <v>0</v>
      </c>
      <c r="F58">
        <v>1E-3</v>
      </c>
      <c r="G58">
        <v>3.0000000000000001E-3</v>
      </c>
      <c r="H58">
        <v>7.0000000000000001E-3</v>
      </c>
      <c r="I58">
        <v>2.5000000000000001E-2</v>
      </c>
      <c r="J58">
        <v>3.9E-2</v>
      </c>
    </row>
    <row r="59" spans="1:10" x14ac:dyDescent="0.3">
      <c r="A59" t="s">
        <v>253</v>
      </c>
      <c r="B59">
        <v>6.0000000000000001E-3</v>
      </c>
      <c r="C59">
        <v>1.4E-2</v>
      </c>
      <c r="D59">
        <v>0</v>
      </c>
      <c r="E59">
        <v>0</v>
      </c>
      <c r="F59">
        <v>1E-3</v>
      </c>
      <c r="G59">
        <v>2E-3</v>
      </c>
      <c r="H59">
        <v>7.0000000000000001E-3</v>
      </c>
      <c r="I59">
        <v>2.4E-2</v>
      </c>
      <c r="J59">
        <v>3.5000000000000003E-2</v>
      </c>
    </row>
    <row r="60" spans="1:10" x14ac:dyDescent="0.3">
      <c r="A60" t="s">
        <v>252</v>
      </c>
      <c r="B60">
        <v>7.0000000000000001E-3</v>
      </c>
      <c r="C60">
        <v>1.4999999999999999E-2</v>
      </c>
      <c r="D60">
        <v>0</v>
      </c>
      <c r="E60">
        <v>0</v>
      </c>
      <c r="F60">
        <v>1E-3</v>
      </c>
      <c r="G60">
        <v>3.0000000000000001E-3</v>
      </c>
      <c r="H60">
        <v>7.0000000000000001E-3</v>
      </c>
      <c r="I60">
        <v>2.8000000000000001E-2</v>
      </c>
      <c r="J60">
        <v>0.04</v>
      </c>
    </row>
    <row r="61" spans="1:10" x14ac:dyDescent="0.3">
      <c r="A61" t="s">
        <v>251</v>
      </c>
      <c r="B61">
        <v>0.01</v>
      </c>
      <c r="C61">
        <v>1.9E-2</v>
      </c>
      <c r="D61">
        <v>0</v>
      </c>
      <c r="E61">
        <v>0</v>
      </c>
      <c r="F61">
        <v>1E-3</v>
      </c>
      <c r="G61">
        <v>4.0000000000000001E-3</v>
      </c>
      <c r="H61">
        <v>1.0999999999999999E-2</v>
      </c>
      <c r="I61">
        <v>0.04</v>
      </c>
      <c r="J61">
        <v>0.06</v>
      </c>
    </row>
    <row r="62" spans="1:10" x14ac:dyDescent="0.3">
      <c r="A62" t="s">
        <v>250</v>
      </c>
      <c r="B62">
        <v>8.9999999999999993E-3</v>
      </c>
      <c r="C62">
        <v>1.7000000000000001E-2</v>
      </c>
      <c r="D62">
        <v>0</v>
      </c>
      <c r="E62">
        <v>0</v>
      </c>
      <c r="F62">
        <v>1E-3</v>
      </c>
      <c r="G62">
        <v>3.0000000000000001E-3</v>
      </c>
      <c r="H62">
        <v>0.01</v>
      </c>
      <c r="I62">
        <v>3.5000000000000003E-2</v>
      </c>
      <c r="J62">
        <v>5.1999999999999998E-2</v>
      </c>
    </row>
    <row r="63" spans="1:10" x14ac:dyDescent="0.3">
      <c r="A63" t="s">
        <v>249</v>
      </c>
      <c r="B63">
        <v>8.0000000000000002E-3</v>
      </c>
      <c r="C63">
        <v>2.1000000000000001E-2</v>
      </c>
      <c r="D63">
        <v>0</v>
      </c>
      <c r="E63">
        <v>0</v>
      </c>
      <c r="F63">
        <v>1E-3</v>
      </c>
      <c r="G63">
        <v>3.0000000000000001E-3</v>
      </c>
      <c r="H63">
        <v>8.9999999999999993E-3</v>
      </c>
      <c r="I63">
        <v>3.2000000000000001E-2</v>
      </c>
      <c r="J63">
        <v>4.7E-2</v>
      </c>
    </row>
    <row r="64" spans="1:10" x14ac:dyDescent="0.3">
      <c r="A64" t="s">
        <v>248</v>
      </c>
      <c r="B64">
        <v>7.0000000000000001E-3</v>
      </c>
      <c r="C64">
        <v>0.02</v>
      </c>
      <c r="D64">
        <v>0</v>
      </c>
      <c r="E64">
        <v>0</v>
      </c>
      <c r="F64">
        <v>1E-3</v>
      </c>
      <c r="G64">
        <v>2E-3</v>
      </c>
      <c r="H64">
        <v>6.0000000000000001E-3</v>
      </c>
      <c r="I64">
        <v>2.4E-2</v>
      </c>
      <c r="J64">
        <v>3.9E-2</v>
      </c>
    </row>
    <row r="65" spans="1:10" x14ac:dyDescent="0.3">
      <c r="A65" t="s">
        <v>247</v>
      </c>
      <c r="B65">
        <v>8.0000000000000002E-3</v>
      </c>
      <c r="C65">
        <v>1.7000000000000001E-2</v>
      </c>
      <c r="D65">
        <v>0</v>
      </c>
      <c r="E65">
        <v>0</v>
      </c>
      <c r="F65">
        <v>1E-3</v>
      </c>
      <c r="G65">
        <v>3.0000000000000001E-3</v>
      </c>
      <c r="H65">
        <v>8.0000000000000002E-3</v>
      </c>
      <c r="I65">
        <v>0.03</v>
      </c>
      <c r="J65">
        <v>4.5999999999999999E-2</v>
      </c>
    </row>
    <row r="66" spans="1:10" x14ac:dyDescent="0.3">
      <c r="A66" t="s">
        <v>246</v>
      </c>
      <c r="B66">
        <v>1.0999999999999999E-2</v>
      </c>
      <c r="C66">
        <v>2.4E-2</v>
      </c>
      <c r="D66">
        <v>0</v>
      </c>
      <c r="E66">
        <v>0</v>
      </c>
      <c r="F66">
        <v>1E-3</v>
      </c>
      <c r="G66">
        <v>4.0000000000000001E-3</v>
      </c>
      <c r="H66">
        <v>1.0999999999999999E-2</v>
      </c>
      <c r="I66">
        <v>4.3999999999999997E-2</v>
      </c>
      <c r="J66">
        <v>6.7000000000000004E-2</v>
      </c>
    </row>
    <row r="67" spans="1:10" x14ac:dyDescent="0.3">
      <c r="A67" t="s">
        <v>245</v>
      </c>
      <c r="B67">
        <v>0.01</v>
      </c>
      <c r="C67">
        <v>1.7999999999999999E-2</v>
      </c>
      <c r="D67">
        <v>0</v>
      </c>
      <c r="E67">
        <v>0</v>
      </c>
      <c r="F67">
        <v>1E-3</v>
      </c>
      <c r="G67">
        <v>4.0000000000000001E-3</v>
      </c>
      <c r="H67">
        <v>1.0999999999999999E-2</v>
      </c>
      <c r="I67">
        <v>4.2999999999999997E-2</v>
      </c>
      <c r="J67">
        <v>6.6000000000000003E-2</v>
      </c>
    </row>
    <row r="68" spans="1:10" x14ac:dyDescent="0.3">
      <c r="A68" t="s">
        <v>244</v>
      </c>
      <c r="B68">
        <v>8.9999999999999993E-3</v>
      </c>
      <c r="C68">
        <v>0.02</v>
      </c>
      <c r="D68">
        <v>0</v>
      </c>
      <c r="E68">
        <v>0</v>
      </c>
      <c r="F68">
        <v>1E-3</v>
      </c>
      <c r="G68">
        <v>3.0000000000000001E-3</v>
      </c>
      <c r="H68">
        <v>0.01</v>
      </c>
      <c r="I68">
        <v>3.5999999999999997E-2</v>
      </c>
      <c r="J68">
        <v>5.3999999999999999E-2</v>
      </c>
    </row>
    <row r="69" spans="1:10" x14ac:dyDescent="0.3">
      <c r="A69" t="s">
        <v>243</v>
      </c>
      <c r="B69">
        <v>0.01</v>
      </c>
      <c r="C69">
        <v>1.9E-2</v>
      </c>
      <c r="D69">
        <v>0</v>
      </c>
      <c r="E69">
        <v>0</v>
      </c>
      <c r="F69">
        <v>1E-3</v>
      </c>
      <c r="G69">
        <v>3.0000000000000001E-3</v>
      </c>
      <c r="H69">
        <v>0.01</v>
      </c>
      <c r="I69">
        <v>4.3999999999999997E-2</v>
      </c>
      <c r="J69">
        <v>6.2E-2</v>
      </c>
    </row>
    <row r="70" spans="1:10" x14ac:dyDescent="0.3">
      <c r="A70" t="s">
        <v>242</v>
      </c>
      <c r="B70">
        <v>0.01</v>
      </c>
      <c r="C70">
        <v>1.7999999999999999E-2</v>
      </c>
      <c r="D70">
        <v>0</v>
      </c>
      <c r="E70">
        <v>0</v>
      </c>
      <c r="F70">
        <v>1E-3</v>
      </c>
      <c r="G70">
        <v>4.0000000000000001E-3</v>
      </c>
      <c r="H70">
        <v>0.01</v>
      </c>
      <c r="I70">
        <v>4.2000000000000003E-2</v>
      </c>
      <c r="J70">
        <v>6.3E-2</v>
      </c>
    </row>
    <row r="71" spans="1:10" x14ac:dyDescent="0.3">
      <c r="A71" t="s">
        <v>241</v>
      </c>
      <c r="B71">
        <v>0.01</v>
      </c>
      <c r="C71">
        <v>1.7999999999999999E-2</v>
      </c>
      <c r="D71">
        <v>0</v>
      </c>
      <c r="E71">
        <v>0</v>
      </c>
      <c r="F71">
        <v>1E-3</v>
      </c>
      <c r="G71">
        <v>4.0000000000000001E-3</v>
      </c>
      <c r="H71">
        <v>0.01</v>
      </c>
      <c r="I71">
        <v>4.1000000000000002E-2</v>
      </c>
      <c r="J71">
        <v>0.06</v>
      </c>
    </row>
    <row r="72" spans="1:10" x14ac:dyDescent="0.3">
      <c r="A72" t="s">
        <v>240</v>
      </c>
      <c r="B72">
        <v>0.01</v>
      </c>
      <c r="C72">
        <v>1.7999999999999999E-2</v>
      </c>
      <c r="D72">
        <v>0</v>
      </c>
      <c r="E72">
        <v>0</v>
      </c>
      <c r="F72">
        <v>1E-3</v>
      </c>
      <c r="G72">
        <v>3.0000000000000001E-3</v>
      </c>
      <c r="H72">
        <v>0.01</v>
      </c>
      <c r="I72">
        <v>4.3999999999999997E-2</v>
      </c>
      <c r="J72">
        <v>6.2E-2</v>
      </c>
    </row>
    <row r="73" spans="1:10" x14ac:dyDescent="0.3">
      <c r="A73" t="s">
        <v>239</v>
      </c>
      <c r="B73">
        <v>8.9999999999999993E-3</v>
      </c>
      <c r="C73">
        <v>1.4999999999999999E-2</v>
      </c>
      <c r="D73">
        <v>0</v>
      </c>
      <c r="E73">
        <v>0</v>
      </c>
      <c r="F73">
        <v>1E-3</v>
      </c>
      <c r="G73">
        <v>3.0000000000000001E-3</v>
      </c>
      <c r="H73">
        <v>0.01</v>
      </c>
      <c r="I73">
        <v>3.5000000000000003E-2</v>
      </c>
      <c r="J73">
        <v>4.9000000000000002E-2</v>
      </c>
    </row>
    <row r="74" spans="1:10" x14ac:dyDescent="0.3">
      <c r="A74" t="s">
        <v>238</v>
      </c>
      <c r="B74">
        <v>8.0000000000000002E-3</v>
      </c>
      <c r="C74">
        <v>1.4E-2</v>
      </c>
      <c r="D74">
        <v>0</v>
      </c>
      <c r="E74">
        <v>0</v>
      </c>
      <c r="F74">
        <v>1E-3</v>
      </c>
      <c r="G74">
        <v>3.0000000000000001E-3</v>
      </c>
      <c r="H74">
        <v>8.9999999999999993E-3</v>
      </c>
      <c r="I74">
        <v>3.1E-2</v>
      </c>
      <c r="J74">
        <v>4.4999999999999998E-2</v>
      </c>
    </row>
    <row r="75" spans="1:10" x14ac:dyDescent="0.3">
      <c r="A75" t="s">
        <v>237</v>
      </c>
      <c r="B75">
        <v>8.9999999999999993E-3</v>
      </c>
      <c r="C75">
        <v>1.6E-2</v>
      </c>
      <c r="D75">
        <v>0</v>
      </c>
      <c r="E75">
        <v>0</v>
      </c>
      <c r="F75">
        <v>1E-3</v>
      </c>
      <c r="G75">
        <v>3.0000000000000001E-3</v>
      </c>
      <c r="H75">
        <v>8.9999999999999993E-3</v>
      </c>
      <c r="I75">
        <v>3.5999999999999997E-2</v>
      </c>
      <c r="J75">
        <v>5.1999999999999998E-2</v>
      </c>
    </row>
    <row r="76" spans="1:10" x14ac:dyDescent="0.3">
      <c r="A76" t="s">
        <v>236</v>
      </c>
      <c r="B76">
        <v>0.01</v>
      </c>
      <c r="C76">
        <v>1.9E-2</v>
      </c>
      <c r="D76">
        <v>0</v>
      </c>
      <c r="E76">
        <v>0</v>
      </c>
      <c r="F76">
        <v>1E-3</v>
      </c>
      <c r="G76">
        <v>3.0000000000000001E-3</v>
      </c>
      <c r="H76">
        <v>0.01</v>
      </c>
      <c r="I76">
        <v>0.04</v>
      </c>
      <c r="J76">
        <v>5.8999999999999997E-2</v>
      </c>
    </row>
    <row r="77" spans="1:10" x14ac:dyDescent="0.3">
      <c r="A77" t="s">
        <v>235</v>
      </c>
      <c r="B77">
        <v>8.9999999999999993E-3</v>
      </c>
      <c r="C77">
        <v>1.9E-2</v>
      </c>
      <c r="D77">
        <v>0</v>
      </c>
      <c r="E77">
        <v>0</v>
      </c>
      <c r="F77">
        <v>1E-3</v>
      </c>
      <c r="G77">
        <v>3.0000000000000001E-3</v>
      </c>
      <c r="H77">
        <v>0.01</v>
      </c>
      <c r="I77">
        <v>3.7999999999999999E-2</v>
      </c>
      <c r="J77">
        <v>5.5E-2</v>
      </c>
    </row>
    <row r="78" spans="1:10" x14ac:dyDescent="0.3">
      <c r="A78" t="s">
        <v>234</v>
      </c>
      <c r="B78">
        <v>8.9999999999999993E-3</v>
      </c>
      <c r="C78">
        <v>0.02</v>
      </c>
      <c r="D78">
        <v>0</v>
      </c>
      <c r="E78">
        <v>0</v>
      </c>
      <c r="F78">
        <v>1E-3</v>
      </c>
      <c r="G78">
        <v>3.0000000000000001E-3</v>
      </c>
      <c r="H78">
        <v>8.9999999999999993E-3</v>
      </c>
      <c r="I78">
        <v>3.2000000000000001E-2</v>
      </c>
      <c r="J78">
        <v>4.9000000000000002E-2</v>
      </c>
    </row>
    <row r="79" spans="1:10" x14ac:dyDescent="0.3">
      <c r="A79" t="s">
        <v>233</v>
      </c>
      <c r="B79">
        <v>8.9999999999999993E-3</v>
      </c>
      <c r="C79">
        <v>1.7999999999999999E-2</v>
      </c>
      <c r="D79">
        <v>0</v>
      </c>
      <c r="E79">
        <v>0</v>
      </c>
      <c r="F79">
        <v>1E-3</v>
      </c>
      <c r="G79">
        <v>3.0000000000000001E-3</v>
      </c>
      <c r="H79">
        <v>8.9999999999999993E-3</v>
      </c>
      <c r="I79">
        <v>3.4000000000000002E-2</v>
      </c>
      <c r="J79">
        <v>0.05</v>
      </c>
    </row>
    <row r="80" spans="1:10" x14ac:dyDescent="0.3">
      <c r="A80" t="s">
        <v>232</v>
      </c>
      <c r="B80">
        <v>8.0000000000000002E-3</v>
      </c>
      <c r="C80">
        <v>1.7000000000000001E-2</v>
      </c>
      <c r="D80">
        <v>0</v>
      </c>
      <c r="E80">
        <v>0</v>
      </c>
      <c r="F80">
        <v>1E-3</v>
      </c>
      <c r="G80">
        <v>3.0000000000000001E-3</v>
      </c>
      <c r="H80">
        <v>8.0000000000000002E-3</v>
      </c>
      <c r="I80">
        <v>0.03</v>
      </c>
      <c r="J80">
        <v>4.3999999999999997E-2</v>
      </c>
    </row>
    <row r="81" spans="1:10" x14ac:dyDescent="0.3">
      <c r="A81" t="s">
        <v>231</v>
      </c>
      <c r="B81">
        <v>0.46899999999999997</v>
      </c>
      <c r="C81">
        <v>0.14799999999999999</v>
      </c>
      <c r="D81">
        <v>0.182</v>
      </c>
      <c r="E81">
        <v>0.23</v>
      </c>
      <c r="F81">
        <v>0.36599999999999999</v>
      </c>
      <c r="G81">
        <v>0.46500000000000002</v>
      </c>
      <c r="H81">
        <v>0.56999999999999995</v>
      </c>
      <c r="I81">
        <v>0.72099999999999997</v>
      </c>
      <c r="J81">
        <v>0.75700000000000001</v>
      </c>
    </row>
    <row r="82" spans="1:10" x14ac:dyDescent="0.3">
      <c r="A82" t="s">
        <v>230</v>
      </c>
      <c r="B82">
        <v>0.54500000000000004</v>
      </c>
      <c r="C82">
        <v>0.248</v>
      </c>
      <c r="D82">
        <v>6.2E-2</v>
      </c>
      <c r="E82">
        <v>0.10100000000000001</v>
      </c>
      <c r="F82">
        <v>0.35899999999999999</v>
      </c>
      <c r="G82">
        <v>0.57499999999999996</v>
      </c>
      <c r="H82">
        <v>0.747</v>
      </c>
      <c r="I82">
        <v>0.90200000000000002</v>
      </c>
      <c r="J82">
        <v>0.93100000000000005</v>
      </c>
    </row>
    <row r="83" spans="1:10" x14ac:dyDescent="0.3">
      <c r="A83" t="s">
        <v>229</v>
      </c>
      <c r="B83">
        <v>0.55300000000000005</v>
      </c>
      <c r="C83">
        <v>0.26600000000000001</v>
      </c>
      <c r="D83">
        <v>0.05</v>
      </c>
      <c r="E83">
        <v>8.4000000000000005E-2</v>
      </c>
      <c r="F83">
        <v>0.34200000000000003</v>
      </c>
      <c r="G83">
        <v>0.59799999999999998</v>
      </c>
      <c r="H83">
        <v>0.78200000000000003</v>
      </c>
      <c r="I83">
        <v>0.91300000000000003</v>
      </c>
      <c r="J83">
        <v>0.94</v>
      </c>
    </row>
    <row r="84" spans="1:10" x14ac:dyDescent="0.3">
      <c r="A84" t="s">
        <v>228</v>
      </c>
      <c r="B84">
        <v>0.56200000000000006</v>
      </c>
      <c r="C84">
        <v>0.249</v>
      </c>
      <c r="D84">
        <v>5.8999999999999997E-2</v>
      </c>
      <c r="E84">
        <v>9.5000000000000001E-2</v>
      </c>
      <c r="F84">
        <v>0.38300000000000001</v>
      </c>
      <c r="G84">
        <v>0.60199999999999998</v>
      </c>
      <c r="H84">
        <v>0.76600000000000001</v>
      </c>
      <c r="I84">
        <v>0.90800000000000003</v>
      </c>
      <c r="J84">
        <v>0.93500000000000005</v>
      </c>
    </row>
    <row r="85" spans="1:10" x14ac:dyDescent="0.3">
      <c r="A85" t="s">
        <v>227</v>
      </c>
      <c r="B85">
        <v>0.41599999999999998</v>
      </c>
      <c r="C85">
        <v>0.223</v>
      </c>
      <c r="D85">
        <v>5.1999999999999998E-2</v>
      </c>
      <c r="E85">
        <v>8.1000000000000003E-2</v>
      </c>
      <c r="F85">
        <v>0.24</v>
      </c>
      <c r="G85">
        <v>0.39500000000000002</v>
      </c>
      <c r="H85">
        <v>0.56599999999999995</v>
      </c>
      <c r="I85">
        <v>0.82699999999999996</v>
      </c>
      <c r="J85">
        <v>0.88300000000000001</v>
      </c>
    </row>
    <row r="86" spans="1:10" x14ac:dyDescent="0.3">
      <c r="A86" t="s">
        <v>226</v>
      </c>
      <c r="B86">
        <v>0.44</v>
      </c>
      <c r="C86">
        <v>0.22700000000000001</v>
      </c>
      <c r="D86">
        <v>5.6000000000000001E-2</v>
      </c>
      <c r="E86">
        <v>9.0999999999999998E-2</v>
      </c>
      <c r="F86">
        <v>0.26400000000000001</v>
      </c>
      <c r="G86">
        <v>0.42499999999999999</v>
      </c>
      <c r="H86">
        <v>0.60399999999999998</v>
      </c>
      <c r="I86">
        <v>0.84199999999999997</v>
      </c>
      <c r="J86">
        <v>0.88300000000000001</v>
      </c>
    </row>
    <row r="87" spans="1:10" x14ac:dyDescent="0.3">
      <c r="A87" t="s">
        <v>225</v>
      </c>
      <c r="B87">
        <v>0.39700000000000002</v>
      </c>
      <c r="C87">
        <v>0.23200000000000001</v>
      </c>
      <c r="D87">
        <v>4.7E-2</v>
      </c>
      <c r="E87">
        <v>7.0999999999999994E-2</v>
      </c>
      <c r="F87">
        <v>0.20799999999999999</v>
      </c>
      <c r="G87">
        <v>0.36599999999999999</v>
      </c>
      <c r="H87">
        <v>0.55700000000000005</v>
      </c>
      <c r="I87">
        <v>0.83699999999999997</v>
      </c>
      <c r="J87">
        <v>0.88700000000000001</v>
      </c>
    </row>
    <row r="88" spans="1:10" x14ac:dyDescent="0.3">
      <c r="A88" t="s">
        <v>224</v>
      </c>
      <c r="B88">
        <v>0.221</v>
      </c>
      <c r="C88">
        <v>0.24</v>
      </c>
      <c r="D88">
        <v>1.6E-2</v>
      </c>
      <c r="E88">
        <v>2.4E-2</v>
      </c>
      <c r="F88">
        <v>6.7000000000000004E-2</v>
      </c>
      <c r="G88">
        <v>0.129</v>
      </c>
      <c r="H88">
        <v>0.249</v>
      </c>
      <c r="I88">
        <v>0.83299999999999996</v>
      </c>
      <c r="J88">
        <v>0.89800000000000002</v>
      </c>
    </row>
    <row r="89" spans="1:10" x14ac:dyDescent="0.3">
      <c r="A89" t="s">
        <v>223</v>
      </c>
      <c r="B89">
        <v>0.29699999999999999</v>
      </c>
      <c r="C89">
        <v>0.22800000000000001</v>
      </c>
      <c r="D89">
        <v>2.5999999999999999E-2</v>
      </c>
      <c r="E89">
        <v>4.1000000000000002E-2</v>
      </c>
      <c r="F89">
        <v>0.123</v>
      </c>
      <c r="G89">
        <v>0.23</v>
      </c>
      <c r="H89">
        <v>0.41199999999999998</v>
      </c>
      <c r="I89">
        <v>0.78900000000000003</v>
      </c>
      <c r="J89">
        <v>0.86799999999999999</v>
      </c>
    </row>
    <row r="90" spans="1:10" x14ac:dyDescent="0.3">
      <c r="A90" t="s">
        <v>222</v>
      </c>
      <c r="B90">
        <v>0.439</v>
      </c>
      <c r="C90">
        <v>0.22900000000000001</v>
      </c>
      <c r="D90">
        <v>5.3999999999999999E-2</v>
      </c>
      <c r="E90">
        <v>8.2000000000000003E-2</v>
      </c>
      <c r="F90">
        <v>0.26300000000000001</v>
      </c>
      <c r="G90">
        <v>0.42899999999999999</v>
      </c>
      <c r="H90">
        <v>0.60699999999999998</v>
      </c>
      <c r="I90">
        <v>0.84099999999999997</v>
      </c>
      <c r="J90">
        <v>0.88500000000000001</v>
      </c>
    </row>
    <row r="91" spans="1:10" x14ac:dyDescent="0.3">
      <c r="A91" t="s">
        <v>221</v>
      </c>
      <c r="B91">
        <v>0.47199999999999998</v>
      </c>
      <c r="C91">
        <v>0.23100000000000001</v>
      </c>
      <c r="D91">
        <v>6.6000000000000003E-2</v>
      </c>
      <c r="E91">
        <v>0.104</v>
      </c>
      <c r="F91">
        <v>0.29299999999999998</v>
      </c>
      <c r="G91">
        <v>0.47</v>
      </c>
      <c r="H91">
        <v>0.64200000000000002</v>
      </c>
      <c r="I91">
        <v>0.85899999999999999</v>
      </c>
      <c r="J91">
        <v>0.90200000000000002</v>
      </c>
    </row>
    <row r="92" spans="1:10" x14ac:dyDescent="0.3">
      <c r="A92" t="s">
        <v>220</v>
      </c>
      <c r="B92">
        <v>0.48</v>
      </c>
      <c r="C92">
        <v>0.23100000000000001</v>
      </c>
      <c r="D92">
        <v>6.3E-2</v>
      </c>
      <c r="E92">
        <v>0.1</v>
      </c>
      <c r="F92">
        <v>0.30299999999999999</v>
      </c>
      <c r="G92">
        <v>0.47799999999999998</v>
      </c>
      <c r="H92">
        <v>0.64900000000000002</v>
      </c>
      <c r="I92">
        <v>0.86199999999999999</v>
      </c>
      <c r="J92">
        <v>0.90100000000000002</v>
      </c>
    </row>
    <row r="93" spans="1:10" x14ac:dyDescent="0.3">
      <c r="A93" t="s">
        <v>219</v>
      </c>
      <c r="B93">
        <v>0.44800000000000001</v>
      </c>
      <c r="C93">
        <v>0.223</v>
      </c>
      <c r="D93">
        <v>6.4000000000000001E-2</v>
      </c>
      <c r="E93">
        <v>0.10100000000000001</v>
      </c>
      <c r="F93">
        <v>0.27100000000000002</v>
      </c>
      <c r="G93">
        <v>0.434</v>
      </c>
      <c r="H93">
        <v>0.61299999999999999</v>
      </c>
      <c r="I93">
        <v>0.84099999999999997</v>
      </c>
      <c r="J93">
        <v>0.88600000000000001</v>
      </c>
    </row>
    <row r="94" spans="1:10" x14ac:dyDescent="0.3">
      <c r="A94" t="s">
        <v>218</v>
      </c>
      <c r="B94">
        <v>0.47199999999999998</v>
      </c>
      <c r="C94">
        <v>0.22600000000000001</v>
      </c>
      <c r="D94">
        <v>6.8000000000000005E-2</v>
      </c>
      <c r="E94">
        <v>0.10199999999999999</v>
      </c>
      <c r="F94">
        <v>0.29699999999999999</v>
      </c>
      <c r="G94">
        <v>0.47399999999999998</v>
      </c>
      <c r="H94">
        <v>0.64300000000000002</v>
      </c>
      <c r="I94">
        <v>0.84699999999999998</v>
      </c>
      <c r="J94">
        <v>0.89500000000000002</v>
      </c>
    </row>
    <row r="95" spans="1:10" x14ac:dyDescent="0.3">
      <c r="A95" t="s">
        <v>217</v>
      </c>
      <c r="B95">
        <v>0.48199999999999998</v>
      </c>
      <c r="C95">
        <v>0.23</v>
      </c>
      <c r="D95">
        <v>7.1999999999999995E-2</v>
      </c>
      <c r="E95">
        <v>0.106</v>
      </c>
      <c r="F95">
        <v>0.30599999999999999</v>
      </c>
      <c r="G95">
        <v>0.48799999999999999</v>
      </c>
      <c r="H95">
        <v>0.66100000000000003</v>
      </c>
      <c r="I95">
        <v>0.85699999999999998</v>
      </c>
      <c r="J95">
        <v>0.89500000000000002</v>
      </c>
    </row>
    <row r="96" spans="1:10" x14ac:dyDescent="0.3">
      <c r="A96" t="s">
        <v>216</v>
      </c>
      <c r="B96">
        <v>0.42</v>
      </c>
      <c r="C96">
        <v>0.223</v>
      </c>
      <c r="D96">
        <v>5.8000000000000003E-2</v>
      </c>
      <c r="E96">
        <v>8.2000000000000003E-2</v>
      </c>
      <c r="F96">
        <v>0.24399999999999999</v>
      </c>
      <c r="G96">
        <v>0.40300000000000002</v>
      </c>
      <c r="H96">
        <v>0.57399999999999995</v>
      </c>
      <c r="I96">
        <v>0.82499999999999996</v>
      </c>
      <c r="J96">
        <v>0.88200000000000001</v>
      </c>
    </row>
    <row r="97" spans="1:10" x14ac:dyDescent="0.3">
      <c r="A97" t="s">
        <v>215</v>
      </c>
      <c r="B97">
        <v>0.47599999999999998</v>
      </c>
      <c r="C97">
        <v>0.22500000000000001</v>
      </c>
      <c r="D97">
        <v>6.5000000000000002E-2</v>
      </c>
      <c r="E97">
        <v>0.113</v>
      </c>
      <c r="F97">
        <v>0.30399999999999999</v>
      </c>
      <c r="G97">
        <v>0.47399999999999998</v>
      </c>
      <c r="H97">
        <v>0.64400000000000002</v>
      </c>
      <c r="I97">
        <v>0.85299999999999998</v>
      </c>
      <c r="J97">
        <v>0.90500000000000003</v>
      </c>
    </row>
    <row r="98" spans="1:10" x14ac:dyDescent="0.3">
      <c r="A98" t="s">
        <v>214</v>
      </c>
      <c r="B98">
        <v>0.51500000000000001</v>
      </c>
      <c r="C98">
        <v>0.23200000000000001</v>
      </c>
      <c r="D98">
        <v>7.1999999999999995E-2</v>
      </c>
      <c r="E98">
        <v>0.108</v>
      </c>
      <c r="F98">
        <v>0.34499999999999997</v>
      </c>
      <c r="G98">
        <v>0.52600000000000002</v>
      </c>
      <c r="H98">
        <v>0.69799999999999995</v>
      </c>
      <c r="I98">
        <v>0.873</v>
      </c>
      <c r="J98">
        <v>0.91300000000000003</v>
      </c>
    </row>
    <row r="99" spans="1:10" x14ac:dyDescent="0.3">
      <c r="A99" t="s">
        <v>213</v>
      </c>
      <c r="B99">
        <v>0.52400000000000002</v>
      </c>
      <c r="C99">
        <v>0.23400000000000001</v>
      </c>
      <c r="D99">
        <v>7.3999999999999996E-2</v>
      </c>
      <c r="E99">
        <v>0.113</v>
      </c>
      <c r="F99">
        <v>0.34799999999999998</v>
      </c>
      <c r="G99">
        <v>0.54</v>
      </c>
      <c r="H99">
        <v>0.71099999999999997</v>
      </c>
      <c r="I99">
        <v>0.88100000000000001</v>
      </c>
      <c r="J99">
        <v>0.91900000000000004</v>
      </c>
    </row>
    <row r="100" spans="1:10" x14ac:dyDescent="0.3">
      <c r="A100" t="s">
        <v>212</v>
      </c>
      <c r="B100">
        <v>0.46300000000000002</v>
      </c>
      <c r="C100">
        <v>0.22700000000000001</v>
      </c>
      <c r="D100">
        <v>7.2999999999999995E-2</v>
      </c>
      <c r="E100">
        <v>0.104</v>
      </c>
      <c r="F100">
        <v>0.28699999999999998</v>
      </c>
      <c r="G100">
        <v>0.45</v>
      </c>
      <c r="H100">
        <v>0.63600000000000001</v>
      </c>
      <c r="I100">
        <v>0.84099999999999997</v>
      </c>
      <c r="J100">
        <v>0.89200000000000002</v>
      </c>
    </row>
    <row r="101" spans="1:10" x14ac:dyDescent="0.3">
      <c r="A101" t="s">
        <v>211</v>
      </c>
      <c r="B101">
        <v>0.46100000000000002</v>
      </c>
      <c r="C101">
        <v>0.22600000000000001</v>
      </c>
      <c r="D101">
        <v>6.3E-2</v>
      </c>
      <c r="E101">
        <v>9.9000000000000005E-2</v>
      </c>
      <c r="F101">
        <v>0.28699999999999998</v>
      </c>
      <c r="G101">
        <v>0.45900000000000002</v>
      </c>
      <c r="H101">
        <v>0.626</v>
      </c>
      <c r="I101">
        <v>0.84599999999999997</v>
      </c>
      <c r="J101">
        <v>0.89</v>
      </c>
    </row>
    <row r="102" spans="1:10" x14ac:dyDescent="0.3">
      <c r="A102" t="s">
        <v>210</v>
      </c>
      <c r="B102">
        <v>0.46899999999999997</v>
      </c>
      <c r="C102">
        <v>0.23100000000000001</v>
      </c>
      <c r="D102">
        <v>6.3E-2</v>
      </c>
      <c r="E102">
        <v>0.104</v>
      </c>
      <c r="F102">
        <v>0.28799999999999998</v>
      </c>
      <c r="G102">
        <v>0.46700000000000003</v>
      </c>
      <c r="H102">
        <v>0.64500000000000002</v>
      </c>
      <c r="I102">
        <v>0.85499999999999998</v>
      </c>
      <c r="J102">
        <v>0.89900000000000002</v>
      </c>
    </row>
    <row r="103" spans="1:10" x14ac:dyDescent="0.3">
      <c r="A103" t="s">
        <v>209</v>
      </c>
      <c r="B103">
        <v>0.503</v>
      </c>
      <c r="C103">
        <v>0.23200000000000001</v>
      </c>
      <c r="D103">
        <v>6.5000000000000002E-2</v>
      </c>
      <c r="E103">
        <v>0.10100000000000001</v>
      </c>
      <c r="F103">
        <v>0.33300000000000002</v>
      </c>
      <c r="G103">
        <v>0.51</v>
      </c>
      <c r="H103">
        <v>0.68600000000000005</v>
      </c>
      <c r="I103">
        <v>0.878</v>
      </c>
      <c r="J103">
        <v>0.91400000000000003</v>
      </c>
    </row>
    <row r="104" spans="1:10" x14ac:dyDescent="0.3">
      <c r="A104" t="s">
        <v>208</v>
      </c>
      <c r="B104">
        <v>0.45100000000000001</v>
      </c>
      <c r="C104">
        <v>0.23499999999999999</v>
      </c>
      <c r="D104">
        <v>5.7000000000000002E-2</v>
      </c>
      <c r="E104">
        <v>8.3000000000000004E-2</v>
      </c>
      <c r="F104">
        <v>0.26500000000000001</v>
      </c>
      <c r="G104">
        <v>0.438</v>
      </c>
      <c r="H104">
        <v>0.63200000000000001</v>
      </c>
      <c r="I104">
        <v>0.85199999999999998</v>
      </c>
      <c r="J104">
        <v>0.90100000000000002</v>
      </c>
    </row>
    <row r="105" spans="1:10" x14ac:dyDescent="0.3">
      <c r="A105" t="s">
        <v>207</v>
      </c>
      <c r="B105">
        <v>0.34599999999999997</v>
      </c>
      <c r="C105">
        <v>0.124</v>
      </c>
      <c r="D105">
        <v>0.113</v>
      </c>
      <c r="E105">
        <v>0.14399999999999999</v>
      </c>
      <c r="F105">
        <v>0.25800000000000001</v>
      </c>
      <c r="G105">
        <v>0.34699999999999998</v>
      </c>
      <c r="H105">
        <v>0.43099999999999999</v>
      </c>
      <c r="I105">
        <v>0.54900000000000004</v>
      </c>
      <c r="J105">
        <v>0.59</v>
      </c>
    </row>
    <row r="106" spans="1:10" x14ac:dyDescent="0.3">
      <c r="A106" t="s">
        <v>206</v>
      </c>
      <c r="B106">
        <v>0.25800000000000001</v>
      </c>
      <c r="C106">
        <v>0.189</v>
      </c>
      <c r="D106">
        <v>0.02</v>
      </c>
      <c r="E106">
        <v>0.03</v>
      </c>
      <c r="F106">
        <v>0.108</v>
      </c>
      <c r="G106">
        <v>0.217</v>
      </c>
      <c r="H106">
        <v>0.36599999999999999</v>
      </c>
      <c r="I106">
        <v>0.625</v>
      </c>
      <c r="J106">
        <v>0.72599999999999998</v>
      </c>
    </row>
    <row r="107" spans="1:10" x14ac:dyDescent="0.3">
      <c r="A107" t="s">
        <v>205</v>
      </c>
      <c r="B107">
        <v>0.248</v>
      </c>
      <c r="C107">
        <v>0.19800000000000001</v>
      </c>
      <c r="D107">
        <v>1.7999999999999999E-2</v>
      </c>
      <c r="E107">
        <v>2.5999999999999999E-2</v>
      </c>
      <c r="F107">
        <v>9.1999999999999998E-2</v>
      </c>
      <c r="G107">
        <v>0.192</v>
      </c>
      <c r="H107">
        <v>0.35799999999999998</v>
      </c>
      <c r="I107">
        <v>0.65100000000000002</v>
      </c>
      <c r="J107">
        <v>0.754</v>
      </c>
    </row>
    <row r="108" spans="1:10" x14ac:dyDescent="0.3">
      <c r="A108" t="s">
        <v>204</v>
      </c>
      <c r="B108">
        <v>0.23100000000000001</v>
      </c>
      <c r="C108">
        <v>0.17199999999999999</v>
      </c>
      <c r="D108">
        <v>1.9E-2</v>
      </c>
      <c r="E108">
        <v>2.9000000000000001E-2</v>
      </c>
      <c r="F108">
        <v>9.8000000000000004E-2</v>
      </c>
      <c r="G108">
        <v>0.192</v>
      </c>
      <c r="H108">
        <v>0.32600000000000001</v>
      </c>
      <c r="I108">
        <v>0.56699999999999995</v>
      </c>
      <c r="J108">
        <v>0.67200000000000004</v>
      </c>
    </row>
    <row r="109" spans="1:10" x14ac:dyDescent="0.3">
      <c r="A109" t="s">
        <v>203</v>
      </c>
      <c r="B109">
        <v>0.376</v>
      </c>
      <c r="C109">
        <v>0.214</v>
      </c>
      <c r="D109">
        <v>3.5999999999999997E-2</v>
      </c>
      <c r="E109">
        <v>5.8999999999999997E-2</v>
      </c>
      <c r="F109">
        <v>0.20799999999999999</v>
      </c>
      <c r="G109">
        <v>0.35799999999999998</v>
      </c>
      <c r="H109">
        <v>0.52700000000000002</v>
      </c>
      <c r="I109">
        <v>0.76200000000000001</v>
      </c>
      <c r="J109">
        <v>0.82399999999999995</v>
      </c>
    </row>
    <row r="110" spans="1:10" x14ac:dyDescent="0.3">
      <c r="A110" t="s">
        <v>202</v>
      </c>
      <c r="B110">
        <v>0.34399999999999997</v>
      </c>
      <c r="C110">
        <v>0.2</v>
      </c>
      <c r="D110">
        <v>3.2000000000000001E-2</v>
      </c>
      <c r="E110">
        <v>5.2999999999999999E-2</v>
      </c>
      <c r="F110">
        <v>0.185</v>
      </c>
      <c r="G110">
        <v>0.33100000000000002</v>
      </c>
      <c r="H110">
        <v>0.47799999999999998</v>
      </c>
      <c r="I110">
        <v>0.70499999999999996</v>
      </c>
      <c r="J110">
        <v>0.77300000000000002</v>
      </c>
    </row>
    <row r="111" spans="1:10" x14ac:dyDescent="0.3">
      <c r="A111" t="s">
        <v>201</v>
      </c>
      <c r="B111">
        <v>0.41599999999999998</v>
      </c>
      <c r="C111">
        <v>0.22800000000000001</v>
      </c>
      <c r="D111">
        <v>3.2000000000000001E-2</v>
      </c>
      <c r="E111">
        <v>5.7000000000000002E-2</v>
      </c>
      <c r="F111">
        <v>0.23100000000000001</v>
      </c>
      <c r="G111">
        <v>0.41799999999999998</v>
      </c>
      <c r="H111">
        <v>0.58499999999999996</v>
      </c>
      <c r="I111">
        <v>0.80100000000000005</v>
      </c>
      <c r="J111">
        <v>0.85699999999999998</v>
      </c>
    </row>
    <row r="112" spans="1:10" x14ac:dyDescent="0.3">
      <c r="A112" t="s">
        <v>200</v>
      </c>
      <c r="B112">
        <v>0.66</v>
      </c>
      <c r="C112">
        <v>0.26200000000000001</v>
      </c>
      <c r="D112">
        <v>2.9000000000000001E-2</v>
      </c>
      <c r="E112">
        <v>5.5E-2</v>
      </c>
      <c r="F112">
        <v>0.58399999999999996</v>
      </c>
      <c r="G112">
        <v>0.746</v>
      </c>
      <c r="H112">
        <v>0.84499999999999997</v>
      </c>
      <c r="I112">
        <v>0.93300000000000005</v>
      </c>
      <c r="J112">
        <v>0.94699999999999995</v>
      </c>
    </row>
    <row r="113" spans="1:10" x14ac:dyDescent="0.3">
      <c r="A113" t="s">
        <v>199</v>
      </c>
      <c r="B113">
        <v>0.53400000000000003</v>
      </c>
      <c r="C113">
        <v>0.247</v>
      </c>
      <c r="D113">
        <v>0.04</v>
      </c>
      <c r="E113">
        <v>6.9000000000000006E-2</v>
      </c>
      <c r="F113">
        <v>0.35199999999999998</v>
      </c>
      <c r="G113">
        <v>0.58599999999999997</v>
      </c>
      <c r="H113">
        <v>0.72799999999999998</v>
      </c>
      <c r="I113">
        <v>0.86899999999999999</v>
      </c>
      <c r="J113">
        <v>0.90400000000000003</v>
      </c>
    </row>
    <row r="114" spans="1:10" x14ac:dyDescent="0.3">
      <c r="A114" t="s">
        <v>198</v>
      </c>
      <c r="B114">
        <v>0.32200000000000001</v>
      </c>
      <c r="C114">
        <v>0.19800000000000001</v>
      </c>
      <c r="D114">
        <v>3.3000000000000002E-2</v>
      </c>
      <c r="E114">
        <v>4.8000000000000001E-2</v>
      </c>
      <c r="F114">
        <v>0.16</v>
      </c>
      <c r="G114">
        <v>0.29699999999999999</v>
      </c>
      <c r="H114">
        <v>0.45400000000000001</v>
      </c>
      <c r="I114">
        <v>0.68700000000000006</v>
      </c>
      <c r="J114">
        <v>0.745</v>
      </c>
    </row>
    <row r="115" spans="1:10" x14ac:dyDescent="0.3">
      <c r="A115" t="s">
        <v>197</v>
      </c>
      <c r="B115">
        <v>0.29299999999999998</v>
      </c>
      <c r="C115">
        <v>0.192</v>
      </c>
      <c r="D115">
        <v>2.8000000000000001E-2</v>
      </c>
      <c r="E115">
        <v>4.2999999999999997E-2</v>
      </c>
      <c r="F115">
        <v>0.14299999999999999</v>
      </c>
      <c r="G115">
        <v>0.26200000000000001</v>
      </c>
      <c r="H115">
        <v>0.41299999999999998</v>
      </c>
      <c r="I115">
        <v>0.65100000000000002</v>
      </c>
      <c r="J115">
        <v>0.73499999999999999</v>
      </c>
    </row>
    <row r="116" spans="1:10" x14ac:dyDescent="0.3">
      <c r="A116" t="s">
        <v>196</v>
      </c>
      <c r="B116">
        <v>0.29499999999999998</v>
      </c>
      <c r="C116">
        <v>0.188</v>
      </c>
      <c r="D116">
        <v>2.5000000000000001E-2</v>
      </c>
      <c r="E116">
        <v>0.04</v>
      </c>
      <c r="F116">
        <v>0.14399999999999999</v>
      </c>
      <c r="G116">
        <v>0.27</v>
      </c>
      <c r="H116">
        <v>0.41699999999999998</v>
      </c>
      <c r="I116">
        <v>0.64700000000000002</v>
      </c>
      <c r="J116">
        <v>0.73499999999999999</v>
      </c>
    </row>
    <row r="117" spans="1:10" x14ac:dyDescent="0.3">
      <c r="A117" t="s">
        <v>195</v>
      </c>
      <c r="B117">
        <v>0.32700000000000001</v>
      </c>
      <c r="C117">
        <v>0.19700000000000001</v>
      </c>
      <c r="D117">
        <v>3.3000000000000002E-2</v>
      </c>
      <c r="E117">
        <v>0.05</v>
      </c>
      <c r="F117">
        <v>0.17100000000000001</v>
      </c>
      <c r="G117">
        <v>0.30299999999999999</v>
      </c>
      <c r="H117">
        <v>0.45500000000000002</v>
      </c>
      <c r="I117">
        <v>0.69299999999999995</v>
      </c>
      <c r="J117">
        <v>0.75800000000000001</v>
      </c>
    </row>
    <row r="118" spans="1:10" x14ac:dyDescent="0.3">
      <c r="A118" t="s">
        <v>194</v>
      </c>
      <c r="B118">
        <v>0.30099999999999999</v>
      </c>
      <c r="C118">
        <v>0.184</v>
      </c>
      <c r="D118">
        <v>2.7E-2</v>
      </c>
      <c r="E118">
        <v>4.7E-2</v>
      </c>
      <c r="F118">
        <v>0.157</v>
      </c>
      <c r="G118">
        <v>0.27900000000000003</v>
      </c>
      <c r="H118">
        <v>0.41699999999999998</v>
      </c>
      <c r="I118">
        <v>0.64</v>
      </c>
      <c r="J118">
        <v>0.71599999999999997</v>
      </c>
    </row>
    <row r="119" spans="1:10" x14ac:dyDescent="0.3">
      <c r="A119" t="s">
        <v>193</v>
      </c>
      <c r="B119">
        <v>0.28599999999999998</v>
      </c>
      <c r="C119">
        <v>0.184</v>
      </c>
      <c r="D119">
        <v>3.1E-2</v>
      </c>
      <c r="E119">
        <v>4.4999999999999998E-2</v>
      </c>
      <c r="F119">
        <v>0.13700000000000001</v>
      </c>
      <c r="G119">
        <v>0.25800000000000001</v>
      </c>
      <c r="H119">
        <v>0.39600000000000002</v>
      </c>
      <c r="I119">
        <v>0.63600000000000001</v>
      </c>
      <c r="J119">
        <v>0.72099999999999997</v>
      </c>
    </row>
    <row r="120" spans="1:10" x14ac:dyDescent="0.3">
      <c r="A120" t="s">
        <v>192</v>
      </c>
      <c r="B120">
        <v>0.36599999999999999</v>
      </c>
      <c r="C120">
        <v>0.20799999999999999</v>
      </c>
      <c r="D120">
        <v>3.5999999999999997E-2</v>
      </c>
      <c r="E120">
        <v>5.3999999999999999E-2</v>
      </c>
      <c r="F120">
        <v>0.20300000000000001</v>
      </c>
      <c r="G120">
        <v>0.35399999999999998</v>
      </c>
      <c r="H120">
        <v>0.51100000000000001</v>
      </c>
      <c r="I120">
        <v>0.74099999999999999</v>
      </c>
      <c r="J120">
        <v>0.80200000000000005</v>
      </c>
    </row>
    <row r="121" spans="1:10" x14ac:dyDescent="0.3">
      <c r="A121" t="s">
        <v>191</v>
      </c>
      <c r="B121">
        <v>0.31</v>
      </c>
      <c r="C121">
        <v>0.19</v>
      </c>
      <c r="D121">
        <v>2.8000000000000001E-2</v>
      </c>
      <c r="E121">
        <v>4.7E-2</v>
      </c>
      <c r="F121">
        <v>0.16</v>
      </c>
      <c r="G121">
        <v>0.28899999999999998</v>
      </c>
      <c r="H121">
        <v>0.43099999999999999</v>
      </c>
      <c r="I121">
        <v>0.65400000000000003</v>
      </c>
      <c r="J121">
        <v>0.73499999999999999</v>
      </c>
    </row>
    <row r="122" spans="1:10" x14ac:dyDescent="0.3">
      <c r="A122" t="s">
        <v>190</v>
      </c>
      <c r="B122">
        <v>0.26800000000000002</v>
      </c>
      <c r="C122">
        <v>0.18</v>
      </c>
      <c r="D122">
        <v>2.3E-2</v>
      </c>
      <c r="E122">
        <v>3.5999999999999997E-2</v>
      </c>
      <c r="F122">
        <v>0.127</v>
      </c>
      <c r="G122">
        <v>0.23599999999999999</v>
      </c>
      <c r="H122">
        <v>0.374</v>
      </c>
      <c r="I122">
        <v>0.60799999999999998</v>
      </c>
      <c r="J122">
        <v>0.69799999999999995</v>
      </c>
    </row>
    <row r="123" spans="1:10" x14ac:dyDescent="0.3">
      <c r="A123" t="s">
        <v>189</v>
      </c>
      <c r="B123">
        <v>0.23400000000000001</v>
      </c>
      <c r="C123">
        <v>0.16</v>
      </c>
      <c r="D123">
        <v>2.1999999999999999E-2</v>
      </c>
      <c r="E123">
        <v>3.4000000000000002E-2</v>
      </c>
      <c r="F123">
        <v>0.107</v>
      </c>
      <c r="G123">
        <v>0.20599999999999999</v>
      </c>
      <c r="H123">
        <v>0.32700000000000001</v>
      </c>
      <c r="I123">
        <v>0.54100000000000004</v>
      </c>
      <c r="J123">
        <v>0.625</v>
      </c>
    </row>
    <row r="124" spans="1:10" x14ac:dyDescent="0.3">
      <c r="A124" t="s">
        <v>188</v>
      </c>
      <c r="B124">
        <v>0.31900000000000001</v>
      </c>
      <c r="C124">
        <v>0.193</v>
      </c>
      <c r="D124">
        <v>3.2000000000000001E-2</v>
      </c>
      <c r="E124">
        <v>0.05</v>
      </c>
      <c r="F124">
        <v>0.16500000000000001</v>
      </c>
      <c r="G124">
        <v>0.29499999999999998</v>
      </c>
      <c r="H124">
        <v>0.44800000000000001</v>
      </c>
      <c r="I124">
        <v>0.67600000000000005</v>
      </c>
      <c r="J124">
        <v>0.752</v>
      </c>
    </row>
    <row r="125" spans="1:10" x14ac:dyDescent="0.3">
      <c r="A125" t="s">
        <v>187</v>
      </c>
      <c r="B125">
        <v>0.32200000000000001</v>
      </c>
      <c r="C125">
        <v>0.19800000000000001</v>
      </c>
      <c r="D125">
        <v>2.9000000000000001E-2</v>
      </c>
      <c r="E125">
        <v>4.9000000000000002E-2</v>
      </c>
      <c r="F125">
        <v>0.16200000000000001</v>
      </c>
      <c r="G125">
        <v>0.29899999999999999</v>
      </c>
      <c r="H125">
        <v>0.44900000000000001</v>
      </c>
      <c r="I125">
        <v>0.69099999999999995</v>
      </c>
      <c r="J125">
        <v>0.76800000000000002</v>
      </c>
    </row>
    <row r="126" spans="1:10" x14ac:dyDescent="0.3">
      <c r="A126" t="s">
        <v>186</v>
      </c>
      <c r="B126">
        <v>0.316</v>
      </c>
      <c r="C126">
        <v>0.191</v>
      </c>
      <c r="D126">
        <v>2.9000000000000001E-2</v>
      </c>
      <c r="E126">
        <v>4.4999999999999998E-2</v>
      </c>
      <c r="F126">
        <v>0.16400000000000001</v>
      </c>
      <c r="G126">
        <v>0.29499999999999998</v>
      </c>
      <c r="H126">
        <v>0.44500000000000001</v>
      </c>
      <c r="I126">
        <v>0.66</v>
      </c>
      <c r="J126">
        <v>0.73199999999999998</v>
      </c>
    </row>
    <row r="127" spans="1:10" x14ac:dyDescent="0.3">
      <c r="A127" t="s">
        <v>185</v>
      </c>
      <c r="B127">
        <v>0.27800000000000002</v>
      </c>
      <c r="C127">
        <v>0.184</v>
      </c>
      <c r="D127">
        <v>2.5000000000000001E-2</v>
      </c>
      <c r="E127">
        <v>0.04</v>
      </c>
      <c r="F127">
        <v>0.127</v>
      </c>
      <c r="G127">
        <v>0.249</v>
      </c>
      <c r="H127">
        <v>0.39600000000000002</v>
      </c>
      <c r="I127">
        <v>0.62</v>
      </c>
      <c r="J127">
        <v>0.70699999999999996</v>
      </c>
    </row>
    <row r="128" spans="1:10" x14ac:dyDescent="0.3">
      <c r="A128" t="s">
        <v>184</v>
      </c>
      <c r="B128">
        <v>0.35599999999999998</v>
      </c>
      <c r="C128">
        <v>0.214</v>
      </c>
      <c r="D128">
        <v>2.5000000000000001E-2</v>
      </c>
      <c r="E128">
        <v>4.2000000000000003E-2</v>
      </c>
      <c r="F128">
        <v>0.183</v>
      </c>
      <c r="G128">
        <v>0.33800000000000002</v>
      </c>
      <c r="H128">
        <v>0.51</v>
      </c>
      <c r="I128">
        <v>0.73499999999999999</v>
      </c>
      <c r="J128">
        <v>0.79400000000000004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541"/>
  <sheetViews>
    <sheetView workbookViewId="0"/>
  </sheetViews>
  <sheetFormatPr defaultRowHeight="16.5" x14ac:dyDescent="0.3"/>
  <sheetData>
    <row r="2" spans="1:1" x14ac:dyDescent="0.3">
      <c r="A2" t="s">
        <v>314</v>
      </c>
    </row>
    <row r="3" spans="1:1" x14ac:dyDescent="0.3">
      <c r="A3" t="s">
        <v>326</v>
      </c>
    </row>
    <row r="4" spans="1:1" x14ac:dyDescent="0.3">
      <c r="A4" t="s">
        <v>314</v>
      </c>
    </row>
    <row r="6" spans="1:1" x14ac:dyDescent="0.3">
      <c r="A6" t="s">
        <v>325</v>
      </c>
    </row>
    <row r="9" spans="1:1" x14ac:dyDescent="0.3">
      <c r="A9" t="s">
        <v>1327</v>
      </c>
    </row>
    <row r="11" spans="1:1" x14ac:dyDescent="0.3">
      <c r="A11" t="s">
        <v>324</v>
      </c>
    </row>
    <row r="12" spans="1:1" x14ac:dyDescent="0.3">
      <c r="A12" t="s">
        <v>829</v>
      </c>
    </row>
    <row r="14" spans="1:1" x14ac:dyDescent="0.3">
      <c r="A14" t="s">
        <v>324</v>
      </c>
    </row>
    <row r="15" spans="1:1" x14ac:dyDescent="0.3">
      <c r="A15" t="s">
        <v>828</v>
      </c>
    </row>
    <row r="18" spans="1:1" x14ac:dyDescent="0.3">
      <c r="A18" t="s">
        <v>323</v>
      </c>
    </row>
    <row r="20" spans="1:1" x14ac:dyDescent="0.3">
      <c r="A20" t="s">
        <v>322</v>
      </c>
    </row>
    <row r="21" spans="1:1" x14ac:dyDescent="0.3">
      <c r="A21" t="s">
        <v>1326</v>
      </c>
    </row>
    <row r="22" spans="1:1" x14ac:dyDescent="0.3">
      <c r="A22" t="s">
        <v>1325</v>
      </c>
    </row>
    <row r="23" spans="1:1" x14ac:dyDescent="0.3">
      <c r="A23" t="s">
        <v>1324</v>
      </c>
    </row>
    <row r="24" spans="1:1" x14ac:dyDescent="0.3">
      <c r="A24" t="s">
        <v>1323</v>
      </c>
    </row>
    <row r="25" spans="1:1" x14ac:dyDescent="0.3">
      <c r="A25" t="s">
        <v>1322</v>
      </c>
    </row>
    <row r="26" spans="1:1" x14ac:dyDescent="0.3">
      <c r="A26" t="s">
        <v>1321</v>
      </c>
    </row>
    <row r="27" spans="1:1" x14ac:dyDescent="0.3">
      <c r="A27" t="s">
        <v>1320</v>
      </c>
    </row>
    <row r="28" spans="1:1" x14ac:dyDescent="0.3">
      <c r="A28" t="s">
        <v>1319</v>
      </c>
    </row>
    <row r="29" spans="1:1" x14ac:dyDescent="0.3">
      <c r="A29" t="s">
        <v>1318</v>
      </c>
    </row>
    <row r="30" spans="1:1" x14ac:dyDescent="0.3">
      <c r="A30" t="s">
        <v>1317</v>
      </c>
    </row>
    <row r="33" spans="1:1" x14ac:dyDescent="0.3">
      <c r="A33" t="s">
        <v>321</v>
      </c>
    </row>
    <row r="35" spans="1:1" x14ac:dyDescent="0.3">
      <c r="A35" t="s">
        <v>320</v>
      </c>
    </row>
    <row r="36" spans="1:1" x14ac:dyDescent="0.3">
      <c r="A36" t="s">
        <v>1316</v>
      </c>
    </row>
    <row r="37" spans="1:1" x14ac:dyDescent="0.3">
      <c r="A37" t="s">
        <v>319</v>
      </c>
    </row>
    <row r="38" spans="1:1" x14ac:dyDescent="0.3">
      <c r="A38" t="s">
        <v>318</v>
      </c>
    </row>
    <row r="39" spans="1:1" x14ac:dyDescent="0.3">
      <c r="A39" t="s">
        <v>317</v>
      </c>
    </row>
    <row r="40" spans="1:1" x14ac:dyDescent="0.3">
      <c r="A40" t="s">
        <v>316</v>
      </c>
    </row>
    <row r="41" spans="1:1" x14ac:dyDescent="0.3">
      <c r="A41" t="s">
        <v>1315</v>
      </c>
    </row>
    <row r="42" spans="1:1" x14ac:dyDescent="0.3">
      <c r="A42" t="s">
        <v>1314</v>
      </c>
    </row>
    <row r="43" spans="1:1" x14ac:dyDescent="0.3">
      <c r="A43" t="s">
        <v>1313</v>
      </c>
    </row>
    <row r="44" spans="1:1" x14ac:dyDescent="0.3">
      <c r="A44" t="s">
        <v>1312</v>
      </c>
    </row>
    <row r="45" spans="1:1" x14ac:dyDescent="0.3">
      <c r="A45" t="s">
        <v>1311</v>
      </c>
    </row>
    <row r="46" spans="1:1" x14ac:dyDescent="0.3">
      <c r="A46" t="s">
        <v>1310</v>
      </c>
    </row>
    <row r="47" spans="1:1" x14ac:dyDescent="0.3">
      <c r="A47" t="s">
        <v>1309</v>
      </c>
    </row>
    <row r="48" spans="1:1" x14ac:dyDescent="0.3">
      <c r="A48" t="s">
        <v>1308</v>
      </c>
    </row>
    <row r="49" spans="1:1" x14ac:dyDescent="0.3">
      <c r="A49" t="s">
        <v>1307</v>
      </c>
    </row>
    <row r="50" spans="1:1" x14ac:dyDescent="0.3">
      <c r="A50" t="s">
        <v>1306</v>
      </c>
    </row>
    <row r="51" spans="1:1" x14ac:dyDescent="0.3">
      <c r="A51" t="s">
        <v>1305</v>
      </c>
    </row>
    <row r="52" spans="1:1" x14ac:dyDescent="0.3">
      <c r="A52" t="s">
        <v>1304</v>
      </c>
    </row>
    <row r="53" spans="1:1" x14ac:dyDescent="0.3">
      <c r="A53" t="s">
        <v>1303</v>
      </c>
    </row>
    <row r="54" spans="1:1" x14ac:dyDescent="0.3">
      <c r="A54" t="s">
        <v>1302</v>
      </c>
    </row>
    <row r="55" spans="1:1" x14ac:dyDescent="0.3">
      <c r="A55" t="s">
        <v>1301</v>
      </c>
    </row>
    <row r="56" spans="1:1" x14ac:dyDescent="0.3">
      <c r="A56" t="s">
        <v>1300</v>
      </c>
    </row>
    <row r="57" spans="1:1" x14ac:dyDescent="0.3">
      <c r="A57" t="s">
        <v>1299</v>
      </c>
    </row>
    <row r="58" spans="1:1" x14ac:dyDescent="0.3">
      <c r="A58" t="s">
        <v>1298</v>
      </c>
    </row>
    <row r="59" spans="1:1" x14ac:dyDescent="0.3">
      <c r="A59" t="s">
        <v>1297</v>
      </c>
    </row>
    <row r="60" spans="1:1" x14ac:dyDescent="0.3">
      <c r="A60" t="s">
        <v>1296</v>
      </c>
    </row>
    <row r="61" spans="1:1" x14ac:dyDescent="0.3">
      <c r="A61" t="s">
        <v>1295</v>
      </c>
    </row>
    <row r="62" spans="1:1" x14ac:dyDescent="0.3">
      <c r="A62" t="s">
        <v>1294</v>
      </c>
    </row>
    <row r="63" spans="1:1" x14ac:dyDescent="0.3">
      <c r="A63" t="s">
        <v>1293</v>
      </c>
    </row>
    <row r="64" spans="1:1" x14ac:dyDescent="0.3">
      <c r="A64" t="s">
        <v>1292</v>
      </c>
    </row>
    <row r="65" spans="1:1" x14ac:dyDescent="0.3">
      <c r="A65" t="s">
        <v>1291</v>
      </c>
    </row>
    <row r="66" spans="1:1" x14ac:dyDescent="0.3">
      <c r="A66" t="s">
        <v>1290</v>
      </c>
    </row>
    <row r="67" spans="1:1" x14ac:dyDescent="0.3">
      <c r="A67" t="s">
        <v>1289</v>
      </c>
    </row>
    <row r="68" spans="1:1" x14ac:dyDescent="0.3">
      <c r="A68" t="s">
        <v>1288</v>
      </c>
    </row>
    <row r="69" spans="1:1" x14ac:dyDescent="0.3">
      <c r="A69" t="s">
        <v>1287</v>
      </c>
    </row>
    <row r="70" spans="1:1" x14ac:dyDescent="0.3">
      <c r="A70" t="s">
        <v>1286</v>
      </c>
    </row>
    <row r="71" spans="1:1" x14ac:dyDescent="0.3">
      <c r="A71" t="s">
        <v>1285</v>
      </c>
    </row>
    <row r="72" spans="1:1" x14ac:dyDescent="0.3">
      <c r="A72" t="s">
        <v>1284</v>
      </c>
    </row>
    <row r="73" spans="1:1" x14ac:dyDescent="0.3">
      <c r="A73" t="s">
        <v>1283</v>
      </c>
    </row>
    <row r="74" spans="1:1" x14ac:dyDescent="0.3">
      <c r="A74" t="s">
        <v>1282</v>
      </c>
    </row>
    <row r="75" spans="1:1" x14ac:dyDescent="0.3">
      <c r="A75" t="s">
        <v>1281</v>
      </c>
    </row>
    <row r="76" spans="1:1" x14ac:dyDescent="0.3">
      <c r="A76" t="s">
        <v>1280</v>
      </c>
    </row>
    <row r="77" spans="1:1" x14ac:dyDescent="0.3">
      <c r="A77" t="s">
        <v>1279</v>
      </c>
    </row>
    <row r="78" spans="1:1" x14ac:dyDescent="0.3">
      <c r="A78" t="s">
        <v>1278</v>
      </c>
    </row>
    <row r="79" spans="1:1" x14ac:dyDescent="0.3">
      <c r="A79" t="s">
        <v>1277</v>
      </c>
    </row>
    <row r="80" spans="1:1" x14ac:dyDescent="0.3">
      <c r="A80" t="s">
        <v>1276</v>
      </c>
    </row>
    <row r="81" spans="1:1" x14ac:dyDescent="0.3">
      <c r="A81" t="s">
        <v>1275</v>
      </c>
    </row>
    <row r="82" spans="1:1" x14ac:dyDescent="0.3">
      <c r="A82" t="s">
        <v>1274</v>
      </c>
    </row>
    <row r="83" spans="1:1" x14ac:dyDescent="0.3">
      <c r="A83" t="s">
        <v>1273</v>
      </c>
    </row>
    <row r="84" spans="1:1" x14ac:dyDescent="0.3">
      <c r="A84" t="s">
        <v>1272</v>
      </c>
    </row>
    <row r="85" spans="1:1" x14ac:dyDescent="0.3">
      <c r="A85" t="s">
        <v>1271</v>
      </c>
    </row>
    <row r="86" spans="1:1" x14ac:dyDescent="0.3">
      <c r="A86" t="s">
        <v>1270</v>
      </c>
    </row>
    <row r="87" spans="1:1" x14ac:dyDescent="0.3">
      <c r="A87" t="s">
        <v>1269</v>
      </c>
    </row>
    <row r="88" spans="1:1" x14ac:dyDescent="0.3">
      <c r="A88" t="s">
        <v>1268</v>
      </c>
    </row>
    <row r="89" spans="1:1" x14ac:dyDescent="0.3">
      <c r="A89" t="s">
        <v>1267</v>
      </c>
    </row>
    <row r="90" spans="1:1" x14ac:dyDescent="0.3">
      <c r="A90" t="s">
        <v>1266</v>
      </c>
    </row>
    <row r="91" spans="1:1" x14ac:dyDescent="0.3">
      <c r="A91" t="s">
        <v>1265</v>
      </c>
    </row>
    <row r="92" spans="1:1" x14ac:dyDescent="0.3">
      <c r="A92" t="s">
        <v>1264</v>
      </c>
    </row>
    <row r="93" spans="1:1" x14ac:dyDescent="0.3">
      <c r="A93" t="s">
        <v>1263</v>
      </c>
    </row>
    <row r="94" spans="1:1" x14ac:dyDescent="0.3">
      <c r="A94" t="s">
        <v>1262</v>
      </c>
    </row>
    <row r="95" spans="1:1" x14ac:dyDescent="0.3">
      <c r="A95" t="s">
        <v>1261</v>
      </c>
    </row>
    <row r="96" spans="1:1" x14ac:dyDescent="0.3">
      <c r="A96" t="s">
        <v>1260</v>
      </c>
    </row>
    <row r="97" spans="1:1" x14ac:dyDescent="0.3">
      <c r="A97" t="s">
        <v>1259</v>
      </c>
    </row>
    <row r="98" spans="1:1" x14ac:dyDescent="0.3">
      <c r="A98" t="s">
        <v>1258</v>
      </c>
    </row>
    <row r="99" spans="1:1" x14ac:dyDescent="0.3">
      <c r="A99" t="s">
        <v>1257</v>
      </c>
    </row>
    <row r="100" spans="1:1" x14ac:dyDescent="0.3">
      <c r="A100" t="s">
        <v>1256</v>
      </c>
    </row>
    <row r="101" spans="1:1" x14ac:dyDescent="0.3">
      <c r="A101" t="s">
        <v>1255</v>
      </c>
    </row>
    <row r="102" spans="1:1" x14ac:dyDescent="0.3">
      <c r="A102" t="s">
        <v>1254</v>
      </c>
    </row>
    <row r="103" spans="1:1" x14ac:dyDescent="0.3">
      <c r="A103" t="s">
        <v>1253</v>
      </c>
    </row>
    <row r="104" spans="1:1" x14ac:dyDescent="0.3">
      <c r="A104" t="s">
        <v>1252</v>
      </c>
    </row>
    <row r="105" spans="1:1" x14ac:dyDescent="0.3">
      <c r="A105" t="s">
        <v>1251</v>
      </c>
    </row>
    <row r="106" spans="1:1" x14ac:dyDescent="0.3">
      <c r="A106" t="s">
        <v>1250</v>
      </c>
    </row>
    <row r="107" spans="1:1" x14ac:dyDescent="0.3">
      <c r="A107" t="s">
        <v>1249</v>
      </c>
    </row>
    <row r="108" spans="1:1" x14ac:dyDescent="0.3">
      <c r="A108" t="s">
        <v>1248</v>
      </c>
    </row>
    <row r="109" spans="1:1" x14ac:dyDescent="0.3">
      <c r="A109" t="s">
        <v>1247</v>
      </c>
    </row>
    <row r="110" spans="1:1" x14ac:dyDescent="0.3">
      <c r="A110" t="s">
        <v>1246</v>
      </c>
    </row>
    <row r="111" spans="1:1" x14ac:dyDescent="0.3">
      <c r="A111" t="s">
        <v>1245</v>
      </c>
    </row>
    <row r="112" spans="1:1" x14ac:dyDescent="0.3">
      <c r="A112" t="s">
        <v>1244</v>
      </c>
    </row>
    <row r="113" spans="1:1" x14ac:dyDescent="0.3">
      <c r="A113" t="s">
        <v>1243</v>
      </c>
    </row>
    <row r="114" spans="1:1" x14ac:dyDescent="0.3">
      <c r="A114" t="s">
        <v>1242</v>
      </c>
    </row>
    <row r="115" spans="1:1" x14ac:dyDescent="0.3">
      <c r="A115" t="s">
        <v>1241</v>
      </c>
    </row>
    <row r="116" spans="1:1" x14ac:dyDescent="0.3">
      <c r="A116" t="s">
        <v>1240</v>
      </c>
    </row>
    <row r="117" spans="1:1" x14ac:dyDescent="0.3">
      <c r="A117" t="s">
        <v>1239</v>
      </c>
    </row>
    <row r="118" spans="1:1" x14ac:dyDescent="0.3">
      <c r="A118" t="s">
        <v>1238</v>
      </c>
    </row>
    <row r="119" spans="1:1" x14ac:dyDescent="0.3">
      <c r="A119" t="s">
        <v>1237</v>
      </c>
    </row>
    <row r="120" spans="1:1" x14ac:dyDescent="0.3">
      <c r="A120" t="s">
        <v>1236</v>
      </c>
    </row>
    <row r="121" spans="1:1" x14ac:dyDescent="0.3">
      <c r="A121" t="s">
        <v>1235</v>
      </c>
    </row>
    <row r="122" spans="1:1" x14ac:dyDescent="0.3">
      <c r="A122" t="s">
        <v>1234</v>
      </c>
    </row>
    <row r="123" spans="1:1" x14ac:dyDescent="0.3">
      <c r="A123" t="s">
        <v>1233</v>
      </c>
    </row>
    <row r="124" spans="1:1" x14ac:dyDescent="0.3">
      <c r="A124" t="s">
        <v>1232</v>
      </c>
    </row>
    <row r="125" spans="1:1" x14ac:dyDescent="0.3">
      <c r="A125" t="s">
        <v>1231</v>
      </c>
    </row>
    <row r="126" spans="1:1" x14ac:dyDescent="0.3">
      <c r="A126" t="s">
        <v>1230</v>
      </c>
    </row>
    <row r="127" spans="1:1" x14ac:dyDescent="0.3">
      <c r="A127" t="s">
        <v>1229</v>
      </c>
    </row>
    <row r="128" spans="1:1" x14ac:dyDescent="0.3">
      <c r="A128" t="s">
        <v>1228</v>
      </c>
    </row>
    <row r="129" spans="1:1" x14ac:dyDescent="0.3">
      <c r="A129" t="s">
        <v>1227</v>
      </c>
    </row>
    <row r="130" spans="1:1" x14ac:dyDescent="0.3">
      <c r="A130" t="s">
        <v>1226</v>
      </c>
    </row>
    <row r="131" spans="1:1" x14ac:dyDescent="0.3">
      <c r="A131" t="s">
        <v>1225</v>
      </c>
    </row>
    <row r="132" spans="1:1" x14ac:dyDescent="0.3">
      <c r="A132" t="s">
        <v>1224</v>
      </c>
    </row>
    <row r="133" spans="1:1" x14ac:dyDescent="0.3">
      <c r="A133" t="s">
        <v>1223</v>
      </c>
    </row>
    <row r="134" spans="1:1" x14ac:dyDescent="0.3">
      <c r="A134" t="s">
        <v>1222</v>
      </c>
    </row>
    <row r="135" spans="1:1" x14ac:dyDescent="0.3">
      <c r="A135" t="s">
        <v>1221</v>
      </c>
    </row>
    <row r="136" spans="1:1" x14ac:dyDescent="0.3">
      <c r="A136" t="s">
        <v>1220</v>
      </c>
    </row>
    <row r="137" spans="1:1" x14ac:dyDescent="0.3">
      <c r="A137" t="s">
        <v>1219</v>
      </c>
    </row>
    <row r="138" spans="1:1" x14ac:dyDescent="0.3">
      <c r="A138" t="s">
        <v>1218</v>
      </c>
    </row>
    <row r="139" spans="1:1" x14ac:dyDescent="0.3">
      <c r="A139" t="s">
        <v>1217</v>
      </c>
    </row>
    <row r="140" spans="1:1" x14ac:dyDescent="0.3">
      <c r="A140" t="s">
        <v>1216</v>
      </c>
    </row>
    <row r="141" spans="1:1" x14ac:dyDescent="0.3">
      <c r="A141" t="s">
        <v>1215</v>
      </c>
    </row>
    <row r="142" spans="1:1" x14ac:dyDescent="0.3">
      <c r="A142" t="s">
        <v>1214</v>
      </c>
    </row>
    <row r="143" spans="1:1" x14ac:dyDescent="0.3">
      <c r="A143" t="s">
        <v>1213</v>
      </c>
    </row>
    <row r="144" spans="1:1" x14ac:dyDescent="0.3">
      <c r="A144" t="s">
        <v>1212</v>
      </c>
    </row>
    <row r="145" spans="1:1" x14ac:dyDescent="0.3">
      <c r="A145" t="s">
        <v>1211</v>
      </c>
    </row>
    <row r="146" spans="1:1" x14ac:dyDescent="0.3">
      <c r="A146" t="s">
        <v>1210</v>
      </c>
    </row>
    <row r="147" spans="1:1" x14ac:dyDescent="0.3">
      <c r="A147" t="s">
        <v>1209</v>
      </c>
    </row>
    <row r="148" spans="1:1" x14ac:dyDescent="0.3">
      <c r="A148" t="s">
        <v>1208</v>
      </c>
    </row>
    <row r="149" spans="1:1" x14ac:dyDescent="0.3">
      <c r="A149" t="s">
        <v>1207</v>
      </c>
    </row>
    <row r="150" spans="1:1" x14ac:dyDescent="0.3">
      <c r="A150" t="s">
        <v>1206</v>
      </c>
    </row>
    <row r="151" spans="1:1" x14ac:dyDescent="0.3">
      <c r="A151" t="s">
        <v>1205</v>
      </c>
    </row>
    <row r="152" spans="1:1" x14ac:dyDescent="0.3">
      <c r="A152" t="s">
        <v>1204</v>
      </c>
    </row>
    <row r="153" spans="1:1" x14ac:dyDescent="0.3">
      <c r="A153" t="s">
        <v>1203</v>
      </c>
    </row>
    <row r="154" spans="1:1" x14ac:dyDescent="0.3">
      <c r="A154" t="s">
        <v>1202</v>
      </c>
    </row>
    <row r="155" spans="1:1" x14ac:dyDescent="0.3">
      <c r="A155" t="s">
        <v>1201</v>
      </c>
    </row>
    <row r="156" spans="1:1" x14ac:dyDescent="0.3">
      <c r="A156" t="s">
        <v>1200</v>
      </c>
    </row>
    <row r="157" spans="1:1" x14ac:dyDescent="0.3">
      <c r="A157" t="s">
        <v>1199</v>
      </c>
    </row>
    <row r="158" spans="1:1" x14ac:dyDescent="0.3">
      <c r="A158" t="s">
        <v>1198</v>
      </c>
    </row>
    <row r="159" spans="1:1" x14ac:dyDescent="0.3">
      <c r="A159" t="s">
        <v>1197</v>
      </c>
    </row>
    <row r="160" spans="1:1" x14ac:dyDescent="0.3">
      <c r="A160" t="s">
        <v>1196</v>
      </c>
    </row>
    <row r="161" spans="1:1" x14ac:dyDescent="0.3">
      <c r="A161" t="s">
        <v>1195</v>
      </c>
    </row>
    <row r="162" spans="1:1" x14ac:dyDescent="0.3">
      <c r="A162" t="s">
        <v>1194</v>
      </c>
    </row>
    <row r="163" spans="1:1" x14ac:dyDescent="0.3">
      <c r="A163" t="s">
        <v>1193</v>
      </c>
    </row>
    <row r="164" spans="1:1" x14ac:dyDescent="0.3">
      <c r="A164" t="s">
        <v>1192</v>
      </c>
    </row>
    <row r="165" spans="1:1" x14ac:dyDescent="0.3">
      <c r="A165" t="s">
        <v>1191</v>
      </c>
    </row>
    <row r="166" spans="1:1" x14ac:dyDescent="0.3">
      <c r="A166" t="s">
        <v>1190</v>
      </c>
    </row>
    <row r="167" spans="1:1" x14ac:dyDescent="0.3">
      <c r="A167" t="s">
        <v>1189</v>
      </c>
    </row>
    <row r="168" spans="1:1" x14ac:dyDescent="0.3">
      <c r="A168" t="s">
        <v>1188</v>
      </c>
    </row>
    <row r="169" spans="1:1" x14ac:dyDescent="0.3">
      <c r="A169" t="s">
        <v>1187</v>
      </c>
    </row>
    <row r="170" spans="1:1" x14ac:dyDescent="0.3">
      <c r="A170" t="s">
        <v>1186</v>
      </c>
    </row>
    <row r="171" spans="1:1" x14ac:dyDescent="0.3">
      <c r="A171" t="s">
        <v>1185</v>
      </c>
    </row>
    <row r="172" spans="1:1" x14ac:dyDescent="0.3">
      <c r="A172" t="s">
        <v>1184</v>
      </c>
    </row>
    <row r="173" spans="1:1" x14ac:dyDescent="0.3">
      <c r="A173" t="s">
        <v>1183</v>
      </c>
    </row>
    <row r="174" spans="1:1" x14ac:dyDescent="0.3">
      <c r="A174" t="s">
        <v>1182</v>
      </c>
    </row>
    <row r="175" spans="1:1" x14ac:dyDescent="0.3">
      <c r="A175" t="s">
        <v>1181</v>
      </c>
    </row>
    <row r="176" spans="1:1" x14ac:dyDescent="0.3">
      <c r="A176" t="s">
        <v>1180</v>
      </c>
    </row>
    <row r="177" spans="1:1" x14ac:dyDescent="0.3">
      <c r="A177" t="s">
        <v>1179</v>
      </c>
    </row>
    <row r="178" spans="1:1" x14ac:dyDescent="0.3">
      <c r="A178" t="s">
        <v>1178</v>
      </c>
    </row>
    <row r="179" spans="1:1" x14ac:dyDescent="0.3">
      <c r="A179" t="s">
        <v>1177</v>
      </c>
    </row>
    <row r="180" spans="1:1" x14ac:dyDescent="0.3">
      <c r="A180" t="s">
        <v>1176</v>
      </c>
    </row>
    <row r="181" spans="1:1" x14ac:dyDescent="0.3">
      <c r="A181" t="s">
        <v>1175</v>
      </c>
    </row>
    <row r="182" spans="1:1" x14ac:dyDescent="0.3">
      <c r="A182" t="s">
        <v>1174</v>
      </c>
    </row>
    <row r="183" spans="1:1" x14ac:dyDescent="0.3">
      <c r="A183" t="s">
        <v>1173</v>
      </c>
    </row>
    <row r="184" spans="1:1" x14ac:dyDescent="0.3">
      <c r="A184" t="s">
        <v>1172</v>
      </c>
    </row>
    <row r="185" spans="1:1" x14ac:dyDescent="0.3">
      <c r="A185" t="s">
        <v>1171</v>
      </c>
    </row>
    <row r="186" spans="1:1" x14ac:dyDescent="0.3">
      <c r="A186" t="s">
        <v>1170</v>
      </c>
    </row>
    <row r="187" spans="1:1" x14ac:dyDescent="0.3">
      <c r="A187" t="s">
        <v>1169</v>
      </c>
    </row>
    <row r="188" spans="1:1" x14ac:dyDescent="0.3">
      <c r="A188" t="s">
        <v>1168</v>
      </c>
    </row>
    <row r="189" spans="1:1" x14ac:dyDescent="0.3">
      <c r="A189" t="s">
        <v>1167</v>
      </c>
    </row>
    <row r="190" spans="1:1" x14ac:dyDescent="0.3">
      <c r="A190" t="s">
        <v>1166</v>
      </c>
    </row>
    <row r="191" spans="1:1" x14ac:dyDescent="0.3">
      <c r="A191" t="s">
        <v>1165</v>
      </c>
    </row>
    <row r="192" spans="1:1" x14ac:dyDescent="0.3">
      <c r="A192" t="s">
        <v>1164</v>
      </c>
    </row>
    <row r="193" spans="1:1" x14ac:dyDescent="0.3">
      <c r="A193" t="s">
        <v>1163</v>
      </c>
    </row>
    <row r="194" spans="1:1" x14ac:dyDescent="0.3">
      <c r="A194" t="s">
        <v>1162</v>
      </c>
    </row>
    <row r="195" spans="1:1" x14ac:dyDescent="0.3">
      <c r="A195" t="s">
        <v>1161</v>
      </c>
    </row>
    <row r="196" spans="1:1" x14ac:dyDescent="0.3">
      <c r="A196" t="s">
        <v>1160</v>
      </c>
    </row>
    <row r="197" spans="1:1" x14ac:dyDescent="0.3">
      <c r="A197" t="s">
        <v>1159</v>
      </c>
    </row>
    <row r="198" spans="1:1" x14ac:dyDescent="0.3">
      <c r="A198" t="s">
        <v>1158</v>
      </c>
    </row>
    <row r="199" spans="1:1" x14ac:dyDescent="0.3">
      <c r="A199" t="s">
        <v>1157</v>
      </c>
    </row>
    <row r="200" spans="1:1" x14ac:dyDescent="0.3">
      <c r="A200" t="s">
        <v>1156</v>
      </c>
    </row>
    <row r="201" spans="1:1" x14ac:dyDescent="0.3">
      <c r="A201" t="s">
        <v>1155</v>
      </c>
    </row>
    <row r="202" spans="1:1" x14ac:dyDescent="0.3">
      <c r="A202" t="s">
        <v>1154</v>
      </c>
    </row>
    <row r="203" spans="1:1" x14ac:dyDescent="0.3">
      <c r="A203" t="s">
        <v>1153</v>
      </c>
    </row>
    <row r="204" spans="1:1" x14ac:dyDescent="0.3">
      <c r="A204" t="s">
        <v>1152</v>
      </c>
    </row>
    <row r="205" spans="1:1" x14ac:dyDescent="0.3">
      <c r="A205" t="s">
        <v>1151</v>
      </c>
    </row>
    <row r="206" spans="1:1" x14ac:dyDescent="0.3">
      <c r="A206" t="s">
        <v>1150</v>
      </c>
    </row>
    <row r="207" spans="1:1" x14ac:dyDescent="0.3">
      <c r="A207" t="s">
        <v>1149</v>
      </c>
    </row>
    <row r="208" spans="1:1" x14ac:dyDescent="0.3">
      <c r="A208" t="s">
        <v>1148</v>
      </c>
    </row>
    <row r="209" spans="1:1" x14ac:dyDescent="0.3">
      <c r="A209" t="s">
        <v>1147</v>
      </c>
    </row>
    <row r="210" spans="1:1" x14ac:dyDescent="0.3">
      <c r="A210" t="s">
        <v>1146</v>
      </c>
    </row>
    <row r="211" spans="1:1" x14ac:dyDescent="0.3">
      <c r="A211" t="s">
        <v>1145</v>
      </c>
    </row>
    <row r="212" spans="1:1" x14ac:dyDescent="0.3">
      <c r="A212" t="s">
        <v>1144</v>
      </c>
    </row>
    <row r="213" spans="1:1" x14ac:dyDescent="0.3">
      <c r="A213" t="s">
        <v>1143</v>
      </c>
    </row>
    <row r="214" spans="1:1" x14ac:dyDescent="0.3">
      <c r="A214" t="s">
        <v>1142</v>
      </c>
    </row>
    <row r="215" spans="1:1" x14ac:dyDescent="0.3">
      <c r="A215" t="s">
        <v>1141</v>
      </c>
    </row>
    <row r="216" spans="1:1" x14ac:dyDescent="0.3">
      <c r="A216" t="s">
        <v>1140</v>
      </c>
    </row>
    <row r="217" spans="1:1" x14ac:dyDescent="0.3">
      <c r="A217" t="s">
        <v>1139</v>
      </c>
    </row>
    <row r="218" spans="1:1" x14ac:dyDescent="0.3">
      <c r="A218" t="s">
        <v>1138</v>
      </c>
    </row>
    <row r="219" spans="1:1" x14ac:dyDescent="0.3">
      <c r="A219" t="s">
        <v>1137</v>
      </c>
    </row>
    <row r="220" spans="1:1" x14ac:dyDescent="0.3">
      <c r="A220" t="s">
        <v>1136</v>
      </c>
    </row>
    <row r="221" spans="1:1" x14ac:dyDescent="0.3">
      <c r="A221" t="s">
        <v>1135</v>
      </c>
    </row>
    <row r="222" spans="1:1" x14ac:dyDescent="0.3">
      <c r="A222" t="s">
        <v>1134</v>
      </c>
    </row>
    <row r="223" spans="1:1" x14ac:dyDescent="0.3">
      <c r="A223" t="s">
        <v>1133</v>
      </c>
    </row>
    <row r="224" spans="1:1" x14ac:dyDescent="0.3">
      <c r="A224" t="s">
        <v>1132</v>
      </c>
    </row>
    <row r="225" spans="1:1" x14ac:dyDescent="0.3">
      <c r="A225" t="s">
        <v>1131</v>
      </c>
    </row>
    <row r="226" spans="1:1" x14ac:dyDescent="0.3">
      <c r="A226" t="s">
        <v>1130</v>
      </c>
    </row>
    <row r="227" spans="1:1" x14ac:dyDescent="0.3">
      <c r="A227" t="s">
        <v>1129</v>
      </c>
    </row>
    <row r="228" spans="1:1" x14ac:dyDescent="0.3">
      <c r="A228" t="s">
        <v>1128</v>
      </c>
    </row>
    <row r="229" spans="1:1" x14ac:dyDescent="0.3">
      <c r="A229" t="s">
        <v>1127</v>
      </c>
    </row>
    <row r="230" spans="1:1" x14ac:dyDescent="0.3">
      <c r="A230" t="s">
        <v>1126</v>
      </c>
    </row>
    <row r="231" spans="1:1" x14ac:dyDescent="0.3">
      <c r="A231" t="s">
        <v>1125</v>
      </c>
    </row>
    <row r="232" spans="1:1" x14ac:dyDescent="0.3">
      <c r="A232" t="s">
        <v>1124</v>
      </c>
    </row>
    <row r="233" spans="1:1" x14ac:dyDescent="0.3">
      <c r="A233" t="s">
        <v>1123</v>
      </c>
    </row>
    <row r="234" spans="1:1" x14ac:dyDescent="0.3">
      <c r="A234" t="s">
        <v>1122</v>
      </c>
    </row>
    <row r="235" spans="1:1" x14ac:dyDescent="0.3">
      <c r="A235" t="s">
        <v>1121</v>
      </c>
    </row>
    <row r="236" spans="1:1" x14ac:dyDescent="0.3">
      <c r="A236" t="s">
        <v>1120</v>
      </c>
    </row>
    <row r="237" spans="1:1" x14ac:dyDescent="0.3">
      <c r="A237" t="s">
        <v>1119</v>
      </c>
    </row>
    <row r="238" spans="1:1" x14ac:dyDescent="0.3">
      <c r="A238" t="s">
        <v>1118</v>
      </c>
    </row>
    <row r="239" spans="1:1" x14ac:dyDescent="0.3">
      <c r="A239" t="s">
        <v>1117</v>
      </c>
    </row>
    <row r="240" spans="1:1" x14ac:dyDescent="0.3">
      <c r="A240" t="s">
        <v>1116</v>
      </c>
    </row>
    <row r="241" spans="1:1" x14ac:dyDescent="0.3">
      <c r="A241" t="s">
        <v>1115</v>
      </c>
    </row>
    <row r="242" spans="1:1" x14ac:dyDescent="0.3">
      <c r="A242" t="s">
        <v>1114</v>
      </c>
    </row>
    <row r="243" spans="1:1" x14ac:dyDescent="0.3">
      <c r="A243" t="s">
        <v>1113</v>
      </c>
    </row>
    <row r="244" spans="1:1" x14ac:dyDescent="0.3">
      <c r="A244" t="s">
        <v>1112</v>
      </c>
    </row>
    <row r="245" spans="1:1" x14ac:dyDescent="0.3">
      <c r="A245" t="s">
        <v>1111</v>
      </c>
    </row>
    <row r="246" spans="1:1" x14ac:dyDescent="0.3">
      <c r="A246" t="s">
        <v>1110</v>
      </c>
    </row>
    <row r="247" spans="1:1" x14ac:dyDescent="0.3">
      <c r="A247" t="s">
        <v>1109</v>
      </c>
    </row>
    <row r="248" spans="1:1" x14ac:dyDescent="0.3">
      <c r="A248" t="s">
        <v>1108</v>
      </c>
    </row>
    <row r="249" spans="1:1" x14ac:dyDescent="0.3">
      <c r="A249" t="s">
        <v>1107</v>
      </c>
    </row>
    <row r="250" spans="1:1" x14ac:dyDescent="0.3">
      <c r="A250" t="s">
        <v>1106</v>
      </c>
    </row>
    <row r="251" spans="1:1" x14ac:dyDescent="0.3">
      <c r="A251" t="s">
        <v>1105</v>
      </c>
    </row>
    <row r="252" spans="1:1" x14ac:dyDescent="0.3">
      <c r="A252" t="s">
        <v>1104</v>
      </c>
    </row>
    <row r="253" spans="1:1" x14ac:dyDescent="0.3">
      <c r="A253" t="s">
        <v>1103</v>
      </c>
    </row>
    <row r="254" spans="1:1" x14ac:dyDescent="0.3">
      <c r="A254" t="s">
        <v>1102</v>
      </c>
    </row>
    <row r="255" spans="1:1" x14ac:dyDescent="0.3">
      <c r="A255" t="s">
        <v>1101</v>
      </c>
    </row>
    <row r="256" spans="1:1" x14ac:dyDescent="0.3">
      <c r="A256" t="s">
        <v>1100</v>
      </c>
    </row>
    <row r="257" spans="1:1" x14ac:dyDescent="0.3">
      <c r="A257" t="s">
        <v>1099</v>
      </c>
    </row>
    <row r="258" spans="1:1" x14ac:dyDescent="0.3">
      <c r="A258" t="s">
        <v>1098</v>
      </c>
    </row>
    <row r="259" spans="1:1" x14ac:dyDescent="0.3">
      <c r="A259" t="s">
        <v>1097</v>
      </c>
    </row>
    <row r="260" spans="1:1" x14ac:dyDescent="0.3">
      <c r="A260" t="s">
        <v>1096</v>
      </c>
    </row>
    <row r="261" spans="1:1" x14ac:dyDescent="0.3">
      <c r="A261" t="s">
        <v>1095</v>
      </c>
    </row>
    <row r="262" spans="1:1" x14ac:dyDescent="0.3">
      <c r="A262" t="s">
        <v>1094</v>
      </c>
    </row>
    <row r="263" spans="1:1" x14ac:dyDescent="0.3">
      <c r="A263" t="s">
        <v>1093</v>
      </c>
    </row>
    <row r="264" spans="1:1" x14ac:dyDescent="0.3">
      <c r="A264" t="s">
        <v>1092</v>
      </c>
    </row>
    <row r="265" spans="1:1" x14ac:dyDescent="0.3">
      <c r="A265" t="s">
        <v>1091</v>
      </c>
    </row>
    <row r="266" spans="1:1" x14ac:dyDescent="0.3">
      <c r="A266" t="s">
        <v>1090</v>
      </c>
    </row>
    <row r="267" spans="1:1" x14ac:dyDescent="0.3">
      <c r="A267" t="s">
        <v>1089</v>
      </c>
    </row>
    <row r="268" spans="1:1" x14ac:dyDescent="0.3">
      <c r="A268" t="s">
        <v>1088</v>
      </c>
    </row>
    <row r="269" spans="1:1" x14ac:dyDescent="0.3">
      <c r="A269" t="s">
        <v>1087</v>
      </c>
    </row>
    <row r="270" spans="1:1" x14ac:dyDescent="0.3">
      <c r="A270" t="s">
        <v>1086</v>
      </c>
    </row>
    <row r="271" spans="1:1" x14ac:dyDescent="0.3">
      <c r="A271" t="s">
        <v>1085</v>
      </c>
    </row>
    <row r="272" spans="1:1" x14ac:dyDescent="0.3">
      <c r="A272" t="s">
        <v>1084</v>
      </c>
    </row>
    <row r="273" spans="1:1" x14ac:dyDescent="0.3">
      <c r="A273" t="s">
        <v>1083</v>
      </c>
    </row>
    <row r="274" spans="1:1" x14ac:dyDescent="0.3">
      <c r="A274" t="s">
        <v>1082</v>
      </c>
    </row>
    <row r="275" spans="1:1" x14ac:dyDescent="0.3">
      <c r="A275" t="s">
        <v>1081</v>
      </c>
    </row>
    <row r="276" spans="1:1" x14ac:dyDescent="0.3">
      <c r="A276" t="s">
        <v>1080</v>
      </c>
    </row>
    <row r="277" spans="1:1" x14ac:dyDescent="0.3">
      <c r="A277" t="s">
        <v>1079</v>
      </c>
    </row>
    <row r="278" spans="1:1" x14ac:dyDescent="0.3">
      <c r="A278" t="s">
        <v>1078</v>
      </c>
    </row>
    <row r="279" spans="1:1" x14ac:dyDescent="0.3">
      <c r="A279" t="s">
        <v>1077</v>
      </c>
    </row>
    <row r="280" spans="1:1" x14ac:dyDescent="0.3">
      <c r="A280" t="s">
        <v>1076</v>
      </c>
    </row>
    <row r="281" spans="1:1" x14ac:dyDescent="0.3">
      <c r="A281" t="s">
        <v>1075</v>
      </c>
    </row>
    <row r="283" spans="1:1" x14ac:dyDescent="0.3">
      <c r="A283" t="s">
        <v>314</v>
      </c>
    </row>
    <row r="284" spans="1:1" x14ac:dyDescent="0.3">
      <c r="A284" t="s">
        <v>315</v>
      </c>
    </row>
    <row r="285" spans="1:1" x14ac:dyDescent="0.3">
      <c r="A285" t="s">
        <v>314</v>
      </c>
    </row>
    <row r="287" spans="1:1" x14ac:dyDescent="0.3">
      <c r="A287" t="s">
        <v>313</v>
      </c>
    </row>
    <row r="288" spans="1:1" x14ac:dyDescent="0.3">
      <c r="A288" t="s">
        <v>312</v>
      </c>
    </row>
    <row r="289" spans="1:1" x14ac:dyDescent="0.3">
      <c r="A289">
        <v>246</v>
      </c>
    </row>
    <row r="290" spans="1:1" x14ac:dyDescent="0.3">
      <c r="A290" t="s">
        <v>311</v>
      </c>
    </row>
    <row r="293" spans="1:1" x14ac:dyDescent="0.3">
      <c r="A293" t="s">
        <v>310</v>
      </c>
    </row>
    <row r="294" spans="1:1" x14ac:dyDescent="0.3">
      <c r="A294" t="s">
        <v>1074</v>
      </c>
    </row>
    <row r="297" spans="1:1" x14ac:dyDescent="0.3">
      <c r="A297" t="s">
        <v>309</v>
      </c>
    </row>
    <row r="299" spans="1:1" x14ac:dyDescent="0.3">
      <c r="A299" t="s">
        <v>308</v>
      </c>
    </row>
    <row r="300" spans="1:1" x14ac:dyDescent="0.3">
      <c r="A300" t="s">
        <v>1073</v>
      </c>
    </row>
    <row r="301" spans="1:1" x14ac:dyDescent="0.3">
      <c r="A301" t="s">
        <v>1072</v>
      </c>
    </row>
    <row r="302" spans="1:1" x14ac:dyDescent="0.3">
      <c r="A302" t="s">
        <v>1071</v>
      </c>
    </row>
    <row r="303" spans="1:1" x14ac:dyDescent="0.3">
      <c r="A303" t="s">
        <v>1070</v>
      </c>
    </row>
    <row r="304" spans="1:1" x14ac:dyDescent="0.3">
      <c r="A304" t="s">
        <v>1069</v>
      </c>
    </row>
    <row r="305" spans="1:1" x14ac:dyDescent="0.3">
      <c r="A305" t="s">
        <v>1068</v>
      </c>
    </row>
    <row r="306" spans="1:1" x14ac:dyDescent="0.3">
      <c r="A306" t="s">
        <v>1067</v>
      </c>
    </row>
    <row r="307" spans="1:1" x14ac:dyDescent="0.3">
      <c r="A307" t="s">
        <v>1066</v>
      </c>
    </row>
    <row r="308" spans="1:1" x14ac:dyDescent="0.3">
      <c r="A308" t="s">
        <v>1065</v>
      </c>
    </row>
    <row r="309" spans="1:1" x14ac:dyDescent="0.3">
      <c r="A309" t="s">
        <v>1064</v>
      </c>
    </row>
    <row r="310" spans="1:1" x14ac:dyDescent="0.3">
      <c r="A310" t="s">
        <v>1063</v>
      </c>
    </row>
    <row r="311" spans="1:1" x14ac:dyDescent="0.3">
      <c r="A311" t="s">
        <v>1062</v>
      </c>
    </row>
    <row r="312" spans="1:1" x14ac:dyDescent="0.3">
      <c r="A312" t="s">
        <v>1061</v>
      </c>
    </row>
    <row r="313" spans="1:1" x14ac:dyDescent="0.3">
      <c r="A313" t="s">
        <v>1060</v>
      </c>
    </row>
    <row r="314" spans="1:1" x14ac:dyDescent="0.3">
      <c r="A314" t="s">
        <v>1059</v>
      </c>
    </row>
    <row r="315" spans="1:1" x14ac:dyDescent="0.3">
      <c r="A315" t="s">
        <v>1058</v>
      </c>
    </row>
    <row r="316" spans="1:1" x14ac:dyDescent="0.3">
      <c r="A316" t="s">
        <v>1057</v>
      </c>
    </row>
    <row r="317" spans="1:1" x14ac:dyDescent="0.3">
      <c r="A317" t="s">
        <v>1056</v>
      </c>
    </row>
    <row r="318" spans="1:1" x14ac:dyDescent="0.3">
      <c r="A318" t="s">
        <v>1055</v>
      </c>
    </row>
    <row r="319" spans="1:1" x14ac:dyDescent="0.3">
      <c r="A319" t="s">
        <v>1054</v>
      </c>
    </row>
    <row r="320" spans="1:1" x14ac:dyDescent="0.3">
      <c r="A320" t="s">
        <v>1053</v>
      </c>
    </row>
    <row r="321" spans="1:1" x14ac:dyDescent="0.3">
      <c r="A321" t="s">
        <v>1052</v>
      </c>
    </row>
    <row r="322" spans="1:1" x14ac:dyDescent="0.3">
      <c r="A322" t="s">
        <v>1051</v>
      </c>
    </row>
    <row r="323" spans="1:1" x14ac:dyDescent="0.3">
      <c r="A323" t="s">
        <v>1050</v>
      </c>
    </row>
    <row r="324" spans="1:1" x14ac:dyDescent="0.3">
      <c r="A324" t="s">
        <v>1049</v>
      </c>
    </row>
    <row r="325" spans="1:1" x14ac:dyDescent="0.3">
      <c r="A325" t="s">
        <v>1048</v>
      </c>
    </row>
    <row r="326" spans="1:1" x14ac:dyDescent="0.3">
      <c r="A326" t="s">
        <v>1047</v>
      </c>
    </row>
    <row r="327" spans="1:1" x14ac:dyDescent="0.3">
      <c r="A327" t="s">
        <v>1046</v>
      </c>
    </row>
    <row r="328" spans="1:1" x14ac:dyDescent="0.3">
      <c r="A328" t="s">
        <v>1045</v>
      </c>
    </row>
    <row r="329" spans="1:1" x14ac:dyDescent="0.3">
      <c r="A329" t="s">
        <v>1044</v>
      </c>
    </row>
    <row r="330" spans="1:1" x14ac:dyDescent="0.3">
      <c r="A330" t="s">
        <v>1043</v>
      </c>
    </row>
    <row r="331" spans="1:1" x14ac:dyDescent="0.3">
      <c r="A331" t="s">
        <v>1042</v>
      </c>
    </row>
    <row r="332" spans="1:1" x14ac:dyDescent="0.3">
      <c r="A332" t="s">
        <v>1041</v>
      </c>
    </row>
    <row r="333" spans="1:1" x14ac:dyDescent="0.3">
      <c r="A333" t="s">
        <v>1040</v>
      </c>
    </row>
    <row r="334" spans="1:1" x14ac:dyDescent="0.3">
      <c r="A334" t="s">
        <v>1039</v>
      </c>
    </row>
    <row r="335" spans="1:1" x14ac:dyDescent="0.3">
      <c r="A335" t="s">
        <v>1038</v>
      </c>
    </row>
    <row r="336" spans="1:1" x14ac:dyDescent="0.3">
      <c r="A336" t="s">
        <v>1037</v>
      </c>
    </row>
    <row r="337" spans="1:1" x14ac:dyDescent="0.3">
      <c r="A337" t="s">
        <v>1036</v>
      </c>
    </row>
    <row r="338" spans="1:1" x14ac:dyDescent="0.3">
      <c r="A338" t="s">
        <v>1035</v>
      </c>
    </row>
    <row r="339" spans="1:1" x14ac:dyDescent="0.3">
      <c r="A339" t="s">
        <v>1034</v>
      </c>
    </row>
    <row r="340" spans="1:1" x14ac:dyDescent="0.3">
      <c r="A340" t="s">
        <v>1033</v>
      </c>
    </row>
    <row r="341" spans="1:1" x14ac:dyDescent="0.3">
      <c r="A341" t="s">
        <v>1032</v>
      </c>
    </row>
    <row r="342" spans="1:1" x14ac:dyDescent="0.3">
      <c r="A342" t="s">
        <v>1031</v>
      </c>
    </row>
    <row r="343" spans="1:1" x14ac:dyDescent="0.3">
      <c r="A343" t="s">
        <v>1030</v>
      </c>
    </row>
    <row r="344" spans="1:1" x14ac:dyDescent="0.3">
      <c r="A344" t="s">
        <v>1029</v>
      </c>
    </row>
    <row r="345" spans="1:1" x14ac:dyDescent="0.3">
      <c r="A345" t="s">
        <v>1028</v>
      </c>
    </row>
    <row r="346" spans="1:1" x14ac:dyDescent="0.3">
      <c r="A346" t="s">
        <v>1027</v>
      </c>
    </row>
    <row r="347" spans="1:1" x14ac:dyDescent="0.3">
      <c r="A347" t="s">
        <v>1026</v>
      </c>
    </row>
    <row r="348" spans="1:1" x14ac:dyDescent="0.3">
      <c r="A348" t="s">
        <v>1025</v>
      </c>
    </row>
    <row r="349" spans="1:1" x14ac:dyDescent="0.3">
      <c r="A349" t="s">
        <v>1024</v>
      </c>
    </row>
    <row r="350" spans="1:1" x14ac:dyDescent="0.3">
      <c r="A350" t="s">
        <v>1023</v>
      </c>
    </row>
    <row r="351" spans="1:1" x14ac:dyDescent="0.3">
      <c r="A351" t="s">
        <v>1022</v>
      </c>
    </row>
    <row r="352" spans="1:1" x14ac:dyDescent="0.3">
      <c r="A352" t="s">
        <v>1021</v>
      </c>
    </row>
    <row r="353" spans="1:1" x14ac:dyDescent="0.3">
      <c r="A353" t="s">
        <v>1020</v>
      </c>
    </row>
    <row r="354" spans="1:1" x14ac:dyDescent="0.3">
      <c r="A354" t="s">
        <v>1019</v>
      </c>
    </row>
    <row r="355" spans="1:1" x14ac:dyDescent="0.3">
      <c r="A355" t="s">
        <v>1018</v>
      </c>
    </row>
    <row r="356" spans="1:1" x14ac:dyDescent="0.3">
      <c r="A356" t="s">
        <v>1017</v>
      </c>
    </row>
    <row r="357" spans="1:1" x14ac:dyDescent="0.3">
      <c r="A357" t="s">
        <v>1016</v>
      </c>
    </row>
    <row r="358" spans="1:1" x14ac:dyDescent="0.3">
      <c r="A358" t="s">
        <v>1015</v>
      </c>
    </row>
    <row r="359" spans="1:1" x14ac:dyDescent="0.3">
      <c r="A359" t="s">
        <v>1014</v>
      </c>
    </row>
    <row r="360" spans="1:1" x14ac:dyDescent="0.3">
      <c r="A360" t="s">
        <v>1013</v>
      </c>
    </row>
    <row r="361" spans="1:1" x14ac:dyDescent="0.3">
      <c r="A361" t="s">
        <v>1012</v>
      </c>
    </row>
    <row r="362" spans="1:1" x14ac:dyDescent="0.3">
      <c r="A362" t="s">
        <v>1011</v>
      </c>
    </row>
    <row r="363" spans="1:1" x14ac:dyDescent="0.3">
      <c r="A363" t="s">
        <v>1010</v>
      </c>
    </row>
    <row r="364" spans="1:1" x14ac:dyDescent="0.3">
      <c r="A364" t="s">
        <v>1009</v>
      </c>
    </row>
    <row r="365" spans="1:1" x14ac:dyDescent="0.3">
      <c r="A365" t="s">
        <v>1008</v>
      </c>
    </row>
    <row r="366" spans="1:1" x14ac:dyDescent="0.3">
      <c r="A366" t="s">
        <v>1007</v>
      </c>
    </row>
    <row r="367" spans="1:1" x14ac:dyDescent="0.3">
      <c r="A367" t="s">
        <v>1006</v>
      </c>
    </row>
    <row r="368" spans="1:1" x14ac:dyDescent="0.3">
      <c r="A368" t="s">
        <v>1005</v>
      </c>
    </row>
    <row r="369" spans="1:1" x14ac:dyDescent="0.3">
      <c r="A369" t="s">
        <v>1004</v>
      </c>
    </row>
    <row r="370" spans="1:1" x14ac:dyDescent="0.3">
      <c r="A370" t="s">
        <v>1003</v>
      </c>
    </row>
    <row r="371" spans="1:1" x14ac:dyDescent="0.3">
      <c r="A371" t="s">
        <v>1002</v>
      </c>
    </row>
    <row r="372" spans="1:1" x14ac:dyDescent="0.3">
      <c r="A372" t="s">
        <v>1001</v>
      </c>
    </row>
    <row r="373" spans="1:1" x14ac:dyDescent="0.3">
      <c r="A373" t="s">
        <v>1000</v>
      </c>
    </row>
    <row r="374" spans="1:1" x14ac:dyDescent="0.3">
      <c r="A374" t="s">
        <v>999</v>
      </c>
    </row>
    <row r="375" spans="1:1" x14ac:dyDescent="0.3">
      <c r="A375" t="s">
        <v>998</v>
      </c>
    </row>
    <row r="376" spans="1:1" x14ac:dyDescent="0.3">
      <c r="A376" t="s">
        <v>997</v>
      </c>
    </row>
    <row r="377" spans="1:1" x14ac:dyDescent="0.3">
      <c r="A377" t="s">
        <v>996</v>
      </c>
    </row>
    <row r="378" spans="1:1" x14ac:dyDescent="0.3">
      <c r="A378" t="s">
        <v>995</v>
      </c>
    </row>
    <row r="379" spans="1:1" x14ac:dyDescent="0.3">
      <c r="A379" t="s">
        <v>994</v>
      </c>
    </row>
    <row r="380" spans="1:1" x14ac:dyDescent="0.3">
      <c r="A380" t="s">
        <v>993</v>
      </c>
    </row>
    <row r="381" spans="1:1" x14ac:dyDescent="0.3">
      <c r="A381" t="s">
        <v>992</v>
      </c>
    </row>
    <row r="382" spans="1:1" x14ac:dyDescent="0.3">
      <c r="A382" t="s">
        <v>991</v>
      </c>
    </row>
    <row r="383" spans="1:1" x14ac:dyDescent="0.3">
      <c r="A383" t="s">
        <v>990</v>
      </c>
    </row>
    <row r="384" spans="1:1" x14ac:dyDescent="0.3">
      <c r="A384" t="s">
        <v>989</v>
      </c>
    </row>
    <row r="385" spans="1:1" x14ac:dyDescent="0.3">
      <c r="A385" t="s">
        <v>988</v>
      </c>
    </row>
    <row r="386" spans="1:1" x14ac:dyDescent="0.3">
      <c r="A386" t="s">
        <v>987</v>
      </c>
    </row>
    <row r="387" spans="1:1" x14ac:dyDescent="0.3">
      <c r="A387" t="s">
        <v>986</v>
      </c>
    </row>
    <row r="388" spans="1:1" x14ac:dyDescent="0.3">
      <c r="A388" t="s">
        <v>985</v>
      </c>
    </row>
    <row r="389" spans="1:1" x14ac:dyDescent="0.3">
      <c r="A389" t="s">
        <v>984</v>
      </c>
    </row>
    <row r="390" spans="1:1" x14ac:dyDescent="0.3">
      <c r="A390" t="s">
        <v>983</v>
      </c>
    </row>
    <row r="391" spans="1:1" x14ac:dyDescent="0.3">
      <c r="A391" t="s">
        <v>982</v>
      </c>
    </row>
    <row r="392" spans="1:1" x14ac:dyDescent="0.3">
      <c r="A392" t="s">
        <v>981</v>
      </c>
    </row>
    <row r="393" spans="1:1" x14ac:dyDescent="0.3">
      <c r="A393" t="s">
        <v>980</v>
      </c>
    </row>
    <row r="394" spans="1:1" x14ac:dyDescent="0.3">
      <c r="A394" t="s">
        <v>979</v>
      </c>
    </row>
    <row r="395" spans="1:1" x14ac:dyDescent="0.3">
      <c r="A395" t="s">
        <v>978</v>
      </c>
    </row>
    <row r="396" spans="1:1" x14ac:dyDescent="0.3">
      <c r="A396" t="s">
        <v>977</v>
      </c>
    </row>
    <row r="397" spans="1:1" x14ac:dyDescent="0.3">
      <c r="A397" t="s">
        <v>976</v>
      </c>
    </row>
    <row r="398" spans="1:1" x14ac:dyDescent="0.3">
      <c r="A398" t="s">
        <v>975</v>
      </c>
    </row>
    <row r="399" spans="1:1" x14ac:dyDescent="0.3">
      <c r="A399" t="s">
        <v>974</v>
      </c>
    </row>
    <row r="400" spans="1:1" x14ac:dyDescent="0.3">
      <c r="A400" t="s">
        <v>973</v>
      </c>
    </row>
    <row r="401" spans="1:1" x14ac:dyDescent="0.3">
      <c r="A401" t="s">
        <v>972</v>
      </c>
    </row>
    <row r="402" spans="1:1" x14ac:dyDescent="0.3">
      <c r="A402" t="s">
        <v>971</v>
      </c>
    </row>
    <row r="403" spans="1:1" x14ac:dyDescent="0.3">
      <c r="A403" t="s">
        <v>970</v>
      </c>
    </row>
    <row r="404" spans="1:1" x14ac:dyDescent="0.3">
      <c r="A404" t="s">
        <v>969</v>
      </c>
    </row>
    <row r="405" spans="1:1" x14ac:dyDescent="0.3">
      <c r="A405" t="s">
        <v>968</v>
      </c>
    </row>
    <row r="406" spans="1:1" x14ac:dyDescent="0.3">
      <c r="A406" t="s">
        <v>967</v>
      </c>
    </row>
    <row r="407" spans="1:1" x14ac:dyDescent="0.3">
      <c r="A407" t="s">
        <v>966</v>
      </c>
    </row>
    <row r="408" spans="1:1" x14ac:dyDescent="0.3">
      <c r="A408" t="s">
        <v>965</v>
      </c>
    </row>
    <row r="409" spans="1:1" x14ac:dyDescent="0.3">
      <c r="A409" t="s">
        <v>964</v>
      </c>
    </row>
    <row r="410" spans="1:1" x14ac:dyDescent="0.3">
      <c r="A410" t="s">
        <v>963</v>
      </c>
    </row>
    <row r="411" spans="1:1" x14ac:dyDescent="0.3">
      <c r="A411" t="s">
        <v>962</v>
      </c>
    </row>
    <row r="412" spans="1:1" x14ac:dyDescent="0.3">
      <c r="A412" t="s">
        <v>961</v>
      </c>
    </row>
    <row r="413" spans="1:1" x14ac:dyDescent="0.3">
      <c r="A413" t="s">
        <v>960</v>
      </c>
    </row>
    <row r="414" spans="1:1" x14ac:dyDescent="0.3">
      <c r="A414" t="s">
        <v>959</v>
      </c>
    </row>
    <row r="415" spans="1:1" x14ac:dyDescent="0.3">
      <c r="A415" t="s">
        <v>958</v>
      </c>
    </row>
    <row r="416" spans="1:1" x14ac:dyDescent="0.3">
      <c r="A416" t="s">
        <v>957</v>
      </c>
    </row>
    <row r="417" spans="1:1" x14ac:dyDescent="0.3">
      <c r="A417" t="s">
        <v>956</v>
      </c>
    </row>
    <row r="418" spans="1:1" x14ac:dyDescent="0.3">
      <c r="A418" t="s">
        <v>955</v>
      </c>
    </row>
    <row r="419" spans="1:1" x14ac:dyDescent="0.3">
      <c r="A419" t="s">
        <v>954</v>
      </c>
    </row>
    <row r="420" spans="1:1" x14ac:dyDescent="0.3">
      <c r="A420" t="s">
        <v>953</v>
      </c>
    </row>
    <row r="421" spans="1:1" x14ac:dyDescent="0.3">
      <c r="A421" t="s">
        <v>952</v>
      </c>
    </row>
    <row r="422" spans="1:1" x14ac:dyDescent="0.3">
      <c r="A422" t="s">
        <v>951</v>
      </c>
    </row>
    <row r="423" spans="1:1" x14ac:dyDescent="0.3">
      <c r="A423" t="s">
        <v>950</v>
      </c>
    </row>
    <row r="424" spans="1:1" x14ac:dyDescent="0.3">
      <c r="A424" t="s">
        <v>949</v>
      </c>
    </row>
    <row r="425" spans="1:1" x14ac:dyDescent="0.3">
      <c r="A425" t="s">
        <v>948</v>
      </c>
    </row>
    <row r="426" spans="1:1" x14ac:dyDescent="0.3">
      <c r="A426" t="s">
        <v>947</v>
      </c>
    </row>
    <row r="427" spans="1:1" x14ac:dyDescent="0.3">
      <c r="A427" t="s">
        <v>946</v>
      </c>
    </row>
    <row r="428" spans="1:1" x14ac:dyDescent="0.3">
      <c r="A428" t="s">
        <v>945</v>
      </c>
    </row>
    <row r="429" spans="1:1" x14ac:dyDescent="0.3">
      <c r="A429" t="s">
        <v>944</v>
      </c>
    </row>
    <row r="430" spans="1:1" x14ac:dyDescent="0.3">
      <c r="A430" t="s">
        <v>943</v>
      </c>
    </row>
    <row r="431" spans="1:1" x14ac:dyDescent="0.3">
      <c r="A431" t="s">
        <v>942</v>
      </c>
    </row>
    <row r="432" spans="1:1" x14ac:dyDescent="0.3">
      <c r="A432" t="s">
        <v>941</v>
      </c>
    </row>
    <row r="433" spans="1:1" x14ac:dyDescent="0.3">
      <c r="A433" t="s">
        <v>940</v>
      </c>
    </row>
    <row r="434" spans="1:1" x14ac:dyDescent="0.3">
      <c r="A434" t="s">
        <v>939</v>
      </c>
    </row>
    <row r="435" spans="1:1" x14ac:dyDescent="0.3">
      <c r="A435" t="s">
        <v>938</v>
      </c>
    </row>
    <row r="436" spans="1:1" x14ac:dyDescent="0.3">
      <c r="A436" t="s">
        <v>937</v>
      </c>
    </row>
    <row r="437" spans="1:1" x14ac:dyDescent="0.3">
      <c r="A437" t="s">
        <v>936</v>
      </c>
    </row>
    <row r="438" spans="1:1" x14ac:dyDescent="0.3">
      <c r="A438" t="s">
        <v>935</v>
      </c>
    </row>
    <row r="439" spans="1:1" x14ac:dyDescent="0.3">
      <c r="A439" t="s">
        <v>934</v>
      </c>
    </row>
    <row r="440" spans="1:1" x14ac:dyDescent="0.3">
      <c r="A440" t="s">
        <v>933</v>
      </c>
    </row>
    <row r="441" spans="1:1" x14ac:dyDescent="0.3">
      <c r="A441" t="s">
        <v>932</v>
      </c>
    </row>
    <row r="442" spans="1:1" x14ac:dyDescent="0.3">
      <c r="A442" t="s">
        <v>931</v>
      </c>
    </row>
    <row r="443" spans="1:1" x14ac:dyDescent="0.3">
      <c r="A443" t="s">
        <v>930</v>
      </c>
    </row>
    <row r="444" spans="1:1" x14ac:dyDescent="0.3">
      <c r="A444" t="s">
        <v>929</v>
      </c>
    </row>
    <row r="445" spans="1:1" x14ac:dyDescent="0.3">
      <c r="A445" t="s">
        <v>928</v>
      </c>
    </row>
    <row r="446" spans="1:1" x14ac:dyDescent="0.3">
      <c r="A446" t="s">
        <v>927</v>
      </c>
    </row>
    <row r="447" spans="1:1" x14ac:dyDescent="0.3">
      <c r="A447" t="s">
        <v>926</v>
      </c>
    </row>
    <row r="448" spans="1:1" x14ac:dyDescent="0.3">
      <c r="A448" t="s">
        <v>925</v>
      </c>
    </row>
    <row r="449" spans="1:1" x14ac:dyDescent="0.3">
      <c r="A449" t="s">
        <v>924</v>
      </c>
    </row>
    <row r="450" spans="1:1" x14ac:dyDescent="0.3">
      <c r="A450" t="s">
        <v>923</v>
      </c>
    </row>
    <row r="451" spans="1:1" x14ac:dyDescent="0.3">
      <c r="A451" t="s">
        <v>922</v>
      </c>
    </row>
    <row r="452" spans="1:1" x14ac:dyDescent="0.3">
      <c r="A452" t="s">
        <v>921</v>
      </c>
    </row>
    <row r="453" spans="1:1" x14ac:dyDescent="0.3">
      <c r="A453" t="s">
        <v>920</v>
      </c>
    </row>
    <row r="454" spans="1:1" x14ac:dyDescent="0.3">
      <c r="A454" t="s">
        <v>919</v>
      </c>
    </row>
    <row r="455" spans="1:1" x14ac:dyDescent="0.3">
      <c r="A455" t="s">
        <v>918</v>
      </c>
    </row>
    <row r="456" spans="1:1" x14ac:dyDescent="0.3">
      <c r="A456" t="s">
        <v>917</v>
      </c>
    </row>
    <row r="457" spans="1:1" x14ac:dyDescent="0.3">
      <c r="A457" t="s">
        <v>916</v>
      </c>
    </row>
    <row r="458" spans="1:1" x14ac:dyDescent="0.3">
      <c r="A458" t="s">
        <v>915</v>
      </c>
    </row>
    <row r="459" spans="1:1" x14ac:dyDescent="0.3">
      <c r="A459" t="s">
        <v>914</v>
      </c>
    </row>
    <row r="460" spans="1:1" x14ac:dyDescent="0.3">
      <c r="A460" t="s">
        <v>913</v>
      </c>
    </row>
    <row r="461" spans="1:1" x14ac:dyDescent="0.3">
      <c r="A461" t="s">
        <v>912</v>
      </c>
    </row>
    <row r="462" spans="1:1" x14ac:dyDescent="0.3">
      <c r="A462" t="s">
        <v>911</v>
      </c>
    </row>
    <row r="463" spans="1:1" x14ac:dyDescent="0.3">
      <c r="A463" t="s">
        <v>910</v>
      </c>
    </row>
    <row r="464" spans="1:1" x14ac:dyDescent="0.3">
      <c r="A464" t="s">
        <v>909</v>
      </c>
    </row>
    <row r="465" spans="1:1" x14ac:dyDescent="0.3">
      <c r="A465" t="s">
        <v>908</v>
      </c>
    </row>
    <row r="466" spans="1:1" x14ac:dyDescent="0.3">
      <c r="A466" t="s">
        <v>907</v>
      </c>
    </row>
    <row r="467" spans="1:1" x14ac:dyDescent="0.3">
      <c r="A467" t="s">
        <v>906</v>
      </c>
    </row>
    <row r="468" spans="1:1" x14ac:dyDescent="0.3">
      <c r="A468" t="s">
        <v>905</v>
      </c>
    </row>
    <row r="469" spans="1:1" x14ac:dyDescent="0.3">
      <c r="A469" t="s">
        <v>904</v>
      </c>
    </row>
    <row r="470" spans="1:1" x14ac:dyDescent="0.3">
      <c r="A470" t="s">
        <v>903</v>
      </c>
    </row>
    <row r="471" spans="1:1" x14ac:dyDescent="0.3">
      <c r="A471" t="s">
        <v>902</v>
      </c>
    </row>
    <row r="472" spans="1:1" x14ac:dyDescent="0.3">
      <c r="A472" t="s">
        <v>901</v>
      </c>
    </row>
    <row r="473" spans="1:1" x14ac:dyDescent="0.3">
      <c r="A473" t="s">
        <v>900</v>
      </c>
    </row>
    <row r="474" spans="1:1" x14ac:dyDescent="0.3">
      <c r="A474" t="s">
        <v>899</v>
      </c>
    </row>
    <row r="475" spans="1:1" x14ac:dyDescent="0.3">
      <c r="A475" t="s">
        <v>898</v>
      </c>
    </row>
    <row r="476" spans="1:1" x14ac:dyDescent="0.3">
      <c r="A476" t="s">
        <v>897</v>
      </c>
    </row>
    <row r="477" spans="1:1" x14ac:dyDescent="0.3">
      <c r="A477" t="s">
        <v>896</v>
      </c>
    </row>
    <row r="478" spans="1:1" x14ac:dyDescent="0.3">
      <c r="A478" t="s">
        <v>895</v>
      </c>
    </row>
    <row r="479" spans="1:1" x14ac:dyDescent="0.3">
      <c r="A479" t="s">
        <v>894</v>
      </c>
    </row>
    <row r="480" spans="1:1" x14ac:dyDescent="0.3">
      <c r="A480" t="s">
        <v>893</v>
      </c>
    </row>
    <row r="481" spans="1:1" x14ac:dyDescent="0.3">
      <c r="A481" t="s">
        <v>892</v>
      </c>
    </row>
    <row r="482" spans="1:1" x14ac:dyDescent="0.3">
      <c r="A482" t="s">
        <v>891</v>
      </c>
    </row>
    <row r="483" spans="1:1" x14ac:dyDescent="0.3">
      <c r="A483" t="s">
        <v>890</v>
      </c>
    </row>
    <row r="484" spans="1:1" x14ac:dyDescent="0.3">
      <c r="A484" t="s">
        <v>889</v>
      </c>
    </row>
    <row r="485" spans="1:1" x14ac:dyDescent="0.3">
      <c r="A485" t="s">
        <v>888</v>
      </c>
    </row>
    <row r="486" spans="1:1" x14ac:dyDescent="0.3">
      <c r="A486" t="s">
        <v>887</v>
      </c>
    </row>
    <row r="487" spans="1:1" x14ac:dyDescent="0.3">
      <c r="A487" t="s">
        <v>886</v>
      </c>
    </row>
    <row r="488" spans="1:1" x14ac:dyDescent="0.3">
      <c r="A488" t="s">
        <v>885</v>
      </c>
    </row>
    <row r="489" spans="1:1" x14ac:dyDescent="0.3">
      <c r="A489" t="s">
        <v>884</v>
      </c>
    </row>
    <row r="490" spans="1:1" x14ac:dyDescent="0.3">
      <c r="A490" t="s">
        <v>883</v>
      </c>
    </row>
    <row r="491" spans="1:1" x14ac:dyDescent="0.3">
      <c r="A491" t="s">
        <v>882</v>
      </c>
    </row>
    <row r="492" spans="1:1" x14ac:dyDescent="0.3">
      <c r="A492" t="s">
        <v>881</v>
      </c>
    </row>
    <row r="493" spans="1:1" x14ac:dyDescent="0.3">
      <c r="A493" t="s">
        <v>880</v>
      </c>
    </row>
    <row r="494" spans="1:1" x14ac:dyDescent="0.3">
      <c r="A494" t="s">
        <v>879</v>
      </c>
    </row>
    <row r="495" spans="1:1" x14ac:dyDescent="0.3">
      <c r="A495" t="s">
        <v>878</v>
      </c>
    </row>
    <row r="496" spans="1:1" x14ac:dyDescent="0.3">
      <c r="A496" t="s">
        <v>877</v>
      </c>
    </row>
    <row r="497" spans="1:1" x14ac:dyDescent="0.3">
      <c r="A497" t="s">
        <v>876</v>
      </c>
    </row>
    <row r="498" spans="1:1" x14ac:dyDescent="0.3">
      <c r="A498" t="s">
        <v>875</v>
      </c>
    </row>
    <row r="499" spans="1:1" x14ac:dyDescent="0.3">
      <c r="A499" t="s">
        <v>874</v>
      </c>
    </row>
    <row r="500" spans="1:1" x14ac:dyDescent="0.3">
      <c r="A500" t="s">
        <v>873</v>
      </c>
    </row>
    <row r="501" spans="1:1" x14ac:dyDescent="0.3">
      <c r="A501" t="s">
        <v>872</v>
      </c>
    </row>
    <row r="502" spans="1:1" x14ac:dyDescent="0.3">
      <c r="A502" t="s">
        <v>871</v>
      </c>
    </row>
    <row r="503" spans="1:1" x14ac:dyDescent="0.3">
      <c r="A503" t="s">
        <v>870</v>
      </c>
    </row>
    <row r="504" spans="1:1" x14ac:dyDescent="0.3">
      <c r="A504" t="s">
        <v>869</v>
      </c>
    </row>
    <row r="505" spans="1:1" x14ac:dyDescent="0.3">
      <c r="A505" t="s">
        <v>868</v>
      </c>
    </row>
    <row r="506" spans="1:1" x14ac:dyDescent="0.3">
      <c r="A506" t="s">
        <v>867</v>
      </c>
    </row>
    <row r="507" spans="1:1" x14ac:dyDescent="0.3">
      <c r="A507" t="s">
        <v>866</v>
      </c>
    </row>
    <row r="508" spans="1:1" x14ac:dyDescent="0.3">
      <c r="A508" t="s">
        <v>865</v>
      </c>
    </row>
    <row r="509" spans="1:1" x14ac:dyDescent="0.3">
      <c r="A509" t="s">
        <v>864</v>
      </c>
    </row>
    <row r="510" spans="1:1" x14ac:dyDescent="0.3">
      <c r="A510" t="s">
        <v>863</v>
      </c>
    </row>
    <row r="511" spans="1:1" x14ac:dyDescent="0.3">
      <c r="A511" t="s">
        <v>862</v>
      </c>
    </row>
    <row r="512" spans="1:1" x14ac:dyDescent="0.3">
      <c r="A512" t="s">
        <v>861</v>
      </c>
    </row>
    <row r="513" spans="1:1" x14ac:dyDescent="0.3">
      <c r="A513" t="s">
        <v>860</v>
      </c>
    </row>
    <row r="514" spans="1:1" x14ac:dyDescent="0.3">
      <c r="A514" t="s">
        <v>859</v>
      </c>
    </row>
    <row r="515" spans="1:1" x14ac:dyDescent="0.3">
      <c r="A515" t="s">
        <v>858</v>
      </c>
    </row>
    <row r="516" spans="1:1" x14ac:dyDescent="0.3">
      <c r="A516" t="s">
        <v>857</v>
      </c>
    </row>
    <row r="517" spans="1:1" x14ac:dyDescent="0.3">
      <c r="A517" t="s">
        <v>856</v>
      </c>
    </row>
    <row r="518" spans="1:1" x14ac:dyDescent="0.3">
      <c r="A518" t="s">
        <v>855</v>
      </c>
    </row>
    <row r="519" spans="1:1" x14ac:dyDescent="0.3">
      <c r="A519" t="s">
        <v>854</v>
      </c>
    </row>
    <row r="520" spans="1:1" x14ac:dyDescent="0.3">
      <c r="A520" t="s">
        <v>853</v>
      </c>
    </row>
    <row r="521" spans="1:1" x14ac:dyDescent="0.3">
      <c r="A521" t="s">
        <v>852</v>
      </c>
    </row>
    <row r="522" spans="1:1" x14ac:dyDescent="0.3">
      <c r="A522" t="s">
        <v>851</v>
      </c>
    </row>
    <row r="523" spans="1:1" x14ac:dyDescent="0.3">
      <c r="A523" t="s">
        <v>850</v>
      </c>
    </row>
    <row r="524" spans="1:1" x14ac:dyDescent="0.3">
      <c r="A524" t="s">
        <v>849</v>
      </c>
    </row>
    <row r="525" spans="1:1" x14ac:dyDescent="0.3">
      <c r="A525" t="s">
        <v>848</v>
      </c>
    </row>
    <row r="526" spans="1:1" x14ac:dyDescent="0.3">
      <c r="A526" t="s">
        <v>847</v>
      </c>
    </row>
    <row r="527" spans="1:1" x14ac:dyDescent="0.3">
      <c r="A527" t="s">
        <v>846</v>
      </c>
    </row>
    <row r="528" spans="1:1" x14ac:dyDescent="0.3">
      <c r="A528" t="s">
        <v>845</v>
      </c>
    </row>
    <row r="529" spans="1:1" x14ac:dyDescent="0.3">
      <c r="A529" t="s">
        <v>844</v>
      </c>
    </row>
    <row r="530" spans="1:1" x14ac:dyDescent="0.3">
      <c r="A530" t="s">
        <v>843</v>
      </c>
    </row>
    <row r="531" spans="1:1" x14ac:dyDescent="0.3">
      <c r="A531" t="s">
        <v>842</v>
      </c>
    </row>
    <row r="532" spans="1:1" x14ac:dyDescent="0.3">
      <c r="A532" t="s">
        <v>841</v>
      </c>
    </row>
    <row r="533" spans="1:1" x14ac:dyDescent="0.3">
      <c r="A533" t="s">
        <v>840</v>
      </c>
    </row>
    <row r="534" spans="1:1" x14ac:dyDescent="0.3">
      <c r="A534" t="s">
        <v>839</v>
      </c>
    </row>
    <row r="535" spans="1:1" x14ac:dyDescent="0.3">
      <c r="A535" t="s">
        <v>838</v>
      </c>
    </row>
    <row r="536" spans="1:1" x14ac:dyDescent="0.3">
      <c r="A536" t="s">
        <v>837</v>
      </c>
    </row>
    <row r="537" spans="1:1" x14ac:dyDescent="0.3">
      <c r="A537" t="s">
        <v>836</v>
      </c>
    </row>
    <row r="538" spans="1:1" x14ac:dyDescent="0.3">
      <c r="A538" t="s">
        <v>835</v>
      </c>
    </row>
    <row r="539" spans="1:1" x14ac:dyDescent="0.3">
      <c r="A539" t="s">
        <v>834</v>
      </c>
    </row>
    <row r="540" spans="1:1" x14ac:dyDescent="0.3">
      <c r="A540" t="s">
        <v>833</v>
      </c>
    </row>
    <row r="541" spans="1:1" x14ac:dyDescent="0.3">
      <c r="A541" t="s">
        <v>832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7"/>
  <sheetViews>
    <sheetView zoomScale="80" zoomScaleNormal="80" workbookViewId="0">
      <selection activeCell="A29" sqref="A29:XFD29"/>
    </sheetView>
  </sheetViews>
  <sheetFormatPr defaultRowHeight="16.5" x14ac:dyDescent="0.3"/>
  <cols>
    <col min="1" max="1" width="7" bestFit="1" customWidth="1"/>
    <col min="2" max="3" width="9.5" bestFit="1" customWidth="1"/>
    <col min="4" max="4" width="16.5" bestFit="1" customWidth="1"/>
    <col min="5" max="5" width="11.625" bestFit="1" customWidth="1"/>
    <col min="6" max="6" width="10.625" bestFit="1" customWidth="1"/>
    <col min="7" max="11" width="7.625" customWidth="1"/>
    <col min="12" max="12" width="7.625" style="8" customWidth="1"/>
    <col min="13" max="13" width="7.625" customWidth="1"/>
    <col min="14" max="15" width="7.625" style="8" customWidth="1"/>
    <col min="16" max="19" width="7.625" customWidth="1"/>
    <col min="20" max="24" width="7.625" style="8" customWidth="1"/>
    <col min="25" max="25" width="32.375" style="5" customWidth="1"/>
  </cols>
  <sheetData>
    <row r="1" spans="1:25" ht="31.5" x14ac:dyDescent="0.3">
      <c r="A1" s="125" t="s">
        <v>72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Y1" s="2"/>
    </row>
    <row r="2" spans="1:25" ht="17.25" thickBot="1" x14ac:dyDescent="0.35">
      <c r="Y2" s="3"/>
    </row>
    <row r="3" spans="1:25" ht="26.25" customHeight="1" thickBot="1" x14ac:dyDescent="0.35">
      <c r="A3" s="126" t="s">
        <v>1</v>
      </c>
      <c r="B3" s="128" t="s">
        <v>62</v>
      </c>
      <c r="C3" s="128" t="s">
        <v>63</v>
      </c>
      <c r="D3" s="126" t="s">
        <v>7</v>
      </c>
      <c r="E3" s="130" t="s">
        <v>8</v>
      </c>
      <c r="F3" s="131"/>
      <c r="G3" s="132" t="s">
        <v>9</v>
      </c>
      <c r="H3" s="132"/>
      <c r="I3" s="132"/>
      <c r="J3" s="132"/>
      <c r="K3" s="132"/>
      <c r="L3" s="123" t="s">
        <v>56</v>
      </c>
      <c r="M3" s="124"/>
      <c r="N3" s="124"/>
      <c r="O3" s="124"/>
      <c r="P3" s="124"/>
      <c r="Q3" s="124"/>
      <c r="R3" s="124"/>
      <c r="S3" s="124"/>
      <c r="T3" s="124"/>
      <c r="U3" s="9"/>
      <c r="V3" s="9"/>
      <c r="W3" s="9"/>
      <c r="X3" s="9"/>
      <c r="Y3" s="133" t="s">
        <v>10</v>
      </c>
    </row>
    <row r="4" spans="1:25" ht="33.75" customHeight="1" thickBot="1" x14ac:dyDescent="0.35">
      <c r="A4" s="127"/>
      <c r="B4" s="127"/>
      <c r="C4" s="127"/>
      <c r="D4" s="129"/>
      <c r="E4" s="1" t="s">
        <v>0</v>
      </c>
      <c r="F4" s="4" t="s">
        <v>11</v>
      </c>
      <c r="G4" s="4" t="s">
        <v>12</v>
      </c>
      <c r="H4" s="4" t="s">
        <v>13</v>
      </c>
      <c r="I4" s="4" t="s">
        <v>14</v>
      </c>
      <c r="J4" s="51" t="s">
        <v>15</v>
      </c>
      <c r="K4" s="51" t="s">
        <v>16</v>
      </c>
      <c r="L4" s="51" t="s">
        <v>6</v>
      </c>
      <c r="M4" s="51" t="s">
        <v>51</v>
      </c>
      <c r="N4" s="51" t="s">
        <v>125</v>
      </c>
      <c r="O4" s="51" t="s">
        <v>126</v>
      </c>
      <c r="P4" s="51" t="s">
        <v>127</v>
      </c>
      <c r="Q4" s="51" t="s">
        <v>53</v>
      </c>
      <c r="R4" s="51" t="s">
        <v>54</v>
      </c>
      <c r="S4" s="51" t="s">
        <v>128</v>
      </c>
      <c r="T4" s="51" t="s">
        <v>129</v>
      </c>
      <c r="U4" s="51" t="s">
        <v>130</v>
      </c>
      <c r="V4" s="4" t="s">
        <v>78</v>
      </c>
      <c r="W4" s="4" t="s">
        <v>131</v>
      </c>
      <c r="X4" s="10" t="s">
        <v>76</v>
      </c>
      <c r="Y4" s="134"/>
    </row>
    <row r="5" spans="1:25" ht="20.100000000000001" customHeight="1" x14ac:dyDescent="0.3">
      <c r="A5" s="11">
        <v>1</v>
      </c>
      <c r="B5" s="12" t="s">
        <v>17</v>
      </c>
      <c r="C5" s="12" t="s">
        <v>17</v>
      </c>
      <c r="D5" s="13" t="s">
        <v>18</v>
      </c>
      <c r="E5" s="36">
        <v>45555</v>
      </c>
      <c r="F5" s="15"/>
      <c r="G5" s="13" t="s">
        <v>133</v>
      </c>
      <c r="H5" s="27">
        <v>25.2</v>
      </c>
      <c r="I5" s="27">
        <v>7.09</v>
      </c>
      <c r="J5" s="27">
        <v>7.65</v>
      </c>
      <c r="K5" s="76">
        <v>118</v>
      </c>
      <c r="L5" s="56"/>
      <c r="M5" s="53"/>
      <c r="N5" s="53"/>
      <c r="O5" s="53">
        <v>2.4790000000000001</v>
      </c>
      <c r="P5" s="53"/>
      <c r="Q5" s="53"/>
      <c r="R5" s="53"/>
      <c r="S5" s="53"/>
      <c r="T5" s="53">
        <v>6.4429999999999996</v>
      </c>
      <c r="U5" s="53">
        <v>3.61</v>
      </c>
      <c r="V5" s="53">
        <v>-3.39</v>
      </c>
      <c r="W5" s="53"/>
      <c r="X5" s="53"/>
      <c r="Y5" s="63"/>
    </row>
    <row r="6" spans="1:25" ht="20.100000000000001" customHeight="1" x14ac:dyDescent="0.3">
      <c r="A6" s="25">
        <v>2</v>
      </c>
      <c r="B6" s="17" t="s">
        <v>17</v>
      </c>
      <c r="C6" s="17" t="s">
        <v>17</v>
      </c>
      <c r="D6" s="18" t="s">
        <v>20</v>
      </c>
      <c r="E6" s="26">
        <v>45555</v>
      </c>
      <c r="F6" s="20"/>
      <c r="G6" s="18" t="s">
        <v>133</v>
      </c>
      <c r="H6" s="28">
        <v>25.9</v>
      </c>
      <c r="I6" s="28">
        <v>7.31</v>
      </c>
      <c r="J6" s="28">
        <v>7.42</v>
      </c>
      <c r="K6" s="74">
        <v>125</v>
      </c>
      <c r="L6" s="57"/>
      <c r="M6" s="54"/>
      <c r="N6" s="54"/>
      <c r="O6" s="54">
        <v>1.2849999999999999</v>
      </c>
      <c r="P6" s="54"/>
      <c r="Q6" s="54"/>
      <c r="R6" s="54"/>
      <c r="S6" s="54"/>
      <c r="T6" s="54">
        <v>9.0939999999999994</v>
      </c>
      <c r="U6" s="54">
        <v>2.93</v>
      </c>
      <c r="V6" s="54">
        <v>-2.93</v>
      </c>
      <c r="W6" s="54"/>
      <c r="X6" s="54"/>
      <c r="Y6" s="64"/>
    </row>
    <row r="7" spans="1:25" ht="20.100000000000001" customHeight="1" x14ac:dyDescent="0.3">
      <c r="A7" s="25">
        <v>3</v>
      </c>
      <c r="B7" s="17" t="s">
        <v>17</v>
      </c>
      <c r="C7" s="17" t="s">
        <v>17</v>
      </c>
      <c r="D7" s="18" t="s">
        <v>21</v>
      </c>
      <c r="E7" s="26">
        <v>45555</v>
      </c>
      <c r="F7" s="20"/>
      <c r="G7" s="18" t="s">
        <v>133</v>
      </c>
      <c r="H7" s="28">
        <v>26.3</v>
      </c>
      <c r="I7" s="28">
        <v>7.23</v>
      </c>
      <c r="J7" s="28">
        <v>7.08</v>
      </c>
      <c r="K7" s="74">
        <v>115</v>
      </c>
      <c r="L7" s="57"/>
      <c r="M7" s="54"/>
      <c r="N7" s="54"/>
      <c r="O7" s="54">
        <v>1.1259999999999999</v>
      </c>
      <c r="P7" s="54"/>
      <c r="Q7" s="54"/>
      <c r="R7" s="54"/>
      <c r="S7" s="54"/>
      <c r="T7" s="54">
        <v>7.5380000000000003</v>
      </c>
      <c r="U7" s="58">
        <v>2.5299999999999998</v>
      </c>
      <c r="V7" s="58">
        <v>-0.8</v>
      </c>
      <c r="W7" s="58"/>
      <c r="X7" s="54"/>
      <c r="Y7" s="64"/>
    </row>
    <row r="8" spans="1:25" ht="20.100000000000001" customHeight="1" x14ac:dyDescent="0.3">
      <c r="A8" s="25">
        <v>4</v>
      </c>
      <c r="B8" s="17" t="s">
        <v>17</v>
      </c>
      <c r="C8" s="17" t="s">
        <v>17</v>
      </c>
      <c r="D8" s="18" t="s">
        <v>22</v>
      </c>
      <c r="E8" s="26">
        <v>45555</v>
      </c>
      <c r="F8" s="20"/>
      <c r="G8" s="18" t="s">
        <v>133</v>
      </c>
      <c r="H8" s="28">
        <v>25.9</v>
      </c>
      <c r="I8" s="28">
        <v>7.21</v>
      </c>
      <c r="J8" s="28">
        <v>7.11</v>
      </c>
      <c r="K8" s="74">
        <v>119</v>
      </c>
      <c r="L8" s="57"/>
      <c r="M8" s="54"/>
      <c r="N8" s="54"/>
      <c r="O8" s="54">
        <v>0.96599999999999997</v>
      </c>
      <c r="P8" s="54"/>
      <c r="Q8" s="54"/>
      <c r="R8" s="54"/>
      <c r="S8" s="54"/>
      <c r="T8" s="54">
        <v>9.9960000000000004</v>
      </c>
      <c r="U8" s="55">
        <v>2.85</v>
      </c>
      <c r="V8" s="55">
        <v>-0.42</v>
      </c>
      <c r="W8" s="55"/>
      <c r="X8" s="55"/>
      <c r="Y8" s="64"/>
    </row>
    <row r="9" spans="1:25" ht="20.100000000000001" customHeight="1" x14ac:dyDescent="0.3">
      <c r="A9" s="41">
        <v>5</v>
      </c>
      <c r="B9" s="42" t="s">
        <v>23</v>
      </c>
      <c r="C9" s="42" t="s">
        <v>23</v>
      </c>
      <c r="D9" s="43" t="s">
        <v>24</v>
      </c>
      <c r="E9" s="44">
        <v>45555</v>
      </c>
      <c r="F9" s="45"/>
      <c r="G9" s="43" t="s">
        <v>133</v>
      </c>
      <c r="H9" s="72">
        <v>23.01</v>
      </c>
      <c r="I9" s="72">
        <v>7.53</v>
      </c>
      <c r="J9" s="72">
        <v>8.75</v>
      </c>
      <c r="K9" s="73">
        <v>89</v>
      </c>
      <c r="L9" s="59"/>
      <c r="M9" s="60"/>
      <c r="N9" s="60"/>
      <c r="O9" s="61">
        <v>1.81</v>
      </c>
      <c r="P9" s="61"/>
      <c r="Q9" s="61"/>
      <c r="R9" s="61"/>
      <c r="S9" s="61"/>
      <c r="T9" s="61">
        <v>6.7130000000000001</v>
      </c>
      <c r="U9" s="61">
        <v>3.75</v>
      </c>
      <c r="V9" s="61">
        <v>-0.27</v>
      </c>
      <c r="W9" s="61"/>
      <c r="X9" s="61"/>
      <c r="Y9" s="65"/>
    </row>
    <row r="10" spans="1:25" ht="20.100000000000001" customHeight="1" x14ac:dyDescent="0.3">
      <c r="A10" s="41">
        <v>6</v>
      </c>
      <c r="B10" s="42" t="s">
        <v>23</v>
      </c>
      <c r="C10" s="42" t="s">
        <v>23</v>
      </c>
      <c r="D10" s="43" t="s">
        <v>25</v>
      </c>
      <c r="E10" s="44">
        <v>45555</v>
      </c>
      <c r="F10" s="45"/>
      <c r="G10" s="43" t="s">
        <v>133</v>
      </c>
      <c r="H10" s="72">
        <v>23.51</v>
      </c>
      <c r="I10" s="72">
        <v>7.38</v>
      </c>
      <c r="J10" s="72">
        <v>8.7100000000000009</v>
      </c>
      <c r="K10" s="73">
        <v>95</v>
      </c>
      <c r="L10" s="59"/>
      <c r="M10" s="60"/>
      <c r="N10" s="60"/>
      <c r="O10" s="60">
        <v>1.5860000000000001</v>
      </c>
      <c r="P10" s="60"/>
      <c r="Q10" s="60"/>
      <c r="R10" s="60"/>
      <c r="S10" s="60"/>
      <c r="T10" s="60">
        <v>10.242000000000001</v>
      </c>
      <c r="U10" s="60">
        <v>6.21</v>
      </c>
      <c r="V10" s="60">
        <v>-0.08</v>
      </c>
      <c r="W10" s="60"/>
      <c r="X10" s="60"/>
      <c r="Y10" s="65"/>
    </row>
    <row r="11" spans="1:25" ht="20.100000000000001" customHeight="1" x14ac:dyDescent="0.3">
      <c r="A11" s="41">
        <v>7</v>
      </c>
      <c r="B11" s="42" t="s">
        <v>23</v>
      </c>
      <c r="C11" s="42" t="s">
        <v>23</v>
      </c>
      <c r="D11" s="43" t="s">
        <v>26</v>
      </c>
      <c r="E11" s="44">
        <v>45555</v>
      </c>
      <c r="F11" s="45"/>
      <c r="G11" s="43" t="s">
        <v>133</v>
      </c>
      <c r="H11" s="72">
        <v>23.58</v>
      </c>
      <c r="I11" s="72">
        <v>7.27</v>
      </c>
      <c r="J11" s="72">
        <v>8.19</v>
      </c>
      <c r="K11" s="73">
        <v>107</v>
      </c>
      <c r="L11" s="59"/>
      <c r="M11" s="60"/>
      <c r="N11" s="60"/>
      <c r="O11" s="60">
        <v>1.9059999999999999</v>
      </c>
      <c r="P11" s="60"/>
      <c r="Q11" s="60"/>
      <c r="R11" s="60"/>
      <c r="S11" s="60"/>
      <c r="T11" s="60">
        <v>11.489000000000001</v>
      </c>
      <c r="U11" s="60">
        <v>6.45</v>
      </c>
      <c r="V11" s="60">
        <v>-0.33</v>
      </c>
      <c r="W11" s="60"/>
      <c r="X11" s="60"/>
      <c r="Y11" s="65"/>
    </row>
    <row r="12" spans="1:25" ht="20.100000000000001" customHeight="1" x14ac:dyDescent="0.3">
      <c r="A12" s="41">
        <v>8</v>
      </c>
      <c r="B12" s="42" t="s">
        <v>23</v>
      </c>
      <c r="C12" s="42" t="s">
        <v>27</v>
      </c>
      <c r="D12" s="43" t="s">
        <v>68</v>
      </c>
      <c r="E12" s="44">
        <v>45555</v>
      </c>
      <c r="F12" s="45"/>
      <c r="G12" s="43" t="s">
        <v>133</v>
      </c>
      <c r="H12" s="72">
        <v>23.03</v>
      </c>
      <c r="I12" s="72">
        <v>7.12</v>
      </c>
      <c r="J12" s="72">
        <v>7.6</v>
      </c>
      <c r="K12" s="73">
        <v>298</v>
      </c>
      <c r="L12" s="59"/>
      <c r="M12" s="60"/>
      <c r="N12" s="60"/>
      <c r="O12" s="60">
        <v>0.76500000000000001</v>
      </c>
      <c r="P12" s="60"/>
      <c r="Q12" s="60"/>
      <c r="R12" s="60"/>
      <c r="S12" s="60"/>
      <c r="T12" s="60">
        <v>35.637</v>
      </c>
      <c r="U12" s="60">
        <v>6.36</v>
      </c>
      <c r="V12" s="60">
        <v>0.05</v>
      </c>
      <c r="W12" s="60"/>
      <c r="X12" s="60"/>
      <c r="Y12" s="65"/>
    </row>
    <row r="13" spans="1:25" ht="20.100000000000001" customHeight="1" x14ac:dyDescent="0.3">
      <c r="A13" s="41">
        <v>9</v>
      </c>
      <c r="B13" s="42" t="s">
        <v>23</v>
      </c>
      <c r="C13" s="42" t="s">
        <v>27</v>
      </c>
      <c r="D13" s="43" t="s">
        <v>30</v>
      </c>
      <c r="E13" s="44">
        <v>45555</v>
      </c>
      <c r="F13" s="45"/>
      <c r="G13" s="43" t="s">
        <v>133</v>
      </c>
      <c r="H13" s="72">
        <v>24.8</v>
      </c>
      <c r="I13" s="72">
        <v>7.08</v>
      </c>
      <c r="J13" s="72">
        <v>7.06</v>
      </c>
      <c r="K13" s="73">
        <v>141</v>
      </c>
      <c r="L13" s="59"/>
      <c r="M13" s="60"/>
      <c r="N13" s="60"/>
      <c r="O13" s="60">
        <v>2.2280000000000002</v>
      </c>
      <c r="P13" s="60"/>
      <c r="Q13" s="60"/>
      <c r="R13" s="60"/>
      <c r="S13" s="60"/>
      <c r="T13" s="60">
        <v>12.307</v>
      </c>
      <c r="U13" s="62">
        <v>6.09</v>
      </c>
      <c r="V13" s="62">
        <v>-2.75</v>
      </c>
      <c r="W13" s="62"/>
      <c r="X13" s="62"/>
      <c r="Y13" s="65"/>
    </row>
    <row r="14" spans="1:25" ht="20.100000000000001" customHeight="1" x14ac:dyDescent="0.3">
      <c r="A14" s="25">
        <v>10</v>
      </c>
      <c r="B14" s="17" t="s">
        <v>31</v>
      </c>
      <c r="C14" s="17" t="s">
        <v>31</v>
      </c>
      <c r="D14" s="18" t="s">
        <v>32</v>
      </c>
      <c r="E14" s="26">
        <v>45555</v>
      </c>
      <c r="F14" s="20"/>
      <c r="G14" s="18" t="s">
        <v>133</v>
      </c>
      <c r="H14" s="28">
        <v>28.53</v>
      </c>
      <c r="I14" s="28">
        <v>7.9</v>
      </c>
      <c r="J14" s="28">
        <v>5.95</v>
      </c>
      <c r="K14" s="74">
        <v>226</v>
      </c>
      <c r="L14" s="57"/>
      <c r="M14" s="54"/>
      <c r="N14" s="54"/>
      <c r="O14" s="58">
        <v>1.1559999999999999</v>
      </c>
      <c r="P14" s="58"/>
      <c r="Q14" s="58"/>
      <c r="R14" s="58"/>
      <c r="S14" s="58"/>
      <c r="T14" s="58">
        <v>12.255000000000001</v>
      </c>
      <c r="U14" s="58">
        <v>9.75</v>
      </c>
      <c r="V14" s="58">
        <v>6.08</v>
      </c>
      <c r="W14" s="58"/>
      <c r="X14" s="58"/>
      <c r="Y14" s="64"/>
    </row>
    <row r="15" spans="1:25" ht="20.100000000000001" customHeight="1" x14ac:dyDescent="0.3">
      <c r="A15" s="25">
        <v>11</v>
      </c>
      <c r="B15" s="17" t="s">
        <v>31</v>
      </c>
      <c r="C15" s="17" t="s">
        <v>31</v>
      </c>
      <c r="D15" s="18" t="s">
        <v>69</v>
      </c>
      <c r="E15" s="26">
        <v>45555</v>
      </c>
      <c r="F15" s="20"/>
      <c r="G15" s="18" t="s">
        <v>133</v>
      </c>
      <c r="H15" s="28">
        <v>28.3</v>
      </c>
      <c r="I15" s="28">
        <v>7.46</v>
      </c>
      <c r="J15" s="28">
        <v>6.9</v>
      </c>
      <c r="K15" s="74">
        <v>224</v>
      </c>
      <c r="L15" s="57"/>
      <c r="M15" s="54"/>
      <c r="N15" s="54"/>
      <c r="O15" s="54">
        <v>0.82799999999999996</v>
      </c>
      <c r="P15" s="54"/>
      <c r="Q15" s="54"/>
      <c r="R15" s="54"/>
      <c r="S15" s="54"/>
      <c r="T15" s="54">
        <v>14.507999999999999</v>
      </c>
      <c r="U15" s="54">
        <v>10.69</v>
      </c>
      <c r="V15" s="54">
        <v>2.96</v>
      </c>
      <c r="W15" s="54"/>
      <c r="X15" s="54"/>
      <c r="Y15" s="64"/>
    </row>
    <row r="16" spans="1:25" ht="20.100000000000001" customHeight="1" x14ac:dyDescent="0.3">
      <c r="A16" s="25">
        <v>12</v>
      </c>
      <c r="B16" s="17" t="s">
        <v>31</v>
      </c>
      <c r="C16" s="17" t="s">
        <v>31</v>
      </c>
      <c r="D16" s="18" t="s">
        <v>34</v>
      </c>
      <c r="E16" s="26">
        <v>45555</v>
      </c>
      <c r="F16" s="20"/>
      <c r="G16" s="18" t="s">
        <v>133</v>
      </c>
      <c r="H16" s="28">
        <v>28.42</v>
      </c>
      <c r="I16" s="28">
        <v>7.42</v>
      </c>
      <c r="J16" s="28">
        <v>6.67</v>
      </c>
      <c r="K16" s="74">
        <v>234</v>
      </c>
      <c r="L16" s="57"/>
      <c r="M16" s="54"/>
      <c r="N16" s="54"/>
      <c r="O16" s="54">
        <v>1.163</v>
      </c>
      <c r="P16" s="54"/>
      <c r="Q16" s="54"/>
      <c r="R16" s="54"/>
      <c r="S16" s="54"/>
      <c r="T16" s="54">
        <v>15.346</v>
      </c>
      <c r="U16" s="54">
        <v>10.63</v>
      </c>
      <c r="V16" s="54">
        <v>2.95</v>
      </c>
      <c r="W16" s="54"/>
      <c r="X16" s="54"/>
      <c r="Y16" s="64"/>
    </row>
    <row r="17" spans="1:25" ht="20.100000000000001" customHeight="1" x14ac:dyDescent="0.3">
      <c r="A17" s="25">
        <v>13</v>
      </c>
      <c r="B17" s="17" t="s">
        <v>31</v>
      </c>
      <c r="C17" s="17" t="s">
        <v>35</v>
      </c>
      <c r="D17" s="18" t="s">
        <v>36</v>
      </c>
      <c r="E17" s="26">
        <v>45555</v>
      </c>
      <c r="F17" s="20"/>
      <c r="G17" s="18" t="s">
        <v>80</v>
      </c>
      <c r="H17" s="28">
        <v>27.1</v>
      </c>
      <c r="I17" s="28">
        <v>7.04</v>
      </c>
      <c r="J17" s="28">
        <v>6.21</v>
      </c>
      <c r="K17" s="74">
        <v>139</v>
      </c>
      <c r="L17" s="57"/>
      <c r="M17" s="54"/>
      <c r="N17" s="54"/>
      <c r="O17" s="54">
        <v>1.129</v>
      </c>
      <c r="P17" s="54"/>
      <c r="Q17" s="54"/>
      <c r="R17" s="54"/>
      <c r="S17" s="54"/>
      <c r="T17" s="54">
        <v>6.3780000000000001</v>
      </c>
      <c r="U17" s="54">
        <v>7.91</v>
      </c>
      <c r="V17" s="54">
        <v>1.52</v>
      </c>
      <c r="W17" s="54"/>
      <c r="X17" s="54"/>
      <c r="Y17" s="64"/>
    </row>
    <row r="18" spans="1:25" ht="20.100000000000001" customHeight="1" x14ac:dyDescent="0.3">
      <c r="A18" s="25">
        <v>14</v>
      </c>
      <c r="B18" s="17" t="s">
        <v>31</v>
      </c>
      <c r="C18" s="17" t="s">
        <v>5</v>
      </c>
      <c r="D18" s="18" t="s">
        <v>29</v>
      </c>
      <c r="E18" s="26">
        <v>45555</v>
      </c>
      <c r="F18" s="20"/>
      <c r="G18" s="18" t="s">
        <v>80</v>
      </c>
      <c r="H18" s="28">
        <v>26.3</v>
      </c>
      <c r="I18" s="28">
        <v>7.01</v>
      </c>
      <c r="J18" s="28">
        <v>7.04</v>
      </c>
      <c r="K18" s="74">
        <v>157</v>
      </c>
      <c r="L18" s="57"/>
      <c r="M18" s="54"/>
      <c r="N18" s="54"/>
      <c r="O18" s="54">
        <v>1.1659999999999999</v>
      </c>
      <c r="P18" s="54"/>
      <c r="Q18" s="54"/>
      <c r="R18" s="54"/>
      <c r="S18" s="54"/>
      <c r="T18" s="54">
        <v>13.02</v>
      </c>
      <c r="U18" s="54">
        <v>7.65</v>
      </c>
      <c r="V18" s="54">
        <v>2.33</v>
      </c>
      <c r="W18" s="54"/>
      <c r="X18" s="54"/>
      <c r="Y18" s="64"/>
    </row>
    <row r="19" spans="1:25" ht="20.100000000000001" customHeight="1" x14ac:dyDescent="0.3">
      <c r="A19" s="25">
        <v>15</v>
      </c>
      <c r="B19" s="17" t="s">
        <v>31</v>
      </c>
      <c r="C19" s="17" t="s">
        <v>35</v>
      </c>
      <c r="D19" s="18" t="s">
        <v>29</v>
      </c>
      <c r="E19" s="26">
        <v>45555</v>
      </c>
      <c r="F19" s="20"/>
      <c r="G19" s="18" t="s">
        <v>80</v>
      </c>
      <c r="H19" s="28">
        <v>26.5</v>
      </c>
      <c r="I19" s="28">
        <v>7.01</v>
      </c>
      <c r="J19" s="28">
        <v>6.16</v>
      </c>
      <c r="K19" s="74">
        <v>103</v>
      </c>
      <c r="L19" s="57"/>
      <c r="M19" s="54"/>
      <c r="N19" s="54"/>
      <c r="O19" s="54">
        <v>1.204</v>
      </c>
      <c r="P19" s="54"/>
      <c r="Q19" s="54"/>
      <c r="R19" s="54"/>
      <c r="S19" s="54"/>
      <c r="T19" s="54">
        <v>4.8440000000000003</v>
      </c>
      <c r="U19" s="55">
        <v>9.67</v>
      </c>
      <c r="V19" s="55">
        <v>2.44</v>
      </c>
      <c r="W19" s="55"/>
      <c r="X19" s="55"/>
      <c r="Y19" s="64"/>
    </row>
    <row r="20" spans="1:25" ht="20.100000000000001" customHeight="1" x14ac:dyDescent="0.3">
      <c r="A20" s="41">
        <v>16</v>
      </c>
      <c r="B20" s="42" t="s">
        <v>38</v>
      </c>
      <c r="C20" s="42" t="s">
        <v>38</v>
      </c>
      <c r="D20" s="43" t="s">
        <v>39</v>
      </c>
      <c r="E20" s="44">
        <v>45555</v>
      </c>
      <c r="F20" s="45"/>
      <c r="G20" s="43" t="s">
        <v>80</v>
      </c>
      <c r="H20" s="72">
        <v>26.22</v>
      </c>
      <c r="I20" s="72">
        <v>7.77</v>
      </c>
      <c r="J20" s="72">
        <v>115.1</v>
      </c>
      <c r="K20" s="73">
        <v>7.3</v>
      </c>
      <c r="L20" s="59"/>
      <c r="M20" s="60"/>
      <c r="N20" s="60"/>
      <c r="O20" s="61">
        <v>1.4379999999999999</v>
      </c>
      <c r="P20" s="61"/>
      <c r="Q20" s="61"/>
      <c r="R20" s="61"/>
      <c r="S20" s="61"/>
      <c r="T20" s="61">
        <v>6.7939999999999996</v>
      </c>
      <c r="U20" s="61">
        <v>7.01</v>
      </c>
      <c r="V20" s="61">
        <v>-0.65</v>
      </c>
      <c r="W20" s="61"/>
      <c r="X20" s="61"/>
      <c r="Y20" s="65"/>
    </row>
    <row r="21" spans="1:25" ht="20.100000000000001" customHeight="1" x14ac:dyDescent="0.3">
      <c r="A21" s="41">
        <v>17</v>
      </c>
      <c r="B21" s="42" t="s">
        <v>38</v>
      </c>
      <c r="C21" s="42" t="s">
        <v>38</v>
      </c>
      <c r="D21" s="43" t="s">
        <v>41</v>
      </c>
      <c r="E21" s="44">
        <v>45555</v>
      </c>
      <c r="F21" s="45"/>
      <c r="G21" s="43" t="s">
        <v>80</v>
      </c>
      <c r="H21" s="72">
        <v>26.7</v>
      </c>
      <c r="I21" s="72">
        <v>7.1</v>
      </c>
      <c r="J21" s="72">
        <v>7.12</v>
      </c>
      <c r="K21" s="73">
        <v>109.8</v>
      </c>
      <c r="L21" s="59"/>
      <c r="M21" s="60"/>
      <c r="N21" s="60"/>
      <c r="O21" s="60">
        <v>1.1299999999999999</v>
      </c>
      <c r="P21" s="60"/>
      <c r="Q21" s="60"/>
      <c r="R21" s="60"/>
      <c r="S21" s="60"/>
      <c r="T21" s="60">
        <v>6.6559999999999997</v>
      </c>
      <c r="U21" s="60">
        <v>7.55</v>
      </c>
      <c r="V21" s="60">
        <v>0.45</v>
      </c>
      <c r="W21" s="60"/>
      <c r="X21" s="60"/>
      <c r="Y21" s="65"/>
    </row>
    <row r="22" spans="1:25" ht="20.100000000000001" customHeight="1" x14ac:dyDescent="0.3">
      <c r="A22" s="41">
        <v>18</v>
      </c>
      <c r="B22" s="42" t="s">
        <v>38</v>
      </c>
      <c r="C22" s="42" t="s">
        <v>38</v>
      </c>
      <c r="D22" s="43" t="s">
        <v>42</v>
      </c>
      <c r="E22" s="44">
        <v>45555</v>
      </c>
      <c r="F22" s="45"/>
      <c r="G22" s="43" t="s">
        <v>80</v>
      </c>
      <c r="H22" s="72">
        <v>26.52</v>
      </c>
      <c r="I22" s="72">
        <v>7.06</v>
      </c>
      <c r="J22" s="72">
        <v>6.9</v>
      </c>
      <c r="K22" s="73">
        <v>119</v>
      </c>
      <c r="L22" s="59"/>
      <c r="M22" s="60"/>
      <c r="N22" s="60"/>
      <c r="O22" s="60">
        <v>1.2490000000000001</v>
      </c>
      <c r="P22" s="60"/>
      <c r="Q22" s="60"/>
      <c r="R22" s="60"/>
      <c r="S22" s="60"/>
      <c r="T22" s="60">
        <v>8.0779999999999994</v>
      </c>
      <c r="U22" s="60">
        <v>7.87</v>
      </c>
      <c r="V22" s="60">
        <v>0.56000000000000005</v>
      </c>
      <c r="W22" s="60"/>
      <c r="X22" s="60"/>
      <c r="Y22" s="65"/>
    </row>
    <row r="23" spans="1:25" ht="20.100000000000001" customHeight="1" x14ac:dyDescent="0.3">
      <c r="A23" s="41">
        <v>19</v>
      </c>
      <c r="B23" s="42" t="s">
        <v>38</v>
      </c>
      <c r="C23" s="42" t="s">
        <v>43</v>
      </c>
      <c r="D23" s="43" t="s">
        <v>40</v>
      </c>
      <c r="E23" s="44">
        <v>45555</v>
      </c>
      <c r="F23" s="45"/>
      <c r="G23" s="43" t="s">
        <v>80</v>
      </c>
      <c r="H23" s="72">
        <v>27</v>
      </c>
      <c r="I23" s="72">
        <v>7.11</v>
      </c>
      <c r="J23" s="72">
        <v>7.1</v>
      </c>
      <c r="K23" s="73">
        <v>94.2</v>
      </c>
      <c r="L23" s="59"/>
      <c r="M23" s="60"/>
      <c r="N23" s="60"/>
      <c r="O23" s="60">
        <v>0.73599999999999999</v>
      </c>
      <c r="P23" s="60"/>
      <c r="Q23" s="60"/>
      <c r="R23" s="60"/>
      <c r="S23" s="60"/>
      <c r="T23" s="60">
        <v>5.6630000000000003</v>
      </c>
      <c r="U23" s="60">
        <v>7.59</v>
      </c>
      <c r="V23" s="60">
        <v>2.76</v>
      </c>
      <c r="W23" s="60"/>
      <c r="X23" s="60"/>
      <c r="Y23" s="65"/>
    </row>
    <row r="24" spans="1:25" ht="19.5" customHeight="1" x14ac:dyDescent="0.3">
      <c r="A24" s="41">
        <v>20</v>
      </c>
      <c r="B24" s="42" t="s">
        <v>38</v>
      </c>
      <c r="C24" s="42" t="s">
        <v>43</v>
      </c>
      <c r="D24" s="43" t="s">
        <v>44</v>
      </c>
      <c r="E24" s="44">
        <v>45555</v>
      </c>
      <c r="F24" s="45"/>
      <c r="G24" s="43" t="s">
        <v>80</v>
      </c>
      <c r="H24" s="72">
        <v>26.82</v>
      </c>
      <c r="I24" s="72">
        <v>7.32</v>
      </c>
      <c r="J24" s="72">
        <v>7.24</v>
      </c>
      <c r="K24" s="73">
        <v>75</v>
      </c>
      <c r="L24" s="59"/>
      <c r="M24" s="60"/>
      <c r="N24" s="60"/>
      <c r="O24" s="60">
        <v>0.59599999999999997</v>
      </c>
      <c r="P24" s="60"/>
      <c r="Q24" s="60"/>
      <c r="R24" s="60"/>
      <c r="S24" s="60"/>
      <c r="T24" s="60">
        <v>3.7</v>
      </c>
      <c r="U24" s="62">
        <v>6.34</v>
      </c>
      <c r="V24" s="62">
        <v>3.38</v>
      </c>
      <c r="W24" s="62"/>
      <c r="X24" s="62"/>
      <c r="Y24" s="65"/>
    </row>
    <row r="25" spans="1:25" ht="20.100000000000001" customHeight="1" x14ac:dyDescent="0.3">
      <c r="A25" s="25">
        <v>21</v>
      </c>
      <c r="B25" s="17" t="s">
        <v>45</v>
      </c>
      <c r="C25" s="17" t="s">
        <v>45</v>
      </c>
      <c r="D25" s="18" t="s">
        <v>46</v>
      </c>
      <c r="E25" s="26">
        <v>45555</v>
      </c>
      <c r="F25" s="20"/>
      <c r="G25" s="18" t="s">
        <v>80</v>
      </c>
      <c r="H25" s="28">
        <v>23.24</v>
      </c>
      <c r="I25" s="28">
        <v>8</v>
      </c>
      <c r="J25" s="28">
        <v>9.0299999999999994</v>
      </c>
      <c r="K25" s="74">
        <v>96</v>
      </c>
      <c r="L25" s="57"/>
      <c r="M25" s="54"/>
      <c r="N25" s="54"/>
      <c r="O25" s="58">
        <v>1.2</v>
      </c>
      <c r="P25" s="58"/>
      <c r="Q25" s="58"/>
      <c r="R25" s="58"/>
      <c r="S25" s="58"/>
      <c r="T25" s="58">
        <v>7.3719999999999999</v>
      </c>
      <c r="U25" s="58">
        <v>5.44</v>
      </c>
      <c r="V25" s="58">
        <v>-0.64</v>
      </c>
      <c r="W25" s="58"/>
      <c r="X25" s="58"/>
      <c r="Y25" s="64"/>
    </row>
    <row r="26" spans="1:25" ht="20.100000000000001" customHeight="1" x14ac:dyDescent="0.3">
      <c r="A26" s="25">
        <v>22</v>
      </c>
      <c r="B26" s="17" t="s">
        <v>45</v>
      </c>
      <c r="C26" s="17" t="s">
        <v>45</v>
      </c>
      <c r="D26" s="22" t="s">
        <v>47</v>
      </c>
      <c r="E26" s="26">
        <v>45555</v>
      </c>
      <c r="F26" s="23"/>
      <c r="G26" s="18" t="s">
        <v>80</v>
      </c>
      <c r="H26" s="28">
        <v>24.14</v>
      </c>
      <c r="I26" s="28">
        <v>7.76</v>
      </c>
      <c r="J26" s="28">
        <v>8.14</v>
      </c>
      <c r="K26" s="74">
        <v>127</v>
      </c>
      <c r="L26" s="57"/>
      <c r="M26" s="55"/>
      <c r="N26" s="55"/>
      <c r="O26" s="55">
        <v>0.98799999999999999</v>
      </c>
      <c r="P26" s="55"/>
      <c r="Q26" s="55"/>
      <c r="R26" s="55"/>
      <c r="S26" s="55"/>
      <c r="T26" s="55">
        <v>13.813000000000001</v>
      </c>
      <c r="U26" s="55">
        <v>7.87</v>
      </c>
      <c r="V26" s="55">
        <v>0.48</v>
      </c>
      <c r="W26" s="55"/>
      <c r="X26" s="55"/>
      <c r="Y26" s="66"/>
    </row>
    <row r="27" spans="1:25" ht="20.100000000000001" customHeight="1" x14ac:dyDescent="0.3">
      <c r="A27" s="25">
        <v>23</v>
      </c>
      <c r="B27" s="17" t="s">
        <v>45</v>
      </c>
      <c r="C27" s="17" t="s">
        <v>45</v>
      </c>
      <c r="D27" s="22" t="s">
        <v>29</v>
      </c>
      <c r="E27" s="26">
        <v>45555</v>
      </c>
      <c r="F27" s="23"/>
      <c r="G27" s="18" t="s">
        <v>80</v>
      </c>
      <c r="H27" s="75">
        <v>23.86</v>
      </c>
      <c r="I27" s="75">
        <v>7.6</v>
      </c>
      <c r="J27" s="75">
        <v>8.23</v>
      </c>
      <c r="K27" s="77">
        <v>115</v>
      </c>
      <c r="L27" s="57"/>
      <c r="M27" s="55"/>
      <c r="N27" s="55"/>
      <c r="O27" s="55">
        <v>1.2649999999999999</v>
      </c>
      <c r="P27" s="55"/>
      <c r="Q27" s="55"/>
      <c r="R27" s="55"/>
      <c r="S27" s="55"/>
      <c r="T27" s="55">
        <v>12.028</v>
      </c>
      <c r="U27" s="55">
        <v>7.22</v>
      </c>
      <c r="V27" s="55">
        <v>-0.87</v>
      </c>
      <c r="W27" s="55"/>
      <c r="X27" s="55"/>
      <c r="Y27" s="66"/>
    </row>
    <row r="28" spans="1:25" ht="20.100000000000001" customHeight="1" x14ac:dyDescent="0.3">
      <c r="A28" s="25">
        <v>24</v>
      </c>
      <c r="B28" s="17" t="s">
        <v>45</v>
      </c>
      <c r="C28" s="17" t="s">
        <v>45</v>
      </c>
      <c r="D28" s="18" t="s">
        <v>48</v>
      </c>
      <c r="E28" s="26">
        <v>45555</v>
      </c>
      <c r="F28" s="20"/>
      <c r="G28" s="18" t="s">
        <v>133</v>
      </c>
      <c r="H28" s="28">
        <v>23.77</v>
      </c>
      <c r="I28" s="28">
        <v>7.53</v>
      </c>
      <c r="J28" s="28">
        <v>8.26</v>
      </c>
      <c r="K28" s="74">
        <v>109</v>
      </c>
      <c r="L28" s="57"/>
      <c r="M28" s="54"/>
      <c r="N28" s="54"/>
      <c r="O28" s="54">
        <v>1.34</v>
      </c>
      <c r="P28" s="54"/>
      <c r="Q28" s="54"/>
      <c r="R28" s="54"/>
      <c r="S28" s="54"/>
      <c r="T28" s="54">
        <v>11.419</v>
      </c>
      <c r="U28" s="54">
        <v>7.92</v>
      </c>
      <c r="V28" s="54">
        <v>0.46</v>
      </c>
      <c r="W28" s="54"/>
      <c r="X28" s="54"/>
      <c r="Y28" s="64"/>
    </row>
    <row r="29" spans="1:25" ht="20.100000000000001" customHeight="1" x14ac:dyDescent="0.3"/>
    <row r="30" spans="1:25" ht="20.100000000000001" customHeight="1" x14ac:dyDescent="0.3"/>
    <row r="31" spans="1:25" ht="20.100000000000001" customHeight="1" x14ac:dyDescent="0.3"/>
    <row r="32" spans="1:25" ht="20.100000000000001" customHeight="1" x14ac:dyDescent="0.3"/>
    <row r="33" ht="20.100000000000001" customHeight="1" x14ac:dyDescent="0.3"/>
    <row r="34" ht="20.100000000000001" customHeight="1" x14ac:dyDescent="0.3"/>
    <row r="35" ht="20.100000000000001" customHeight="1" x14ac:dyDescent="0.3"/>
    <row r="36" ht="20.100000000000001" customHeight="1" x14ac:dyDescent="0.3"/>
    <row r="37" ht="20.100000000000001" customHeight="1" x14ac:dyDescent="0.3"/>
    <row r="38" ht="20.100000000000001" customHeight="1" x14ac:dyDescent="0.3"/>
    <row r="39" ht="20.100000000000001" customHeight="1" x14ac:dyDescent="0.3"/>
    <row r="40" ht="20.100000000000001" customHeight="1" x14ac:dyDescent="0.3"/>
    <row r="41" ht="20.100000000000001" customHeight="1" x14ac:dyDescent="0.3"/>
    <row r="42" ht="20.100000000000001" customHeight="1" x14ac:dyDescent="0.3"/>
    <row r="43" ht="20.100000000000001" customHeight="1" x14ac:dyDescent="0.3"/>
    <row r="44" ht="20.100000000000001" customHeight="1" x14ac:dyDescent="0.3"/>
    <row r="45" ht="20.100000000000001" customHeight="1" x14ac:dyDescent="0.3"/>
    <row r="46" ht="20.100000000000001" customHeight="1" x14ac:dyDescent="0.3"/>
    <row r="47" ht="20.100000000000001" customHeight="1" x14ac:dyDescent="0.3"/>
    <row r="48" ht="20.100000000000001" customHeight="1" x14ac:dyDescent="0.3"/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  <row r="291" ht="20.100000000000001" customHeight="1" x14ac:dyDescent="0.3"/>
    <row r="292" ht="20.100000000000001" customHeight="1" x14ac:dyDescent="0.3"/>
    <row r="293" ht="20.100000000000001" customHeight="1" x14ac:dyDescent="0.3"/>
    <row r="294" ht="20.100000000000001" customHeight="1" x14ac:dyDescent="0.3"/>
    <row r="295" ht="20.100000000000001" customHeight="1" x14ac:dyDescent="0.3"/>
    <row r="296" ht="20.100000000000001" customHeight="1" x14ac:dyDescent="0.3"/>
    <row r="297" ht="20.100000000000001" customHeight="1" x14ac:dyDescent="0.3"/>
    <row r="298" ht="20.100000000000001" customHeight="1" x14ac:dyDescent="0.3"/>
    <row r="299" ht="20.100000000000001" customHeight="1" x14ac:dyDescent="0.3"/>
    <row r="300" ht="20.100000000000001" customHeight="1" x14ac:dyDescent="0.3"/>
    <row r="301" ht="20.100000000000001" customHeight="1" x14ac:dyDescent="0.3"/>
    <row r="302" ht="20.100000000000001" customHeight="1" x14ac:dyDescent="0.3"/>
    <row r="303" ht="20.100000000000001" customHeight="1" x14ac:dyDescent="0.3"/>
    <row r="304" ht="20.100000000000001" customHeight="1" x14ac:dyDescent="0.3"/>
    <row r="305" ht="20.100000000000001" customHeight="1" x14ac:dyDescent="0.3"/>
    <row r="306" ht="20.100000000000001" customHeight="1" x14ac:dyDescent="0.3"/>
    <row r="307" ht="20.100000000000001" customHeight="1" x14ac:dyDescent="0.3"/>
    <row r="308" ht="20.100000000000001" customHeight="1" x14ac:dyDescent="0.3"/>
    <row r="309" ht="20.100000000000001" customHeight="1" x14ac:dyDescent="0.3"/>
    <row r="310" ht="20.100000000000001" customHeight="1" x14ac:dyDescent="0.3"/>
    <row r="311" ht="20.100000000000001" customHeight="1" x14ac:dyDescent="0.3"/>
    <row r="312" ht="20.100000000000001" customHeight="1" x14ac:dyDescent="0.3"/>
    <row r="313" ht="20.100000000000001" customHeight="1" x14ac:dyDescent="0.3"/>
    <row r="314" ht="20.100000000000001" customHeight="1" x14ac:dyDescent="0.3"/>
    <row r="315" ht="20.100000000000001" customHeight="1" x14ac:dyDescent="0.3"/>
    <row r="316" ht="20.100000000000001" customHeight="1" x14ac:dyDescent="0.3"/>
    <row r="317" ht="20.100000000000001" customHeight="1" x14ac:dyDescent="0.3"/>
  </sheetData>
  <mergeCells count="9">
    <mergeCell ref="L3:T3"/>
    <mergeCell ref="Y3:Y4"/>
    <mergeCell ref="A1:K1"/>
    <mergeCell ref="A3:A4"/>
    <mergeCell ref="B3:B4"/>
    <mergeCell ref="C3:C4"/>
    <mergeCell ref="D3:D4"/>
    <mergeCell ref="E3:F3"/>
    <mergeCell ref="G3:K3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7"/>
  <sheetViews>
    <sheetView zoomScale="80" zoomScaleNormal="80" workbookViewId="0">
      <selection activeCell="A29" sqref="A29:XFD30"/>
    </sheetView>
  </sheetViews>
  <sheetFormatPr defaultRowHeight="16.5" x14ac:dyDescent="0.3"/>
  <cols>
    <col min="1" max="1" width="8.125" bestFit="1" customWidth="1"/>
    <col min="2" max="3" width="9.5" bestFit="1" customWidth="1"/>
    <col min="4" max="4" width="16.5" bestFit="1" customWidth="1"/>
    <col min="5" max="5" width="11.625" bestFit="1" customWidth="1"/>
    <col min="6" max="6" width="10.625" bestFit="1" customWidth="1"/>
    <col min="7" max="11" width="7.625" customWidth="1"/>
    <col min="12" max="12" width="7.625" style="8" customWidth="1"/>
    <col min="13" max="13" width="7.625" customWidth="1"/>
    <col min="14" max="15" width="7.625" style="8" customWidth="1"/>
    <col min="16" max="19" width="7.625" customWidth="1"/>
    <col min="20" max="24" width="7.625" style="8" customWidth="1"/>
    <col min="25" max="25" width="32.375" style="5" customWidth="1"/>
  </cols>
  <sheetData>
    <row r="1" spans="1:25" ht="31.5" x14ac:dyDescent="0.3">
      <c r="A1" s="125" t="s">
        <v>73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Y1" s="2"/>
    </row>
    <row r="2" spans="1:25" ht="17.25" thickBot="1" x14ac:dyDescent="0.35">
      <c r="Y2" s="3"/>
    </row>
    <row r="3" spans="1:25" ht="26.25" customHeight="1" thickBot="1" x14ac:dyDescent="0.35">
      <c r="A3" s="126" t="s">
        <v>1</v>
      </c>
      <c r="B3" s="128" t="s">
        <v>62</v>
      </c>
      <c r="C3" s="128" t="s">
        <v>63</v>
      </c>
      <c r="D3" s="126" t="s">
        <v>7</v>
      </c>
      <c r="E3" s="130" t="s">
        <v>8</v>
      </c>
      <c r="F3" s="131"/>
      <c r="G3" s="132" t="s">
        <v>9</v>
      </c>
      <c r="H3" s="132"/>
      <c r="I3" s="132"/>
      <c r="J3" s="132"/>
      <c r="K3" s="132"/>
      <c r="L3" s="123" t="s">
        <v>56</v>
      </c>
      <c r="M3" s="124"/>
      <c r="N3" s="124"/>
      <c r="O3" s="124"/>
      <c r="P3" s="124"/>
      <c r="Q3" s="124"/>
      <c r="R3" s="124"/>
      <c r="S3" s="124"/>
      <c r="T3" s="124"/>
      <c r="U3" s="9"/>
      <c r="V3" s="9"/>
      <c r="W3" s="9"/>
      <c r="X3" s="9"/>
      <c r="Y3" s="133" t="s">
        <v>10</v>
      </c>
    </row>
    <row r="4" spans="1:25" ht="33.75" customHeight="1" thickBot="1" x14ac:dyDescent="0.35">
      <c r="A4" s="127"/>
      <c r="B4" s="127"/>
      <c r="C4" s="127"/>
      <c r="D4" s="129"/>
      <c r="E4" s="1" t="s">
        <v>0</v>
      </c>
      <c r="F4" s="4" t="s">
        <v>11</v>
      </c>
      <c r="G4" s="4" t="s">
        <v>12</v>
      </c>
      <c r="H4" s="4" t="s">
        <v>13</v>
      </c>
      <c r="I4" s="4" t="s">
        <v>14</v>
      </c>
      <c r="J4" s="51" t="s">
        <v>15</v>
      </c>
      <c r="K4" s="51" t="s">
        <v>16</v>
      </c>
      <c r="L4" s="51" t="s">
        <v>6</v>
      </c>
      <c r="M4" s="51" t="s">
        <v>51</v>
      </c>
      <c r="N4" s="51" t="s">
        <v>125</v>
      </c>
      <c r="O4" s="51" t="s">
        <v>126</v>
      </c>
      <c r="P4" s="51" t="s">
        <v>127</v>
      </c>
      <c r="Q4" s="51" t="s">
        <v>53</v>
      </c>
      <c r="R4" s="51" t="s">
        <v>54</v>
      </c>
      <c r="S4" s="51" t="s">
        <v>128</v>
      </c>
      <c r="T4" s="51" t="s">
        <v>64</v>
      </c>
      <c r="U4" s="51" t="s">
        <v>77</v>
      </c>
      <c r="V4" s="4" t="s">
        <v>78</v>
      </c>
      <c r="W4" s="4" t="s">
        <v>131</v>
      </c>
      <c r="X4" s="10" t="s">
        <v>76</v>
      </c>
      <c r="Y4" s="134"/>
    </row>
    <row r="5" spans="1:25" ht="20.100000000000001" customHeight="1" x14ac:dyDescent="0.3">
      <c r="A5" s="11">
        <v>1</v>
      </c>
      <c r="B5" s="12" t="s">
        <v>17</v>
      </c>
      <c r="C5" s="12" t="s">
        <v>17</v>
      </c>
      <c r="D5" s="13" t="s">
        <v>18</v>
      </c>
      <c r="E5" s="36">
        <v>45555</v>
      </c>
      <c r="F5" s="15"/>
      <c r="G5" s="13" t="s">
        <v>133</v>
      </c>
      <c r="H5" s="27">
        <v>24.4</v>
      </c>
      <c r="I5" s="27">
        <v>7.39</v>
      </c>
      <c r="J5" s="27">
        <v>7.85</v>
      </c>
      <c r="K5" s="76">
        <v>149</v>
      </c>
      <c r="L5" s="56"/>
      <c r="M5" s="53"/>
      <c r="N5" s="53"/>
      <c r="O5" s="53">
        <v>3.9780000000000002</v>
      </c>
      <c r="P5" s="53"/>
      <c r="Q5" s="53"/>
      <c r="R5" s="53"/>
      <c r="S5" s="53"/>
      <c r="T5" s="53">
        <v>7.827</v>
      </c>
      <c r="U5" s="53">
        <v>3.22</v>
      </c>
      <c r="V5" s="53">
        <v>-1.83</v>
      </c>
      <c r="W5" s="37"/>
      <c r="X5" s="37"/>
      <c r="Y5" s="16"/>
    </row>
    <row r="6" spans="1:25" ht="20.100000000000001" customHeight="1" x14ac:dyDescent="0.3">
      <c r="A6" s="25">
        <v>2</v>
      </c>
      <c r="B6" s="17" t="s">
        <v>17</v>
      </c>
      <c r="C6" s="17" t="s">
        <v>17</v>
      </c>
      <c r="D6" s="18" t="s">
        <v>20</v>
      </c>
      <c r="E6" s="26">
        <v>45555</v>
      </c>
      <c r="F6" s="20"/>
      <c r="G6" s="18" t="s">
        <v>133</v>
      </c>
      <c r="H6" s="28">
        <v>26</v>
      </c>
      <c r="I6" s="28">
        <v>7.39</v>
      </c>
      <c r="J6" s="28">
        <v>7.32</v>
      </c>
      <c r="K6" s="74">
        <v>136</v>
      </c>
      <c r="L6" s="57"/>
      <c r="M6" s="54"/>
      <c r="N6" s="54"/>
      <c r="O6" s="54">
        <v>2.569</v>
      </c>
      <c r="P6" s="54"/>
      <c r="Q6" s="54"/>
      <c r="R6" s="54"/>
      <c r="S6" s="54"/>
      <c r="T6" s="54">
        <v>8.0570000000000004</v>
      </c>
      <c r="U6" s="54">
        <v>3.19</v>
      </c>
      <c r="V6" s="54">
        <v>-2.63</v>
      </c>
      <c r="W6" s="38"/>
      <c r="X6" s="38"/>
      <c r="Y6" s="21"/>
    </row>
    <row r="7" spans="1:25" ht="20.100000000000001" customHeight="1" x14ac:dyDescent="0.3">
      <c r="A7" s="25">
        <v>3</v>
      </c>
      <c r="B7" s="17" t="s">
        <v>17</v>
      </c>
      <c r="C7" s="17" t="s">
        <v>17</v>
      </c>
      <c r="D7" s="18" t="s">
        <v>21</v>
      </c>
      <c r="E7" s="26">
        <v>45555</v>
      </c>
      <c r="F7" s="20"/>
      <c r="G7" s="18" t="s">
        <v>133</v>
      </c>
      <c r="H7" s="28">
        <v>26.4</v>
      </c>
      <c r="I7" s="28">
        <v>7.36</v>
      </c>
      <c r="J7" s="28">
        <v>7.25</v>
      </c>
      <c r="K7" s="74">
        <v>131</v>
      </c>
      <c r="L7" s="57"/>
      <c r="M7" s="54"/>
      <c r="N7" s="54"/>
      <c r="O7" s="54">
        <v>1.444</v>
      </c>
      <c r="P7" s="54"/>
      <c r="Q7" s="54"/>
      <c r="R7" s="54"/>
      <c r="S7" s="54"/>
      <c r="T7" s="54">
        <v>8.9469999999999992</v>
      </c>
      <c r="U7" s="58">
        <v>4.1900000000000004</v>
      </c>
      <c r="V7" s="58">
        <v>-0.87</v>
      </c>
      <c r="W7" s="39"/>
      <c r="X7" s="38"/>
      <c r="Y7" s="21"/>
    </row>
    <row r="8" spans="1:25" ht="20.100000000000001" customHeight="1" x14ac:dyDescent="0.3">
      <c r="A8" s="25">
        <v>4</v>
      </c>
      <c r="B8" s="17" t="s">
        <v>17</v>
      </c>
      <c r="C8" s="17" t="s">
        <v>17</v>
      </c>
      <c r="D8" s="18" t="s">
        <v>22</v>
      </c>
      <c r="E8" s="26">
        <v>45555</v>
      </c>
      <c r="F8" s="20"/>
      <c r="G8" s="18" t="s">
        <v>133</v>
      </c>
      <c r="H8" s="28">
        <v>26.5</v>
      </c>
      <c r="I8" s="28">
        <v>7.15</v>
      </c>
      <c r="J8" s="28">
        <v>5.89</v>
      </c>
      <c r="K8" s="74">
        <v>148</v>
      </c>
      <c r="L8" s="57"/>
      <c r="M8" s="54"/>
      <c r="N8" s="54"/>
      <c r="O8" s="54">
        <v>1.0980000000000001</v>
      </c>
      <c r="P8" s="54"/>
      <c r="Q8" s="54"/>
      <c r="R8" s="54"/>
      <c r="S8" s="54"/>
      <c r="T8" s="54">
        <v>10.225</v>
      </c>
      <c r="U8" s="55">
        <v>4.33</v>
      </c>
      <c r="V8" s="55">
        <v>-0.2</v>
      </c>
      <c r="W8" s="40"/>
      <c r="X8" s="40"/>
      <c r="Y8" s="21"/>
    </row>
    <row r="9" spans="1:25" ht="20.100000000000001" customHeight="1" x14ac:dyDescent="0.3">
      <c r="A9" s="41">
        <v>5</v>
      </c>
      <c r="B9" s="42" t="s">
        <v>23</v>
      </c>
      <c r="C9" s="42" t="s">
        <v>23</v>
      </c>
      <c r="D9" s="43" t="s">
        <v>24</v>
      </c>
      <c r="E9" s="44">
        <v>45555</v>
      </c>
      <c r="F9" s="45"/>
      <c r="G9" s="43" t="s">
        <v>133</v>
      </c>
      <c r="H9" s="72">
        <v>24.01</v>
      </c>
      <c r="I9" s="72">
        <v>7.4</v>
      </c>
      <c r="J9" s="72">
        <v>8.84</v>
      </c>
      <c r="K9" s="73">
        <v>97</v>
      </c>
      <c r="L9" s="59"/>
      <c r="M9" s="60"/>
      <c r="N9" s="60"/>
      <c r="O9" s="61">
        <v>1.875</v>
      </c>
      <c r="P9" s="61"/>
      <c r="Q9" s="61"/>
      <c r="R9" s="61"/>
      <c r="S9" s="61"/>
      <c r="T9" s="61">
        <v>7.718</v>
      </c>
      <c r="U9" s="61">
        <v>2.75</v>
      </c>
      <c r="V9" s="61">
        <v>-0.63</v>
      </c>
      <c r="W9" s="47"/>
      <c r="X9" s="47"/>
      <c r="Y9" s="48"/>
    </row>
    <row r="10" spans="1:25" ht="20.100000000000001" customHeight="1" x14ac:dyDescent="0.3">
      <c r="A10" s="41">
        <v>6</v>
      </c>
      <c r="B10" s="42" t="s">
        <v>23</v>
      </c>
      <c r="C10" s="42" t="s">
        <v>23</v>
      </c>
      <c r="D10" s="43" t="s">
        <v>25</v>
      </c>
      <c r="E10" s="44">
        <v>45555</v>
      </c>
      <c r="F10" s="45"/>
      <c r="G10" s="43" t="s">
        <v>133</v>
      </c>
      <c r="H10" s="72">
        <v>24.87</v>
      </c>
      <c r="I10" s="72">
        <v>7.3</v>
      </c>
      <c r="J10" s="72">
        <v>8.6300000000000008</v>
      </c>
      <c r="K10" s="73">
        <v>100</v>
      </c>
      <c r="L10" s="59"/>
      <c r="M10" s="60"/>
      <c r="N10" s="60"/>
      <c r="O10" s="60">
        <v>1.4830000000000001</v>
      </c>
      <c r="P10" s="60"/>
      <c r="Q10" s="60"/>
      <c r="R10" s="60"/>
      <c r="S10" s="60"/>
      <c r="T10" s="60">
        <v>10.952999999999999</v>
      </c>
      <c r="U10" s="60">
        <v>6.46</v>
      </c>
      <c r="V10" s="60">
        <v>-0.38</v>
      </c>
      <c r="W10" s="49"/>
      <c r="X10" s="49"/>
      <c r="Y10" s="48"/>
    </row>
    <row r="11" spans="1:25" ht="20.100000000000001" customHeight="1" x14ac:dyDescent="0.3">
      <c r="A11" s="41">
        <v>7</v>
      </c>
      <c r="B11" s="42" t="s">
        <v>23</v>
      </c>
      <c r="C11" s="42" t="s">
        <v>23</v>
      </c>
      <c r="D11" s="43" t="s">
        <v>26</v>
      </c>
      <c r="E11" s="44">
        <v>45555</v>
      </c>
      <c r="F11" s="45"/>
      <c r="G11" s="43" t="s">
        <v>133</v>
      </c>
      <c r="H11" s="72">
        <v>24.62</v>
      </c>
      <c r="I11" s="72">
        <v>7.22</v>
      </c>
      <c r="J11" s="72">
        <v>8.1</v>
      </c>
      <c r="K11" s="73">
        <v>105</v>
      </c>
      <c r="L11" s="59"/>
      <c r="M11" s="60"/>
      <c r="N11" s="60"/>
      <c r="O11" s="60">
        <v>1.696</v>
      </c>
      <c r="P11" s="60"/>
      <c r="Q11" s="60"/>
      <c r="R11" s="60"/>
      <c r="S11" s="60"/>
      <c r="T11" s="60">
        <v>11.271000000000001</v>
      </c>
      <c r="U11" s="60">
        <v>6.72</v>
      </c>
      <c r="V11" s="60">
        <v>-1.21</v>
      </c>
      <c r="W11" s="49"/>
      <c r="X11" s="49"/>
      <c r="Y11" s="48"/>
    </row>
    <row r="12" spans="1:25" ht="20.100000000000001" customHeight="1" x14ac:dyDescent="0.3">
      <c r="A12" s="41">
        <v>8</v>
      </c>
      <c r="B12" s="42" t="s">
        <v>23</v>
      </c>
      <c r="C12" s="42" t="s">
        <v>27</v>
      </c>
      <c r="D12" s="43" t="s">
        <v>68</v>
      </c>
      <c r="E12" s="44">
        <v>45555</v>
      </c>
      <c r="F12" s="45"/>
      <c r="G12" s="43" t="s">
        <v>133</v>
      </c>
      <c r="H12" s="72">
        <v>25.2</v>
      </c>
      <c r="I12" s="72">
        <v>7.05</v>
      </c>
      <c r="J12" s="72">
        <v>5.66</v>
      </c>
      <c r="K12" s="73">
        <v>559</v>
      </c>
      <c r="L12" s="59"/>
      <c r="M12" s="60"/>
      <c r="N12" s="60"/>
      <c r="O12" s="60">
        <v>0.85299999999999998</v>
      </c>
      <c r="P12" s="60"/>
      <c r="Q12" s="60"/>
      <c r="R12" s="60"/>
      <c r="S12" s="60"/>
      <c r="T12" s="60">
        <v>28.981999999999999</v>
      </c>
      <c r="U12" s="60">
        <v>9.0299999999999994</v>
      </c>
      <c r="V12" s="60">
        <v>-1.96</v>
      </c>
      <c r="W12" s="49"/>
      <c r="X12" s="49"/>
      <c r="Y12" s="48"/>
    </row>
    <row r="13" spans="1:25" ht="20.100000000000001" customHeight="1" x14ac:dyDescent="0.3">
      <c r="A13" s="41">
        <v>9</v>
      </c>
      <c r="B13" s="42" t="s">
        <v>23</v>
      </c>
      <c r="C13" s="42" t="s">
        <v>27</v>
      </c>
      <c r="D13" s="43" t="s">
        <v>30</v>
      </c>
      <c r="E13" s="44">
        <v>45555</v>
      </c>
      <c r="F13" s="45"/>
      <c r="G13" s="43" t="s">
        <v>133</v>
      </c>
      <c r="H13" s="72">
        <v>25.8</v>
      </c>
      <c r="I13" s="72">
        <v>7.14</v>
      </c>
      <c r="J13" s="72">
        <v>5.81</v>
      </c>
      <c r="K13" s="73">
        <v>189</v>
      </c>
      <c r="L13" s="59"/>
      <c r="M13" s="60"/>
      <c r="N13" s="60"/>
      <c r="O13" s="60">
        <v>1.9219999999999999</v>
      </c>
      <c r="P13" s="60"/>
      <c r="Q13" s="60"/>
      <c r="R13" s="60"/>
      <c r="S13" s="60"/>
      <c r="T13" s="60">
        <v>16.257999999999999</v>
      </c>
      <c r="U13" s="62">
        <v>5.56</v>
      </c>
      <c r="V13" s="62">
        <v>-2.61</v>
      </c>
      <c r="W13" s="50"/>
      <c r="X13" s="50"/>
      <c r="Y13" s="48"/>
    </row>
    <row r="14" spans="1:25" ht="20.100000000000001" customHeight="1" x14ac:dyDescent="0.3">
      <c r="A14" s="25">
        <v>10</v>
      </c>
      <c r="B14" s="17" t="s">
        <v>31</v>
      </c>
      <c r="C14" s="17" t="s">
        <v>31</v>
      </c>
      <c r="D14" s="18" t="s">
        <v>32</v>
      </c>
      <c r="E14" s="26">
        <v>45555</v>
      </c>
      <c r="F14" s="20"/>
      <c r="G14" s="18" t="s">
        <v>133</v>
      </c>
      <c r="H14" s="28">
        <v>26.69</v>
      </c>
      <c r="I14" s="28">
        <v>6.99</v>
      </c>
      <c r="J14" s="28">
        <v>6.15</v>
      </c>
      <c r="K14" s="74">
        <v>153</v>
      </c>
      <c r="L14" s="57"/>
      <c r="M14" s="54"/>
      <c r="N14" s="54"/>
      <c r="O14" s="58">
        <v>1.387</v>
      </c>
      <c r="P14" s="58"/>
      <c r="Q14" s="58"/>
      <c r="R14" s="58"/>
      <c r="S14" s="58"/>
      <c r="T14" s="58">
        <v>7.6609999999999996</v>
      </c>
      <c r="U14" s="58">
        <v>6.03</v>
      </c>
      <c r="V14" s="58">
        <v>0.6</v>
      </c>
      <c r="W14" s="39"/>
      <c r="X14" s="39"/>
      <c r="Y14" s="21"/>
    </row>
    <row r="15" spans="1:25" ht="20.100000000000001" customHeight="1" x14ac:dyDescent="0.3">
      <c r="A15" s="25">
        <v>11</v>
      </c>
      <c r="B15" s="17" t="s">
        <v>31</v>
      </c>
      <c r="C15" s="17" t="s">
        <v>31</v>
      </c>
      <c r="D15" s="18" t="s">
        <v>69</v>
      </c>
      <c r="E15" s="26">
        <v>45555</v>
      </c>
      <c r="F15" s="20"/>
      <c r="G15" s="18" t="s">
        <v>133</v>
      </c>
      <c r="H15" s="28">
        <v>27.5</v>
      </c>
      <c r="I15" s="28">
        <v>6.97</v>
      </c>
      <c r="J15" s="28">
        <v>7.01</v>
      </c>
      <c r="K15" s="74">
        <v>188</v>
      </c>
      <c r="L15" s="57"/>
      <c r="M15" s="54"/>
      <c r="N15" s="54"/>
      <c r="O15" s="54">
        <v>1.341</v>
      </c>
      <c r="P15" s="54"/>
      <c r="Q15" s="54"/>
      <c r="R15" s="54"/>
      <c r="S15" s="54"/>
      <c r="T15" s="54">
        <v>10.664</v>
      </c>
      <c r="U15" s="54">
        <v>8.3699999999999992</v>
      </c>
      <c r="V15" s="54">
        <v>4.18</v>
      </c>
      <c r="W15" s="38"/>
      <c r="X15" s="38"/>
      <c r="Y15" s="21"/>
    </row>
    <row r="16" spans="1:25" ht="20.100000000000001" customHeight="1" x14ac:dyDescent="0.3">
      <c r="A16" s="25">
        <v>12</v>
      </c>
      <c r="B16" s="17" t="s">
        <v>31</v>
      </c>
      <c r="C16" s="17" t="s">
        <v>31</v>
      </c>
      <c r="D16" s="18" t="s">
        <v>34</v>
      </c>
      <c r="E16" s="26">
        <v>45555</v>
      </c>
      <c r="F16" s="20"/>
      <c r="G16" s="18" t="s">
        <v>133</v>
      </c>
      <c r="H16" s="28">
        <v>28.35</v>
      </c>
      <c r="I16" s="28">
        <v>7.16</v>
      </c>
      <c r="J16" s="28">
        <v>6.93</v>
      </c>
      <c r="K16" s="74">
        <v>211</v>
      </c>
      <c r="L16" s="57"/>
      <c r="M16" s="54"/>
      <c r="N16" s="54"/>
      <c r="O16" s="54">
        <v>1.1830000000000001</v>
      </c>
      <c r="P16" s="54"/>
      <c r="Q16" s="54"/>
      <c r="R16" s="54"/>
      <c r="S16" s="54"/>
      <c r="T16" s="54">
        <v>12.348000000000001</v>
      </c>
      <c r="U16" s="54">
        <v>9.42</v>
      </c>
      <c r="V16" s="54">
        <v>3.71</v>
      </c>
      <c r="W16" s="38"/>
      <c r="X16" s="38"/>
      <c r="Y16" s="21"/>
    </row>
    <row r="17" spans="1:25" ht="20.100000000000001" customHeight="1" x14ac:dyDescent="0.3">
      <c r="A17" s="25">
        <v>13</v>
      </c>
      <c r="B17" s="17" t="s">
        <v>31</v>
      </c>
      <c r="C17" s="17" t="s">
        <v>35</v>
      </c>
      <c r="D17" s="18" t="s">
        <v>36</v>
      </c>
      <c r="E17" s="26">
        <v>45555</v>
      </c>
      <c r="F17" s="20"/>
      <c r="G17" s="18" t="s">
        <v>80</v>
      </c>
      <c r="H17" s="28">
        <v>26.8</v>
      </c>
      <c r="I17" s="28">
        <v>7.21</v>
      </c>
      <c r="J17" s="28">
        <v>7.09</v>
      </c>
      <c r="K17" s="74">
        <v>133</v>
      </c>
      <c r="L17" s="57"/>
      <c r="M17" s="54"/>
      <c r="N17" s="54"/>
      <c r="O17" s="54">
        <v>1.1459999999999999</v>
      </c>
      <c r="P17" s="54"/>
      <c r="Q17" s="54"/>
      <c r="R17" s="54"/>
      <c r="S17" s="54"/>
      <c r="T17" s="54">
        <v>9.5359999999999996</v>
      </c>
      <c r="U17" s="54">
        <v>6.38</v>
      </c>
      <c r="V17" s="54">
        <v>1.37</v>
      </c>
      <c r="W17" s="38"/>
      <c r="X17" s="38"/>
      <c r="Y17" s="21"/>
    </row>
    <row r="18" spans="1:25" ht="20.100000000000001" customHeight="1" x14ac:dyDescent="0.3">
      <c r="A18" s="25">
        <v>14</v>
      </c>
      <c r="B18" s="17" t="s">
        <v>31</v>
      </c>
      <c r="C18" s="17" t="s">
        <v>5</v>
      </c>
      <c r="D18" s="18" t="s">
        <v>29</v>
      </c>
      <c r="E18" s="26">
        <v>45555</v>
      </c>
      <c r="F18" s="20"/>
      <c r="G18" s="18" t="s">
        <v>80</v>
      </c>
      <c r="H18" s="28">
        <v>27.2</v>
      </c>
      <c r="I18" s="28">
        <v>7.21</v>
      </c>
      <c r="J18" s="28">
        <v>5.91</v>
      </c>
      <c r="K18" s="74">
        <v>161</v>
      </c>
      <c r="L18" s="57"/>
      <c r="M18" s="54"/>
      <c r="N18" s="54"/>
      <c r="O18" s="54">
        <v>1.0580000000000001</v>
      </c>
      <c r="P18" s="54"/>
      <c r="Q18" s="54"/>
      <c r="R18" s="54"/>
      <c r="S18" s="54"/>
      <c r="T18" s="54">
        <v>8.0690000000000008</v>
      </c>
      <c r="U18" s="54">
        <v>8.02</v>
      </c>
      <c r="V18" s="54">
        <v>1.72</v>
      </c>
      <c r="W18" s="38"/>
      <c r="X18" s="38"/>
      <c r="Y18" s="21"/>
    </row>
    <row r="19" spans="1:25" ht="20.100000000000001" customHeight="1" x14ac:dyDescent="0.3">
      <c r="A19" s="25">
        <v>15</v>
      </c>
      <c r="B19" s="17" t="s">
        <v>31</v>
      </c>
      <c r="C19" s="17" t="s">
        <v>35</v>
      </c>
      <c r="D19" s="18" t="s">
        <v>29</v>
      </c>
      <c r="E19" s="26">
        <v>45555</v>
      </c>
      <c r="F19" s="20"/>
      <c r="G19" s="18" t="s">
        <v>80</v>
      </c>
      <c r="H19" s="28">
        <v>27.5</v>
      </c>
      <c r="I19" s="28">
        <v>7.16</v>
      </c>
      <c r="J19" s="28">
        <v>5.79</v>
      </c>
      <c r="K19" s="74">
        <v>122</v>
      </c>
      <c r="L19" s="57"/>
      <c r="M19" s="54"/>
      <c r="N19" s="54"/>
      <c r="O19" s="54">
        <v>1.196</v>
      </c>
      <c r="P19" s="54"/>
      <c r="Q19" s="54"/>
      <c r="R19" s="54"/>
      <c r="S19" s="54"/>
      <c r="T19" s="54">
        <v>5.6020000000000003</v>
      </c>
      <c r="U19" s="55">
        <v>8.82</v>
      </c>
      <c r="V19" s="55">
        <v>1.1100000000000001</v>
      </c>
      <c r="W19" s="40"/>
      <c r="X19" s="40"/>
      <c r="Y19" s="21"/>
    </row>
    <row r="20" spans="1:25" ht="20.100000000000001" customHeight="1" x14ac:dyDescent="0.3">
      <c r="A20" s="41">
        <v>16</v>
      </c>
      <c r="B20" s="42" t="s">
        <v>38</v>
      </c>
      <c r="C20" s="42" t="s">
        <v>38</v>
      </c>
      <c r="D20" s="43" t="s">
        <v>39</v>
      </c>
      <c r="E20" s="44">
        <v>45555</v>
      </c>
      <c r="F20" s="45"/>
      <c r="G20" s="43" t="s">
        <v>80</v>
      </c>
      <c r="H20" s="72">
        <v>27.65</v>
      </c>
      <c r="I20" s="72">
        <v>7.45</v>
      </c>
      <c r="J20" s="72">
        <v>7.26</v>
      </c>
      <c r="K20" s="73">
        <v>116</v>
      </c>
      <c r="L20" s="59"/>
      <c r="M20" s="60"/>
      <c r="N20" s="60"/>
      <c r="O20" s="61">
        <v>1.145</v>
      </c>
      <c r="P20" s="61"/>
      <c r="Q20" s="61"/>
      <c r="R20" s="61"/>
      <c r="S20" s="61"/>
      <c r="T20" s="61">
        <v>6.92</v>
      </c>
      <c r="U20" s="61">
        <v>8</v>
      </c>
      <c r="V20" s="61">
        <v>0.13</v>
      </c>
      <c r="W20" s="47"/>
      <c r="X20" s="47"/>
      <c r="Y20" s="48"/>
    </row>
    <row r="21" spans="1:25" ht="20.100000000000001" customHeight="1" x14ac:dyDescent="0.3">
      <c r="A21" s="41">
        <v>17</v>
      </c>
      <c r="B21" s="42" t="s">
        <v>38</v>
      </c>
      <c r="C21" s="42" t="s">
        <v>38</v>
      </c>
      <c r="D21" s="43" t="s">
        <v>41</v>
      </c>
      <c r="E21" s="44">
        <v>45555</v>
      </c>
      <c r="F21" s="45"/>
      <c r="G21" s="43" t="s">
        <v>80</v>
      </c>
      <c r="H21" s="72">
        <v>27.5</v>
      </c>
      <c r="I21" s="72">
        <v>7.2</v>
      </c>
      <c r="J21" s="72">
        <v>7.2</v>
      </c>
      <c r="K21" s="73">
        <v>151.80000000000001</v>
      </c>
      <c r="L21" s="59"/>
      <c r="M21" s="60"/>
      <c r="N21" s="60"/>
      <c r="O21" s="60">
        <v>1.5629999999999999</v>
      </c>
      <c r="P21" s="60"/>
      <c r="Q21" s="60"/>
      <c r="R21" s="60"/>
      <c r="S21" s="60"/>
      <c r="T21" s="60">
        <v>10.048999999999999</v>
      </c>
      <c r="U21" s="60">
        <v>9.5299999999999994</v>
      </c>
      <c r="V21" s="60">
        <v>1.35</v>
      </c>
      <c r="W21" s="49"/>
      <c r="X21" s="49"/>
      <c r="Y21" s="48"/>
    </row>
    <row r="22" spans="1:25" ht="20.100000000000001" customHeight="1" x14ac:dyDescent="0.3">
      <c r="A22" s="41">
        <v>18</v>
      </c>
      <c r="B22" s="42" t="s">
        <v>38</v>
      </c>
      <c r="C22" s="42" t="s">
        <v>38</v>
      </c>
      <c r="D22" s="43" t="s">
        <v>42</v>
      </c>
      <c r="E22" s="44">
        <v>45555</v>
      </c>
      <c r="F22" s="45"/>
      <c r="G22" s="43" t="s">
        <v>80</v>
      </c>
      <c r="H22" s="72">
        <v>27.2</v>
      </c>
      <c r="I22" s="72">
        <v>7.16</v>
      </c>
      <c r="J22" s="72">
        <v>7.05</v>
      </c>
      <c r="K22" s="73">
        <v>155</v>
      </c>
      <c r="L22" s="59"/>
      <c r="M22" s="60"/>
      <c r="N22" s="60"/>
      <c r="O22" s="60">
        <v>1.5569999999999999</v>
      </c>
      <c r="P22" s="60"/>
      <c r="Q22" s="60"/>
      <c r="R22" s="60"/>
      <c r="S22" s="60"/>
      <c r="T22" s="60">
        <v>11.33</v>
      </c>
      <c r="U22" s="60">
        <v>9.59</v>
      </c>
      <c r="V22" s="60">
        <v>0.75</v>
      </c>
      <c r="W22" s="49"/>
      <c r="X22" s="49"/>
      <c r="Y22" s="48"/>
    </row>
    <row r="23" spans="1:25" ht="20.100000000000001" customHeight="1" x14ac:dyDescent="0.3">
      <c r="A23" s="41">
        <v>19</v>
      </c>
      <c r="B23" s="42" t="s">
        <v>38</v>
      </c>
      <c r="C23" s="42" t="s">
        <v>43</v>
      </c>
      <c r="D23" s="43" t="s">
        <v>40</v>
      </c>
      <c r="E23" s="44">
        <v>45555</v>
      </c>
      <c r="F23" s="45"/>
      <c r="G23" s="43" t="s">
        <v>80</v>
      </c>
      <c r="H23" s="72">
        <v>27.81</v>
      </c>
      <c r="I23" s="72">
        <v>7.2</v>
      </c>
      <c r="J23" s="72">
        <v>6.61</v>
      </c>
      <c r="K23" s="73">
        <v>185</v>
      </c>
      <c r="L23" s="59"/>
      <c r="M23" s="60"/>
      <c r="N23" s="60"/>
      <c r="O23" s="60">
        <v>1.1890000000000001</v>
      </c>
      <c r="P23" s="60"/>
      <c r="Q23" s="60"/>
      <c r="R23" s="60"/>
      <c r="S23" s="60"/>
      <c r="T23" s="60">
        <v>13.75</v>
      </c>
      <c r="U23" s="60">
        <v>9.9</v>
      </c>
      <c r="V23" s="60">
        <v>3.24</v>
      </c>
      <c r="W23" s="49"/>
      <c r="X23" s="49"/>
      <c r="Y23" s="48"/>
    </row>
    <row r="24" spans="1:25" ht="19.5" customHeight="1" x14ac:dyDescent="0.3">
      <c r="A24" s="41">
        <v>20</v>
      </c>
      <c r="B24" s="42" t="s">
        <v>38</v>
      </c>
      <c r="C24" s="42" t="s">
        <v>43</v>
      </c>
      <c r="D24" s="43" t="s">
        <v>44</v>
      </c>
      <c r="E24" s="44">
        <v>45555</v>
      </c>
      <c r="F24" s="45"/>
      <c r="G24" s="43" t="s">
        <v>80</v>
      </c>
      <c r="H24" s="72">
        <v>27.87</v>
      </c>
      <c r="I24" s="72">
        <v>7.15</v>
      </c>
      <c r="J24" s="72">
        <v>6.84</v>
      </c>
      <c r="K24" s="73">
        <v>157</v>
      </c>
      <c r="L24" s="59"/>
      <c r="M24" s="60"/>
      <c r="N24" s="60"/>
      <c r="O24" s="60">
        <v>1.5349999999999999</v>
      </c>
      <c r="P24" s="60"/>
      <c r="Q24" s="60"/>
      <c r="R24" s="60"/>
      <c r="S24" s="60"/>
      <c r="T24" s="60">
        <v>8.0259999999999998</v>
      </c>
      <c r="U24" s="62">
        <v>4.67</v>
      </c>
      <c r="V24" s="62">
        <v>-0.27</v>
      </c>
      <c r="W24" s="50"/>
      <c r="X24" s="50"/>
      <c r="Y24" s="48"/>
    </row>
    <row r="25" spans="1:25" ht="20.100000000000001" customHeight="1" x14ac:dyDescent="0.3">
      <c r="A25" s="25">
        <v>21</v>
      </c>
      <c r="B25" s="17" t="s">
        <v>45</v>
      </c>
      <c r="C25" s="17" t="s">
        <v>45</v>
      </c>
      <c r="D25" s="18" t="s">
        <v>46</v>
      </c>
      <c r="E25" s="26">
        <v>45555</v>
      </c>
      <c r="F25" s="20"/>
      <c r="G25" s="18" t="s">
        <v>80</v>
      </c>
      <c r="H25" s="28">
        <v>24.49</v>
      </c>
      <c r="I25" s="28">
        <v>7.58</v>
      </c>
      <c r="J25" s="28">
        <v>8.7799999999999994</v>
      </c>
      <c r="K25" s="74">
        <v>104</v>
      </c>
      <c r="L25" s="57"/>
      <c r="M25" s="54"/>
      <c r="N25" s="54"/>
      <c r="O25" s="58">
        <v>0.97099999999999997</v>
      </c>
      <c r="P25" s="58"/>
      <c r="Q25" s="58"/>
      <c r="R25" s="58"/>
      <c r="S25" s="58"/>
      <c r="T25" s="58">
        <v>9.0559999999999992</v>
      </c>
      <c r="U25" s="58">
        <v>7.49</v>
      </c>
      <c r="V25" s="58">
        <v>2.5299999999999998</v>
      </c>
      <c r="W25" s="86">
        <v>19.471254481382001</v>
      </c>
      <c r="X25" s="86">
        <v>12.907176930257224</v>
      </c>
      <c r="Y25" s="21"/>
    </row>
    <row r="26" spans="1:25" ht="20.100000000000001" customHeight="1" x14ac:dyDescent="0.3">
      <c r="A26" s="25">
        <v>22</v>
      </c>
      <c r="B26" s="17" t="s">
        <v>45</v>
      </c>
      <c r="C26" s="17" t="s">
        <v>45</v>
      </c>
      <c r="D26" s="22" t="s">
        <v>47</v>
      </c>
      <c r="E26" s="26">
        <v>45555</v>
      </c>
      <c r="F26" s="23"/>
      <c r="G26" s="18" t="s">
        <v>80</v>
      </c>
      <c r="H26" s="28">
        <v>24.99</v>
      </c>
      <c r="I26" s="28">
        <v>7.34</v>
      </c>
      <c r="J26" s="28">
        <v>8.39</v>
      </c>
      <c r="K26" s="74">
        <v>120</v>
      </c>
      <c r="L26" s="57"/>
      <c r="M26" s="55"/>
      <c r="N26" s="55"/>
      <c r="O26" s="55">
        <v>0.90300000000000002</v>
      </c>
      <c r="P26" s="55"/>
      <c r="Q26" s="55"/>
      <c r="R26" s="55"/>
      <c r="S26" s="55"/>
      <c r="T26" s="55">
        <v>12.510999999999999</v>
      </c>
      <c r="U26" s="55">
        <v>7.75</v>
      </c>
      <c r="V26" s="55">
        <v>0.71</v>
      </c>
      <c r="W26" s="87">
        <v>22.854924018188399</v>
      </c>
      <c r="X26" s="87">
        <v>9.4441078766691611</v>
      </c>
      <c r="Y26" s="24"/>
    </row>
    <row r="27" spans="1:25" ht="20.100000000000001" customHeight="1" x14ac:dyDescent="0.3">
      <c r="A27" s="25">
        <v>23</v>
      </c>
      <c r="B27" s="17" t="s">
        <v>45</v>
      </c>
      <c r="C27" s="17" t="s">
        <v>45</v>
      </c>
      <c r="D27" s="22" t="s">
        <v>29</v>
      </c>
      <c r="E27" s="26">
        <v>45555</v>
      </c>
      <c r="F27" s="23"/>
      <c r="G27" s="18" t="s">
        <v>80</v>
      </c>
      <c r="H27" s="75">
        <v>24.92</v>
      </c>
      <c r="I27" s="75">
        <v>7.34</v>
      </c>
      <c r="J27" s="75">
        <v>8.36</v>
      </c>
      <c r="K27" s="77">
        <v>118</v>
      </c>
      <c r="L27" s="57"/>
      <c r="M27" s="55"/>
      <c r="N27" s="55"/>
      <c r="O27" s="55">
        <v>0.995</v>
      </c>
      <c r="P27" s="55"/>
      <c r="Q27" s="55"/>
      <c r="R27" s="55"/>
      <c r="S27" s="55"/>
      <c r="T27" s="55">
        <v>12.52</v>
      </c>
      <c r="U27" s="55">
        <v>7.59</v>
      </c>
      <c r="V27" s="55">
        <v>0.8</v>
      </c>
      <c r="W27" s="87">
        <v>25.8221336469378</v>
      </c>
      <c r="X27" s="87">
        <v>8.4464970045217687</v>
      </c>
      <c r="Y27" s="24"/>
    </row>
    <row r="28" spans="1:25" ht="20.100000000000001" customHeight="1" x14ac:dyDescent="0.3">
      <c r="A28" s="25">
        <v>24</v>
      </c>
      <c r="B28" s="17" t="s">
        <v>45</v>
      </c>
      <c r="C28" s="17" t="s">
        <v>45</v>
      </c>
      <c r="D28" s="18" t="s">
        <v>48</v>
      </c>
      <c r="E28" s="26">
        <v>45555</v>
      </c>
      <c r="F28" s="20"/>
      <c r="G28" s="18" t="s">
        <v>133</v>
      </c>
      <c r="H28" s="28">
        <v>25.3</v>
      </c>
      <c r="I28" s="28">
        <v>7.45</v>
      </c>
      <c r="J28" s="28">
        <v>8.76</v>
      </c>
      <c r="K28" s="74">
        <v>117</v>
      </c>
      <c r="L28" s="57"/>
      <c r="M28" s="54"/>
      <c r="N28" s="54"/>
      <c r="O28" s="54">
        <v>1.143</v>
      </c>
      <c r="P28" s="54"/>
      <c r="Q28" s="54"/>
      <c r="R28" s="54"/>
      <c r="S28" s="54"/>
      <c r="T28" s="54">
        <v>12.462999999999999</v>
      </c>
      <c r="U28" s="54">
        <v>8.11</v>
      </c>
      <c r="V28" s="54">
        <v>0.65</v>
      </c>
      <c r="W28" s="85">
        <v>25.467237180056902</v>
      </c>
      <c r="X28" s="85">
        <v>8.6977047867102808</v>
      </c>
      <c r="Y28" s="21"/>
    </row>
    <row r="29" spans="1:25" ht="20.100000000000001" customHeight="1" x14ac:dyDescent="0.3"/>
    <row r="30" spans="1:25" ht="20.100000000000001" customHeight="1" x14ac:dyDescent="0.3"/>
    <row r="31" spans="1:25" ht="20.100000000000001" customHeight="1" x14ac:dyDescent="0.3"/>
    <row r="32" spans="1:25" ht="20.100000000000001" customHeight="1" x14ac:dyDescent="0.3"/>
    <row r="33" ht="20.100000000000001" customHeight="1" x14ac:dyDescent="0.3"/>
    <row r="34" ht="20.100000000000001" customHeight="1" x14ac:dyDescent="0.3"/>
    <row r="35" ht="20.100000000000001" customHeight="1" x14ac:dyDescent="0.3"/>
    <row r="36" ht="20.100000000000001" customHeight="1" x14ac:dyDescent="0.3"/>
    <row r="37" ht="20.100000000000001" customHeight="1" x14ac:dyDescent="0.3"/>
    <row r="38" ht="20.100000000000001" customHeight="1" x14ac:dyDescent="0.3"/>
    <row r="39" ht="20.100000000000001" customHeight="1" x14ac:dyDescent="0.3"/>
    <row r="40" ht="20.100000000000001" customHeight="1" x14ac:dyDescent="0.3"/>
    <row r="41" ht="20.100000000000001" customHeight="1" x14ac:dyDescent="0.3"/>
    <row r="42" ht="20.100000000000001" customHeight="1" x14ac:dyDescent="0.3"/>
    <row r="43" ht="20.100000000000001" customHeight="1" x14ac:dyDescent="0.3"/>
    <row r="44" ht="20.100000000000001" customHeight="1" x14ac:dyDescent="0.3"/>
    <row r="45" ht="20.100000000000001" customHeight="1" x14ac:dyDescent="0.3"/>
    <row r="46" ht="20.100000000000001" customHeight="1" x14ac:dyDescent="0.3"/>
    <row r="47" ht="20.100000000000001" customHeight="1" x14ac:dyDescent="0.3"/>
    <row r="48" ht="20.100000000000001" customHeight="1" x14ac:dyDescent="0.3"/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  <row r="291" ht="20.100000000000001" customHeight="1" x14ac:dyDescent="0.3"/>
    <row r="292" ht="20.100000000000001" customHeight="1" x14ac:dyDescent="0.3"/>
    <row r="293" ht="20.100000000000001" customHeight="1" x14ac:dyDescent="0.3"/>
    <row r="294" ht="20.100000000000001" customHeight="1" x14ac:dyDescent="0.3"/>
    <row r="295" ht="20.100000000000001" customHeight="1" x14ac:dyDescent="0.3"/>
    <row r="296" ht="20.100000000000001" customHeight="1" x14ac:dyDescent="0.3"/>
    <row r="297" ht="20.100000000000001" customHeight="1" x14ac:dyDescent="0.3"/>
    <row r="298" ht="20.100000000000001" customHeight="1" x14ac:dyDescent="0.3"/>
    <row r="299" ht="20.100000000000001" customHeight="1" x14ac:dyDescent="0.3"/>
    <row r="300" ht="20.100000000000001" customHeight="1" x14ac:dyDescent="0.3"/>
    <row r="301" ht="20.100000000000001" customHeight="1" x14ac:dyDescent="0.3"/>
    <row r="302" ht="20.100000000000001" customHeight="1" x14ac:dyDescent="0.3"/>
    <row r="303" ht="20.100000000000001" customHeight="1" x14ac:dyDescent="0.3"/>
    <row r="304" ht="20.100000000000001" customHeight="1" x14ac:dyDescent="0.3"/>
    <row r="305" ht="20.100000000000001" customHeight="1" x14ac:dyDescent="0.3"/>
    <row r="306" ht="20.100000000000001" customHeight="1" x14ac:dyDescent="0.3"/>
    <row r="307" ht="20.100000000000001" customHeight="1" x14ac:dyDescent="0.3"/>
    <row r="308" ht="20.100000000000001" customHeight="1" x14ac:dyDescent="0.3"/>
    <row r="309" ht="20.100000000000001" customHeight="1" x14ac:dyDescent="0.3"/>
    <row r="310" ht="20.100000000000001" customHeight="1" x14ac:dyDescent="0.3"/>
    <row r="311" ht="20.100000000000001" customHeight="1" x14ac:dyDescent="0.3"/>
    <row r="312" ht="20.100000000000001" customHeight="1" x14ac:dyDescent="0.3"/>
    <row r="313" ht="20.100000000000001" customHeight="1" x14ac:dyDescent="0.3"/>
    <row r="314" ht="20.100000000000001" customHeight="1" x14ac:dyDescent="0.3"/>
    <row r="315" ht="20.100000000000001" customHeight="1" x14ac:dyDescent="0.3"/>
    <row r="316" ht="20.100000000000001" customHeight="1" x14ac:dyDescent="0.3"/>
    <row r="317" ht="20.100000000000001" customHeight="1" x14ac:dyDescent="0.3"/>
  </sheetData>
  <mergeCells count="9">
    <mergeCell ref="L3:T3"/>
    <mergeCell ref="Y3:Y4"/>
    <mergeCell ref="A1:K1"/>
    <mergeCell ref="A3:A4"/>
    <mergeCell ref="B3:B4"/>
    <mergeCell ref="C3:C4"/>
    <mergeCell ref="D3:D4"/>
    <mergeCell ref="E3:F3"/>
    <mergeCell ref="G3:K3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17"/>
  <sheetViews>
    <sheetView zoomScale="80" zoomScaleNormal="80" workbookViewId="0">
      <selection activeCell="Y33" sqref="Y33"/>
    </sheetView>
  </sheetViews>
  <sheetFormatPr defaultRowHeight="16.5" x14ac:dyDescent="0.3"/>
  <cols>
    <col min="1" max="1" width="8.125" bestFit="1" customWidth="1"/>
    <col min="2" max="3" width="9.5" bestFit="1" customWidth="1"/>
    <col min="4" max="4" width="16.5" bestFit="1" customWidth="1"/>
    <col min="5" max="5" width="11.625" bestFit="1" customWidth="1"/>
    <col min="6" max="6" width="10.625" bestFit="1" customWidth="1"/>
    <col min="7" max="11" width="7.625" customWidth="1"/>
    <col min="12" max="12" width="7.625" style="8" customWidth="1"/>
    <col min="13" max="13" width="7.625" customWidth="1"/>
    <col min="14" max="15" width="7.625" style="8" customWidth="1"/>
    <col min="16" max="19" width="7.625" customWidth="1"/>
    <col min="20" max="24" width="7.625" style="8" customWidth="1"/>
    <col min="25" max="25" width="32.375" style="5" customWidth="1"/>
  </cols>
  <sheetData>
    <row r="1" spans="1:38" ht="31.5" x14ac:dyDescent="0.3">
      <c r="A1" s="125" t="s">
        <v>74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Y1" s="2"/>
    </row>
    <row r="2" spans="1:38" ht="17.25" thickBot="1" x14ac:dyDescent="0.35">
      <c r="Y2" s="3"/>
      <c r="Z2" t="s">
        <v>330</v>
      </c>
      <c r="AB2" t="s">
        <v>331</v>
      </c>
    </row>
    <row r="3" spans="1:38" ht="26.25" customHeight="1" thickBot="1" x14ac:dyDescent="0.35">
      <c r="A3" s="126" t="s">
        <v>1</v>
      </c>
      <c r="B3" s="128" t="s">
        <v>62</v>
      </c>
      <c r="C3" s="128" t="s">
        <v>63</v>
      </c>
      <c r="D3" s="126" t="s">
        <v>7</v>
      </c>
      <c r="E3" s="130" t="s">
        <v>8</v>
      </c>
      <c r="F3" s="131"/>
      <c r="G3" s="132" t="s">
        <v>9</v>
      </c>
      <c r="H3" s="132"/>
      <c r="I3" s="132"/>
      <c r="J3" s="132"/>
      <c r="K3" s="132"/>
      <c r="L3" s="123" t="s">
        <v>56</v>
      </c>
      <c r="M3" s="124"/>
      <c r="N3" s="124"/>
      <c r="O3" s="124"/>
      <c r="P3" s="124"/>
      <c r="Q3" s="124"/>
      <c r="R3" s="124"/>
      <c r="S3" s="124"/>
      <c r="T3" s="124"/>
      <c r="U3" s="9"/>
      <c r="V3" s="9"/>
      <c r="W3" s="9"/>
      <c r="X3" s="9"/>
      <c r="Y3" s="133" t="s">
        <v>10</v>
      </c>
      <c r="Z3" s="114" t="s">
        <v>329</v>
      </c>
      <c r="AE3">
        <v>1</v>
      </c>
      <c r="AG3" s="114" t="s">
        <v>328</v>
      </c>
      <c r="AL3">
        <v>100</v>
      </c>
    </row>
    <row r="4" spans="1:38" ht="33.75" customHeight="1" thickBot="1" x14ac:dyDescent="0.35">
      <c r="A4" s="127"/>
      <c r="B4" s="127"/>
      <c r="C4" s="127"/>
      <c r="D4" s="129"/>
      <c r="E4" s="1" t="s">
        <v>0</v>
      </c>
      <c r="F4" s="4" t="s">
        <v>11</v>
      </c>
      <c r="G4" s="4" t="s">
        <v>12</v>
      </c>
      <c r="H4" s="4" t="s">
        <v>13</v>
      </c>
      <c r="I4" s="4" t="s">
        <v>14</v>
      </c>
      <c r="J4" s="51" t="s">
        <v>15</v>
      </c>
      <c r="K4" s="51" t="s">
        <v>16</v>
      </c>
      <c r="L4" s="51" t="s">
        <v>6</v>
      </c>
      <c r="M4" s="51" t="s">
        <v>51</v>
      </c>
      <c r="N4" s="51" t="s">
        <v>125</v>
      </c>
      <c r="O4" s="51" t="s">
        <v>126</v>
      </c>
      <c r="P4" s="51" t="s">
        <v>127</v>
      </c>
      <c r="Q4" s="51" t="s">
        <v>53</v>
      </c>
      <c r="R4" s="51" t="s">
        <v>54</v>
      </c>
      <c r="S4" s="51" t="s">
        <v>128</v>
      </c>
      <c r="T4" s="51" t="s">
        <v>129</v>
      </c>
      <c r="U4" s="51" t="s">
        <v>130</v>
      </c>
      <c r="V4" s="4" t="s">
        <v>78</v>
      </c>
      <c r="W4" s="4" t="s">
        <v>131</v>
      </c>
      <c r="X4" s="10" t="s">
        <v>76</v>
      </c>
      <c r="Y4" s="134"/>
      <c r="Z4" s="114" t="s">
        <v>179</v>
      </c>
      <c r="AA4" s="114" t="s">
        <v>180</v>
      </c>
      <c r="AB4" s="114" t="s">
        <v>181</v>
      </c>
      <c r="AC4" s="114" t="s">
        <v>182</v>
      </c>
      <c r="AD4" s="114" t="s">
        <v>183</v>
      </c>
      <c r="AE4" s="115" t="s">
        <v>327</v>
      </c>
      <c r="AG4" s="114" t="s">
        <v>179</v>
      </c>
      <c r="AH4" s="114" t="s">
        <v>180</v>
      </c>
      <c r="AI4" s="114" t="s">
        <v>181</v>
      </c>
      <c r="AJ4" s="114" t="s">
        <v>182</v>
      </c>
      <c r="AK4" s="114" t="s">
        <v>183</v>
      </c>
      <c r="AL4" s="115" t="s">
        <v>327</v>
      </c>
    </row>
    <row r="5" spans="1:38" ht="20.100000000000001" customHeight="1" x14ac:dyDescent="0.3">
      <c r="A5" s="11">
        <v>1</v>
      </c>
      <c r="B5" s="12" t="s">
        <v>17</v>
      </c>
      <c r="C5" s="12" t="s">
        <v>17</v>
      </c>
      <c r="D5" s="13" t="s">
        <v>18</v>
      </c>
      <c r="E5" s="36">
        <v>45558</v>
      </c>
      <c r="F5" s="15"/>
      <c r="G5" s="13" t="s">
        <v>134</v>
      </c>
      <c r="H5" s="27">
        <v>21.3</v>
      </c>
      <c r="I5" s="27">
        <v>7.95</v>
      </c>
      <c r="J5" s="27">
        <v>8.6199999999999992</v>
      </c>
      <c r="K5" s="76">
        <v>127</v>
      </c>
      <c r="L5" s="56"/>
      <c r="M5" s="53"/>
      <c r="N5" s="53"/>
      <c r="O5" s="53">
        <v>2.032</v>
      </c>
      <c r="P5" s="53"/>
      <c r="Q5" s="53"/>
      <c r="R5" s="53"/>
      <c r="S5" s="53"/>
      <c r="T5" s="53">
        <v>8.7530000000000001</v>
      </c>
      <c r="U5" s="107">
        <v>2.82</v>
      </c>
      <c r="V5" s="107">
        <v>-0.84</v>
      </c>
      <c r="W5" s="53"/>
      <c r="X5" s="53"/>
      <c r="Y5" s="63"/>
      <c r="Z5" s="116">
        <v>0.20300000000000001</v>
      </c>
      <c r="AA5" s="116">
        <v>6.4000000000000001E-2</v>
      </c>
      <c r="AB5" s="116">
        <v>0.14699999999999999</v>
      </c>
      <c r="AC5" s="116">
        <v>8.0000000000000002E-3</v>
      </c>
      <c r="AD5" s="116">
        <v>0.57799999999999996</v>
      </c>
      <c r="AE5">
        <f>SUM(Z5:AD5)</f>
        <v>1</v>
      </c>
      <c r="AG5" s="117">
        <v>21.26</v>
      </c>
      <c r="AH5" s="117">
        <v>3.21</v>
      </c>
      <c r="AI5" s="117">
        <v>1.01</v>
      </c>
      <c r="AJ5" s="117">
        <v>0.16</v>
      </c>
      <c r="AK5" s="117">
        <v>74.36</v>
      </c>
      <c r="AL5" s="117">
        <f>SUM(AG5:AK5)</f>
        <v>100</v>
      </c>
    </row>
    <row r="6" spans="1:38" ht="20.100000000000001" customHeight="1" x14ac:dyDescent="0.3">
      <c r="A6" s="25">
        <v>2</v>
      </c>
      <c r="B6" s="17" t="s">
        <v>17</v>
      </c>
      <c r="C6" s="17" t="s">
        <v>17</v>
      </c>
      <c r="D6" s="18" t="s">
        <v>20</v>
      </c>
      <c r="E6" s="26">
        <v>45558</v>
      </c>
      <c r="F6" s="20"/>
      <c r="G6" s="18" t="s">
        <v>134</v>
      </c>
      <c r="H6" s="28">
        <v>21.8</v>
      </c>
      <c r="I6" s="28">
        <v>7.39</v>
      </c>
      <c r="J6" s="28">
        <v>8.4600000000000009</v>
      </c>
      <c r="K6" s="74">
        <v>138</v>
      </c>
      <c r="L6" s="57"/>
      <c r="M6" s="54"/>
      <c r="N6" s="54"/>
      <c r="O6" s="54">
        <v>2.137</v>
      </c>
      <c r="P6" s="54"/>
      <c r="Q6" s="54"/>
      <c r="R6" s="54"/>
      <c r="S6" s="54"/>
      <c r="T6" s="54">
        <v>8.5760000000000005</v>
      </c>
      <c r="U6" s="108">
        <v>2.78</v>
      </c>
      <c r="V6" s="108">
        <v>-2.58</v>
      </c>
      <c r="W6" s="54"/>
      <c r="X6" s="54"/>
      <c r="Y6" s="64"/>
      <c r="Z6" s="116">
        <v>0.13700000000000001</v>
      </c>
      <c r="AA6" s="116">
        <v>4.5999999999999999E-2</v>
      </c>
      <c r="AB6" s="116">
        <v>0.189</v>
      </c>
      <c r="AC6" s="116">
        <v>8.0000000000000002E-3</v>
      </c>
      <c r="AD6" s="116">
        <v>0.62</v>
      </c>
      <c r="AE6">
        <f t="shared" ref="AE6:AE28" si="0">SUM(Z6:AD6)</f>
        <v>1</v>
      </c>
      <c r="AG6" s="117">
        <v>28.3</v>
      </c>
      <c r="AH6" s="117">
        <v>2.96</v>
      </c>
      <c r="AI6" s="117">
        <v>1.0900000000000001</v>
      </c>
      <c r="AJ6" s="117">
        <v>0.23</v>
      </c>
      <c r="AK6" s="117">
        <v>67.42</v>
      </c>
      <c r="AL6" s="117">
        <f t="shared" ref="AL6:AL28" si="1">SUM(AG6:AK6)</f>
        <v>100</v>
      </c>
    </row>
    <row r="7" spans="1:38" ht="20.100000000000001" customHeight="1" x14ac:dyDescent="0.3">
      <c r="A7" s="25">
        <v>3</v>
      </c>
      <c r="B7" s="17" t="s">
        <v>17</v>
      </c>
      <c r="C7" s="17" t="s">
        <v>17</v>
      </c>
      <c r="D7" s="18" t="s">
        <v>21</v>
      </c>
      <c r="E7" s="26">
        <v>45558</v>
      </c>
      <c r="F7" s="20"/>
      <c r="G7" s="18" t="s">
        <v>134</v>
      </c>
      <c r="H7" s="28">
        <v>21.9</v>
      </c>
      <c r="I7" s="28">
        <v>7.53</v>
      </c>
      <c r="J7" s="28">
        <v>8.41</v>
      </c>
      <c r="K7" s="74">
        <v>146</v>
      </c>
      <c r="L7" s="57"/>
      <c r="M7" s="54"/>
      <c r="N7" s="54"/>
      <c r="O7" s="54">
        <v>2.1419999999999999</v>
      </c>
      <c r="P7" s="54"/>
      <c r="Q7" s="54"/>
      <c r="R7" s="54"/>
      <c r="S7" s="54"/>
      <c r="T7" s="54">
        <v>8.8390000000000004</v>
      </c>
      <c r="U7" s="109">
        <v>3.38</v>
      </c>
      <c r="V7" s="109">
        <v>-1.92</v>
      </c>
      <c r="W7" s="58"/>
      <c r="X7" s="54"/>
      <c r="Y7" s="64"/>
      <c r="Z7" s="116">
        <v>0.15</v>
      </c>
      <c r="AA7" s="116">
        <v>0.05</v>
      </c>
      <c r="AB7" s="116">
        <v>0.183</v>
      </c>
      <c r="AC7" s="116">
        <v>1.0999999999999999E-2</v>
      </c>
      <c r="AD7" s="116">
        <v>0.60599999999999998</v>
      </c>
      <c r="AE7">
        <f t="shared" si="0"/>
        <v>1</v>
      </c>
      <c r="AG7" s="117">
        <v>18.5</v>
      </c>
      <c r="AH7" s="117">
        <v>4.26</v>
      </c>
      <c r="AI7" s="117">
        <v>1.81</v>
      </c>
      <c r="AJ7" s="117">
        <v>0.12</v>
      </c>
      <c r="AK7" s="117">
        <v>75.31</v>
      </c>
      <c r="AL7" s="117">
        <f t="shared" si="1"/>
        <v>100</v>
      </c>
    </row>
    <row r="8" spans="1:38" ht="20.100000000000001" customHeight="1" x14ac:dyDescent="0.3">
      <c r="A8" s="25">
        <v>4</v>
      </c>
      <c r="B8" s="17" t="s">
        <v>17</v>
      </c>
      <c r="C8" s="17" t="s">
        <v>17</v>
      </c>
      <c r="D8" s="18" t="s">
        <v>22</v>
      </c>
      <c r="E8" s="26">
        <v>45558</v>
      </c>
      <c r="F8" s="20"/>
      <c r="G8" s="18" t="s">
        <v>134</v>
      </c>
      <c r="H8" s="28">
        <v>23</v>
      </c>
      <c r="I8" s="28">
        <v>7.34</v>
      </c>
      <c r="J8" s="28">
        <v>6.53</v>
      </c>
      <c r="K8" s="74">
        <v>219</v>
      </c>
      <c r="L8" s="57"/>
      <c r="M8" s="54"/>
      <c r="N8" s="54"/>
      <c r="O8" s="54">
        <v>1.7010000000000001</v>
      </c>
      <c r="P8" s="54"/>
      <c r="Q8" s="54"/>
      <c r="R8" s="54"/>
      <c r="S8" s="54"/>
      <c r="T8" s="54">
        <v>13.954000000000001</v>
      </c>
      <c r="U8" s="108">
        <v>4.46</v>
      </c>
      <c r="V8" s="110">
        <v>-2.14</v>
      </c>
      <c r="W8" s="55"/>
      <c r="X8" s="55"/>
      <c r="Y8" s="64"/>
      <c r="Z8" s="116">
        <v>0.16600000000000001</v>
      </c>
      <c r="AA8" s="116">
        <v>5.6000000000000001E-2</v>
      </c>
      <c r="AB8" s="116">
        <v>0.17399999999999999</v>
      </c>
      <c r="AC8" s="116">
        <v>8.9999999999999993E-3</v>
      </c>
      <c r="AD8" s="116">
        <v>0.59499999999999997</v>
      </c>
      <c r="AE8">
        <f t="shared" si="0"/>
        <v>1</v>
      </c>
      <c r="AG8" s="117">
        <v>28.22</v>
      </c>
      <c r="AH8" s="117">
        <v>1.73</v>
      </c>
      <c r="AI8" s="117">
        <v>1.81</v>
      </c>
      <c r="AJ8" s="117">
        <v>0.23</v>
      </c>
      <c r="AK8" s="117">
        <v>68.010000000000005</v>
      </c>
      <c r="AL8" s="117">
        <f t="shared" si="1"/>
        <v>100</v>
      </c>
    </row>
    <row r="9" spans="1:38" ht="20.100000000000001" customHeight="1" x14ac:dyDescent="0.3">
      <c r="A9" s="41">
        <v>5</v>
      </c>
      <c r="B9" s="42" t="s">
        <v>23</v>
      </c>
      <c r="C9" s="42" t="s">
        <v>23</v>
      </c>
      <c r="D9" s="43" t="s">
        <v>24</v>
      </c>
      <c r="E9" s="44">
        <v>45558</v>
      </c>
      <c r="F9" s="45"/>
      <c r="G9" s="43" t="s">
        <v>134</v>
      </c>
      <c r="H9" s="72">
        <v>20.79</v>
      </c>
      <c r="I9" s="72">
        <v>7.66</v>
      </c>
      <c r="J9" s="72">
        <v>10.26</v>
      </c>
      <c r="K9" s="73">
        <v>84</v>
      </c>
      <c r="L9" s="59"/>
      <c r="M9" s="60"/>
      <c r="N9" s="60"/>
      <c r="O9" s="61">
        <v>1.752</v>
      </c>
      <c r="P9" s="61"/>
      <c r="Q9" s="61"/>
      <c r="R9" s="61"/>
      <c r="S9" s="61"/>
      <c r="T9" s="61">
        <v>7.3540000000000001</v>
      </c>
      <c r="U9" s="111">
        <v>1.98</v>
      </c>
      <c r="V9" s="111">
        <v>2.0499999999999998</v>
      </c>
      <c r="W9" s="61"/>
      <c r="X9" s="61"/>
      <c r="Y9" s="65"/>
      <c r="Z9" s="116">
        <v>0.13800000000000001</v>
      </c>
      <c r="AA9" s="116">
        <v>5.0999999999999997E-2</v>
      </c>
      <c r="AB9" s="116">
        <v>0.19</v>
      </c>
      <c r="AC9" s="116">
        <v>0.01</v>
      </c>
      <c r="AD9" s="116">
        <v>0.61099999999999999</v>
      </c>
      <c r="AE9">
        <f t="shared" si="0"/>
        <v>1</v>
      </c>
      <c r="AG9" s="117">
        <v>2.3199999999999998</v>
      </c>
      <c r="AH9" s="117">
        <v>1.79</v>
      </c>
      <c r="AI9" s="117">
        <v>4.92</v>
      </c>
      <c r="AJ9" s="117">
        <v>1.96</v>
      </c>
      <c r="AK9" s="117">
        <v>89.01</v>
      </c>
      <c r="AL9" s="117">
        <f t="shared" si="1"/>
        <v>100</v>
      </c>
    </row>
    <row r="10" spans="1:38" ht="20.100000000000001" customHeight="1" x14ac:dyDescent="0.3">
      <c r="A10" s="41">
        <v>6</v>
      </c>
      <c r="B10" s="42" t="s">
        <v>23</v>
      </c>
      <c r="C10" s="42" t="s">
        <v>23</v>
      </c>
      <c r="D10" s="43" t="s">
        <v>25</v>
      </c>
      <c r="E10" s="44">
        <v>45558</v>
      </c>
      <c r="F10" s="45"/>
      <c r="G10" s="43" t="s">
        <v>134</v>
      </c>
      <c r="H10" s="72">
        <v>21.45</v>
      </c>
      <c r="I10" s="72">
        <v>7.49</v>
      </c>
      <c r="J10" s="72">
        <v>10.199999999999999</v>
      </c>
      <c r="K10" s="73">
        <v>120</v>
      </c>
      <c r="L10" s="59"/>
      <c r="M10" s="60"/>
      <c r="N10" s="60"/>
      <c r="O10" s="60">
        <v>1.67</v>
      </c>
      <c r="P10" s="60"/>
      <c r="Q10" s="60"/>
      <c r="R10" s="60"/>
      <c r="S10" s="60"/>
      <c r="T10" s="60">
        <v>12.948</v>
      </c>
      <c r="U10" s="112">
        <v>8.43</v>
      </c>
      <c r="V10" s="112">
        <v>0.78</v>
      </c>
      <c r="W10" s="60"/>
      <c r="X10" s="60"/>
      <c r="Y10" s="65"/>
      <c r="Z10" s="116">
        <v>0.27800000000000002</v>
      </c>
      <c r="AA10" s="116">
        <v>9.4E-2</v>
      </c>
      <c r="AB10" s="116">
        <v>0.13</v>
      </c>
      <c r="AC10" s="116">
        <v>0.01</v>
      </c>
      <c r="AD10" s="116">
        <v>0.48799999999999999</v>
      </c>
      <c r="AE10">
        <f t="shared" si="0"/>
        <v>1</v>
      </c>
      <c r="AG10" s="117">
        <v>16.260000000000002</v>
      </c>
      <c r="AH10" s="117">
        <v>0.26</v>
      </c>
      <c r="AI10" s="117">
        <v>2.61</v>
      </c>
      <c r="AJ10" s="117">
        <v>0.16</v>
      </c>
      <c r="AK10" s="117">
        <v>80.709999999999994</v>
      </c>
      <c r="AL10" s="117">
        <f t="shared" si="1"/>
        <v>100</v>
      </c>
    </row>
    <row r="11" spans="1:38" ht="20.100000000000001" customHeight="1" x14ac:dyDescent="0.3">
      <c r="A11" s="41">
        <v>7</v>
      </c>
      <c r="B11" s="42" t="s">
        <v>23</v>
      </c>
      <c r="C11" s="42" t="s">
        <v>23</v>
      </c>
      <c r="D11" s="43" t="s">
        <v>26</v>
      </c>
      <c r="E11" s="44">
        <v>45558</v>
      </c>
      <c r="F11" s="45"/>
      <c r="G11" s="43" t="s">
        <v>134</v>
      </c>
      <c r="H11" s="72">
        <v>21.76</v>
      </c>
      <c r="I11" s="72">
        <v>7.44</v>
      </c>
      <c r="J11" s="72">
        <v>9.6300000000000008</v>
      </c>
      <c r="K11" s="73">
        <v>144</v>
      </c>
      <c r="L11" s="59"/>
      <c r="M11" s="60"/>
      <c r="N11" s="60"/>
      <c r="O11" s="60">
        <v>1.84</v>
      </c>
      <c r="P11" s="60"/>
      <c r="Q11" s="60"/>
      <c r="R11" s="60"/>
      <c r="S11" s="60"/>
      <c r="T11" s="60">
        <v>14.073</v>
      </c>
      <c r="U11" s="112">
        <v>8.25</v>
      </c>
      <c r="V11" s="112">
        <v>-0.35</v>
      </c>
      <c r="W11" s="60"/>
      <c r="X11" s="60"/>
      <c r="Y11" s="65"/>
      <c r="Z11" s="116">
        <v>0.26300000000000001</v>
      </c>
      <c r="AA11" s="116">
        <v>8.8999999999999996E-2</v>
      </c>
      <c r="AB11" s="116">
        <v>0.126</v>
      </c>
      <c r="AC11" s="116">
        <v>0.01</v>
      </c>
      <c r="AD11" s="116">
        <v>0.51200000000000001</v>
      </c>
      <c r="AE11">
        <f t="shared" si="0"/>
        <v>1</v>
      </c>
      <c r="AG11" s="117">
        <v>16.32</v>
      </c>
      <c r="AH11" s="117">
        <v>1.32</v>
      </c>
      <c r="AI11" s="117">
        <v>1.1000000000000001</v>
      </c>
      <c r="AJ11" s="117">
        <v>0.18</v>
      </c>
      <c r="AK11" s="117">
        <v>81.08</v>
      </c>
      <c r="AL11" s="117">
        <f t="shared" si="1"/>
        <v>100</v>
      </c>
    </row>
    <row r="12" spans="1:38" ht="20.100000000000001" customHeight="1" x14ac:dyDescent="0.3">
      <c r="A12" s="41">
        <v>8</v>
      </c>
      <c r="B12" s="42" t="s">
        <v>23</v>
      </c>
      <c r="C12" s="42" t="s">
        <v>27</v>
      </c>
      <c r="D12" s="43" t="s">
        <v>68</v>
      </c>
      <c r="E12" s="44">
        <v>45558</v>
      </c>
      <c r="F12" s="45"/>
      <c r="G12" s="43" t="s">
        <v>134</v>
      </c>
      <c r="H12" s="72">
        <v>21.59</v>
      </c>
      <c r="I12" s="72">
        <v>7.28</v>
      </c>
      <c r="J12" s="72">
        <v>8.57</v>
      </c>
      <c r="K12" s="73">
        <v>339</v>
      </c>
      <c r="L12" s="59"/>
      <c r="M12" s="60"/>
      <c r="N12" s="60"/>
      <c r="O12" s="60">
        <v>0.70099999999999996</v>
      </c>
      <c r="P12" s="60"/>
      <c r="Q12" s="60"/>
      <c r="R12" s="60"/>
      <c r="S12" s="60"/>
      <c r="T12" s="60">
        <v>30.856000000000002</v>
      </c>
      <c r="U12" s="112">
        <v>12.56</v>
      </c>
      <c r="V12" s="112">
        <v>4.07</v>
      </c>
      <c r="W12" s="60"/>
      <c r="X12" s="60"/>
      <c r="Y12" s="65"/>
      <c r="Z12" s="119">
        <v>0.41099999999999998</v>
      </c>
      <c r="AA12" s="119">
        <v>0.14699999999999999</v>
      </c>
      <c r="AB12" s="119">
        <v>9.9000000000000005E-2</v>
      </c>
      <c r="AC12" s="119">
        <v>1.0999999999999999E-2</v>
      </c>
      <c r="AD12" s="119">
        <v>0.33200000000000002</v>
      </c>
      <c r="AE12" s="114">
        <f t="shared" si="0"/>
        <v>1</v>
      </c>
      <c r="AF12" s="114"/>
      <c r="AG12" s="120">
        <v>71.540000000000006</v>
      </c>
      <c r="AH12" s="120">
        <v>11.05</v>
      </c>
      <c r="AI12" s="120">
        <v>2.29</v>
      </c>
      <c r="AJ12" s="120">
        <v>1.1599999999999999</v>
      </c>
      <c r="AK12" s="120">
        <v>13.96</v>
      </c>
      <c r="AL12" s="120">
        <f t="shared" si="1"/>
        <v>100</v>
      </c>
    </row>
    <row r="13" spans="1:38" ht="20.100000000000001" customHeight="1" x14ac:dyDescent="0.3">
      <c r="A13" s="41">
        <v>9</v>
      </c>
      <c r="B13" s="42" t="s">
        <v>23</v>
      </c>
      <c r="C13" s="42" t="s">
        <v>27</v>
      </c>
      <c r="D13" s="43" t="s">
        <v>30</v>
      </c>
      <c r="E13" s="44">
        <v>45558</v>
      </c>
      <c r="F13" s="45"/>
      <c r="G13" s="43" t="s">
        <v>134</v>
      </c>
      <c r="H13" s="72">
        <v>21.84</v>
      </c>
      <c r="I13" s="72">
        <v>7.29</v>
      </c>
      <c r="J13" s="72">
        <v>8.7100000000000009</v>
      </c>
      <c r="K13" s="73">
        <v>221</v>
      </c>
      <c r="L13" s="59"/>
      <c r="M13" s="60"/>
      <c r="N13" s="60"/>
      <c r="O13" s="60">
        <v>1.857</v>
      </c>
      <c r="P13" s="60"/>
      <c r="Q13" s="60"/>
      <c r="R13" s="60"/>
      <c r="S13" s="60"/>
      <c r="T13" s="60">
        <v>21.363</v>
      </c>
      <c r="U13" s="112">
        <v>7.14</v>
      </c>
      <c r="V13" s="113">
        <v>-2.67</v>
      </c>
      <c r="W13" s="62"/>
      <c r="X13" s="62"/>
      <c r="Y13" s="65"/>
      <c r="Z13" s="116">
        <v>0.214</v>
      </c>
      <c r="AA13" s="116">
        <v>7.2999999999999995E-2</v>
      </c>
      <c r="AB13" s="116">
        <v>0.14099999999999999</v>
      </c>
      <c r="AC13" s="116">
        <v>8.9999999999999993E-3</v>
      </c>
      <c r="AD13" s="116">
        <v>0.56299999999999994</v>
      </c>
      <c r="AE13">
        <f t="shared" si="0"/>
        <v>0.99999999999999989</v>
      </c>
      <c r="AG13" s="117">
        <v>28.2</v>
      </c>
      <c r="AH13" s="117">
        <v>4.5599999999999996</v>
      </c>
      <c r="AI13" s="117">
        <v>1.81</v>
      </c>
      <c r="AJ13" s="117">
        <v>0.12</v>
      </c>
      <c r="AK13" s="117">
        <v>65.31</v>
      </c>
      <c r="AL13" s="117">
        <f t="shared" si="1"/>
        <v>100</v>
      </c>
    </row>
    <row r="14" spans="1:38" ht="20.100000000000001" customHeight="1" x14ac:dyDescent="0.3">
      <c r="A14" s="25">
        <v>10</v>
      </c>
      <c r="B14" s="17" t="s">
        <v>31</v>
      </c>
      <c r="C14" s="17" t="s">
        <v>31</v>
      </c>
      <c r="D14" s="18" t="s">
        <v>32</v>
      </c>
      <c r="E14" s="26">
        <v>45558</v>
      </c>
      <c r="F14" s="20"/>
      <c r="G14" s="18" t="s">
        <v>134</v>
      </c>
      <c r="H14" s="28">
        <v>22.67</v>
      </c>
      <c r="I14" s="28">
        <v>7.61</v>
      </c>
      <c r="J14" s="28">
        <v>7.83</v>
      </c>
      <c r="K14" s="74">
        <v>137.19999999999999</v>
      </c>
      <c r="L14" s="57"/>
      <c r="M14" s="54"/>
      <c r="N14" s="54"/>
      <c r="O14" s="58">
        <v>2.1589999999999998</v>
      </c>
      <c r="P14" s="58"/>
      <c r="Q14" s="58"/>
      <c r="R14" s="58"/>
      <c r="S14" s="58"/>
      <c r="T14" s="58">
        <v>5.758</v>
      </c>
      <c r="U14" s="109">
        <v>4.8</v>
      </c>
      <c r="V14" s="109">
        <v>-0.72</v>
      </c>
      <c r="W14" s="58"/>
      <c r="X14" s="58"/>
      <c r="Y14" s="64"/>
      <c r="Z14" s="116">
        <v>0.18099999999999999</v>
      </c>
      <c r="AA14" s="116">
        <v>6.2E-2</v>
      </c>
      <c r="AB14" s="116">
        <v>0.17299999999999999</v>
      </c>
      <c r="AC14" s="116">
        <v>0.01</v>
      </c>
      <c r="AD14" s="116">
        <v>0.57399999999999995</v>
      </c>
      <c r="AE14">
        <f t="shared" si="0"/>
        <v>1</v>
      </c>
      <c r="AG14" s="117">
        <v>12.84</v>
      </c>
      <c r="AH14" s="117">
        <v>1.96</v>
      </c>
      <c r="AI14" s="117">
        <v>1.58</v>
      </c>
      <c r="AJ14" s="117">
        <v>0.12</v>
      </c>
      <c r="AK14" s="117">
        <v>83.5</v>
      </c>
      <c r="AL14" s="117">
        <f t="shared" si="1"/>
        <v>100</v>
      </c>
    </row>
    <row r="15" spans="1:38" ht="20.100000000000001" customHeight="1" x14ac:dyDescent="0.3">
      <c r="A15" s="25">
        <v>11</v>
      </c>
      <c r="B15" s="17" t="s">
        <v>31</v>
      </c>
      <c r="C15" s="17" t="s">
        <v>31</v>
      </c>
      <c r="D15" s="18" t="s">
        <v>69</v>
      </c>
      <c r="E15" s="26">
        <v>45558</v>
      </c>
      <c r="F15" s="20"/>
      <c r="G15" s="18" t="s">
        <v>134</v>
      </c>
      <c r="H15" s="28">
        <v>22.91</v>
      </c>
      <c r="I15" s="28">
        <v>7.07</v>
      </c>
      <c r="J15" s="28">
        <v>8.25</v>
      </c>
      <c r="K15" s="74">
        <v>127.6</v>
      </c>
      <c r="L15" s="57"/>
      <c r="M15" s="54"/>
      <c r="N15" s="54"/>
      <c r="O15" s="54">
        <v>2.1850000000000001</v>
      </c>
      <c r="P15" s="54"/>
      <c r="Q15" s="54"/>
      <c r="R15" s="54"/>
      <c r="S15" s="54"/>
      <c r="T15" s="54">
        <v>5.5590000000000002</v>
      </c>
      <c r="U15" s="108">
        <v>5.13</v>
      </c>
      <c r="V15" s="108">
        <v>-0.4</v>
      </c>
      <c r="W15" s="54"/>
      <c r="X15" s="54"/>
      <c r="Y15" s="64"/>
      <c r="Z15" s="116">
        <v>0.189</v>
      </c>
      <c r="AA15" s="116">
        <v>6.3E-2</v>
      </c>
      <c r="AB15" s="116">
        <v>0.17199999999999999</v>
      </c>
      <c r="AC15" s="116">
        <v>0.01</v>
      </c>
      <c r="AD15" s="116">
        <v>0.56599999999999995</v>
      </c>
      <c r="AE15">
        <f t="shared" si="0"/>
        <v>1</v>
      </c>
      <c r="AG15" s="117">
        <v>15.98</v>
      </c>
      <c r="AH15" s="117">
        <v>2.65</v>
      </c>
      <c r="AI15" s="117">
        <v>1.29</v>
      </c>
      <c r="AJ15" s="117">
        <v>0.23</v>
      </c>
      <c r="AK15" s="117">
        <v>79.849999999999994</v>
      </c>
      <c r="AL15" s="117">
        <f t="shared" si="1"/>
        <v>100</v>
      </c>
    </row>
    <row r="16" spans="1:38" ht="20.100000000000001" customHeight="1" x14ac:dyDescent="0.3">
      <c r="A16" s="25">
        <v>12</v>
      </c>
      <c r="B16" s="17" t="s">
        <v>31</v>
      </c>
      <c r="C16" s="17" t="s">
        <v>31</v>
      </c>
      <c r="D16" s="18" t="s">
        <v>34</v>
      </c>
      <c r="E16" s="26">
        <v>45558</v>
      </c>
      <c r="F16" s="20"/>
      <c r="G16" s="18" t="s">
        <v>134</v>
      </c>
      <c r="H16" s="28">
        <v>23.08</v>
      </c>
      <c r="I16" s="28">
        <v>7.06</v>
      </c>
      <c r="J16" s="28">
        <v>8.19</v>
      </c>
      <c r="K16" s="74">
        <v>129.5</v>
      </c>
      <c r="L16" s="57"/>
      <c r="M16" s="54"/>
      <c r="N16" s="54"/>
      <c r="O16" s="54">
        <v>2.1640000000000001</v>
      </c>
      <c r="P16" s="54"/>
      <c r="Q16" s="54"/>
      <c r="R16" s="54"/>
      <c r="S16" s="54"/>
      <c r="T16" s="54">
        <v>5.7969999999999997</v>
      </c>
      <c r="U16" s="108">
        <v>4.9400000000000004</v>
      </c>
      <c r="V16" s="108">
        <v>-0.57999999999999996</v>
      </c>
      <c r="W16" s="54"/>
      <c r="X16" s="54"/>
      <c r="Y16" s="64"/>
      <c r="Z16" s="116">
        <v>0.182</v>
      </c>
      <c r="AA16" s="116">
        <v>6.3E-2</v>
      </c>
      <c r="AB16" s="116">
        <v>0.17199999999999999</v>
      </c>
      <c r="AC16" s="116">
        <v>0.01</v>
      </c>
      <c r="AD16" s="116">
        <v>0.57299999999999995</v>
      </c>
      <c r="AE16">
        <f t="shared" si="0"/>
        <v>1</v>
      </c>
      <c r="AG16" s="117">
        <v>7.19</v>
      </c>
      <c r="AH16" s="117">
        <v>1.38</v>
      </c>
      <c r="AI16" s="117">
        <v>1.42</v>
      </c>
      <c r="AJ16" s="117">
        <v>0.19</v>
      </c>
      <c r="AK16" s="117">
        <v>89.82</v>
      </c>
      <c r="AL16" s="117">
        <f t="shared" si="1"/>
        <v>100</v>
      </c>
    </row>
    <row r="17" spans="1:38" ht="20.100000000000001" customHeight="1" x14ac:dyDescent="0.3">
      <c r="A17" s="25">
        <v>13</v>
      </c>
      <c r="B17" s="17" t="s">
        <v>31</v>
      </c>
      <c r="C17" s="17" t="s">
        <v>35</v>
      </c>
      <c r="D17" s="18" t="s">
        <v>36</v>
      </c>
      <c r="E17" s="26">
        <v>45558</v>
      </c>
      <c r="F17" s="20"/>
      <c r="G17" s="18" t="s">
        <v>81</v>
      </c>
      <c r="H17" s="28">
        <v>22.77</v>
      </c>
      <c r="I17" s="28">
        <v>6.66</v>
      </c>
      <c r="J17" s="28">
        <v>7</v>
      </c>
      <c r="K17" s="74">
        <v>186.2</v>
      </c>
      <c r="L17" s="57"/>
      <c r="M17" s="54"/>
      <c r="N17" s="54"/>
      <c r="O17" s="54">
        <v>3.5609999999999999</v>
      </c>
      <c r="P17" s="54"/>
      <c r="Q17" s="54"/>
      <c r="R17" s="54"/>
      <c r="S17" s="54"/>
      <c r="T17" s="54">
        <v>9.6140000000000008</v>
      </c>
      <c r="U17" s="108">
        <v>7.83</v>
      </c>
      <c r="V17" s="108">
        <v>0.59</v>
      </c>
      <c r="W17" s="54"/>
      <c r="X17" s="54"/>
      <c r="Y17" s="64"/>
      <c r="Z17" s="116">
        <v>0.26</v>
      </c>
      <c r="AA17" s="116">
        <v>8.8999999999999996E-2</v>
      </c>
      <c r="AB17" s="116">
        <v>0.13700000000000001</v>
      </c>
      <c r="AC17" s="116">
        <v>0.01</v>
      </c>
      <c r="AD17" s="116">
        <v>0.504</v>
      </c>
      <c r="AE17">
        <f t="shared" si="0"/>
        <v>1</v>
      </c>
      <c r="AG17" s="117">
        <v>13.73</v>
      </c>
      <c r="AH17" s="117">
        <v>1.48</v>
      </c>
      <c r="AI17" s="117">
        <v>1.1499999999999999</v>
      </c>
      <c r="AJ17" s="117">
        <v>0.1</v>
      </c>
      <c r="AK17" s="117">
        <v>83.54</v>
      </c>
      <c r="AL17" s="117">
        <f t="shared" si="1"/>
        <v>100</v>
      </c>
    </row>
    <row r="18" spans="1:38" ht="20.100000000000001" customHeight="1" x14ac:dyDescent="0.3">
      <c r="A18" s="25">
        <v>14</v>
      </c>
      <c r="B18" s="17" t="s">
        <v>31</v>
      </c>
      <c r="C18" s="17" t="s">
        <v>5</v>
      </c>
      <c r="D18" s="18" t="s">
        <v>29</v>
      </c>
      <c r="E18" s="26">
        <v>45558</v>
      </c>
      <c r="F18" s="20"/>
      <c r="G18" s="18" t="s">
        <v>81</v>
      </c>
      <c r="H18" s="28">
        <v>23.64</v>
      </c>
      <c r="I18" s="28">
        <v>6.72</v>
      </c>
      <c r="J18" s="28">
        <v>8.16</v>
      </c>
      <c r="K18" s="74">
        <v>175.1</v>
      </c>
      <c r="L18" s="57"/>
      <c r="M18" s="54"/>
      <c r="N18" s="54"/>
      <c r="O18" s="54">
        <v>1.7789999999999999</v>
      </c>
      <c r="P18" s="54"/>
      <c r="Q18" s="54"/>
      <c r="R18" s="54"/>
      <c r="S18" s="54"/>
      <c r="T18" s="54">
        <v>11.368</v>
      </c>
      <c r="U18" s="108">
        <v>6.56</v>
      </c>
      <c r="V18" s="108">
        <v>0.87</v>
      </c>
      <c r="W18" s="54"/>
      <c r="X18" s="54"/>
      <c r="Y18" s="64"/>
      <c r="Z18" s="116">
        <v>0.23100000000000001</v>
      </c>
      <c r="AA18" s="116">
        <v>7.8E-2</v>
      </c>
      <c r="AB18" s="116">
        <v>0.14899999999999999</v>
      </c>
      <c r="AC18" s="116">
        <v>0.01</v>
      </c>
      <c r="AD18" s="116">
        <v>0.53200000000000003</v>
      </c>
      <c r="AE18">
        <f t="shared" si="0"/>
        <v>1</v>
      </c>
      <c r="AG18" s="117">
        <v>18.579999999999998</v>
      </c>
      <c r="AH18" s="117">
        <v>3.49</v>
      </c>
      <c r="AI18" s="117">
        <v>1.62</v>
      </c>
      <c r="AJ18" s="117">
        <v>0.19</v>
      </c>
      <c r="AK18" s="117">
        <v>76.12</v>
      </c>
      <c r="AL18" s="117">
        <f t="shared" si="1"/>
        <v>100</v>
      </c>
    </row>
    <row r="19" spans="1:38" ht="20.100000000000001" customHeight="1" x14ac:dyDescent="0.3">
      <c r="A19" s="25">
        <v>15</v>
      </c>
      <c r="B19" s="17" t="s">
        <v>31</v>
      </c>
      <c r="C19" s="17" t="s">
        <v>35</v>
      </c>
      <c r="D19" s="18" t="s">
        <v>29</v>
      </c>
      <c r="E19" s="26">
        <v>45558</v>
      </c>
      <c r="F19" s="20"/>
      <c r="G19" s="18" t="s">
        <v>81</v>
      </c>
      <c r="H19" s="28">
        <v>23.04</v>
      </c>
      <c r="I19" s="28">
        <v>6.58</v>
      </c>
      <c r="J19" s="28">
        <v>6.6</v>
      </c>
      <c r="K19" s="74">
        <v>183.5</v>
      </c>
      <c r="L19" s="57"/>
      <c r="M19" s="54"/>
      <c r="N19" s="54"/>
      <c r="O19" s="54">
        <v>3.331</v>
      </c>
      <c r="P19" s="54"/>
      <c r="Q19" s="54"/>
      <c r="R19" s="54"/>
      <c r="S19" s="54"/>
      <c r="T19" s="54">
        <v>8.9570000000000007</v>
      </c>
      <c r="U19" s="108">
        <v>8.2100000000000009</v>
      </c>
      <c r="V19" s="110">
        <v>1.84</v>
      </c>
      <c r="W19" s="55"/>
      <c r="X19" s="55"/>
      <c r="Y19" s="64"/>
      <c r="Z19" s="116">
        <v>0.28199999999999997</v>
      </c>
      <c r="AA19" s="116">
        <v>9.6000000000000002E-2</v>
      </c>
      <c r="AB19" s="116">
        <v>0.129</v>
      </c>
      <c r="AC19" s="116">
        <v>1.0999999999999999E-2</v>
      </c>
      <c r="AD19" s="116">
        <v>0.48199999999999998</v>
      </c>
      <c r="AE19">
        <f t="shared" si="0"/>
        <v>1</v>
      </c>
      <c r="AG19" s="117">
        <v>20.55</v>
      </c>
      <c r="AH19" s="117">
        <v>3.57</v>
      </c>
      <c r="AI19" s="117">
        <v>1.96</v>
      </c>
      <c r="AJ19" s="117">
        <v>0.14000000000000001</v>
      </c>
      <c r="AK19" s="117">
        <v>73.78</v>
      </c>
      <c r="AL19" s="117">
        <f t="shared" si="1"/>
        <v>100</v>
      </c>
    </row>
    <row r="20" spans="1:38" ht="20.100000000000001" customHeight="1" x14ac:dyDescent="0.3">
      <c r="A20" s="41">
        <v>16</v>
      </c>
      <c r="B20" s="42" t="s">
        <v>38</v>
      </c>
      <c r="C20" s="42" t="s">
        <v>38</v>
      </c>
      <c r="D20" s="43" t="s">
        <v>39</v>
      </c>
      <c r="E20" s="44">
        <v>45558</v>
      </c>
      <c r="F20" s="45"/>
      <c r="G20" s="43" t="s">
        <v>81</v>
      </c>
      <c r="H20" s="72">
        <v>23.98</v>
      </c>
      <c r="I20" s="72">
        <v>7.05</v>
      </c>
      <c r="J20" s="72">
        <v>7.93</v>
      </c>
      <c r="K20" s="73">
        <v>141.9</v>
      </c>
      <c r="L20" s="59"/>
      <c r="M20" s="60"/>
      <c r="N20" s="60"/>
      <c r="O20" s="61">
        <v>2.0390000000000001</v>
      </c>
      <c r="P20" s="61"/>
      <c r="Q20" s="61"/>
      <c r="R20" s="61"/>
      <c r="S20" s="61"/>
      <c r="T20" s="61">
        <v>7.2519999999999998</v>
      </c>
      <c r="U20" s="111">
        <v>5.64</v>
      </c>
      <c r="V20" s="111">
        <v>1.92</v>
      </c>
      <c r="W20" s="61"/>
      <c r="X20" s="61"/>
      <c r="Y20" s="65"/>
      <c r="Z20" s="116">
        <v>0.21099999999999999</v>
      </c>
      <c r="AA20" s="116">
        <v>7.4999999999999997E-2</v>
      </c>
      <c r="AB20" s="116">
        <v>0.16400000000000001</v>
      </c>
      <c r="AC20" s="116">
        <v>0.01</v>
      </c>
      <c r="AD20" s="116">
        <v>0.54</v>
      </c>
      <c r="AE20">
        <f t="shared" si="0"/>
        <v>1</v>
      </c>
      <c r="AG20" s="117">
        <v>31.45</v>
      </c>
      <c r="AH20" s="117">
        <v>2.17</v>
      </c>
      <c r="AI20" s="117">
        <v>1.57</v>
      </c>
      <c r="AJ20" s="117">
        <v>0.17</v>
      </c>
      <c r="AK20" s="117">
        <v>64.64</v>
      </c>
      <c r="AL20" s="117">
        <f t="shared" si="1"/>
        <v>100</v>
      </c>
    </row>
    <row r="21" spans="1:38" ht="20.100000000000001" customHeight="1" x14ac:dyDescent="0.3">
      <c r="A21" s="41">
        <v>17</v>
      </c>
      <c r="B21" s="42" t="s">
        <v>38</v>
      </c>
      <c r="C21" s="42" t="s">
        <v>38</v>
      </c>
      <c r="D21" s="43" t="s">
        <v>41</v>
      </c>
      <c r="E21" s="44">
        <v>45558</v>
      </c>
      <c r="F21" s="45"/>
      <c r="G21" s="43" t="s">
        <v>81</v>
      </c>
      <c r="H21" s="72">
        <v>24.82</v>
      </c>
      <c r="I21" s="72">
        <v>7.65</v>
      </c>
      <c r="J21" s="72">
        <v>7.92</v>
      </c>
      <c r="K21" s="73">
        <v>193.3</v>
      </c>
      <c r="L21" s="59"/>
      <c r="M21" s="60"/>
      <c r="N21" s="60"/>
      <c r="O21" s="60">
        <v>2.0710000000000002</v>
      </c>
      <c r="P21" s="60"/>
      <c r="Q21" s="60"/>
      <c r="R21" s="60"/>
      <c r="S21" s="60"/>
      <c r="T21" s="60">
        <v>12.406000000000001</v>
      </c>
      <c r="U21" s="112">
        <v>8</v>
      </c>
      <c r="V21" s="112">
        <v>2.11</v>
      </c>
      <c r="W21" s="60"/>
      <c r="X21" s="60"/>
      <c r="Y21" s="65"/>
      <c r="Z21" s="116">
        <v>0.27400000000000002</v>
      </c>
      <c r="AA21" s="116">
        <v>9.2999999999999999E-2</v>
      </c>
      <c r="AB21" s="116">
        <v>0.13300000000000001</v>
      </c>
      <c r="AC21" s="116">
        <v>0.01</v>
      </c>
      <c r="AD21" s="116">
        <v>0.49</v>
      </c>
      <c r="AE21">
        <f t="shared" si="0"/>
        <v>1</v>
      </c>
      <c r="AG21" s="117">
        <v>30.69</v>
      </c>
      <c r="AH21" s="117">
        <v>1.37</v>
      </c>
      <c r="AI21" s="117">
        <v>0.99</v>
      </c>
      <c r="AJ21" s="117">
        <v>0.05</v>
      </c>
      <c r="AK21" s="117">
        <v>66.900000000000006</v>
      </c>
      <c r="AL21" s="117">
        <f t="shared" si="1"/>
        <v>100</v>
      </c>
    </row>
    <row r="22" spans="1:38" ht="20.100000000000001" customHeight="1" x14ac:dyDescent="0.3">
      <c r="A22" s="41">
        <v>18</v>
      </c>
      <c r="B22" s="42" t="s">
        <v>38</v>
      </c>
      <c r="C22" s="42" t="s">
        <v>38</v>
      </c>
      <c r="D22" s="43" t="s">
        <v>42</v>
      </c>
      <c r="E22" s="44">
        <v>45558</v>
      </c>
      <c r="F22" s="45"/>
      <c r="G22" s="43" t="s">
        <v>81</v>
      </c>
      <c r="H22" s="72">
        <v>24.52</v>
      </c>
      <c r="I22" s="72">
        <v>7.51</v>
      </c>
      <c r="J22" s="72">
        <v>7.4</v>
      </c>
      <c r="K22" s="73">
        <v>208.7</v>
      </c>
      <c r="L22" s="59"/>
      <c r="M22" s="60"/>
      <c r="N22" s="60"/>
      <c r="O22" s="60">
        <v>1.972</v>
      </c>
      <c r="P22" s="60"/>
      <c r="Q22" s="60"/>
      <c r="R22" s="60"/>
      <c r="S22" s="60"/>
      <c r="T22" s="60">
        <v>13.935</v>
      </c>
      <c r="U22" s="112">
        <v>8.16</v>
      </c>
      <c r="V22" s="112">
        <v>1.79</v>
      </c>
      <c r="W22" s="60"/>
      <c r="X22" s="60"/>
      <c r="Y22" s="65"/>
      <c r="Z22" s="116">
        <v>0.27200000000000002</v>
      </c>
      <c r="AA22" s="116">
        <v>9.2999999999999999E-2</v>
      </c>
      <c r="AB22" s="116">
        <v>0.13300000000000001</v>
      </c>
      <c r="AC22" s="116">
        <v>0.01</v>
      </c>
      <c r="AD22" s="116">
        <v>0.49199999999999999</v>
      </c>
      <c r="AE22">
        <f t="shared" si="0"/>
        <v>1</v>
      </c>
      <c r="AG22" s="117">
        <v>35.53</v>
      </c>
      <c r="AH22" s="117">
        <v>1.05</v>
      </c>
      <c r="AI22" s="117">
        <v>1.23</v>
      </c>
      <c r="AJ22" s="117">
        <v>0.2</v>
      </c>
      <c r="AK22" s="117">
        <v>61.99</v>
      </c>
      <c r="AL22" s="117">
        <f t="shared" si="1"/>
        <v>100</v>
      </c>
    </row>
    <row r="23" spans="1:38" ht="20.100000000000001" customHeight="1" x14ac:dyDescent="0.3">
      <c r="A23" s="41">
        <v>19</v>
      </c>
      <c r="B23" s="42" t="s">
        <v>38</v>
      </c>
      <c r="C23" s="42" t="s">
        <v>43</v>
      </c>
      <c r="D23" s="43" t="s">
        <v>40</v>
      </c>
      <c r="E23" s="44">
        <v>45558</v>
      </c>
      <c r="F23" s="45"/>
      <c r="G23" s="43" t="s">
        <v>81</v>
      </c>
      <c r="H23" s="72">
        <v>25.86</v>
      </c>
      <c r="I23" s="72">
        <v>7.46</v>
      </c>
      <c r="J23" s="72">
        <v>6.9</v>
      </c>
      <c r="K23" s="73">
        <v>309.10000000000002</v>
      </c>
      <c r="L23" s="59"/>
      <c r="M23" s="60"/>
      <c r="N23" s="60"/>
      <c r="O23" s="60">
        <v>2.605</v>
      </c>
      <c r="P23" s="60"/>
      <c r="Q23" s="60"/>
      <c r="R23" s="60"/>
      <c r="S23" s="60"/>
      <c r="T23" s="60">
        <v>30.437000000000001</v>
      </c>
      <c r="U23" s="112">
        <v>9.75</v>
      </c>
      <c r="V23" s="112">
        <v>1.59</v>
      </c>
      <c r="W23" s="60"/>
      <c r="X23" s="60"/>
      <c r="Y23" s="65"/>
      <c r="Z23" s="116">
        <v>0.31900000000000001</v>
      </c>
      <c r="AA23" s="116">
        <v>0.111</v>
      </c>
      <c r="AB23" s="116">
        <v>0.11899999999999999</v>
      </c>
      <c r="AC23" s="116">
        <v>8.9999999999999993E-3</v>
      </c>
      <c r="AD23" s="116">
        <v>0.442</v>
      </c>
      <c r="AE23">
        <f t="shared" si="0"/>
        <v>1</v>
      </c>
      <c r="AG23" s="117">
        <v>19.88</v>
      </c>
      <c r="AH23" s="117">
        <v>1.02</v>
      </c>
      <c r="AI23" s="117">
        <v>1.01</v>
      </c>
      <c r="AJ23" s="117">
        <v>0.34</v>
      </c>
      <c r="AK23" s="117">
        <v>77.75</v>
      </c>
      <c r="AL23" s="117">
        <f t="shared" si="1"/>
        <v>100</v>
      </c>
    </row>
    <row r="24" spans="1:38" ht="19.5" customHeight="1" x14ac:dyDescent="0.3">
      <c r="A24" s="41">
        <v>20</v>
      </c>
      <c r="B24" s="42" t="s">
        <v>38</v>
      </c>
      <c r="C24" s="42" t="s">
        <v>43</v>
      </c>
      <c r="D24" s="43" t="s">
        <v>44</v>
      </c>
      <c r="E24" s="44">
        <v>45558</v>
      </c>
      <c r="F24" s="45"/>
      <c r="G24" s="43" t="s">
        <v>81</v>
      </c>
      <c r="H24" s="72">
        <v>24.21</v>
      </c>
      <c r="I24" s="72">
        <v>7.08</v>
      </c>
      <c r="J24" s="72">
        <v>7.84</v>
      </c>
      <c r="K24" s="73">
        <v>274.8</v>
      </c>
      <c r="L24" s="59"/>
      <c r="M24" s="60"/>
      <c r="N24" s="60"/>
      <c r="O24" s="60">
        <v>1.569</v>
      </c>
      <c r="P24" s="60"/>
      <c r="Q24" s="60"/>
      <c r="R24" s="60"/>
      <c r="S24" s="60"/>
      <c r="T24" s="60">
        <v>21.135999999999999</v>
      </c>
      <c r="U24" s="113">
        <v>9.39</v>
      </c>
      <c r="V24" s="113">
        <v>2.5</v>
      </c>
      <c r="W24" s="62"/>
      <c r="X24" s="62"/>
      <c r="Y24" s="65"/>
      <c r="Z24" s="119">
        <v>0.311</v>
      </c>
      <c r="AA24" s="119">
        <v>0.11</v>
      </c>
      <c r="AB24" s="119">
        <v>0.121</v>
      </c>
      <c r="AC24" s="119">
        <v>1.0999999999999999E-2</v>
      </c>
      <c r="AD24" s="119">
        <v>0.44700000000000001</v>
      </c>
      <c r="AE24" s="114">
        <f t="shared" si="0"/>
        <v>1</v>
      </c>
      <c r="AF24" s="114"/>
      <c r="AG24" s="120">
        <v>51.43</v>
      </c>
      <c r="AH24" s="120">
        <v>3.86</v>
      </c>
      <c r="AI24" s="120">
        <v>0.94</v>
      </c>
      <c r="AJ24" s="120">
        <v>0.18</v>
      </c>
      <c r="AK24" s="120">
        <v>43.59</v>
      </c>
      <c r="AL24" s="120">
        <f t="shared" si="1"/>
        <v>100</v>
      </c>
    </row>
    <row r="25" spans="1:38" ht="20.100000000000001" customHeight="1" x14ac:dyDescent="0.3">
      <c r="A25" s="25">
        <v>21</v>
      </c>
      <c r="B25" s="17" t="s">
        <v>45</v>
      </c>
      <c r="C25" s="17" t="s">
        <v>45</v>
      </c>
      <c r="D25" s="18" t="s">
        <v>46</v>
      </c>
      <c r="E25" s="26">
        <v>45558</v>
      </c>
      <c r="F25" s="20"/>
      <c r="G25" s="18" t="s">
        <v>81</v>
      </c>
      <c r="H25" s="28">
        <v>21.7</v>
      </c>
      <c r="I25" s="28">
        <v>8.42</v>
      </c>
      <c r="J25" s="28">
        <v>10.36</v>
      </c>
      <c r="K25" s="74">
        <v>104</v>
      </c>
      <c r="L25" s="57"/>
      <c r="M25" s="54"/>
      <c r="N25" s="54"/>
      <c r="O25" s="58">
        <v>2.0310000000000001</v>
      </c>
      <c r="P25" s="58"/>
      <c r="Q25" s="58"/>
      <c r="R25" s="58"/>
      <c r="S25" s="58"/>
      <c r="T25" s="58">
        <v>5.9089999999999998</v>
      </c>
      <c r="U25" s="109">
        <v>2.19</v>
      </c>
      <c r="V25" s="109">
        <v>-0.53</v>
      </c>
      <c r="W25" s="58"/>
      <c r="X25" s="58"/>
      <c r="Y25" s="64"/>
      <c r="Z25" s="116">
        <v>0.13400000000000001</v>
      </c>
      <c r="AA25" s="116">
        <v>4.7E-2</v>
      </c>
      <c r="AB25" s="116">
        <v>0.192</v>
      </c>
      <c r="AC25" s="116">
        <v>8.9999999999999993E-3</v>
      </c>
      <c r="AD25" s="116">
        <v>0.61799999999999999</v>
      </c>
      <c r="AE25">
        <f t="shared" si="0"/>
        <v>1</v>
      </c>
      <c r="AG25" s="117">
        <v>17.989999999999998</v>
      </c>
      <c r="AH25" s="117">
        <v>2.92</v>
      </c>
      <c r="AI25" s="117">
        <v>1.29</v>
      </c>
      <c r="AJ25" s="117">
        <v>0.18</v>
      </c>
      <c r="AK25" s="117">
        <v>77.62</v>
      </c>
      <c r="AL25" s="117">
        <f t="shared" si="1"/>
        <v>100</v>
      </c>
    </row>
    <row r="26" spans="1:38" ht="20.100000000000001" customHeight="1" x14ac:dyDescent="0.3">
      <c r="A26" s="25">
        <v>22</v>
      </c>
      <c r="B26" s="17" t="s">
        <v>45</v>
      </c>
      <c r="C26" s="17" t="s">
        <v>45</v>
      </c>
      <c r="D26" s="22" t="s">
        <v>47</v>
      </c>
      <c r="E26" s="26">
        <v>45558</v>
      </c>
      <c r="F26" s="23"/>
      <c r="G26" s="18" t="s">
        <v>81</v>
      </c>
      <c r="H26" s="28">
        <v>20.96</v>
      </c>
      <c r="I26" s="28">
        <v>7.9</v>
      </c>
      <c r="J26" s="28">
        <v>10.15</v>
      </c>
      <c r="K26" s="74">
        <v>101</v>
      </c>
      <c r="L26" s="57"/>
      <c r="M26" s="55"/>
      <c r="N26" s="55"/>
      <c r="O26" s="55">
        <v>2.3380000000000001</v>
      </c>
      <c r="P26" s="55"/>
      <c r="Q26" s="55"/>
      <c r="R26" s="55"/>
      <c r="S26" s="55"/>
      <c r="T26" s="55">
        <v>7.3620000000000001</v>
      </c>
      <c r="U26" s="110">
        <v>4.6100000000000003</v>
      </c>
      <c r="V26" s="110">
        <v>-0.06</v>
      </c>
      <c r="W26" s="55"/>
      <c r="X26" s="55"/>
      <c r="Y26" s="66"/>
      <c r="Z26" s="116">
        <v>0.184</v>
      </c>
      <c r="AA26" s="116">
        <v>6.2E-2</v>
      </c>
      <c r="AB26" s="116">
        <v>0.17199999999999999</v>
      </c>
      <c r="AC26" s="116">
        <v>8.9999999999999993E-3</v>
      </c>
      <c r="AD26" s="116">
        <v>0.57299999999999995</v>
      </c>
      <c r="AE26">
        <f t="shared" si="0"/>
        <v>1</v>
      </c>
      <c r="AG26" s="117">
        <v>15.21</v>
      </c>
      <c r="AH26" s="117">
        <v>1.1100000000000001</v>
      </c>
      <c r="AI26" s="117">
        <v>0.87</v>
      </c>
      <c r="AJ26" s="117">
        <v>0.14000000000000001</v>
      </c>
      <c r="AK26" s="117">
        <v>82.67</v>
      </c>
      <c r="AL26" s="117">
        <f t="shared" si="1"/>
        <v>100</v>
      </c>
    </row>
    <row r="27" spans="1:38" ht="20.100000000000001" customHeight="1" x14ac:dyDescent="0.3">
      <c r="A27" s="25">
        <v>23</v>
      </c>
      <c r="B27" s="17" t="s">
        <v>45</v>
      </c>
      <c r="C27" s="17" t="s">
        <v>45</v>
      </c>
      <c r="D27" s="22" t="s">
        <v>29</v>
      </c>
      <c r="E27" s="26">
        <v>45558</v>
      </c>
      <c r="F27" s="23"/>
      <c r="G27" s="18" t="s">
        <v>81</v>
      </c>
      <c r="H27" s="75">
        <v>21.12</v>
      </c>
      <c r="I27" s="75">
        <v>7.79</v>
      </c>
      <c r="J27" s="75">
        <v>10.23</v>
      </c>
      <c r="K27" s="77">
        <v>97</v>
      </c>
      <c r="L27" s="57"/>
      <c r="M27" s="55"/>
      <c r="N27" s="55"/>
      <c r="O27" s="55">
        <v>2.2559999999999998</v>
      </c>
      <c r="P27" s="55"/>
      <c r="Q27" s="55"/>
      <c r="R27" s="55"/>
      <c r="S27" s="55"/>
      <c r="T27" s="55">
        <v>7.5640000000000001</v>
      </c>
      <c r="U27" s="110">
        <v>3.61</v>
      </c>
      <c r="V27" s="110">
        <v>-2.4700000000000002</v>
      </c>
      <c r="W27" s="55"/>
      <c r="X27" s="55"/>
      <c r="Y27" s="66"/>
      <c r="Z27" s="116">
        <v>0.14299999999999999</v>
      </c>
      <c r="AA27" s="116">
        <v>5.1999999999999998E-2</v>
      </c>
      <c r="AB27" s="116">
        <v>0.18</v>
      </c>
      <c r="AC27" s="116">
        <v>8.9999999999999993E-3</v>
      </c>
      <c r="AD27" s="116">
        <v>0.61599999999999999</v>
      </c>
      <c r="AE27">
        <f t="shared" si="0"/>
        <v>1</v>
      </c>
      <c r="AG27" s="117">
        <v>12.84</v>
      </c>
      <c r="AH27" s="117">
        <v>1.96</v>
      </c>
      <c r="AI27" s="117">
        <v>1.58</v>
      </c>
      <c r="AJ27" s="117">
        <v>0.12</v>
      </c>
      <c r="AK27" s="117">
        <v>83.5</v>
      </c>
      <c r="AL27" s="117">
        <f t="shared" si="1"/>
        <v>100</v>
      </c>
    </row>
    <row r="28" spans="1:38" ht="20.100000000000001" customHeight="1" x14ac:dyDescent="0.3">
      <c r="A28" s="25">
        <v>24</v>
      </c>
      <c r="B28" s="17" t="s">
        <v>45</v>
      </c>
      <c r="C28" s="17" t="s">
        <v>45</v>
      </c>
      <c r="D28" s="18" t="s">
        <v>48</v>
      </c>
      <c r="E28" s="26">
        <v>45558</v>
      </c>
      <c r="F28" s="20"/>
      <c r="G28" s="18" t="s">
        <v>134</v>
      </c>
      <c r="H28" s="28">
        <v>21.15</v>
      </c>
      <c r="I28" s="28">
        <v>7.79</v>
      </c>
      <c r="J28" s="28">
        <v>10.44</v>
      </c>
      <c r="K28" s="74">
        <v>99</v>
      </c>
      <c r="L28" s="57"/>
      <c r="M28" s="54"/>
      <c r="N28" s="54"/>
      <c r="O28" s="54">
        <v>2.2269999999999999</v>
      </c>
      <c r="P28" s="54"/>
      <c r="Q28" s="54"/>
      <c r="R28" s="54"/>
      <c r="S28" s="54"/>
      <c r="T28" s="54">
        <v>7.851</v>
      </c>
      <c r="U28" s="108">
        <v>5.78</v>
      </c>
      <c r="V28" s="108">
        <v>1.18</v>
      </c>
      <c r="W28" s="54"/>
      <c r="X28" s="54"/>
      <c r="Y28" s="64"/>
      <c r="Z28" s="116">
        <v>0.20899999999999999</v>
      </c>
      <c r="AA28" s="116">
        <v>7.2999999999999995E-2</v>
      </c>
      <c r="AB28" s="116">
        <v>0.161</v>
      </c>
      <c r="AC28" s="116">
        <v>0.01</v>
      </c>
      <c r="AD28" s="116">
        <v>0.54700000000000004</v>
      </c>
      <c r="AE28">
        <f t="shared" si="0"/>
        <v>1</v>
      </c>
      <c r="AG28" s="117">
        <v>19.11</v>
      </c>
      <c r="AH28" s="117">
        <v>0.87</v>
      </c>
      <c r="AI28" s="117">
        <v>1.8</v>
      </c>
      <c r="AJ28" s="117">
        <v>0.21</v>
      </c>
      <c r="AK28" s="117">
        <v>78.010000000000005</v>
      </c>
      <c r="AL28" s="117">
        <f t="shared" si="1"/>
        <v>100</v>
      </c>
    </row>
    <row r="29" spans="1:38" ht="20.100000000000001" customHeight="1" x14ac:dyDescent="0.3"/>
    <row r="30" spans="1:38" ht="20.100000000000001" customHeight="1" x14ac:dyDescent="0.3"/>
    <row r="31" spans="1:38" ht="20.100000000000001" customHeight="1" x14ac:dyDescent="0.3"/>
    <row r="32" spans="1:38" ht="20.100000000000001" customHeight="1" x14ac:dyDescent="0.3"/>
    <row r="33" ht="20.100000000000001" customHeight="1" x14ac:dyDescent="0.3"/>
    <row r="34" ht="20.100000000000001" customHeight="1" x14ac:dyDescent="0.3"/>
    <row r="35" ht="20.100000000000001" customHeight="1" x14ac:dyDescent="0.3"/>
    <row r="36" ht="20.100000000000001" customHeight="1" x14ac:dyDescent="0.3"/>
    <row r="37" ht="20.100000000000001" customHeight="1" x14ac:dyDescent="0.3"/>
    <row r="38" ht="20.100000000000001" customHeight="1" x14ac:dyDescent="0.3"/>
    <row r="39" ht="20.100000000000001" customHeight="1" x14ac:dyDescent="0.3"/>
    <row r="40" ht="20.100000000000001" customHeight="1" x14ac:dyDescent="0.3"/>
    <row r="41" ht="20.100000000000001" customHeight="1" x14ac:dyDescent="0.3"/>
    <row r="42" ht="20.100000000000001" customHeight="1" x14ac:dyDescent="0.3"/>
    <row r="43" ht="20.100000000000001" customHeight="1" x14ac:dyDescent="0.3"/>
    <row r="44" ht="20.100000000000001" customHeight="1" x14ac:dyDescent="0.3"/>
    <row r="45" ht="20.100000000000001" customHeight="1" x14ac:dyDescent="0.3"/>
    <row r="46" ht="20.100000000000001" customHeight="1" x14ac:dyDescent="0.3"/>
    <row r="47" ht="20.100000000000001" customHeight="1" x14ac:dyDescent="0.3"/>
    <row r="48" ht="20.100000000000001" customHeight="1" x14ac:dyDescent="0.3"/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  <row r="291" ht="20.100000000000001" customHeight="1" x14ac:dyDescent="0.3"/>
    <row r="292" ht="20.100000000000001" customHeight="1" x14ac:dyDescent="0.3"/>
    <row r="293" ht="20.100000000000001" customHeight="1" x14ac:dyDescent="0.3"/>
    <row r="294" ht="20.100000000000001" customHeight="1" x14ac:dyDescent="0.3"/>
    <row r="295" ht="20.100000000000001" customHeight="1" x14ac:dyDescent="0.3"/>
    <row r="296" ht="20.100000000000001" customHeight="1" x14ac:dyDescent="0.3"/>
    <row r="297" ht="20.100000000000001" customHeight="1" x14ac:dyDescent="0.3"/>
    <row r="298" ht="20.100000000000001" customHeight="1" x14ac:dyDescent="0.3"/>
    <row r="299" ht="20.100000000000001" customHeight="1" x14ac:dyDescent="0.3"/>
    <row r="300" ht="20.100000000000001" customHeight="1" x14ac:dyDescent="0.3"/>
    <row r="301" ht="20.100000000000001" customHeight="1" x14ac:dyDescent="0.3"/>
    <row r="302" ht="20.100000000000001" customHeight="1" x14ac:dyDescent="0.3"/>
    <row r="303" ht="20.100000000000001" customHeight="1" x14ac:dyDescent="0.3"/>
    <row r="304" ht="20.100000000000001" customHeight="1" x14ac:dyDescent="0.3"/>
    <row r="305" ht="20.100000000000001" customHeight="1" x14ac:dyDescent="0.3"/>
    <row r="306" ht="20.100000000000001" customHeight="1" x14ac:dyDescent="0.3"/>
    <row r="307" ht="20.100000000000001" customHeight="1" x14ac:dyDescent="0.3"/>
    <row r="308" ht="20.100000000000001" customHeight="1" x14ac:dyDescent="0.3"/>
    <row r="309" ht="20.100000000000001" customHeight="1" x14ac:dyDescent="0.3"/>
    <row r="310" ht="20.100000000000001" customHeight="1" x14ac:dyDescent="0.3"/>
    <row r="311" ht="20.100000000000001" customHeight="1" x14ac:dyDescent="0.3"/>
    <row r="312" ht="20.100000000000001" customHeight="1" x14ac:dyDescent="0.3"/>
    <row r="313" ht="20.100000000000001" customHeight="1" x14ac:dyDescent="0.3"/>
    <row r="314" ht="20.100000000000001" customHeight="1" x14ac:dyDescent="0.3"/>
    <row r="315" ht="20.100000000000001" customHeight="1" x14ac:dyDescent="0.3"/>
    <row r="316" ht="20.100000000000001" customHeight="1" x14ac:dyDescent="0.3"/>
    <row r="317" ht="20.100000000000001" customHeight="1" x14ac:dyDescent="0.3"/>
  </sheetData>
  <mergeCells count="9">
    <mergeCell ref="L3:T3"/>
    <mergeCell ref="Y3:Y4"/>
    <mergeCell ref="A1:K1"/>
    <mergeCell ref="A3:A4"/>
    <mergeCell ref="B3:B4"/>
    <mergeCell ref="C3:C4"/>
    <mergeCell ref="D3:D4"/>
    <mergeCell ref="E3:F3"/>
    <mergeCell ref="G3:K3"/>
  </mergeCells>
  <phoneticPr fontId="1" type="noConversion"/>
  <conditionalFormatting sqref="Z5:AD2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{41664222-56FE-4090-98FF-AA52A739BEA9}</x14:id>
        </ext>
      </extLst>
    </cfRule>
  </conditionalFormatting>
  <conditionalFormatting sqref="AG5:AK2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{87EE5A70-229A-4806-9EC0-2AE604F8DB5E}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1664222-56FE-4090-98FF-AA52A739BE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Z5:AD28</xm:sqref>
        </x14:conditionalFormatting>
        <x14:conditionalFormatting xmlns:xm="http://schemas.microsoft.com/office/excel/2006/main">
          <x14:cfRule type="dataBar" id="{87EE5A70-229A-4806-9EC0-2AE604F8DB5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AG5:AK28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28"/>
  <sheetViews>
    <sheetView topLeftCell="A97" workbookViewId="0">
      <selection activeCell="B105" sqref="B105:B128"/>
    </sheetView>
  </sheetViews>
  <sheetFormatPr defaultRowHeight="16.5" x14ac:dyDescent="0.3"/>
  <cols>
    <col min="1" max="1" width="81.625" bestFit="1" customWidth="1"/>
    <col min="2" max="9" width="6.5" bestFit="1" customWidth="1"/>
    <col min="10" max="10" width="7.5" bestFit="1" customWidth="1"/>
  </cols>
  <sheetData>
    <row r="2" spans="1:10" x14ac:dyDescent="0.3">
      <c r="A2" t="s">
        <v>306</v>
      </c>
    </row>
    <row r="3" spans="1:10" x14ac:dyDescent="0.3">
      <c r="A3" t="s">
        <v>307</v>
      </c>
    </row>
    <row r="4" spans="1:10" x14ac:dyDescent="0.3">
      <c r="A4" t="s">
        <v>306</v>
      </c>
    </row>
    <row r="6" spans="1:10" x14ac:dyDescent="0.3">
      <c r="A6" t="s">
        <v>332</v>
      </c>
    </row>
    <row r="8" spans="1:10" x14ac:dyDescent="0.3">
      <c r="B8" t="s">
        <v>305</v>
      </c>
      <c r="C8" t="s">
        <v>304</v>
      </c>
      <c r="D8" s="105">
        <v>2.5000000000000001E-2</v>
      </c>
      <c r="E8" s="106">
        <v>0.05</v>
      </c>
      <c r="F8" s="106">
        <v>0.25</v>
      </c>
      <c r="G8" s="106">
        <v>0.5</v>
      </c>
      <c r="H8" s="106">
        <v>0.75</v>
      </c>
      <c r="I8" s="106">
        <v>0.95</v>
      </c>
      <c r="J8" s="105">
        <v>0.97499999999999998</v>
      </c>
    </row>
    <row r="9" spans="1:10" x14ac:dyDescent="0.3">
      <c r="A9" t="s">
        <v>303</v>
      </c>
      <c r="B9">
        <v>0.14699999999999999</v>
      </c>
      <c r="C9">
        <v>0.121</v>
      </c>
      <c r="D9">
        <v>4.0000000000000001E-3</v>
      </c>
      <c r="E9">
        <v>8.9999999999999993E-3</v>
      </c>
      <c r="F9">
        <v>5.0999999999999997E-2</v>
      </c>
      <c r="G9">
        <v>0.113</v>
      </c>
      <c r="H9">
        <v>0.218</v>
      </c>
      <c r="I9">
        <v>0.38700000000000001</v>
      </c>
      <c r="J9">
        <v>0.438</v>
      </c>
    </row>
    <row r="10" spans="1:10" x14ac:dyDescent="0.3">
      <c r="A10" t="s">
        <v>302</v>
      </c>
      <c r="B10">
        <v>0.189</v>
      </c>
      <c r="C10">
        <v>0.222</v>
      </c>
      <c r="D10">
        <v>1E-3</v>
      </c>
      <c r="E10">
        <v>3.0000000000000001E-3</v>
      </c>
      <c r="F10">
        <v>2.4E-2</v>
      </c>
      <c r="G10">
        <v>8.7999999999999995E-2</v>
      </c>
      <c r="H10">
        <v>0.28999999999999998</v>
      </c>
      <c r="I10">
        <v>0.68500000000000005</v>
      </c>
      <c r="J10">
        <v>0.77900000000000003</v>
      </c>
    </row>
    <row r="11" spans="1:10" x14ac:dyDescent="0.3">
      <c r="A11" t="s">
        <v>301</v>
      </c>
      <c r="B11">
        <v>0.183</v>
      </c>
      <c r="C11">
        <v>0.21</v>
      </c>
      <c r="D11">
        <v>1E-3</v>
      </c>
      <c r="E11">
        <v>3.0000000000000001E-3</v>
      </c>
      <c r="F11">
        <v>2.5000000000000001E-2</v>
      </c>
      <c r="G11">
        <v>9.1999999999999998E-2</v>
      </c>
      <c r="H11">
        <v>0.27700000000000002</v>
      </c>
      <c r="I11">
        <v>0.63900000000000001</v>
      </c>
      <c r="J11">
        <v>0.71599999999999997</v>
      </c>
    </row>
    <row r="12" spans="1:10" x14ac:dyDescent="0.3">
      <c r="A12" t="s">
        <v>300</v>
      </c>
      <c r="B12">
        <v>0.17399999999999999</v>
      </c>
      <c r="C12">
        <v>0.193</v>
      </c>
      <c r="D12">
        <v>2E-3</v>
      </c>
      <c r="E12">
        <v>4.0000000000000001E-3</v>
      </c>
      <c r="F12">
        <v>2.5999999999999999E-2</v>
      </c>
      <c r="G12">
        <v>9.1999999999999998E-2</v>
      </c>
      <c r="H12">
        <v>0.26500000000000001</v>
      </c>
      <c r="I12">
        <v>0.59199999999999997</v>
      </c>
      <c r="J12">
        <v>0.68600000000000005</v>
      </c>
    </row>
    <row r="13" spans="1:10" x14ac:dyDescent="0.3">
      <c r="A13" t="s">
        <v>299</v>
      </c>
      <c r="B13">
        <v>0.19</v>
      </c>
      <c r="C13">
        <v>0.218</v>
      </c>
      <c r="D13">
        <v>1E-3</v>
      </c>
      <c r="E13">
        <v>3.0000000000000001E-3</v>
      </c>
      <c r="F13">
        <v>2.5999999999999999E-2</v>
      </c>
      <c r="G13">
        <v>9.7000000000000003E-2</v>
      </c>
      <c r="H13">
        <v>0.28100000000000003</v>
      </c>
      <c r="I13">
        <v>0.68</v>
      </c>
      <c r="J13">
        <v>0.77300000000000002</v>
      </c>
    </row>
    <row r="14" spans="1:10" x14ac:dyDescent="0.3">
      <c r="A14" t="s">
        <v>298</v>
      </c>
      <c r="B14">
        <v>0.13</v>
      </c>
      <c r="C14">
        <v>0.13</v>
      </c>
      <c r="D14">
        <v>2E-3</v>
      </c>
      <c r="E14">
        <v>4.0000000000000001E-3</v>
      </c>
      <c r="F14">
        <v>0.03</v>
      </c>
      <c r="G14">
        <v>8.5000000000000006E-2</v>
      </c>
      <c r="H14">
        <v>0.19</v>
      </c>
      <c r="I14">
        <v>0.40100000000000002</v>
      </c>
      <c r="J14">
        <v>0.48499999999999999</v>
      </c>
    </row>
    <row r="15" spans="1:10" x14ac:dyDescent="0.3">
      <c r="A15" t="s">
        <v>297</v>
      </c>
      <c r="B15">
        <v>0.126</v>
      </c>
      <c r="C15">
        <v>0.129</v>
      </c>
      <c r="D15">
        <v>2E-3</v>
      </c>
      <c r="E15">
        <v>4.0000000000000001E-3</v>
      </c>
      <c r="F15">
        <v>2.8000000000000001E-2</v>
      </c>
      <c r="G15">
        <v>0.08</v>
      </c>
      <c r="H15">
        <v>0.19</v>
      </c>
      <c r="I15">
        <v>0.39600000000000002</v>
      </c>
      <c r="J15">
        <v>0.46800000000000003</v>
      </c>
    </row>
    <row r="16" spans="1:10" x14ac:dyDescent="0.3">
      <c r="A16" t="s">
        <v>296</v>
      </c>
      <c r="B16">
        <v>9.9000000000000005E-2</v>
      </c>
      <c r="C16">
        <v>0.09</v>
      </c>
      <c r="D16">
        <v>2E-3</v>
      </c>
      <c r="E16">
        <v>4.0000000000000001E-3</v>
      </c>
      <c r="F16">
        <v>2.9000000000000001E-2</v>
      </c>
      <c r="G16">
        <v>7.2999999999999995E-2</v>
      </c>
      <c r="H16">
        <v>0.14299999999999999</v>
      </c>
      <c r="I16">
        <v>0.28199999999999997</v>
      </c>
      <c r="J16">
        <v>0.32900000000000001</v>
      </c>
    </row>
    <row r="17" spans="1:10" x14ac:dyDescent="0.3">
      <c r="A17" t="s">
        <v>295</v>
      </c>
      <c r="B17">
        <v>0.14099999999999999</v>
      </c>
      <c r="C17">
        <v>0.155</v>
      </c>
      <c r="D17">
        <v>2E-3</v>
      </c>
      <c r="E17">
        <v>3.0000000000000001E-3</v>
      </c>
      <c r="F17">
        <v>2.5999999999999999E-2</v>
      </c>
      <c r="G17">
        <v>7.9000000000000001E-2</v>
      </c>
      <c r="H17">
        <v>0.20599999999999999</v>
      </c>
      <c r="I17">
        <v>0.48399999999999999</v>
      </c>
      <c r="J17">
        <v>0.56599999999999995</v>
      </c>
    </row>
    <row r="18" spans="1:10" x14ac:dyDescent="0.3">
      <c r="A18" t="s">
        <v>294</v>
      </c>
      <c r="B18">
        <v>0.17299999999999999</v>
      </c>
      <c r="C18">
        <v>0.189</v>
      </c>
      <c r="D18">
        <v>2E-3</v>
      </c>
      <c r="E18">
        <v>3.0000000000000001E-3</v>
      </c>
      <c r="F18">
        <v>2.9000000000000001E-2</v>
      </c>
      <c r="G18">
        <v>9.9000000000000005E-2</v>
      </c>
      <c r="H18">
        <v>0.26400000000000001</v>
      </c>
      <c r="I18">
        <v>0.58499999999999996</v>
      </c>
      <c r="J18">
        <v>0.66400000000000003</v>
      </c>
    </row>
    <row r="19" spans="1:10" x14ac:dyDescent="0.3">
      <c r="A19" t="s">
        <v>293</v>
      </c>
      <c r="B19">
        <v>0.17199999999999999</v>
      </c>
      <c r="C19">
        <v>0.185</v>
      </c>
      <c r="D19">
        <v>2E-3</v>
      </c>
      <c r="E19">
        <v>4.0000000000000001E-3</v>
      </c>
      <c r="F19">
        <v>2.9000000000000001E-2</v>
      </c>
      <c r="G19">
        <v>9.9000000000000005E-2</v>
      </c>
      <c r="H19">
        <v>0.25800000000000001</v>
      </c>
      <c r="I19">
        <v>0.56499999999999995</v>
      </c>
      <c r="J19">
        <v>0.65600000000000003</v>
      </c>
    </row>
    <row r="20" spans="1:10" x14ac:dyDescent="0.3">
      <c r="A20" t="s">
        <v>292</v>
      </c>
      <c r="B20">
        <v>0.17199999999999999</v>
      </c>
      <c r="C20">
        <v>0.186</v>
      </c>
      <c r="D20">
        <v>2E-3</v>
      </c>
      <c r="E20">
        <v>3.0000000000000001E-3</v>
      </c>
      <c r="F20">
        <v>2.9000000000000001E-2</v>
      </c>
      <c r="G20">
        <v>0.10100000000000001</v>
      </c>
      <c r="H20">
        <v>0.25600000000000001</v>
      </c>
      <c r="I20">
        <v>0.57499999999999996</v>
      </c>
      <c r="J20">
        <v>0.65300000000000002</v>
      </c>
    </row>
    <row r="21" spans="1:10" x14ac:dyDescent="0.3">
      <c r="A21" t="s">
        <v>291</v>
      </c>
      <c r="B21">
        <v>0.13700000000000001</v>
      </c>
      <c r="C21">
        <v>0.13600000000000001</v>
      </c>
      <c r="D21">
        <v>2E-3</v>
      </c>
      <c r="E21">
        <v>4.0000000000000001E-3</v>
      </c>
      <c r="F21">
        <v>0.03</v>
      </c>
      <c r="G21">
        <v>9.1999999999999998E-2</v>
      </c>
      <c r="H21">
        <v>0.20599999999999999</v>
      </c>
      <c r="I21">
        <v>0.42699999999999999</v>
      </c>
      <c r="J21">
        <v>0.48099999999999998</v>
      </c>
    </row>
    <row r="22" spans="1:10" x14ac:dyDescent="0.3">
      <c r="A22" t="s">
        <v>290</v>
      </c>
      <c r="B22">
        <v>0.14899999999999999</v>
      </c>
      <c r="C22">
        <v>0.153</v>
      </c>
      <c r="D22">
        <v>2E-3</v>
      </c>
      <c r="E22">
        <v>4.0000000000000001E-3</v>
      </c>
      <c r="F22">
        <v>0.03</v>
      </c>
      <c r="G22">
        <v>9.4E-2</v>
      </c>
      <c r="H22">
        <v>0.217</v>
      </c>
      <c r="I22">
        <v>0.47399999999999998</v>
      </c>
      <c r="J22">
        <v>0.54900000000000004</v>
      </c>
    </row>
    <row r="23" spans="1:10" x14ac:dyDescent="0.3">
      <c r="A23" t="s">
        <v>289</v>
      </c>
      <c r="B23">
        <v>0.129</v>
      </c>
      <c r="C23">
        <v>0.128</v>
      </c>
      <c r="D23">
        <v>2E-3</v>
      </c>
      <c r="E23">
        <v>4.0000000000000001E-3</v>
      </c>
      <c r="F23">
        <v>3.1E-2</v>
      </c>
      <c r="G23">
        <v>8.5999999999999993E-2</v>
      </c>
      <c r="H23">
        <v>0.19</v>
      </c>
      <c r="I23">
        <v>0.40699999999999997</v>
      </c>
      <c r="J23">
        <v>0.46400000000000002</v>
      </c>
    </row>
    <row r="24" spans="1:10" x14ac:dyDescent="0.3">
      <c r="A24" t="s">
        <v>288</v>
      </c>
      <c r="B24">
        <v>0.16400000000000001</v>
      </c>
      <c r="C24">
        <v>0.16800000000000001</v>
      </c>
      <c r="D24">
        <v>2E-3</v>
      </c>
      <c r="E24">
        <v>5.0000000000000001E-3</v>
      </c>
      <c r="F24">
        <v>3.1E-2</v>
      </c>
      <c r="G24">
        <v>0.105</v>
      </c>
      <c r="H24">
        <v>0.253</v>
      </c>
      <c r="I24">
        <v>0.51600000000000001</v>
      </c>
      <c r="J24">
        <v>0.60799999999999998</v>
      </c>
    </row>
    <row r="25" spans="1:10" x14ac:dyDescent="0.3">
      <c r="A25" t="s">
        <v>287</v>
      </c>
      <c r="B25">
        <v>0.13300000000000001</v>
      </c>
      <c r="C25">
        <v>0.13100000000000001</v>
      </c>
      <c r="D25">
        <v>2E-3</v>
      </c>
      <c r="E25">
        <v>5.0000000000000001E-3</v>
      </c>
      <c r="F25">
        <v>3.3000000000000002E-2</v>
      </c>
      <c r="G25">
        <v>9.0999999999999998E-2</v>
      </c>
      <c r="H25">
        <v>0.19700000000000001</v>
      </c>
      <c r="I25">
        <v>0.40600000000000003</v>
      </c>
      <c r="J25">
        <v>0.48799999999999999</v>
      </c>
    </row>
    <row r="26" spans="1:10" x14ac:dyDescent="0.3">
      <c r="A26" t="s">
        <v>286</v>
      </c>
      <c r="B26">
        <v>0.13300000000000001</v>
      </c>
      <c r="C26">
        <v>0.13200000000000001</v>
      </c>
      <c r="D26">
        <v>2E-3</v>
      </c>
      <c r="E26">
        <v>4.0000000000000001E-3</v>
      </c>
      <c r="F26">
        <v>3.3000000000000002E-2</v>
      </c>
      <c r="G26">
        <v>8.8999999999999996E-2</v>
      </c>
      <c r="H26">
        <v>0.19400000000000001</v>
      </c>
      <c r="I26">
        <v>0.41099999999999998</v>
      </c>
      <c r="J26">
        <v>0.47899999999999998</v>
      </c>
    </row>
    <row r="27" spans="1:10" x14ac:dyDescent="0.3">
      <c r="A27" t="s">
        <v>285</v>
      </c>
      <c r="B27">
        <v>0.11899999999999999</v>
      </c>
      <c r="C27">
        <v>0.113</v>
      </c>
      <c r="D27">
        <v>2E-3</v>
      </c>
      <c r="E27">
        <v>5.0000000000000001E-3</v>
      </c>
      <c r="F27">
        <v>0.03</v>
      </c>
      <c r="G27">
        <v>8.3000000000000004E-2</v>
      </c>
      <c r="H27">
        <v>0.17899999999999999</v>
      </c>
      <c r="I27">
        <v>0.35499999999999998</v>
      </c>
      <c r="J27">
        <v>0.41</v>
      </c>
    </row>
    <row r="28" spans="1:10" x14ac:dyDescent="0.3">
      <c r="A28" t="s">
        <v>284</v>
      </c>
      <c r="B28">
        <v>0.121</v>
      </c>
      <c r="C28">
        <v>0.115</v>
      </c>
      <c r="D28">
        <v>2E-3</v>
      </c>
      <c r="E28">
        <v>5.0000000000000001E-3</v>
      </c>
      <c r="F28">
        <v>3.2000000000000001E-2</v>
      </c>
      <c r="G28">
        <v>8.5000000000000006E-2</v>
      </c>
      <c r="H28">
        <v>0.18</v>
      </c>
      <c r="I28">
        <v>0.35099999999999998</v>
      </c>
      <c r="J28">
        <v>0.41399999999999998</v>
      </c>
    </row>
    <row r="29" spans="1:10" x14ac:dyDescent="0.3">
      <c r="A29" t="s">
        <v>283</v>
      </c>
      <c r="B29">
        <v>0.192</v>
      </c>
      <c r="C29">
        <v>0.221</v>
      </c>
      <c r="D29">
        <v>1E-3</v>
      </c>
      <c r="E29">
        <v>3.0000000000000001E-3</v>
      </c>
      <c r="F29">
        <v>2.5000000000000001E-2</v>
      </c>
      <c r="G29">
        <v>9.2999999999999999E-2</v>
      </c>
      <c r="H29">
        <v>0.29299999999999998</v>
      </c>
      <c r="I29">
        <v>0.68400000000000005</v>
      </c>
      <c r="J29">
        <v>0.76300000000000001</v>
      </c>
    </row>
    <row r="30" spans="1:10" x14ac:dyDescent="0.3">
      <c r="A30" t="s">
        <v>282</v>
      </c>
      <c r="B30">
        <v>0.17299999999999999</v>
      </c>
      <c r="C30">
        <v>0.186</v>
      </c>
      <c r="D30">
        <v>2E-3</v>
      </c>
      <c r="E30">
        <v>4.0000000000000001E-3</v>
      </c>
      <c r="F30">
        <v>0.03</v>
      </c>
      <c r="G30">
        <v>0.1</v>
      </c>
      <c r="H30">
        <v>0.25900000000000001</v>
      </c>
      <c r="I30">
        <v>0.58399999999999996</v>
      </c>
      <c r="J30">
        <v>0.66300000000000003</v>
      </c>
    </row>
    <row r="31" spans="1:10" x14ac:dyDescent="0.3">
      <c r="A31" t="s">
        <v>281</v>
      </c>
      <c r="B31">
        <v>0.18</v>
      </c>
      <c r="C31">
        <v>0.20699999999999999</v>
      </c>
      <c r="D31">
        <v>2E-3</v>
      </c>
      <c r="E31">
        <v>3.0000000000000001E-3</v>
      </c>
      <c r="F31">
        <v>2.4E-2</v>
      </c>
      <c r="G31">
        <v>0.09</v>
      </c>
      <c r="H31">
        <v>0.27600000000000002</v>
      </c>
      <c r="I31">
        <v>0.64100000000000001</v>
      </c>
      <c r="J31">
        <v>0.71199999999999997</v>
      </c>
    </row>
    <row r="32" spans="1:10" x14ac:dyDescent="0.3">
      <c r="A32" t="s">
        <v>280</v>
      </c>
      <c r="B32">
        <v>0.161</v>
      </c>
      <c r="C32">
        <v>0.16700000000000001</v>
      </c>
      <c r="D32">
        <v>1E-3</v>
      </c>
      <c r="E32">
        <v>3.0000000000000001E-3</v>
      </c>
      <c r="F32">
        <v>2.9000000000000001E-2</v>
      </c>
      <c r="G32">
        <v>9.7000000000000003E-2</v>
      </c>
      <c r="H32">
        <v>0.25</v>
      </c>
      <c r="I32">
        <v>0.51400000000000001</v>
      </c>
      <c r="J32">
        <v>0.58599999999999997</v>
      </c>
    </row>
    <row r="33" spans="1:10" x14ac:dyDescent="0.3">
      <c r="A33" t="s">
        <v>279</v>
      </c>
      <c r="B33">
        <v>6.4000000000000001E-2</v>
      </c>
      <c r="C33">
        <v>4.8000000000000001E-2</v>
      </c>
      <c r="D33">
        <v>4.0000000000000001E-3</v>
      </c>
      <c r="E33">
        <v>7.0000000000000001E-3</v>
      </c>
      <c r="F33">
        <v>2.7E-2</v>
      </c>
      <c r="G33">
        <v>5.5E-2</v>
      </c>
      <c r="H33">
        <v>8.8999999999999996E-2</v>
      </c>
      <c r="I33">
        <v>0.155</v>
      </c>
      <c r="J33">
        <v>0.18</v>
      </c>
    </row>
    <row r="34" spans="1:10" x14ac:dyDescent="0.3">
      <c r="A34" t="s">
        <v>278</v>
      </c>
      <c r="B34">
        <v>4.5999999999999999E-2</v>
      </c>
      <c r="C34">
        <v>5.6000000000000001E-2</v>
      </c>
      <c r="D34">
        <v>1E-3</v>
      </c>
      <c r="E34">
        <v>2E-3</v>
      </c>
      <c r="F34">
        <v>0.01</v>
      </c>
      <c r="G34">
        <v>2.8000000000000001E-2</v>
      </c>
      <c r="H34">
        <v>6.0999999999999999E-2</v>
      </c>
      <c r="I34">
        <v>0.153</v>
      </c>
      <c r="J34">
        <v>0.20200000000000001</v>
      </c>
    </row>
    <row r="35" spans="1:10" x14ac:dyDescent="0.3">
      <c r="A35" t="s">
        <v>277</v>
      </c>
      <c r="B35">
        <v>0.05</v>
      </c>
      <c r="C35">
        <v>5.8999999999999997E-2</v>
      </c>
      <c r="D35">
        <v>1E-3</v>
      </c>
      <c r="E35">
        <v>2E-3</v>
      </c>
      <c r="F35">
        <v>1.2E-2</v>
      </c>
      <c r="G35">
        <v>0.03</v>
      </c>
      <c r="H35">
        <v>6.6000000000000003E-2</v>
      </c>
      <c r="I35">
        <v>0.16400000000000001</v>
      </c>
      <c r="J35">
        <v>0.20699999999999999</v>
      </c>
    </row>
    <row r="36" spans="1:10" x14ac:dyDescent="0.3">
      <c r="A36" t="s">
        <v>276</v>
      </c>
      <c r="B36">
        <v>5.6000000000000001E-2</v>
      </c>
      <c r="C36">
        <v>6.6000000000000003E-2</v>
      </c>
      <c r="D36">
        <v>1E-3</v>
      </c>
      <c r="E36">
        <v>2E-3</v>
      </c>
      <c r="F36">
        <v>1.2999999999999999E-2</v>
      </c>
      <c r="G36">
        <v>3.4000000000000002E-2</v>
      </c>
      <c r="H36">
        <v>7.4999999999999997E-2</v>
      </c>
      <c r="I36">
        <v>0.183</v>
      </c>
      <c r="J36">
        <v>0.23100000000000001</v>
      </c>
    </row>
    <row r="37" spans="1:10" x14ac:dyDescent="0.3">
      <c r="A37" t="s">
        <v>275</v>
      </c>
      <c r="B37">
        <v>5.0999999999999997E-2</v>
      </c>
      <c r="C37">
        <v>6.4000000000000001E-2</v>
      </c>
      <c r="D37">
        <v>1E-3</v>
      </c>
      <c r="E37">
        <v>2E-3</v>
      </c>
      <c r="F37">
        <v>1.0999999999999999E-2</v>
      </c>
      <c r="G37">
        <v>0.03</v>
      </c>
      <c r="H37">
        <v>6.4000000000000001E-2</v>
      </c>
      <c r="I37">
        <v>0.17599999999999999</v>
      </c>
      <c r="J37">
        <v>0.214</v>
      </c>
    </row>
    <row r="38" spans="1:10" x14ac:dyDescent="0.3">
      <c r="A38" t="s">
        <v>274</v>
      </c>
      <c r="B38">
        <v>9.4E-2</v>
      </c>
      <c r="C38">
        <v>0.109</v>
      </c>
      <c r="D38">
        <v>2E-3</v>
      </c>
      <c r="E38">
        <v>3.0000000000000001E-3</v>
      </c>
      <c r="F38">
        <v>1.7999999999999999E-2</v>
      </c>
      <c r="G38">
        <v>5.1999999999999998E-2</v>
      </c>
      <c r="H38">
        <v>0.13300000000000001</v>
      </c>
      <c r="I38">
        <v>0.32500000000000001</v>
      </c>
      <c r="J38">
        <v>0.40300000000000002</v>
      </c>
    </row>
    <row r="39" spans="1:10" x14ac:dyDescent="0.3">
      <c r="A39" t="s">
        <v>273</v>
      </c>
      <c r="B39">
        <v>8.8999999999999996E-2</v>
      </c>
      <c r="C39">
        <v>0.104</v>
      </c>
      <c r="D39">
        <v>2E-3</v>
      </c>
      <c r="E39">
        <v>3.0000000000000001E-3</v>
      </c>
      <c r="F39">
        <v>1.7999999999999999E-2</v>
      </c>
      <c r="G39">
        <v>4.8000000000000001E-2</v>
      </c>
      <c r="H39">
        <v>0.126</v>
      </c>
      <c r="I39">
        <v>0.308</v>
      </c>
      <c r="J39">
        <v>0.374</v>
      </c>
    </row>
    <row r="40" spans="1:10" x14ac:dyDescent="0.3">
      <c r="A40" t="s">
        <v>272</v>
      </c>
      <c r="B40">
        <v>0.14699999999999999</v>
      </c>
      <c r="C40">
        <v>0.16500000000000001</v>
      </c>
      <c r="D40">
        <v>1E-3</v>
      </c>
      <c r="E40">
        <v>3.0000000000000001E-3</v>
      </c>
      <c r="F40">
        <v>1.9E-2</v>
      </c>
      <c r="G40">
        <v>7.6999999999999999E-2</v>
      </c>
      <c r="H40">
        <v>0.23200000000000001</v>
      </c>
      <c r="I40">
        <v>0.49</v>
      </c>
      <c r="J40">
        <v>0.56100000000000005</v>
      </c>
    </row>
    <row r="41" spans="1:10" x14ac:dyDescent="0.3">
      <c r="A41" t="s">
        <v>271</v>
      </c>
      <c r="B41">
        <v>7.2999999999999995E-2</v>
      </c>
      <c r="C41">
        <v>9.0999999999999998E-2</v>
      </c>
      <c r="D41">
        <v>1E-3</v>
      </c>
      <c r="E41">
        <v>2E-3</v>
      </c>
      <c r="F41">
        <v>1.2999999999999999E-2</v>
      </c>
      <c r="G41">
        <v>3.9E-2</v>
      </c>
      <c r="H41">
        <v>9.7000000000000003E-2</v>
      </c>
      <c r="I41">
        <v>0.26400000000000001</v>
      </c>
      <c r="J41">
        <v>0.317</v>
      </c>
    </row>
    <row r="42" spans="1:10" x14ac:dyDescent="0.3">
      <c r="A42" t="s">
        <v>270</v>
      </c>
      <c r="B42">
        <v>6.2E-2</v>
      </c>
      <c r="C42">
        <v>7.1999999999999995E-2</v>
      </c>
      <c r="D42">
        <v>1E-3</v>
      </c>
      <c r="E42">
        <v>3.0000000000000001E-3</v>
      </c>
      <c r="F42">
        <v>1.4E-2</v>
      </c>
      <c r="G42">
        <v>3.6999999999999998E-2</v>
      </c>
      <c r="H42">
        <v>8.3000000000000004E-2</v>
      </c>
      <c r="I42">
        <v>0.21299999999999999</v>
      </c>
      <c r="J42">
        <v>0.26400000000000001</v>
      </c>
    </row>
    <row r="43" spans="1:10" x14ac:dyDescent="0.3">
      <c r="A43" t="s">
        <v>269</v>
      </c>
      <c r="B43">
        <v>6.3E-2</v>
      </c>
      <c r="C43">
        <v>7.1999999999999995E-2</v>
      </c>
      <c r="D43">
        <v>1E-3</v>
      </c>
      <c r="E43">
        <v>2E-3</v>
      </c>
      <c r="F43">
        <v>1.2999999999999999E-2</v>
      </c>
      <c r="G43">
        <v>3.7999999999999999E-2</v>
      </c>
      <c r="H43">
        <v>8.6999999999999994E-2</v>
      </c>
      <c r="I43">
        <v>0.21099999999999999</v>
      </c>
      <c r="J43">
        <v>0.26900000000000002</v>
      </c>
    </row>
    <row r="44" spans="1:10" x14ac:dyDescent="0.3">
      <c r="A44" t="s">
        <v>268</v>
      </c>
      <c r="B44">
        <v>6.3E-2</v>
      </c>
      <c r="C44">
        <v>7.2999999999999995E-2</v>
      </c>
      <c r="D44">
        <v>1E-3</v>
      </c>
      <c r="E44">
        <v>3.0000000000000001E-3</v>
      </c>
      <c r="F44">
        <v>1.2999999999999999E-2</v>
      </c>
      <c r="G44">
        <v>3.6999999999999998E-2</v>
      </c>
      <c r="H44">
        <v>8.6999999999999994E-2</v>
      </c>
      <c r="I44">
        <v>0.217</v>
      </c>
      <c r="J44">
        <v>0.27600000000000002</v>
      </c>
    </row>
    <row r="45" spans="1:10" x14ac:dyDescent="0.3">
      <c r="A45" t="s">
        <v>267</v>
      </c>
      <c r="B45">
        <v>8.8999999999999996E-2</v>
      </c>
      <c r="C45">
        <v>0.10199999999999999</v>
      </c>
      <c r="D45">
        <v>2E-3</v>
      </c>
      <c r="E45">
        <v>3.0000000000000001E-3</v>
      </c>
      <c r="F45">
        <v>1.7999999999999999E-2</v>
      </c>
      <c r="G45">
        <v>5.1999999999999998E-2</v>
      </c>
      <c r="H45">
        <v>0.125</v>
      </c>
      <c r="I45">
        <v>0.30399999999999999</v>
      </c>
      <c r="J45">
        <v>0.373</v>
      </c>
    </row>
    <row r="46" spans="1:10" x14ac:dyDescent="0.3">
      <c r="A46" t="s">
        <v>266</v>
      </c>
      <c r="B46">
        <v>7.8E-2</v>
      </c>
      <c r="C46">
        <v>9.0999999999999998E-2</v>
      </c>
      <c r="D46">
        <v>2E-3</v>
      </c>
      <c r="E46">
        <v>3.0000000000000001E-3</v>
      </c>
      <c r="F46">
        <v>1.6E-2</v>
      </c>
      <c r="G46">
        <v>4.5999999999999999E-2</v>
      </c>
      <c r="H46">
        <v>0.105</v>
      </c>
      <c r="I46">
        <v>0.25900000000000001</v>
      </c>
      <c r="J46">
        <v>0.33100000000000002</v>
      </c>
    </row>
    <row r="47" spans="1:10" x14ac:dyDescent="0.3">
      <c r="A47" t="s">
        <v>265</v>
      </c>
      <c r="B47">
        <v>9.6000000000000002E-2</v>
      </c>
      <c r="C47">
        <v>0.11</v>
      </c>
      <c r="D47">
        <v>2E-3</v>
      </c>
      <c r="E47">
        <v>3.0000000000000001E-3</v>
      </c>
      <c r="F47">
        <v>1.7000000000000001E-2</v>
      </c>
      <c r="G47">
        <v>5.3999999999999999E-2</v>
      </c>
      <c r="H47">
        <v>0.13600000000000001</v>
      </c>
      <c r="I47">
        <v>0.33</v>
      </c>
      <c r="J47">
        <v>0.39</v>
      </c>
    </row>
    <row r="48" spans="1:10" x14ac:dyDescent="0.3">
      <c r="A48" t="s">
        <v>264</v>
      </c>
      <c r="B48">
        <v>7.4999999999999997E-2</v>
      </c>
      <c r="C48">
        <v>8.5999999999999993E-2</v>
      </c>
      <c r="D48">
        <v>1E-3</v>
      </c>
      <c r="E48">
        <v>3.0000000000000001E-3</v>
      </c>
      <c r="F48">
        <v>1.6E-2</v>
      </c>
      <c r="G48">
        <v>4.2999999999999997E-2</v>
      </c>
      <c r="H48">
        <v>0.10199999999999999</v>
      </c>
      <c r="I48">
        <v>0.247</v>
      </c>
      <c r="J48">
        <v>0.314</v>
      </c>
    </row>
    <row r="49" spans="1:10" x14ac:dyDescent="0.3">
      <c r="A49" t="s">
        <v>263</v>
      </c>
      <c r="B49">
        <v>9.2999999999999999E-2</v>
      </c>
      <c r="C49">
        <v>0.106</v>
      </c>
      <c r="D49">
        <v>1E-3</v>
      </c>
      <c r="E49">
        <v>3.0000000000000001E-3</v>
      </c>
      <c r="F49">
        <v>1.7999999999999999E-2</v>
      </c>
      <c r="G49">
        <v>5.2999999999999999E-2</v>
      </c>
      <c r="H49">
        <v>0.13100000000000001</v>
      </c>
      <c r="I49">
        <v>0.315</v>
      </c>
      <c r="J49">
        <v>0.39400000000000002</v>
      </c>
    </row>
    <row r="50" spans="1:10" x14ac:dyDescent="0.3">
      <c r="A50" t="s">
        <v>262</v>
      </c>
      <c r="B50">
        <v>9.4E-2</v>
      </c>
      <c r="C50">
        <v>0.106</v>
      </c>
      <c r="D50">
        <v>1E-3</v>
      </c>
      <c r="E50">
        <v>3.0000000000000001E-3</v>
      </c>
      <c r="F50">
        <v>1.7000000000000001E-2</v>
      </c>
      <c r="G50">
        <v>5.3999999999999999E-2</v>
      </c>
      <c r="H50">
        <v>0.13500000000000001</v>
      </c>
      <c r="I50">
        <v>0.311</v>
      </c>
      <c r="J50">
        <v>0.376</v>
      </c>
    </row>
    <row r="51" spans="1:10" x14ac:dyDescent="0.3">
      <c r="A51" t="s">
        <v>261</v>
      </c>
      <c r="B51">
        <v>0.111</v>
      </c>
      <c r="C51">
        <v>0.125</v>
      </c>
      <c r="D51">
        <v>2E-3</v>
      </c>
      <c r="E51">
        <v>3.0000000000000001E-3</v>
      </c>
      <c r="F51">
        <v>0.02</v>
      </c>
      <c r="G51">
        <v>0.06</v>
      </c>
      <c r="H51">
        <v>0.16500000000000001</v>
      </c>
      <c r="I51">
        <v>0.36699999999999999</v>
      </c>
      <c r="J51">
        <v>0.42699999999999999</v>
      </c>
    </row>
    <row r="52" spans="1:10" x14ac:dyDescent="0.3">
      <c r="A52" t="s">
        <v>260</v>
      </c>
      <c r="B52">
        <v>0.11</v>
      </c>
      <c r="C52">
        <v>0.123</v>
      </c>
      <c r="D52">
        <v>2E-3</v>
      </c>
      <c r="E52">
        <v>3.0000000000000001E-3</v>
      </c>
      <c r="F52">
        <v>1.9E-2</v>
      </c>
      <c r="G52">
        <v>0.06</v>
      </c>
      <c r="H52">
        <v>0.16400000000000001</v>
      </c>
      <c r="I52">
        <v>0.36299999999999999</v>
      </c>
      <c r="J52">
        <v>0.42799999999999999</v>
      </c>
    </row>
    <row r="53" spans="1:10" x14ac:dyDescent="0.3">
      <c r="A53" t="s">
        <v>259</v>
      </c>
      <c r="B53">
        <v>4.7E-2</v>
      </c>
      <c r="C53">
        <v>0.06</v>
      </c>
      <c r="D53">
        <v>1E-3</v>
      </c>
      <c r="E53">
        <v>2E-3</v>
      </c>
      <c r="F53">
        <v>1.0999999999999999E-2</v>
      </c>
      <c r="G53">
        <v>2.8000000000000001E-2</v>
      </c>
      <c r="H53">
        <v>6.0999999999999999E-2</v>
      </c>
      <c r="I53">
        <v>0.158</v>
      </c>
      <c r="J53">
        <v>0.20799999999999999</v>
      </c>
    </row>
    <row r="54" spans="1:10" x14ac:dyDescent="0.3">
      <c r="A54" t="s">
        <v>258</v>
      </c>
      <c r="B54">
        <v>6.2E-2</v>
      </c>
      <c r="C54">
        <v>7.2999999999999995E-2</v>
      </c>
      <c r="D54">
        <v>1E-3</v>
      </c>
      <c r="E54">
        <v>3.0000000000000001E-3</v>
      </c>
      <c r="F54">
        <v>1.4E-2</v>
      </c>
      <c r="G54">
        <v>3.5999999999999997E-2</v>
      </c>
      <c r="H54">
        <v>8.3000000000000004E-2</v>
      </c>
      <c r="I54">
        <v>0.20399999999999999</v>
      </c>
      <c r="J54">
        <v>0.26</v>
      </c>
    </row>
    <row r="55" spans="1:10" x14ac:dyDescent="0.3">
      <c r="A55" t="s">
        <v>257</v>
      </c>
      <c r="B55">
        <v>5.2999999999999999E-2</v>
      </c>
      <c r="C55">
        <v>6.3E-2</v>
      </c>
      <c r="D55">
        <v>1E-3</v>
      </c>
      <c r="E55">
        <v>2E-3</v>
      </c>
      <c r="F55">
        <v>1.0999999999999999E-2</v>
      </c>
      <c r="G55">
        <v>3.1E-2</v>
      </c>
      <c r="H55">
        <v>7.1999999999999995E-2</v>
      </c>
      <c r="I55">
        <v>0.17699999999999999</v>
      </c>
      <c r="J55">
        <v>0.22</v>
      </c>
    </row>
    <row r="56" spans="1:10" x14ac:dyDescent="0.3">
      <c r="A56" t="s">
        <v>256</v>
      </c>
      <c r="B56">
        <v>7.2999999999999995E-2</v>
      </c>
      <c r="C56">
        <v>8.7999999999999995E-2</v>
      </c>
      <c r="D56">
        <v>1E-3</v>
      </c>
      <c r="E56">
        <v>3.0000000000000001E-3</v>
      </c>
      <c r="F56">
        <v>1.4E-2</v>
      </c>
      <c r="G56">
        <v>4.1000000000000002E-2</v>
      </c>
      <c r="H56">
        <v>9.8000000000000004E-2</v>
      </c>
      <c r="I56">
        <v>0.248</v>
      </c>
      <c r="J56">
        <v>0.32300000000000001</v>
      </c>
    </row>
    <row r="57" spans="1:10" x14ac:dyDescent="0.3">
      <c r="A57" t="s">
        <v>255</v>
      </c>
      <c r="B57">
        <v>8.0000000000000002E-3</v>
      </c>
      <c r="C57">
        <v>1.2999999999999999E-2</v>
      </c>
      <c r="D57">
        <v>0</v>
      </c>
      <c r="E57">
        <v>0</v>
      </c>
      <c r="F57">
        <v>2E-3</v>
      </c>
      <c r="G57">
        <v>4.0000000000000001E-3</v>
      </c>
      <c r="H57">
        <v>8.9999999999999993E-3</v>
      </c>
      <c r="I57">
        <v>2.5000000000000001E-2</v>
      </c>
      <c r="J57">
        <v>3.6999999999999998E-2</v>
      </c>
    </row>
    <row r="58" spans="1:10" x14ac:dyDescent="0.3">
      <c r="A58" t="s">
        <v>254</v>
      </c>
      <c r="B58">
        <v>8.0000000000000002E-3</v>
      </c>
      <c r="C58">
        <v>1.9E-2</v>
      </c>
      <c r="D58">
        <v>0</v>
      </c>
      <c r="E58">
        <v>0</v>
      </c>
      <c r="F58">
        <v>1E-3</v>
      </c>
      <c r="G58">
        <v>3.0000000000000001E-3</v>
      </c>
      <c r="H58">
        <v>8.0000000000000002E-3</v>
      </c>
      <c r="I58">
        <v>0.03</v>
      </c>
      <c r="J58">
        <v>4.3999999999999997E-2</v>
      </c>
    </row>
    <row r="59" spans="1:10" x14ac:dyDescent="0.3">
      <c r="A59" t="s">
        <v>253</v>
      </c>
      <c r="B59">
        <v>8.9999999999999993E-3</v>
      </c>
      <c r="C59">
        <v>2.3E-2</v>
      </c>
      <c r="D59">
        <v>0</v>
      </c>
      <c r="E59">
        <v>0</v>
      </c>
      <c r="F59">
        <v>1E-3</v>
      </c>
      <c r="G59">
        <v>3.0000000000000001E-3</v>
      </c>
      <c r="H59">
        <v>8.9999999999999993E-3</v>
      </c>
      <c r="I59">
        <v>3.7999999999999999E-2</v>
      </c>
      <c r="J59">
        <v>5.8999999999999997E-2</v>
      </c>
    </row>
    <row r="60" spans="1:10" x14ac:dyDescent="0.3">
      <c r="A60" t="s">
        <v>252</v>
      </c>
      <c r="B60">
        <v>8.9999999999999993E-3</v>
      </c>
      <c r="C60">
        <v>2.1999999999999999E-2</v>
      </c>
      <c r="D60">
        <v>0</v>
      </c>
      <c r="E60">
        <v>0</v>
      </c>
      <c r="F60">
        <v>1E-3</v>
      </c>
      <c r="G60">
        <v>3.0000000000000001E-3</v>
      </c>
      <c r="H60">
        <v>8.9999999999999993E-3</v>
      </c>
      <c r="I60">
        <v>3.5000000000000003E-2</v>
      </c>
      <c r="J60">
        <v>5.8000000000000003E-2</v>
      </c>
    </row>
    <row r="61" spans="1:10" x14ac:dyDescent="0.3">
      <c r="A61" t="s">
        <v>251</v>
      </c>
      <c r="B61">
        <v>0.01</v>
      </c>
      <c r="C61">
        <v>2.3E-2</v>
      </c>
      <c r="D61">
        <v>0</v>
      </c>
      <c r="E61">
        <v>0</v>
      </c>
      <c r="F61">
        <v>1E-3</v>
      </c>
      <c r="G61">
        <v>3.0000000000000001E-3</v>
      </c>
      <c r="H61">
        <v>8.9999999999999993E-3</v>
      </c>
      <c r="I61">
        <v>4.2000000000000003E-2</v>
      </c>
      <c r="J61">
        <v>5.8000000000000003E-2</v>
      </c>
    </row>
    <row r="62" spans="1:10" x14ac:dyDescent="0.3">
      <c r="A62" t="s">
        <v>250</v>
      </c>
      <c r="B62">
        <v>0.01</v>
      </c>
      <c r="C62">
        <v>0.02</v>
      </c>
      <c r="D62">
        <v>0</v>
      </c>
      <c r="E62">
        <v>0</v>
      </c>
      <c r="F62">
        <v>1E-3</v>
      </c>
      <c r="G62">
        <v>3.0000000000000001E-3</v>
      </c>
      <c r="H62">
        <v>0.01</v>
      </c>
      <c r="I62">
        <v>4.2000000000000003E-2</v>
      </c>
      <c r="J62">
        <v>6.4000000000000001E-2</v>
      </c>
    </row>
    <row r="63" spans="1:10" x14ac:dyDescent="0.3">
      <c r="A63" t="s">
        <v>249</v>
      </c>
      <c r="B63">
        <v>0.01</v>
      </c>
      <c r="C63">
        <v>2.1999999999999999E-2</v>
      </c>
      <c r="D63">
        <v>0</v>
      </c>
      <c r="E63">
        <v>0</v>
      </c>
      <c r="F63">
        <v>1E-3</v>
      </c>
      <c r="G63">
        <v>3.0000000000000001E-3</v>
      </c>
      <c r="H63">
        <v>0.01</v>
      </c>
      <c r="I63">
        <v>3.7999999999999999E-2</v>
      </c>
      <c r="J63">
        <v>5.8999999999999997E-2</v>
      </c>
    </row>
    <row r="64" spans="1:10" x14ac:dyDescent="0.3">
      <c r="A64" t="s">
        <v>248</v>
      </c>
      <c r="B64">
        <v>1.0999999999999999E-2</v>
      </c>
      <c r="C64">
        <v>2.1000000000000001E-2</v>
      </c>
      <c r="D64">
        <v>0</v>
      </c>
      <c r="E64">
        <v>0</v>
      </c>
      <c r="F64">
        <v>1E-3</v>
      </c>
      <c r="G64">
        <v>4.0000000000000001E-3</v>
      </c>
      <c r="H64">
        <v>1.0999999999999999E-2</v>
      </c>
      <c r="I64">
        <v>4.5999999999999999E-2</v>
      </c>
      <c r="J64">
        <v>6.9000000000000006E-2</v>
      </c>
    </row>
    <row r="65" spans="1:10" x14ac:dyDescent="0.3">
      <c r="A65" t="s">
        <v>247</v>
      </c>
      <c r="B65">
        <v>8.9999999999999993E-3</v>
      </c>
      <c r="C65">
        <v>2.1999999999999999E-2</v>
      </c>
      <c r="D65">
        <v>0</v>
      </c>
      <c r="E65">
        <v>0</v>
      </c>
      <c r="F65">
        <v>1E-3</v>
      </c>
      <c r="G65">
        <v>3.0000000000000001E-3</v>
      </c>
      <c r="H65">
        <v>8.9999999999999993E-3</v>
      </c>
      <c r="I65">
        <v>3.5000000000000003E-2</v>
      </c>
      <c r="J65">
        <v>5.6000000000000001E-2</v>
      </c>
    </row>
    <row r="66" spans="1:10" x14ac:dyDescent="0.3">
      <c r="A66" t="s">
        <v>246</v>
      </c>
      <c r="B66">
        <v>0.01</v>
      </c>
      <c r="C66">
        <v>2.1000000000000001E-2</v>
      </c>
      <c r="D66">
        <v>0</v>
      </c>
      <c r="E66">
        <v>0</v>
      </c>
      <c r="F66">
        <v>1E-3</v>
      </c>
      <c r="G66">
        <v>3.0000000000000001E-3</v>
      </c>
      <c r="H66">
        <v>0.01</v>
      </c>
      <c r="I66">
        <v>3.6999999999999998E-2</v>
      </c>
      <c r="J66">
        <v>5.7000000000000002E-2</v>
      </c>
    </row>
    <row r="67" spans="1:10" x14ac:dyDescent="0.3">
      <c r="A67" t="s">
        <v>245</v>
      </c>
      <c r="B67">
        <v>0.01</v>
      </c>
      <c r="C67">
        <v>2.5999999999999999E-2</v>
      </c>
      <c r="D67">
        <v>0</v>
      </c>
      <c r="E67">
        <v>0</v>
      </c>
      <c r="F67">
        <v>1E-3</v>
      </c>
      <c r="G67">
        <v>3.0000000000000001E-3</v>
      </c>
      <c r="H67">
        <v>0.01</v>
      </c>
      <c r="I67">
        <v>4.2999999999999997E-2</v>
      </c>
      <c r="J67">
        <v>6.5000000000000002E-2</v>
      </c>
    </row>
    <row r="68" spans="1:10" x14ac:dyDescent="0.3">
      <c r="A68" t="s">
        <v>244</v>
      </c>
      <c r="B68">
        <v>0.01</v>
      </c>
      <c r="C68">
        <v>2.3E-2</v>
      </c>
      <c r="D68">
        <v>0</v>
      </c>
      <c r="E68">
        <v>0</v>
      </c>
      <c r="F68">
        <v>1E-3</v>
      </c>
      <c r="G68">
        <v>3.0000000000000001E-3</v>
      </c>
      <c r="H68">
        <v>8.9999999999999993E-3</v>
      </c>
      <c r="I68">
        <v>3.6999999999999998E-2</v>
      </c>
      <c r="J68">
        <v>0.06</v>
      </c>
    </row>
    <row r="69" spans="1:10" x14ac:dyDescent="0.3">
      <c r="A69" t="s">
        <v>243</v>
      </c>
      <c r="B69">
        <v>0.01</v>
      </c>
      <c r="C69">
        <v>2.1999999999999999E-2</v>
      </c>
      <c r="D69">
        <v>0</v>
      </c>
      <c r="E69">
        <v>0</v>
      </c>
      <c r="F69">
        <v>1E-3</v>
      </c>
      <c r="G69">
        <v>3.0000000000000001E-3</v>
      </c>
      <c r="H69">
        <v>0.01</v>
      </c>
      <c r="I69">
        <v>3.9E-2</v>
      </c>
      <c r="J69">
        <v>6.0999999999999999E-2</v>
      </c>
    </row>
    <row r="70" spans="1:10" x14ac:dyDescent="0.3">
      <c r="A70" t="s">
        <v>242</v>
      </c>
      <c r="B70">
        <v>0.01</v>
      </c>
      <c r="C70">
        <v>2.5000000000000001E-2</v>
      </c>
      <c r="D70">
        <v>0</v>
      </c>
      <c r="E70">
        <v>0</v>
      </c>
      <c r="F70">
        <v>1E-3</v>
      </c>
      <c r="G70">
        <v>3.0000000000000001E-3</v>
      </c>
      <c r="H70">
        <v>0.01</v>
      </c>
      <c r="I70">
        <v>4.1000000000000002E-2</v>
      </c>
      <c r="J70">
        <v>6.4000000000000001E-2</v>
      </c>
    </row>
    <row r="71" spans="1:10" x14ac:dyDescent="0.3">
      <c r="A71" t="s">
        <v>241</v>
      </c>
      <c r="B71">
        <v>1.0999999999999999E-2</v>
      </c>
      <c r="C71">
        <v>2.1999999999999999E-2</v>
      </c>
      <c r="D71">
        <v>0</v>
      </c>
      <c r="E71">
        <v>0</v>
      </c>
      <c r="F71">
        <v>1E-3</v>
      </c>
      <c r="G71">
        <v>4.0000000000000001E-3</v>
      </c>
      <c r="H71">
        <v>1.0999999999999999E-2</v>
      </c>
      <c r="I71">
        <v>4.4999999999999998E-2</v>
      </c>
      <c r="J71">
        <v>6.6000000000000003E-2</v>
      </c>
    </row>
    <row r="72" spans="1:10" x14ac:dyDescent="0.3">
      <c r="A72" t="s">
        <v>240</v>
      </c>
      <c r="B72">
        <v>0.01</v>
      </c>
      <c r="C72">
        <v>2.1000000000000001E-2</v>
      </c>
      <c r="D72">
        <v>0</v>
      </c>
      <c r="E72">
        <v>0</v>
      </c>
      <c r="F72">
        <v>1E-3</v>
      </c>
      <c r="G72">
        <v>3.0000000000000001E-3</v>
      </c>
      <c r="H72">
        <v>0.01</v>
      </c>
      <c r="I72">
        <v>4.1000000000000002E-2</v>
      </c>
      <c r="J72">
        <v>6.2E-2</v>
      </c>
    </row>
    <row r="73" spans="1:10" x14ac:dyDescent="0.3">
      <c r="A73" t="s">
        <v>239</v>
      </c>
      <c r="B73">
        <v>0.01</v>
      </c>
      <c r="C73">
        <v>1.7999999999999999E-2</v>
      </c>
      <c r="D73">
        <v>0</v>
      </c>
      <c r="E73">
        <v>0</v>
      </c>
      <c r="F73">
        <v>1E-3</v>
      </c>
      <c r="G73">
        <v>3.0000000000000001E-3</v>
      </c>
      <c r="H73">
        <v>1.0999999999999999E-2</v>
      </c>
      <c r="I73">
        <v>4.2000000000000003E-2</v>
      </c>
      <c r="J73">
        <v>6.2E-2</v>
      </c>
    </row>
    <row r="74" spans="1:10" x14ac:dyDescent="0.3">
      <c r="A74" t="s">
        <v>238</v>
      </c>
      <c r="B74">
        <v>0.01</v>
      </c>
      <c r="C74">
        <v>0.02</v>
      </c>
      <c r="D74">
        <v>0</v>
      </c>
      <c r="E74">
        <v>0</v>
      </c>
      <c r="F74">
        <v>1E-3</v>
      </c>
      <c r="G74">
        <v>4.0000000000000001E-3</v>
      </c>
      <c r="H74">
        <v>1.0999999999999999E-2</v>
      </c>
      <c r="I74">
        <v>4.2999999999999997E-2</v>
      </c>
      <c r="J74">
        <v>6.4000000000000001E-2</v>
      </c>
    </row>
    <row r="75" spans="1:10" x14ac:dyDescent="0.3">
      <c r="A75" t="s">
        <v>237</v>
      </c>
      <c r="B75">
        <v>8.9999999999999993E-3</v>
      </c>
      <c r="C75">
        <v>1.7999999999999999E-2</v>
      </c>
      <c r="D75">
        <v>0</v>
      </c>
      <c r="E75">
        <v>0</v>
      </c>
      <c r="F75">
        <v>1E-3</v>
      </c>
      <c r="G75">
        <v>4.0000000000000001E-3</v>
      </c>
      <c r="H75">
        <v>0.01</v>
      </c>
      <c r="I75">
        <v>3.9E-2</v>
      </c>
      <c r="J75">
        <v>5.8999999999999997E-2</v>
      </c>
    </row>
    <row r="76" spans="1:10" x14ac:dyDescent="0.3">
      <c r="A76" t="s">
        <v>236</v>
      </c>
      <c r="B76">
        <v>1.0999999999999999E-2</v>
      </c>
      <c r="C76">
        <v>2.1000000000000001E-2</v>
      </c>
      <c r="D76">
        <v>0</v>
      </c>
      <c r="E76">
        <v>0</v>
      </c>
      <c r="F76">
        <v>1E-3</v>
      </c>
      <c r="G76">
        <v>4.0000000000000001E-3</v>
      </c>
      <c r="H76">
        <v>1.0999999999999999E-2</v>
      </c>
      <c r="I76">
        <v>4.4999999999999998E-2</v>
      </c>
      <c r="J76">
        <v>6.4000000000000001E-2</v>
      </c>
    </row>
    <row r="77" spans="1:10" x14ac:dyDescent="0.3">
      <c r="A77" t="s">
        <v>235</v>
      </c>
      <c r="B77">
        <v>8.9999999999999993E-3</v>
      </c>
      <c r="C77">
        <v>2.1000000000000001E-2</v>
      </c>
      <c r="D77">
        <v>0</v>
      </c>
      <c r="E77">
        <v>0</v>
      </c>
      <c r="F77">
        <v>1E-3</v>
      </c>
      <c r="G77">
        <v>3.0000000000000001E-3</v>
      </c>
      <c r="H77">
        <v>8.0000000000000002E-3</v>
      </c>
      <c r="I77">
        <v>3.7999999999999999E-2</v>
      </c>
      <c r="J77">
        <v>6.2E-2</v>
      </c>
    </row>
    <row r="78" spans="1:10" x14ac:dyDescent="0.3">
      <c r="A78" t="s">
        <v>234</v>
      </c>
      <c r="B78">
        <v>8.9999999999999993E-3</v>
      </c>
      <c r="C78">
        <v>1.7999999999999999E-2</v>
      </c>
      <c r="D78">
        <v>0</v>
      </c>
      <c r="E78">
        <v>0</v>
      </c>
      <c r="F78">
        <v>1E-3</v>
      </c>
      <c r="G78">
        <v>3.0000000000000001E-3</v>
      </c>
      <c r="H78">
        <v>8.9999999999999993E-3</v>
      </c>
      <c r="I78">
        <v>3.9E-2</v>
      </c>
      <c r="J78">
        <v>5.5E-2</v>
      </c>
    </row>
    <row r="79" spans="1:10" x14ac:dyDescent="0.3">
      <c r="A79" t="s">
        <v>233</v>
      </c>
      <c r="B79">
        <v>8.9999999999999993E-3</v>
      </c>
      <c r="C79">
        <v>2.3E-2</v>
      </c>
      <c r="D79">
        <v>0</v>
      </c>
      <c r="E79">
        <v>0</v>
      </c>
      <c r="F79">
        <v>1E-3</v>
      </c>
      <c r="G79">
        <v>3.0000000000000001E-3</v>
      </c>
      <c r="H79">
        <v>8.0000000000000002E-3</v>
      </c>
      <c r="I79">
        <v>3.4000000000000002E-2</v>
      </c>
      <c r="J79">
        <v>5.1999999999999998E-2</v>
      </c>
    </row>
    <row r="80" spans="1:10" x14ac:dyDescent="0.3">
      <c r="A80" t="s">
        <v>232</v>
      </c>
      <c r="B80">
        <v>0.01</v>
      </c>
      <c r="C80">
        <v>2.3E-2</v>
      </c>
      <c r="D80">
        <v>0</v>
      </c>
      <c r="E80">
        <v>0</v>
      </c>
      <c r="F80">
        <v>1E-3</v>
      </c>
      <c r="G80">
        <v>3.0000000000000001E-3</v>
      </c>
      <c r="H80">
        <v>0.01</v>
      </c>
      <c r="I80">
        <v>4.2000000000000003E-2</v>
      </c>
      <c r="J80">
        <v>6.4000000000000001E-2</v>
      </c>
    </row>
    <row r="81" spans="1:10" x14ac:dyDescent="0.3">
      <c r="A81" t="s">
        <v>231</v>
      </c>
      <c r="B81">
        <v>0.20300000000000001</v>
      </c>
      <c r="C81">
        <v>9.9000000000000005E-2</v>
      </c>
      <c r="D81">
        <v>4.2999999999999997E-2</v>
      </c>
      <c r="E81">
        <v>6.0999999999999999E-2</v>
      </c>
      <c r="F81">
        <v>0.13100000000000001</v>
      </c>
      <c r="G81">
        <v>0.193</v>
      </c>
      <c r="H81">
        <v>0.26100000000000001</v>
      </c>
      <c r="I81">
        <v>0.38300000000000001</v>
      </c>
      <c r="J81">
        <v>0.43</v>
      </c>
    </row>
    <row r="82" spans="1:10" x14ac:dyDescent="0.3">
      <c r="A82" t="s">
        <v>230</v>
      </c>
      <c r="B82">
        <v>0.13700000000000001</v>
      </c>
      <c r="C82">
        <v>0.13400000000000001</v>
      </c>
      <c r="D82">
        <v>8.0000000000000002E-3</v>
      </c>
      <c r="E82">
        <v>1.4E-2</v>
      </c>
      <c r="F82">
        <v>4.5999999999999999E-2</v>
      </c>
      <c r="G82">
        <v>9.7000000000000003E-2</v>
      </c>
      <c r="H82">
        <v>0.17899999999999999</v>
      </c>
      <c r="I82">
        <v>0.40600000000000003</v>
      </c>
      <c r="J82">
        <v>0.51200000000000001</v>
      </c>
    </row>
    <row r="83" spans="1:10" x14ac:dyDescent="0.3">
      <c r="A83" t="s">
        <v>229</v>
      </c>
      <c r="B83">
        <v>0.15</v>
      </c>
      <c r="C83">
        <v>0.14199999999999999</v>
      </c>
      <c r="D83">
        <v>8.0000000000000002E-3</v>
      </c>
      <c r="E83">
        <v>1.2999999999999999E-2</v>
      </c>
      <c r="F83">
        <v>5.1999999999999998E-2</v>
      </c>
      <c r="G83">
        <v>0.106</v>
      </c>
      <c r="H83">
        <v>0.20200000000000001</v>
      </c>
      <c r="I83">
        <v>0.45200000000000001</v>
      </c>
      <c r="J83">
        <v>0.55200000000000005</v>
      </c>
    </row>
    <row r="84" spans="1:10" x14ac:dyDescent="0.3">
      <c r="A84" t="s">
        <v>228</v>
      </c>
      <c r="B84">
        <v>0.16600000000000001</v>
      </c>
      <c r="C84">
        <v>0.152</v>
      </c>
      <c r="D84">
        <v>0.01</v>
      </c>
      <c r="E84">
        <v>1.6E-2</v>
      </c>
      <c r="F84">
        <v>5.8999999999999997E-2</v>
      </c>
      <c r="G84">
        <v>0.122</v>
      </c>
      <c r="H84">
        <v>0.223</v>
      </c>
      <c r="I84">
        <v>0.47499999999999998</v>
      </c>
      <c r="J84">
        <v>0.60599999999999998</v>
      </c>
    </row>
    <row r="85" spans="1:10" x14ac:dyDescent="0.3">
      <c r="A85" t="s">
        <v>227</v>
      </c>
      <c r="B85">
        <v>0.13900000000000001</v>
      </c>
      <c r="C85">
        <v>0.14299999999999999</v>
      </c>
      <c r="D85">
        <v>7.0000000000000001E-3</v>
      </c>
      <c r="E85">
        <v>1.0999999999999999E-2</v>
      </c>
      <c r="F85">
        <v>4.2000000000000003E-2</v>
      </c>
      <c r="G85">
        <v>9.1999999999999998E-2</v>
      </c>
      <c r="H85">
        <v>0.182</v>
      </c>
      <c r="I85">
        <v>0.435</v>
      </c>
      <c r="J85">
        <v>0.57199999999999995</v>
      </c>
    </row>
    <row r="86" spans="1:10" x14ac:dyDescent="0.3">
      <c r="A86" t="s">
        <v>226</v>
      </c>
      <c r="B86">
        <v>0.27800000000000002</v>
      </c>
      <c r="C86">
        <v>0.19600000000000001</v>
      </c>
      <c r="D86">
        <v>1.4E-2</v>
      </c>
      <c r="E86">
        <v>2.3E-2</v>
      </c>
      <c r="F86">
        <v>0.11700000000000001</v>
      </c>
      <c r="G86">
        <v>0.248</v>
      </c>
      <c r="H86">
        <v>0.40200000000000002</v>
      </c>
      <c r="I86">
        <v>0.65300000000000002</v>
      </c>
      <c r="J86">
        <v>0.73799999999999999</v>
      </c>
    </row>
    <row r="87" spans="1:10" x14ac:dyDescent="0.3">
      <c r="A87" t="s">
        <v>225</v>
      </c>
      <c r="B87">
        <v>0.26300000000000001</v>
      </c>
      <c r="C87">
        <v>0.191</v>
      </c>
      <c r="D87">
        <v>1.4E-2</v>
      </c>
      <c r="E87">
        <v>2.4E-2</v>
      </c>
      <c r="F87">
        <v>0.106</v>
      </c>
      <c r="G87">
        <v>0.23100000000000001</v>
      </c>
      <c r="H87">
        <v>0.38100000000000001</v>
      </c>
      <c r="I87">
        <v>0.64500000000000002</v>
      </c>
      <c r="J87">
        <v>0.70099999999999996</v>
      </c>
    </row>
    <row r="88" spans="1:10" x14ac:dyDescent="0.3">
      <c r="A88" t="s">
        <v>224</v>
      </c>
      <c r="B88">
        <v>0.41</v>
      </c>
      <c r="C88">
        <v>0.23200000000000001</v>
      </c>
      <c r="D88">
        <v>1.9E-2</v>
      </c>
      <c r="E88">
        <v>3.5000000000000003E-2</v>
      </c>
      <c r="F88">
        <v>0.22</v>
      </c>
      <c r="G88">
        <v>0.42599999999999999</v>
      </c>
      <c r="H88">
        <v>0.58899999999999997</v>
      </c>
      <c r="I88">
        <v>0.77600000000000002</v>
      </c>
      <c r="J88">
        <v>0.82399999999999995</v>
      </c>
    </row>
    <row r="89" spans="1:10" x14ac:dyDescent="0.3">
      <c r="A89" t="s">
        <v>223</v>
      </c>
      <c r="B89">
        <v>0.214</v>
      </c>
      <c r="C89">
        <v>0.17499999999999999</v>
      </c>
      <c r="D89">
        <v>8.9999999999999993E-3</v>
      </c>
      <c r="E89">
        <v>1.6E-2</v>
      </c>
      <c r="F89">
        <v>7.4999999999999997E-2</v>
      </c>
      <c r="G89">
        <v>0.17399999999999999</v>
      </c>
      <c r="H89">
        <v>0.307</v>
      </c>
      <c r="I89">
        <v>0.56599999999999995</v>
      </c>
      <c r="J89">
        <v>0.65600000000000003</v>
      </c>
    </row>
    <row r="90" spans="1:10" x14ac:dyDescent="0.3">
      <c r="A90" t="s">
        <v>222</v>
      </c>
      <c r="B90">
        <v>0.18099999999999999</v>
      </c>
      <c r="C90">
        <v>0.154</v>
      </c>
      <c r="D90">
        <v>0.01</v>
      </c>
      <c r="E90">
        <v>1.6E-2</v>
      </c>
      <c r="F90">
        <v>6.3E-2</v>
      </c>
      <c r="G90">
        <v>0.14099999999999999</v>
      </c>
      <c r="H90">
        <v>0.254</v>
      </c>
      <c r="I90">
        <v>0.497</v>
      </c>
      <c r="J90">
        <v>0.59299999999999997</v>
      </c>
    </row>
    <row r="91" spans="1:10" x14ac:dyDescent="0.3">
      <c r="A91" t="s">
        <v>221</v>
      </c>
      <c r="B91">
        <v>0.189</v>
      </c>
      <c r="C91">
        <v>0.157</v>
      </c>
      <c r="D91">
        <v>1.0999999999999999E-2</v>
      </c>
      <c r="E91">
        <v>1.7999999999999999E-2</v>
      </c>
      <c r="F91">
        <v>6.9000000000000006E-2</v>
      </c>
      <c r="G91">
        <v>0.14599999999999999</v>
      </c>
      <c r="H91">
        <v>0.26500000000000001</v>
      </c>
      <c r="I91">
        <v>0.495</v>
      </c>
      <c r="J91">
        <v>0.60199999999999998</v>
      </c>
    </row>
    <row r="92" spans="1:10" x14ac:dyDescent="0.3">
      <c r="A92" t="s">
        <v>220</v>
      </c>
      <c r="B92">
        <v>0.182</v>
      </c>
      <c r="C92">
        <v>0.156</v>
      </c>
      <c r="D92">
        <v>0.01</v>
      </c>
      <c r="E92">
        <v>1.6E-2</v>
      </c>
      <c r="F92">
        <v>6.4000000000000001E-2</v>
      </c>
      <c r="G92">
        <v>0.14099999999999999</v>
      </c>
      <c r="H92">
        <v>0.252</v>
      </c>
      <c r="I92">
        <v>0.5</v>
      </c>
      <c r="J92">
        <v>0.59099999999999997</v>
      </c>
    </row>
    <row r="93" spans="1:10" x14ac:dyDescent="0.3">
      <c r="A93" t="s">
        <v>219</v>
      </c>
      <c r="B93">
        <v>0.26</v>
      </c>
      <c r="C93">
        <v>0.187</v>
      </c>
      <c r="D93">
        <v>1.2999999999999999E-2</v>
      </c>
      <c r="E93">
        <v>2.3E-2</v>
      </c>
      <c r="F93">
        <v>0.108</v>
      </c>
      <c r="G93">
        <v>0.22600000000000001</v>
      </c>
      <c r="H93">
        <v>0.38</v>
      </c>
      <c r="I93">
        <v>0.61799999999999999</v>
      </c>
      <c r="J93">
        <v>0.69199999999999995</v>
      </c>
    </row>
    <row r="94" spans="1:10" x14ac:dyDescent="0.3">
      <c r="A94" t="s">
        <v>218</v>
      </c>
      <c r="B94">
        <v>0.23100000000000001</v>
      </c>
      <c r="C94">
        <v>0.17899999999999999</v>
      </c>
      <c r="D94">
        <v>1.0999999999999999E-2</v>
      </c>
      <c r="E94">
        <v>1.9E-2</v>
      </c>
      <c r="F94">
        <v>8.4000000000000005E-2</v>
      </c>
      <c r="G94">
        <v>0.19</v>
      </c>
      <c r="H94">
        <v>0.33200000000000002</v>
      </c>
      <c r="I94">
        <v>0.58299999999999996</v>
      </c>
      <c r="J94">
        <v>0.64900000000000002</v>
      </c>
    </row>
    <row r="95" spans="1:10" x14ac:dyDescent="0.3">
      <c r="A95" t="s">
        <v>217</v>
      </c>
      <c r="B95">
        <v>0.28199999999999997</v>
      </c>
      <c r="C95">
        <v>0.19800000000000001</v>
      </c>
      <c r="D95">
        <v>1.4E-2</v>
      </c>
      <c r="E95">
        <v>2.5000000000000001E-2</v>
      </c>
      <c r="F95">
        <v>0.12</v>
      </c>
      <c r="G95">
        <v>0.254</v>
      </c>
      <c r="H95">
        <v>0.40699999999999997</v>
      </c>
      <c r="I95">
        <v>0.66700000000000004</v>
      </c>
      <c r="J95">
        <v>0.74299999999999999</v>
      </c>
    </row>
    <row r="96" spans="1:10" x14ac:dyDescent="0.3">
      <c r="A96" t="s">
        <v>216</v>
      </c>
      <c r="B96">
        <v>0.21099999999999999</v>
      </c>
      <c r="C96">
        <v>0.17100000000000001</v>
      </c>
      <c r="D96">
        <v>0.01</v>
      </c>
      <c r="E96">
        <v>1.7999999999999999E-2</v>
      </c>
      <c r="F96">
        <v>7.8E-2</v>
      </c>
      <c r="G96">
        <v>0.16900000000000001</v>
      </c>
      <c r="H96">
        <v>0.3</v>
      </c>
      <c r="I96">
        <v>0.53800000000000003</v>
      </c>
      <c r="J96">
        <v>0.65600000000000003</v>
      </c>
    </row>
    <row r="97" spans="1:10" x14ac:dyDescent="0.3">
      <c r="A97" t="s">
        <v>215</v>
      </c>
      <c r="B97">
        <v>0.27400000000000002</v>
      </c>
      <c r="C97">
        <v>0.193</v>
      </c>
      <c r="D97">
        <v>1.2999999999999999E-2</v>
      </c>
      <c r="E97">
        <v>2.4E-2</v>
      </c>
      <c r="F97">
        <v>0.113</v>
      </c>
      <c r="G97">
        <v>0.24299999999999999</v>
      </c>
      <c r="H97">
        <v>0.40300000000000002</v>
      </c>
      <c r="I97">
        <v>0.63600000000000001</v>
      </c>
      <c r="J97">
        <v>0.70699999999999996</v>
      </c>
    </row>
    <row r="98" spans="1:10" x14ac:dyDescent="0.3">
      <c r="A98" t="s">
        <v>214</v>
      </c>
      <c r="B98">
        <v>0.27200000000000002</v>
      </c>
      <c r="C98">
        <v>0.192</v>
      </c>
      <c r="D98">
        <v>1.4E-2</v>
      </c>
      <c r="E98">
        <v>2.5000000000000001E-2</v>
      </c>
      <c r="F98">
        <v>0.115</v>
      </c>
      <c r="G98">
        <v>0.24199999999999999</v>
      </c>
      <c r="H98">
        <v>0.39200000000000002</v>
      </c>
      <c r="I98">
        <v>0.64</v>
      </c>
      <c r="J98">
        <v>0.72099999999999997</v>
      </c>
    </row>
    <row r="99" spans="1:10" x14ac:dyDescent="0.3">
      <c r="A99" t="s">
        <v>213</v>
      </c>
      <c r="B99">
        <v>0.31900000000000001</v>
      </c>
      <c r="C99">
        <v>0.20399999999999999</v>
      </c>
      <c r="D99">
        <v>1.7000000000000001E-2</v>
      </c>
      <c r="E99">
        <v>2.9000000000000001E-2</v>
      </c>
      <c r="F99">
        <v>0.14799999999999999</v>
      </c>
      <c r="G99">
        <v>0.308</v>
      </c>
      <c r="H99">
        <v>0.46300000000000002</v>
      </c>
      <c r="I99">
        <v>0.68700000000000006</v>
      </c>
      <c r="J99">
        <v>0.74099999999999999</v>
      </c>
    </row>
    <row r="100" spans="1:10" x14ac:dyDescent="0.3">
      <c r="A100" t="s">
        <v>212</v>
      </c>
      <c r="B100">
        <v>0.311</v>
      </c>
      <c r="C100">
        <v>0.20399999999999999</v>
      </c>
      <c r="D100">
        <v>1.6E-2</v>
      </c>
      <c r="E100">
        <v>3.2000000000000001E-2</v>
      </c>
      <c r="F100">
        <v>0.14099999999999999</v>
      </c>
      <c r="G100">
        <v>0.28799999999999998</v>
      </c>
      <c r="H100">
        <v>0.45600000000000002</v>
      </c>
      <c r="I100">
        <v>0.67500000000000004</v>
      </c>
      <c r="J100">
        <v>0.749</v>
      </c>
    </row>
    <row r="101" spans="1:10" x14ac:dyDescent="0.3">
      <c r="A101" t="s">
        <v>211</v>
      </c>
      <c r="B101">
        <v>0.13400000000000001</v>
      </c>
      <c r="C101">
        <v>0.13400000000000001</v>
      </c>
      <c r="D101">
        <v>7.0000000000000001E-3</v>
      </c>
      <c r="E101">
        <v>1.0999999999999999E-2</v>
      </c>
      <c r="F101">
        <v>4.2999999999999997E-2</v>
      </c>
      <c r="G101">
        <v>9.1999999999999998E-2</v>
      </c>
      <c r="H101">
        <v>0.17599999999999999</v>
      </c>
      <c r="I101">
        <v>0.41099999999999998</v>
      </c>
      <c r="J101">
        <v>0.52100000000000002</v>
      </c>
    </row>
    <row r="102" spans="1:10" x14ac:dyDescent="0.3">
      <c r="A102" t="s">
        <v>210</v>
      </c>
      <c r="B102">
        <v>0.184</v>
      </c>
      <c r="C102">
        <v>0.16</v>
      </c>
      <c r="D102">
        <v>0.01</v>
      </c>
      <c r="E102">
        <v>1.6E-2</v>
      </c>
      <c r="F102">
        <v>6.5000000000000002E-2</v>
      </c>
      <c r="G102">
        <v>0.13900000000000001</v>
      </c>
      <c r="H102">
        <v>0.25600000000000001</v>
      </c>
      <c r="I102">
        <v>0.51100000000000001</v>
      </c>
      <c r="J102">
        <v>0.624</v>
      </c>
    </row>
    <row r="103" spans="1:10" x14ac:dyDescent="0.3">
      <c r="A103" t="s">
        <v>209</v>
      </c>
      <c r="B103">
        <v>0.14299999999999999</v>
      </c>
      <c r="C103">
        <v>0.13500000000000001</v>
      </c>
      <c r="D103">
        <v>8.9999999999999993E-3</v>
      </c>
      <c r="E103">
        <v>1.4E-2</v>
      </c>
      <c r="F103">
        <v>4.7E-2</v>
      </c>
      <c r="G103">
        <v>0.10299999999999999</v>
      </c>
      <c r="H103">
        <v>0.19600000000000001</v>
      </c>
      <c r="I103">
        <v>0.41799999999999998</v>
      </c>
      <c r="J103">
        <v>0.52</v>
      </c>
    </row>
    <row r="104" spans="1:10" x14ac:dyDescent="0.3">
      <c r="A104" t="s">
        <v>208</v>
      </c>
      <c r="B104">
        <v>0.20899999999999999</v>
      </c>
      <c r="C104">
        <v>0.16600000000000001</v>
      </c>
      <c r="D104">
        <v>1.0999999999999999E-2</v>
      </c>
      <c r="E104">
        <v>0.02</v>
      </c>
      <c r="F104">
        <v>7.8E-2</v>
      </c>
      <c r="G104">
        <v>0.17100000000000001</v>
      </c>
      <c r="H104">
        <v>0.29899999999999999</v>
      </c>
      <c r="I104">
        <v>0.53300000000000003</v>
      </c>
      <c r="J104">
        <v>0.63100000000000001</v>
      </c>
    </row>
    <row r="105" spans="1:10" x14ac:dyDescent="0.3">
      <c r="A105" t="s">
        <v>207</v>
      </c>
      <c r="B105">
        <v>0.57799999999999996</v>
      </c>
      <c r="C105">
        <v>0.16</v>
      </c>
      <c r="D105">
        <v>0.23300000000000001</v>
      </c>
      <c r="E105">
        <v>0.28299999999999997</v>
      </c>
      <c r="F105">
        <v>0.47199999999999998</v>
      </c>
      <c r="G105">
        <v>0.59799999999999998</v>
      </c>
      <c r="H105">
        <v>0.69799999999999995</v>
      </c>
      <c r="I105">
        <v>0.80600000000000005</v>
      </c>
      <c r="J105">
        <v>0.83499999999999996</v>
      </c>
    </row>
    <row r="106" spans="1:10" x14ac:dyDescent="0.3">
      <c r="A106" t="s">
        <v>206</v>
      </c>
      <c r="B106">
        <v>0.62</v>
      </c>
      <c r="C106">
        <v>0.255</v>
      </c>
      <c r="D106">
        <v>7.0000000000000007E-2</v>
      </c>
      <c r="E106">
        <v>0.112</v>
      </c>
      <c r="F106">
        <v>0.44700000000000001</v>
      </c>
      <c r="G106">
        <v>0.67800000000000005</v>
      </c>
      <c r="H106">
        <v>0.83199999999999996</v>
      </c>
      <c r="I106">
        <v>0.94099999999999995</v>
      </c>
      <c r="J106">
        <v>0.95899999999999996</v>
      </c>
    </row>
    <row r="107" spans="1:10" x14ac:dyDescent="0.3">
      <c r="A107" t="s">
        <v>205</v>
      </c>
      <c r="B107">
        <v>0.60599999999999998</v>
      </c>
      <c r="C107">
        <v>0.249</v>
      </c>
      <c r="D107">
        <v>8.2000000000000003E-2</v>
      </c>
      <c r="E107">
        <v>0.13800000000000001</v>
      </c>
      <c r="F107">
        <v>0.42499999999999999</v>
      </c>
      <c r="G107">
        <v>0.66</v>
      </c>
      <c r="H107">
        <v>0.81200000000000006</v>
      </c>
      <c r="I107">
        <v>0.93</v>
      </c>
      <c r="J107">
        <v>0.95199999999999996</v>
      </c>
    </row>
    <row r="108" spans="1:10" x14ac:dyDescent="0.3">
      <c r="A108" t="s">
        <v>204</v>
      </c>
      <c r="B108">
        <v>0.59599999999999997</v>
      </c>
      <c r="C108">
        <v>0.24399999999999999</v>
      </c>
      <c r="D108">
        <v>7.5999999999999998E-2</v>
      </c>
      <c r="E108">
        <v>0.125</v>
      </c>
      <c r="F108">
        <v>0.42399999999999999</v>
      </c>
      <c r="G108">
        <v>0.64</v>
      </c>
      <c r="H108">
        <v>0.78900000000000003</v>
      </c>
      <c r="I108">
        <v>0.92100000000000004</v>
      </c>
      <c r="J108">
        <v>0.94699999999999995</v>
      </c>
    </row>
    <row r="109" spans="1:10" x14ac:dyDescent="0.3">
      <c r="A109" t="s">
        <v>203</v>
      </c>
      <c r="B109">
        <v>0.61099999999999999</v>
      </c>
      <c r="C109">
        <v>0.253</v>
      </c>
      <c r="D109">
        <v>7.2999999999999995E-2</v>
      </c>
      <c r="E109">
        <v>0.122</v>
      </c>
      <c r="F109">
        <v>0.43</v>
      </c>
      <c r="G109">
        <v>0.66700000000000004</v>
      </c>
      <c r="H109">
        <v>0.81799999999999995</v>
      </c>
      <c r="I109">
        <v>0.94</v>
      </c>
      <c r="J109">
        <v>0.95799999999999996</v>
      </c>
    </row>
    <row r="110" spans="1:10" x14ac:dyDescent="0.3">
      <c r="A110" t="s">
        <v>202</v>
      </c>
      <c r="B110">
        <v>0.48799999999999999</v>
      </c>
      <c r="C110">
        <v>0.22800000000000001</v>
      </c>
      <c r="D110">
        <v>7.4999999999999997E-2</v>
      </c>
      <c r="E110">
        <v>0.115</v>
      </c>
      <c r="F110">
        <v>0.315</v>
      </c>
      <c r="G110">
        <v>0.48799999999999999</v>
      </c>
      <c r="H110">
        <v>0.66400000000000003</v>
      </c>
      <c r="I110">
        <v>0.86399999999999999</v>
      </c>
      <c r="J110">
        <v>0.90600000000000003</v>
      </c>
    </row>
    <row r="111" spans="1:10" x14ac:dyDescent="0.3">
      <c r="A111" t="s">
        <v>201</v>
      </c>
      <c r="B111">
        <v>0.51200000000000001</v>
      </c>
      <c r="C111">
        <v>0.23100000000000001</v>
      </c>
      <c r="D111">
        <v>7.8E-2</v>
      </c>
      <c r="E111">
        <v>0.12</v>
      </c>
      <c r="F111">
        <v>0.33800000000000002</v>
      </c>
      <c r="G111">
        <v>0.52</v>
      </c>
      <c r="H111">
        <v>0.68500000000000005</v>
      </c>
      <c r="I111">
        <v>0.88700000000000001</v>
      </c>
      <c r="J111">
        <v>0.92100000000000004</v>
      </c>
    </row>
    <row r="112" spans="1:10" x14ac:dyDescent="0.3">
      <c r="A112" t="s">
        <v>200</v>
      </c>
      <c r="B112">
        <v>0.33400000000000002</v>
      </c>
      <c r="C112">
        <v>0.19900000000000001</v>
      </c>
      <c r="D112">
        <v>4.4999999999999998E-2</v>
      </c>
      <c r="E112">
        <v>7.0000000000000007E-2</v>
      </c>
      <c r="F112">
        <v>0.185</v>
      </c>
      <c r="G112">
        <v>0.30199999999999999</v>
      </c>
      <c r="H112">
        <v>0.441</v>
      </c>
      <c r="I112">
        <v>0.72799999999999998</v>
      </c>
      <c r="J112">
        <v>0.83199999999999996</v>
      </c>
    </row>
    <row r="113" spans="1:10" x14ac:dyDescent="0.3">
      <c r="A113" t="s">
        <v>199</v>
      </c>
      <c r="B113">
        <v>0.56200000000000006</v>
      </c>
      <c r="C113">
        <v>0.24399999999999999</v>
      </c>
      <c r="D113">
        <v>7.8E-2</v>
      </c>
      <c r="E113">
        <v>0.13100000000000001</v>
      </c>
      <c r="F113">
        <v>0.38</v>
      </c>
      <c r="G113">
        <v>0.59199999999999997</v>
      </c>
      <c r="H113">
        <v>0.75700000000000001</v>
      </c>
      <c r="I113">
        <v>0.91700000000000004</v>
      </c>
      <c r="J113">
        <v>0.94</v>
      </c>
    </row>
    <row r="114" spans="1:10" x14ac:dyDescent="0.3">
      <c r="A114" t="s">
        <v>198</v>
      </c>
      <c r="B114">
        <v>0.57399999999999995</v>
      </c>
      <c r="C114">
        <v>0.23899999999999999</v>
      </c>
      <c r="D114">
        <v>8.5999999999999993E-2</v>
      </c>
      <c r="E114">
        <v>0.13700000000000001</v>
      </c>
      <c r="F114">
        <v>0.4</v>
      </c>
      <c r="G114">
        <v>0.60599999999999998</v>
      </c>
      <c r="H114">
        <v>0.76700000000000002</v>
      </c>
      <c r="I114">
        <v>0.91800000000000004</v>
      </c>
      <c r="J114">
        <v>0.94499999999999995</v>
      </c>
    </row>
    <row r="115" spans="1:10" x14ac:dyDescent="0.3">
      <c r="A115" t="s">
        <v>197</v>
      </c>
      <c r="B115">
        <v>0.56599999999999995</v>
      </c>
      <c r="C115">
        <v>0.23799999999999999</v>
      </c>
      <c r="D115">
        <v>8.5000000000000006E-2</v>
      </c>
      <c r="E115">
        <v>0.13300000000000001</v>
      </c>
      <c r="F115">
        <v>0.40100000000000002</v>
      </c>
      <c r="G115">
        <v>0.59199999999999997</v>
      </c>
      <c r="H115">
        <v>0.753</v>
      </c>
      <c r="I115">
        <v>0.91400000000000003</v>
      </c>
      <c r="J115">
        <v>0.94199999999999995</v>
      </c>
    </row>
    <row r="116" spans="1:10" x14ac:dyDescent="0.3">
      <c r="A116" t="s">
        <v>196</v>
      </c>
      <c r="B116">
        <v>0.57299999999999995</v>
      </c>
      <c r="C116">
        <v>0.23799999999999999</v>
      </c>
      <c r="D116">
        <v>9.4E-2</v>
      </c>
      <c r="E116">
        <v>0.13700000000000001</v>
      </c>
      <c r="F116">
        <v>0.39500000000000002</v>
      </c>
      <c r="G116">
        <v>0.60499999999999998</v>
      </c>
      <c r="H116">
        <v>0.76400000000000001</v>
      </c>
      <c r="I116">
        <v>0.91500000000000004</v>
      </c>
      <c r="J116">
        <v>0.94299999999999995</v>
      </c>
    </row>
    <row r="117" spans="1:10" x14ac:dyDescent="0.3">
      <c r="A117" t="s">
        <v>195</v>
      </c>
      <c r="B117">
        <v>0.503</v>
      </c>
      <c r="C117">
        <v>0.23100000000000001</v>
      </c>
      <c r="D117">
        <v>8.5999999999999993E-2</v>
      </c>
      <c r="E117">
        <v>0.128</v>
      </c>
      <c r="F117">
        <v>0.317</v>
      </c>
      <c r="G117">
        <v>0.51100000000000001</v>
      </c>
      <c r="H117">
        <v>0.68300000000000005</v>
      </c>
      <c r="I117">
        <v>0.878</v>
      </c>
      <c r="J117">
        <v>0.91700000000000004</v>
      </c>
    </row>
    <row r="118" spans="1:10" x14ac:dyDescent="0.3">
      <c r="A118" t="s">
        <v>194</v>
      </c>
      <c r="B118">
        <v>0.53200000000000003</v>
      </c>
      <c r="C118">
        <v>0.23300000000000001</v>
      </c>
      <c r="D118">
        <v>8.6999999999999994E-2</v>
      </c>
      <c r="E118">
        <v>0.13400000000000001</v>
      </c>
      <c r="F118">
        <v>0.35299999999999998</v>
      </c>
      <c r="G118">
        <v>0.54100000000000004</v>
      </c>
      <c r="H118">
        <v>0.71899999999999997</v>
      </c>
      <c r="I118">
        <v>0.90300000000000002</v>
      </c>
      <c r="J118">
        <v>0.92600000000000005</v>
      </c>
    </row>
    <row r="119" spans="1:10" x14ac:dyDescent="0.3">
      <c r="A119" t="s">
        <v>193</v>
      </c>
      <c r="B119">
        <v>0.48199999999999998</v>
      </c>
      <c r="C119">
        <v>0.23</v>
      </c>
      <c r="D119">
        <v>7.0000000000000007E-2</v>
      </c>
      <c r="E119">
        <v>0.11</v>
      </c>
      <c r="F119">
        <v>0.30299999999999999</v>
      </c>
      <c r="G119">
        <v>0.48</v>
      </c>
      <c r="H119">
        <v>0.65700000000000003</v>
      </c>
      <c r="I119">
        <v>0.85899999999999999</v>
      </c>
      <c r="J119">
        <v>0.91400000000000003</v>
      </c>
    </row>
    <row r="120" spans="1:10" x14ac:dyDescent="0.3">
      <c r="A120" t="s">
        <v>192</v>
      </c>
      <c r="B120">
        <v>0.54</v>
      </c>
      <c r="C120">
        <v>0.23400000000000001</v>
      </c>
      <c r="D120">
        <v>8.6999999999999994E-2</v>
      </c>
      <c r="E120">
        <v>0.14000000000000001</v>
      </c>
      <c r="F120">
        <v>0.37</v>
      </c>
      <c r="G120">
        <v>0.55100000000000005</v>
      </c>
      <c r="H120">
        <v>0.72799999999999998</v>
      </c>
      <c r="I120">
        <v>0.89600000000000002</v>
      </c>
      <c r="J120">
        <v>0.93</v>
      </c>
    </row>
    <row r="121" spans="1:10" x14ac:dyDescent="0.3">
      <c r="A121" t="s">
        <v>191</v>
      </c>
      <c r="B121">
        <v>0.49</v>
      </c>
      <c r="C121">
        <v>0.23</v>
      </c>
      <c r="D121">
        <v>8.1000000000000003E-2</v>
      </c>
      <c r="E121">
        <v>0.11899999999999999</v>
      </c>
      <c r="F121">
        <v>0.31</v>
      </c>
      <c r="G121">
        <v>0.48799999999999999</v>
      </c>
      <c r="H121">
        <v>0.66300000000000003</v>
      </c>
      <c r="I121">
        <v>0.871</v>
      </c>
      <c r="J121">
        <v>0.91500000000000004</v>
      </c>
    </row>
    <row r="122" spans="1:10" x14ac:dyDescent="0.3">
      <c r="A122" t="s">
        <v>190</v>
      </c>
      <c r="B122">
        <v>0.49199999999999999</v>
      </c>
      <c r="C122">
        <v>0.23100000000000001</v>
      </c>
      <c r="D122">
        <v>0.08</v>
      </c>
      <c r="E122">
        <v>0.11799999999999999</v>
      </c>
      <c r="F122">
        <v>0.313</v>
      </c>
      <c r="G122">
        <v>0.48699999999999999</v>
      </c>
      <c r="H122">
        <v>0.66600000000000004</v>
      </c>
      <c r="I122">
        <v>0.879</v>
      </c>
      <c r="J122">
        <v>0.91800000000000004</v>
      </c>
    </row>
    <row r="123" spans="1:10" x14ac:dyDescent="0.3">
      <c r="A123" t="s">
        <v>189</v>
      </c>
      <c r="B123">
        <v>0.442</v>
      </c>
      <c r="C123">
        <v>0.222</v>
      </c>
      <c r="D123">
        <v>6.3E-2</v>
      </c>
      <c r="E123">
        <v>0.10100000000000001</v>
      </c>
      <c r="F123">
        <v>0.27600000000000002</v>
      </c>
      <c r="G123">
        <v>0.42399999999999999</v>
      </c>
      <c r="H123">
        <v>0.6</v>
      </c>
      <c r="I123">
        <v>0.84099999999999997</v>
      </c>
      <c r="J123">
        <v>0.88800000000000001</v>
      </c>
    </row>
    <row r="124" spans="1:10" x14ac:dyDescent="0.3">
      <c r="A124" t="s">
        <v>188</v>
      </c>
      <c r="B124">
        <v>0.44700000000000001</v>
      </c>
      <c r="C124">
        <v>0.22500000000000001</v>
      </c>
      <c r="D124">
        <v>7.0999999999999994E-2</v>
      </c>
      <c r="E124">
        <v>9.6000000000000002E-2</v>
      </c>
      <c r="F124">
        <v>0.27300000000000002</v>
      </c>
      <c r="G124">
        <v>0.436</v>
      </c>
      <c r="H124">
        <v>0.61699999999999999</v>
      </c>
      <c r="I124">
        <v>0.84799999999999998</v>
      </c>
      <c r="J124">
        <v>0.89600000000000002</v>
      </c>
    </row>
    <row r="125" spans="1:10" x14ac:dyDescent="0.3">
      <c r="A125" t="s">
        <v>187</v>
      </c>
      <c r="B125">
        <v>0.61799999999999999</v>
      </c>
      <c r="C125">
        <v>0.253</v>
      </c>
      <c r="D125">
        <v>8.6999999999999994E-2</v>
      </c>
      <c r="E125">
        <v>0.122</v>
      </c>
      <c r="F125">
        <v>0.44</v>
      </c>
      <c r="G125">
        <v>0.68200000000000005</v>
      </c>
      <c r="H125">
        <v>0.82299999999999995</v>
      </c>
      <c r="I125">
        <v>0.93600000000000005</v>
      </c>
      <c r="J125">
        <v>0.95699999999999996</v>
      </c>
    </row>
    <row r="126" spans="1:10" x14ac:dyDescent="0.3">
      <c r="A126" t="s">
        <v>186</v>
      </c>
      <c r="B126">
        <v>0.57299999999999995</v>
      </c>
      <c r="C126">
        <v>0.23799999999999999</v>
      </c>
      <c r="D126">
        <v>8.3000000000000004E-2</v>
      </c>
      <c r="E126">
        <v>0.13</v>
      </c>
      <c r="F126">
        <v>0.40400000000000003</v>
      </c>
      <c r="G126">
        <v>0.60299999999999998</v>
      </c>
      <c r="H126">
        <v>0.76400000000000001</v>
      </c>
      <c r="I126">
        <v>0.90600000000000003</v>
      </c>
      <c r="J126">
        <v>0.93200000000000005</v>
      </c>
    </row>
    <row r="127" spans="1:10" x14ac:dyDescent="0.3">
      <c r="A127" t="s">
        <v>185</v>
      </c>
      <c r="B127">
        <v>0.61599999999999999</v>
      </c>
      <c r="C127">
        <v>0.247</v>
      </c>
      <c r="D127">
        <v>7.5999999999999998E-2</v>
      </c>
      <c r="E127">
        <v>0.13300000000000001</v>
      </c>
      <c r="F127">
        <v>0.44600000000000001</v>
      </c>
      <c r="G127">
        <v>0.66900000000000004</v>
      </c>
      <c r="H127">
        <v>0.81599999999999995</v>
      </c>
      <c r="I127">
        <v>0.93799999999999994</v>
      </c>
      <c r="J127">
        <v>0.95499999999999996</v>
      </c>
    </row>
    <row r="128" spans="1:10" x14ac:dyDescent="0.3">
      <c r="A128" t="s">
        <v>184</v>
      </c>
      <c r="B128">
        <v>0.54700000000000004</v>
      </c>
      <c r="C128">
        <v>0.23100000000000001</v>
      </c>
      <c r="D128">
        <v>9.4E-2</v>
      </c>
      <c r="E128">
        <v>0.13800000000000001</v>
      </c>
      <c r="F128">
        <v>0.376</v>
      </c>
      <c r="G128">
        <v>0.56399999999999995</v>
      </c>
      <c r="H128">
        <v>0.72599999999999998</v>
      </c>
      <c r="I128">
        <v>0.90500000000000003</v>
      </c>
      <c r="J128">
        <v>0.93500000000000005</v>
      </c>
    </row>
  </sheetData>
  <phoneticPr fontId="1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541"/>
  <sheetViews>
    <sheetView topLeftCell="A31" workbookViewId="0"/>
  </sheetViews>
  <sheetFormatPr defaultRowHeight="16.5" x14ac:dyDescent="0.3"/>
  <sheetData>
    <row r="2" spans="1:1" x14ac:dyDescent="0.3">
      <c r="A2" t="s">
        <v>314</v>
      </c>
    </row>
    <row r="3" spans="1:1" x14ac:dyDescent="0.3">
      <c r="A3" t="s">
        <v>326</v>
      </c>
    </row>
    <row r="4" spans="1:1" x14ac:dyDescent="0.3">
      <c r="A4" t="s">
        <v>314</v>
      </c>
    </row>
    <row r="6" spans="1:1" x14ac:dyDescent="0.3">
      <c r="A6" t="s">
        <v>325</v>
      </c>
    </row>
    <row r="9" spans="1:1" x14ac:dyDescent="0.3">
      <c r="A9" t="s">
        <v>830</v>
      </c>
    </row>
    <row r="11" spans="1:1" x14ac:dyDescent="0.3">
      <c r="A11" t="s">
        <v>324</v>
      </c>
    </row>
    <row r="12" spans="1:1" x14ac:dyDescent="0.3">
      <c r="A12" t="s">
        <v>829</v>
      </c>
    </row>
    <row r="14" spans="1:1" x14ac:dyDescent="0.3">
      <c r="A14" t="s">
        <v>324</v>
      </c>
    </row>
    <row r="15" spans="1:1" x14ac:dyDescent="0.3">
      <c r="A15" t="s">
        <v>828</v>
      </c>
    </row>
    <row r="18" spans="1:1" x14ac:dyDescent="0.3">
      <c r="A18" t="s">
        <v>323</v>
      </c>
    </row>
    <row r="20" spans="1:1" x14ac:dyDescent="0.3">
      <c r="A20" t="s">
        <v>322</v>
      </c>
    </row>
    <row r="21" spans="1:1" x14ac:dyDescent="0.3">
      <c r="A21" t="s">
        <v>827</v>
      </c>
    </row>
    <row r="22" spans="1:1" x14ac:dyDescent="0.3">
      <c r="A22" t="s">
        <v>826</v>
      </c>
    </row>
    <row r="23" spans="1:1" x14ac:dyDescent="0.3">
      <c r="A23" t="s">
        <v>825</v>
      </c>
    </row>
    <row r="24" spans="1:1" x14ac:dyDescent="0.3">
      <c r="A24" t="s">
        <v>824</v>
      </c>
    </row>
    <row r="25" spans="1:1" x14ac:dyDescent="0.3">
      <c r="A25" t="s">
        <v>823</v>
      </c>
    </row>
    <row r="26" spans="1:1" x14ac:dyDescent="0.3">
      <c r="A26" t="s">
        <v>822</v>
      </c>
    </row>
    <row r="27" spans="1:1" x14ac:dyDescent="0.3">
      <c r="A27" t="s">
        <v>821</v>
      </c>
    </row>
    <row r="28" spans="1:1" x14ac:dyDescent="0.3">
      <c r="A28" t="s">
        <v>820</v>
      </c>
    </row>
    <row r="29" spans="1:1" x14ac:dyDescent="0.3">
      <c r="A29" t="s">
        <v>819</v>
      </c>
    </row>
    <row r="30" spans="1:1" x14ac:dyDescent="0.3">
      <c r="A30" t="s">
        <v>818</v>
      </c>
    </row>
    <row r="33" spans="1:1" x14ac:dyDescent="0.3">
      <c r="A33" t="s">
        <v>321</v>
      </c>
    </row>
    <row r="35" spans="1:1" x14ac:dyDescent="0.3">
      <c r="A35" t="s">
        <v>320</v>
      </c>
    </row>
    <row r="36" spans="1:1" x14ac:dyDescent="0.3">
      <c r="A36" t="s">
        <v>817</v>
      </c>
    </row>
    <row r="37" spans="1:1" x14ac:dyDescent="0.3">
      <c r="A37" t="s">
        <v>319</v>
      </c>
    </row>
    <row r="38" spans="1:1" x14ac:dyDescent="0.3">
      <c r="A38" t="s">
        <v>318</v>
      </c>
    </row>
    <row r="39" spans="1:1" x14ac:dyDescent="0.3">
      <c r="A39" t="s">
        <v>317</v>
      </c>
    </row>
    <row r="40" spans="1:1" x14ac:dyDescent="0.3">
      <c r="A40" t="s">
        <v>316</v>
      </c>
    </row>
    <row r="41" spans="1:1" x14ac:dyDescent="0.3">
      <c r="A41" t="s">
        <v>816</v>
      </c>
    </row>
    <row r="42" spans="1:1" x14ac:dyDescent="0.3">
      <c r="A42" t="s">
        <v>815</v>
      </c>
    </row>
    <row r="43" spans="1:1" x14ac:dyDescent="0.3">
      <c r="A43" t="s">
        <v>814</v>
      </c>
    </row>
    <row r="44" spans="1:1" x14ac:dyDescent="0.3">
      <c r="A44" t="s">
        <v>813</v>
      </c>
    </row>
    <row r="45" spans="1:1" x14ac:dyDescent="0.3">
      <c r="A45" t="s">
        <v>812</v>
      </c>
    </row>
    <row r="46" spans="1:1" x14ac:dyDescent="0.3">
      <c r="A46" t="s">
        <v>811</v>
      </c>
    </row>
    <row r="47" spans="1:1" x14ac:dyDescent="0.3">
      <c r="A47" t="s">
        <v>810</v>
      </c>
    </row>
    <row r="48" spans="1:1" x14ac:dyDescent="0.3">
      <c r="A48" t="s">
        <v>809</v>
      </c>
    </row>
    <row r="49" spans="1:1" x14ac:dyDescent="0.3">
      <c r="A49" t="s">
        <v>808</v>
      </c>
    </row>
    <row r="50" spans="1:1" x14ac:dyDescent="0.3">
      <c r="A50" t="s">
        <v>807</v>
      </c>
    </row>
    <row r="51" spans="1:1" x14ac:dyDescent="0.3">
      <c r="A51" t="s">
        <v>806</v>
      </c>
    </row>
    <row r="52" spans="1:1" x14ac:dyDescent="0.3">
      <c r="A52" t="s">
        <v>805</v>
      </c>
    </row>
    <row r="53" spans="1:1" x14ac:dyDescent="0.3">
      <c r="A53" t="s">
        <v>804</v>
      </c>
    </row>
    <row r="54" spans="1:1" x14ac:dyDescent="0.3">
      <c r="A54" t="s">
        <v>803</v>
      </c>
    </row>
    <row r="55" spans="1:1" x14ac:dyDescent="0.3">
      <c r="A55" t="s">
        <v>802</v>
      </c>
    </row>
    <row r="56" spans="1:1" x14ac:dyDescent="0.3">
      <c r="A56" t="s">
        <v>801</v>
      </c>
    </row>
    <row r="57" spans="1:1" x14ac:dyDescent="0.3">
      <c r="A57" t="s">
        <v>800</v>
      </c>
    </row>
    <row r="58" spans="1:1" x14ac:dyDescent="0.3">
      <c r="A58" t="s">
        <v>799</v>
      </c>
    </row>
    <row r="59" spans="1:1" x14ac:dyDescent="0.3">
      <c r="A59" t="s">
        <v>798</v>
      </c>
    </row>
    <row r="60" spans="1:1" x14ac:dyDescent="0.3">
      <c r="A60" t="s">
        <v>797</v>
      </c>
    </row>
    <row r="61" spans="1:1" x14ac:dyDescent="0.3">
      <c r="A61" t="s">
        <v>796</v>
      </c>
    </row>
    <row r="62" spans="1:1" x14ac:dyDescent="0.3">
      <c r="A62" t="s">
        <v>795</v>
      </c>
    </row>
    <row r="63" spans="1:1" x14ac:dyDescent="0.3">
      <c r="A63" t="s">
        <v>794</v>
      </c>
    </row>
    <row r="64" spans="1:1" x14ac:dyDescent="0.3">
      <c r="A64" t="s">
        <v>793</v>
      </c>
    </row>
    <row r="65" spans="1:1" x14ac:dyDescent="0.3">
      <c r="A65" t="s">
        <v>792</v>
      </c>
    </row>
    <row r="66" spans="1:1" x14ac:dyDescent="0.3">
      <c r="A66" t="s">
        <v>791</v>
      </c>
    </row>
    <row r="67" spans="1:1" x14ac:dyDescent="0.3">
      <c r="A67" t="s">
        <v>790</v>
      </c>
    </row>
    <row r="68" spans="1:1" x14ac:dyDescent="0.3">
      <c r="A68" t="s">
        <v>789</v>
      </c>
    </row>
    <row r="69" spans="1:1" x14ac:dyDescent="0.3">
      <c r="A69" t="s">
        <v>788</v>
      </c>
    </row>
    <row r="70" spans="1:1" x14ac:dyDescent="0.3">
      <c r="A70" t="s">
        <v>787</v>
      </c>
    </row>
    <row r="71" spans="1:1" x14ac:dyDescent="0.3">
      <c r="A71" t="s">
        <v>786</v>
      </c>
    </row>
    <row r="72" spans="1:1" x14ac:dyDescent="0.3">
      <c r="A72" t="s">
        <v>785</v>
      </c>
    </row>
    <row r="73" spans="1:1" x14ac:dyDescent="0.3">
      <c r="A73" t="s">
        <v>784</v>
      </c>
    </row>
    <row r="74" spans="1:1" x14ac:dyDescent="0.3">
      <c r="A74" t="s">
        <v>783</v>
      </c>
    </row>
    <row r="75" spans="1:1" x14ac:dyDescent="0.3">
      <c r="A75" t="s">
        <v>782</v>
      </c>
    </row>
    <row r="76" spans="1:1" x14ac:dyDescent="0.3">
      <c r="A76" t="s">
        <v>781</v>
      </c>
    </row>
    <row r="77" spans="1:1" x14ac:dyDescent="0.3">
      <c r="A77" t="s">
        <v>780</v>
      </c>
    </row>
    <row r="78" spans="1:1" x14ac:dyDescent="0.3">
      <c r="A78" t="s">
        <v>779</v>
      </c>
    </row>
    <row r="79" spans="1:1" x14ac:dyDescent="0.3">
      <c r="A79" t="s">
        <v>778</v>
      </c>
    </row>
    <row r="80" spans="1:1" x14ac:dyDescent="0.3">
      <c r="A80" t="s">
        <v>777</v>
      </c>
    </row>
    <row r="81" spans="1:1" x14ac:dyDescent="0.3">
      <c r="A81" t="s">
        <v>776</v>
      </c>
    </row>
    <row r="82" spans="1:1" x14ac:dyDescent="0.3">
      <c r="A82" t="s">
        <v>775</v>
      </c>
    </row>
    <row r="83" spans="1:1" x14ac:dyDescent="0.3">
      <c r="A83" t="s">
        <v>774</v>
      </c>
    </row>
    <row r="84" spans="1:1" x14ac:dyDescent="0.3">
      <c r="A84" t="s">
        <v>773</v>
      </c>
    </row>
    <row r="85" spans="1:1" x14ac:dyDescent="0.3">
      <c r="A85" t="s">
        <v>772</v>
      </c>
    </row>
    <row r="86" spans="1:1" x14ac:dyDescent="0.3">
      <c r="A86" t="s">
        <v>771</v>
      </c>
    </row>
    <row r="87" spans="1:1" x14ac:dyDescent="0.3">
      <c r="A87" t="s">
        <v>770</v>
      </c>
    </row>
    <row r="88" spans="1:1" x14ac:dyDescent="0.3">
      <c r="A88" t="s">
        <v>769</v>
      </c>
    </row>
    <row r="89" spans="1:1" x14ac:dyDescent="0.3">
      <c r="A89" t="s">
        <v>768</v>
      </c>
    </row>
    <row r="90" spans="1:1" x14ac:dyDescent="0.3">
      <c r="A90" t="s">
        <v>767</v>
      </c>
    </row>
    <row r="91" spans="1:1" x14ac:dyDescent="0.3">
      <c r="A91" t="s">
        <v>766</v>
      </c>
    </row>
    <row r="92" spans="1:1" x14ac:dyDescent="0.3">
      <c r="A92" t="s">
        <v>765</v>
      </c>
    </row>
    <row r="93" spans="1:1" x14ac:dyDescent="0.3">
      <c r="A93" t="s">
        <v>764</v>
      </c>
    </row>
    <row r="94" spans="1:1" x14ac:dyDescent="0.3">
      <c r="A94" t="s">
        <v>763</v>
      </c>
    </row>
    <row r="95" spans="1:1" x14ac:dyDescent="0.3">
      <c r="A95" t="s">
        <v>762</v>
      </c>
    </row>
    <row r="96" spans="1:1" x14ac:dyDescent="0.3">
      <c r="A96" t="s">
        <v>761</v>
      </c>
    </row>
    <row r="97" spans="1:1" x14ac:dyDescent="0.3">
      <c r="A97" t="s">
        <v>760</v>
      </c>
    </row>
    <row r="98" spans="1:1" x14ac:dyDescent="0.3">
      <c r="A98" t="s">
        <v>759</v>
      </c>
    </row>
    <row r="99" spans="1:1" x14ac:dyDescent="0.3">
      <c r="A99" t="s">
        <v>758</v>
      </c>
    </row>
    <row r="100" spans="1:1" x14ac:dyDescent="0.3">
      <c r="A100" t="s">
        <v>757</v>
      </c>
    </row>
    <row r="101" spans="1:1" x14ac:dyDescent="0.3">
      <c r="A101" t="s">
        <v>756</v>
      </c>
    </row>
    <row r="102" spans="1:1" x14ac:dyDescent="0.3">
      <c r="A102" t="s">
        <v>755</v>
      </c>
    </row>
    <row r="103" spans="1:1" x14ac:dyDescent="0.3">
      <c r="A103" t="s">
        <v>754</v>
      </c>
    </row>
    <row r="104" spans="1:1" x14ac:dyDescent="0.3">
      <c r="A104" t="s">
        <v>753</v>
      </c>
    </row>
    <row r="105" spans="1:1" x14ac:dyDescent="0.3">
      <c r="A105" t="s">
        <v>752</v>
      </c>
    </row>
    <row r="106" spans="1:1" x14ac:dyDescent="0.3">
      <c r="A106" t="s">
        <v>751</v>
      </c>
    </row>
    <row r="107" spans="1:1" x14ac:dyDescent="0.3">
      <c r="A107" t="s">
        <v>750</v>
      </c>
    </row>
    <row r="108" spans="1:1" x14ac:dyDescent="0.3">
      <c r="A108" t="s">
        <v>749</v>
      </c>
    </row>
    <row r="109" spans="1:1" x14ac:dyDescent="0.3">
      <c r="A109" t="s">
        <v>748</v>
      </c>
    </row>
    <row r="110" spans="1:1" x14ac:dyDescent="0.3">
      <c r="A110" t="s">
        <v>747</v>
      </c>
    </row>
    <row r="111" spans="1:1" x14ac:dyDescent="0.3">
      <c r="A111" t="s">
        <v>746</v>
      </c>
    </row>
    <row r="112" spans="1:1" x14ac:dyDescent="0.3">
      <c r="A112" t="s">
        <v>745</v>
      </c>
    </row>
    <row r="113" spans="1:1" x14ac:dyDescent="0.3">
      <c r="A113" t="s">
        <v>744</v>
      </c>
    </row>
    <row r="114" spans="1:1" x14ac:dyDescent="0.3">
      <c r="A114" t="s">
        <v>743</v>
      </c>
    </row>
    <row r="115" spans="1:1" x14ac:dyDescent="0.3">
      <c r="A115" t="s">
        <v>742</v>
      </c>
    </row>
    <row r="116" spans="1:1" x14ac:dyDescent="0.3">
      <c r="A116" t="s">
        <v>741</v>
      </c>
    </row>
    <row r="117" spans="1:1" x14ac:dyDescent="0.3">
      <c r="A117" t="s">
        <v>740</v>
      </c>
    </row>
    <row r="118" spans="1:1" x14ac:dyDescent="0.3">
      <c r="A118" t="s">
        <v>739</v>
      </c>
    </row>
    <row r="119" spans="1:1" x14ac:dyDescent="0.3">
      <c r="A119" t="s">
        <v>738</v>
      </c>
    </row>
    <row r="120" spans="1:1" x14ac:dyDescent="0.3">
      <c r="A120" t="s">
        <v>737</v>
      </c>
    </row>
    <row r="121" spans="1:1" x14ac:dyDescent="0.3">
      <c r="A121" t="s">
        <v>736</v>
      </c>
    </row>
    <row r="122" spans="1:1" x14ac:dyDescent="0.3">
      <c r="A122" t="s">
        <v>735</v>
      </c>
    </row>
    <row r="123" spans="1:1" x14ac:dyDescent="0.3">
      <c r="A123" t="s">
        <v>734</v>
      </c>
    </row>
    <row r="124" spans="1:1" x14ac:dyDescent="0.3">
      <c r="A124" t="s">
        <v>733</v>
      </c>
    </row>
    <row r="125" spans="1:1" x14ac:dyDescent="0.3">
      <c r="A125" t="s">
        <v>732</v>
      </c>
    </row>
    <row r="126" spans="1:1" x14ac:dyDescent="0.3">
      <c r="A126" t="s">
        <v>731</v>
      </c>
    </row>
    <row r="127" spans="1:1" x14ac:dyDescent="0.3">
      <c r="A127" t="s">
        <v>730</v>
      </c>
    </row>
    <row r="128" spans="1:1" x14ac:dyDescent="0.3">
      <c r="A128" t="s">
        <v>729</v>
      </c>
    </row>
    <row r="129" spans="1:1" x14ac:dyDescent="0.3">
      <c r="A129" t="s">
        <v>728</v>
      </c>
    </row>
    <row r="130" spans="1:1" x14ac:dyDescent="0.3">
      <c r="A130" t="s">
        <v>727</v>
      </c>
    </row>
    <row r="131" spans="1:1" x14ac:dyDescent="0.3">
      <c r="A131" t="s">
        <v>726</v>
      </c>
    </row>
    <row r="132" spans="1:1" x14ac:dyDescent="0.3">
      <c r="A132" t="s">
        <v>725</v>
      </c>
    </row>
    <row r="133" spans="1:1" x14ac:dyDescent="0.3">
      <c r="A133" t="s">
        <v>724</v>
      </c>
    </row>
    <row r="134" spans="1:1" x14ac:dyDescent="0.3">
      <c r="A134" t="s">
        <v>723</v>
      </c>
    </row>
    <row r="135" spans="1:1" x14ac:dyDescent="0.3">
      <c r="A135" t="s">
        <v>722</v>
      </c>
    </row>
    <row r="136" spans="1:1" x14ac:dyDescent="0.3">
      <c r="A136" t="s">
        <v>721</v>
      </c>
    </row>
    <row r="137" spans="1:1" x14ac:dyDescent="0.3">
      <c r="A137" t="s">
        <v>720</v>
      </c>
    </row>
    <row r="138" spans="1:1" x14ac:dyDescent="0.3">
      <c r="A138" t="s">
        <v>719</v>
      </c>
    </row>
    <row r="139" spans="1:1" x14ac:dyDescent="0.3">
      <c r="A139" t="s">
        <v>718</v>
      </c>
    </row>
    <row r="140" spans="1:1" x14ac:dyDescent="0.3">
      <c r="A140" t="s">
        <v>717</v>
      </c>
    </row>
    <row r="141" spans="1:1" x14ac:dyDescent="0.3">
      <c r="A141" t="s">
        <v>716</v>
      </c>
    </row>
    <row r="142" spans="1:1" x14ac:dyDescent="0.3">
      <c r="A142" t="s">
        <v>715</v>
      </c>
    </row>
    <row r="143" spans="1:1" x14ac:dyDescent="0.3">
      <c r="A143" t="s">
        <v>714</v>
      </c>
    </row>
    <row r="144" spans="1:1" x14ac:dyDescent="0.3">
      <c r="A144" t="s">
        <v>713</v>
      </c>
    </row>
    <row r="145" spans="1:1" x14ac:dyDescent="0.3">
      <c r="A145" t="s">
        <v>712</v>
      </c>
    </row>
    <row r="146" spans="1:1" x14ac:dyDescent="0.3">
      <c r="A146" t="s">
        <v>711</v>
      </c>
    </row>
    <row r="147" spans="1:1" x14ac:dyDescent="0.3">
      <c r="A147" t="s">
        <v>710</v>
      </c>
    </row>
    <row r="148" spans="1:1" x14ac:dyDescent="0.3">
      <c r="A148" t="s">
        <v>709</v>
      </c>
    </row>
    <row r="149" spans="1:1" x14ac:dyDescent="0.3">
      <c r="A149" t="s">
        <v>708</v>
      </c>
    </row>
    <row r="150" spans="1:1" x14ac:dyDescent="0.3">
      <c r="A150" t="s">
        <v>707</v>
      </c>
    </row>
    <row r="151" spans="1:1" x14ac:dyDescent="0.3">
      <c r="A151" t="s">
        <v>706</v>
      </c>
    </row>
    <row r="152" spans="1:1" x14ac:dyDescent="0.3">
      <c r="A152" t="s">
        <v>705</v>
      </c>
    </row>
    <row r="153" spans="1:1" x14ac:dyDescent="0.3">
      <c r="A153" t="s">
        <v>704</v>
      </c>
    </row>
    <row r="154" spans="1:1" x14ac:dyDescent="0.3">
      <c r="A154" t="s">
        <v>703</v>
      </c>
    </row>
    <row r="155" spans="1:1" x14ac:dyDescent="0.3">
      <c r="A155" t="s">
        <v>702</v>
      </c>
    </row>
    <row r="156" spans="1:1" x14ac:dyDescent="0.3">
      <c r="A156" t="s">
        <v>701</v>
      </c>
    </row>
    <row r="157" spans="1:1" x14ac:dyDescent="0.3">
      <c r="A157" t="s">
        <v>700</v>
      </c>
    </row>
    <row r="158" spans="1:1" x14ac:dyDescent="0.3">
      <c r="A158" t="s">
        <v>699</v>
      </c>
    </row>
    <row r="159" spans="1:1" x14ac:dyDescent="0.3">
      <c r="A159" t="s">
        <v>698</v>
      </c>
    </row>
    <row r="160" spans="1:1" x14ac:dyDescent="0.3">
      <c r="A160" t="s">
        <v>697</v>
      </c>
    </row>
    <row r="161" spans="1:1" x14ac:dyDescent="0.3">
      <c r="A161" t="s">
        <v>696</v>
      </c>
    </row>
    <row r="162" spans="1:1" x14ac:dyDescent="0.3">
      <c r="A162" t="s">
        <v>695</v>
      </c>
    </row>
    <row r="163" spans="1:1" x14ac:dyDescent="0.3">
      <c r="A163" t="s">
        <v>694</v>
      </c>
    </row>
    <row r="164" spans="1:1" x14ac:dyDescent="0.3">
      <c r="A164" t="s">
        <v>693</v>
      </c>
    </row>
    <row r="165" spans="1:1" x14ac:dyDescent="0.3">
      <c r="A165" t="s">
        <v>692</v>
      </c>
    </row>
    <row r="166" spans="1:1" x14ac:dyDescent="0.3">
      <c r="A166" t="s">
        <v>691</v>
      </c>
    </row>
    <row r="167" spans="1:1" x14ac:dyDescent="0.3">
      <c r="A167" t="s">
        <v>690</v>
      </c>
    </row>
    <row r="168" spans="1:1" x14ac:dyDescent="0.3">
      <c r="A168" t="s">
        <v>689</v>
      </c>
    </row>
    <row r="169" spans="1:1" x14ac:dyDescent="0.3">
      <c r="A169" t="s">
        <v>688</v>
      </c>
    </row>
    <row r="170" spans="1:1" x14ac:dyDescent="0.3">
      <c r="A170" t="s">
        <v>687</v>
      </c>
    </row>
    <row r="171" spans="1:1" x14ac:dyDescent="0.3">
      <c r="A171" t="s">
        <v>686</v>
      </c>
    </row>
    <row r="172" spans="1:1" x14ac:dyDescent="0.3">
      <c r="A172" t="s">
        <v>685</v>
      </c>
    </row>
    <row r="173" spans="1:1" x14ac:dyDescent="0.3">
      <c r="A173" t="s">
        <v>684</v>
      </c>
    </row>
    <row r="174" spans="1:1" x14ac:dyDescent="0.3">
      <c r="A174" t="s">
        <v>683</v>
      </c>
    </row>
    <row r="175" spans="1:1" x14ac:dyDescent="0.3">
      <c r="A175" t="s">
        <v>682</v>
      </c>
    </row>
    <row r="176" spans="1:1" x14ac:dyDescent="0.3">
      <c r="A176" t="s">
        <v>681</v>
      </c>
    </row>
    <row r="177" spans="1:1" x14ac:dyDescent="0.3">
      <c r="A177" t="s">
        <v>680</v>
      </c>
    </row>
    <row r="178" spans="1:1" x14ac:dyDescent="0.3">
      <c r="A178" t="s">
        <v>679</v>
      </c>
    </row>
    <row r="179" spans="1:1" x14ac:dyDescent="0.3">
      <c r="A179" t="s">
        <v>678</v>
      </c>
    </row>
    <row r="180" spans="1:1" x14ac:dyDescent="0.3">
      <c r="A180" t="s">
        <v>677</v>
      </c>
    </row>
    <row r="181" spans="1:1" x14ac:dyDescent="0.3">
      <c r="A181" t="s">
        <v>676</v>
      </c>
    </row>
    <row r="182" spans="1:1" x14ac:dyDescent="0.3">
      <c r="A182" t="s">
        <v>675</v>
      </c>
    </row>
    <row r="183" spans="1:1" x14ac:dyDescent="0.3">
      <c r="A183" t="s">
        <v>674</v>
      </c>
    </row>
    <row r="184" spans="1:1" x14ac:dyDescent="0.3">
      <c r="A184" t="s">
        <v>673</v>
      </c>
    </row>
    <row r="185" spans="1:1" x14ac:dyDescent="0.3">
      <c r="A185" t="s">
        <v>672</v>
      </c>
    </row>
    <row r="186" spans="1:1" x14ac:dyDescent="0.3">
      <c r="A186" t="s">
        <v>671</v>
      </c>
    </row>
    <row r="187" spans="1:1" x14ac:dyDescent="0.3">
      <c r="A187" t="s">
        <v>670</v>
      </c>
    </row>
    <row r="188" spans="1:1" x14ac:dyDescent="0.3">
      <c r="A188" t="s">
        <v>669</v>
      </c>
    </row>
    <row r="189" spans="1:1" x14ac:dyDescent="0.3">
      <c r="A189" t="s">
        <v>668</v>
      </c>
    </row>
    <row r="190" spans="1:1" x14ac:dyDescent="0.3">
      <c r="A190" t="s">
        <v>667</v>
      </c>
    </row>
    <row r="191" spans="1:1" x14ac:dyDescent="0.3">
      <c r="A191" t="s">
        <v>666</v>
      </c>
    </row>
    <row r="192" spans="1:1" x14ac:dyDescent="0.3">
      <c r="A192" t="s">
        <v>665</v>
      </c>
    </row>
    <row r="193" spans="1:1" x14ac:dyDescent="0.3">
      <c r="A193" t="s">
        <v>664</v>
      </c>
    </row>
    <row r="194" spans="1:1" x14ac:dyDescent="0.3">
      <c r="A194" t="s">
        <v>663</v>
      </c>
    </row>
    <row r="195" spans="1:1" x14ac:dyDescent="0.3">
      <c r="A195" t="s">
        <v>662</v>
      </c>
    </row>
    <row r="196" spans="1:1" x14ac:dyDescent="0.3">
      <c r="A196" t="s">
        <v>661</v>
      </c>
    </row>
    <row r="197" spans="1:1" x14ac:dyDescent="0.3">
      <c r="A197" t="s">
        <v>660</v>
      </c>
    </row>
    <row r="198" spans="1:1" x14ac:dyDescent="0.3">
      <c r="A198" t="s">
        <v>659</v>
      </c>
    </row>
    <row r="199" spans="1:1" x14ac:dyDescent="0.3">
      <c r="A199" t="s">
        <v>658</v>
      </c>
    </row>
    <row r="200" spans="1:1" x14ac:dyDescent="0.3">
      <c r="A200" t="s">
        <v>657</v>
      </c>
    </row>
    <row r="201" spans="1:1" x14ac:dyDescent="0.3">
      <c r="A201" t="s">
        <v>656</v>
      </c>
    </row>
    <row r="202" spans="1:1" x14ac:dyDescent="0.3">
      <c r="A202" t="s">
        <v>655</v>
      </c>
    </row>
    <row r="203" spans="1:1" x14ac:dyDescent="0.3">
      <c r="A203" t="s">
        <v>654</v>
      </c>
    </row>
    <row r="204" spans="1:1" x14ac:dyDescent="0.3">
      <c r="A204" t="s">
        <v>653</v>
      </c>
    </row>
    <row r="205" spans="1:1" x14ac:dyDescent="0.3">
      <c r="A205" t="s">
        <v>652</v>
      </c>
    </row>
    <row r="206" spans="1:1" x14ac:dyDescent="0.3">
      <c r="A206" t="s">
        <v>651</v>
      </c>
    </row>
    <row r="207" spans="1:1" x14ac:dyDescent="0.3">
      <c r="A207" t="s">
        <v>650</v>
      </c>
    </row>
    <row r="208" spans="1:1" x14ac:dyDescent="0.3">
      <c r="A208" t="s">
        <v>649</v>
      </c>
    </row>
    <row r="209" spans="1:1" x14ac:dyDescent="0.3">
      <c r="A209" t="s">
        <v>648</v>
      </c>
    </row>
    <row r="210" spans="1:1" x14ac:dyDescent="0.3">
      <c r="A210" t="s">
        <v>647</v>
      </c>
    </row>
    <row r="211" spans="1:1" x14ac:dyDescent="0.3">
      <c r="A211" t="s">
        <v>646</v>
      </c>
    </row>
    <row r="212" spans="1:1" x14ac:dyDescent="0.3">
      <c r="A212" t="s">
        <v>645</v>
      </c>
    </row>
    <row r="213" spans="1:1" x14ac:dyDescent="0.3">
      <c r="A213" t="s">
        <v>644</v>
      </c>
    </row>
    <row r="214" spans="1:1" x14ac:dyDescent="0.3">
      <c r="A214" t="s">
        <v>643</v>
      </c>
    </row>
    <row r="215" spans="1:1" x14ac:dyDescent="0.3">
      <c r="A215" t="s">
        <v>642</v>
      </c>
    </row>
    <row r="216" spans="1:1" x14ac:dyDescent="0.3">
      <c r="A216" t="s">
        <v>641</v>
      </c>
    </row>
    <row r="217" spans="1:1" x14ac:dyDescent="0.3">
      <c r="A217" t="s">
        <v>640</v>
      </c>
    </row>
    <row r="218" spans="1:1" x14ac:dyDescent="0.3">
      <c r="A218" t="s">
        <v>639</v>
      </c>
    </row>
    <row r="219" spans="1:1" x14ac:dyDescent="0.3">
      <c r="A219" t="s">
        <v>638</v>
      </c>
    </row>
    <row r="220" spans="1:1" x14ac:dyDescent="0.3">
      <c r="A220" t="s">
        <v>637</v>
      </c>
    </row>
    <row r="221" spans="1:1" x14ac:dyDescent="0.3">
      <c r="A221" t="s">
        <v>636</v>
      </c>
    </row>
    <row r="222" spans="1:1" x14ac:dyDescent="0.3">
      <c r="A222" t="s">
        <v>635</v>
      </c>
    </row>
    <row r="223" spans="1:1" x14ac:dyDescent="0.3">
      <c r="A223" t="s">
        <v>634</v>
      </c>
    </row>
    <row r="224" spans="1:1" x14ac:dyDescent="0.3">
      <c r="A224" t="s">
        <v>633</v>
      </c>
    </row>
    <row r="225" spans="1:1" x14ac:dyDescent="0.3">
      <c r="A225" t="s">
        <v>632</v>
      </c>
    </row>
    <row r="226" spans="1:1" x14ac:dyDescent="0.3">
      <c r="A226" t="s">
        <v>631</v>
      </c>
    </row>
    <row r="227" spans="1:1" x14ac:dyDescent="0.3">
      <c r="A227" t="s">
        <v>630</v>
      </c>
    </row>
    <row r="228" spans="1:1" x14ac:dyDescent="0.3">
      <c r="A228" t="s">
        <v>629</v>
      </c>
    </row>
    <row r="229" spans="1:1" x14ac:dyDescent="0.3">
      <c r="A229" t="s">
        <v>628</v>
      </c>
    </row>
    <row r="230" spans="1:1" x14ac:dyDescent="0.3">
      <c r="A230" t="s">
        <v>627</v>
      </c>
    </row>
    <row r="231" spans="1:1" x14ac:dyDescent="0.3">
      <c r="A231" t="s">
        <v>626</v>
      </c>
    </row>
    <row r="232" spans="1:1" x14ac:dyDescent="0.3">
      <c r="A232" t="s">
        <v>625</v>
      </c>
    </row>
    <row r="233" spans="1:1" x14ac:dyDescent="0.3">
      <c r="A233" t="s">
        <v>624</v>
      </c>
    </row>
    <row r="234" spans="1:1" x14ac:dyDescent="0.3">
      <c r="A234" t="s">
        <v>623</v>
      </c>
    </row>
    <row r="235" spans="1:1" x14ac:dyDescent="0.3">
      <c r="A235" t="s">
        <v>622</v>
      </c>
    </row>
    <row r="236" spans="1:1" x14ac:dyDescent="0.3">
      <c r="A236" t="s">
        <v>621</v>
      </c>
    </row>
    <row r="237" spans="1:1" x14ac:dyDescent="0.3">
      <c r="A237" t="s">
        <v>620</v>
      </c>
    </row>
    <row r="238" spans="1:1" x14ac:dyDescent="0.3">
      <c r="A238" t="s">
        <v>619</v>
      </c>
    </row>
    <row r="239" spans="1:1" x14ac:dyDescent="0.3">
      <c r="A239" t="s">
        <v>618</v>
      </c>
    </row>
    <row r="240" spans="1:1" x14ac:dyDescent="0.3">
      <c r="A240" t="s">
        <v>617</v>
      </c>
    </row>
    <row r="241" spans="1:1" x14ac:dyDescent="0.3">
      <c r="A241" t="s">
        <v>616</v>
      </c>
    </row>
    <row r="242" spans="1:1" x14ac:dyDescent="0.3">
      <c r="A242" t="s">
        <v>615</v>
      </c>
    </row>
    <row r="243" spans="1:1" x14ac:dyDescent="0.3">
      <c r="A243" t="s">
        <v>614</v>
      </c>
    </row>
    <row r="244" spans="1:1" x14ac:dyDescent="0.3">
      <c r="A244" t="s">
        <v>613</v>
      </c>
    </row>
    <row r="245" spans="1:1" x14ac:dyDescent="0.3">
      <c r="A245" t="s">
        <v>612</v>
      </c>
    </row>
    <row r="246" spans="1:1" x14ac:dyDescent="0.3">
      <c r="A246" t="s">
        <v>611</v>
      </c>
    </row>
    <row r="247" spans="1:1" x14ac:dyDescent="0.3">
      <c r="A247" t="s">
        <v>610</v>
      </c>
    </row>
    <row r="248" spans="1:1" x14ac:dyDescent="0.3">
      <c r="A248" t="s">
        <v>609</v>
      </c>
    </row>
    <row r="249" spans="1:1" x14ac:dyDescent="0.3">
      <c r="A249" t="s">
        <v>608</v>
      </c>
    </row>
    <row r="250" spans="1:1" x14ac:dyDescent="0.3">
      <c r="A250" t="s">
        <v>607</v>
      </c>
    </row>
    <row r="251" spans="1:1" x14ac:dyDescent="0.3">
      <c r="A251" t="s">
        <v>606</v>
      </c>
    </row>
    <row r="252" spans="1:1" x14ac:dyDescent="0.3">
      <c r="A252" t="s">
        <v>605</v>
      </c>
    </row>
    <row r="253" spans="1:1" x14ac:dyDescent="0.3">
      <c r="A253" t="s">
        <v>604</v>
      </c>
    </row>
    <row r="254" spans="1:1" x14ac:dyDescent="0.3">
      <c r="A254" t="s">
        <v>603</v>
      </c>
    </row>
    <row r="255" spans="1:1" x14ac:dyDescent="0.3">
      <c r="A255" t="s">
        <v>602</v>
      </c>
    </row>
    <row r="256" spans="1:1" x14ac:dyDescent="0.3">
      <c r="A256" t="s">
        <v>601</v>
      </c>
    </row>
    <row r="257" spans="1:1" x14ac:dyDescent="0.3">
      <c r="A257" t="s">
        <v>600</v>
      </c>
    </row>
    <row r="258" spans="1:1" x14ac:dyDescent="0.3">
      <c r="A258" t="s">
        <v>599</v>
      </c>
    </row>
    <row r="259" spans="1:1" x14ac:dyDescent="0.3">
      <c r="A259" t="s">
        <v>598</v>
      </c>
    </row>
    <row r="260" spans="1:1" x14ac:dyDescent="0.3">
      <c r="A260" t="s">
        <v>597</v>
      </c>
    </row>
    <row r="261" spans="1:1" x14ac:dyDescent="0.3">
      <c r="A261" t="s">
        <v>596</v>
      </c>
    </row>
    <row r="262" spans="1:1" x14ac:dyDescent="0.3">
      <c r="A262" t="s">
        <v>595</v>
      </c>
    </row>
    <row r="263" spans="1:1" x14ac:dyDescent="0.3">
      <c r="A263" t="s">
        <v>594</v>
      </c>
    </row>
    <row r="264" spans="1:1" x14ac:dyDescent="0.3">
      <c r="A264" t="s">
        <v>593</v>
      </c>
    </row>
    <row r="265" spans="1:1" x14ac:dyDescent="0.3">
      <c r="A265" t="s">
        <v>592</v>
      </c>
    </row>
    <row r="266" spans="1:1" x14ac:dyDescent="0.3">
      <c r="A266" t="s">
        <v>591</v>
      </c>
    </row>
    <row r="267" spans="1:1" x14ac:dyDescent="0.3">
      <c r="A267" t="s">
        <v>590</v>
      </c>
    </row>
    <row r="268" spans="1:1" x14ac:dyDescent="0.3">
      <c r="A268" t="s">
        <v>589</v>
      </c>
    </row>
    <row r="269" spans="1:1" x14ac:dyDescent="0.3">
      <c r="A269" t="s">
        <v>588</v>
      </c>
    </row>
    <row r="270" spans="1:1" x14ac:dyDescent="0.3">
      <c r="A270" t="s">
        <v>587</v>
      </c>
    </row>
    <row r="271" spans="1:1" x14ac:dyDescent="0.3">
      <c r="A271" t="s">
        <v>586</v>
      </c>
    </row>
    <row r="272" spans="1:1" x14ac:dyDescent="0.3">
      <c r="A272" t="s">
        <v>585</v>
      </c>
    </row>
    <row r="273" spans="1:1" x14ac:dyDescent="0.3">
      <c r="A273" t="s">
        <v>584</v>
      </c>
    </row>
    <row r="274" spans="1:1" x14ac:dyDescent="0.3">
      <c r="A274" t="s">
        <v>583</v>
      </c>
    </row>
    <row r="275" spans="1:1" x14ac:dyDescent="0.3">
      <c r="A275" t="s">
        <v>582</v>
      </c>
    </row>
    <row r="276" spans="1:1" x14ac:dyDescent="0.3">
      <c r="A276" t="s">
        <v>581</v>
      </c>
    </row>
    <row r="277" spans="1:1" x14ac:dyDescent="0.3">
      <c r="A277" t="s">
        <v>580</v>
      </c>
    </row>
    <row r="278" spans="1:1" x14ac:dyDescent="0.3">
      <c r="A278" t="s">
        <v>579</v>
      </c>
    </row>
    <row r="279" spans="1:1" x14ac:dyDescent="0.3">
      <c r="A279" t="s">
        <v>578</v>
      </c>
    </row>
    <row r="280" spans="1:1" x14ac:dyDescent="0.3">
      <c r="A280" t="s">
        <v>577</v>
      </c>
    </row>
    <row r="281" spans="1:1" x14ac:dyDescent="0.3">
      <c r="A281" t="s">
        <v>576</v>
      </c>
    </row>
    <row r="283" spans="1:1" x14ac:dyDescent="0.3">
      <c r="A283" t="s">
        <v>314</v>
      </c>
    </row>
    <row r="284" spans="1:1" x14ac:dyDescent="0.3">
      <c r="A284" t="s">
        <v>315</v>
      </c>
    </row>
    <row r="285" spans="1:1" x14ac:dyDescent="0.3">
      <c r="A285" t="s">
        <v>314</v>
      </c>
    </row>
    <row r="287" spans="1:1" x14ac:dyDescent="0.3">
      <c r="A287" t="s">
        <v>313</v>
      </c>
    </row>
    <row r="288" spans="1:1" x14ac:dyDescent="0.3">
      <c r="A288" t="s">
        <v>312</v>
      </c>
    </row>
    <row r="289" spans="1:1" x14ac:dyDescent="0.3">
      <c r="A289">
        <v>246</v>
      </c>
    </row>
    <row r="290" spans="1:1" x14ac:dyDescent="0.3">
      <c r="A290" t="s">
        <v>311</v>
      </c>
    </row>
    <row r="293" spans="1:1" x14ac:dyDescent="0.3">
      <c r="A293" t="s">
        <v>310</v>
      </c>
    </row>
    <row r="294" spans="1:1" x14ac:dyDescent="0.3">
      <c r="A294" t="s">
        <v>575</v>
      </c>
    </row>
    <row r="297" spans="1:1" x14ac:dyDescent="0.3">
      <c r="A297" t="s">
        <v>309</v>
      </c>
    </row>
    <row r="299" spans="1:1" x14ac:dyDescent="0.3">
      <c r="A299" t="s">
        <v>308</v>
      </c>
    </row>
    <row r="300" spans="1:1" x14ac:dyDescent="0.3">
      <c r="A300" t="s">
        <v>574</v>
      </c>
    </row>
    <row r="301" spans="1:1" x14ac:dyDescent="0.3">
      <c r="A301" t="s">
        <v>573</v>
      </c>
    </row>
    <row r="302" spans="1:1" x14ac:dyDescent="0.3">
      <c r="A302" t="s">
        <v>572</v>
      </c>
    </row>
    <row r="303" spans="1:1" x14ac:dyDescent="0.3">
      <c r="A303" t="s">
        <v>571</v>
      </c>
    </row>
    <row r="304" spans="1:1" x14ac:dyDescent="0.3">
      <c r="A304" t="s">
        <v>570</v>
      </c>
    </row>
    <row r="305" spans="1:1" x14ac:dyDescent="0.3">
      <c r="A305" t="s">
        <v>569</v>
      </c>
    </row>
    <row r="306" spans="1:1" x14ac:dyDescent="0.3">
      <c r="A306" t="s">
        <v>568</v>
      </c>
    </row>
    <row r="307" spans="1:1" x14ac:dyDescent="0.3">
      <c r="A307" t="s">
        <v>567</v>
      </c>
    </row>
    <row r="308" spans="1:1" x14ac:dyDescent="0.3">
      <c r="A308" t="s">
        <v>566</v>
      </c>
    </row>
    <row r="309" spans="1:1" x14ac:dyDescent="0.3">
      <c r="A309" t="s">
        <v>565</v>
      </c>
    </row>
    <row r="310" spans="1:1" x14ac:dyDescent="0.3">
      <c r="A310" t="s">
        <v>564</v>
      </c>
    </row>
    <row r="311" spans="1:1" x14ac:dyDescent="0.3">
      <c r="A311" t="s">
        <v>563</v>
      </c>
    </row>
    <row r="312" spans="1:1" x14ac:dyDescent="0.3">
      <c r="A312" t="s">
        <v>562</v>
      </c>
    </row>
    <row r="313" spans="1:1" x14ac:dyDescent="0.3">
      <c r="A313" t="s">
        <v>561</v>
      </c>
    </row>
    <row r="314" spans="1:1" x14ac:dyDescent="0.3">
      <c r="A314" t="s">
        <v>560</v>
      </c>
    </row>
    <row r="315" spans="1:1" x14ac:dyDescent="0.3">
      <c r="A315" t="s">
        <v>559</v>
      </c>
    </row>
    <row r="316" spans="1:1" x14ac:dyDescent="0.3">
      <c r="A316" t="s">
        <v>558</v>
      </c>
    </row>
    <row r="317" spans="1:1" x14ac:dyDescent="0.3">
      <c r="A317" t="s">
        <v>557</v>
      </c>
    </row>
    <row r="318" spans="1:1" x14ac:dyDescent="0.3">
      <c r="A318" t="s">
        <v>556</v>
      </c>
    </row>
    <row r="319" spans="1:1" x14ac:dyDescent="0.3">
      <c r="A319" t="s">
        <v>555</v>
      </c>
    </row>
    <row r="320" spans="1:1" x14ac:dyDescent="0.3">
      <c r="A320" t="s">
        <v>554</v>
      </c>
    </row>
    <row r="321" spans="1:1" x14ac:dyDescent="0.3">
      <c r="A321" t="s">
        <v>553</v>
      </c>
    </row>
    <row r="322" spans="1:1" x14ac:dyDescent="0.3">
      <c r="A322" t="s">
        <v>552</v>
      </c>
    </row>
    <row r="323" spans="1:1" x14ac:dyDescent="0.3">
      <c r="A323" t="s">
        <v>551</v>
      </c>
    </row>
    <row r="324" spans="1:1" x14ac:dyDescent="0.3">
      <c r="A324" t="s">
        <v>550</v>
      </c>
    </row>
    <row r="325" spans="1:1" x14ac:dyDescent="0.3">
      <c r="A325" t="s">
        <v>549</v>
      </c>
    </row>
    <row r="326" spans="1:1" x14ac:dyDescent="0.3">
      <c r="A326" t="s">
        <v>548</v>
      </c>
    </row>
    <row r="327" spans="1:1" x14ac:dyDescent="0.3">
      <c r="A327" t="s">
        <v>547</v>
      </c>
    </row>
    <row r="328" spans="1:1" x14ac:dyDescent="0.3">
      <c r="A328" t="s">
        <v>546</v>
      </c>
    </row>
    <row r="329" spans="1:1" x14ac:dyDescent="0.3">
      <c r="A329" t="s">
        <v>545</v>
      </c>
    </row>
    <row r="330" spans="1:1" x14ac:dyDescent="0.3">
      <c r="A330" t="s">
        <v>544</v>
      </c>
    </row>
    <row r="331" spans="1:1" x14ac:dyDescent="0.3">
      <c r="A331" t="s">
        <v>543</v>
      </c>
    </row>
    <row r="332" spans="1:1" x14ac:dyDescent="0.3">
      <c r="A332" t="s">
        <v>542</v>
      </c>
    </row>
    <row r="333" spans="1:1" x14ac:dyDescent="0.3">
      <c r="A333" t="s">
        <v>541</v>
      </c>
    </row>
    <row r="334" spans="1:1" x14ac:dyDescent="0.3">
      <c r="A334" t="s">
        <v>540</v>
      </c>
    </row>
    <row r="335" spans="1:1" x14ac:dyDescent="0.3">
      <c r="A335" t="s">
        <v>539</v>
      </c>
    </row>
    <row r="336" spans="1:1" x14ac:dyDescent="0.3">
      <c r="A336" t="s">
        <v>538</v>
      </c>
    </row>
    <row r="337" spans="1:1" x14ac:dyDescent="0.3">
      <c r="A337" t="s">
        <v>537</v>
      </c>
    </row>
    <row r="338" spans="1:1" x14ac:dyDescent="0.3">
      <c r="A338" t="s">
        <v>536</v>
      </c>
    </row>
    <row r="339" spans="1:1" x14ac:dyDescent="0.3">
      <c r="A339" t="s">
        <v>535</v>
      </c>
    </row>
    <row r="340" spans="1:1" x14ac:dyDescent="0.3">
      <c r="A340" t="s">
        <v>534</v>
      </c>
    </row>
    <row r="341" spans="1:1" x14ac:dyDescent="0.3">
      <c r="A341" t="s">
        <v>533</v>
      </c>
    </row>
    <row r="342" spans="1:1" x14ac:dyDescent="0.3">
      <c r="A342" t="s">
        <v>532</v>
      </c>
    </row>
    <row r="343" spans="1:1" x14ac:dyDescent="0.3">
      <c r="A343" t="s">
        <v>531</v>
      </c>
    </row>
    <row r="344" spans="1:1" x14ac:dyDescent="0.3">
      <c r="A344" t="s">
        <v>530</v>
      </c>
    </row>
    <row r="345" spans="1:1" x14ac:dyDescent="0.3">
      <c r="A345" t="s">
        <v>529</v>
      </c>
    </row>
    <row r="346" spans="1:1" x14ac:dyDescent="0.3">
      <c r="A346" t="s">
        <v>528</v>
      </c>
    </row>
    <row r="347" spans="1:1" x14ac:dyDescent="0.3">
      <c r="A347" t="s">
        <v>527</v>
      </c>
    </row>
    <row r="348" spans="1:1" x14ac:dyDescent="0.3">
      <c r="A348" t="s">
        <v>526</v>
      </c>
    </row>
    <row r="349" spans="1:1" x14ac:dyDescent="0.3">
      <c r="A349" t="s">
        <v>525</v>
      </c>
    </row>
    <row r="350" spans="1:1" x14ac:dyDescent="0.3">
      <c r="A350" t="s">
        <v>524</v>
      </c>
    </row>
    <row r="351" spans="1:1" x14ac:dyDescent="0.3">
      <c r="A351" t="s">
        <v>523</v>
      </c>
    </row>
    <row r="352" spans="1:1" x14ac:dyDescent="0.3">
      <c r="A352" t="s">
        <v>522</v>
      </c>
    </row>
    <row r="353" spans="1:1" x14ac:dyDescent="0.3">
      <c r="A353" t="s">
        <v>521</v>
      </c>
    </row>
    <row r="354" spans="1:1" x14ac:dyDescent="0.3">
      <c r="A354" t="s">
        <v>520</v>
      </c>
    </row>
    <row r="355" spans="1:1" x14ac:dyDescent="0.3">
      <c r="A355" t="s">
        <v>519</v>
      </c>
    </row>
    <row r="356" spans="1:1" x14ac:dyDescent="0.3">
      <c r="A356" t="s">
        <v>518</v>
      </c>
    </row>
    <row r="357" spans="1:1" x14ac:dyDescent="0.3">
      <c r="A357" t="s">
        <v>517</v>
      </c>
    </row>
    <row r="358" spans="1:1" x14ac:dyDescent="0.3">
      <c r="A358" t="s">
        <v>516</v>
      </c>
    </row>
    <row r="359" spans="1:1" x14ac:dyDescent="0.3">
      <c r="A359" t="s">
        <v>515</v>
      </c>
    </row>
    <row r="360" spans="1:1" x14ac:dyDescent="0.3">
      <c r="A360" t="s">
        <v>514</v>
      </c>
    </row>
    <row r="361" spans="1:1" x14ac:dyDescent="0.3">
      <c r="A361" t="s">
        <v>513</v>
      </c>
    </row>
    <row r="362" spans="1:1" x14ac:dyDescent="0.3">
      <c r="A362" t="s">
        <v>512</v>
      </c>
    </row>
    <row r="363" spans="1:1" x14ac:dyDescent="0.3">
      <c r="A363" t="s">
        <v>511</v>
      </c>
    </row>
    <row r="364" spans="1:1" x14ac:dyDescent="0.3">
      <c r="A364" t="s">
        <v>510</v>
      </c>
    </row>
    <row r="365" spans="1:1" x14ac:dyDescent="0.3">
      <c r="A365" t="s">
        <v>509</v>
      </c>
    </row>
    <row r="366" spans="1:1" x14ac:dyDescent="0.3">
      <c r="A366" t="s">
        <v>508</v>
      </c>
    </row>
    <row r="367" spans="1:1" x14ac:dyDescent="0.3">
      <c r="A367" t="s">
        <v>507</v>
      </c>
    </row>
    <row r="368" spans="1:1" x14ac:dyDescent="0.3">
      <c r="A368" t="s">
        <v>506</v>
      </c>
    </row>
    <row r="369" spans="1:1" x14ac:dyDescent="0.3">
      <c r="A369" t="s">
        <v>505</v>
      </c>
    </row>
    <row r="370" spans="1:1" x14ac:dyDescent="0.3">
      <c r="A370" t="s">
        <v>504</v>
      </c>
    </row>
    <row r="371" spans="1:1" x14ac:dyDescent="0.3">
      <c r="A371" t="s">
        <v>503</v>
      </c>
    </row>
    <row r="372" spans="1:1" x14ac:dyDescent="0.3">
      <c r="A372" t="s">
        <v>502</v>
      </c>
    </row>
    <row r="373" spans="1:1" x14ac:dyDescent="0.3">
      <c r="A373" t="s">
        <v>501</v>
      </c>
    </row>
    <row r="374" spans="1:1" x14ac:dyDescent="0.3">
      <c r="A374" t="s">
        <v>500</v>
      </c>
    </row>
    <row r="375" spans="1:1" x14ac:dyDescent="0.3">
      <c r="A375" t="s">
        <v>499</v>
      </c>
    </row>
    <row r="376" spans="1:1" x14ac:dyDescent="0.3">
      <c r="A376" t="s">
        <v>498</v>
      </c>
    </row>
    <row r="377" spans="1:1" x14ac:dyDescent="0.3">
      <c r="A377" t="s">
        <v>497</v>
      </c>
    </row>
    <row r="378" spans="1:1" x14ac:dyDescent="0.3">
      <c r="A378" t="s">
        <v>496</v>
      </c>
    </row>
    <row r="379" spans="1:1" x14ac:dyDescent="0.3">
      <c r="A379" t="s">
        <v>495</v>
      </c>
    </row>
    <row r="380" spans="1:1" x14ac:dyDescent="0.3">
      <c r="A380" t="s">
        <v>494</v>
      </c>
    </row>
    <row r="381" spans="1:1" x14ac:dyDescent="0.3">
      <c r="A381" t="s">
        <v>493</v>
      </c>
    </row>
    <row r="382" spans="1:1" x14ac:dyDescent="0.3">
      <c r="A382" t="s">
        <v>492</v>
      </c>
    </row>
    <row r="383" spans="1:1" x14ac:dyDescent="0.3">
      <c r="A383" t="s">
        <v>491</v>
      </c>
    </row>
    <row r="384" spans="1:1" x14ac:dyDescent="0.3">
      <c r="A384" t="s">
        <v>490</v>
      </c>
    </row>
    <row r="385" spans="1:1" x14ac:dyDescent="0.3">
      <c r="A385" t="s">
        <v>489</v>
      </c>
    </row>
    <row r="386" spans="1:1" x14ac:dyDescent="0.3">
      <c r="A386" t="s">
        <v>488</v>
      </c>
    </row>
    <row r="387" spans="1:1" x14ac:dyDescent="0.3">
      <c r="A387" t="s">
        <v>487</v>
      </c>
    </row>
    <row r="388" spans="1:1" x14ac:dyDescent="0.3">
      <c r="A388" t="s">
        <v>486</v>
      </c>
    </row>
    <row r="389" spans="1:1" x14ac:dyDescent="0.3">
      <c r="A389" t="s">
        <v>485</v>
      </c>
    </row>
    <row r="390" spans="1:1" x14ac:dyDescent="0.3">
      <c r="A390" t="s">
        <v>484</v>
      </c>
    </row>
    <row r="391" spans="1:1" x14ac:dyDescent="0.3">
      <c r="A391" t="s">
        <v>483</v>
      </c>
    </row>
    <row r="392" spans="1:1" x14ac:dyDescent="0.3">
      <c r="A392" t="s">
        <v>482</v>
      </c>
    </row>
    <row r="393" spans="1:1" x14ac:dyDescent="0.3">
      <c r="A393" t="s">
        <v>481</v>
      </c>
    </row>
    <row r="394" spans="1:1" x14ac:dyDescent="0.3">
      <c r="A394" t="s">
        <v>480</v>
      </c>
    </row>
    <row r="395" spans="1:1" x14ac:dyDescent="0.3">
      <c r="A395" t="s">
        <v>479</v>
      </c>
    </row>
    <row r="396" spans="1:1" x14ac:dyDescent="0.3">
      <c r="A396" t="s">
        <v>478</v>
      </c>
    </row>
    <row r="397" spans="1:1" x14ac:dyDescent="0.3">
      <c r="A397" t="s">
        <v>477</v>
      </c>
    </row>
    <row r="398" spans="1:1" x14ac:dyDescent="0.3">
      <c r="A398" t="s">
        <v>476</v>
      </c>
    </row>
    <row r="399" spans="1:1" x14ac:dyDescent="0.3">
      <c r="A399" t="s">
        <v>475</v>
      </c>
    </row>
    <row r="400" spans="1:1" x14ac:dyDescent="0.3">
      <c r="A400" t="s">
        <v>474</v>
      </c>
    </row>
    <row r="401" spans="1:1" x14ac:dyDescent="0.3">
      <c r="A401" t="s">
        <v>473</v>
      </c>
    </row>
    <row r="402" spans="1:1" x14ac:dyDescent="0.3">
      <c r="A402" t="s">
        <v>472</v>
      </c>
    </row>
    <row r="403" spans="1:1" x14ac:dyDescent="0.3">
      <c r="A403" t="s">
        <v>471</v>
      </c>
    </row>
    <row r="404" spans="1:1" x14ac:dyDescent="0.3">
      <c r="A404" t="s">
        <v>470</v>
      </c>
    </row>
    <row r="405" spans="1:1" x14ac:dyDescent="0.3">
      <c r="A405" t="s">
        <v>469</v>
      </c>
    </row>
    <row r="406" spans="1:1" x14ac:dyDescent="0.3">
      <c r="A406" t="s">
        <v>468</v>
      </c>
    </row>
    <row r="407" spans="1:1" x14ac:dyDescent="0.3">
      <c r="A407" t="s">
        <v>467</v>
      </c>
    </row>
    <row r="408" spans="1:1" x14ac:dyDescent="0.3">
      <c r="A408" t="s">
        <v>466</v>
      </c>
    </row>
    <row r="409" spans="1:1" x14ac:dyDescent="0.3">
      <c r="A409" t="s">
        <v>465</v>
      </c>
    </row>
    <row r="410" spans="1:1" x14ac:dyDescent="0.3">
      <c r="A410" t="s">
        <v>464</v>
      </c>
    </row>
    <row r="411" spans="1:1" x14ac:dyDescent="0.3">
      <c r="A411" t="s">
        <v>463</v>
      </c>
    </row>
    <row r="412" spans="1:1" x14ac:dyDescent="0.3">
      <c r="A412" t="s">
        <v>462</v>
      </c>
    </row>
    <row r="413" spans="1:1" x14ac:dyDescent="0.3">
      <c r="A413" t="s">
        <v>461</v>
      </c>
    </row>
    <row r="414" spans="1:1" x14ac:dyDescent="0.3">
      <c r="A414" t="s">
        <v>460</v>
      </c>
    </row>
    <row r="415" spans="1:1" x14ac:dyDescent="0.3">
      <c r="A415" t="s">
        <v>459</v>
      </c>
    </row>
    <row r="416" spans="1:1" x14ac:dyDescent="0.3">
      <c r="A416" t="s">
        <v>458</v>
      </c>
    </row>
    <row r="417" spans="1:1" x14ac:dyDescent="0.3">
      <c r="A417" t="s">
        <v>457</v>
      </c>
    </row>
    <row r="418" spans="1:1" x14ac:dyDescent="0.3">
      <c r="A418" t="s">
        <v>456</v>
      </c>
    </row>
    <row r="419" spans="1:1" x14ac:dyDescent="0.3">
      <c r="A419" t="s">
        <v>455</v>
      </c>
    </row>
    <row r="420" spans="1:1" x14ac:dyDescent="0.3">
      <c r="A420" t="s">
        <v>454</v>
      </c>
    </row>
    <row r="421" spans="1:1" x14ac:dyDescent="0.3">
      <c r="A421" t="s">
        <v>453</v>
      </c>
    </row>
    <row r="422" spans="1:1" x14ac:dyDescent="0.3">
      <c r="A422" t="s">
        <v>452</v>
      </c>
    </row>
    <row r="423" spans="1:1" x14ac:dyDescent="0.3">
      <c r="A423" t="s">
        <v>451</v>
      </c>
    </row>
    <row r="424" spans="1:1" x14ac:dyDescent="0.3">
      <c r="A424" t="s">
        <v>450</v>
      </c>
    </row>
    <row r="425" spans="1:1" x14ac:dyDescent="0.3">
      <c r="A425" t="s">
        <v>449</v>
      </c>
    </row>
    <row r="426" spans="1:1" x14ac:dyDescent="0.3">
      <c r="A426" t="s">
        <v>448</v>
      </c>
    </row>
    <row r="427" spans="1:1" x14ac:dyDescent="0.3">
      <c r="A427" t="s">
        <v>447</v>
      </c>
    </row>
    <row r="428" spans="1:1" x14ac:dyDescent="0.3">
      <c r="A428" t="s">
        <v>446</v>
      </c>
    </row>
    <row r="429" spans="1:1" x14ac:dyDescent="0.3">
      <c r="A429" t="s">
        <v>445</v>
      </c>
    </row>
    <row r="430" spans="1:1" x14ac:dyDescent="0.3">
      <c r="A430" t="s">
        <v>444</v>
      </c>
    </row>
    <row r="431" spans="1:1" x14ac:dyDescent="0.3">
      <c r="A431" t="s">
        <v>443</v>
      </c>
    </row>
    <row r="432" spans="1:1" x14ac:dyDescent="0.3">
      <c r="A432" t="s">
        <v>442</v>
      </c>
    </row>
    <row r="433" spans="1:1" x14ac:dyDescent="0.3">
      <c r="A433" t="s">
        <v>441</v>
      </c>
    </row>
    <row r="434" spans="1:1" x14ac:dyDescent="0.3">
      <c r="A434" t="s">
        <v>440</v>
      </c>
    </row>
    <row r="435" spans="1:1" x14ac:dyDescent="0.3">
      <c r="A435" t="s">
        <v>439</v>
      </c>
    </row>
    <row r="436" spans="1:1" x14ac:dyDescent="0.3">
      <c r="A436" t="s">
        <v>438</v>
      </c>
    </row>
    <row r="437" spans="1:1" x14ac:dyDescent="0.3">
      <c r="A437" t="s">
        <v>437</v>
      </c>
    </row>
    <row r="438" spans="1:1" x14ac:dyDescent="0.3">
      <c r="A438" t="s">
        <v>436</v>
      </c>
    </row>
    <row r="439" spans="1:1" x14ac:dyDescent="0.3">
      <c r="A439" t="s">
        <v>435</v>
      </c>
    </row>
    <row r="440" spans="1:1" x14ac:dyDescent="0.3">
      <c r="A440" t="s">
        <v>434</v>
      </c>
    </row>
    <row r="441" spans="1:1" x14ac:dyDescent="0.3">
      <c r="A441" t="s">
        <v>433</v>
      </c>
    </row>
    <row r="442" spans="1:1" x14ac:dyDescent="0.3">
      <c r="A442" t="s">
        <v>432</v>
      </c>
    </row>
    <row r="443" spans="1:1" x14ac:dyDescent="0.3">
      <c r="A443" t="s">
        <v>431</v>
      </c>
    </row>
    <row r="444" spans="1:1" x14ac:dyDescent="0.3">
      <c r="A444" t="s">
        <v>430</v>
      </c>
    </row>
    <row r="445" spans="1:1" x14ac:dyDescent="0.3">
      <c r="A445" t="s">
        <v>429</v>
      </c>
    </row>
    <row r="446" spans="1:1" x14ac:dyDescent="0.3">
      <c r="A446" t="s">
        <v>428</v>
      </c>
    </row>
    <row r="447" spans="1:1" x14ac:dyDescent="0.3">
      <c r="A447" t="s">
        <v>427</v>
      </c>
    </row>
    <row r="448" spans="1:1" x14ac:dyDescent="0.3">
      <c r="A448" t="s">
        <v>426</v>
      </c>
    </row>
    <row r="449" spans="1:1" x14ac:dyDescent="0.3">
      <c r="A449" t="s">
        <v>425</v>
      </c>
    </row>
    <row r="450" spans="1:1" x14ac:dyDescent="0.3">
      <c r="A450" t="s">
        <v>424</v>
      </c>
    </row>
    <row r="451" spans="1:1" x14ac:dyDescent="0.3">
      <c r="A451" t="s">
        <v>423</v>
      </c>
    </row>
    <row r="452" spans="1:1" x14ac:dyDescent="0.3">
      <c r="A452" t="s">
        <v>422</v>
      </c>
    </row>
    <row r="453" spans="1:1" x14ac:dyDescent="0.3">
      <c r="A453" t="s">
        <v>421</v>
      </c>
    </row>
    <row r="454" spans="1:1" x14ac:dyDescent="0.3">
      <c r="A454" t="s">
        <v>420</v>
      </c>
    </row>
    <row r="455" spans="1:1" x14ac:dyDescent="0.3">
      <c r="A455" t="s">
        <v>419</v>
      </c>
    </row>
    <row r="456" spans="1:1" x14ac:dyDescent="0.3">
      <c r="A456" t="s">
        <v>418</v>
      </c>
    </row>
    <row r="457" spans="1:1" x14ac:dyDescent="0.3">
      <c r="A457" t="s">
        <v>417</v>
      </c>
    </row>
    <row r="458" spans="1:1" x14ac:dyDescent="0.3">
      <c r="A458" t="s">
        <v>416</v>
      </c>
    </row>
    <row r="459" spans="1:1" x14ac:dyDescent="0.3">
      <c r="A459" t="s">
        <v>415</v>
      </c>
    </row>
    <row r="460" spans="1:1" x14ac:dyDescent="0.3">
      <c r="A460" t="s">
        <v>414</v>
      </c>
    </row>
    <row r="461" spans="1:1" x14ac:dyDescent="0.3">
      <c r="A461" t="s">
        <v>413</v>
      </c>
    </row>
    <row r="462" spans="1:1" x14ac:dyDescent="0.3">
      <c r="A462" t="s">
        <v>412</v>
      </c>
    </row>
    <row r="463" spans="1:1" x14ac:dyDescent="0.3">
      <c r="A463" t="s">
        <v>411</v>
      </c>
    </row>
    <row r="464" spans="1:1" x14ac:dyDescent="0.3">
      <c r="A464" t="s">
        <v>410</v>
      </c>
    </row>
    <row r="465" spans="1:1" x14ac:dyDescent="0.3">
      <c r="A465" t="s">
        <v>409</v>
      </c>
    </row>
    <row r="466" spans="1:1" x14ac:dyDescent="0.3">
      <c r="A466" t="s">
        <v>408</v>
      </c>
    </row>
    <row r="467" spans="1:1" x14ac:dyDescent="0.3">
      <c r="A467" t="s">
        <v>407</v>
      </c>
    </row>
    <row r="468" spans="1:1" x14ac:dyDescent="0.3">
      <c r="A468" t="s">
        <v>406</v>
      </c>
    </row>
    <row r="469" spans="1:1" x14ac:dyDescent="0.3">
      <c r="A469" t="s">
        <v>405</v>
      </c>
    </row>
    <row r="470" spans="1:1" x14ac:dyDescent="0.3">
      <c r="A470" t="s">
        <v>404</v>
      </c>
    </row>
    <row r="471" spans="1:1" x14ac:dyDescent="0.3">
      <c r="A471" t="s">
        <v>403</v>
      </c>
    </row>
    <row r="472" spans="1:1" x14ac:dyDescent="0.3">
      <c r="A472" t="s">
        <v>402</v>
      </c>
    </row>
    <row r="473" spans="1:1" x14ac:dyDescent="0.3">
      <c r="A473" t="s">
        <v>401</v>
      </c>
    </row>
    <row r="474" spans="1:1" x14ac:dyDescent="0.3">
      <c r="A474" t="s">
        <v>400</v>
      </c>
    </row>
    <row r="475" spans="1:1" x14ac:dyDescent="0.3">
      <c r="A475" t="s">
        <v>399</v>
      </c>
    </row>
    <row r="476" spans="1:1" x14ac:dyDescent="0.3">
      <c r="A476" t="s">
        <v>398</v>
      </c>
    </row>
    <row r="477" spans="1:1" x14ac:dyDescent="0.3">
      <c r="A477" t="s">
        <v>397</v>
      </c>
    </row>
    <row r="478" spans="1:1" x14ac:dyDescent="0.3">
      <c r="A478" t="s">
        <v>396</v>
      </c>
    </row>
    <row r="479" spans="1:1" x14ac:dyDescent="0.3">
      <c r="A479" t="s">
        <v>395</v>
      </c>
    </row>
    <row r="480" spans="1:1" x14ac:dyDescent="0.3">
      <c r="A480" t="s">
        <v>394</v>
      </c>
    </row>
    <row r="481" spans="1:1" x14ac:dyDescent="0.3">
      <c r="A481" t="s">
        <v>393</v>
      </c>
    </row>
    <row r="482" spans="1:1" x14ac:dyDescent="0.3">
      <c r="A482" t="s">
        <v>392</v>
      </c>
    </row>
    <row r="483" spans="1:1" x14ac:dyDescent="0.3">
      <c r="A483" t="s">
        <v>391</v>
      </c>
    </row>
    <row r="484" spans="1:1" x14ac:dyDescent="0.3">
      <c r="A484" t="s">
        <v>390</v>
      </c>
    </row>
    <row r="485" spans="1:1" x14ac:dyDescent="0.3">
      <c r="A485" t="s">
        <v>389</v>
      </c>
    </row>
    <row r="486" spans="1:1" x14ac:dyDescent="0.3">
      <c r="A486" t="s">
        <v>388</v>
      </c>
    </row>
    <row r="487" spans="1:1" x14ac:dyDescent="0.3">
      <c r="A487" t="s">
        <v>387</v>
      </c>
    </row>
    <row r="488" spans="1:1" x14ac:dyDescent="0.3">
      <c r="A488" t="s">
        <v>386</v>
      </c>
    </row>
    <row r="489" spans="1:1" x14ac:dyDescent="0.3">
      <c r="A489" t="s">
        <v>385</v>
      </c>
    </row>
    <row r="490" spans="1:1" x14ac:dyDescent="0.3">
      <c r="A490" t="s">
        <v>384</v>
      </c>
    </row>
    <row r="491" spans="1:1" x14ac:dyDescent="0.3">
      <c r="A491" t="s">
        <v>383</v>
      </c>
    </row>
    <row r="492" spans="1:1" x14ac:dyDescent="0.3">
      <c r="A492" t="s">
        <v>382</v>
      </c>
    </row>
    <row r="493" spans="1:1" x14ac:dyDescent="0.3">
      <c r="A493" t="s">
        <v>381</v>
      </c>
    </row>
    <row r="494" spans="1:1" x14ac:dyDescent="0.3">
      <c r="A494" t="s">
        <v>380</v>
      </c>
    </row>
    <row r="495" spans="1:1" x14ac:dyDescent="0.3">
      <c r="A495" t="s">
        <v>379</v>
      </c>
    </row>
    <row r="496" spans="1:1" x14ac:dyDescent="0.3">
      <c r="A496" t="s">
        <v>378</v>
      </c>
    </row>
    <row r="497" spans="1:1" x14ac:dyDescent="0.3">
      <c r="A497" t="s">
        <v>377</v>
      </c>
    </row>
    <row r="498" spans="1:1" x14ac:dyDescent="0.3">
      <c r="A498" t="s">
        <v>376</v>
      </c>
    </row>
    <row r="499" spans="1:1" x14ac:dyDescent="0.3">
      <c r="A499" t="s">
        <v>375</v>
      </c>
    </row>
    <row r="500" spans="1:1" x14ac:dyDescent="0.3">
      <c r="A500" t="s">
        <v>374</v>
      </c>
    </row>
    <row r="501" spans="1:1" x14ac:dyDescent="0.3">
      <c r="A501" t="s">
        <v>373</v>
      </c>
    </row>
    <row r="502" spans="1:1" x14ac:dyDescent="0.3">
      <c r="A502" t="s">
        <v>372</v>
      </c>
    </row>
    <row r="503" spans="1:1" x14ac:dyDescent="0.3">
      <c r="A503" t="s">
        <v>371</v>
      </c>
    </row>
    <row r="504" spans="1:1" x14ac:dyDescent="0.3">
      <c r="A504" t="s">
        <v>370</v>
      </c>
    </row>
    <row r="505" spans="1:1" x14ac:dyDescent="0.3">
      <c r="A505" t="s">
        <v>369</v>
      </c>
    </row>
    <row r="506" spans="1:1" x14ac:dyDescent="0.3">
      <c r="A506" t="s">
        <v>368</v>
      </c>
    </row>
    <row r="507" spans="1:1" x14ac:dyDescent="0.3">
      <c r="A507" t="s">
        <v>367</v>
      </c>
    </row>
    <row r="508" spans="1:1" x14ac:dyDescent="0.3">
      <c r="A508" t="s">
        <v>366</v>
      </c>
    </row>
    <row r="509" spans="1:1" x14ac:dyDescent="0.3">
      <c r="A509" t="s">
        <v>365</v>
      </c>
    </row>
    <row r="510" spans="1:1" x14ac:dyDescent="0.3">
      <c r="A510" t="s">
        <v>364</v>
      </c>
    </row>
    <row r="511" spans="1:1" x14ac:dyDescent="0.3">
      <c r="A511" t="s">
        <v>363</v>
      </c>
    </row>
    <row r="512" spans="1:1" x14ac:dyDescent="0.3">
      <c r="A512" t="s">
        <v>362</v>
      </c>
    </row>
    <row r="513" spans="1:1" x14ac:dyDescent="0.3">
      <c r="A513" t="s">
        <v>361</v>
      </c>
    </row>
    <row r="514" spans="1:1" x14ac:dyDescent="0.3">
      <c r="A514" t="s">
        <v>360</v>
      </c>
    </row>
    <row r="515" spans="1:1" x14ac:dyDescent="0.3">
      <c r="A515" t="s">
        <v>359</v>
      </c>
    </row>
    <row r="516" spans="1:1" x14ac:dyDescent="0.3">
      <c r="A516" t="s">
        <v>358</v>
      </c>
    </row>
    <row r="517" spans="1:1" x14ac:dyDescent="0.3">
      <c r="A517" t="s">
        <v>357</v>
      </c>
    </row>
    <row r="518" spans="1:1" x14ac:dyDescent="0.3">
      <c r="A518" t="s">
        <v>356</v>
      </c>
    </row>
    <row r="519" spans="1:1" x14ac:dyDescent="0.3">
      <c r="A519" t="s">
        <v>355</v>
      </c>
    </row>
    <row r="520" spans="1:1" x14ac:dyDescent="0.3">
      <c r="A520" t="s">
        <v>354</v>
      </c>
    </row>
    <row r="521" spans="1:1" x14ac:dyDescent="0.3">
      <c r="A521" t="s">
        <v>353</v>
      </c>
    </row>
    <row r="522" spans="1:1" x14ac:dyDescent="0.3">
      <c r="A522" t="s">
        <v>352</v>
      </c>
    </row>
    <row r="523" spans="1:1" x14ac:dyDescent="0.3">
      <c r="A523" t="s">
        <v>351</v>
      </c>
    </row>
    <row r="524" spans="1:1" x14ac:dyDescent="0.3">
      <c r="A524" t="s">
        <v>350</v>
      </c>
    </row>
    <row r="525" spans="1:1" x14ac:dyDescent="0.3">
      <c r="A525" t="s">
        <v>349</v>
      </c>
    </row>
    <row r="526" spans="1:1" x14ac:dyDescent="0.3">
      <c r="A526" t="s">
        <v>348</v>
      </c>
    </row>
    <row r="527" spans="1:1" x14ac:dyDescent="0.3">
      <c r="A527" t="s">
        <v>347</v>
      </c>
    </row>
    <row r="528" spans="1:1" x14ac:dyDescent="0.3">
      <c r="A528" t="s">
        <v>346</v>
      </c>
    </row>
    <row r="529" spans="1:1" x14ac:dyDescent="0.3">
      <c r="A529" t="s">
        <v>345</v>
      </c>
    </row>
    <row r="530" spans="1:1" x14ac:dyDescent="0.3">
      <c r="A530" t="s">
        <v>344</v>
      </c>
    </row>
    <row r="531" spans="1:1" x14ac:dyDescent="0.3">
      <c r="A531" t="s">
        <v>343</v>
      </c>
    </row>
    <row r="532" spans="1:1" x14ac:dyDescent="0.3">
      <c r="A532" t="s">
        <v>342</v>
      </c>
    </row>
    <row r="533" spans="1:1" x14ac:dyDescent="0.3">
      <c r="A533" t="s">
        <v>341</v>
      </c>
    </row>
    <row r="534" spans="1:1" x14ac:dyDescent="0.3">
      <c r="A534" t="s">
        <v>340</v>
      </c>
    </row>
    <row r="535" spans="1:1" x14ac:dyDescent="0.3">
      <c r="A535" t="s">
        <v>339</v>
      </c>
    </row>
    <row r="536" spans="1:1" x14ac:dyDescent="0.3">
      <c r="A536" t="s">
        <v>338</v>
      </c>
    </row>
    <row r="537" spans="1:1" x14ac:dyDescent="0.3">
      <c r="A537" t="s">
        <v>337</v>
      </c>
    </row>
    <row r="538" spans="1:1" x14ac:dyDescent="0.3">
      <c r="A538" t="s">
        <v>336</v>
      </c>
    </row>
    <row r="539" spans="1:1" x14ac:dyDescent="0.3">
      <c r="A539" t="s">
        <v>335</v>
      </c>
    </row>
    <row r="540" spans="1:1" x14ac:dyDescent="0.3">
      <c r="A540" t="s">
        <v>334</v>
      </c>
    </row>
    <row r="541" spans="1:1" x14ac:dyDescent="0.3">
      <c r="A541" t="s">
        <v>333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2"/>
  <sheetViews>
    <sheetView zoomScale="85" zoomScaleNormal="85" workbookViewId="0">
      <selection activeCell="D16" sqref="D16:E16"/>
    </sheetView>
  </sheetViews>
  <sheetFormatPr defaultColWidth="9" defaultRowHeight="16.5" x14ac:dyDescent="0.3"/>
  <cols>
    <col min="1" max="1" width="27.125" style="99" bestFit="1" customWidth="1"/>
    <col min="2" max="2" width="11.25" style="99" bestFit="1" customWidth="1"/>
    <col min="3" max="3" width="42.625" style="99" bestFit="1" customWidth="1"/>
    <col min="4" max="4" width="12.25" style="99" customWidth="1"/>
    <col min="5" max="6" width="12" style="99" customWidth="1"/>
    <col min="7" max="16384" width="9" style="99"/>
  </cols>
  <sheetData>
    <row r="1" spans="1:16" ht="30.75" customHeight="1" x14ac:dyDescent="0.3">
      <c r="A1" s="97" t="s">
        <v>140</v>
      </c>
      <c r="B1" s="97" t="s">
        <v>141</v>
      </c>
      <c r="C1" s="97" t="s">
        <v>142</v>
      </c>
      <c r="D1" s="98" t="s">
        <v>143</v>
      </c>
      <c r="E1" s="98" t="s">
        <v>144</v>
      </c>
      <c r="F1" s="98" t="s">
        <v>145</v>
      </c>
      <c r="G1" s="98" t="s">
        <v>146</v>
      </c>
      <c r="P1" s="100"/>
    </row>
    <row r="2" spans="1:16" ht="20.100000000000001" customHeight="1" x14ac:dyDescent="0.35">
      <c r="A2" s="101" t="s">
        <v>137</v>
      </c>
      <c r="B2" s="102" t="s">
        <v>136</v>
      </c>
      <c r="C2" s="102" t="s">
        <v>49</v>
      </c>
      <c r="D2" s="103">
        <v>8.52</v>
      </c>
      <c r="E2" s="103">
        <v>2.98</v>
      </c>
      <c r="G2" s="104"/>
    </row>
    <row r="3" spans="1:16" ht="20.100000000000001" customHeight="1" x14ac:dyDescent="0.35">
      <c r="A3" s="101" t="s">
        <v>138</v>
      </c>
      <c r="B3" s="102" t="s">
        <v>136</v>
      </c>
      <c r="C3" s="102" t="s">
        <v>139</v>
      </c>
      <c r="D3" s="103">
        <v>12.27</v>
      </c>
      <c r="E3" s="103">
        <v>4.01</v>
      </c>
      <c r="F3" s="104"/>
      <c r="G3" s="104"/>
    </row>
    <row r="4" spans="1:16" ht="20.100000000000001" customHeight="1" x14ac:dyDescent="0.35">
      <c r="A4" s="101" t="s">
        <v>138</v>
      </c>
      <c r="B4" s="102" t="s">
        <v>136</v>
      </c>
      <c r="C4" s="102" t="s">
        <v>139</v>
      </c>
      <c r="D4" s="103">
        <v>14.07</v>
      </c>
      <c r="E4" s="103">
        <v>3.84</v>
      </c>
      <c r="F4" s="104"/>
      <c r="G4" s="104"/>
    </row>
    <row r="5" spans="1:16" ht="20.100000000000001" customHeight="1" x14ac:dyDescent="0.35">
      <c r="A5" s="101" t="s">
        <v>138</v>
      </c>
      <c r="B5" s="102" t="s">
        <v>136</v>
      </c>
      <c r="C5" s="102" t="s">
        <v>139</v>
      </c>
      <c r="D5" s="103">
        <v>12.44</v>
      </c>
      <c r="E5" s="103">
        <v>3.65</v>
      </c>
      <c r="F5" s="104"/>
      <c r="G5" s="104"/>
    </row>
    <row r="6" spans="1:16" ht="20.100000000000001" customHeight="1" x14ac:dyDescent="0.35">
      <c r="A6" s="101" t="s">
        <v>137</v>
      </c>
      <c r="B6" s="102" t="s">
        <v>136</v>
      </c>
      <c r="C6" s="102" t="s">
        <v>49</v>
      </c>
      <c r="D6" s="103">
        <v>16.52</v>
      </c>
      <c r="E6" s="103">
        <v>5.16</v>
      </c>
      <c r="G6" s="104"/>
    </row>
    <row r="7" spans="1:16" ht="20.100000000000001" customHeight="1" x14ac:dyDescent="0.35">
      <c r="A7" s="101" t="s">
        <v>94</v>
      </c>
      <c r="B7" s="102" t="s">
        <v>84</v>
      </c>
      <c r="C7" s="102" t="s">
        <v>95</v>
      </c>
      <c r="D7" s="103">
        <v>10.89</v>
      </c>
      <c r="E7" s="103">
        <v>1.05</v>
      </c>
      <c r="G7" s="104"/>
    </row>
    <row r="8" spans="1:16" ht="20.100000000000001" customHeight="1" x14ac:dyDescent="0.35">
      <c r="A8" s="101" t="s">
        <v>83</v>
      </c>
      <c r="B8" s="102" t="s">
        <v>84</v>
      </c>
      <c r="C8" s="102" t="s">
        <v>96</v>
      </c>
      <c r="D8" s="103">
        <v>19.190000000000001</v>
      </c>
      <c r="E8" s="103">
        <v>4</v>
      </c>
      <c r="F8" s="104"/>
      <c r="G8" s="104"/>
    </row>
    <row r="9" spans="1:16" ht="20.100000000000001" customHeight="1" x14ac:dyDescent="0.35">
      <c r="A9" s="101" t="s">
        <v>83</v>
      </c>
      <c r="B9" s="102" t="s">
        <v>84</v>
      </c>
      <c r="C9" s="102" t="s">
        <v>99</v>
      </c>
      <c r="D9" s="103">
        <v>15.92</v>
      </c>
      <c r="E9" s="103">
        <v>-0.37</v>
      </c>
      <c r="F9" s="104"/>
      <c r="G9" s="104"/>
    </row>
    <row r="10" spans="1:16" ht="20.100000000000001" customHeight="1" x14ac:dyDescent="0.35">
      <c r="A10" s="101" t="s">
        <v>166</v>
      </c>
      <c r="B10" s="102" t="s">
        <v>85</v>
      </c>
      <c r="C10" s="102" t="s">
        <v>167</v>
      </c>
      <c r="D10" s="103">
        <v>13.38</v>
      </c>
      <c r="E10" s="103">
        <v>4.66</v>
      </c>
      <c r="F10" s="104"/>
      <c r="G10" s="104"/>
    </row>
    <row r="11" spans="1:16" ht="20.100000000000001" customHeight="1" x14ac:dyDescent="0.35">
      <c r="A11" s="101" t="s">
        <v>82</v>
      </c>
      <c r="B11" s="102" t="s">
        <v>86</v>
      </c>
      <c r="C11" s="102" t="s">
        <v>100</v>
      </c>
      <c r="D11" s="103">
        <v>7.56</v>
      </c>
      <c r="E11" s="103">
        <v>-0.25</v>
      </c>
      <c r="F11" s="104"/>
      <c r="G11" s="104"/>
    </row>
    <row r="12" spans="1:16" ht="20.100000000000001" customHeight="1" x14ac:dyDescent="0.35">
      <c r="A12" s="101" t="s">
        <v>168</v>
      </c>
      <c r="B12" s="102" t="s">
        <v>85</v>
      </c>
      <c r="C12" s="102" t="s">
        <v>169</v>
      </c>
      <c r="D12" s="103">
        <v>20.5</v>
      </c>
      <c r="E12" s="103">
        <v>5.45</v>
      </c>
      <c r="F12" s="104"/>
      <c r="G12" s="104"/>
    </row>
    <row r="13" spans="1:16" ht="20.100000000000001" customHeight="1" x14ac:dyDescent="0.35">
      <c r="A13" s="101" t="s">
        <v>170</v>
      </c>
      <c r="B13" s="102" t="s">
        <v>85</v>
      </c>
      <c r="C13" s="102" t="s">
        <v>171</v>
      </c>
      <c r="D13" s="103">
        <v>23.7</v>
      </c>
      <c r="E13" s="103">
        <v>6.6</v>
      </c>
      <c r="F13" s="104"/>
      <c r="G13" s="104"/>
    </row>
    <row r="14" spans="1:16" ht="20.100000000000001" customHeight="1" x14ac:dyDescent="0.35">
      <c r="A14" s="101" t="s">
        <v>172</v>
      </c>
      <c r="B14" s="102" t="s">
        <v>85</v>
      </c>
      <c r="C14" s="102" t="s">
        <v>169</v>
      </c>
      <c r="D14" s="103">
        <v>12.15</v>
      </c>
      <c r="E14" s="103">
        <v>-0.53</v>
      </c>
      <c r="F14" s="104"/>
      <c r="G14" s="104"/>
    </row>
    <row r="15" spans="1:16" ht="20.100000000000001" customHeight="1" x14ac:dyDescent="0.35">
      <c r="A15" s="101"/>
      <c r="B15" s="102"/>
      <c r="C15" s="102"/>
      <c r="D15" s="103"/>
      <c r="E15" s="103"/>
      <c r="F15" s="104"/>
      <c r="G15" s="104"/>
    </row>
    <row r="16" spans="1:16" ht="20.100000000000001" customHeight="1" x14ac:dyDescent="0.35">
      <c r="A16" s="101"/>
      <c r="B16" s="102"/>
      <c r="C16" s="102" t="s">
        <v>178</v>
      </c>
      <c r="D16" s="103">
        <f>AVERAGE(D2:D14)</f>
        <v>14.393076923076922</v>
      </c>
      <c r="E16" s="103">
        <f>AVERAGE(E2:E14)</f>
        <v>3.0961538461538463</v>
      </c>
      <c r="F16" s="104"/>
      <c r="G16" s="104"/>
    </row>
    <row r="17" spans="1:7" ht="20.100000000000001" customHeight="1" x14ac:dyDescent="0.35">
      <c r="A17" s="101"/>
      <c r="B17" s="102"/>
      <c r="C17" s="102"/>
      <c r="D17" s="103"/>
      <c r="E17" s="103"/>
      <c r="F17" s="104"/>
      <c r="G17" s="104"/>
    </row>
    <row r="18" spans="1:7" ht="20.100000000000001" customHeight="1" x14ac:dyDescent="0.35">
      <c r="A18" s="101"/>
      <c r="B18" s="102"/>
      <c r="C18" s="102"/>
      <c r="D18" s="103"/>
      <c r="E18" s="103"/>
      <c r="F18" s="104"/>
      <c r="G18" s="104"/>
    </row>
    <row r="19" spans="1:7" ht="20.100000000000001" customHeight="1" x14ac:dyDescent="0.35">
      <c r="A19" s="101"/>
      <c r="B19" s="102"/>
      <c r="C19" s="102"/>
      <c r="D19" s="103"/>
      <c r="E19" s="103"/>
      <c r="F19" s="104"/>
      <c r="G19" s="104"/>
    </row>
    <row r="20" spans="1:7" ht="20.100000000000001" customHeight="1" x14ac:dyDescent="0.35">
      <c r="A20" s="101"/>
      <c r="B20" s="102"/>
      <c r="C20" s="102"/>
      <c r="D20" s="103"/>
      <c r="E20" s="103"/>
      <c r="F20" s="104"/>
      <c r="G20" s="104"/>
    </row>
    <row r="21" spans="1:7" ht="20.100000000000001" customHeight="1" x14ac:dyDescent="0.35">
      <c r="A21" s="101"/>
      <c r="B21" s="102"/>
      <c r="C21" s="102"/>
      <c r="D21" s="103"/>
      <c r="E21" s="103"/>
      <c r="F21" s="104"/>
      <c r="G21" s="104"/>
    </row>
    <row r="22" spans="1:7" ht="20.100000000000001" customHeight="1" x14ac:dyDescent="0.35">
      <c r="A22" s="101"/>
      <c r="B22" s="102"/>
      <c r="C22" s="102"/>
      <c r="D22" s="103"/>
      <c r="E22" s="103"/>
      <c r="F22" s="104"/>
      <c r="G22" s="104"/>
    </row>
  </sheetData>
  <autoFilter ref="A1:E22"/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2"/>
  <sheetViews>
    <sheetView zoomScale="85" zoomScaleNormal="85" workbookViewId="0">
      <selection activeCell="H30" sqref="H30"/>
    </sheetView>
  </sheetViews>
  <sheetFormatPr defaultColWidth="9" defaultRowHeight="16.5" x14ac:dyDescent="0.3"/>
  <cols>
    <col min="1" max="1" width="27.125" style="99" bestFit="1" customWidth="1"/>
    <col min="2" max="2" width="11.25" style="99" bestFit="1" customWidth="1"/>
    <col min="3" max="3" width="42.625" style="99" bestFit="1" customWidth="1"/>
    <col min="4" max="4" width="12.25" style="99" customWidth="1"/>
    <col min="5" max="6" width="12" style="99" customWidth="1"/>
    <col min="7" max="16384" width="9" style="99"/>
  </cols>
  <sheetData>
    <row r="1" spans="1:16" ht="30.75" customHeight="1" x14ac:dyDescent="0.3">
      <c r="A1" s="97" t="s">
        <v>140</v>
      </c>
      <c r="B1" s="97" t="s">
        <v>141</v>
      </c>
      <c r="C1" s="97" t="s">
        <v>142</v>
      </c>
      <c r="D1" s="98" t="s">
        <v>143</v>
      </c>
      <c r="E1" s="98" t="s">
        <v>144</v>
      </c>
      <c r="F1" s="98" t="s">
        <v>145</v>
      </c>
      <c r="G1" s="98" t="s">
        <v>146</v>
      </c>
      <c r="P1" s="100"/>
    </row>
    <row r="2" spans="1:16" ht="20.100000000000001" customHeight="1" x14ac:dyDescent="0.35">
      <c r="A2" s="101" t="s">
        <v>87</v>
      </c>
      <c r="B2" s="102" t="s">
        <v>88</v>
      </c>
      <c r="C2" s="102" t="s">
        <v>89</v>
      </c>
      <c r="D2" s="103">
        <v>17.66</v>
      </c>
      <c r="E2" s="103">
        <v>10.89</v>
      </c>
      <c r="G2" s="104"/>
    </row>
    <row r="3" spans="1:16" ht="20.100000000000001" customHeight="1" x14ac:dyDescent="0.35">
      <c r="A3" s="101" t="s">
        <v>87</v>
      </c>
      <c r="B3" s="102" t="s">
        <v>88</v>
      </c>
      <c r="C3" s="102" t="s">
        <v>89</v>
      </c>
      <c r="D3" s="103">
        <v>18.170000000000002</v>
      </c>
      <c r="E3" s="103">
        <v>9.27</v>
      </c>
      <c r="F3" s="104"/>
      <c r="G3" s="104"/>
    </row>
    <row r="4" spans="1:16" ht="20.100000000000001" customHeight="1" x14ac:dyDescent="0.35">
      <c r="A4" s="101" t="s">
        <v>109</v>
      </c>
      <c r="B4" s="102"/>
      <c r="C4" s="102" t="s">
        <v>118</v>
      </c>
      <c r="D4" s="103">
        <v>15.309999999999999</v>
      </c>
      <c r="E4" s="103">
        <v>3.085</v>
      </c>
      <c r="F4" s="104"/>
      <c r="G4" s="104"/>
    </row>
    <row r="5" spans="1:16" ht="20.100000000000001" customHeight="1" x14ac:dyDescent="0.35">
      <c r="A5" s="101" t="s">
        <v>111</v>
      </c>
      <c r="B5" s="102"/>
      <c r="C5" s="102" t="s">
        <v>119</v>
      </c>
      <c r="D5" s="103">
        <v>19.239999999999998</v>
      </c>
      <c r="E5" s="103">
        <v>8.4600000000000009</v>
      </c>
      <c r="F5" s="104"/>
      <c r="G5" s="104"/>
    </row>
    <row r="6" spans="1:16" ht="20.100000000000001" customHeight="1" x14ac:dyDescent="0.35">
      <c r="A6" s="101" t="s">
        <v>161</v>
      </c>
      <c r="B6" s="102"/>
      <c r="C6" s="102" t="s">
        <v>121</v>
      </c>
      <c r="D6" s="103">
        <v>4.09</v>
      </c>
      <c r="E6" s="103">
        <v>16.754999999999999</v>
      </c>
      <c r="G6" s="104"/>
    </row>
    <row r="7" spans="1:16" ht="20.100000000000001" customHeight="1" x14ac:dyDescent="0.35">
      <c r="A7" s="101" t="s">
        <v>113</v>
      </c>
      <c r="B7" s="102"/>
      <c r="C7" s="102" t="s">
        <v>122</v>
      </c>
      <c r="D7" s="103">
        <v>20.925000000000001</v>
      </c>
      <c r="E7" s="103">
        <v>5.27</v>
      </c>
      <c r="G7" s="104"/>
    </row>
    <row r="8" spans="1:16" ht="20.100000000000001" customHeight="1" x14ac:dyDescent="0.35">
      <c r="A8" s="101" t="s">
        <v>173</v>
      </c>
      <c r="B8" s="102"/>
      <c r="C8" s="102" t="s">
        <v>174</v>
      </c>
      <c r="D8" s="103">
        <v>24.47</v>
      </c>
      <c r="E8" s="103">
        <v>-0.67</v>
      </c>
      <c r="F8" s="104"/>
      <c r="G8" s="104"/>
    </row>
    <row r="9" spans="1:16" ht="20.100000000000001" customHeight="1" x14ac:dyDescent="0.35">
      <c r="A9" s="101" t="s">
        <v>162</v>
      </c>
      <c r="B9" s="102"/>
      <c r="C9" s="102" t="s">
        <v>123</v>
      </c>
      <c r="D9" s="103">
        <v>24.39</v>
      </c>
      <c r="E9" s="103">
        <v>1.3149999999999999</v>
      </c>
      <c r="F9" s="104"/>
      <c r="G9" s="104"/>
    </row>
    <row r="10" spans="1:16" ht="20.100000000000001" customHeight="1" x14ac:dyDescent="0.35">
      <c r="A10" s="101" t="s">
        <v>102</v>
      </c>
      <c r="B10" s="102"/>
      <c r="C10" s="102" t="s">
        <v>101</v>
      </c>
      <c r="D10" s="103">
        <v>18.195</v>
      </c>
      <c r="E10" s="103">
        <v>4.7449999999999992</v>
      </c>
      <c r="F10" s="104"/>
      <c r="G10" s="104"/>
    </row>
    <row r="11" spans="1:16" ht="20.100000000000001" customHeight="1" x14ac:dyDescent="0.35">
      <c r="A11" s="101" t="s">
        <v>92</v>
      </c>
      <c r="B11" s="102" t="s">
        <v>85</v>
      </c>
      <c r="C11" s="102" t="s">
        <v>93</v>
      </c>
      <c r="D11" s="103">
        <v>9.6</v>
      </c>
      <c r="E11" s="103">
        <v>5.88</v>
      </c>
      <c r="F11" s="104"/>
      <c r="G11" s="104"/>
    </row>
    <row r="12" spans="1:16" ht="20.100000000000001" customHeight="1" x14ac:dyDescent="0.35">
      <c r="A12" s="101" t="s">
        <v>107</v>
      </c>
      <c r="B12" s="102"/>
      <c r="C12" s="102" t="s">
        <v>116</v>
      </c>
      <c r="D12" s="103">
        <v>8.6150000000000002</v>
      </c>
      <c r="E12" s="103">
        <v>11.465</v>
      </c>
      <c r="F12" s="104"/>
      <c r="G12" s="104"/>
    </row>
    <row r="13" spans="1:16" ht="20.100000000000001" customHeight="1" x14ac:dyDescent="0.35">
      <c r="A13" s="101" t="s">
        <v>112</v>
      </c>
      <c r="B13" s="102"/>
      <c r="C13" s="102" t="s">
        <v>120</v>
      </c>
      <c r="D13" s="103">
        <v>17.560000000000002</v>
      </c>
      <c r="E13" s="103">
        <v>8.84</v>
      </c>
      <c r="F13" s="104"/>
      <c r="G13" s="104"/>
    </row>
    <row r="14" spans="1:16" ht="20.100000000000001" customHeight="1" x14ac:dyDescent="0.35">
      <c r="A14" s="101"/>
      <c r="B14" s="102"/>
      <c r="C14" s="102"/>
      <c r="D14" s="103"/>
      <c r="E14" s="103"/>
      <c r="F14" s="104"/>
      <c r="G14" s="104"/>
    </row>
    <row r="15" spans="1:16" ht="20.100000000000001" customHeight="1" x14ac:dyDescent="0.35">
      <c r="A15" s="101"/>
      <c r="B15" s="102"/>
      <c r="C15" s="102"/>
      <c r="D15" s="103"/>
      <c r="E15" s="103"/>
      <c r="F15" s="104"/>
      <c r="G15" s="104"/>
    </row>
    <row r="16" spans="1:16" ht="20.100000000000001" customHeight="1" x14ac:dyDescent="0.35">
      <c r="A16" s="101"/>
      <c r="B16" s="102"/>
      <c r="C16" s="102"/>
      <c r="D16" s="103"/>
      <c r="E16" s="103"/>
      <c r="F16" s="104"/>
      <c r="G16" s="104"/>
    </row>
    <row r="17" spans="1:7" ht="20.100000000000001" customHeight="1" x14ac:dyDescent="0.35">
      <c r="A17" s="101"/>
      <c r="B17" s="102"/>
      <c r="C17" s="102"/>
      <c r="D17" s="103"/>
      <c r="E17" s="103"/>
      <c r="F17" s="104"/>
      <c r="G17" s="104"/>
    </row>
    <row r="18" spans="1:7" ht="20.100000000000001" customHeight="1" x14ac:dyDescent="0.35">
      <c r="A18" s="101"/>
      <c r="B18" s="102"/>
      <c r="C18" s="102"/>
      <c r="D18" s="103"/>
      <c r="E18" s="103"/>
      <c r="F18" s="104"/>
      <c r="G18" s="104"/>
    </row>
    <row r="19" spans="1:7" ht="20.100000000000001" customHeight="1" x14ac:dyDescent="0.35">
      <c r="A19" s="101"/>
      <c r="B19" s="102"/>
      <c r="C19" s="102"/>
      <c r="D19" s="103"/>
      <c r="E19" s="103"/>
      <c r="F19" s="104"/>
      <c r="G19" s="104"/>
    </row>
    <row r="20" spans="1:7" ht="20.100000000000001" customHeight="1" x14ac:dyDescent="0.35">
      <c r="A20" s="101"/>
      <c r="B20" s="102"/>
      <c r="C20" s="102"/>
      <c r="D20" s="103"/>
      <c r="E20" s="103"/>
      <c r="F20" s="104"/>
      <c r="G20" s="104"/>
    </row>
    <row r="21" spans="1:7" ht="20.100000000000001" customHeight="1" x14ac:dyDescent="0.35">
      <c r="A21" s="101"/>
      <c r="B21" s="102"/>
      <c r="C21" s="102"/>
      <c r="D21" s="103"/>
      <c r="E21" s="103"/>
      <c r="F21" s="104"/>
      <c r="G21" s="104"/>
    </row>
    <row r="22" spans="1:7" ht="20.100000000000001" customHeight="1" x14ac:dyDescent="0.35">
      <c r="A22" s="101"/>
      <c r="B22" s="102"/>
      <c r="C22" s="102"/>
      <c r="D22" s="103"/>
      <c r="E22" s="103"/>
      <c r="F22" s="104"/>
      <c r="G22" s="104"/>
    </row>
  </sheetData>
  <autoFilter ref="A1:E22"/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2"/>
  <sheetViews>
    <sheetView zoomScale="85" zoomScaleNormal="85" workbookViewId="0">
      <selection activeCell="G33" sqref="G33"/>
    </sheetView>
  </sheetViews>
  <sheetFormatPr defaultColWidth="9" defaultRowHeight="16.5" x14ac:dyDescent="0.3"/>
  <cols>
    <col min="1" max="1" width="27.125" style="99" bestFit="1" customWidth="1"/>
    <col min="2" max="2" width="11.25" style="99" bestFit="1" customWidth="1"/>
    <col min="3" max="3" width="42.625" style="99" bestFit="1" customWidth="1"/>
    <col min="4" max="4" width="12.25" style="99" customWidth="1"/>
    <col min="5" max="6" width="12" style="99" customWidth="1"/>
    <col min="7" max="16384" width="9" style="99"/>
  </cols>
  <sheetData>
    <row r="1" spans="1:16" ht="30.75" customHeight="1" x14ac:dyDescent="0.3">
      <c r="A1" s="97" t="s">
        <v>140</v>
      </c>
      <c r="B1" s="97" t="s">
        <v>141</v>
      </c>
      <c r="C1" s="97" t="s">
        <v>142</v>
      </c>
      <c r="D1" s="98" t="s">
        <v>143</v>
      </c>
      <c r="E1" s="98" t="s">
        <v>144</v>
      </c>
      <c r="F1" s="98" t="s">
        <v>145</v>
      </c>
      <c r="G1" s="98" t="s">
        <v>146</v>
      </c>
      <c r="P1" s="100"/>
    </row>
    <row r="2" spans="1:16" ht="20.100000000000001" customHeight="1" x14ac:dyDescent="0.35">
      <c r="A2" s="101" t="s">
        <v>114</v>
      </c>
      <c r="B2" s="102" t="s">
        <v>163</v>
      </c>
      <c r="C2" s="102" t="s">
        <v>165</v>
      </c>
      <c r="D2" s="103">
        <v>0.63</v>
      </c>
      <c r="E2" s="103">
        <v>10.72</v>
      </c>
      <c r="G2" s="104"/>
    </row>
    <row r="3" spans="1:16" ht="20.100000000000001" customHeight="1" x14ac:dyDescent="0.35">
      <c r="A3" s="101" t="s">
        <v>115</v>
      </c>
      <c r="B3" s="102" t="s">
        <v>163</v>
      </c>
      <c r="C3" s="102" t="s">
        <v>164</v>
      </c>
      <c r="D3" s="103">
        <v>1.1000000000000001</v>
      </c>
      <c r="E3" s="103">
        <v>18.05</v>
      </c>
      <c r="F3" s="104"/>
      <c r="G3" s="104"/>
    </row>
    <row r="4" spans="1:16" ht="20.100000000000001" customHeight="1" x14ac:dyDescent="0.35">
      <c r="A4" s="101" t="s">
        <v>103</v>
      </c>
      <c r="B4" s="102"/>
      <c r="C4" s="102" t="s">
        <v>104</v>
      </c>
      <c r="D4" s="103">
        <v>1.665</v>
      </c>
      <c r="E4" s="103">
        <v>4.1099999999999994</v>
      </c>
      <c r="F4" s="104"/>
      <c r="G4" s="104"/>
    </row>
    <row r="5" spans="1:16" ht="20.100000000000001" customHeight="1" x14ac:dyDescent="0.35">
      <c r="A5" s="101" t="s">
        <v>108</v>
      </c>
      <c r="B5" s="102"/>
      <c r="C5" s="102" t="s">
        <v>117</v>
      </c>
      <c r="D5" s="103">
        <v>1.4100000000000001</v>
      </c>
      <c r="E5" s="103">
        <v>8.9700000000000006</v>
      </c>
      <c r="F5" s="104"/>
      <c r="G5" s="104"/>
    </row>
    <row r="6" spans="1:16" ht="20.100000000000001" customHeight="1" x14ac:dyDescent="0.35">
      <c r="A6" s="101" t="s">
        <v>110</v>
      </c>
      <c r="B6" s="102"/>
      <c r="C6" s="102" t="s">
        <v>177</v>
      </c>
      <c r="D6" s="103">
        <v>0.53</v>
      </c>
      <c r="E6" s="103">
        <v>7.29</v>
      </c>
      <c r="G6" s="104"/>
    </row>
    <row r="7" spans="1:16" ht="20.100000000000001" customHeight="1" x14ac:dyDescent="0.35">
      <c r="A7" s="101"/>
      <c r="B7" s="102"/>
      <c r="C7" s="102"/>
      <c r="D7" s="103"/>
      <c r="E7" s="103"/>
      <c r="G7" s="104"/>
    </row>
    <row r="8" spans="1:16" ht="20.100000000000001" customHeight="1" x14ac:dyDescent="0.35">
      <c r="A8" s="101"/>
      <c r="B8" s="102"/>
      <c r="C8" s="102"/>
      <c r="D8" s="103"/>
      <c r="E8" s="103"/>
      <c r="F8" s="104"/>
      <c r="G8" s="104"/>
    </row>
    <row r="9" spans="1:16" ht="20.100000000000001" customHeight="1" x14ac:dyDescent="0.35">
      <c r="A9" s="101"/>
      <c r="B9" s="102"/>
      <c r="C9" s="102"/>
      <c r="D9" s="103"/>
      <c r="E9" s="103"/>
      <c r="F9" s="104"/>
      <c r="G9" s="104"/>
    </row>
    <row r="10" spans="1:16" ht="20.100000000000001" customHeight="1" x14ac:dyDescent="0.35">
      <c r="A10" s="101"/>
      <c r="B10" s="102"/>
      <c r="C10" s="102"/>
      <c r="D10" s="103"/>
      <c r="E10" s="103"/>
      <c r="F10" s="104"/>
      <c r="G10" s="104"/>
    </row>
    <row r="11" spans="1:16" ht="20.100000000000001" customHeight="1" x14ac:dyDescent="0.35">
      <c r="A11" s="101"/>
      <c r="B11" s="102"/>
      <c r="C11" s="102"/>
      <c r="D11" s="103"/>
      <c r="E11" s="103"/>
      <c r="F11" s="104"/>
      <c r="G11" s="104"/>
    </row>
    <row r="12" spans="1:16" ht="20.100000000000001" customHeight="1" x14ac:dyDescent="0.35">
      <c r="A12" s="101"/>
      <c r="B12" s="102"/>
      <c r="C12" s="102"/>
      <c r="D12" s="103"/>
      <c r="E12" s="103"/>
      <c r="F12" s="104"/>
      <c r="G12" s="104"/>
    </row>
    <row r="13" spans="1:16" ht="20.100000000000001" customHeight="1" x14ac:dyDescent="0.35">
      <c r="A13" s="101"/>
      <c r="B13" s="102"/>
      <c r="C13" s="102"/>
      <c r="D13" s="103"/>
      <c r="E13" s="103"/>
      <c r="F13" s="104"/>
      <c r="G13" s="104"/>
    </row>
    <row r="14" spans="1:16" ht="20.100000000000001" customHeight="1" x14ac:dyDescent="0.35">
      <c r="A14" s="101"/>
      <c r="B14" s="102"/>
      <c r="C14" s="102"/>
      <c r="D14" s="103"/>
      <c r="E14" s="103"/>
      <c r="F14" s="104"/>
      <c r="G14" s="104"/>
    </row>
    <row r="15" spans="1:16" ht="20.100000000000001" customHeight="1" x14ac:dyDescent="0.35">
      <c r="A15" s="101"/>
      <c r="B15" s="102"/>
      <c r="C15" s="102"/>
      <c r="D15" s="103"/>
      <c r="E15" s="103"/>
      <c r="F15" s="104"/>
      <c r="G15" s="104"/>
    </row>
    <row r="16" spans="1:16" ht="20.100000000000001" customHeight="1" x14ac:dyDescent="0.35">
      <c r="A16" s="101"/>
      <c r="B16" s="102"/>
      <c r="C16" s="102"/>
      <c r="D16" s="103"/>
      <c r="E16" s="103"/>
      <c r="F16" s="104"/>
      <c r="G16" s="104"/>
    </row>
    <row r="17" spans="1:7" ht="20.100000000000001" customHeight="1" x14ac:dyDescent="0.35">
      <c r="A17" s="101"/>
      <c r="B17" s="102"/>
      <c r="C17" s="102"/>
      <c r="D17" s="103"/>
      <c r="E17" s="103"/>
      <c r="F17" s="104"/>
      <c r="G17" s="104"/>
    </row>
    <row r="18" spans="1:7" ht="20.100000000000001" customHeight="1" x14ac:dyDescent="0.35">
      <c r="A18" s="101"/>
      <c r="B18" s="102"/>
      <c r="C18" s="102"/>
      <c r="D18" s="103"/>
      <c r="E18" s="103"/>
      <c r="F18" s="104"/>
      <c r="G18" s="104"/>
    </row>
    <row r="19" spans="1:7" ht="20.100000000000001" customHeight="1" x14ac:dyDescent="0.35">
      <c r="A19" s="101"/>
      <c r="B19" s="102"/>
      <c r="C19" s="102"/>
      <c r="D19" s="103"/>
      <c r="E19" s="103"/>
      <c r="F19" s="104"/>
      <c r="G19" s="104"/>
    </row>
    <row r="20" spans="1:7" ht="20.100000000000001" customHeight="1" x14ac:dyDescent="0.35">
      <c r="A20" s="101"/>
      <c r="B20" s="102"/>
      <c r="C20" s="102"/>
      <c r="D20" s="103"/>
      <c r="E20" s="103"/>
      <c r="F20" s="104"/>
      <c r="G20" s="104"/>
    </row>
    <row r="21" spans="1:7" ht="20.100000000000001" customHeight="1" x14ac:dyDescent="0.35">
      <c r="A21" s="101"/>
      <c r="B21" s="102"/>
      <c r="C21" s="102"/>
      <c r="D21" s="103"/>
      <c r="E21" s="103"/>
      <c r="F21" s="104"/>
      <c r="G21" s="104"/>
    </row>
    <row r="22" spans="1:7" ht="20.100000000000001" customHeight="1" x14ac:dyDescent="0.35">
      <c r="A22" s="101"/>
      <c r="B22" s="102"/>
      <c r="C22" s="102"/>
      <c r="D22" s="103"/>
      <c r="E22" s="103"/>
      <c r="F22" s="104"/>
      <c r="G22" s="104"/>
    </row>
  </sheetData>
  <autoFilter ref="A1:E22"/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2"/>
  <sheetViews>
    <sheetView zoomScale="85" zoomScaleNormal="85" workbookViewId="0">
      <selection activeCell="M32" sqref="M32"/>
    </sheetView>
  </sheetViews>
  <sheetFormatPr defaultColWidth="9" defaultRowHeight="16.5" x14ac:dyDescent="0.3"/>
  <cols>
    <col min="1" max="1" width="27.125" style="99" bestFit="1" customWidth="1"/>
    <col min="2" max="2" width="11.25" style="99" bestFit="1" customWidth="1"/>
    <col min="3" max="3" width="42.625" style="99" bestFit="1" customWidth="1"/>
    <col min="4" max="4" width="12.25" style="99" customWidth="1"/>
    <col min="5" max="6" width="12" style="99" customWidth="1"/>
    <col min="7" max="16384" width="9" style="99"/>
  </cols>
  <sheetData>
    <row r="1" spans="1:16" ht="30.75" customHeight="1" x14ac:dyDescent="0.3">
      <c r="A1" s="97" t="s">
        <v>140</v>
      </c>
      <c r="B1" s="97" t="s">
        <v>141</v>
      </c>
      <c r="C1" s="97" t="s">
        <v>142</v>
      </c>
      <c r="D1" s="98" t="s">
        <v>143</v>
      </c>
      <c r="E1" s="98" t="s">
        <v>144</v>
      </c>
      <c r="F1" s="98" t="s">
        <v>145</v>
      </c>
      <c r="G1" s="98" t="s">
        <v>146</v>
      </c>
      <c r="P1" s="100"/>
    </row>
    <row r="2" spans="1:16" ht="20.100000000000001" customHeight="1" x14ac:dyDescent="0.35">
      <c r="A2" s="101" t="s">
        <v>175</v>
      </c>
      <c r="B2" s="102"/>
      <c r="C2" s="102" t="s">
        <v>176</v>
      </c>
      <c r="D2" s="103">
        <v>3.25</v>
      </c>
      <c r="E2" s="103">
        <v>40.020000000000003</v>
      </c>
      <c r="G2" s="104"/>
    </row>
    <row r="3" spans="1:16" ht="20.100000000000001" customHeight="1" x14ac:dyDescent="0.35">
      <c r="A3" s="101" t="s">
        <v>147</v>
      </c>
      <c r="B3" s="102"/>
      <c r="C3" s="102" t="s">
        <v>148</v>
      </c>
      <c r="D3" s="103">
        <v>1.75</v>
      </c>
      <c r="E3" s="103">
        <v>45.94</v>
      </c>
      <c r="F3" s="104"/>
      <c r="G3" s="104"/>
    </row>
    <row r="4" spans="1:16" ht="20.100000000000001" customHeight="1" x14ac:dyDescent="0.35">
      <c r="A4" s="101" t="s">
        <v>160</v>
      </c>
      <c r="B4" s="102"/>
      <c r="C4" s="102" t="s">
        <v>148</v>
      </c>
      <c r="D4" s="103">
        <v>0.13</v>
      </c>
      <c r="E4" s="103">
        <v>51.47</v>
      </c>
      <c r="F4" s="104"/>
      <c r="G4" s="104"/>
    </row>
    <row r="5" spans="1:16" ht="20.100000000000001" customHeight="1" x14ac:dyDescent="0.35">
      <c r="A5" s="101"/>
      <c r="B5" s="102"/>
      <c r="C5" s="102"/>
      <c r="D5" s="103"/>
      <c r="E5" s="103"/>
      <c r="F5" s="104"/>
      <c r="G5" s="104"/>
    </row>
    <row r="6" spans="1:16" ht="20.100000000000001" customHeight="1" x14ac:dyDescent="0.35">
      <c r="A6" s="101"/>
      <c r="B6" s="102"/>
      <c r="C6" s="102"/>
      <c r="D6" s="103"/>
      <c r="E6" s="103"/>
      <c r="G6" s="104"/>
    </row>
    <row r="7" spans="1:16" ht="20.100000000000001" customHeight="1" x14ac:dyDescent="0.35">
      <c r="A7" s="101"/>
      <c r="B7" s="102"/>
      <c r="C7" s="102"/>
      <c r="D7" s="103"/>
      <c r="E7" s="103"/>
      <c r="G7" s="104"/>
    </row>
    <row r="8" spans="1:16" ht="20.100000000000001" customHeight="1" x14ac:dyDescent="0.35">
      <c r="A8" s="101"/>
      <c r="B8" s="102"/>
      <c r="C8" s="102"/>
      <c r="D8" s="103"/>
      <c r="E8" s="103"/>
      <c r="F8" s="104"/>
      <c r="G8" s="104"/>
    </row>
    <row r="9" spans="1:16" ht="20.100000000000001" customHeight="1" x14ac:dyDescent="0.35">
      <c r="A9" s="101"/>
      <c r="B9" s="102"/>
      <c r="C9" s="102"/>
      <c r="D9" s="103"/>
      <c r="E9" s="103"/>
      <c r="F9" s="104"/>
      <c r="G9" s="104"/>
    </row>
    <row r="10" spans="1:16" ht="20.100000000000001" customHeight="1" x14ac:dyDescent="0.35">
      <c r="A10" s="101"/>
      <c r="B10" s="102"/>
      <c r="C10" s="102"/>
      <c r="D10" s="103"/>
      <c r="E10" s="103"/>
      <c r="F10" s="104"/>
      <c r="G10" s="104"/>
    </row>
    <row r="11" spans="1:16" ht="20.100000000000001" customHeight="1" x14ac:dyDescent="0.35">
      <c r="A11" s="101"/>
      <c r="B11" s="102"/>
      <c r="C11" s="102"/>
      <c r="D11" s="103"/>
      <c r="E11" s="103"/>
      <c r="F11" s="104"/>
      <c r="G11" s="104"/>
    </row>
    <row r="12" spans="1:16" ht="20.100000000000001" customHeight="1" x14ac:dyDescent="0.35">
      <c r="A12" s="101"/>
      <c r="B12" s="102"/>
      <c r="C12" s="102"/>
      <c r="D12" s="103"/>
      <c r="E12" s="103"/>
      <c r="F12" s="104"/>
      <c r="G12" s="104"/>
    </row>
    <row r="13" spans="1:16" ht="20.100000000000001" customHeight="1" x14ac:dyDescent="0.35">
      <c r="A13" s="101"/>
      <c r="B13" s="102"/>
      <c r="C13" s="102"/>
      <c r="D13" s="103"/>
      <c r="E13" s="103"/>
      <c r="F13" s="104"/>
      <c r="G13" s="104"/>
    </row>
    <row r="14" spans="1:16" ht="20.100000000000001" customHeight="1" x14ac:dyDescent="0.35">
      <c r="A14" s="101"/>
      <c r="B14" s="102"/>
      <c r="C14" s="102"/>
      <c r="D14" s="103"/>
      <c r="E14" s="103"/>
      <c r="F14" s="104"/>
      <c r="G14" s="104"/>
    </row>
    <row r="15" spans="1:16" ht="20.100000000000001" customHeight="1" x14ac:dyDescent="0.35">
      <c r="A15" s="101"/>
      <c r="B15" s="102"/>
      <c r="C15" s="102"/>
      <c r="D15" s="103"/>
      <c r="E15" s="103"/>
      <c r="F15" s="104"/>
      <c r="G15" s="104"/>
    </row>
    <row r="16" spans="1:16" ht="20.100000000000001" customHeight="1" x14ac:dyDescent="0.35">
      <c r="A16" s="101"/>
      <c r="B16" s="102"/>
      <c r="C16" s="102"/>
      <c r="D16" s="103"/>
      <c r="E16" s="103"/>
      <c r="F16" s="104"/>
      <c r="G16" s="104"/>
    </row>
    <row r="17" spans="1:7" ht="20.100000000000001" customHeight="1" x14ac:dyDescent="0.35">
      <c r="A17" s="101"/>
      <c r="B17" s="102"/>
      <c r="C17" s="102"/>
      <c r="D17" s="103"/>
      <c r="E17" s="103"/>
      <c r="F17" s="104"/>
      <c r="G17" s="104"/>
    </row>
    <row r="18" spans="1:7" ht="20.100000000000001" customHeight="1" x14ac:dyDescent="0.35">
      <c r="A18" s="101"/>
      <c r="B18" s="102"/>
      <c r="C18" s="102"/>
      <c r="D18" s="103"/>
      <c r="E18" s="103"/>
      <c r="F18" s="104"/>
      <c r="G18" s="104"/>
    </row>
    <row r="19" spans="1:7" ht="20.100000000000001" customHeight="1" x14ac:dyDescent="0.35">
      <c r="A19" s="101"/>
      <c r="B19" s="102"/>
      <c r="C19" s="102"/>
      <c r="D19" s="103"/>
      <c r="E19" s="103"/>
      <c r="F19" s="104"/>
      <c r="G19" s="104"/>
    </row>
    <row r="20" spans="1:7" ht="20.100000000000001" customHeight="1" x14ac:dyDescent="0.35">
      <c r="A20" s="101"/>
      <c r="B20" s="102"/>
      <c r="C20" s="102"/>
      <c r="D20" s="103"/>
      <c r="E20" s="103"/>
      <c r="F20" s="104"/>
      <c r="G20" s="104"/>
    </row>
    <row r="21" spans="1:7" ht="20.100000000000001" customHeight="1" x14ac:dyDescent="0.35">
      <c r="A21" s="101"/>
      <c r="B21" s="102"/>
      <c r="C21" s="102"/>
      <c r="D21" s="103"/>
      <c r="E21" s="103"/>
      <c r="F21" s="104"/>
      <c r="G21" s="104"/>
    </row>
    <row r="22" spans="1:7" ht="20.100000000000001" customHeight="1" x14ac:dyDescent="0.35">
      <c r="A22" s="101"/>
      <c r="B22" s="102"/>
      <c r="C22" s="102"/>
      <c r="D22" s="103"/>
      <c r="E22" s="103"/>
      <c r="F22" s="104"/>
      <c r="G22" s="104"/>
    </row>
  </sheetData>
  <autoFilter ref="A1:E22"/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9"/>
  <sheetViews>
    <sheetView topLeftCell="B1" zoomScale="85" zoomScaleNormal="85" workbookViewId="0">
      <selection activeCell="N27" sqref="N27"/>
    </sheetView>
  </sheetViews>
  <sheetFormatPr defaultColWidth="9" defaultRowHeight="16.5" x14ac:dyDescent="0.3"/>
  <cols>
    <col min="1" max="1" width="27.125" style="99" bestFit="1" customWidth="1"/>
    <col min="2" max="2" width="11.25" style="99" bestFit="1" customWidth="1"/>
    <col min="3" max="3" width="42.625" style="99" bestFit="1" customWidth="1"/>
    <col min="4" max="4" width="12.25" style="99" customWidth="1"/>
    <col min="5" max="6" width="12" style="99" customWidth="1"/>
    <col min="7" max="16384" width="9" style="99"/>
  </cols>
  <sheetData>
    <row r="1" spans="1:16" ht="30.75" customHeight="1" x14ac:dyDescent="0.3">
      <c r="A1" s="97" t="s">
        <v>140</v>
      </c>
      <c r="B1" s="97" t="s">
        <v>141</v>
      </c>
      <c r="C1" s="97" t="s">
        <v>142</v>
      </c>
      <c r="D1" s="98" t="s">
        <v>143</v>
      </c>
      <c r="E1" s="98" t="s">
        <v>144</v>
      </c>
      <c r="F1" s="98" t="s">
        <v>145</v>
      </c>
      <c r="G1" s="98" t="s">
        <v>146</v>
      </c>
      <c r="P1" s="100"/>
    </row>
    <row r="2" spans="1:16" ht="20.100000000000001" customHeight="1" x14ac:dyDescent="0.35">
      <c r="A2" s="101" t="s">
        <v>90</v>
      </c>
      <c r="B2" s="102" t="s">
        <v>88</v>
      </c>
      <c r="C2" s="102" t="s">
        <v>91</v>
      </c>
      <c r="D2" s="103">
        <v>1.75</v>
      </c>
      <c r="E2" s="103">
        <v>7.65</v>
      </c>
      <c r="G2" s="104"/>
    </row>
    <row r="3" spans="1:16" ht="20.100000000000001" customHeight="1" x14ac:dyDescent="0.35">
      <c r="A3" s="101" t="s">
        <v>97</v>
      </c>
      <c r="B3" s="102" t="s">
        <v>84</v>
      </c>
      <c r="C3" s="102" t="s">
        <v>98</v>
      </c>
      <c r="D3" s="103">
        <v>4.34</v>
      </c>
      <c r="E3" s="103">
        <v>0.88</v>
      </c>
      <c r="F3" s="104"/>
      <c r="G3" s="104"/>
    </row>
    <row r="4" spans="1:16" ht="20.100000000000001" customHeight="1" x14ac:dyDescent="0.35">
      <c r="A4" s="101" t="s">
        <v>105</v>
      </c>
      <c r="B4" s="102"/>
      <c r="C4" s="102" t="s">
        <v>106</v>
      </c>
      <c r="D4" s="103">
        <v>3.76</v>
      </c>
      <c r="E4" s="103">
        <v>8.43</v>
      </c>
      <c r="F4" s="104"/>
      <c r="G4" s="104"/>
    </row>
    <row r="5" spans="1:16" ht="20.100000000000001" customHeight="1" x14ac:dyDescent="0.35">
      <c r="A5" s="101" t="s">
        <v>149</v>
      </c>
      <c r="B5" s="102" t="s">
        <v>150</v>
      </c>
      <c r="C5" s="102" t="s">
        <v>151</v>
      </c>
      <c r="D5" s="103">
        <v>2.36</v>
      </c>
      <c r="E5" s="103">
        <v>-0.6</v>
      </c>
      <c r="F5" s="104"/>
      <c r="G5" s="104"/>
    </row>
    <row r="6" spans="1:16" ht="20.100000000000001" customHeight="1" x14ac:dyDescent="0.35">
      <c r="A6" s="101" t="s">
        <v>152</v>
      </c>
      <c r="B6" s="102" t="s">
        <v>150</v>
      </c>
      <c r="C6" s="102" t="s">
        <v>153</v>
      </c>
      <c r="D6" s="103">
        <v>1.86</v>
      </c>
      <c r="E6" s="103">
        <v>-1.83</v>
      </c>
      <c r="F6" s="104"/>
      <c r="G6" s="104"/>
    </row>
    <row r="7" spans="1:16" ht="20.100000000000001" customHeight="1" x14ac:dyDescent="0.35">
      <c r="A7" s="101" t="s">
        <v>154</v>
      </c>
      <c r="B7" s="102" t="s">
        <v>150</v>
      </c>
      <c r="C7" s="102" t="s">
        <v>155</v>
      </c>
      <c r="D7" s="103">
        <v>7.77</v>
      </c>
      <c r="E7" s="103">
        <v>2.4</v>
      </c>
      <c r="F7" s="104"/>
      <c r="G7" s="104"/>
    </row>
    <row r="8" spans="1:16" ht="20.100000000000001" customHeight="1" x14ac:dyDescent="0.35">
      <c r="A8" s="101" t="s">
        <v>156</v>
      </c>
      <c r="B8" s="102" t="s">
        <v>150</v>
      </c>
      <c r="C8" s="102" t="s">
        <v>157</v>
      </c>
      <c r="D8" s="103">
        <v>0.92</v>
      </c>
      <c r="E8" s="103">
        <v>0.08</v>
      </c>
      <c r="F8" s="104"/>
      <c r="G8" s="104"/>
    </row>
    <row r="9" spans="1:16" ht="20.100000000000001" customHeight="1" x14ac:dyDescent="0.35">
      <c r="A9" s="101" t="s">
        <v>158</v>
      </c>
      <c r="B9" s="102" t="s">
        <v>150</v>
      </c>
      <c r="C9" s="102" t="s">
        <v>159</v>
      </c>
      <c r="D9" s="103">
        <v>2.98</v>
      </c>
      <c r="E9" s="103">
        <v>0.23</v>
      </c>
      <c r="F9" s="104"/>
      <c r="G9" s="104"/>
    </row>
    <row r="10" spans="1:16" ht="20.100000000000001" customHeight="1" x14ac:dyDescent="0.35">
      <c r="A10" s="101"/>
      <c r="B10" s="102"/>
      <c r="C10" s="102"/>
      <c r="D10" s="103"/>
      <c r="E10" s="103"/>
      <c r="F10" s="104"/>
      <c r="G10" s="104"/>
    </row>
    <row r="11" spans="1:16" ht="20.100000000000001" customHeight="1" x14ac:dyDescent="0.35">
      <c r="A11" s="101"/>
      <c r="B11" s="102"/>
      <c r="C11" s="102"/>
      <c r="D11" s="103"/>
      <c r="E11" s="103"/>
      <c r="F11" s="104"/>
      <c r="G11" s="104"/>
    </row>
    <row r="12" spans="1:16" ht="20.100000000000001" customHeight="1" x14ac:dyDescent="0.35">
      <c r="A12" s="101"/>
      <c r="B12" s="102"/>
      <c r="C12" s="102"/>
      <c r="D12" s="103"/>
      <c r="E12" s="103"/>
      <c r="F12" s="104"/>
      <c r="G12" s="104"/>
    </row>
    <row r="13" spans="1:16" ht="20.100000000000001" customHeight="1" x14ac:dyDescent="0.35">
      <c r="A13" s="101"/>
      <c r="B13" s="102"/>
      <c r="C13" s="102"/>
      <c r="D13" s="103"/>
      <c r="E13" s="103"/>
      <c r="F13" s="104"/>
      <c r="G13" s="104"/>
    </row>
    <row r="14" spans="1:16" ht="20.100000000000001" customHeight="1" x14ac:dyDescent="0.35">
      <c r="A14" s="101"/>
      <c r="B14" s="102"/>
      <c r="C14" s="102"/>
      <c r="D14" s="103"/>
      <c r="E14" s="103"/>
      <c r="F14" s="104"/>
      <c r="G14" s="104"/>
    </row>
    <row r="15" spans="1:16" ht="20.100000000000001" customHeight="1" x14ac:dyDescent="0.35">
      <c r="A15" s="101"/>
      <c r="B15" s="102"/>
      <c r="C15" s="102"/>
      <c r="D15" s="103"/>
      <c r="E15" s="103"/>
      <c r="F15" s="104"/>
      <c r="G15" s="104"/>
    </row>
    <row r="16" spans="1:16" ht="20.100000000000001" customHeight="1" x14ac:dyDescent="0.35">
      <c r="A16" s="101"/>
      <c r="B16" s="102"/>
      <c r="C16" s="102"/>
      <c r="D16" s="103"/>
      <c r="E16" s="103"/>
      <c r="F16" s="104"/>
      <c r="G16" s="104"/>
    </row>
    <row r="17" spans="1:7" ht="20.100000000000001" customHeight="1" x14ac:dyDescent="0.35">
      <c r="A17" s="101"/>
      <c r="B17" s="102"/>
      <c r="C17" s="102"/>
      <c r="D17" s="103"/>
      <c r="E17" s="103"/>
      <c r="F17" s="104"/>
      <c r="G17" s="104"/>
    </row>
    <row r="18" spans="1:7" ht="20.100000000000001" customHeight="1" x14ac:dyDescent="0.35">
      <c r="A18" s="101"/>
      <c r="B18" s="102"/>
      <c r="C18" s="102"/>
      <c r="D18" s="103"/>
      <c r="E18" s="103"/>
      <c r="F18" s="104"/>
      <c r="G18" s="104"/>
    </row>
    <row r="19" spans="1:7" ht="20.100000000000001" customHeight="1" x14ac:dyDescent="0.35">
      <c r="A19" s="101"/>
      <c r="B19" s="102"/>
      <c r="C19" s="102"/>
      <c r="D19" s="103"/>
      <c r="E19" s="103"/>
      <c r="F19" s="104"/>
      <c r="G19" s="104"/>
    </row>
  </sheetData>
  <autoFilter ref="A1:E19"/>
  <phoneticPr fontId="1" type="noConversion"/>
  <pageMargins left="0.7" right="0.7" top="0.75" bottom="0.75" header="0.3" footer="0.3"/>
  <pageSetup paperSize="9"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4월</vt:lpstr>
      <vt:lpstr>6월</vt:lpstr>
      <vt:lpstr>8월</vt:lpstr>
      <vt:lpstr>10월</vt:lpstr>
      <vt:lpstr>9월 19일_기여율 결과 포함</vt:lpstr>
      <vt:lpstr>summary_statistics_MixSIAR_0919</vt:lpstr>
      <vt:lpstr>diagnostics_MixSIAR_0919(long)</vt:lpstr>
      <vt:lpstr>9월 20일 A</vt:lpstr>
      <vt:lpstr>9월 20일 P</vt:lpstr>
      <vt:lpstr>9월 23일_기여율 결과 포함</vt:lpstr>
      <vt:lpstr>summary_statistics_MixSIAR_0923</vt:lpstr>
      <vt:lpstr>diagnostics_MixSIAR_0923(long)</vt:lpstr>
      <vt:lpstr>오염원(하수)</vt:lpstr>
      <vt:lpstr>오염원(퇴비)</vt:lpstr>
      <vt:lpstr>오염원(비료)</vt:lpstr>
      <vt:lpstr>오염원(강우)</vt:lpstr>
      <vt:lpstr>오염원(토양_산림)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물환경화학연구과</dc:creator>
  <cp:lastModifiedBy>Nier</cp:lastModifiedBy>
  <cp:lastPrinted>2024-02-24T01:32:10Z</cp:lastPrinted>
  <dcterms:created xsi:type="dcterms:W3CDTF">2018-05-02T05:09:56Z</dcterms:created>
  <dcterms:modified xsi:type="dcterms:W3CDTF">2026-04-09T23:11:23Z</dcterms:modified>
</cp:coreProperties>
</file>