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EMMTE, MixSIAR 비교\2024년 조사 자료 활용 비교\"/>
    </mc:Choice>
  </mc:AlternateContent>
  <xr:revisionPtr revIDLastSave="0" documentId="13_ncr:1_{A9F154F7-F8D8-4135-8132-3AAB0142055A}" xr6:coauthVersionLast="47" xr6:coauthVersionMax="47" xr10:uidLastSave="{00000000-0000-0000-0000-000000000000}"/>
  <bookViews>
    <workbookView xWindow="28680" yWindow="-120" windowWidth="29040" windowHeight="15720" tabRatio="737" firstSheet="5" activeTab="8" xr2:uid="{00000000-000D-0000-FFFF-FFFF00000000}"/>
  </bookViews>
  <sheets>
    <sheet name="4월" sheetId="37" r:id="rId1"/>
    <sheet name="6월" sheetId="42" r:id="rId2"/>
    <sheet name="8월" sheetId="43" r:id="rId3"/>
    <sheet name="10월" sheetId="48" r:id="rId4"/>
    <sheet name="9월 19일" sheetId="44" r:id="rId5"/>
    <sheet name="9월 20일 A" sheetId="45" r:id="rId6"/>
    <sheet name="9월 20일 P" sheetId="46" r:id="rId7"/>
    <sheet name="9월 23일" sheetId="47" r:id="rId8"/>
    <sheet name="summary_statistics_MixSIAR_0923" sheetId="61" r:id="rId9"/>
    <sheet name="diagnostics_MixSIAR_0923" sheetId="63" r:id="rId10"/>
    <sheet name="오염원(하수)" sheetId="55" r:id="rId11"/>
    <sheet name="오염원(퇴비)" sheetId="56" r:id="rId12"/>
    <sheet name="오염원(비료)" sheetId="57" r:id="rId13"/>
    <sheet name="오염원(강우)" sheetId="58" r:id="rId14"/>
    <sheet name="오염원(토양_산림)" sheetId="59" r:id="rId15"/>
  </sheets>
  <definedNames>
    <definedName name="_xlnm._FilterDatabase" localSheetId="13" hidden="1">'오염원(강우)'!$A$1:$E$22</definedName>
    <definedName name="_xlnm._FilterDatabase" localSheetId="12" hidden="1">'오염원(비료)'!$A$1:$E$22</definedName>
    <definedName name="_xlnm._FilterDatabase" localSheetId="14" hidden="1">'오염원(토양_산림)'!$A$1:$E$19</definedName>
    <definedName name="_xlnm._FilterDatabase" localSheetId="11" hidden="1">'오염원(퇴비)'!$A$1:$E$22</definedName>
    <definedName name="_xlnm._FilterDatabase" localSheetId="10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47" l="1"/>
  <c r="AE7" i="47"/>
  <c r="AE8" i="47"/>
  <c r="AE9" i="47"/>
  <c r="AE10" i="47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5" i="47"/>
  <c r="E16" i="55"/>
  <c r="D16" i="55"/>
</calcChain>
</file>

<file path=xl/sharedStrings.xml><?xml version="1.0" encoding="utf-8"?>
<sst xmlns="http://schemas.openxmlformats.org/spreadsheetml/2006/main" count="1881" uniqueCount="829">
  <si>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</si>
  <si>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</si>
  <si>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</si>
  <si>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</si>
  <si>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</si>
  <si>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</si>
  <si>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</si>
  <si>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</si>
  <si>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</si>
  <si>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</si>
  <si>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</si>
  <si>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</si>
  <si>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</si>
  <si>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</si>
  <si>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</si>
  <si>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</si>
  <si>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</si>
  <si>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</si>
  <si>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</si>
  <si>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</si>
  <si>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</si>
  <si>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</si>
  <si>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</si>
  <si>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</si>
  <si>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</si>
  <si>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</si>
  <si>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</si>
  <si>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</si>
  <si>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</si>
  <si>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</si>
  <si>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</si>
  <si>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</si>
  <si>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</si>
  <si>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</si>
  <si>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</si>
  <si>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</si>
  <si>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</si>
  <si>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</si>
  <si>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</si>
  <si>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</si>
  <si>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</si>
  <si>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</si>
  <si>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</si>
  <si>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</si>
  <si>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</si>
  <si>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</si>
  <si>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</si>
  <si>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</si>
  <si>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</si>
  <si>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</si>
  <si>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</si>
  <si>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</si>
  <si>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</si>
  <si>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</si>
  <si>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</si>
  <si>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</si>
  <si>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</si>
  <si>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</si>
  <si>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</si>
  <si>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</si>
  <si>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</si>
  <si>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</si>
  <si>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</si>
  <si>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</si>
  <si>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</si>
  <si>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</si>
  <si>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</si>
  <si>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</si>
  <si>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</si>
  <si>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</si>
  <si>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</si>
  <si>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</si>
  <si>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</si>
  <si>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</si>
  <si>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</si>
  <si>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</si>
  <si>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</si>
  <si>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</si>
  <si>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</si>
  <si>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</si>
  <si>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</si>
  <si>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</si>
  <si>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</si>
  <si>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</si>
  <si>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</si>
  <si>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</si>
  <si>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</si>
  <si>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</si>
  <si>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</si>
  <si>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</si>
  <si>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</si>
  <si>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</si>
  <si>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</si>
  <si>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</si>
  <si>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</si>
  <si>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</si>
  <si>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</si>
  <si>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</si>
  <si>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</si>
  <si>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</si>
  <si>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</si>
  <si>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</si>
  <si>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</si>
  <si>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</si>
  <si>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</si>
  <si>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</si>
  <si>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</si>
  <si>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</si>
  <si>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</si>
  <si>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</si>
  <si>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</si>
  <si>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</si>
  <si>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</si>
  <si>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</si>
  <si>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</si>
  <si>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</si>
  <si>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</si>
  <si>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</si>
  <si>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</si>
  <si>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</si>
  <si>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</si>
  <si>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</si>
  <si>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</si>
  <si>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</si>
  <si>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</si>
  <si>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</si>
  <si>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</si>
  <si>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</si>
  <si>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</si>
  <si>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</si>
  <si>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</si>
  <si>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</si>
  <si>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</si>
  <si>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</si>
  <si>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</si>
  <si>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</si>
  <si>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</si>
  <si>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</si>
  <si>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</si>
  <si>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</si>
  <si>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</si>
  <si>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</si>
  <si>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</si>
  <si>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</si>
  <si>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</si>
  <si>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</si>
  <si>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</si>
  <si>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</si>
  <si>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</si>
  <si>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</si>
  <si>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</si>
  <si>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</si>
  <si>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</si>
  <si>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</si>
  <si>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</si>
  <si>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</si>
  <si>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</si>
  <si>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</si>
  <si>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</si>
  <si>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</si>
  <si>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</si>
  <si>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</si>
  <si>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</si>
  <si>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</si>
  <si>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</si>
  <si>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</si>
  <si>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</si>
  <si>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</si>
  <si>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</si>
  <si>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</si>
  <si>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</si>
  <si>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</si>
  <si>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</si>
  <si>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</si>
  <si>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</si>
  <si>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</si>
  <si>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</si>
  <si>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</si>
  <si>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avg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</si>
  <si>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</si>
  <si>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</si>
  <si>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</si>
  <si>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</si>
  <si>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</si>
  <si>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p.n24.soil</t>
  </si>
  <si>
    <t>p.n23.soil</t>
  </si>
  <si>
    <t>p.n22.soil</t>
  </si>
  <si>
    <t>p.n21.soil</t>
  </si>
  <si>
    <t>p.n20.soil</t>
  </si>
  <si>
    <t>p.n19.soil</t>
  </si>
  <si>
    <t>p.n18.soil</t>
  </si>
  <si>
    <t>p.n17.soil</t>
  </si>
  <si>
    <t>p.n16.soil</t>
  </si>
  <si>
    <t>p.n15.soil</t>
  </si>
  <si>
    <t>p.n14.soil</t>
  </si>
  <si>
    <t>p.n13.soil</t>
  </si>
  <si>
    <t>p.n12.soil</t>
  </si>
  <si>
    <t>p.n11.soil</t>
  </si>
  <si>
    <t>p.n10.soil</t>
  </si>
  <si>
    <t>p.n09.soil</t>
  </si>
  <si>
    <t>p.n08.soil</t>
  </si>
  <si>
    <t>p.n07.soil</t>
  </si>
  <si>
    <t>p.n06.soil</t>
  </si>
  <si>
    <t>p.n05.soil</t>
  </si>
  <si>
    <t>p.n04.soil</t>
  </si>
  <si>
    <t>p.n03.soil</t>
  </si>
  <si>
    <t>p.n02.soil</t>
  </si>
  <si>
    <t>p.n01.soil</t>
  </si>
  <si>
    <t>p.n24.sewage</t>
  </si>
  <si>
    <t>p.n23.sewage</t>
  </si>
  <si>
    <t>p.n22.sewage</t>
  </si>
  <si>
    <t>p.n21.sewage</t>
  </si>
  <si>
    <t>p.n20.sewage</t>
  </si>
  <si>
    <t>p.n19.sewage</t>
  </si>
  <si>
    <t>p.n18.sewage</t>
  </si>
  <si>
    <t>p.n17.sewage</t>
  </si>
  <si>
    <t>p.n16.sewage</t>
  </si>
  <si>
    <t>p.n15.sewage</t>
  </si>
  <si>
    <t>p.n14.sewage</t>
  </si>
  <si>
    <t>p.n13.sewage</t>
  </si>
  <si>
    <t>p.n12.sewage</t>
  </si>
  <si>
    <t>p.n11.sewage</t>
  </si>
  <si>
    <t>p.n10.sewage</t>
  </si>
  <si>
    <t>p.n09.sewage</t>
  </si>
  <si>
    <t>p.n08.sewage</t>
  </si>
  <si>
    <t>p.n07.sewage</t>
  </si>
  <si>
    <t>p.n06.sewage</t>
  </si>
  <si>
    <t>p.n05.sewage</t>
  </si>
  <si>
    <t>p.n04.sewage</t>
  </si>
  <si>
    <t>p.n03.sewage</t>
  </si>
  <si>
    <t>p.n02.sewage</t>
  </si>
  <si>
    <t>p.n01.sewage</t>
  </si>
  <si>
    <t>p.n24.rain</t>
  </si>
  <si>
    <t>p.n23.rain</t>
  </si>
  <si>
    <t>p.n22.rain</t>
  </si>
  <si>
    <t>p.n21.rain</t>
  </si>
  <si>
    <t>p.n20.rain</t>
  </si>
  <si>
    <t>p.n19.rain</t>
  </si>
  <si>
    <t>p.n18.rain</t>
  </si>
  <si>
    <t>p.n17.rain</t>
  </si>
  <si>
    <t>p.n16.rain</t>
  </si>
  <si>
    <t>p.n15.rain</t>
  </si>
  <si>
    <t>p.n14.rain</t>
  </si>
  <si>
    <t>p.n13.rain</t>
  </si>
  <si>
    <t>p.n12.rain</t>
  </si>
  <si>
    <t>p.n11.rain</t>
  </si>
  <si>
    <t>p.n10.rain</t>
  </si>
  <si>
    <t>p.n09.rain</t>
  </si>
  <si>
    <t>p.n08.rain</t>
  </si>
  <si>
    <t>p.n07.rain</t>
  </si>
  <si>
    <t>p.n06.rain</t>
  </si>
  <si>
    <t>p.n05.rain</t>
  </si>
  <si>
    <t>p.n04.rain</t>
  </si>
  <si>
    <t>p.n03.rain</t>
  </si>
  <si>
    <t>p.n02.rain</t>
  </si>
  <si>
    <t>p.n01.rain</t>
  </si>
  <si>
    <t>p.n24.manure</t>
  </si>
  <si>
    <t>p.n23.manure</t>
  </si>
  <si>
    <t>p.n22.manure</t>
  </si>
  <si>
    <t>p.n21.manure</t>
  </si>
  <si>
    <t>p.n20.manure</t>
  </si>
  <si>
    <t>p.n19.manure</t>
  </si>
  <si>
    <t>p.n18.manure</t>
  </si>
  <si>
    <t>p.n17.manure</t>
  </si>
  <si>
    <t>p.n16.manure</t>
  </si>
  <si>
    <t>p.n15.manure</t>
  </si>
  <si>
    <t>p.n14.manure</t>
  </si>
  <si>
    <t>p.n13.manure</t>
  </si>
  <si>
    <t>p.n12.manure</t>
  </si>
  <si>
    <t>p.n11.manure</t>
  </si>
  <si>
    <t>p.n10.manure</t>
  </si>
  <si>
    <t>p.n09.manure</t>
  </si>
  <si>
    <t>p.n08.manure</t>
  </si>
  <si>
    <t>p.n07.manure</t>
  </si>
  <si>
    <t>p.n06.manure</t>
  </si>
  <si>
    <t>p.n05.manure</t>
  </si>
  <si>
    <t>p.n04.manure</t>
  </si>
  <si>
    <t>p.n03.manure</t>
  </si>
  <si>
    <t>p.n02.manure</t>
  </si>
  <si>
    <t>p.n01.manure</t>
  </si>
  <si>
    <t>p.n24.fertilizer</t>
  </si>
  <si>
    <t>p.n23.fertilizer</t>
  </si>
  <si>
    <t>p.n22.fertilizer</t>
  </si>
  <si>
    <t>p.n21.fertilizer</t>
  </si>
  <si>
    <t>p.n20.fertilizer</t>
  </si>
  <si>
    <t>p.n19.fertilizer</t>
  </si>
  <si>
    <t>p.n18.fertilizer</t>
  </si>
  <si>
    <t>p.n17.fertilizer</t>
  </si>
  <si>
    <t>p.n16.fertilizer</t>
  </si>
  <si>
    <t>p.n15.fertilizer</t>
  </si>
  <si>
    <t>p.n14.fertilizer</t>
  </si>
  <si>
    <t>p.n13.fertilizer</t>
  </si>
  <si>
    <t>p.n12.fertilizer</t>
  </si>
  <si>
    <t>p.n11.fertilizer</t>
  </si>
  <si>
    <t>p.n10.fertilizer</t>
  </si>
  <si>
    <t>p.n09.fertilizer</t>
  </si>
  <si>
    <t>p.n08.fertilizer</t>
  </si>
  <si>
    <t>p.n07.fertilizer</t>
  </si>
  <si>
    <t>p.n06.fertilizer</t>
  </si>
  <si>
    <t>p.n05.fertilizer</t>
  </si>
  <si>
    <t>p.n04.fertilizer</t>
  </si>
  <si>
    <t>p.n03.fertilizer</t>
  </si>
  <si>
    <t>p.n02.fertilizer</t>
  </si>
  <si>
    <t>p.n01.fertilizer</t>
  </si>
  <si>
    <t>SD</t>
    <phoneticPr fontId="1" type="noConversion"/>
  </si>
  <si>
    <t>Mean</t>
    <phoneticPr fontId="1" type="noConversion"/>
  </si>
  <si>
    <t xml:space="preserve">            </t>
    <phoneticPr fontId="1" type="noConversion"/>
  </si>
  <si>
    <t>DIC = 178.762</t>
  </si>
  <si>
    <t>#################################################################</t>
  </si>
  <si>
    <t># Summary Statistics</t>
  </si>
  <si>
    <t>p.global[5]    -0.210 -1.729  4.805</t>
  </si>
  <si>
    <t>p.global[4]     1.607 -1.614  0.213</t>
  </si>
  <si>
    <t>p.global[3]    -2.810 -0.271  0.821</t>
  </si>
  <si>
    <t>p.global[2]    -0.851  2.275 -2.915</t>
  </si>
  <si>
    <t>p.global[1]    -0.319  2.548 -5.207</t>
  </si>
  <si>
    <t>p.fac1[9,5]     0.936 -2.555  4.259</t>
  </si>
  <si>
    <t>p.fac1[9,4]     0.471 -2.748  0.247</t>
  </si>
  <si>
    <t>p.fac1[9,3]    -2.279 -0.419  1.327</t>
  </si>
  <si>
    <t>p.fac1[9,2]    -2.527  2.735 -3.526</t>
  </si>
  <si>
    <t>p.fac1[9,1]    -0.175  3.125 -4.025</t>
  </si>
  <si>
    <t>p.fac1[8,5]    -0.824 -2.870  2.473</t>
  </si>
  <si>
    <t>p.fac1[8,4]     0.897 -1.166  1.563</t>
  </si>
  <si>
    <t>p.fac1[8,3]    -2.829 -0.296  1.299</t>
  </si>
  <si>
    <t>p.fac1[8,2]    -0.404  1.606 -2.812</t>
  </si>
  <si>
    <t>p.fac1[8,1]     0.360  3.392 -2.906</t>
  </si>
  <si>
    <t>p.fac1[7,5]     0.284 -3.250  4.173</t>
  </si>
  <si>
    <t>p.fac1[7,4]     0.062 -1.000  1.950</t>
  </si>
  <si>
    <t>p.fac1[7,3]    -0.931  0.066  0.164</t>
  </si>
  <si>
    <t>p.fac1[7,2]    -0.284  2.496 -4.581</t>
  </si>
  <si>
    <t>p.fac1[7,1]    -0.309  4.101 -5.628</t>
  </si>
  <si>
    <t>p.fac1[6,5]     0.817 -0.779  2.222</t>
  </si>
  <si>
    <t>p.fac1[6,4]     0.694 -2.806  0.692</t>
  </si>
  <si>
    <t>p.fac1[6,3]    -3.256  0.318  1.461</t>
  </si>
  <si>
    <t>p.fac1[6,2]    -2.532  1.983 -1.248</t>
  </si>
  <si>
    <t>p.fac1[6,1]    -0.730  1.814 -5.104</t>
  </si>
  <si>
    <t>p.fac1[5,5]    -0.720 -2.915  3.924</t>
  </si>
  <si>
    <t>p.fac1[5,4]     2.001  0.067 -0.027</t>
  </si>
  <si>
    <t>p.fac1[5,3]    -4.159  0.064 -0.016</t>
  </si>
  <si>
    <t>p.fac1[5,2]     0.203  2.244 -2.554</t>
  </si>
  <si>
    <t>p.fac1[5,1]    -0.177  7.706 -4.001</t>
  </si>
  <si>
    <t>p.fac1[4,5]     0.563 -3.116  4.361</t>
  </si>
  <si>
    <t>p.fac1[4,4]    -0.619 -3.122 -0.736</t>
  </si>
  <si>
    <t>p.fac1[4,3]    -2.275 -0.308 -0.334</t>
  </si>
  <si>
    <t>p.fac1[4,2]    -1.963  3.326 -0.529</t>
  </si>
  <si>
    <t>p.fac1[4,1]     0.369  4.034 -4.660</t>
  </si>
  <si>
    <t>p.fac1[3,5]    -0.289 -2.757  5.069</t>
  </si>
  <si>
    <t>p.fac1[3,4]     0.921 -0.513 -0.382</t>
  </si>
  <si>
    <t>p.fac1[3,3]    -2.306 -0.688  1.791</t>
  </si>
  <si>
    <t>p.fac1[3,2]    -0.564  2.457 -2.744</t>
  </si>
  <si>
    <t>p.fac1[3,1]     0.079  3.088 -4.238</t>
  </si>
  <si>
    <t>p.fac1[24,5]   -0.592 -2.592  2.771</t>
  </si>
  <si>
    <t>p.fac1[24,4]    0.996 -2.622  0.486</t>
  </si>
  <si>
    <t>p.fac1[24,3]   -2.573 -0.142  1.512</t>
  </si>
  <si>
    <t>p.fac1[24,2]   -0.341  4.401 -1.388</t>
  </si>
  <si>
    <t>p.fac1[24,1]    0.568  2.810 -4.280</t>
  </si>
  <si>
    <t>p.fac1[23,5]   -1.415 -1.519  4.945</t>
  </si>
  <si>
    <t>p.fac1[23,4]    1.740 -2.799 -0.627</t>
  </si>
  <si>
    <t>p.fac1[23,3]   -0.433  0.034  1.153</t>
  </si>
  <si>
    <t>p.fac1[23,2]   -0.085  1.466 -1.998</t>
  </si>
  <si>
    <t>p.fac1[23,1]    0.556  3.029 -4.300</t>
  </si>
  <si>
    <t>p.fac1[22,5]   -1.043 -1.085  2.073</t>
  </si>
  <si>
    <t>p.fac1[22,4]    0.955 -3.984  0.609</t>
  </si>
  <si>
    <t>p.fac1[22,3]   -1.567  0.131  0.629</t>
  </si>
  <si>
    <t>p.fac1[22,2]   -1.384  2.870 -3.828</t>
  </si>
  <si>
    <t>p.fac1[22,1]    0.990  4.190 -2.456</t>
  </si>
  <si>
    <t>p.fac1[21,5]    0.345 -4.238  2.920</t>
  </si>
  <si>
    <t>p.fac1[21,4]    1.108 -1.211 -1.035</t>
  </si>
  <si>
    <t>p.fac1[21,3]   -2.404 -1.286 -0.543</t>
  </si>
  <si>
    <t>p.fac1[21,2]   -1.580  1.200 -1.853</t>
  </si>
  <si>
    <t>p.fac1[21,1]   -0.397  4.572 -2.311</t>
  </si>
  <si>
    <t>p.fac1[20,5]    0.849 -1.234  2.434</t>
  </si>
  <si>
    <t>p.fac1[20,4]    0.486 -1.991  2.060</t>
  </si>
  <si>
    <t>p.fac1[20,3]   -3.273 -0.160  0.473</t>
  </si>
  <si>
    <t>p.fac1[20,2]   -2.563  1.746 -4.413</t>
  </si>
  <si>
    <t>p.fac1[20,1]    0.309  2.929 -4.310</t>
  </si>
  <si>
    <t>p.fac1[2,5]    -0.173 -3.826  7.204</t>
  </si>
  <si>
    <t>p.fac1[2,4]     1.649 -1.292 -0.275</t>
  </si>
  <si>
    <t>p.fac1[2,3]    -4.672  0.034  1.664</t>
  </si>
  <si>
    <t>p.fac1[2,2]    -0.952  2.432 -4.707</t>
  </si>
  <si>
    <t>p.fac1[2,1]    -0.414  5.243 -6.175</t>
  </si>
  <si>
    <t>p.fac1[19,5]    0.375  0.049  1.738</t>
  </si>
  <si>
    <t>p.fac1[19,4]    0.035 -3.103 -0.102</t>
  </si>
  <si>
    <t>p.fac1[19,3]   -3.784 -0.342  1.404</t>
  </si>
  <si>
    <t>p.fac1[19,2]   -1.229  2.624 -1.921</t>
  </si>
  <si>
    <t>p.fac1[19,1]    0.836  2.865 -3.901</t>
  </si>
  <si>
    <t>p.fac1[18,5]    0.343  0.338  4.068</t>
  </si>
  <si>
    <t>p.fac1[18,4]    0.057 -3.311  0.838</t>
  </si>
  <si>
    <t>p.fac1[18,3]   -3.109 -0.631  0.796</t>
  </si>
  <si>
    <t>p.fac1[18,2]   -0.603  2.512 -4.022</t>
  </si>
  <si>
    <t>p.fac1[18,1]    0.053  3.314 -4.726</t>
  </si>
  <si>
    <t>p.fac1[17,5]   -1.181 -3.381  3.542</t>
  </si>
  <si>
    <t>p.fac1[17,4]    0.885 -0.991 -0.657</t>
  </si>
  <si>
    <t>p.fac1[17,3]   -2.079 -0.857  0.959</t>
  </si>
  <si>
    <t>p.fac1[17,2]   -0.857  1.328 -3.675</t>
  </si>
  <si>
    <t>p.fac1[17,1]    1.369  4.602 -5.389</t>
  </si>
  <si>
    <t>p.fac1[16,5]    0.668 -1.674  6.094</t>
  </si>
  <si>
    <t>p.fac1[16,4]    0.749 -0.015  0.819</t>
  </si>
  <si>
    <t>p.fac1[16,3]   -3.349 -0.189  1.232</t>
  </si>
  <si>
    <t>p.fac1[16,2]   -0.876  0.599 -3.370</t>
  </si>
  <si>
    <t>p.fac1[16,1]   -0.537  1.880 -6.116</t>
  </si>
  <si>
    <t>p.fac1[15,5]    0.360  0.369  3.249</t>
  </si>
  <si>
    <t>p.fac1[15,4]   -0.312 -2.885  0.459</t>
  </si>
  <si>
    <t>p.fac1[15,3]   -2.218 -0.630  0.989</t>
  </si>
  <si>
    <t>p.fac1[15,2]   -0.095  2.903 -1.707</t>
  </si>
  <si>
    <t>p.fac1[15,1]    0.094  1.625 -5.442</t>
  </si>
  <si>
    <t>p.fac1[14,5]    0.266 -1.788  4.342</t>
  </si>
  <si>
    <t>p.fac1[14,4]    0.265 -0.558  0.683</t>
  </si>
  <si>
    <t>p.fac1[14,3]   -1.613  0.277  0.545</t>
  </si>
  <si>
    <t>p.fac1[14,2]   -0.051  1.706 -2.247</t>
  </si>
  <si>
    <t>p.fac1[14,1]   -0.381  4.248 -5.485</t>
  </si>
  <si>
    <t>p.fac1[13,5]    0.718 -1.375  2.864</t>
  </si>
  <si>
    <t>p.fac1[13,4]    0.671 -3.942  0.077</t>
  </si>
  <si>
    <t>p.fac1[13,3]   -1.228  0.027 -0.354</t>
  </si>
  <si>
    <t>p.fac1[13,2]   -0.642  2.590 -2.576</t>
  </si>
  <si>
    <t>p.fac1[13,1]   -1.227  5.676 -2.970</t>
  </si>
  <si>
    <t>p.fac1[12,5]   -0.038 -2.790  3.857</t>
  </si>
  <si>
    <t>p.fac1[12,4]    0.203  0.031  1.803</t>
  </si>
  <si>
    <t>p.fac1[12,3]   -1.990 -0.283  0.448</t>
  </si>
  <si>
    <t>p.fac1[12,2]    1.465  2.466 -4.105</t>
  </si>
  <si>
    <t>p.fac1[12,1]   -0.421  2.524 -5.484</t>
  </si>
  <si>
    <t>p.fac1[11,5]   -1.071 -1.912  4.575</t>
  </si>
  <si>
    <t>p.fac1[11,4]    2.636 -1.143  0.130</t>
  </si>
  <si>
    <t>p.fac1[11,3]   -3.609 -0.325 -1.381</t>
  </si>
  <si>
    <t>p.fac1[11,2]    0.157  2.466 -1.455</t>
  </si>
  <si>
    <t>p.fac1[11,1]   -0.730  2.349 -4.976</t>
  </si>
  <si>
    <t>p.fac1[10,5]    0.789 -1.908  3.491</t>
  </si>
  <si>
    <t>p.fac1[10,4]   -0.182 -2.283  0.446</t>
  </si>
  <si>
    <t>p.fac1[10,3]   -1.246 -0.937  1.369</t>
  </si>
  <si>
    <t>p.fac1[10,2]   -0.717  1.955 -4.877</t>
  </si>
  <si>
    <t>p.fac1[10,1]   -0.192  2.313 -4.921</t>
  </si>
  <si>
    <t>p.fac1[1,5]    -0.210 -1.729  4.805</t>
  </si>
  <si>
    <t>p.fac1[1,4]     1.607 -1.614  0.213</t>
  </si>
  <si>
    <t>p.fac1[1,3]    -2.810 -0.271  0.821</t>
  </si>
  <si>
    <t>p.fac1[1,2]    -0.851  2.275 -2.915</t>
  </si>
  <si>
    <t>p.fac1[1,1]    -0.319  2.548 -5.207</t>
  </si>
  <si>
    <t>loglik[9]       0.935  0.110 -0.739</t>
  </si>
  <si>
    <t>loglik[8]       0.606  1.422 -0.364</t>
  </si>
  <si>
    <t>loglik[7]      -1.733 -0.926  0.010</t>
  </si>
  <si>
    <t>loglik[6]      -0.075 -0.366  0.568</t>
  </si>
  <si>
    <t>loglik[5]      -1.798 -1.649 -0.988</t>
  </si>
  <si>
    <t>loglik[4]       0.053  1.401 -0.742</t>
  </si>
  <si>
    <t>loglik[3]      -0.746  0.989 -1.462</t>
  </si>
  <si>
    <t>loglik[24]     -1.593  1.114  0.881</t>
  </si>
  <si>
    <t>loglik[23]     -1.966  1.939 -0.816</t>
  </si>
  <si>
    <t>loglik[22]      0.311  0.312 -0.823</t>
  </si>
  <si>
    <t>loglik[21]     -0.061  2.018  0.411</t>
  </si>
  <si>
    <t>loglik[20]     -1.731  0.549  0.270</t>
  </si>
  <si>
    <t>loglik[2]      -1.483  0.143 -0.287</t>
  </si>
  <si>
    <t>loglik[19]     -1.720 -0.213 -0.541</t>
  </si>
  <si>
    <t>loglik[18]     -1.266 -0.001  0.376</t>
  </si>
  <si>
    <t>loglik[17]      1.322  1.059 -0.600</t>
  </si>
  <si>
    <t>loglik[16]      0.524  0.930  0.481</t>
  </si>
  <si>
    <t>loglik[15]      1.142  1.228  0.650</t>
  </si>
  <si>
    <t>loglik[14]      2.110  1.053  1.309</t>
  </si>
  <si>
    <t>loglik[13]      1.210 -0.099  0.259</t>
  </si>
  <si>
    <t>loglik[12]      0.176  0.508 -1.257</t>
  </si>
  <si>
    <t>loglik[11]     -1.208  0.186 -0.408</t>
  </si>
  <si>
    <t>loglik[10]      0.281  0.035 -0.151</t>
  </si>
  <si>
    <t>loglik[1]      -0.900  0.552  1.880</t>
  </si>
  <si>
    <t>ilr.fac1[9,4]  -0.862  0.885  0.682</t>
  </si>
  <si>
    <t>ilr.fac1[9,3]   0.131  1.090  0.296</t>
  </si>
  <si>
    <t>ilr.fac1[9,2]  -0.075  1.115 -0.698</t>
  </si>
  <si>
    <t>ilr.fac1[9,1]   0.304 -0.778  1.894</t>
  </si>
  <si>
    <t>ilr.fac1[8,4]   0.501  0.228  1.275</t>
  </si>
  <si>
    <t>ilr.fac1[8,3]  -0.074 -0.697 -1.031</t>
  </si>
  <si>
    <t>ilr.fac1[8,2]   0.829  0.079  0.919</t>
  </si>
  <si>
    <t>ilr.fac1[8,1]  -0.267 -1.679  2.081</t>
  </si>
  <si>
    <t>ilr.fac1[7,4]  -0.467  0.921  0.894</t>
  </si>
  <si>
    <t>ilr.fac1[7,3]   0.940  0.278 -1.328</t>
  </si>
  <si>
    <t>ilr.fac1[7,2]  -1.671 -0.107  0.740</t>
  </si>
  <si>
    <t>ilr.fac1[7,1]  -0.162 -0.808  0.572</t>
  </si>
  <si>
    <t>ilr.fac1[6,4]  -1.839  0.166  1.508</t>
  </si>
  <si>
    <t>ilr.fac1[6,3]  -0.972  1.240  0.591</t>
  </si>
  <si>
    <t>ilr.fac1[6,2]   0.795 -1.800  0.192</t>
  </si>
  <si>
    <t>ilr.fac1[6,1]   1.601 -1.214  0.417</t>
  </si>
  <si>
    <t>ilr.fac1[5,4]   0.595  1.323 -0.958</t>
  </si>
  <si>
    <t>ilr.fac1[5,3]  -1.394 -0.864 -0.877</t>
  </si>
  <si>
    <t>ilr.fac1[5,2]   0.423 -2.259  2.129</t>
  </si>
  <si>
    <t>ilr.fac1[5,1]  -1.184  0.716  0.110</t>
  </si>
  <si>
    <t>ilr.fac1[4,4]  -1.203  0.848 -0.199</t>
  </si>
  <si>
    <t>ilr.fac1[4,3]   0.910  1.726  0.963</t>
  </si>
  <si>
    <t>ilr.fac1[4,2]   0.480  0.616  2.549</t>
  </si>
  <si>
    <t>ilr.fac1[4,1]   0.779 -0.524 -2.810</t>
  </si>
  <si>
    <t>ilr.fac1[3,4]   0.846  0.918 -0.299</t>
  </si>
  <si>
    <t>ilr.fac1[3,3]   1.059 -0.204  0.535</t>
  </si>
  <si>
    <t>ilr.fac1[3,2]  -1.853 -0.195 -0.871</t>
  </si>
  <si>
    <t>ilr.fac1[3,1]   2.129  1.240 -0.193</t>
  </si>
  <si>
    <t>ilr.fac1[24,4]  0.284  0.533  1.225</t>
  </si>
  <si>
    <t>ilr.fac1[24,3]  0.653  1.861  0.979</t>
  </si>
  <si>
    <t>ilr.fac1[24,2] -0.630  0.549  0.086</t>
  </si>
  <si>
    <t>ilr.fac1[24,1]  0.621 -2.197  1.331</t>
  </si>
  <si>
    <t>ilr.fac1[23,4]  2.668  0.335 -0.036</t>
  </si>
  <si>
    <t>ilr.fac1[23,3]  0.313  0.157  1.760</t>
  </si>
  <si>
    <t>ilr.fac1[23,2] -1.111 -1.056  0.291</t>
  </si>
  <si>
    <t>ilr.fac1[23,1]  1.226  0.667  0.386</t>
  </si>
  <si>
    <t>ilr.fac1[22,4]  1.578 -0.565  0.660</t>
  </si>
  <si>
    <t>ilr.fac1[22,3]  1.088  2.817  0.124</t>
  </si>
  <si>
    <t>ilr.fac1[22,2]  0.059 -0.149  0.735</t>
  </si>
  <si>
    <t>ilr.fac1[22,1]  1.362 -0.302  0.644</t>
  </si>
  <si>
    <t>ilr.fac1[21,4] -0.759  2.006 -0.264</t>
  </si>
  <si>
    <t>ilr.fac1[21,3]  0.757  0.392  1.597</t>
  </si>
  <si>
    <t>ilr.fac1[21,2] -0.592  0.084  1.180</t>
  </si>
  <si>
    <t>ilr.fac1[21,1]  1.138  4.372 -0.299</t>
  </si>
  <si>
    <t>ilr.fac1[20,4] -1.069 -1.574  1.324</t>
  </si>
  <si>
    <t>ilr.fac1[20,3]  0.158 -0.579 -1.685</t>
  </si>
  <si>
    <t>ilr.fac1[20,2]  0.208  0.136 -0.634</t>
  </si>
  <si>
    <t>ilr.fac1[20,1]  1.880 -1.427  3.832</t>
  </si>
  <si>
    <t>ilr.fac1[2,4]  -0.351  2.224 -2.309</t>
  </si>
  <si>
    <t>ilr.fac1[2,3]   0.165 -1.294 -0.293</t>
  </si>
  <si>
    <t>ilr.fac1[2,2]   0.253  0.517 -3.738</t>
  </si>
  <si>
    <t>ilr.fac1[2,1]   0.409  2.809 -1.494</t>
  </si>
  <si>
    <t>ilr.fac1[19,4] -1.006 -1.555  0.932</t>
  </si>
  <si>
    <t>ilr.fac1[19,3]  0.461  1.521  1.539</t>
  </si>
  <si>
    <t>ilr.fac1[19,2]  2.247 -0.481  0.189</t>
  </si>
  <si>
    <t>ilr.fac1[19,1]  0.968 -1.532  1.480</t>
  </si>
  <si>
    <t>ilr.fac1[18,4] -0.232 -1.701 -0.191</t>
  </si>
  <si>
    <t>ilr.fac1[18,3]  1.184  1.919 -0.858</t>
  </si>
  <si>
    <t>ilr.fac1[18,2] -0.221 -1.186 -0.590</t>
  </si>
  <si>
    <t>ilr.fac1[18,1] -0.634 -1.233  1.387</t>
  </si>
  <si>
    <t>ilr.fac1[17,4]  1.381 -1.012  0.109</t>
  </si>
  <si>
    <t>ilr.fac1[17,3]  0.746 -1.469  1.339</t>
  </si>
  <si>
    <t>ilr.fac1[17,2] -0.837  1.607  1.109</t>
  </si>
  <si>
    <t>ilr.fac1[17,1]  1.880 -0.079  1.791</t>
  </si>
  <si>
    <t>ilr.fac1[16,4] -1.700 -1.288  0.254</t>
  </si>
  <si>
    <t>ilr.fac1[16,3] -0.107 -3.975 -0.660</t>
  </si>
  <si>
    <t>ilr.fac1[16,2]  0.699 -1.794 -0.283</t>
  </si>
  <si>
    <t>ilr.fac1[16,1] -0.989  1.285 -1.705</t>
  </si>
  <si>
    <t>ilr.fac1[15,4]  0.276 -2.547  2.463</t>
  </si>
  <si>
    <t>ilr.fac1[15,3]  1.821 -0.902  0.892</t>
  </si>
  <si>
    <t>ilr.fac1[15,2] -1.070  0.871 -0.705</t>
  </si>
  <si>
    <t>ilr.fac1[15,1] -0.791 -1.951 -0.662</t>
  </si>
  <si>
    <t>ilr.fac1[14,4] -0.371  1.491  0.240</t>
  </si>
  <si>
    <t>ilr.fac1[14,3]  0.914 -0.539 -0.233</t>
  </si>
  <si>
    <t>ilr.fac1[14,2]  0.500 -0.966  0.004</t>
  </si>
  <si>
    <t>ilr.fac1[14,1] -1.560  0.387  1.307</t>
  </si>
  <si>
    <t>ilr.fac1[13,4] -0.497 -0.414  0.953</t>
  </si>
  <si>
    <t>ilr.fac1[13,3]  0.204  1.596  0.835</t>
  </si>
  <si>
    <t>ilr.fac1[13,2] -2.245  1.123  1.104</t>
  </si>
  <si>
    <t>ilr.fac1[13,1]  0.213 -0.738  0.460</t>
  </si>
  <si>
    <t>ilr.fac1[12,4]  0.302  1.783 -0.488</t>
  </si>
  <si>
    <t>ilr.fac1[12,3]  1.772 -1.656 -1.982</t>
  </si>
  <si>
    <t>ilr.fac1[12,2]  0.299 -0.008  0.038</t>
  </si>
  <si>
    <t>ilr.fac1[12,1] -1.483 -1.375  0.316</t>
  </si>
  <si>
    <t>ilr.fac1[11,4]  0.299 -0.484 -0.557</t>
  </si>
  <si>
    <t>ilr.fac1[11,3] -0.614 -0.913 -0.260</t>
  </si>
  <si>
    <t>ilr.fac1[11,2] -0.163 -0.924  2.089</t>
  </si>
  <si>
    <t>ilr.fac1[11,1] -0.858 -1.510 -1.078</t>
  </si>
  <si>
    <t>ilr.fac1[10,4] -0.103 -1.682 -0.037</t>
  </si>
  <si>
    <t>ilr.fac1[10,3]  2.010 -1.289  0.229</t>
  </si>
  <si>
    <t>ilr.fac1[10,2] -1.646 -0.029  0.222</t>
  </si>
  <si>
    <t>ilr.fac1[10,1]  0.822  0.307  1.606</t>
  </si>
  <si>
    <t>deviance       -1.731 -1.703  0.399</t>
  </si>
  <si>
    <t xml:space="preserve">               chain1 chain2 chain3</t>
  </si>
  <si>
    <t>And here are the Geweke diagnostics for all variables:</t>
  </si>
  <si>
    <t>Geweke      32      72      78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</si>
  <si>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</si>
  <si>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</si>
  <si>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</si>
  <si>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</si>
  <si>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</si>
  <si>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</si>
  <si>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1.0602600  1.1981860</t>
  </si>
  <si>
    <t>p.global[4]     1.2249660  1.6372392</t>
  </si>
  <si>
    <t>p.global[3]     1.0358007  1.0694891</t>
  </si>
  <si>
    <t>p.global[2]     1.2682048  1.7745724</t>
  </si>
  <si>
    <t>p.global[1]     1.1513277  1.4419942</t>
  </si>
  <si>
    <t>p.fac1[9,5]     1.0190773  1.0682312</t>
  </si>
  <si>
    <t>p.fac1[9,4]     1.0424375  1.1357244</t>
  </si>
  <si>
    <t>p.fac1[9,3]     1.0211256  1.0340685</t>
  </si>
  <si>
    <t>p.fac1[9,2]     1.0787984  1.2488852</t>
  </si>
  <si>
    <t>p.fac1[9,1]     1.0695296  1.2134868</t>
  </si>
  <si>
    <t>p.fac1[8,5]     1.0197842  1.0662988</t>
  </si>
  <si>
    <t>p.fac1[8,4]     1.0504102  1.1679239</t>
  </si>
  <si>
    <t>p.fac1[8,3]     1.0114842  1.0377918</t>
  </si>
  <si>
    <t>p.fac1[8,2]     1.1295757  1.3965361</t>
  </si>
  <si>
    <t>p.fac1[8,1]     1.0417047  1.1376009</t>
  </si>
  <si>
    <t>p.fac1[7,5]     1.0146237  1.0542375</t>
  </si>
  <si>
    <t>p.fac1[7,4]     1.0294732  1.0980370</t>
  </si>
  <si>
    <t>p.fac1[7,3]     1.0328578  1.0599390</t>
  </si>
  <si>
    <t>p.fac1[7,2]     1.0689310  1.2175320</t>
  </si>
  <si>
    <t>p.fac1[7,1]     1.0487710  1.1552770</t>
  </si>
  <si>
    <t>p.fac1[6,5]     1.0095865  1.0365540</t>
  </si>
  <si>
    <t>p.fac1[6,4]     1.0413616  1.1284643</t>
  </si>
  <si>
    <t>p.fac1[6,3]     1.0027159  1.0119636</t>
  </si>
  <si>
    <t>p.fac1[6,2]     1.0474298  1.1562580</t>
  </si>
  <si>
    <t>p.fac1[6,1]     1.0418927  1.1421739</t>
  </si>
  <si>
    <t>p.fac1[5,5]     1.0107297  1.0398880</t>
  </si>
  <si>
    <t>p.fac1[5,4]     1.0693221  1.1796732</t>
  </si>
  <si>
    <t>p.fac1[5,3]     1.0383229  1.0522697</t>
  </si>
  <si>
    <t>p.fac1[5,2]     1.0576432  1.1902953</t>
  </si>
  <si>
    <t>p.fac1[5,1]     1.0309192  1.1037841</t>
  </si>
  <si>
    <t>p.fac1[4,5]     1.0409681  1.1388677</t>
  </si>
  <si>
    <t>p.fac1[4,4]     1.0397703  1.0997600</t>
  </si>
  <si>
    <t>p.fac1[4,3]     1.0156056  1.0242752</t>
  </si>
  <si>
    <t>p.fac1[4,2]     1.0669084  1.2107977</t>
  </si>
  <si>
    <t>p.fac1[4,1]     1.0710353  1.2191765</t>
  </si>
  <si>
    <t>p.fac1[3,5]     1.0561275  1.1781563</t>
  </si>
  <si>
    <t>p.fac1[3,4]     1.0391812  1.1126021</t>
  </si>
  <si>
    <t>p.fac1[3,3]     1.0295886  1.0448764</t>
  </si>
  <si>
    <t>p.fac1[3,2]     1.0776455  1.2450740</t>
  </si>
  <si>
    <t>p.fac1[3,1]     1.0937017  1.2779540</t>
  </si>
  <si>
    <t>p.fac1[24,5]    1.0041786  1.0161469</t>
  </si>
  <si>
    <t>p.fac1[24,4]    1.0775341  1.2296631</t>
  </si>
  <si>
    <t>p.fac1[24,3]    1.0159384  1.0169659</t>
  </si>
  <si>
    <t>p.fac1[24,2]    1.0858539  1.2712485</t>
  </si>
  <si>
    <t>p.fac1[24,1]    1.0425605  1.1373227</t>
  </si>
  <si>
    <t>p.fac1[23,5]    1.0360578  1.1193713</t>
  </si>
  <si>
    <t>p.fac1[23,4]    1.0705704  1.1870486</t>
  </si>
  <si>
    <t>p.fac1[23,3]    1.0350946  1.0419807</t>
  </si>
  <si>
    <t>p.fac1[23,2]    1.1018353  1.3204700</t>
  </si>
  <si>
    <t>p.fac1[23,1]    1.0797830  1.2412899</t>
  </si>
  <si>
    <t>p.fac1[22,5]    1.0450049  1.1528130</t>
  </si>
  <si>
    <t>p.fac1[22,4]    1.0906308  1.2507431</t>
  </si>
  <si>
    <t>p.fac1[22,3]    1.0079653  1.0216988</t>
  </si>
  <si>
    <t>p.fac1[22,2]    1.0666275  1.2097686</t>
  </si>
  <si>
    <t>p.fac1[22,1]    1.0981810  1.2945499</t>
  </si>
  <si>
    <t>p.fac1[21,5]    1.0113821  1.0371959</t>
  </si>
  <si>
    <t>p.fac1[21,4]    1.0423202  1.1127423</t>
  </si>
  <si>
    <t>p.fac1[21,3]    1.1156342  1.2332281</t>
  </si>
  <si>
    <t>p.fac1[21,2]    1.0714221  1.2127402</t>
  </si>
  <si>
    <t>p.fac1[21,1]    1.0283087  1.0937503</t>
  </si>
  <si>
    <t>p.fac1[20,5]    1.0150487  1.0513514</t>
  </si>
  <si>
    <t>p.fac1[20,4]    1.0417537  1.1387204</t>
  </si>
  <si>
    <t>p.fac1[20,3]    1.0274702  1.0365893</t>
  </si>
  <si>
    <t>p.fac1[20,2]    1.1153811  1.3584315</t>
  </si>
  <si>
    <t>p.fac1[20,1]    1.0611839  1.1895290</t>
  </si>
  <si>
    <t>p.fac1[2,5]     1.0222490  1.0734348</t>
  </si>
  <si>
    <t>p.fac1[2,4]     1.0638787  1.1703900</t>
  </si>
  <si>
    <t>p.fac1[2,3]     1.0408298  1.0606782</t>
  </si>
  <si>
    <t>p.fac1[2,2]     1.0780449  1.2406738</t>
  </si>
  <si>
    <t>p.fac1[2,1]     1.0496598  1.1550778</t>
  </si>
  <si>
    <t>p.fac1[19,5]    1.0040445  1.0149303</t>
  </si>
  <si>
    <t>p.fac1[19,4]    1.0584656  1.1909404</t>
  </si>
  <si>
    <t>p.fac1[19,3]    1.0245706  1.0470692</t>
  </si>
  <si>
    <t>p.fac1[19,2]    1.0961404  1.3029725</t>
  </si>
  <si>
    <t>p.fac1[19,1]    1.0450204  1.1484744</t>
  </si>
  <si>
    <t>p.fac1[18,5]    1.0056339  1.0225187</t>
  </si>
  <si>
    <t>p.fac1[18,4]    1.0615383  1.1978696</t>
  </si>
  <si>
    <t>p.fac1[18,3]    1.0213716  1.0588885</t>
  </si>
  <si>
    <t>p.fac1[18,2]    1.0976984  1.3054181</t>
  </si>
  <si>
    <t>p.fac1[18,1]    1.0588664  1.1814580</t>
  </si>
  <si>
    <t>p.fac1[17,5]    1.0116786  1.0436983</t>
  </si>
  <si>
    <t>p.fac1[17,4]    1.0554145  1.1689109</t>
  </si>
  <si>
    <t>p.fac1[17,3]    1.0687890  1.1004537</t>
  </si>
  <si>
    <t>p.fac1[17,2]    1.0905173  1.2896853</t>
  </si>
  <si>
    <t>p.fac1[17,1]    1.0858086  1.2609853</t>
  </si>
  <si>
    <t>p.fac1[16,5]    1.0125768  1.0473664</t>
  </si>
  <si>
    <t>p.fac1[16,4]    1.0429877  1.1370548</t>
  </si>
  <si>
    <t>p.fac1[16,3]    1.0739213  1.1408160</t>
  </si>
  <si>
    <t>p.fac1[16,2]    1.1050968  1.3310898</t>
  </si>
  <si>
    <t>p.fac1[16,1]    1.0639722  1.1872600</t>
  </si>
  <si>
    <t>p.fac1[15,5]    1.0050846  1.0210520</t>
  </si>
  <si>
    <t>p.fac1[15,4]    1.0307128  1.1050615</t>
  </si>
  <si>
    <t>p.fac1[15,3]    1.0517283  1.0803504</t>
  </si>
  <si>
    <t>p.fac1[15,2]    1.0799474  1.2455241</t>
  </si>
  <si>
    <t>p.fac1[15,1]    1.0321797  1.1062908</t>
  </si>
  <si>
    <t>p.fac1[14,5]    1.0213232  1.0732614</t>
  </si>
  <si>
    <t>p.fac1[14,4]    1.0362989  1.1189146</t>
  </si>
  <si>
    <t>p.fac1[14,3]    1.0200251  1.0304443</t>
  </si>
  <si>
    <t>p.fac1[14,2]    1.1029622  1.3194973</t>
  </si>
  <si>
    <t>p.fac1[14,1]    1.0864581  1.2657468</t>
  </si>
  <si>
    <t>p.fac1[13,5]    1.0053281  1.0216638</t>
  </si>
  <si>
    <t>p.fac1[13,4]    1.0628612  1.1975258</t>
  </si>
  <si>
    <t>p.fac1[13,3]    1.0174334  1.0443733</t>
  </si>
  <si>
    <t>p.fac1[13,2]    1.0774151  1.2458899</t>
  </si>
  <si>
    <t>p.fac1[13,1]    1.0418802  1.1322505</t>
  </si>
  <si>
    <t>p.fac1[12,5]    1.0469698  1.1570042</t>
  </si>
  <si>
    <t>p.fac1[12,4]    1.0301402  1.0910695</t>
  </si>
  <si>
    <t>p.fac1[12,3]    1.0307446  1.0589662</t>
  </si>
  <si>
    <t>p.fac1[12,2]    1.1714906  1.5275381</t>
  </si>
  <si>
    <t>p.fac1[12,1]    1.0878058  1.2649816</t>
  </si>
  <si>
    <t>p.fac1[11,5]    1.0165940  1.0610766</t>
  </si>
  <si>
    <t>p.fac1[11,4]    1.0865677  1.2535920</t>
  </si>
  <si>
    <t>p.fac1[11,3]    1.0591452  1.0977219</t>
  </si>
  <si>
    <t>p.fac1[11,2]    1.1055290  1.3321023</t>
  </si>
  <si>
    <t>p.fac1[11,1]    1.0739189  1.2256392</t>
  </si>
  <si>
    <t>p.fac1[10,5]    1.0273578  1.0952268</t>
  </si>
  <si>
    <t>p.fac1[10,4]    1.0671787  1.1956183</t>
  </si>
  <si>
    <t>p.fac1[10,3]    1.1564246  1.1869902</t>
  </si>
  <si>
    <t>p.fac1[10,2]    1.1032812  1.3091565</t>
  </si>
  <si>
    <t>p.fac1[10,1]    1.0441049  1.1451058</t>
  </si>
  <si>
    <t>p.fac1[1,5]     1.0602600  1.1981860</t>
  </si>
  <si>
    <t>p.fac1[1,4]     1.2249660  1.6372392</t>
  </si>
  <si>
    <t>p.fac1[1,3]     1.0358007  1.0694891</t>
  </si>
  <si>
    <t>p.fac1[1,2]     1.2682048  1.7745724</t>
  </si>
  <si>
    <t>p.fac1[1,1]     1.1513277  1.4419942</t>
  </si>
  <si>
    <t>loglik[9]       1.0023518  1.0111644</t>
  </si>
  <si>
    <t>loglik[8]       1.0181632  1.0599346</t>
  </si>
  <si>
    <t>loglik[7]       1.0039548  1.0147659</t>
  </si>
  <si>
    <t>loglik[6]       1.0015323  1.0067477</t>
  </si>
  <si>
    <t>loglik[5]       1.0041267  1.0148577</t>
  </si>
  <si>
    <t>loglik[4]       1.0034858  1.0100259</t>
  </si>
  <si>
    <t>loglik[3]       1.0037792  1.0102640</t>
  </si>
  <si>
    <t>loglik[24]      1.0091449  1.0141831</t>
  </si>
  <si>
    <t>loglik[23]      1.0134775  1.0499932</t>
  </si>
  <si>
    <t>loglik[22]      1.0137990  1.0498723</t>
  </si>
  <si>
    <t>loglik[21]      1.0029287  1.0085654</t>
  </si>
  <si>
    <t>loglik[20]      1.0058808  1.0228690</t>
  </si>
  <si>
    <t>loglik[2]       1.0178254  1.0590956</t>
  </si>
  <si>
    <t>loglik[19]      1.0017321  1.0052121</t>
  </si>
  <si>
    <t>loglik[18]      1.0065027  1.0103509</t>
  </si>
  <si>
    <t>loglik[17]      1.0098396  1.0358253</t>
  </si>
  <si>
    <t>loglik[16]      1.0031179  1.0056097</t>
  </si>
  <si>
    <t>loglik[15]      1.0012194  1.0050345</t>
  </si>
  <si>
    <t>loglik[14]      1.0092090  1.0253732</t>
  </si>
  <si>
    <t>loglik[13]      1.0070919  1.0117557</t>
  </si>
  <si>
    <t>loglik[12]      1.0111830  1.0260255</t>
  </si>
  <si>
    <t>loglik[11]      1.0153200  1.0563708</t>
  </si>
  <si>
    <t>loglik[10]      1.0136015  1.0207541</t>
  </si>
  <si>
    <t>loglik[1]       1.0008199  1.0054065</t>
  </si>
  <si>
    <t>ilr.fac1[9,4]   1.0023462  1.0067180</t>
  </si>
  <si>
    <t>ilr.fac1[9,3]   1.0009880  1.0030742</t>
  </si>
  <si>
    <t>ilr.fac1[9,2]   0.9995857  0.9996397</t>
  </si>
  <si>
    <t>ilr.fac1[9,1]   1.0015205  1.0031460</t>
  </si>
  <si>
    <t>ilr.fac1[8,4]   1.0115203  1.0330785</t>
  </si>
  <si>
    <t>ilr.fac1[8,3]   1.0061094  1.0202093</t>
  </si>
  <si>
    <t>ilr.fac1[8,2]   1.0041424  1.0063232</t>
  </si>
  <si>
    <t>ilr.fac1[8,1]   1.0288997  1.0971799</t>
  </si>
  <si>
    <t>ilr.fac1[7,4]   1.0017982  1.0029888</t>
  </si>
  <si>
    <t>ilr.fac1[7,3]   1.0020823  1.0086193</t>
  </si>
  <si>
    <t>ilr.fac1[7,2]   0.9996624  1.0009369</t>
  </si>
  <si>
    <t>ilr.fac1[7,1]   1.0012886  1.0049547</t>
  </si>
  <si>
    <t>ilr.fac1[6,4]   1.0003537  1.0016830</t>
  </si>
  <si>
    <t>ilr.fac1[6,3]   1.0022887  1.0074631</t>
  </si>
  <si>
    <t>ilr.fac1[6,2]   1.0054793  1.0223260</t>
  </si>
  <si>
    <t>ilr.fac1[6,1]   1.0117448  1.0159091</t>
  </si>
  <si>
    <t>ilr.fac1[5,4]   1.0016166  1.0038164</t>
  </si>
  <si>
    <t>ilr.fac1[5,3]   1.0021330  1.0045743</t>
  </si>
  <si>
    <t>ilr.fac1[5,2]   1.0061975  1.0181094</t>
  </si>
  <si>
    <t>ilr.fac1[5,1]   1.0032255  1.0110189</t>
  </si>
  <si>
    <t>ilr.fac1[4,4]   1.0064252  1.0254565</t>
  </si>
  <si>
    <t>ilr.fac1[4,3]   1.0217500  1.0745334</t>
  </si>
  <si>
    <t>ilr.fac1[4,2]   1.0026115  1.0067790</t>
  </si>
  <si>
    <t>ilr.fac1[4,1]   1.0072492  1.0246212</t>
  </si>
  <si>
    <t>ilr.fac1[3,4]   1.0150223  1.0506276</t>
  </si>
  <si>
    <t>ilr.fac1[3,3]   1.0087533  1.0312394</t>
  </si>
  <si>
    <t>ilr.fac1[3,2]   1.0071556  1.0156721</t>
  </si>
  <si>
    <t>ilr.fac1[3,1]   1.0029197  1.0069930</t>
  </si>
  <si>
    <t>ilr.fac1[24,4]  1.0041338  1.0123555</t>
  </si>
  <si>
    <t>ilr.fac1[24,3]  1.0023174  1.0081234</t>
  </si>
  <si>
    <t>ilr.fac1[24,2]  1.0022418  1.0099990</t>
  </si>
  <si>
    <t>ilr.fac1[24,1]  1.0044822  1.0145079</t>
  </si>
  <si>
    <t>ilr.fac1[23,4]  1.0057553  1.0178828</t>
  </si>
  <si>
    <t>ilr.fac1[23,3]  0.9996206  1.0009005</t>
  </si>
  <si>
    <t>ilr.fac1[23,2]  1.0005693  1.0017833</t>
  </si>
  <si>
    <t>ilr.fac1[23,1]  1.0064725  1.0254089</t>
  </si>
  <si>
    <t>ilr.fac1[22,4]  1.0068436  1.0264238</t>
  </si>
  <si>
    <t>ilr.fac1[22,3]  1.0078167  1.0130546</t>
  </si>
  <si>
    <t>ilr.fac1[22,2]  1.0044387  1.0105229</t>
  </si>
  <si>
    <t>ilr.fac1[22,1]  1.0136172  1.0493043</t>
  </si>
  <si>
    <t>ilr.fac1[21,4]  1.0050055  1.0161655</t>
  </si>
  <si>
    <t>ilr.fac1[21,3]  1.0027088  1.0094972</t>
  </si>
  <si>
    <t>ilr.fac1[21,2]  1.0029982  1.0068697</t>
  </si>
  <si>
    <t>ilr.fac1[21,1]  1.0110631  1.0360155</t>
  </si>
  <si>
    <t>ilr.fac1[20,4]  1.0047016  1.0151308</t>
  </si>
  <si>
    <t>ilr.fac1[20,3]  1.0068257  1.0216712</t>
  </si>
  <si>
    <t>ilr.fac1[20,2]  1.0062458  1.0216406</t>
  </si>
  <si>
    <t>ilr.fac1[20,1]  1.0159097  1.0563677</t>
  </si>
  <si>
    <t>ilr.fac1[2,4]   1.0018215  1.0036169</t>
  </si>
  <si>
    <t>ilr.fac1[2,3]   1.0039373  1.0156354</t>
  </si>
  <si>
    <t>ilr.fac1[2,2]   0.9994095  0.9996752</t>
  </si>
  <si>
    <t>ilr.fac1[2,1]   1.0047660  1.0167386</t>
  </si>
  <si>
    <t>ilr.fac1[19,4]  1.0014339  1.0034962</t>
  </si>
  <si>
    <t>ilr.fac1[19,3]  1.0007681  1.0015696</t>
  </si>
  <si>
    <t>ilr.fac1[19,2]  1.0004840  1.0025536</t>
  </si>
  <si>
    <t>ilr.fac1[19,1]  1.0059220  1.0131122</t>
  </si>
  <si>
    <t>ilr.fac1[18,4]  1.0005271  1.0015532</t>
  </si>
  <si>
    <t>ilr.fac1[18,3]  1.0009846  1.0049209</t>
  </si>
  <si>
    <t>ilr.fac1[18,2]  1.0089423  1.0144137</t>
  </si>
  <si>
    <t>ilr.fac1[18,1]  1.0011575  1.0022073</t>
  </si>
  <si>
    <t>ilr.fac1[17,4]  1.0040032  1.0125842</t>
  </si>
  <si>
    <t>ilr.fac1[17,3]  1.0062567  1.0102450</t>
  </si>
  <si>
    <t>ilr.fac1[17,2]  1.0118719  1.0171950</t>
  </si>
  <si>
    <t>ilr.fac1[17,1]  1.0056622  1.0150078</t>
  </si>
  <si>
    <t>ilr.fac1[16,4]  1.0010911  1.0056877</t>
  </si>
  <si>
    <t>ilr.fac1[16,3]  1.0046351  1.0136791</t>
  </si>
  <si>
    <t>ilr.fac1[16,2]  1.0017699  1.0039978</t>
  </si>
  <si>
    <t>ilr.fac1[16,1]  1.0021415  1.0059096</t>
  </si>
  <si>
    <t>ilr.fac1[15,4]  0.9993631  1.0002052</t>
  </si>
  <si>
    <t>ilr.fac1[15,3]  1.0067060  1.0218184</t>
  </si>
  <si>
    <t>ilr.fac1[15,2]  1.0020760  1.0061561</t>
  </si>
  <si>
    <t>ilr.fac1[15,1]  1.0073391  1.0268390</t>
  </si>
  <si>
    <t>ilr.fac1[14,4]  1.0071948  1.0130400</t>
  </si>
  <si>
    <t>ilr.fac1[14,3]  1.0038591  1.0085280</t>
  </si>
  <si>
    <t>ilr.fac1[14,2]  1.0007329  1.0039099</t>
  </si>
  <si>
    <t>ilr.fac1[14,1]  1.0051649  1.0068112</t>
  </si>
  <si>
    <t>ilr.fac1[13,4]  1.0015072  1.0055767</t>
  </si>
  <si>
    <t>ilr.fac1[13,3]  1.0117284  1.0249576</t>
  </si>
  <si>
    <t>ilr.fac1[13,2]  1.0028532  1.0076432</t>
  </si>
  <si>
    <t>ilr.fac1[13,1]  1.0041403  1.0151330</t>
  </si>
  <si>
    <t>ilr.fac1[12,4]  1.0096898  1.0362141</t>
  </si>
  <si>
    <t>ilr.fac1[12,3]  1.0031147  1.0072890</t>
  </si>
  <si>
    <t>ilr.fac1[12,2]  1.0069224  1.0262817</t>
  </si>
  <si>
    <t>ilr.fac1[12,1]  0.9997941  0.9999691</t>
  </si>
  <si>
    <t>ilr.fac1[11,4]  1.0003112  1.0033171</t>
  </si>
  <si>
    <t>ilr.fac1[11,3]  1.0011741  1.0057619</t>
  </si>
  <si>
    <t>ilr.fac1[11,2]  1.0013888  1.0059234</t>
  </si>
  <si>
    <t>ilr.fac1[11,1]  1.0044141  1.0125161</t>
  </si>
  <si>
    <t>ilr.fac1[10,4]  1.0104323  1.0370226</t>
  </si>
  <si>
    <t>ilr.fac1[10,3]  1.0058926  1.0182281</t>
  </si>
  <si>
    <t>ilr.fac1[10,2]  1.0024939  1.0071363</t>
  </si>
  <si>
    <t>ilr.fac1[10,1]  1.0014107  1.0033267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</si>
  <si>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</si>
  <si>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</si>
  <si>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</si>
  <si>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</si>
  <si>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1.0274208  1.0950421</t>
  </si>
  <si>
    <t xml:space="preserve">               Point est. Upper C.I.</t>
  </si>
  <si>
    <t>And here are the Gelman diagnostics for all variables:</t>
  </si>
  <si>
    <t>p.fac1[21,3]   1.115634   1.233228</t>
  </si>
  <si>
    <t>p.fac1[8,2]    1.129576   1.396536</t>
  </si>
  <si>
    <t>p.global[1]    1.151328   1.441994</t>
  </si>
  <si>
    <t>p.fac1[1,1]    1.151328   1.441994</t>
  </si>
  <si>
    <t>p.fac1[10,3]   1.156425   1.186990</t>
  </si>
  <si>
    <t>p.fac1[12,2]   1.171491   1.527538</t>
  </si>
  <si>
    <t>p.fac1[1,4]    1.224966   1.637239</t>
  </si>
  <si>
    <t>p.global[4]    1.224966   1.637239</t>
  </si>
  <si>
    <t>p.global[2]    1.268205   1.774572</t>
  </si>
  <si>
    <t>p.fac1[1,2]    1.268205   1.774572</t>
  </si>
  <si>
    <t xml:space="preserve">             Point est. Upper C.I.</t>
  </si>
  <si>
    <t>The worst variables are:</t>
  </si>
  <si>
    <t>16 &gt; 1.1</t>
  </si>
  <si>
    <t xml:space="preserve">                      </t>
  </si>
  <si>
    <t>61 &gt; 1.05</t>
  </si>
  <si>
    <t>Out of 246 variables: 136 &gt; 1.01</t>
  </si>
  <si>
    <t>Generally the Gelman diagnostic should be &lt; 1.05</t>
  </si>
  <si>
    <t># Gelman-Rubin Diagnostic</t>
  </si>
  <si>
    <t>Result_MixSIAR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</si>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</sst>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_ "/>
    <numFmt numFmtId="182" formatCode="0.000_ 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31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28" fillId="0" borderId="33" xfId="0" applyNumberFormat="1" applyFont="1" applyBorder="1" applyAlignment="1">
      <alignment horizontal="center" vertical="center"/>
    </xf>
    <xf numFmtId="2" fontId="28" fillId="0" borderId="3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35" xfId="0" applyNumberFormat="1" applyFont="1" applyBorder="1" applyAlignment="1">
      <alignment horizontal="center" vertical="center"/>
    </xf>
    <xf numFmtId="2" fontId="28" fillId="32" borderId="40" xfId="0" applyNumberFormat="1" applyFont="1" applyFill="1" applyBorder="1" applyAlignment="1">
      <alignment horizontal="center" vertical="center"/>
    </xf>
    <xf numFmtId="2" fontId="28" fillId="32" borderId="34" xfId="0" applyNumberFormat="1" applyFont="1" applyFill="1" applyBorder="1" applyAlignment="1">
      <alignment horizontal="center" vertical="center"/>
    </xf>
    <xf numFmtId="2" fontId="28" fillId="32" borderId="35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50" fillId="0" borderId="0" xfId="0" applyFont="1">
      <alignment vertical="center"/>
    </xf>
    <xf numFmtId="182" fontId="8" fillId="0" borderId="0" xfId="0" applyNumberFormat="1" applyFont="1">
      <alignment vertical="center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  <c:pt idx="14">
                  <c:v>3.0961538461538463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  <c:pt idx="9">
                  <c:v>5.88</c:v>
                </c:pt>
                <c:pt idx="10">
                  <c:v>11.465</c:v>
                </c:pt>
                <c:pt idx="11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  <c:pt idx="2">
                  <c:v>4.1099999999999994</c:v>
                </c:pt>
                <c:pt idx="3">
                  <c:v>8.9700000000000006</c:v>
                </c:pt>
                <c:pt idx="4">
                  <c:v>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38</xdr:col>
      <xdr:colOff>459753</xdr:colOff>
      <xdr:row>46</xdr:row>
      <xdr:rowOff>201340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7052B64-5A0E-796A-3E38-0DE261AF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419100"/>
          <a:ext cx="18290553" cy="94215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21</xdr:col>
      <xdr:colOff>152400</xdr:colOff>
      <xdr:row>82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F7473A3-0AC0-79F6-CC28-AC6DB317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0896600"/>
          <a:ext cx="6324600" cy="6324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/>
  <cols>
    <col min="1" max="1" width="6.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25" ht="31.5">
      <c r="A1" s="109" t="s">
        <v>50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05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2</v>
      </c>
      <c r="O4" s="4" t="s">
        <v>3</v>
      </c>
      <c r="P4" s="4" t="s">
        <v>52</v>
      </c>
      <c r="Q4" s="4" t="s">
        <v>53</v>
      </c>
      <c r="R4" s="4" t="s">
        <v>54</v>
      </c>
      <c r="S4" s="4" t="s">
        <v>55</v>
      </c>
      <c r="T4" s="6" t="s">
        <v>4</v>
      </c>
      <c r="U4" s="10" t="s">
        <v>77</v>
      </c>
      <c r="V4" s="10" t="s">
        <v>78</v>
      </c>
      <c r="W4" s="10" t="s">
        <v>75</v>
      </c>
      <c r="X4" s="10" t="s">
        <v>76</v>
      </c>
      <c r="Y4" s="106"/>
    </row>
    <row r="5" spans="1:25" ht="20.100000000000001" customHeight="1">
      <c r="A5" s="35">
        <v>1</v>
      </c>
      <c r="B5" s="30" t="s">
        <v>57</v>
      </c>
      <c r="C5" s="30" t="s">
        <v>17</v>
      </c>
      <c r="D5" s="13" t="s">
        <v>18</v>
      </c>
      <c r="E5" s="14">
        <v>45394</v>
      </c>
      <c r="F5" s="15">
        <v>0.40625</v>
      </c>
      <c r="G5" s="13" t="s">
        <v>19</v>
      </c>
      <c r="H5" s="52">
        <v>13.4</v>
      </c>
      <c r="I5" s="52">
        <v>7.66</v>
      </c>
      <c r="J5" s="52">
        <v>11.37</v>
      </c>
      <c r="K5" s="52">
        <v>200.1</v>
      </c>
      <c r="L5" s="53">
        <v>1.5620000000000001</v>
      </c>
      <c r="M5" s="53"/>
      <c r="N5" s="53">
        <v>2.8000000000000001E-2</v>
      </c>
      <c r="O5" s="53">
        <v>1.5338708615263741</v>
      </c>
      <c r="P5" s="53" t="s">
        <v>135</v>
      </c>
      <c r="Q5" s="53">
        <v>1.2</v>
      </c>
      <c r="R5" s="53">
        <v>1.9E-2</v>
      </c>
      <c r="S5" s="53">
        <v>1.4999999999999999E-2</v>
      </c>
      <c r="T5" s="53">
        <v>21.926092412394119</v>
      </c>
      <c r="U5" s="53">
        <v>6.79</v>
      </c>
      <c r="V5" s="53">
        <v>2.9</v>
      </c>
      <c r="W5" s="53" t="s">
        <v>79</v>
      </c>
      <c r="X5" s="53">
        <v>6.8100892305781313</v>
      </c>
      <c r="Y5" s="16"/>
    </row>
    <row r="6" spans="1:25" ht="20.100000000000001" customHeight="1">
      <c r="A6" s="25">
        <v>2</v>
      </c>
      <c r="B6" s="17" t="s">
        <v>57</v>
      </c>
      <c r="C6" s="17" t="s">
        <v>17</v>
      </c>
      <c r="D6" s="18" t="s">
        <v>20</v>
      </c>
      <c r="E6" s="19">
        <v>45394</v>
      </c>
      <c r="F6" s="20">
        <v>0.4375</v>
      </c>
      <c r="G6" s="18" t="s">
        <v>19</v>
      </c>
      <c r="H6" s="29">
        <v>17.899999999999999</v>
      </c>
      <c r="I6" s="29">
        <v>7.63</v>
      </c>
      <c r="J6" s="29">
        <v>10.66</v>
      </c>
      <c r="K6" s="29">
        <v>381</v>
      </c>
      <c r="L6" s="54">
        <v>5.1319999999999997</v>
      </c>
      <c r="M6" s="54"/>
      <c r="N6" s="54">
        <v>0.82399999999999995</v>
      </c>
      <c r="O6" s="54">
        <v>3.8056685669511721</v>
      </c>
      <c r="P6" s="54">
        <v>0.75779406996970966</v>
      </c>
      <c r="Q6" s="54">
        <v>3.4</v>
      </c>
      <c r="R6" s="54">
        <v>4.1000000000000002E-2</v>
      </c>
      <c r="S6" s="54">
        <v>2.9000000000000001E-2</v>
      </c>
      <c r="T6" s="54">
        <v>48.553205182927933</v>
      </c>
      <c r="U6" s="54">
        <v>10.94</v>
      </c>
      <c r="V6" s="54">
        <v>0.19</v>
      </c>
      <c r="W6" s="54">
        <v>91.9</v>
      </c>
      <c r="X6" s="54">
        <v>11.530193967408453</v>
      </c>
      <c r="Y6" s="21"/>
    </row>
    <row r="7" spans="1:25" ht="20.100000000000001" customHeight="1">
      <c r="A7" s="25">
        <v>3</v>
      </c>
      <c r="B7" s="17" t="s">
        <v>57</v>
      </c>
      <c r="C7" s="17" t="s">
        <v>17</v>
      </c>
      <c r="D7" s="18" t="s">
        <v>21</v>
      </c>
      <c r="E7" s="19">
        <v>45394</v>
      </c>
      <c r="F7" s="20">
        <v>0.4513888888888889</v>
      </c>
      <c r="G7" s="18" t="s">
        <v>19</v>
      </c>
      <c r="H7" s="29">
        <v>19.100000000000001</v>
      </c>
      <c r="I7" s="29">
        <v>7.58</v>
      </c>
      <c r="J7" s="29">
        <v>9.67</v>
      </c>
      <c r="K7" s="29">
        <v>357</v>
      </c>
      <c r="L7" s="54">
        <v>4.3529999999999998</v>
      </c>
      <c r="M7" s="54"/>
      <c r="N7" s="54">
        <v>0.90200000000000002</v>
      </c>
      <c r="O7" s="54">
        <v>2.9836540688462629</v>
      </c>
      <c r="P7" s="54">
        <v>0.5708632001190197</v>
      </c>
      <c r="Q7" s="54">
        <v>3.5</v>
      </c>
      <c r="R7" s="54">
        <v>7.8E-2</v>
      </c>
      <c r="S7" s="54">
        <v>6.9000000000000006E-2</v>
      </c>
      <c r="T7" s="54">
        <v>42.668927928854785</v>
      </c>
      <c r="U7" s="54">
        <v>10.09</v>
      </c>
      <c r="V7" s="54">
        <v>1.5</v>
      </c>
      <c r="W7" s="54">
        <v>25.3</v>
      </c>
      <c r="X7" s="54">
        <v>11.842993595465368</v>
      </c>
      <c r="Y7" s="21"/>
    </row>
    <row r="8" spans="1:25" ht="20.100000000000001" customHeight="1">
      <c r="A8" s="25">
        <v>4</v>
      </c>
      <c r="B8" s="17" t="s">
        <v>57</v>
      </c>
      <c r="C8" s="17" t="s">
        <v>17</v>
      </c>
      <c r="D8" s="18" t="s">
        <v>22</v>
      </c>
      <c r="E8" s="19">
        <v>45394</v>
      </c>
      <c r="F8" s="20">
        <v>0.46527777777777773</v>
      </c>
      <c r="G8" s="18" t="s">
        <v>19</v>
      </c>
      <c r="H8" s="29">
        <v>20.399999999999999</v>
      </c>
      <c r="I8" s="29">
        <v>7.35</v>
      </c>
      <c r="J8" s="29">
        <v>9</v>
      </c>
      <c r="K8" s="29">
        <v>348</v>
      </c>
      <c r="L8" s="54">
        <v>3.8969999999999998</v>
      </c>
      <c r="M8" s="54"/>
      <c r="N8" s="54">
        <v>0.78200000000000003</v>
      </c>
      <c r="O8" s="54">
        <v>2.6470789824688241</v>
      </c>
      <c r="P8" s="54">
        <v>0.50575484929842918</v>
      </c>
      <c r="Q8" s="54">
        <v>3.5</v>
      </c>
      <c r="R8" s="54">
        <v>5.8999999999999997E-2</v>
      </c>
      <c r="S8" s="54">
        <v>4.8000000000000001E-2</v>
      </c>
      <c r="T8" s="54">
        <v>41.228925543629487</v>
      </c>
      <c r="U8" s="54">
        <v>10.63</v>
      </c>
      <c r="V8" s="54">
        <v>2.19</v>
      </c>
      <c r="W8" s="54">
        <v>19.899999999999999</v>
      </c>
      <c r="X8" s="54">
        <v>12.303652359256734</v>
      </c>
      <c r="Y8" s="21"/>
    </row>
    <row r="9" spans="1:25" ht="20.100000000000001" customHeight="1">
      <c r="A9" s="41">
        <v>5</v>
      </c>
      <c r="B9" s="42" t="s">
        <v>58</v>
      </c>
      <c r="C9" s="42" t="s">
        <v>23</v>
      </c>
      <c r="D9" s="43" t="s">
        <v>24</v>
      </c>
      <c r="E9" s="67">
        <v>45394</v>
      </c>
      <c r="F9" s="45">
        <v>0.625</v>
      </c>
      <c r="G9" s="43" t="s">
        <v>19</v>
      </c>
      <c r="H9" s="46">
        <v>23.3</v>
      </c>
      <c r="I9" s="46">
        <v>8.59</v>
      </c>
      <c r="J9" s="46">
        <v>9.51</v>
      </c>
      <c r="K9" s="46">
        <v>167.4</v>
      </c>
      <c r="L9" s="60">
        <v>1.5269999999999999</v>
      </c>
      <c r="M9" s="60"/>
      <c r="N9" s="60">
        <v>2.8000000000000001E-2</v>
      </c>
      <c r="O9" s="60">
        <v>1.3577461209228088</v>
      </c>
      <c r="P9" s="60" t="s">
        <v>135</v>
      </c>
      <c r="Q9" s="60">
        <v>2.5</v>
      </c>
      <c r="R9" s="60">
        <v>2.5000000000000001E-2</v>
      </c>
      <c r="S9" s="60">
        <v>8.9999999999999993E-3</v>
      </c>
      <c r="T9" s="60">
        <v>13.465682479565089</v>
      </c>
      <c r="U9" s="60">
        <v>5.58</v>
      </c>
      <c r="V9" s="60">
        <v>6.49</v>
      </c>
      <c r="W9" s="60">
        <v>8.1999999999999993</v>
      </c>
      <c r="X9" s="60">
        <v>15.388054287513553</v>
      </c>
      <c r="Y9" s="48"/>
    </row>
    <row r="10" spans="1:25" ht="20.100000000000001" customHeight="1">
      <c r="A10" s="41">
        <v>6</v>
      </c>
      <c r="B10" s="42" t="s">
        <v>58</v>
      </c>
      <c r="C10" s="42" t="s">
        <v>23</v>
      </c>
      <c r="D10" s="43" t="s">
        <v>25</v>
      </c>
      <c r="E10" s="67">
        <v>45394</v>
      </c>
      <c r="F10" s="45">
        <v>0.63888888888888895</v>
      </c>
      <c r="G10" s="43" t="s">
        <v>19</v>
      </c>
      <c r="H10" s="46">
        <v>20.5</v>
      </c>
      <c r="I10" s="46">
        <v>7.61</v>
      </c>
      <c r="J10" s="46">
        <v>10.02</v>
      </c>
      <c r="K10" s="46">
        <v>279</v>
      </c>
      <c r="L10" s="60">
        <v>2.8879999999999999</v>
      </c>
      <c r="M10" s="60"/>
      <c r="N10" s="60">
        <v>0.128</v>
      </c>
      <c r="O10" s="60">
        <v>2.3599395974240749</v>
      </c>
      <c r="P10" s="60">
        <v>4.16973481937844E-2</v>
      </c>
      <c r="Q10" s="60">
        <v>3.8</v>
      </c>
      <c r="R10" s="60">
        <v>0.13700000000000001</v>
      </c>
      <c r="S10" s="60">
        <v>0.13200000000000001</v>
      </c>
      <c r="T10" s="60">
        <v>24.609506883467702</v>
      </c>
      <c r="U10" s="60">
        <v>6.75</v>
      </c>
      <c r="V10" s="60">
        <v>7.6</v>
      </c>
      <c r="W10" s="60">
        <v>14.7</v>
      </c>
      <c r="X10" s="60">
        <v>11.914577909851953</v>
      </c>
      <c r="Y10" s="48"/>
    </row>
    <row r="11" spans="1:25" ht="20.100000000000001" customHeight="1">
      <c r="A11" s="41">
        <v>7</v>
      </c>
      <c r="B11" s="42" t="s">
        <v>58</v>
      </c>
      <c r="C11" s="42" t="s">
        <v>23</v>
      </c>
      <c r="D11" s="43" t="s">
        <v>26</v>
      </c>
      <c r="E11" s="67">
        <v>45393</v>
      </c>
      <c r="F11" s="45">
        <v>0.63888888888888895</v>
      </c>
      <c r="G11" s="43" t="s">
        <v>19</v>
      </c>
      <c r="H11" s="72">
        <v>17.5</v>
      </c>
      <c r="I11" s="72">
        <v>7.38</v>
      </c>
      <c r="J11" s="72">
        <v>9.8800000000000008</v>
      </c>
      <c r="K11" s="73">
        <v>267</v>
      </c>
      <c r="L11" s="60">
        <v>3.016</v>
      </c>
      <c r="M11" s="60"/>
      <c r="N11" s="60">
        <v>0.191</v>
      </c>
      <c r="O11" s="60">
        <v>2.4391271227247548</v>
      </c>
      <c r="P11" s="60">
        <v>7.7295428737773897E-2</v>
      </c>
      <c r="Q11" s="60">
        <v>4.3</v>
      </c>
      <c r="R11" s="60">
        <v>0.251</v>
      </c>
      <c r="S11" s="60">
        <v>0.249</v>
      </c>
      <c r="T11" s="60">
        <v>21.663703887468678</v>
      </c>
      <c r="U11" s="60">
        <v>8.2100000000000009</v>
      </c>
      <c r="V11" s="60">
        <v>5.56</v>
      </c>
      <c r="W11" s="60">
        <v>19.2</v>
      </c>
      <c r="X11" s="60">
        <v>10.009981831868686</v>
      </c>
      <c r="Y11" s="48"/>
    </row>
    <row r="12" spans="1:25" s="7" customFormat="1" ht="20.100000000000001" customHeight="1">
      <c r="A12" s="41">
        <v>8</v>
      </c>
      <c r="B12" s="42" t="s">
        <v>58</v>
      </c>
      <c r="C12" s="42" t="s">
        <v>27</v>
      </c>
      <c r="D12" s="43" t="s">
        <v>28</v>
      </c>
      <c r="E12" s="67">
        <v>45393</v>
      </c>
      <c r="F12" s="45">
        <v>0.65277777777777779</v>
      </c>
      <c r="G12" s="43" t="s">
        <v>19</v>
      </c>
      <c r="H12" s="72">
        <v>15.2</v>
      </c>
      <c r="I12" s="72">
        <v>7.18</v>
      </c>
      <c r="J12" s="72">
        <v>8.57</v>
      </c>
      <c r="K12" s="73">
        <v>447</v>
      </c>
      <c r="L12" s="60">
        <v>10.587</v>
      </c>
      <c r="M12" s="60"/>
      <c r="N12" s="60">
        <v>7.5830000000000002</v>
      </c>
      <c r="O12" s="60">
        <v>0.97586059085562704</v>
      </c>
      <c r="P12" s="60">
        <v>8.6902733014795064E-2</v>
      </c>
      <c r="Q12" s="60">
        <v>13.8</v>
      </c>
      <c r="R12" s="60">
        <v>4.4939999999999998</v>
      </c>
      <c r="S12" s="60">
        <v>4.4489999999999998</v>
      </c>
      <c r="T12" s="60">
        <v>28.874406034046217</v>
      </c>
      <c r="U12" s="60">
        <v>1.58</v>
      </c>
      <c r="V12" s="60">
        <v>-0.43</v>
      </c>
      <c r="W12" s="60">
        <v>29.5</v>
      </c>
      <c r="X12" s="60">
        <v>10.352175185906143</v>
      </c>
      <c r="Y12" s="48"/>
    </row>
    <row r="13" spans="1:25" ht="20.100000000000001" customHeight="1">
      <c r="A13" s="41">
        <v>9</v>
      </c>
      <c r="B13" s="42" t="s">
        <v>58</v>
      </c>
      <c r="C13" s="42" t="s">
        <v>27</v>
      </c>
      <c r="D13" s="43" t="s">
        <v>30</v>
      </c>
      <c r="E13" s="67">
        <v>45393</v>
      </c>
      <c r="F13" s="45">
        <v>0.64236111111111105</v>
      </c>
      <c r="G13" s="43" t="s">
        <v>19</v>
      </c>
      <c r="H13" s="72">
        <v>17.600000000000001</v>
      </c>
      <c r="I13" s="72">
        <v>8.07</v>
      </c>
      <c r="J13" s="72">
        <v>12.5</v>
      </c>
      <c r="K13" s="73">
        <v>306</v>
      </c>
      <c r="L13" s="60">
        <v>5.1479999999999997</v>
      </c>
      <c r="M13" s="60"/>
      <c r="N13" s="60">
        <v>0.44400000000000001</v>
      </c>
      <c r="O13" s="60">
        <v>3.8062637015242489</v>
      </c>
      <c r="P13" s="60">
        <v>0.37424985100928226</v>
      </c>
      <c r="Q13" s="60">
        <v>8.3000000000000007</v>
      </c>
      <c r="R13" s="60">
        <v>1.298</v>
      </c>
      <c r="S13" s="60">
        <v>1.2909999999999999</v>
      </c>
      <c r="T13" s="60">
        <v>22.829088136986975</v>
      </c>
      <c r="U13" s="60">
        <v>12.48</v>
      </c>
      <c r="V13" s="60">
        <v>2.62</v>
      </c>
      <c r="W13" s="60" t="s">
        <v>79</v>
      </c>
      <c r="X13" s="60">
        <v>12.076708490286192</v>
      </c>
      <c r="Y13" s="48"/>
    </row>
    <row r="14" spans="1:25" ht="20.100000000000001" customHeight="1">
      <c r="A14" s="25">
        <v>10</v>
      </c>
      <c r="B14" s="17" t="s">
        <v>59</v>
      </c>
      <c r="C14" s="17" t="s">
        <v>31</v>
      </c>
      <c r="D14" s="18" t="s">
        <v>32</v>
      </c>
      <c r="E14" s="19">
        <v>45394</v>
      </c>
      <c r="F14" s="20">
        <v>0.55902777777777779</v>
      </c>
      <c r="G14" s="18" t="s">
        <v>19</v>
      </c>
      <c r="H14" s="28">
        <v>20.100000000000001</v>
      </c>
      <c r="I14" s="28">
        <v>9.43</v>
      </c>
      <c r="J14" s="28">
        <v>13.8</v>
      </c>
      <c r="K14" s="74">
        <v>159.5</v>
      </c>
      <c r="L14" s="54">
        <v>1.5369999999999999</v>
      </c>
      <c r="M14" s="54"/>
      <c r="N14" s="54">
        <v>0.06</v>
      </c>
      <c r="O14" s="54">
        <v>1.3490559741266328</v>
      </c>
      <c r="P14" s="54" t="s">
        <v>135</v>
      </c>
      <c r="Q14" s="54">
        <v>2.4</v>
      </c>
      <c r="R14" s="54">
        <v>1.9E-2</v>
      </c>
      <c r="S14" s="54">
        <v>7.0000000000000001E-3</v>
      </c>
      <c r="T14" s="54">
        <v>10.187097958523417</v>
      </c>
      <c r="U14" s="54">
        <v>8.51</v>
      </c>
      <c r="V14" s="54">
        <v>8.32</v>
      </c>
      <c r="W14" s="54">
        <v>8.6999999999999993</v>
      </c>
      <c r="X14" s="54">
        <v>13.328055480267331</v>
      </c>
      <c r="Y14" s="21"/>
    </row>
    <row r="15" spans="1:25" ht="20.100000000000001" customHeight="1">
      <c r="A15" s="25">
        <v>11</v>
      </c>
      <c r="B15" s="17" t="s">
        <v>59</v>
      </c>
      <c r="C15" s="17" t="s">
        <v>31</v>
      </c>
      <c r="D15" s="18" t="s">
        <v>33</v>
      </c>
      <c r="E15" s="19">
        <v>45394</v>
      </c>
      <c r="F15" s="20">
        <v>0.60416666666666663</v>
      </c>
      <c r="G15" s="18" t="s">
        <v>19</v>
      </c>
      <c r="H15" s="28">
        <v>18.8</v>
      </c>
      <c r="I15" s="28">
        <v>7.93</v>
      </c>
      <c r="J15" s="28">
        <v>10.17</v>
      </c>
      <c r="K15" s="74">
        <v>192.7</v>
      </c>
      <c r="L15" s="54">
        <v>2.169</v>
      </c>
      <c r="M15" s="54"/>
      <c r="N15" s="54">
        <v>2.1999999999999999E-2</v>
      </c>
      <c r="O15" s="54">
        <v>2.0674211944327476</v>
      </c>
      <c r="P15" s="54" t="s">
        <v>135</v>
      </c>
      <c r="Q15" s="54">
        <v>2</v>
      </c>
      <c r="R15" s="54">
        <v>4.7E-2</v>
      </c>
      <c r="S15" s="54">
        <v>4.2999999999999997E-2</v>
      </c>
      <c r="T15" s="54">
        <v>12.831242270508705</v>
      </c>
      <c r="U15" s="54">
        <v>8.24</v>
      </c>
      <c r="V15" s="54">
        <v>6.51</v>
      </c>
      <c r="W15" s="54">
        <v>11.6</v>
      </c>
      <c r="X15" s="54">
        <v>13.545452837707971</v>
      </c>
      <c r="Y15" s="21"/>
    </row>
    <row r="16" spans="1:25" ht="20.100000000000001" customHeight="1">
      <c r="A16" s="25">
        <v>12</v>
      </c>
      <c r="B16" s="17" t="s">
        <v>59</v>
      </c>
      <c r="C16" s="17" t="s">
        <v>31</v>
      </c>
      <c r="D16" s="18" t="s">
        <v>34</v>
      </c>
      <c r="E16" s="19">
        <v>45394</v>
      </c>
      <c r="F16" s="20">
        <v>0.61111111111111105</v>
      </c>
      <c r="G16" s="18" t="s">
        <v>19</v>
      </c>
      <c r="H16" s="28">
        <v>20.6</v>
      </c>
      <c r="I16" s="28">
        <v>8.49</v>
      </c>
      <c r="J16" s="28">
        <v>11.2</v>
      </c>
      <c r="K16" s="74">
        <v>200.4</v>
      </c>
      <c r="L16" s="54">
        <v>2.4790000000000001</v>
      </c>
      <c r="M16" s="54"/>
      <c r="N16" s="54">
        <v>3.5000000000000003E-2</v>
      </c>
      <c r="O16" s="54">
        <v>2.3482003300928995</v>
      </c>
      <c r="P16" s="54" t="s">
        <v>135</v>
      </c>
      <c r="Q16" s="54">
        <v>2.1</v>
      </c>
      <c r="R16" s="54">
        <v>5.0999999999999997E-2</v>
      </c>
      <c r="S16" s="54">
        <v>4.8000000000000001E-2</v>
      </c>
      <c r="T16" s="54">
        <v>14.247692060289525</v>
      </c>
      <c r="U16" s="54">
        <v>8.6199999999999992</v>
      </c>
      <c r="V16" s="54">
        <v>5.83</v>
      </c>
      <c r="W16" s="54">
        <v>11.2</v>
      </c>
      <c r="X16" s="54">
        <v>14.539856019900043</v>
      </c>
      <c r="Y16" s="21"/>
    </row>
    <row r="17" spans="1:25" ht="20.100000000000001" customHeight="1">
      <c r="A17" s="25">
        <v>13</v>
      </c>
      <c r="B17" s="17" t="s">
        <v>59</v>
      </c>
      <c r="C17" s="17" t="s">
        <v>35</v>
      </c>
      <c r="D17" s="18" t="s">
        <v>36</v>
      </c>
      <c r="E17" s="19">
        <v>45394</v>
      </c>
      <c r="F17" s="20">
        <v>0.59375</v>
      </c>
      <c r="G17" s="18" t="s">
        <v>37</v>
      </c>
      <c r="H17" s="28">
        <v>20</v>
      </c>
      <c r="I17" s="28">
        <v>7.91</v>
      </c>
      <c r="J17" s="28">
        <v>10.9</v>
      </c>
      <c r="K17" s="74">
        <v>264</v>
      </c>
      <c r="L17" s="54">
        <v>3.7250000000000001</v>
      </c>
      <c r="M17" s="54"/>
      <c r="N17" s="54">
        <v>0.246</v>
      </c>
      <c r="O17" s="54">
        <v>3.3700928149145133</v>
      </c>
      <c r="P17" s="54">
        <v>6.9030757429925982E-2</v>
      </c>
      <c r="Q17" s="54">
        <v>2.2000000000000002</v>
      </c>
      <c r="R17" s="54">
        <v>0.106</v>
      </c>
      <c r="S17" s="54">
        <v>0.105</v>
      </c>
      <c r="T17" s="54">
        <v>20.963677081464517</v>
      </c>
      <c r="U17" s="54">
        <v>9.1300000000000008</v>
      </c>
      <c r="V17" s="54">
        <v>4.09</v>
      </c>
      <c r="W17" s="54">
        <v>9.3000000000000007</v>
      </c>
      <c r="X17" s="54">
        <v>15.702781473289019</v>
      </c>
      <c r="Y17" s="21"/>
    </row>
    <row r="18" spans="1:25" ht="20.100000000000001" customHeight="1">
      <c r="A18" s="25">
        <v>14</v>
      </c>
      <c r="B18" s="17" t="s">
        <v>59</v>
      </c>
      <c r="C18" s="17" t="s">
        <v>5</v>
      </c>
      <c r="D18" s="18" t="s">
        <v>29</v>
      </c>
      <c r="E18" s="19">
        <v>45394</v>
      </c>
      <c r="F18" s="20">
        <v>0.58680555555555558</v>
      </c>
      <c r="G18" s="18" t="s">
        <v>37</v>
      </c>
      <c r="H18" s="28">
        <v>21.3</v>
      </c>
      <c r="I18" s="28">
        <v>7.61</v>
      </c>
      <c r="J18" s="28">
        <v>10.199999999999999</v>
      </c>
      <c r="K18" s="74">
        <v>330</v>
      </c>
      <c r="L18" s="54">
        <v>3.2210000000000001</v>
      </c>
      <c r="M18" s="54"/>
      <c r="N18" s="54">
        <v>0.48799999999999999</v>
      </c>
      <c r="O18" s="54">
        <v>2.409154906701044</v>
      </c>
      <c r="P18" s="54">
        <v>0.20265185356162441</v>
      </c>
      <c r="Q18" s="54">
        <v>2.8</v>
      </c>
      <c r="R18" s="54">
        <v>7.3999999999999996E-2</v>
      </c>
      <c r="S18" s="54">
        <v>7.0000000000000007E-2</v>
      </c>
      <c r="T18" s="54">
        <v>37.782982991834189</v>
      </c>
      <c r="U18" s="54">
        <v>8.94</v>
      </c>
      <c r="V18" s="54">
        <v>4.2699999999999996</v>
      </c>
      <c r="W18" s="54">
        <v>16.5</v>
      </c>
      <c r="X18" s="54">
        <v>12.61424864341576</v>
      </c>
      <c r="Y18" s="21"/>
    </row>
    <row r="19" spans="1:25" ht="20.100000000000001" customHeight="1">
      <c r="A19" s="25">
        <v>15</v>
      </c>
      <c r="B19" s="17" t="s">
        <v>59</v>
      </c>
      <c r="C19" s="17" t="s">
        <v>35</v>
      </c>
      <c r="D19" s="18" t="s">
        <v>29</v>
      </c>
      <c r="E19" s="19">
        <v>45394</v>
      </c>
      <c r="F19" s="20">
        <v>0.58333333333333337</v>
      </c>
      <c r="G19" s="18" t="s">
        <v>37</v>
      </c>
      <c r="H19" s="28">
        <v>19.2</v>
      </c>
      <c r="I19" s="28">
        <v>8.1999999999999993</v>
      </c>
      <c r="J19" s="28">
        <v>10.36</v>
      </c>
      <c r="K19" s="74">
        <v>265</v>
      </c>
      <c r="L19" s="54">
        <v>2.9990000000000001</v>
      </c>
      <c r="M19" s="54"/>
      <c r="N19" s="54">
        <v>8.3000000000000004E-2</v>
      </c>
      <c r="O19" s="54">
        <v>2.8600034333719488</v>
      </c>
      <c r="P19" s="54">
        <v>1.7071790625036165E-3</v>
      </c>
      <c r="Q19" s="54">
        <v>2.4</v>
      </c>
      <c r="R19" s="54">
        <v>7.3999999999999996E-2</v>
      </c>
      <c r="S19" s="54">
        <v>7.0999999999999994E-2</v>
      </c>
      <c r="T19" s="54">
        <v>20.981463254273066</v>
      </c>
      <c r="U19" s="54">
        <v>10.39</v>
      </c>
      <c r="V19" s="54">
        <v>5.64</v>
      </c>
      <c r="W19" s="54">
        <v>12.4</v>
      </c>
      <c r="X19" s="54">
        <v>16.465379552633163</v>
      </c>
      <c r="Y19" s="21"/>
    </row>
    <row r="20" spans="1:25" ht="20.100000000000001" customHeight="1">
      <c r="A20" s="41">
        <v>16</v>
      </c>
      <c r="B20" s="42" t="s">
        <v>60</v>
      </c>
      <c r="C20" s="42" t="s">
        <v>38</v>
      </c>
      <c r="D20" s="43" t="s">
        <v>39</v>
      </c>
      <c r="E20" s="67">
        <v>45394</v>
      </c>
      <c r="F20" s="45">
        <v>0.60763888888888895</v>
      </c>
      <c r="G20" s="43" t="s">
        <v>37</v>
      </c>
      <c r="H20" s="72">
        <v>16.7</v>
      </c>
      <c r="I20" s="72">
        <v>7.74</v>
      </c>
      <c r="J20" s="72">
        <v>9.69</v>
      </c>
      <c r="K20" s="73">
        <v>280</v>
      </c>
      <c r="L20" s="60">
        <v>4.0350000000000001</v>
      </c>
      <c r="M20" s="60"/>
      <c r="N20" s="60">
        <v>0.11600000000000001</v>
      </c>
      <c r="O20" s="60">
        <v>3.6370006163330189</v>
      </c>
      <c r="P20" s="60">
        <v>7.1019486261476195E-2</v>
      </c>
      <c r="Q20" s="60">
        <v>3.7</v>
      </c>
      <c r="R20" s="60">
        <v>7.6999999999999999E-2</v>
      </c>
      <c r="S20" s="60">
        <v>7.0999999999999994E-2</v>
      </c>
      <c r="T20" s="60">
        <v>20.656813665762371</v>
      </c>
      <c r="U20" s="60">
        <v>7.92</v>
      </c>
      <c r="V20" s="60">
        <v>4.59</v>
      </c>
      <c r="W20" s="60">
        <v>12.1</v>
      </c>
      <c r="X20" s="60">
        <v>13.006279806017819</v>
      </c>
      <c r="Y20" s="48"/>
    </row>
    <row r="21" spans="1:25" ht="20.100000000000001" customHeight="1">
      <c r="A21" s="41">
        <v>17</v>
      </c>
      <c r="B21" s="42" t="s">
        <v>60</v>
      </c>
      <c r="C21" s="42" t="s">
        <v>38</v>
      </c>
      <c r="D21" s="43" t="s">
        <v>41</v>
      </c>
      <c r="E21" s="67">
        <v>45393</v>
      </c>
      <c r="F21" s="45">
        <v>0.5625</v>
      </c>
      <c r="G21" s="43" t="s">
        <v>37</v>
      </c>
      <c r="H21" s="72">
        <v>20</v>
      </c>
      <c r="I21" s="72">
        <v>7.57</v>
      </c>
      <c r="J21" s="72">
        <v>9.91</v>
      </c>
      <c r="K21" s="73">
        <v>372</v>
      </c>
      <c r="L21" s="60">
        <v>4.7130000000000001</v>
      </c>
      <c r="M21" s="60"/>
      <c r="N21" s="60">
        <v>0.129</v>
      </c>
      <c r="O21" s="60">
        <v>4.3850525263799121</v>
      </c>
      <c r="P21" s="60">
        <v>6.3094173518871088E-2</v>
      </c>
      <c r="Q21" s="60">
        <v>3.7</v>
      </c>
      <c r="R21" s="60">
        <v>8.3000000000000004E-2</v>
      </c>
      <c r="S21" s="60">
        <v>7.5999999999999998E-2</v>
      </c>
      <c r="T21" s="60">
        <v>42.086888752878899</v>
      </c>
      <c r="U21" s="60">
        <v>11.24</v>
      </c>
      <c r="V21" s="60">
        <v>5.97</v>
      </c>
      <c r="W21" s="60">
        <v>17.3</v>
      </c>
      <c r="X21" s="60">
        <v>11.329123160711552</v>
      </c>
      <c r="Y21" s="48"/>
    </row>
    <row r="22" spans="1:25" ht="20.100000000000001" customHeight="1">
      <c r="A22" s="41">
        <v>18</v>
      </c>
      <c r="B22" s="42" t="s">
        <v>60</v>
      </c>
      <c r="C22" s="42" t="s">
        <v>38</v>
      </c>
      <c r="D22" s="43" t="s">
        <v>42</v>
      </c>
      <c r="E22" s="67">
        <v>45393</v>
      </c>
      <c r="F22" s="45">
        <v>0.62847222222222221</v>
      </c>
      <c r="G22" s="43" t="s">
        <v>37</v>
      </c>
      <c r="H22" s="72">
        <v>18.399999999999999</v>
      </c>
      <c r="I22" s="72">
        <v>7.16</v>
      </c>
      <c r="J22" s="72">
        <v>8.81</v>
      </c>
      <c r="K22" s="73">
        <v>393</v>
      </c>
      <c r="L22" s="60">
        <v>5.0999999999999996</v>
      </c>
      <c r="M22" s="60"/>
      <c r="N22" s="60">
        <v>0.374</v>
      </c>
      <c r="O22" s="60">
        <v>4.4413298229600713</v>
      </c>
      <c r="P22" s="60">
        <v>0.15166091643205315</v>
      </c>
      <c r="Q22" s="60">
        <v>4</v>
      </c>
      <c r="R22" s="60">
        <v>6.2E-2</v>
      </c>
      <c r="S22" s="60">
        <v>5.3999999999999999E-2</v>
      </c>
      <c r="T22" s="60">
        <v>46.199351722238532</v>
      </c>
      <c r="U22" s="60">
        <v>11.5</v>
      </c>
      <c r="V22" s="60">
        <v>5.45</v>
      </c>
      <c r="W22" s="60">
        <v>19.100000000000001</v>
      </c>
      <c r="X22" s="60">
        <v>11.436419136503728</v>
      </c>
      <c r="Y22" s="48"/>
    </row>
    <row r="23" spans="1:25" ht="20.100000000000001" customHeight="1">
      <c r="A23" s="41">
        <v>19</v>
      </c>
      <c r="B23" s="42" t="s">
        <v>60</v>
      </c>
      <c r="C23" s="42" t="s">
        <v>43</v>
      </c>
      <c r="D23" s="43" t="s">
        <v>40</v>
      </c>
      <c r="E23" s="67">
        <v>45393</v>
      </c>
      <c r="F23" s="45">
        <v>0.56597222222222221</v>
      </c>
      <c r="G23" s="43" t="s">
        <v>37</v>
      </c>
      <c r="H23" s="72">
        <v>20.399999999999999</v>
      </c>
      <c r="I23" s="72">
        <v>7.15</v>
      </c>
      <c r="J23" s="72">
        <v>9.94</v>
      </c>
      <c r="K23" s="73">
        <v>427</v>
      </c>
      <c r="L23" s="60">
        <v>4.4729999999999999</v>
      </c>
      <c r="M23" s="60"/>
      <c r="N23" s="60">
        <v>0.26700000000000002</v>
      </c>
      <c r="O23" s="60">
        <v>3.9058742648607598</v>
      </c>
      <c r="P23" s="60">
        <v>7.8217782921411683E-2</v>
      </c>
      <c r="Q23" s="60">
        <v>3.9</v>
      </c>
      <c r="R23" s="60">
        <v>0.02</v>
      </c>
      <c r="S23" s="60">
        <v>7.0000000000000001E-3</v>
      </c>
      <c r="T23" s="60">
        <v>64.491191417810811</v>
      </c>
      <c r="U23" s="60">
        <v>12.27</v>
      </c>
      <c r="V23" s="60">
        <v>6.11</v>
      </c>
      <c r="W23" s="60">
        <v>20.2</v>
      </c>
      <c r="X23" s="60">
        <v>10.396885695613589</v>
      </c>
      <c r="Y23" s="48"/>
    </row>
    <row r="24" spans="1:25" ht="19.5" customHeight="1">
      <c r="A24" s="41">
        <v>20</v>
      </c>
      <c r="B24" s="42" t="s">
        <v>60</v>
      </c>
      <c r="C24" s="42" t="s">
        <v>43</v>
      </c>
      <c r="D24" s="43" t="s">
        <v>44</v>
      </c>
      <c r="E24" s="67">
        <v>45393</v>
      </c>
      <c r="F24" s="45">
        <v>0.57291666666666663</v>
      </c>
      <c r="G24" s="43" t="s">
        <v>37</v>
      </c>
      <c r="H24" s="72">
        <v>17.7</v>
      </c>
      <c r="I24" s="72">
        <v>8.4600000000000009</v>
      </c>
      <c r="J24" s="72">
        <v>13.23</v>
      </c>
      <c r="K24" s="73">
        <v>488</v>
      </c>
      <c r="L24" s="60">
        <v>5.1660000000000004</v>
      </c>
      <c r="M24" s="60"/>
      <c r="N24" s="60">
        <v>6.3E-2</v>
      </c>
      <c r="O24" s="60">
        <v>4.9679283032825374</v>
      </c>
      <c r="P24" s="60">
        <v>0.12958430283036404</v>
      </c>
      <c r="Q24" s="60">
        <v>2.9</v>
      </c>
      <c r="R24" s="60">
        <v>4.8000000000000001E-2</v>
      </c>
      <c r="S24" s="60">
        <v>2.3E-2</v>
      </c>
      <c r="T24" s="60">
        <v>53.23904304944535</v>
      </c>
      <c r="U24" s="60">
        <v>10.25</v>
      </c>
      <c r="V24" s="60">
        <v>7.37</v>
      </c>
      <c r="W24" s="60">
        <v>23.4</v>
      </c>
      <c r="X24" s="60">
        <v>10.85344472189681</v>
      </c>
      <c r="Y24" s="48"/>
    </row>
    <row r="25" spans="1:25" ht="20.100000000000001" customHeight="1">
      <c r="A25" s="25">
        <v>21</v>
      </c>
      <c r="B25" s="17" t="s">
        <v>61</v>
      </c>
      <c r="C25" s="17" t="s">
        <v>45</v>
      </c>
      <c r="D25" s="18" t="s">
        <v>46</v>
      </c>
      <c r="E25" s="19">
        <v>45393</v>
      </c>
      <c r="F25" s="20">
        <v>0.44097222222222227</v>
      </c>
      <c r="G25" s="18" t="s">
        <v>37</v>
      </c>
      <c r="H25" s="28">
        <v>14.7</v>
      </c>
      <c r="I25" s="28">
        <v>7.64</v>
      </c>
      <c r="J25" s="28">
        <v>10.1</v>
      </c>
      <c r="K25" s="74">
        <v>195</v>
      </c>
      <c r="L25" s="54">
        <v>1.575</v>
      </c>
      <c r="M25" s="54"/>
      <c r="N25" s="54">
        <v>3.9E-2</v>
      </c>
      <c r="O25" s="54">
        <v>1.4978781437023474</v>
      </c>
      <c r="P25" s="54" t="s">
        <v>135</v>
      </c>
      <c r="Q25" s="54">
        <v>1.7</v>
      </c>
      <c r="R25" s="54">
        <v>6.0000000000000001E-3</v>
      </c>
      <c r="S25" s="54">
        <v>2E-3</v>
      </c>
      <c r="T25" s="54">
        <v>11.157679937554409</v>
      </c>
      <c r="U25" s="54">
        <v>4.84</v>
      </c>
      <c r="V25" s="54">
        <v>5.72</v>
      </c>
      <c r="W25" s="54">
        <v>8.6999999999999993</v>
      </c>
      <c r="X25" s="54">
        <v>14.992753436048833</v>
      </c>
      <c r="Y25" s="21"/>
    </row>
    <row r="26" spans="1:25" ht="20.100000000000001" customHeight="1">
      <c r="A26" s="25">
        <v>22</v>
      </c>
      <c r="B26" s="17" t="s">
        <v>61</v>
      </c>
      <c r="C26" s="17" t="s">
        <v>45</v>
      </c>
      <c r="D26" s="22" t="s">
        <v>47</v>
      </c>
      <c r="E26" s="19">
        <v>45393</v>
      </c>
      <c r="F26" s="23">
        <v>0.46180555555555558</v>
      </c>
      <c r="G26" s="18" t="s">
        <v>37</v>
      </c>
      <c r="H26" s="28">
        <v>17.3</v>
      </c>
      <c r="I26" s="28">
        <v>7.3</v>
      </c>
      <c r="J26" s="28">
        <v>9.5</v>
      </c>
      <c r="K26" s="74">
        <v>232</v>
      </c>
      <c r="L26" s="55">
        <v>1.9910000000000001</v>
      </c>
      <c r="M26" s="55"/>
      <c r="N26" s="55">
        <v>4.2000000000000003E-2</v>
      </c>
      <c r="O26" s="55">
        <v>1.8417102276897697</v>
      </c>
      <c r="P26" s="54" t="s">
        <v>135</v>
      </c>
      <c r="Q26" s="55">
        <v>2.7</v>
      </c>
      <c r="R26" s="55">
        <v>5.3999999999999999E-2</v>
      </c>
      <c r="S26" s="55">
        <v>5.0999999999999997E-2</v>
      </c>
      <c r="T26" s="55">
        <v>17.228406114095094</v>
      </c>
      <c r="U26" s="55">
        <v>7.46</v>
      </c>
      <c r="V26" s="55">
        <v>3.75</v>
      </c>
      <c r="W26" s="55">
        <v>11.3</v>
      </c>
      <c r="X26" s="55">
        <v>13.044520469711662</v>
      </c>
      <c r="Y26" s="24"/>
    </row>
    <row r="27" spans="1:25" ht="20.100000000000001" customHeight="1">
      <c r="A27" s="25">
        <v>23</v>
      </c>
      <c r="B27" s="17" t="s">
        <v>61</v>
      </c>
      <c r="C27" s="17" t="s">
        <v>45</v>
      </c>
      <c r="D27" s="22" t="s">
        <v>29</v>
      </c>
      <c r="E27" s="19">
        <v>45393</v>
      </c>
      <c r="F27" s="23">
        <v>0.47569444444444442</v>
      </c>
      <c r="G27" s="18" t="s">
        <v>37</v>
      </c>
      <c r="H27" s="28">
        <v>17.8</v>
      </c>
      <c r="I27" s="28">
        <v>7.54</v>
      </c>
      <c r="J27" s="28">
        <v>10.7</v>
      </c>
      <c r="K27" s="74">
        <v>237</v>
      </c>
      <c r="L27" s="55">
        <v>2.1120000000000001</v>
      </c>
      <c r="M27" s="55"/>
      <c r="N27" s="55">
        <v>5.7000000000000002E-2</v>
      </c>
      <c r="O27" s="55">
        <v>1.9377533187741629</v>
      </c>
      <c r="P27" s="54" t="s">
        <v>135</v>
      </c>
      <c r="Q27" s="55">
        <v>2.8</v>
      </c>
      <c r="R27" s="55">
        <v>4.8000000000000001E-2</v>
      </c>
      <c r="S27" s="55">
        <v>4.2999999999999997E-2</v>
      </c>
      <c r="T27" s="55">
        <v>18.676808109788333</v>
      </c>
      <c r="U27" s="55">
        <v>7.95</v>
      </c>
      <c r="V27" s="55">
        <v>4.3499999999999996</v>
      </c>
      <c r="W27" s="55">
        <v>12.1</v>
      </c>
      <c r="X27" s="55">
        <v>13.065326733831593</v>
      </c>
      <c r="Y27" s="24"/>
    </row>
    <row r="28" spans="1:25" ht="20.100000000000001" customHeight="1" thickBot="1">
      <c r="A28" s="88">
        <v>24</v>
      </c>
      <c r="B28" s="89" t="s">
        <v>61</v>
      </c>
      <c r="C28" s="89" t="s">
        <v>45</v>
      </c>
      <c r="D28" s="90" t="s">
        <v>48</v>
      </c>
      <c r="E28" s="91">
        <v>45393</v>
      </c>
      <c r="F28" s="92">
        <v>0.48958333333333331</v>
      </c>
      <c r="G28" s="90" t="s">
        <v>37</v>
      </c>
      <c r="H28" s="93">
        <v>16.899999999999999</v>
      </c>
      <c r="I28" s="93">
        <v>7.29</v>
      </c>
      <c r="J28" s="93">
        <v>8.75</v>
      </c>
      <c r="K28" s="94">
        <v>248</v>
      </c>
      <c r="L28" s="95">
        <v>2.1680000000000001</v>
      </c>
      <c r="M28" s="95"/>
      <c r="N28" s="95">
        <v>6.5000000000000002E-2</v>
      </c>
      <c r="O28" s="95">
        <v>1.9645769962820305</v>
      </c>
      <c r="P28" s="95" t="s">
        <v>135</v>
      </c>
      <c r="Q28" s="95">
        <v>2.7</v>
      </c>
      <c r="R28" s="95">
        <v>3.7999999999999999E-2</v>
      </c>
      <c r="S28" s="95">
        <v>3.3000000000000002E-2</v>
      </c>
      <c r="T28" s="95">
        <v>18.945319130868253</v>
      </c>
      <c r="U28" s="95">
        <v>8.2100000000000009</v>
      </c>
      <c r="V28" s="95">
        <v>4.57</v>
      </c>
      <c r="W28" s="95">
        <v>13.4</v>
      </c>
      <c r="X28" s="95">
        <v>12.926440961420095</v>
      </c>
      <c r="Y28" s="96"/>
    </row>
    <row r="29" spans="1:25" ht="20.100000000000001" customHeight="1">
      <c r="A29" s="5"/>
      <c r="B29" s="5"/>
      <c r="C29" s="5"/>
      <c r="D29" s="5"/>
      <c r="E29" s="31"/>
      <c r="F29" s="32"/>
      <c r="G29" s="5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5" ht="20.100000000000001" customHeight="1">
      <c r="A30" s="5"/>
      <c r="B30" s="5"/>
      <c r="C30" s="5"/>
      <c r="D30" s="5"/>
      <c r="E30" s="31"/>
      <c r="F30" s="32"/>
      <c r="G30" s="5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5">
      <c r="A31" s="5"/>
      <c r="B31" s="5"/>
      <c r="C31" s="5"/>
      <c r="D31" s="5"/>
      <c r="E31" s="31"/>
      <c r="F31" s="32"/>
      <c r="G31" s="5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5" ht="33.75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/>
  <cols>
    <col min="1" max="1" width="7.5" bestFit="1" customWidth="1"/>
    <col min="2" max="3" width="9.5" bestFit="1" customWidth="1"/>
    <col min="4" max="4" width="26.87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hidden="1" customHeight="1">
      <c r="A1" s="109" t="s">
        <v>65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125</v>
      </c>
      <c r="O4" s="4" t="s">
        <v>126</v>
      </c>
      <c r="P4" s="4" t="s">
        <v>127</v>
      </c>
      <c r="Q4" s="4" t="s">
        <v>53</v>
      </c>
      <c r="R4" s="4" t="s">
        <v>54</v>
      </c>
      <c r="S4" s="4" t="s">
        <v>128</v>
      </c>
      <c r="T4" s="4" t="s">
        <v>129</v>
      </c>
      <c r="U4" s="4" t="s">
        <v>130</v>
      </c>
      <c r="V4" s="4" t="s">
        <v>78</v>
      </c>
      <c r="W4" s="4" t="s">
        <v>131</v>
      </c>
      <c r="X4" s="10" t="s">
        <v>76</v>
      </c>
      <c r="Y4" s="118"/>
    </row>
    <row r="5" spans="1:25" ht="20.100000000000001" customHeight="1">
      <c r="A5" s="35">
        <v>1</v>
      </c>
      <c r="B5" s="30" t="s">
        <v>17</v>
      </c>
      <c r="C5" s="30" t="s">
        <v>17</v>
      </c>
      <c r="D5" s="13" t="s">
        <v>18</v>
      </c>
      <c r="E5" s="36">
        <v>45457</v>
      </c>
      <c r="F5" s="15">
        <v>0.40625</v>
      </c>
      <c r="G5" s="13" t="s">
        <v>19</v>
      </c>
      <c r="H5" s="27">
        <v>21.5</v>
      </c>
      <c r="I5" s="27">
        <v>8.4</v>
      </c>
      <c r="J5" s="27">
        <v>9.6</v>
      </c>
      <c r="K5" s="76">
        <v>180</v>
      </c>
      <c r="L5" s="56">
        <v>0.78</v>
      </c>
      <c r="M5" s="53"/>
      <c r="N5" s="53">
        <v>3.2000000000000001E-2</v>
      </c>
      <c r="O5" s="53">
        <v>0.59</v>
      </c>
      <c r="P5" s="53" t="s">
        <v>66</v>
      </c>
      <c r="Q5" s="53">
        <v>2</v>
      </c>
      <c r="R5" s="53">
        <v>3.6999999999999998E-2</v>
      </c>
      <c r="S5" s="53">
        <v>1.9E-2</v>
      </c>
      <c r="T5" s="53">
        <v>25.29</v>
      </c>
      <c r="U5" s="53">
        <v>9.65</v>
      </c>
      <c r="V5" s="53">
        <v>4.49</v>
      </c>
      <c r="W5" s="53">
        <v>22.1098770696678</v>
      </c>
      <c r="X5" s="53">
        <v>6.7661375921548306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45457</v>
      </c>
      <c r="F6" s="20">
        <v>0.4375</v>
      </c>
      <c r="G6" s="18" t="s">
        <v>19</v>
      </c>
      <c r="H6" s="28">
        <v>25.38</v>
      </c>
      <c r="I6" s="28">
        <v>7.9</v>
      </c>
      <c r="J6" s="28">
        <v>13.59</v>
      </c>
      <c r="K6" s="74">
        <v>423</v>
      </c>
      <c r="L6" s="57">
        <v>6.8440000000000003</v>
      </c>
      <c r="M6" s="54"/>
      <c r="N6" s="54">
        <v>4.75</v>
      </c>
      <c r="O6" s="54">
        <v>1.718</v>
      </c>
      <c r="P6" s="54" t="s">
        <v>66</v>
      </c>
      <c r="Q6" s="54">
        <v>5.4</v>
      </c>
      <c r="R6" s="54">
        <v>6.0999999999999999E-2</v>
      </c>
      <c r="S6" s="54">
        <v>2.1999999999999999E-2</v>
      </c>
      <c r="T6" s="54">
        <v>67.840999999999994</v>
      </c>
      <c r="U6" s="54">
        <v>13.72</v>
      </c>
      <c r="V6" s="54">
        <v>0.34</v>
      </c>
      <c r="W6" s="54">
        <v>33.312334370837704</v>
      </c>
      <c r="X6" s="54">
        <v>9.1149019973507652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45457</v>
      </c>
      <c r="F7" s="20">
        <v>0.4513888888888889</v>
      </c>
      <c r="G7" s="18" t="s">
        <v>19</v>
      </c>
      <c r="H7" s="28">
        <v>27.42</v>
      </c>
      <c r="I7" s="28">
        <v>8.84</v>
      </c>
      <c r="J7" s="28">
        <v>13.72</v>
      </c>
      <c r="K7" s="74">
        <v>348</v>
      </c>
      <c r="L7" s="57">
        <v>4.3890000000000002</v>
      </c>
      <c r="M7" s="54"/>
      <c r="N7" s="54">
        <v>0.314</v>
      </c>
      <c r="O7" s="54">
        <v>3.2090000000000001</v>
      </c>
      <c r="P7" s="54" t="s">
        <v>66</v>
      </c>
      <c r="Q7" s="54">
        <v>5.4</v>
      </c>
      <c r="R7" s="54">
        <v>3.5000000000000003E-2</v>
      </c>
      <c r="S7" s="54">
        <v>1E-3</v>
      </c>
      <c r="T7" s="54">
        <v>56.59</v>
      </c>
      <c r="U7" s="58">
        <v>14.14</v>
      </c>
      <c r="V7" s="58">
        <v>-1.1599999999999999</v>
      </c>
      <c r="W7" s="58">
        <v>30.307226794084801</v>
      </c>
      <c r="X7" s="54">
        <v>9.5407009587316072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45457</v>
      </c>
      <c r="F8" s="20">
        <v>0.46527777777777773</v>
      </c>
      <c r="G8" s="18" t="s">
        <v>19</v>
      </c>
      <c r="H8" s="28">
        <v>28.43</v>
      </c>
      <c r="I8" s="28">
        <v>9.09</v>
      </c>
      <c r="J8" s="28">
        <v>10.08</v>
      </c>
      <c r="K8" s="74">
        <v>339</v>
      </c>
      <c r="L8" s="57">
        <v>2.335</v>
      </c>
      <c r="M8" s="54"/>
      <c r="N8" s="54">
        <v>0.155</v>
      </c>
      <c r="O8" s="54">
        <v>1.4830000000000001</v>
      </c>
      <c r="P8" s="54" t="s">
        <v>66</v>
      </c>
      <c r="Q8" s="54">
        <v>6.1</v>
      </c>
      <c r="R8" s="54">
        <v>8.2000000000000003E-2</v>
      </c>
      <c r="S8" s="54">
        <v>5.0999999999999997E-2</v>
      </c>
      <c r="T8" s="54">
        <v>54.719000000000001</v>
      </c>
      <c r="U8" s="55">
        <v>15.12</v>
      </c>
      <c r="V8" s="55">
        <v>1.38</v>
      </c>
      <c r="W8" s="55">
        <v>28.172749485468199</v>
      </c>
      <c r="X8" s="55">
        <v>10.026667631068687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45457</v>
      </c>
      <c r="F9" s="45">
        <v>0.625</v>
      </c>
      <c r="G9" s="43" t="s">
        <v>19</v>
      </c>
      <c r="H9" s="72">
        <v>23.1</v>
      </c>
      <c r="I9" s="72">
        <v>7.7</v>
      </c>
      <c r="J9" s="72">
        <v>8.0500000000000007</v>
      </c>
      <c r="K9" s="73">
        <v>166.1</v>
      </c>
      <c r="L9" s="59">
        <v>1.272</v>
      </c>
      <c r="M9" s="60"/>
      <c r="N9" s="60">
        <v>0.192</v>
      </c>
      <c r="O9" s="61">
        <v>0.77100000000000002</v>
      </c>
      <c r="P9" s="61" t="s">
        <v>66</v>
      </c>
      <c r="Q9" s="61">
        <v>4.0999999999999996</v>
      </c>
      <c r="R9" s="61">
        <v>3.4000000000000002E-2</v>
      </c>
      <c r="S9" s="61">
        <v>0.01</v>
      </c>
      <c r="T9" s="61">
        <v>11.804</v>
      </c>
      <c r="U9" s="61">
        <v>5.77</v>
      </c>
      <c r="V9" s="61">
        <v>2.79</v>
      </c>
      <c r="W9" s="61">
        <v>9.3235686071382098</v>
      </c>
      <c r="X9" s="61">
        <v>16.641686143105574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45457</v>
      </c>
      <c r="F10" s="45">
        <v>0.63888888888888895</v>
      </c>
      <c r="G10" s="43" t="s">
        <v>19</v>
      </c>
      <c r="H10" s="72">
        <v>24.7</v>
      </c>
      <c r="I10" s="72">
        <v>7.35</v>
      </c>
      <c r="J10" s="72">
        <v>7.68</v>
      </c>
      <c r="K10" s="73">
        <v>200.1</v>
      </c>
      <c r="L10" s="59">
        <v>1.5580000000000001</v>
      </c>
      <c r="M10" s="60"/>
      <c r="N10" s="60">
        <v>0.13600000000000001</v>
      </c>
      <c r="O10" s="60">
        <v>0.89400000000000002</v>
      </c>
      <c r="P10" s="60" t="s">
        <v>66</v>
      </c>
      <c r="Q10" s="60">
        <v>6.2</v>
      </c>
      <c r="R10" s="60">
        <v>6.5000000000000002E-2</v>
      </c>
      <c r="S10" s="60">
        <v>5.1999999999999998E-2</v>
      </c>
      <c r="T10" s="60">
        <v>16.141999999999999</v>
      </c>
      <c r="U10" s="60">
        <v>5.56</v>
      </c>
      <c r="V10" s="60">
        <v>2.4500000000000002</v>
      </c>
      <c r="W10" s="60">
        <v>13.7850400260194</v>
      </c>
      <c r="X10" s="60">
        <v>12.440342318778107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45457</v>
      </c>
      <c r="F11" s="45">
        <v>0.63888888888888895</v>
      </c>
      <c r="G11" s="43" t="s">
        <v>19</v>
      </c>
      <c r="H11" s="72">
        <v>25.3</v>
      </c>
      <c r="I11" s="72">
        <v>7.31</v>
      </c>
      <c r="J11" s="72">
        <v>7.25</v>
      </c>
      <c r="K11" s="73">
        <v>220.4</v>
      </c>
      <c r="L11" s="59">
        <v>1.718</v>
      </c>
      <c r="M11" s="60"/>
      <c r="N11" s="60">
        <v>0.10100000000000001</v>
      </c>
      <c r="O11" s="60">
        <v>1.0489999999999999</v>
      </c>
      <c r="P11" s="60" t="s">
        <v>66</v>
      </c>
      <c r="Q11" s="60">
        <v>6.6</v>
      </c>
      <c r="R11" s="60">
        <v>9.1999999999999998E-2</v>
      </c>
      <c r="S11" s="60">
        <v>7.8E-2</v>
      </c>
      <c r="T11" s="60">
        <v>18.344000000000001</v>
      </c>
      <c r="U11" s="60">
        <v>6.43</v>
      </c>
      <c r="V11" s="60">
        <v>2.91</v>
      </c>
      <c r="W11" s="60">
        <v>15.278497514306499</v>
      </c>
      <c r="X11" s="60">
        <v>12.395354544312564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28</v>
      </c>
      <c r="E12" s="44">
        <v>45457</v>
      </c>
      <c r="F12" s="45">
        <v>0.65277777777777779</v>
      </c>
      <c r="G12" s="43" t="s">
        <v>19</v>
      </c>
      <c r="H12" s="72">
        <v>25.7</v>
      </c>
      <c r="I12" s="72">
        <v>7</v>
      </c>
      <c r="J12" s="72">
        <v>5.5</v>
      </c>
      <c r="K12" s="73">
        <v>369.2</v>
      </c>
      <c r="L12" s="59">
        <v>5.2030000000000003</v>
      </c>
      <c r="M12" s="60"/>
      <c r="N12" s="60">
        <v>3.8260000000000001</v>
      </c>
      <c r="O12" s="60">
        <v>0.46899999999999997</v>
      </c>
      <c r="P12" s="60" t="s">
        <v>66</v>
      </c>
      <c r="Q12" s="60">
        <v>11.4</v>
      </c>
      <c r="R12" s="60">
        <v>1.9470000000000001</v>
      </c>
      <c r="S12" s="60">
        <v>1.9370000000000001</v>
      </c>
      <c r="T12" s="60">
        <v>20.645</v>
      </c>
      <c r="U12" s="60">
        <v>0.5</v>
      </c>
      <c r="V12" s="60">
        <v>-3.18</v>
      </c>
      <c r="W12" s="60">
        <v>20.007911964009502</v>
      </c>
      <c r="X12" s="60">
        <v>12.118616073041489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45457</v>
      </c>
      <c r="F13" s="45">
        <v>0.64236111111111105</v>
      </c>
      <c r="G13" s="43" t="s">
        <v>19</v>
      </c>
      <c r="H13" s="72">
        <v>27.2</v>
      </c>
      <c r="I13" s="72">
        <v>7.42</v>
      </c>
      <c r="J13" s="72">
        <v>7.81</v>
      </c>
      <c r="K13" s="73">
        <v>357.7</v>
      </c>
      <c r="L13" s="59">
        <v>2.673</v>
      </c>
      <c r="M13" s="60"/>
      <c r="N13" s="60">
        <v>0.25700000000000001</v>
      </c>
      <c r="O13" s="60">
        <v>1.4970000000000001</v>
      </c>
      <c r="P13" s="60" t="s">
        <v>66</v>
      </c>
      <c r="Q13" s="60">
        <v>8.5</v>
      </c>
      <c r="R13" s="60">
        <v>0.32900000000000001</v>
      </c>
      <c r="S13" s="60">
        <v>0.316</v>
      </c>
      <c r="T13" s="60">
        <v>37.978999999999999</v>
      </c>
      <c r="U13" s="62">
        <v>10.37</v>
      </c>
      <c r="V13" s="62">
        <v>0.99</v>
      </c>
      <c r="W13" s="62">
        <v>23.810053793747201</v>
      </c>
      <c r="X13" s="62">
        <v>9.7693430417629123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45457</v>
      </c>
      <c r="F14" s="20">
        <v>0.55902777777777779</v>
      </c>
      <c r="G14" s="18" t="s">
        <v>19</v>
      </c>
      <c r="H14" s="28">
        <v>27.75</v>
      </c>
      <c r="I14" s="28">
        <v>9.0399999999999991</v>
      </c>
      <c r="J14" s="28">
        <v>14.48</v>
      </c>
      <c r="K14" s="74">
        <v>232.4</v>
      </c>
      <c r="L14" s="57">
        <v>1.702</v>
      </c>
      <c r="M14" s="54"/>
      <c r="N14" s="54">
        <v>6.0999999999999999E-2</v>
      </c>
      <c r="O14" s="58">
        <v>0.97199999999999998</v>
      </c>
      <c r="P14" s="58" t="s">
        <v>66</v>
      </c>
      <c r="Q14" s="58">
        <v>7.1</v>
      </c>
      <c r="R14" s="58">
        <v>8.6999999999999994E-2</v>
      </c>
      <c r="S14" s="58">
        <v>6.8000000000000005E-2</v>
      </c>
      <c r="T14" s="58">
        <v>20.626000000000001</v>
      </c>
      <c r="U14" s="58">
        <v>10.15</v>
      </c>
      <c r="V14" s="58">
        <v>9.92</v>
      </c>
      <c r="W14" s="58">
        <v>24.873571813861201</v>
      </c>
      <c r="X14" s="58">
        <v>10.709017843283263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33</v>
      </c>
      <c r="E15" s="26">
        <v>45457</v>
      </c>
      <c r="F15" s="20">
        <v>0.60416666666666663</v>
      </c>
      <c r="G15" s="18" t="s">
        <v>19</v>
      </c>
      <c r="H15" s="28">
        <v>28.89</v>
      </c>
      <c r="I15" s="28">
        <v>9.4</v>
      </c>
      <c r="J15" s="28">
        <v>15.38</v>
      </c>
      <c r="K15" s="74">
        <v>234.3</v>
      </c>
      <c r="L15" s="57">
        <v>1.125</v>
      </c>
      <c r="M15" s="54"/>
      <c r="N15" s="54">
        <v>0.114</v>
      </c>
      <c r="O15" s="54">
        <v>0.439</v>
      </c>
      <c r="P15" s="54" t="s">
        <v>66</v>
      </c>
      <c r="Q15" s="54">
        <v>6.7</v>
      </c>
      <c r="R15" s="54">
        <v>4.9000000000000002E-2</v>
      </c>
      <c r="S15" s="54">
        <v>0.02</v>
      </c>
      <c r="T15" s="54">
        <v>22.864999999999998</v>
      </c>
      <c r="U15" s="54">
        <v>12.72</v>
      </c>
      <c r="V15" s="54">
        <v>9.1300000000000008</v>
      </c>
      <c r="W15" s="54">
        <v>24.021067207072299</v>
      </c>
      <c r="X15" s="54">
        <v>10.100749744356985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45457</v>
      </c>
      <c r="F16" s="20">
        <v>0.61111111111111105</v>
      </c>
      <c r="G16" s="18" t="s">
        <v>19</v>
      </c>
      <c r="H16" s="28">
        <v>27.79</v>
      </c>
      <c r="I16" s="28">
        <v>8.64</v>
      </c>
      <c r="J16" s="28">
        <v>8.7100000000000009</v>
      </c>
      <c r="K16" s="74">
        <v>251.2</v>
      </c>
      <c r="L16" s="57">
        <v>1.946</v>
      </c>
      <c r="M16" s="54"/>
      <c r="N16" s="54">
        <v>6.5000000000000002E-2</v>
      </c>
      <c r="O16" s="54">
        <v>1.24</v>
      </c>
      <c r="P16" s="54" t="s">
        <v>66</v>
      </c>
      <c r="Q16" s="54">
        <v>7.3</v>
      </c>
      <c r="R16" s="54">
        <v>0.107</v>
      </c>
      <c r="S16" s="54">
        <v>9.7000000000000003E-2</v>
      </c>
      <c r="T16" s="54">
        <v>24.498999999999999</v>
      </c>
      <c r="U16" s="54">
        <v>12.22</v>
      </c>
      <c r="V16" s="54">
        <v>4.43</v>
      </c>
      <c r="W16" s="54">
        <v>23.61225277214</v>
      </c>
      <c r="X16" s="54">
        <v>11.139294539611988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45457</v>
      </c>
      <c r="F17" s="20">
        <v>0.59375</v>
      </c>
      <c r="G17" s="18" t="s">
        <v>37</v>
      </c>
      <c r="H17" s="28">
        <v>26.01</v>
      </c>
      <c r="I17" s="28">
        <v>7.5</v>
      </c>
      <c r="J17" s="28">
        <v>4.62</v>
      </c>
      <c r="K17" s="74">
        <v>243</v>
      </c>
      <c r="L17" s="57">
        <v>1.512</v>
      </c>
      <c r="M17" s="54"/>
      <c r="N17" s="54">
        <v>0.20899999999999999</v>
      </c>
      <c r="O17" s="54">
        <v>0.77600000000000002</v>
      </c>
      <c r="P17" s="54" t="s">
        <v>66</v>
      </c>
      <c r="Q17" s="54">
        <v>6.3</v>
      </c>
      <c r="R17" s="54">
        <v>0.121</v>
      </c>
      <c r="S17" s="54">
        <v>6.4000000000000001E-2</v>
      </c>
      <c r="T17" s="54">
        <v>21.664999999999999</v>
      </c>
      <c r="U17" s="54">
        <v>9.82</v>
      </c>
      <c r="V17" s="54">
        <v>4.8</v>
      </c>
      <c r="W17" s="54">
        <v>25.620566401085899</v>
      </c>
      <c r="X17" s="54">
        <v>11.173446452060476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45457</v>
      </c>
      <c r="F18" s="20">
        <v>0.58680555555555558</v>
      </c>
      <c r="G18" s="18" t="s">
        <v>37</v>
      </c>
      <c r="H18" s="28">
        <v>28.72</v>
      </c>
      <c r="I18" s="28">
        <v>7.54</v>
      </c>
      <c r="J18" s="28">
        <v>8.64</v>
      </c>
      <c r="K18" s="74">
        <v>286.60000000000002</v>
      </c>
      <c r="L18" s="57">
        <v>2.2269999999999999</v>
      </c>
      <c r="M18" s="54"/>
      <c r="N18" s="54">
        <v>0.13</v>
      </c>
      <c r="O18" s="54">
        <v>1.3</v>
      </c>
      <c r="P18" s="54" t="s">
        <v>66</v>
      </c>
      <c r="Q18" s="54">
        <v>7.9</v>
      </c>
      <c r="R18" s="54">
        <v>9.1999999999999998E-2</v>
      </c>
      <c r="S18" s="54">
        <v>7.9000000000000001E-2</v>
      </c>
      <c r="T18" s="54">
        <v>39.970999999999997</v>
      </c>
      <c r="U18" s="54">
        <v>8.89</v>
      </c>
      <c r="V18" s="54">
        <v>2.81</v>
      </c>
      <c r="W18" s="54">
        <v>23.773362659581501</v>
      </c>
      <c r="X18" s="54">
        <v>11.938153629723613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45457</v>
      </c>
      <c r="F19" s="20">
        <v>0.58333333333333337</v>
      </c>
      <c r="G19" s="18" t="s">
        <v>37</v>
      </c>
      <c r="H19" s="28">
        <v>26.98</v>
      </c>
      <c r="I19" s="28">
        <v>7.41</v>
      </c>
      <c r="J19" s="28">
        <v>5.8</v>
      </c>
      <c r="K19" s="74">
        <v>221.5</v>
      </c>
      <c r="L19" s="57">
        <v>1.232</v>
      </c>
      <c r="M19" s="54"/>
      <c r="N19" s="54">
        <v>9.1999999999999998E-2</v>
      </c>
      <c r="O19" s="54">
        <v>0.61199999999999999</v>
      </c>
      <c r="P19" s="54" t="s">
        <v>66</v>
      </c>
      <c r="Q19" s="54">
        <v>6.5</v>
      </c>
      <c r="R19" s="54">
        <v>0.1</v>
      </c>
      <c r="S19" s="54">
        <v>8.8999999999999996E-2</v>
      </c>
      <c r="T19" s="54">
        <v>20.428999999999998</v>
      </c>
      <c r="U19" s="55">
        <v>9.73</v>
      </c>
      <c r="V19" s="55">
        <v>7.23</v>
      </c>
      <c r="W19" s="55">
        <v>23.9947228940174</v>
      </c>
      <c r="X19" s="55">
        <v>11.344487482363885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45457</v>
      </c>
      <c r="F20" s="45">
        <v>0.60763888888888895</v>
      </c>
      <c r="G20" s="43" t="s">
        <v>37</v>
      </c>
      <c r="H20" s="72">
        <v>26.78</v>
      </c>
      <c r="I20" s="72">
        <v>7.72</v>
      </c>
      <c r="J20" s="72">
        <v>7.35</v>
      </c>
      <c r="K20" s="73">
        <v>133.5</v>
      </c>
      <c r="L20" s="59">
        <v>1.5109999999999999</v>
      </c>
      <c r="M20" s="60"/>
      <c r="N20" s="60">
        <v>0.189</v>
      </c>
      <c r="O20" s="61">
        <v>0.73899999999999999</v>
      </c>
      <c r="P20" s="61" t="s">
        <v>66</v>
      </c>
      <c r="Q20" s="61">
        <v>5.6</v>
      </c>
      <c r="R20" s="61">
        <v>0.05</v>
      </c>
      <c r="S20" s="61">
        <v>3.5999999999999997E-2</v>
      </c>
      <c r="T20" s="61">
        <v>11.904999999999999</v>
      </c>
      <c r="U20" s="61">
        <v>4.3499999999999996</v>
      </c>
      <c r="V20" s="61">
        <v>2.1800000000000002</v>
      </c>
      <c r="W20" s="61">
        <v>11.7606538704652</v>
      </c>
      <c r="X20" s="61">
        <v>15.164711788202389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45457</v>
      </c>
      <c r="F21" s="45">
        <v>0.5625</v>
      </c>
      <c r="G21" s="43" t="s">
        <v>37</v>
      </c>
      <c r="H21" s="72">
        <v>26.59</v>
      </c>
      <c r="I21" s="72">
        <v>7.55</v>
      </c>
      <c r="J21" s="72">
        <v>7.99</v>
      </c>
      <c r="K21" s="73">
        <v>168.6</v>
      </c>
      <c r="L21" s="59">
        <v>1.9410000000000001</v>
      </c>
      <c r="M21" s="60"/>
      <c r="N21" s="60">
        <v>0.19700000000000001</v>
      </c>
      <c r="O21" s="60">
        <v>1.2689999999999999</v>
      </c>
      <c r="P21" s="60" t="s">
        <v>66</v>
      </c>
      <c r="Q21" s="60">
        <v>5.7</v>
      </c>
      <c r="R21" s="60">
        <v>7.1999999999999995E-2</v>
      </c>
      <c r="S21" s="60">
        <v>6.0999999999999999E-2</v>
      </c>
      <c r="T21" s="60">
        <v>18.673999999999999</v>
      </c>
      <c r="U21" s="60">
        <v>7.94</v>
      </c>
      <c r="V21" s="60">
        <v>2.3199999999999998</v>
      </c>
      <c r="W21" s="60">
        <v>12.994058289706</v>
      </c>
      <c r="X21" s="60">
        <v>14.25181833467304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45457</v>
      </c>
      <c r="F22" s="45">
        <v>0.62847222222222221</v>
      </c>
      <c r="G22" s="43" t="s">
        <v>37</v>
      </c>
      <c r="H22" s="72">
        <v>28.49</v>
      </c>
      <c r="I22" s="72">
        <v>7.5</v>
      </c>
      <c r="J22" s="72">
        <v>8.84</v>
      </c>
      <c r="K22" s="73">
        <v>263.3</v>
      </c>
      <c r="L22" s="59">
        <v>2.1269999999999998</v>
      </c>
      <c r="M22" s="60"/>
      <c r="N22" s="60">
        <v>0.19600000000000001</v>
      </c>
      <c r="O22" s="60">
        <v>1.377</v>
      </c>
      <c r="P22" s="60" t="s">
        <v>66</v>
      </c>
      <c r="Q22" s="60">
        <v>6.4</v>
      </c>
      <c r="R22" s="60">
        <v>0.08</v>
      </c>
      <c r="S22" s="60">
        <v>6.7000000000000004E-2</v>
      </c>
      <c r="T22" s="60">
        <v>27.225999999999999</v>
      </c>
      <c r="U22" s="60">
        <v>8.11</v>
      </c>
      <c r="V22" s="60">
        <v>2.57</v>
      </c>
      <c r="W22" s="60">
        <v>17.871998340811501</v>
      </c>
      <c r="X22" s="60">
        <v>12.604643846970632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45457</v>
      </c>
      <c r="F23" s="45">
        <v>0.56597222222222221</v>
      </c>
      <c r="G23" s="43" t="s">
        <v>37</v>
      </c>
      <c r="H23" s="72">
        <v>27.85</v>
      </c>
      <c r="I23" s="72">
        <v>7.49</v>
      </c>
      <c r="J23" s="72">
        <v>8.93</v>
      </c>
      <c r="K23" s="73">
        <v>282.10000000000002</v>
      </c>
      <c r="L23" s="59">
        <v>3.87</v>
      </c>
      <c r="M23" s="60"/>
      <c r="N23" s="60">
        <v>0.23499999999999999</v>
      </c>
      <c r="O23" s="60">
        <v>3.2719999999999998</v>
      </c>
      <c r="P23" s="60" t="s">
        <v>66</v>
      </c>
      <c r="Q23" s="60">
        <v>4.8</v>
      </c>
      <c r="R23" s="60">
        <v>3.1E-2</v>
      </c>
      <c r="S23" s="60">
        <v>1.4E-2</v>
      </c>
      <c r="T23" s="60">
        <v>48.887</v>
      </c>
      <c r="U23" s="60">
        <v>10.58</v>
      </c>
      <c r="V23" s="60">
        <v>4.47</v>
      </c>
      <c r="W23" s="60">
        <v>17.678067304593998</v>
      </c>
      <c r="X23" s="60">
        <v>12.902446465201056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45457</v>
      </c>
      <c r="F24" s="45">
        <v>0.57291666666666663</v>
      </c>
      <c r="G24" s="43" t="s">
        <v>37</v>
      </c>
      <c r="H24" s="72">
        <v>27.3</v>
      </c>
      <c r="I24" s="72">
        <v>8.2899999999999991</v>
      </c>
      <c r="J24" s="72">
        <v>8.83</v>
      </c>
      <c r="K24" s="73">
        <v>202.2</v>
      </c>
      <c r="L24" s="59">
        <v>2.4289999999999998</v>
      </c>
      <c r="M24" s="60"/>
      <c r="N24" s="60">
        <v>8.5000000000000006E-2</v>
      </c>
      <c r="O24" s="60">
        <v>1.9019999999999999</v>
      </c>
      <c r="P24" s="60" t="s">
        <v>66</v>
      </c>
      <c r="Q24" s="60">
        <v>5.2</v>
      </c>
      <c r="R24" s="60">
        <v>3.9E-2</v>
      </c>
      <c r="S24" s="60">
        <v>0.02</v>
      </c>
      <c r="T24" s="60">
        <v>22.791</v>
      </c>
      <c r="U24" s="62">
        <v>7.97</v>
      </c>
      <c r="V24" s="62">
        <v>4.29</v>
      </c>
      <c r="W24" s="62">
        <v>12.424265342897099</v>
      </c>
      <c r="X24" s="62">
        <v>14.216397469913211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45457</v>
      </c>
      <c r="F25" s="20">
        <v>0.44097222222222227</v>
      </c>
      <c r="G25" s="18" t="s">
        <v>37</v>
      </c>
      <c r="H25" s="28">
        <v>26.1</v>
      </c>
      <c r="I25" s="28">
        <v>7.38</v>
      </c>
      <c r="J25" s="28">
        <v>7.68</v>
      </c>
      <c r="K25" s="74">
        <v>279</v>
      </c>
      <c r="L25" s="57">
        <v>1.2889999999999999</v>
      </c>
      <c r="M25" s="54"/>
      <c r="N25" s="54">
        <v>3.5000000000000003E-2</v>
      </c>
      <c r="O25" s="58">
        <v>0.96599999999999997</v>
      </c>
      <c r="P25" s="58" t="s">
        <v>66</v>
      </c>
      <c r="Q25" s="58">
        <v>4.5</v>
      </c>
      <c r="R25" s="58">
        <v>2.1999999999999999E-2</v>
      </c>
      <c r="S25" s="58">
        <v>8.9999999999999993E-3</v>
      </c>
      <c r="T25" s="58">
        <v>14.125999999999999</v>
      </c>
      <c r="U25" s="58">
        <v>8.34</v>
      </c>
      <c r="V25" s="58">
        <v>3.27</v>
      </c>
      <c r="W25" s="58">
        <v>13.645109197605899</v>
      </c>
      <c r="X25" s="58">
        <v>14.017935416137773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45457</v>
      </c>
      <c r="F26" s="23">
        <v>0.46180555555555558</v>
      </c>
      <c r="G26" s="18" t="s">
        <v>37</v>
      </c>
      <c r="H26" s="28">
        <v>27.3</v>
      </c>
      <c r="I26" s="28">
        <v>7.32</v>
      </c>
      <c r="J26" s="28">
        <v>7.55</v>
      </c>
      <c r="K26" s="74">
        <v>208</v>
      </c>
      <c r="L26" s="57">
        <v>1.357</v>
      </c>
      <c r="M26" s="55"/>
      <c r="N26" s="55">
        <v>0.10199999999999999</v>
      </c>
      <c r="O26" s="55">
        <v>0.873</v>
      </c>
      <c r="P26" s="55" t="s">
        <v>66</v>
      </c>
      <c r="Q26" s="55">
        <v>5.5</v>
      </c>
      <c r="R26" s="55">
        <v>5.8000000000000003E-2</v>
      </c>
      <c r="S26" s="55">
        <v>5.3999999999999999E-2</v>
      </c>
      <c r="T26" s="55">
        <v>16.196000000000002</v>
      </c>
      <c r="U26" s="55">
        <v>8.49</v>
      </c>
      <c r="V26" s="55">
        <v>2.2799999999999998</v>
      </c>
      <c r="W26" s="55">
        <v>14.019806396022799</v>
      </c>
      <c r="X26" s="55">
        <v>13.802633710466361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45457</v>
      </c>
      <c r="F27" s="23">
        <v>0.47569444444444442</v>
      </c>
      <c r="G27" s="18" t="s">
        <v>37</v>
      </c>
      <c r="H27" s="75">
        <v>28.4</v>
      </c>
      <c r="I27" s="75">
        <v>7.51</v>
      </c>
      <c r="J27" s="75">
        <v>7.91</v>
      </c>
      <c r="K27" s="77">
        <v>243</v>
      </c>
      <c r="L27" s="57">
        <v>1.641</v>
      </c>
      <c r="M27" s="55"/>
      <c r="N27" s="55">
        <v>9.6000000000000002E-2</v>
      </c>
      <c r="O27" s="55">
        <v>0.93700000000000006</v>
      </c>
      <c r="P27" s="55" t="s">
        <v>66</v>
      </c>
      <c r="Q27" s="55">
        <v>7.6</v>
      </c>
      <c r="R27" s="55">
        <v>0.08</v>
      </c>
      <c r="S27" s="55">
        <v>6.8000000000000005E-2</v>
      </c>
      <c r="T27" s="55">
        <v>18.216999999999999</v>
      </c>
      <c r="U27" s="55">
        <v>9.02</v>
      </c>
      <c r="V27" s="55">
        <v>2.79</v>
      </c>
      <c r="W27" s="55">
        <v>18.016412874533302</v>
      </c>
      <c r="X27" s="55">
        <v>12.659408332206301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45457</v>
      </c>
      <c r="F28" s="20">
        <v>0.48958333333333331</v>
      </c>
      <c r="G28" s="18" t="s">
        <v>19</v>
      </c>
      <c r="H28" s="28">
        <v>28.6</v>
      </c>
      <c r="I28" s="28">
        <v>7.48</v>
      </c>
      <c r="J28" s="28">
        <v>8.6</v>
      </c>
      <c r="K28" s="74">
        <v>254</v>
      </c>
      <c r="L28" s="57">
        <v>1.7809999999999999</v>
      </c>
      <c r="M28" s="54"/>
      <c r="N28" s="54">
        <v>9.1999999999999998E-2</v>
      </c>
      <c r="O28" s="54">
        <v>1.0660000000000001</v>
      </c>
      <c r="P28" s="54" t="s">
        <v>66</v>
      </c>
      <c r="Q28" s="54">
        <v>7.6</v>
      </c>
      <c r="R28" s="54">
        <v>7.6999999999999999E-2</v>
      </c>
      <c r="S28" s="54">
        <v>6.7000000000000004E-2</v>
      </c>
      <c r="T28" s="54">
        <v>19.501000000000001</v>
      </c>
      <c r="U28" s="54">
        <v>9</v>
      </c>
      <c r="V28" s="54">
        <v>3.1</v>
      </c>
      <c r="W28" s="54">
        <v>19.701362294826001</v>
      </c>
      <c r="X28" s="54">
        <v>12.363415262155343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2"/>
  <sheetViews>
    <sheetView zoomScale="80" zoomScaleNormal="80" workbookViewId="0">
      <selection activeCell="A29" sqref="A29:XFD30"/>
    </sheetView>
  </sheetViews>
  <sheetFormatPr defaultRowHeight="16.5"/>
  <cols>
    <col min="1" max="1" width="7.5" bestFit="1" customWidth="1"/>
    <col min="2" max="2" width="10.125" bestFit="1" customWidth="1"/>
    <col min="3" max="3" width="9.5" bestFit="1" customWidth="1"/>
    <col min="4" max="4" width="27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09" t="s">
        <v>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51" t="s">
        <v>132</v>
      </c>
      <c r="W4" s="51" t="s">
        <v>131</v>
      </c>
      <c r="X4" s="10" t="s">
        <v>76</v>
      </c>
      <c r="Y4" s="118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45505</v>
      </c>
      <c r="F5" s="15"/>
      <c r="G5" s="13" t="s">
        <v>19</v>
      </c>
      <c r="H5" s="27">
        <v>22.03</v>
      </c>
      <c r="I5" s="27">
        <v>8.06</v>
      </c>
      <c r="J5" s="27">
        <v>9.82</v>
      </c>
      <c r="K5" s="76">
        <v>79.2</v>
      </c>
      <c r="L5" s="56">
        <v>0.94099999999999995</v>
      </c>
      <c r="M5" s="53"/>
      <c r="N5" s="53">
        <v>1.4999999999999999E-2</v>
      </c>
      <c r="O5" s="53">
        <v>0.77150000000000007</v>
      </c>
      <c r="P5" s="53" t="s">
        <v>124</v>
      </c>
      <c r="Q5" s="53">
        <v>1.5</v>
      </c>
      <c r="R5" s="53">
        <v>0.02</v>
      </c>
      <c r="S5" s="53">
        <v>8.0000000000000002E-3</v>
      </c>
      <c r="T5" s="53">
        <v>5.9535</v>
      </c>
      <c r="U5" s="53">
        <v>4.2699999999999996</v>
      </c>
      <c r="V5" s="53">
        <v>2.19</v>
      </c>
      <c r="W5" s="53">
        <v>7.9</v>
      </c>
      <c r="X5" s="53">
        <v>18.410498660070385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45505</v>
      </c>
      <c r="F6" s="20"/>
      <c r="G6" s="18" t="s">
        <v>19</v>
      </c>
      <c r="H6" s="28">
        <v>27.74</v>
      </c>
      <c r="I6" s="28">
        <v>7.74</v>
      </c>
      <c r="J6" s="28">
        <v>12.06</v>
      </c>
      <c r="K6" s="74">
        <v>200.5</v>
      </c>
      <c r="L6" s="57">
        <v>1.65</v>
      </c>
      <c r="M6" s="54"/>
      <c r="N6" s="54">
        <v>0.40799999999999997</v>
      </c>
      <c r="O6" s="54">
        <v>0.99350000000000005</v>
      </c>
      <c r="P6" s="54" t="s">
        <v>124</v>
      </c>
      <c r="Q6" s="54">
        <v>2.1</v>
      </c>
      <c r="R6" s="54">
        <v>9.6000000000000002E-2</v>
      </c>
      <c r="S6" s="54">
        <v>0.09</v>
      </c>
      <c r="T6" s="54">
        <v>16.461500000000001</v>
      </c>
      <c r="U6" s="54">
        <v>9.77</v>
      </c>
      <c r="V6" s="54">
        <v>1.44</v>
      </c>
      <c r="W6" s="54">
        <v>16.2</v>
      </c>
      <c r="X6" s="54">
        <v>11.220882420824196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45505</v>
      </c>
      <c r="F7" s="20"/>
      <c r="G7" s="18" t="s">
        <v>19</v>
      </c>
      <c r="H7" s="28">
        <v>28.05</v>
      </c>
      <c r="I7" s="28">
        <v>7.75</v>
      </c>
      <c r="J7" s="28">
        <v>9.65</v>
      </c>
      <c r="K7" s="74">
        <v>135.80000000000001</v>
      </c>
      <c r="L7" s="57">
        <v>1.4410000000000001</v>
      </c>
      <c r="M7" s="54"/>
      <c r="N7" s="54">
        <v>0.16200000000000001</v>
      </c>
      <c r="O7" s="54">
        <v>1.0895000000000001</v>
      </c>
      <c r="P7" s="54" t="s">
        <v>124</v>
      </c>
      <c r="Q7" s="54">
        <v>1.9</v>
      </c>
      <c r="R7" s="54">
        <v>7.2999999999999995E-2</v>
      </c>
      <c r="S7" s="54">
        <v>6.3E-2</v>
      </c>
      <c r="T7" s="54">
        <v>12.7425</v>
      </c>
      <c r="U7" s="58">
        <v>8.26</v>
      </c>
      <c r="V7" s="58">
        <v>1.24</v>
      </c>
      <c r="W7" s="58">
        <v>12</v>
      </c>
      <c r="X7" s="54">
        <v>10.81233356276784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45505</v>
      </c>
      <c r="F8" s="20"/>
      <c r="G8" s="18" t="s">
        <v>19</v>
      </c>
      <c r="H8" s="28">
        <v>29.04</v>
      </c>
      <c r="I8" s="28">
        <v>7.73</v>
      </c>
      <c r="J8" s="28">
        <v>9.92</v>
      </c>
      <c r="K8" s="74">
        <v>132.6</v>
      </c>
      <c r="L8" s="57">
        <v>1.1870000000000001</v>
      </c>
      <c r="M8" s="70"/>
      <c r="N8" s="54">
        <v>8.8999999999999996E-2</v>
      </c>
      <c r="O8" s="54">
        <v>0.93100000000000005</v>
      </c>
      <c r="P8" s="54" t="s">
        <v>124</v>
      </c>
      <c r="Q8" s="54">
        <v>1.9</v>
      </c>
      <c r="R8" s="54">
        <v>7.9000000000000001E-2</v>
      </c>
      <c r="S8" s="54">
        <v>7.0999999999999994E-2</v>
      </c>
      <c r="T8" s="54">
        <v>12.621500000000001</v>
      </c>
      <c r="U8" s="54">
        <v>8.34</v>
      </c>
      <c r="V8" s="54">
        <v>1.78</v>
      </c>
      <c r="W8" s="54">
        <v>12.1</v>
      </c>
      <c r="X8" s="54">
        <v>15.357042076736549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45505</v>
      </c>
      <c r="F9" s="45"/>
      <c r="G9" s="43" t="s">
        <v>19</v>
      </c>
      <c r="H9" s="72">
        <v>28.8</v>
      </c>
      <c r="I9" s="72">
        <v>7.58</v>
      </c>
      <c r="J9" s="72">
        <v>7.83</v>
      </c>
      <c r="K9" s="73">
        <v>213.5</v>
      </c>
      <c r="L9" s="59">
        <v>1.5109999999999999</v>
      </c>
      <c r="M9" s="61"/>
      <c r="N9" s="61">
        <v>2.5000000000000001E-2</v>
      </c>
      <c r="O9" s="61">
        <v>1.2669999999999999</v>
      </c>
      <c r="P9" s="61" t="s">
        <v>124</v>
      </c>
      <c r="Q9" s="61">
        <v>2.4</v>
      </c>
      <c r="R9" s="61">
        <v>0.04</v>
      </c>
      <c r="S9" s="61">
        <v>2.9000000000000001E-2</v>
      </c>
      <c r="T9" s="61">
        <v>12.502500000000001</v>
      </c>
      <c r="U9" s="61">
        <v>7.55</v>
      </c>
      <c r="V9" s="61">
        <v>3.78</v>
      </c>
      <c r="W9" s="61">
        <v>12.2</v>
      </c>
      <c r="X9" s="61">
        <v>17.90516792585467</v>
      </c>
      <c r="Y9" s="6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45505</v>
      </c>
      <c r="F10" s="45"/>
      <c r="G10" s="43" t="s">
        <v>19</v>
      </c>
      <c r="H10" s="72">
        <v>30.4</v>
      </c>
      <c r="I10" s="72">
        <v>7.43</v>
      </c>
      <c r="J10" s="72">
        <v>7.66</v>
      </c>
      <c r="K10" s="73">
        <v>245.8</v>
      </c>
      <c r="L10" s="59">
        <v>1.744</v>
      </c>
      <c r="M10" s="60"/>
      <c r="N10" s="60">
        <v>4.2000000000000003E-2</v>
      </c>
      <c r="O10" s="60">
        <v>1.347</v>
      </c>
      <c r="P10" s="60" t="s">
        <v>124</v>
      </c>
      <c r="Q10" s="60">
        <v>3.5</v>
      </c>
      <c r="R10" s="60">
        <v>0.10100000000000001</v>
      </c>
      <c r="S10" s="60">
        <v>9.2999999999999999E-2</v>
      </c>
      <c r="T10" s="60">
        <v>15.840499999999999</v>
      </c>
      <c r="U10" s="60">
        <v>9.6300000000000008</v>
      </c>
      <c r="V10" s="60">
        <v>3.97</v>
      </c>
      <c r="W10" s="60">
        <v>20.399999999999999</v>
      </c>
      <c r="X10" s="60">
        <v>14.453827496424987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45505</v>
      </c>
      <c r="F11" s="45"/>
      <c r="G11" s="43" t="s">
        <v>19</v>
      </c>
      <c r="H11" s="72">
        <v>30.4</v>
      </c>
      <c r="I11" s="72">
        <v>7.37</v>
      </c>
      <c r="J11" s="72">
        <v>7.04</v>
      </c>
      <c r="K11" s="73">
        <v>270.89999999999998</v>
      </c>
      <c r="L11" s="59">
        <v>2.7909999999999999</v>
      </c>
      <c r="M11" s="60"/>
      <c r="N11" s="60">
        <v>0.496</v>
      </c>
      <c r="O11" s="60">
        <v>1.7384999999999999</v>
      </c>
      <c r="P11" s="60" t="s">
        <v>124</v>
      </c>
      <c r="Q11" s="60">
        <v>4.3</v>
      </c>
      <c r="R11" s="60">
        <v>0.40699999999999997</v>
      </c>
      <c r="S11" s="60">
        <v>0.39900000000000002</v>
      </c>
      <c r="T11" s="60">
        <v>17.154</v>
      </c>
      <c r="U11" s="60">
        <v>9.94</v>
      </c>
      <c r="V11" s="60">
        <v>1.1499999999999999</v>
      </c>
      <c r="W11" s="60">
        <v>22.2</v>
      </c>
      <c r="X11" s="60">
        <v>12.340795765495628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45505</v>
      </c>
      <c r="F12" s="45"/>
      <c r="G12" s="43" t="s">
        <v>19</v>
      </c>
      <c r="H12" s="72">
        <v>28.1</v>
      </c>
      <c r="I12" s="72">
        <v>7.3</v>
      </c>
      <c r="J12" s="72">
        <v>5.15</v>
      </c>
      <c r="K12" s="73">
        <v>634</v>
      </c>
      <c r="L12" s="59">
        <v>21.959</v>
      </c>
      <c r="M12" s="60"/>
      <c r="N12" s="60">
        <v>20.334</v>
      </c>
      <c r="O12" s="60">
        <v>0.26949999999999996</v>
      </c>
      <c r="P12" s="60" t="s">
        <v>124</v>
      </c>
      <c r="Q12" s="60">
        <v>14.7</v>
      </c>
      <c r="R12" s="60">
        <v>6.032</v>
      </c>
      <c r="S12" s="60">
        <v>5.88</v>
      </c>
      <c r="T12" s="60">
        <v>35.139499999999998</v>
      </c>
      <c r="U12" s="60">
        <v>9.42</v>
      </c>
      <c r="V12" s="60">
        <v>-0.25</v>
      </c>
      <c r="W12" s="60">
        <v>47.5</v>
      </c>
      <c r="X12" s="60">
        <v>11.156085521405624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45505</v>
      </c>
      <c r="F13" s="45"/>
      <c r="G13" s="43" t="s">
        <v>19</v>
      </c>
      <c r="H13" s="72">
        <v>30.1</v>
      </c>
      <c r="I13" s="72">
        <v>7.36</v>
      </c>
      <c r="J13" s="72">
        <v>6.17</v>
      </c>
      <c r="K13" s="73">
        <v>441</v>
      </c>
      <c r="L13" s="59">
        <v>12.265000000000001</v>
      </c>
      <c r="M13" s="71"/>
      <c r="N13" s="60">
        <v>5.9880000000000004</v>
      </c>
      <c r="O13" s="60">
        <v>4.4104999999999999</v>
      </c>
      <c r="P13" s="60" t="s">
        <v>124</v>
      </c>
      <c r="Q13" s="60">
        <v>9.5</v>
      </c>
      <c r="R13" s="60">
        <v>3.085</v>
      </c>
      <c r="S13" s="60">
        <v>2.984</v>
      </c>
      <c r="T13" s="60">
        <v>28.026499999999999</v>
      </c>
      <c r="U13" s="60">
        <v>8.73</v>
      </c>
      <c r="V13" s="60">
        <v>-3.85</v>
      </c>
      <c r="W13" s="60">
        <v>36.700000000000003</v>
      </c>
      <c r="X13" s="60">
        <v>12.289043184084358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45505</v>
      </c>
      <c r="F14" s="20"/>
      <c r="G14" s="18" t="s">
        <v>19</v>
      </c>
      <c r="H14" s="28">
        <v>26.36</v>
      </c>
      <c r="I14" s="28">
        <v>7.9</v>
      </c>
      <c r="J14" s="28">
        <v>8.61</v>
      </c>
      <c r="K14" s="74">
        <v>151</v>
      </c>
      <c r="L14" s="57">
        <v>1.8959999999999999</v>
      </c>
      <c r="M14" s="58"/>
      <c r="N14" s="58">
        <v>8.5000000000000006E-2</v>
      </c>
      <c r="O14" s="58">
        <v>1.5265</v>
      </c>
      <c r="P14" s="58" t="s">
        <v>124</v>
      </c>
      <c r="Q14" s="58">
        <v>2.4</v>
      </c>
      <c r="R14" s="58">
        <v>8.4000000000000005E-2</v>
      </c>
      <c r="S14" s="58">
        <v>7.4999999999999997E-2</v>
      </c>
      <c r="T14" s="58">
        <v>8.5150000000000006</v>
      </c>
      <c r="U14" s="58">
        <v>8.39</v>
      </c>
      <c r="V14" s="58">
        <v>2.54</v>
      </c>
      <c r="W14" s="58">
        <v>15.1</v>
      </c>
      <c r="X14" s="58">
        <v>12.441195327151821</v>
      </c>
      <c r="Y14" s="69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45505</v>
      </c>
      <c r="F15" s="20"/>
      <c r="G15" s="18" t="s">
        <v>19</v>
      </c>
      <c r="H15" s="28">
        <v>26.6</v>
      </c>
      <c r="I15" s="28">
        <v>8</v>
      </c>
      <c r="J15" s="28">
        <v>10.4</v>
      </c>
      <c r="K15" s="74">
        <v>142</v>
      </c>
      <c r="L15" s="57">
        <v>1.6890000000000001</v>
      </c>
      <c r="M15" s="54"/>
      <c r="N15" s="54">
        <v>1.7000000000000001E-2</v>
      </c>
      <c r="O15" s="54">
        <v>1.4264999999999999</v>
      </c>
      <c r="P15" s="54" t="s">
        <v>124</v>
      </c>
      <c r="Q15" s="54">
        <v>2.2999999999999998</v>
      </c>
      <c r="R15" s="54">
        <v>5.6000000000000001E-2</v>
      </c>
      <c r="S15" s="54">
        <v>5.0999999999999997E-2</v>
      </c>
      <c r="T15" s="54">
        <v>8.0670000000000002</v>
      </c>
      <c r="U15" s="54">
        <v>8.4700000000000006</v>
      </c>
      <c r="V15" s="54">
        <v>2.4700000000000002</v>
      </c>
      <c r="W15" s="54">
        <v>14.1</v>
      </c>
      <c r="X15" s="54">
        <v>14.122288252046367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45505</v>
      </c>
      <c r="F16" s="20"/>
      <c r="G16" s="18" t="s">
        <v>19</v>
      </c>
      <c r="H16" s="28">
        <v>27.04</v>
      </c>
      <c r="I16" s="28">
        <v>7.93</v>
      </c>
      <c r="J16" s="28">
        <v>10.38</v>
      </c>
      <c r="K16" s="74">
        <v>148</v>
      </c>
      <c r="L16" s="57">
        <v>1.8169999999999999</v>
      </c>
      <c r="M16" s="54"/>
      <c r="N16" s="54">
        <v>0.02</v>
      </c>
      <c r="O16" s="54">
        <v>1.5514999999999999</v>
      </c>
      <c r="P16" s="54" t="s">
        <v>124</v>
      </c>
      <c r="Q16" s="54">
        <v>2.2999999999999998</v>
      </c>
      <c r="R16" s="54">
        <v>6.3E-2</v>
      </c>
      <c r="S16" s="54">
        <v>5.8000000000000003E-2</v>
      </c>
      <c r="T16" s="54">
        <v>8.8210000000000015</v>
      </c>
      <c r="U16" s="54">
        <v>8.9700000000000006</v>
      </c>
      <c r="V16" s="54">
        <v>2.84</v>
      </c>
      <c r="W16" s="54">
        <v>14.9</v>
      </c>
      <c r="X16" s="54">
        <v>14.811278109441663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45505</v>
      </c>
      <c r="F17" s="20"/>
      <c r="G17" s="18" t="s">
        <v>37</v>
      </c>
      <c r="H17" s="28">
        <v>28.19</v>
      </c>
      <c r="I17" s="28">
        <v>7</v>
      </c>
      <c r="J17" s="28">
        <v>7.27</v>
      </c>
      <c r="K17" s="74">
        <v>142.4</v>
      </c>
      <c r="L17" s="57">
        <v>1.8440000000000001</v>
      </c>
      <c r="M17" s="54"/>
      <c r="N17" s="54">
        <v>0.05</v>
      </c>
      <c r="O17" s="54">
        <v>1.5175000000000001</v>
      </c>
      <c r="P17" s="54" t="s">
        <v>124</v>
      </c>
      <c r="Q17" s="54">
        <v>2.4</v>
      </c>
      <c r="R17" s="54">
        <v>7.5999999999999998E-2</v>
      </c>
      <c r="S17" s="54">
        <v>7.0000000000000007E-2</v>
      </c>
      <c r="T17" s="54">
        <v>8.4375</v>
      </c>
      <c r="U17" s="54">
        <v>8.69</v>
      </c>
      <c r="V17" s="54">
        <v>2.15</v>
      </c>
      <c r="W17" s="54">
        <v>15</v>
      </c>
      <c r="X17" s="54">
        <v>15.952224006126059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45505</v>
      </c>
      <c r="F18" s="20"/>
      <c r="G18" s="18" t="s">
        <v>37</v>
      </c>
      <c r="H18" s="28">
        <v>30.86</v>
      </c>
      <c r="I18" s="28">
        <v>7.53</v>
      </c>
      <c r="J18" s="28">
        <v>10.220000000000001</v>
      </c>
      <c r="K18" s="74">
        <v>263.89999999999998</v>
      </c>
      <c r="L18" s="57">
        <v>2.0350000000000001</v>
      </c>
      <c r="M18" s="54"/>
      <c r="N18" s="54">
        <v>3.9E-2</v>
      </c>
      <c r="O18" s="54">
        <v>1.6120000000000001</v>
      </c>
      <c r="P18" s="54" t="s">
        <v>124</v>
      </c>
      <c r="Q18" s="54">
        <v>3</v>
      </c>
      <c r="R18" s="54">
        <v>7.6999999999999999E-2</v>
      </c>
      <c r="S18" s="54">
        <v>6.9000000000000006E-2</v>
      </c>
      <c r="T18" s="54">
        <v>33.662999999999997</v>
      </c>
      <c r="U18" s="54">
        <v>11.32</v>
      </c>
      <c r="V18" s="54">
        <v>3.44</v>
      </c>
      <c r="W18" s="54">
        <v>21.5</v>
      </c>
      <c r="X18" s="54">
        <v>13.786840063645389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45505</v>
      </c>
      <c r="F19" s="20"/>
      <c r="G19" s="18" t="s">
        <v>37</v>
      </c>
      <c r="H19" s="28">
        <v>28.47</v>
      </c>
      <c r="I19" s="28">
        <v>7.07</v>
      </c>
      <c r="J19" s="28">
        <v>6.2</v>
      </c>
      <c r="K19" s="74">
        <v>145.6</v>
      </c>
      <c r="L19" s="57">
        <v>1.7729999999999999</v>
      </c>
      <c r="M19" s="70"/>
      <c r="N19" s="54">
        <v>0.03</v>
      </c>
      <c r="O19" s="54">
        <v>1.4875</v>
      </c>
      <c r="P19" s="54" t="s">
        <v>124</v>
      </c>
      <c r="Q19" s="54">
        <v>2.4</v>
      </c>
      <c r="R19" s="54">
        <v>0.1</v>
      </c>
      <c r="S19" s="54">
        <v>9.6000000000000002E-2</v>
      </c>
      <c r="T19" s="54">
        <v>8.6289999999999996</v>
      </c>
      <c r="U19" s="54">
        <v>8.94</v>
      </c>
      <c r="V19" s="54">
        <v>2.4500000000000002</v>
      </c>
      <c r="W19" s="54">
        <v>14.9</v>
      </c>
      <c r="X19" s="54">
        <v>14.086277748596887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45505</v>
      </c>
      <c r="F20" s="45"/>
      <c r="G20" s="43" t="s">
        <v>37</v>
      </c>
      <c r="H20" s="72">
        <v>26.77</v>
      </c>
      <c r="I20" s="72">
        <v>7.7</v>
      </c>
      <c r="J20" s="72">
        <v>10.050000000000001</v>
      </c>
      <c r="K20" s="73">
        <v>126</v>
      </c>
      <c r="L20" s="59">
        <v>1.165</v>
      </c>
      <c r="M20" s="61"/>
      <c r="N20" s="61">
        <v>7.1999999999999995E-2</v>
      </c>
      <c r="O20" s="61">
        <v>0.79249999999999998</v>
      </c>
      <c r="P20" s="61" t="s">
        <v>124</v>
      </c>
      <c r="Q20" s="61">
        <v>3.3</v>
      </c>
      <c r="R20" s="61">
        <v>4.7E-2</v>
      </c>
      <c r="S20" s="61">
        <v>3.5000000000000003E-2</v>
      </c>
      <c r="T20" s="61">
        <v>9.1705000000000005</v>
      </c>
      <c r="U20" s="61">
        <v>7.89</v>
      </c>
      <c r="V20" s="61">
        <v>2.7</v>
      </c>
      <c r="W20" s="61">
        <v>12.5</v>
      </c>
      <c r="X20" s="61">
        <v>15.214517916197266</v>
      </c>
      <c r="Y20" s="6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45505</v>
      </c>
      <c r="F21" s="45"/>
      <c r="G21" s="43" t="s">
        <v>37</v>
      </c>
      <c r="H21" s="72">
        <v>27.9</v>
      </c>
      <c r="I21" s="72">
        <v>7.73</v>
      </c>
      <c r="J21" s="72">
        <v>9.56</v>
      </c>
      <c r="K21" s="73">
        <v>214</v>
      </c>
      <c r="L21" s="59">
        <v>2.6480000000000001</v>
      </c>
      <c r="M21" s="60"/>
      <c r="N21" s="60">
        <v>5.2999999999999999E-2</v>
      </c>
      <c r="O21" s="60">
        <v>2.17</v>
      </c>
      <c r="P21" s="60" t="s">
        <v>124</v>
      </c>
      <c r="Q21" s="60">
        <v>3.4</v>
      </c>
      <c r="R21" s="60">
        <v>6.9000000000000006E-2</v>
      </c>
      <c r="S21" s="60">
        <v>0.06</v>
      </c>
      <c r="T21" s="60">
        <v>23.383499999999998</v>
      </c>
      <c r="U21" s="60">
        <v>9.74</v>
      </c>
      <c r="V21" s="60">
        <v>2.78</v>
      </c>
      <c r="W21" s="60">
        <v>19.600000000000001</v>
      </c>
      <c r="X21" s="60">
        <v>12.308926844573243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45505</v>
      </c>
      <c r="F22" s="45"/>
      <c r="G22" s="43" t="s">
        <v>37</v>
      </c>
      <c r="H22" s="72">
        <v>28.47</v>
      </c>
      <c r="I22" s="72">
        <v>7.7</v>
      </c>
      <c r="J22" s="72">
        <v>11.49</v>
      </c>
      <c r="K22" s="73">
        <v>215</v>
      </c>
      <c r="L22" s="59">
        <v>2.4630000000000001</v>
      </c>
      <c r="M22" s="60"/>
      <c r="N22" s="60">
        <v>2.1999999999999999E-2</v>
      </c>
      <c r="O22" s="60">
        <v>2.0415000000000001</v>
      </c>
      <c r="P22" s="60" t="s">
        <v>124</v>
      </c>
      <c r="Q22" s="60">
        <v>3.5</v>
      </c>
      <c r="R22" s="60">
        <v>7.0000000000000007E-2</v>
      </c>
      <c r="S22" s="60">
        <v>5.8000000000000003E-2</v>
      </c>
      <c r="T22" s="60">
        <v>23.64</v>
      </c>
      <c r="U22" s="60">
        <v>10.28</v>
      </c>
      <c r="V22" s="60">
        <v>3.69</v>
      </c>
      <c r="W22" s="60">
        <v>19.899999999999999</v>
      </c>
      <c r="X22" s="60">
        <v>12.589078109529861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45505</v>
      </c>
      <c r="F23" s="45"/>
      <c r="G23" s="43" t="s">
        <v>37</v>
      </c>
      <c r="H23" s="72">
        <v>27.02</v>
      </c>
      <c r="I23" s="72">
        <v>7.58</v>
      </c>
      <c r="J23" s="72">
        <v>10.56</v>
      </c>
      <c r="K23" s="73">
        <v>330</v>
      </c>
      <c r="L23" s="59">
        <v>4.5659999999999998</v>
      </c>
      <c r="M23" s="60"/>
      <c r="N23" s="60">
        <v>4.7E-2</v>
      </c>
      <c r="O23" s="60">
        <v>4.0984999999999996</v>
      </c>
      <c r="P23" s="60" t="s">
        <v>124</v>
      </c>
      <c r="Q23" s="60">
        <v>3</v>
      </c>
      <c r="R23" s="60">
        <v>2.4E-2</v>
      </c>
      <c r="S23" s="60">
        <v>8.9999999999999993E-3</v>
      </c>
      <c r="T23" s="60">
        <v>50.16</v>
      </c>
      <c r="U23" s="60">
        <v>10.36</v>
      </c>
      <c r="V23" s="60">
        <v>4.1100000000000003</v>
      </c>
      <c r="W23" s="60">
        <v>23.4</v>
      </c>
      <c r="X23" s="60">
        <v>11.413211776695743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45505</v>
      </c>
      <c r="F24" s="45"/>
      <c r="G24" s="43" t="s">
        <v>37</v>
      </c>
      <c r="H24" s="72">
        <v>25.77</v>
      </c>
      <c r="I24" s="72">
        <v>7.73</v>
      </c>
      <c r="J24" s="72">
        <v>9.8000000000000007</v>
      </c>
      <c r="K24" s="73">
        <v>375</v>
      </c>
      <c r="L24" s="59">
        <v>4.6909999999999998</v>
      </c>
      <c r="M24" s="71"/>
      <c r="N24" s="60">
        <v>8.7999999999999995E-2</v>
      </c>
      <c r="O24" s="60">
        <v>4.3185000000000002</v>
      </c>
      <c r="P24" s="60" t="s">
        <v>124</v>
      </c>
      <c r="Q24" s="60">
        <v>2.5</v>
      </c>
      <c r="R24" s="60">
        <v>4.7E-2</v>
      </c>
      <c r="S24" s="60">
        <v>3.1E-2</v>
      </c>
      <c r="T24" s="60">
        <v>39.164000000000001</v>
      </c>
      <c r="U24" s="60">
        <v>10.029999999999999</v>
      </c>
      <c r="V24" s="60">
        <v>4.93</v>
      </c>
      <c r="W24" s="60">
        <v>28.6</v>
      </c>
      <c r="X24" s="60">
        <v>11.076660320896547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45505</v>
      </c>
      <c r="F25" s="20"/>
      <c r="G25" s="18" t="s">
        <v>37</v>
      </c>
      <c r="H25" s="28">
        <v>27.5</v>
      </c>
      <c r="I25" s="28">
        <v>7.57</v>
      </c>
      <c r="J25" s="28">
        <v>7.16</v>
      </c>
      <c r="K25" s="74">
        <v>237.8</v>
      </c>
      <c r="L25" s="57">
        <v>0.92200000000000004</v>
      </c>
      <c r="M25" s="58"/>
      <c r="N25" s="58">
        <v>8.4000000000000005E-2</v>
      </c>
      <c r="O25" s="58">
        <v>0.626</v>
      </c>
      <c r="P25" s="58" t="s">
        <v>124</v>
      </c>
      <c r="Q25" s="58">
        <v>3</v>
      </c>
      <c r="R25" s="58">
        <v>2.7E-2</v>
      </c>
      <c r="S25" s="58">
        <v>1.6E-2</v>
      </c>
      <c r="T25" s="58">
        <v>8.3125</v>
      </c>
      <c r="U25" s="58">
        <v>7.62</v>
      </c>
      <c r="V25" s="58">
        <v>1.76</v>
      </c>
      <c r="W25" s="58">
        <v>20.399999999999999</v>
      </c>
      <c r="X25" s="58">
        <v>15.598087430779284</v>
      </c>
      <c r="Y25" s="69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45505</v>
      </c>
      <c r="F26" s="23"/>
      <c r="G26" s="18" t="s">
        <v>37</v>
      </c>
      <c r="H26" s="28">
        <v>28.9</v>
      </c>
      <c r="I26" s="28">
        <v>7.29</v>
      </c>
      <c r="J26" s="28">
        <v>6.26</v>
      </c>
      <c r="K26" s="74">
        <v>139.30000000000001</v>
      </c>
      <c r="L26" s="57">
        <v>0.95099999999999996</v>
      </c>
      <c r="M26" s="55"/>
      <c r="N26" s="55">
        <v>7.2999999999999995E-2</v>
      </c>
      <c r="O26" s="55">
        <v>0.64400000000000002</v>
      </c>
      <c r="P26" s="55" t="s">
        <v>124</v>
      </c>
      <c r="Q26" s="55">
        <v>3</v>
      </c>
      <c r="R26" s="55">
        <v>8.1000000000000003E-2</v>
      </c>
      <c r="S26" s="55">
        <v>7.5999999999999998E-2</v>
      </c>
      <c r="T26" s="55">
        <v>8.9124999999999996</v>
      </c>
      <c r="U26" s="55">
        <v>10.94</v>
      </c>
      <c r="V26" s="55">
        <v>3.94</v>
      </c>
      <c r="W26" s="55">
        <v>11.2</v>
      </c>
      <c r="X26" s="55">
        <v>17.738500668438796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45505</v>
      </c>
      <c r="F27" s="23"/>
      <c r="G27" s="18" t="s">
        <v>37</v>
      </c>
      <c r="H27" s="75">
        <v>29.5</v>
      </c>
      <c r="I27" s="75">
        <v>7.39</v>
      </c>
      <c r="J27" s="75">
        <v>7.1</v>
      </c>
      <c r="K27" s="77">
        <v>147</v>
      </c>
      <c r="L27" s="57">
        <v>0.96899999999999997</v>
      </c>
      <c r="M27" s="55"/>
      <c r="N27" s="55">
        <v>5.1999999999999998E-2</v>
      </c>
      <c r="O27" s="55">
        <v>0.64200000000000002</v>
      </c>
      <c r="P27" s="55" t="s">
        <v>124</v>
      </c>
      <c r="Q27" s="55">
        <v>3.1</v>
      </c>
      <c r="R27" s="55">
        <v>6.6000000000000003E-2</v>
      </c>
      <c r="S27" s="55">
        <v>5.7000000000000002E-2</v>
      </c>
      <c r="T27" s="55">
        <v>9.407</v>
      </c>
      <c r="U27" s="55">
        <v>8.89</v>
      </c>
      <c r="V27" s="55">
        <v>2.56</v>
      </c>
      <c r="W27" s="55">
        <v>15.3</v>
      </c>
      <c r="X27" s="55">
        <v>15.572651866179566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45505</v>
      </c>
      <c r="F28" s="20"/>
      <c r="G28" s="18" t="s">
        <v>19</v>
      </c>
      <c r="H28" s="28">
        <v>29.5</v>
      </c>
      <c r="I28" s="28">
        <v>7.31</v>
      </c>
      <c r="J28" s="28">
        <v>7.23</v>
      </c>
      <c r="K28" s="74">
        <v>152.4</v>
      </c>
      <c r="L28" s="57">
        <v>0.95499999999999996</v>
      </c>
      <c r="M28" s="54"/>
      <c r="N28" s="54">
        <v>3.4000000000000002E-2</v>
      </c>
      <c r="O28" s="54">
        <v>0.65</v>
      </c>
      <c r="P28" s="54" t="s">
        <v>124</v>
      </c>
      <c r="Q28" s="54">
        <v>3.5</v>
      </c>
      <c r="R28" s="54">
        <v>6.9000000000000006E-2</v>
      </c>
      <c r="S28" s="54">
        <v>0.06</v>
      </c>
      <c r="T28" s="54">
        <v>9.5294999999999987</v>
      </c>
      <c r="U28" s="54">
        <v>9.6199999999999992</v>
      </c>
      <c r="V28" s="54">
        <v>2.5499999999999998</v>
      </c>
      <c r="W28" s="54">
        <v>14.6</v>
      </c>
      <c r="X28" s="54">
        <v>15.427783680287854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22"/>
  <sheetViews>
    <sheetView zoomScale="80" zoomScaleNormal="80" workbookViewId="0">
      <selection activeCell="E34" sqref="E34"/>
    </sheetView>
  </sheetViews>
  <sheetFormatPr defaultRowHeight="16.5"/>
  <cols>
    <col min="1" max="1" width="7.625" bestFit="1" customWidth="1"/>
    <col min="2" max="3" width="9.5" bestFit="1" customWidth="1"/>
    <col min="4" max="4" width="27.5" bestFit="1" customWidth="1"/>
    <col min="5" max="5" width="12.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09" t="s">
        <v>70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4" t="s">
        <v>55</v>
      </c>
      <c r="T4" s="4" t="s">
        <v>64</v>
      </c>
      <c r="U4" s="4" t="s">
        <v>77</v>
      </c>
      <c r="V4" s="4" t="s">
        <v>78</v>
      </c>
      <c r="W4" s="4" t="s">
        <v>131</v>
      </c>
      <c r="X4" s="10" t="s">
        <v>76</v>
      </c>
      <c r="Y4" s="118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45588</v>
      </c>
      <c r="F5" s="15"/>
      <c r="G5" s="13" t="s">
        <v>19</v>
      </c>
      <c r="H5" s="27">
        <v>15.1</v>
      </c>
      <c r="I5" s="27">
        <v>8.65</v>
      </c>
      <c r="J5" s="27">
        <v>10.7</v>
      </c>
      <c r="K5" s="76">
        <v>120</v>
      </c>
      <c r="L5" s="56">
        <v>2.6930000000000001</v>
      </c>
      <c r="M5" s="53"/>
      <c r="N5" s="53">
        <v>2.4E-2</v>
      </c>
      <c r="O5" s="53">
        <v>1.9605000000000001</v>
      </c>
      <c r="P5" s="53" t="s">
        <v>124</v>
      </c>
      <c r="Q5" s="53">
        <v>2.1</v>
      </c>
      <c r="R5" s="53">
        <v>4.2000000000000003E-2</v>
      </c>
      <c r="S5" s="53">
        <v>3.5999999999999997E-2</v>
      </c>
      <c r="T5" s="53">
        <v>11.442499999999999</v>
      </c>
      <c r="U5" s="53">
        <v>4.92</v>
      </c>
      <c r="V5" s="53">
        <v>0.5</v>
      </c>
      <c r="W5" s="79">
        <v>13.896890898994201</v>
      </c>
      <c r="X5" s="79">
        <v>12.540678624624269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45588</v>
      </c>
      <c r="F6" s="20"/>
      <c r="G6" s="18" t="s">
        <v>19</v>
      </c>
      <c r="H6" s="28">
        <v>15.57</v>
      </c>
      <c r="I6" s="28">
        <v>7.97</v>
      </c>
      <c r="J6" s="28">
        <v>10.35</v>
      </c>
      <c r="K6" s="74">
        <v>124</v>
      </c>
      <c r="L6" s="57">
        <v>3.1160000000000001</v>
      </c>
      <c r="M6" s="54"/>
      <c r="N6" s="54">
        <v>3.6999999999999998E-2</v>
      </c>
      <c r="O6" s="54">
        <v>2.2409999999999997</v>
      </c>
      <c r="P6" s="54" t="s">
        <v>124</v>
      </c>
      <c r="Q6" s="54">
        <v>2.2999999999999998</v>
      </c>
      <c r="R6" s="54">
        <v>5.0999999999999997E-2</v>
      </c>
      <c r="S6" s="54">
        <v>4.7E-2</v>
      </c>
      <c r="T6" s="54">
        <v>16.421500000000002</v>
      </c>
      <c r="U6" s="54">
        <v>7.29</v>
      </c>
      <c r="V6" s="54">
        <v>0.85</v>
      </c>
      <c r="W6" s="80">
        <v>14.478039120131999</v>
      </c>
      <c r="X6" s="80">
        <v>13.263877628320099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45588</v>
      </c>
      <c r="F7" s="20"/>
      <c r="G7" s="18" t="s">
        <v>19</v>
      </c>
      <c r="H7" s="28">
        <v>15.6</v>
      </c>
      <c r="I7" s="28">
        <v>7.85</v>
      </c>
      <c r="J7" s="28">
        <v>9.7200000000000006</v>
      </c>
      <c r="K7" s="74">
        <v>130</v>
      </c>
      <c r="L7" s="57">
        <v>3.2490000000000001</v>
      </c>
      <c r="M7" s="54"/>
      <c r="N7" s="54">
        <v>0.129</v>
      </c>
      <c r="O7" s="54">
        <v>2.2270000000000003</v>
      </c>
      <c r="P7" s="54" t="s">
        <v>124</v>
      </c>
      <c r="Q7" s="54">
        <v>2.4</v>
      </c>
      <c r="R7" s="54">
        <v>6.3E-2</v>
      </c>
      <c r="S7" s="54">
        <v>5.8999999999999997E-2</v>
      </c>
      <c r="T7" s="54">
        <v>14.895</v>
      </c>
      <c r="U7" s="58">
        <v>7.41</v>
      </c>
      <c r="V7" s="58">
        <v>0.24</v>
      </c>
      <c r="W7" s="81">
        <v>16.665627912642101</v>
      </c>
      <c r="X7" s="80">
        <v>12.047180254139146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45588</v>
      </c>
      <c r="F8" s="20"/>
      <c r="G8" s="18" t="s">
        <v>19</v>
      </c>
      <c r="H8" s="28">
        <v>16.11</v>
      </c>
      <c r="I8" s="28">
        <v>7.91</v>
      </c>
      <c r="J8" s="28">
        <v>8.7200000000000006</v>
      </c>
      <c r="K8" s="74">
        <v>136</v>
      </c>
      <c r="L8" s="57">
        <v>3.6030000000000002</v>
      </c>
      <c r="M8" s="54"/>
      <c r="N8" s="54">
        <v>0.52500000000000002</v>
      </c>
      <c r="O8" s="54">
        <v>2.0324999999999998</v>
      </c>
      <c r="P8" s="54" t="s">
        <v>124</v>
      </c>
      <c r="Q8" s="54">
        <v>3</v>
      </c>
      <c r="R8" s="54">
        <v>8.5000000000000006E-2</v>
      </c>
      <c r="S8" s="54">
        <v>7.9000000000000001E-2</v>
      </c>
      <c r="T8" s="54">
        <v>15.514500000000002</v>
      </c>
      <c r="U8" s="55">
        <v>6.89</v>
      </c>
      <c r="V8" s="55">
        <v>7.0000000000000007E-2</v>
      </c>
      <c r="W8" s="82">
        <v>15.4111817894751</v>
      </c>
      <c r="X8" s="82">
        <v>11.63328511248679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45588</v>
      </c>
      <c r="F9" s="45"/>
      <c r="G9" s="43" t="s">
        <v>19</v>
      </c>
      <c r="H9" s="72">
        <v>18</v>
      </c>
      <c r="I9" s="72">
        <v>7.41</v>
      </c>
      <c r="J9" s="72">
        <v>9.25</v>
      </c>
      <c r="K9" s="73">
        <v>144</v>
      </c>
      <c r="L9" s="59">
        <v>2.1989999999999998</v>
      </c>
      <c r="M9" s="60"/>
      <c r="N9" s="60">
        <v>2.9000000000000001E-2</v>
      </c>
      <c r="O9" s="61">
        <v>1.4805000000000001</v>
      </c>
      <c r="P9" s="61" t="s">
        <v>124</v>
      </c>
      <c r="Q9" s="61">
        <v>3.6</v>
      </c>
      <c r="R9" s="61">
        <v>3.2000000000000001E-2</v>
      </c>
      <c r="S9" s="61">
        <v>2.1000000000000001E-2</v>
      </c>
      <c r="T9" s="61">
        <v>10.387</v>
      </c>
      <c r="U9" s="61">
        <v>2.44</v>
      </c>
      <c r="V9" s="61">
        <v>2.2599999999999998</v>
      </c>
      <c r="W9" s="81">
        <v>12.478927183639099</v>
      </c>
      <c r="X9" s="81">
        <v>16.835534129674812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45588</v>
      </c>
      <c r="F10" s="45"/>
      <c r="G10" s="43" t="s">
        <v>19</v>
      </c>
      <c r="H10" s="72">
        <v>18.100000000000001</v>
      </c>
      <c r="I10" s="72">
        <v>7.22</v>
      </c>
      <c r="J10" s="72">
        <v>8.94</v>
      </c>
      <c r="K10" s="73">
        <v>224</v>
      </c>
      <c r="L10" s="59">
        <v>2.7429999999999999</v>
      </c>
      <c r="M10" s="60"/>
      <c r="N10" s="60">
        <v>0.318</v>
      </c>
      <c r="O10" s="60">
        <v>1.333</v>
      </c>
      <c r="P10" s="60" t="s">
        <v>124</v>
      </c>
      <c r="Q10" s="60">
        <v>5.8</v>
      </c>
      <c r="R10" s="60">
        <v>0.151</v>
      </c>
      <c r="S10" s="60">
        <v>0.14799999999999999</v>
      </c>
      <c r="T10" s="60">
        <v>16.0565</v>
      </c>
      <c r="U10" s="60">
        <v>6.62</v>
      </c>
      <c r="V10" s="60">
        <v>1.68</v>
      </c>
      <c r="W10" s="80">
        <v>19.8380222359106</v>
      </c>
      <c r="X10" s="80">
        <v>10.807556523547534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45588</v>
      </c>
      <c r="F11" s="45"/>
      <c r="G11" s="43" t="s">
        <v>19</v>
      </c>
      <c r="H11" s="72">
        <v>18.399999999999999</v>
      </c>
      <c r="I11" s="72">
        <v>7.35</v>
      </c>
      <c r="J11" s="72">
        <v>8.35</v>
      </c>
      <c r="K11" s="73">
        <v>250.6</v>
      </c>
      <c r="L11" s="59">
        <v>3.7330000000000001</v>
      </c>
      <c r="M11" s="60"/>
      <c r="N11" s="60">
        <v>0.95799999999999996</v>
      </c>
      <c r="O11" s="60">
        <v>1.5205</v>
      </c>
      <c r="P11" s="60" t="s">
        <v>124</v>
      </c>
      <c r="Q11" s="60">
        <v>6.3</v>
      </c>
      <c r="R11" s="60">
        <v>0.36799999999999999</v>
      </c>
      <c r="S11" s="60">
        <v>0.36299999999999999</v>
      </c>
      <c r="T11" s="60">
        <v>17.060000000000002</v>
      </c>
      <c r="U11" s="60">
        <v>6.79</v>
      </c>
      <c r="V11" s="60">
        <v>0.95</v>
      </c>
      <c r="W11" s="80">
        <v>21.872443846139799</v>
      </c>
      <c r="X11" s="80">
        <v>10.733127034739054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45588</v>
      </c>
      <c r="F12" s="45"/>
      <c r="G12" s="43" t="s">
        <v>19</v>
      </c>
      <c r="H12" s="72">
        <v>17.600000000000001</v>
      </c>
      <c r="I12" s="72">
        <v>7.45</v>
      </c>
      <c r="J12" s="72">
        <v>8</v>
      </c>
      <c r="K12" s="73">
        <v>628</v>
      </c>
      <c r="L12" s="59">
        <v>22.818999999999999</v>
      </c>
      <c r="M12" s="60"/>
      <c r="N12" s="60">
        <v>19.853000000000002</v>
      </c>
      <c r="O12" s="60">
        <v>0.91850000000000009</v>
      </c>
      <c r="P12" s="60" t="s">
        <v>124</v>
      </c>
      <c r="Q12" s="60">
        <v>16.600000000000001</v>
      </c>
      <c r="R12" s="60">
        <v>5.3639999999999999</v>
      </c>
      <c r="S12" s="60">
        <v>5.3250000000000002</v>
      </c>
      <c r="T12" s="60">
        <v>36.055499999999995</v>
      </c>
      <c r="U12" s="60">
        <v>10.32</v>
      </c>
      <c r="V12" s="60">
        <v>4.21</v>
      </c>
      <c r="W12" s="80">
        <v>41.067101062067003</v>
      </c>
      <c r="X12" s="80">
        <v>11.005440024430158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45588</v>
      </c>
      <c r="F13" s="45"/>
      <c r="G13" s="43" t="s">
        <v>19</v>
      </c>
      <c r="H13" s="72">
        <v>18.899999999999999</v>
      </c>
      <c r="I13" s="72">
        <v>7.3</v>
      </c>
      <c r="J13" s="72">
        <v>7.29</v>
      </c>
      <c r="K13" s="73">
        <v>382.4</v>
      </c>
      <c r="L13" s="59">
        <v>10.385</v>
      </c>
      <c r="M13" s="60"/>
      <c r="N13" s="60">
        <v>5.8640000000000008</v>
      </c>
      <c r="O13" s="60">
        <v>2.3380000000000001</v>
      </c>
      <c r="P13" s="60" t="s">
        <v>124</v>
      </c>
      <c r="Q13" s="60">
        <v>10.4</v>
      </c>
      <c r="R13" s="60">
        <v>1.9510000000000001</v>
      </c>
      <c r="S13" s="60">
        <v>1.948</v>
      </c>
      <c r="T13" s="60">
        <v>24.9405</v>
      </c>
      <c r="U13" s="62">
        <v>6.19</v>
      </c>
      <c r="V13" s="62">
        <v>-0.22</v>
      </c>
      <c r="W13" s="82">
        <v>30.251724412158602</v>
      </c>
      <c r="X13" s="82">
        <v>10.766736109423746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45588</v>
      </c>
      <c r="F14" s="20"/>
      <c r="G14" s="18" t="s">
        <v>19</v>
      </c>
      <c r="H14" s="28">
        <v>18.75</v>
      </c>
      <c r="I14" s="28">
        <v>8.0399999999999991</v>
      </c>
      <c r="J14" s="28">
        <v>8.4</v>
      </c>
      <c r="K14" s="74">
        <v>162.1</v>
      </c>
      <c r="L14" s="57">
        <v>2.5569999999999999</v>
      </c>
      <c r="M14" s="54"/>
      <c r="N14" s="54">
        <v>8.3000000000000004E-2</v>
      </c>
      <c r="O14" s="58">
        <v>1.6985000000000001</v>
      </c>
      <c r="P14" s="58" t="s">
        <v>124</v>
      </c>
      <c r="Q14" s="58">
        <v>3.6</v>
      </c>
      <c r="R14" s="58">
        <v>0.109</v>
      </c>
      <c r="S14" s="58">
        <v>0.10199999999999999</v>
      </c>
      <c r="T14" s="58">
        <v>7.942499999999999</v>
      </c>
      <c r="U14" s="58">
        <v>4.51</v>
      </c>
      <c r="V14" s="58">
        <v>-0.12</v>
      </c>
      <c r="W14" s="81">
        <v>13.9363082505633</v>
      </c>
      <c r="X14" s="81">
        <v>13.179953300936075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45588</v>
      </c>
      <c r="F15" s="20"/>
      <c r="G15" s="18" t="s">
        <v>19</v>
      </c>
      <c r="H15" s="28">
        <v>18.510000000000002</v>
      </c>
      <c r="I15" s="28">
        <v>7.53</v>
      </c>
      <c r="J15" s="28">
        <v>9.2100000000000009</v>
      </c>
      <c r="K15" s="74">
        <v>129.69999999999999</v>
      </c>
      <c r="L15" s="57">
        <v>2.4590000000000001</v>
      </c>
      <c r="M15" s="54"/>
      <c r="N15" s="54">
        <v>7.9000000000000001E-2</v>
      </c>
      <c r="O15" s="54">
        <v>1.645</v>
      </c>
      <c r="P15" s="54" t="s">
        <v>124</v>
      </c>
      <c r="Q15" s="54">
        <v>3.8</v>
      </c>
      <c r="R15" s="54">
        <v>9.4E-2</v>
      </c>
      <c r="S15" s="54">
        <v>9.0999999999999998E-2</v>
      </c>
      <c r="T15" s="54">
        <v>6.9145000000000003</v>
      </c>
      <c r="U15" s="54">
        <v>4.25</v>
      </c>
      <c r="V15" s="54">
        <v>-0.15</v>
      </c>
      <c r="W15" s="80">
        <v>13.131399058966799</v>
      </c>
      <c r="X15" s="80">
        <v>12.963878245020599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45588</v>
      </c>
      <c r="F16" s="20"/>
      <c r="G16" s="18" t="s">
        <v>19</v>
      </c>
      <c r="H16" s="28">
        <v>18.54</v>
      </c>
      <c r="I16" s="28">
        <v>7.41</v>
      </c>
      <c r="J16" s="28">
        <v>9.1</v>
      </c>
      <c r="K16" s="74">
        <v>129.19999999999999</v>
      </c>
      <c r="L16" s="57">
        <v>2.512</v>
      </c>
      <c r="M16" s="54"/>
      <c r="N16" s="54">
        <v>8.1000000000000003E-2</v>
      </c>
      <c r="O16" s="54">
        <v>1.6515</v>
      </c>
      <c r="P16" s="54" t="s">
        <v>124</v>
      </c>
      <c r="Q16" s="54">
        <v>3.9</v>
      </c>
      <c r="R16" s="54">
        <v>0.104</v>
      </c>
      <c r="S16" s="54">
        <v>0.1</v>
      </c>
      <c r="T16" s="54">
        <v>7.3150000000000004</v>
      </c>
      <c r="U16" s="54">
        <v>4.5199999999999996</v>
      </c>
      <c r="V16" s="54">
        <v>0.03</v>
      </c>
      <c r="W16" s="80">
        <v>13.296192473170199</v>
      </c>
      <c r="X16" s="80">
        <v>12.545742995491826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45588</v>
      </c>
      <c r="F17" s="20"/>
      <c r="G17" s="18" t="s">
        <v>37</v>
      </c>
      <c r="H17" s="28">
        <v>18.12</v>
      </c>
      <c r="I17" s="28">
        <v>7.5</v>
      </c>
      <c r="J17" s="28">
        <v>8.5500000000000007</v>
      </c>
      <c r="K17" s="74">
        <v>178.2</v>
      </c>
      <c r="L17" s="57">
        <v>3.1709999999999998</v>
      </c>
      <c r="M17" s="54"/>
      <c r="N17" s="54">
        <v>4.2000000000000003E-2</v>
      </c>
      <c r="O17" s="54">
        <v>2.2839999999999998</v>
      </c>
      <c r="P17" s="54" t="s">
        <v>124</v>
      </c>
      <c r="Q17" s="54">
        <v>3.4</v>
      </c>
      <c r="R17" s="54">
        <v>5.7000000000000002E-2</v>
      </c>
      <c r="S17" s="54">
        <v>5.2999999999999999E-2</v>
      </c>
      <c r="T17" s="54">
        <v>8.702</v>
      </c>
      <c r="U17" s="54">
        <v>6.03</v>
      </c>
      <c r="V17" s="54">
        <v>2.27</v>
      </c>
      <c r="W17" s="80">
        <v>14.416243499966001</v>
      </c>
      <c r="X17" s="80">
        <v>18.021246428732596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45588</v>
      </c>
      <c r="F18" s="20"/>
      <c r="G18" s="18" t="s">
        <v>37</v>
      </c>
      <c r="H18" s="28">
        <v>19.21</v>
      </c>
      <c r="I18" s="28">
        <v>7.39</v>
      </c>
      <c r="J18" s="28">
        <v>8.67</v>
      </c>
      <c r="K18" s="74">
        <v>210.6</v>
      </c>
      <c r="L18" s="57">
        <v>2.7530000000000001</v>
      </c>
      <c r="M18" s="54"/>
      <c r="N18" s="54">
        <v>0.14599999999999999</v>
      </c>
      <c r="O18" s="54">
        <v>1.7270000000000001</v>
      </c>
      <c r="P18" s="54" t="s">
        <v>124</v>
      </c>
      <c r="Q18" s="54">
        <v>4.3</v>
      </c>
      <c r="R18" s="54">
        <v>0.104</v>
      </c>
      <c r="S18" s="54">
        <v>0.10199999999999999</v>
      </c>
      <c r="T18" s="54">
        <v>23.999499999999998</v>
      </c>
      <c r="U18" s="54">
        <v>7.46</v>
      </c>
      <c r="V18" s="54">
        <v>1.76</v>
      </c>
      <c r="W18" s="80">
        <v>19.719071532803198</v>
      </c>
      <c r="X18" s="80">
        <v>10.180838082554878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45588</v>
      </c>
      <c r="F19" s="20"/>
      <c r="G19" s="18" t="s">
        <v>37</v>
      </c>
      <c r="H19" s="28">
        <v>17.829999999999998</v>
      </c>
      <c r="I19" s="28">
        <v>7.41</v>
      </c>
      <c r="J19" s="28">
        <v>8.3000000000000007</v>
      </c>
      <c r="K19" s="74">
        <v>163.6</v>
      </c>
      <c r="L19" s="57">
        <v>3.0859999999999999</v>
      </c>
      <c r="M19" s="54"/>
      <c r="N19" s="54">
        <v>4.7E-2</v>
      </c>
      <c r="O19" s="54">
        <v>2.1865000000000001</v>
      </c>
      <c r="P19" s="54" t="s">
        <v>124</v>
      </c>
      <c r="Q19" s="54">
        <v>3.7</v>
      </c>
      <c r="R19" s="54">
        <v>8.4000000000000005E-2</v>
      </c>
      <c r="S19" s="54">
        <v>8.2000000000000003E-2</v>
      </c>
      <c r="T19" s="54">
        <v>8.6959999999999997</v>
      </c>
      <c r="U19" s="55">
        <v>6.17</v>
      </c>
      <c r="V19" s="55">
        <v>3.08</v>
      </c>
      <c r="W19" s="82">
        <v>14.7076795328604</v>
      </c>
      <c r="X19" s="82">
        <v>17.150613858736342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45588</v>
      </c>
      <c r="F20" s="45"/>
      <c r="G20" s="43" t="s">
        <v>37</v>
      </c>
      <c r="H20" s="72">
        <v>18.39</v>
      </c>
      <c r="I20" s="72">
        <v>7.21</v>
      </c>
      <c r="J20" s="72">
        <v>9.02</v>
      </c>
      <c r="K20" s="73">
        <v>190.6</v>
      </c>
      <c r="L20" s="59">
        <v>1.8859999999999999</v>
      </c>
      <c r="M20" s="60"/>
      <c r="N20" s="60">
        <v>0.13500000000000001</v>
      </c>
      <c r="O20" s="61">
        <v>1.0305</v>
      </c>
      <c r="P20" s="61" t="s">
        <v>124</v>
      </c>
      <c r="Q20" s="61">
        <v>5.6</v>
      </c>
      <c r="R20" s="61">
        <v>9.7000000000000003E-2</v>
      </c>
      <c r="S20" s="61">
        <v>8.5999999999999993E-2</v>
      </c>
      <c r="T20" s="61">
        <v>10.555499999999999</v>
      </c>
      <c r="U20" s="61">
        <v>7.54</v>
      </c>
      <c r="V20" s="61">
        <v>2.2400000000000002</v>
      </c>
      <c r="W20" s="81">
        <v>20.4383980390277</v>
      </c>
      <c r="X20" s="81">
        <v>11.234785168073468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45588</v>
      </c>
      <c r="F21" s="45"/>
      <c r="G21" s="43" t="s">
        <v>37</v>
      </c>
      <c r="H21" s="72">
        <v>19.93</v>
      </c>
      <c r="I21" s="72">
        <v>7.7</v>
      </c>
      <c r="J21" s="72">
        <v>255.4</v>
      </c>
      <c r="K21" s="73">
        <v>9.01</v>
      </c>
      <c r="L21" s="59">
        <v>2.83</v>
      </c>
      <c r="M21" s="60"/>
      <c r="N21" s="60">
        <v>0.10100000000000001</v>
      </c>
      <c r="O21" s="60">
        <v>1.7450000000000001</v>
      </c>
      <c r="P21" s="60" t="s">
        <v>124</v>
      </c>
      <c r="Q21" s="60">
        <v>5.3</v>
      </c>
      <c r="R21" s="60">
        <v>0.105</v>
      </c>
      <c r="S21" s="60">
        <v>9.6000000000000002E-2</v>
      </c>
      <c r="T21" s="60">
        <v>22.067</v>
      </c>
      <c r="U21" s="60">
        <v>9.83</v>
      </c>
      <c r="V21" s="60">
        <v>3.15</v>
      </c>
      <c r="W21" s="80">
        <v>24.9304068138484</v>
      </c>
      <c r="X21" s="80">
        <v>10.542530191905319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45588</v>
      </c>
      <c r="F22" s="45"/>
      <c r="G22" s="43" t="s">
        <v>37</v>
      </c>
      <c r="H22" s="72">
        <v>18.97</v>
      </c>
      <c r="I22" s="72">
        <v>7.69</v>
      </c>
      <c r="J22" s="72">
        <v>8.99</v>
      </c>
      <c r="K22" s="73">
        <v>234.7</v>
      </c>
      <c r="L22" s="59">
        <v>2.6110000000000002</v>
      </c>
      <c r="M22" s="60"/>
      <c r="N22" s="60">
        <v>0.106</v>
      </c>
      <c r="O22" s="60">
        <v>1.5609999999999999</v>
      </c>
      <c r="P22" s="60" t="s">
        <v>124</v>
      </c>
      <c r="Q22" s="60">
        <v>5.7</v>
      </c>
      <c r="R22" s="60">
        <v>0.13700000000000001</v>
      </c>
      <c r="S22" s="60">
        <v>0.129</v>
      </c>
      <c r="T22" s="60">
        <v>20.6435</v>
      </c>
      <c r="U22" s="60">
        <v>9.56</v>
      </c>
      <c r="V22" s="60">
        <v>3.01</v>
      </c>
      <c r="W22" s="80">
        <v>25.022152480684799</v>
      </c>
      <c r="X22" s="80">
        <v>10.068759635196821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45588</v>
      </c>
      <c r="F23" s="45"/>
      <c r="G23" s="43" t="s">
        <v>37</v>
      </c>
      <c r="H23" s="72">
        <v>20.81</v>
      </c>
      <c r="I23" s="72">
        <v>7.62</v>
      </c>
      <c r="J23" s="72">
        <v>8.7799999999999994</v>
      </c>
      <c r="K23" s="73">
        <v>320</v>
      </c>
      <c r="L23" s="59">
        <v>3.3330000000000002</v>
      </c>
      <c r="M23" s="60"/>
      <c r="N23" s="60">
        <v>6.7000000000000004E-2</v>
      </c>
      <c r="O23" s="60">
        <v>2.1850000000000001</v>
      </c>
      <c r="P23" s="60" t="s">
        <v>124</v>
      </c>
      <c r="Q23" s="60">
        <v>3.9</v>
      </c>
      <c r="R23" s="60">
        <v>5.2999999999999999E-2</v>
      </c>
      <c r="S23" s="60">
        <v>4.5999999999999999E-2</v>
      </c>
      <c r="T23" s="60">
        <v>31.6935</v>
      </c>
      <c r="U23" s="60">
        <v>11.13</v>
      </c>
      <c r="V23" s="60">
        <v>3.91</v>
      </c>
      <c r="W23" s="80">
        <v>25.077982302351799</v>
      </c>
      <c r="X23" s="80">
        <v>11.303881480634658</v>
      </c>
      <c r="Y23" s="48"/>
    </row>
    <row r="24" spans="1:25" s="7" customFormat="1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45588</v>
      </c>
      <c r="F24" s="45"/>
      <c r="G24" s="43" t="s">
        <v>37</v>
      </c>
      <c r="H24" s="72">
        <v>18.41</v>
      </c>
      <c r="I24" s="72">
        <v>7.35</v>
      </c>
      <c r="J24" s="72">
        <v>9.0500000000000007</v>
      </c>
      <c r="K24" s="73">
        <v>300.7</v>
      </c>
      <c r="L24" s="59">
        <v>2.641</v>
      </c>
      <c r="M24" s="60"/>
      <c r="N24" s="60">
        <v>0.115</v>
      </c>
      <c r="O24" s="60">
        <v>1.6564999999999999</v>
      </c>
      <c r="P24" s="60" t="s">
        <v>124</v>
      </c>
      <c r="Q24" s="60">
        <v>4.3</v>
      </c>
      <c r="R24" s="60">
        <v>8.2000000000000003E-2</v>
      </c>
      <c r="S24" s="60">
        <v>7.5999999999999998E-2</v>
      </c>
      <c r="T24" s="60">
        <v>31.116499999999998</v>
      </c>
      <c r="U24" s="62">
        <v>9.23</v>
      </c>
      <c r="V24" s="62">
        <v>4.6900000000000004</v>
      </c>
      <c r="W24" s="83">
        <v>24.9451619893808</v>
      </c>
      <c r="X24" s="83">
        <v>10.464918431610126</v>
      </c>
      <c r="Y24" s="7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45588</v>
      </c>
      <c r="F25" s="20"/>
      <c r="G25" s="18" t="s">
        <v>37</v>
      </c>
      <c r="H25" s="28">
        <v>18.399999999999999</v>
      </c>
      <c r="I25" s="28">
        <v>7.91</v>
      </c>
      <c r="J25" s="28">
        <v>8.93</v>
      </c>
      <c r="K25" s="74">
        <v>181</v>
      </c>
      <c r="L25" s="57">
        <v>2.6739999999999999</v>
      </c>
      <c r="M25" s="54"/>
      <c r="N25" s="54">
        <v>7.9000000000000001E-2</v>
      </c>
      <c r="O25" s="58">
        <v>1.871</v>
      </c>
      <c r="P25" s="58" t="s">
        <v>124</v>
      </c>
      <c r="Q25" s="58">
        <v>3.2</v>
      </c>
      <c r="R25" s="58">
        <v>2.9000000000000001E-2</v>
      </c>
      <c r="S25" s="58">
        <v>2.1000000000000001E-2</v>
      </c>
      <c r="T25" s="58">
        <v>7.4284999999999997</v>
      </c>
      <c r="U25" s="58">
        <v>3.22</v>
      </c>
      <c r="V25" s="58">
        <v>0.83</v>
      </c>
      <c r="W25" s="81">
        <v>12.410130218106501</v>
      </c>
      <c r="X25" s="81">
        <v>17.705643726059094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45588</v>
      </c>
      <c r="F26" s="23"/>
      <c r="G26" s="18" t="s">
        <v>37</v>
      </c>
      <c r="H26" s="28">
        <v>18.3</v>
      </c>
      <c r="I26" s="28">
        <v>7.51</v>
      </c>
      <c r="J26" s="28">
        <v>8.6</v>
      </c>
      <c r="K26" s="74">
        <v>185.4</v>
      </c>
      <c r="L26" s="57">
        <v>2.778</v>
      </c>
      <c r="M26" s="55"/>
      <c r="N26" s="55">
        <v>0.115</v>
      </c>
      <c r="O26" s="55">
        <v>1.7544999999999999</v>
      </c>
      <c r="P26" s="55" t="s">
        <v>124</v>
      </c>
      <c r="Q26" s="55">
        <v>4.9000000000000004</v>
      </c>
      <c r="R26" s="55">
        <v>0.14899999999999999</v>
      </c>
      <c r="S26" s="55">
        <v>0.14000000000000001</v>
      </c>
      <c r="T26" s="55">
        <v>9.4600000000000009</v>
      </c>
      <c r="U26" s="55">
        <v>6.15</v>
      </c>
      <c r="V26" s="55">
        <v>0.99</v>
      </c>
      <c r="W26" s="82">
        <v>19.3256304546188</v>
      </c>
      <c r="X26" s="82">
        <v>10.233065857295609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45588</v>
      </c>
      <c r="F27" s="23"/>
      <c r="G27" s="18" t="s">
        <v>37</v>
      </c>
      <c r="H27" s="75">
        <v>18.3</v>
      </c>
      <c r="I27" s="75">
        <v>7.37</v>
      </c>
      <c r="J27" s="75">
        <v>8.8699999999999992</v>
      </c>
      <c r="K27" s="77">
        <v>183.8</v>
      </c>
      <c r="L27" s="57">
        <v>2.66</v>
      </c>
      <c r="M27" s="55"/>
      <c r="N27" s="55">
        <v>0.113</v>
      </c>
      <c r="O27" s="54">
        <v>1.6604999999999999</v>
      </c>
      <c r="P27" s="54" t="s">
        <v>124</v>
      </c>
      <c r="Q27" s="54">
        <v>5.2</v>
      </c>
      <c r="R27" s="54">
        <v>0.155</v>
      </c>
      <c r="S27" s="54">
        <v>0.14299999999999999</v>
      </c>
      <c r="T27" s="54">
        <v>9.8264999999999993</v>
      </c>
      <c r="U27" s="55">
        <v>6.28</v>
      </c>
      <c r="V27" s="55">
        <v>0.74</v>
      </c>
      <c r="W27" s="82">
        <v>21.072021411688301</v>
      </c>
      <c r="X27" s="82">
        <v>9.538197315477948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45588</v>
      </c>
      <c r="F28" s="20"/>
      <c r="G28" s="18" t="s">
        <v>19</v>
      </c>
      <c r="H28" s="28">
        <v>18.399999999999999</v>
      </c>
      <c r="I28" s="28">
        <v>7.3</v>
      </c>
      <c r="J28" s="28">
        <v>8.7100000000000009</v>
      </c>
      <c r="K28" s="74">
        <v>188.2</v>
      </c>
      <c r="L28" s="57">
        <v>2.65</v>
      </c>
      <c r="M28" s="54"/>
      <c r="N28" s="54">
        <v>9.7000000000000003E-2</v>
      </c>
      <c r="O28" s="54">
        <v>1.6549999999999998</v>
      </c>
      <c r="P28" s="54" t="s">
        <v>124</v>
      </c>
      <c r="Q28" s="54">
        <v>5.2</v>
      </c>
      <c r="R28" s="54">
        <v>0.16600000000000001</v>
      </c>
      <c r="S28" s="54">
        <v>0.155</v>
      </c>
      <c r="T28" s="54">
        <v>10.079000000000001</v>
      </c>
      <c r="U28" s="54">
        <v>6.47</v>
      </c>
      <c r="V28" s="54">
        <v>0.7</v>
      </c>
      <c r="W28" s="80">
        <v>21.213029806404801</v>
      </c>
      <c r="X28" s="80">
        <v>9.3239794663101954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18"/>
  <sheetViews>
    <sheetView zoomScale="80" zoomScaleNormal="80" workbookViewId="0">
      <selection activeCell="G33" sqref="G33"/>
    </sheetView>
  </sheetViews>
  <sheetFormatPr defaultRowHeight="16.5"/>
  <cols>
    <col min="1" max="1" width="7.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09" t="s">
        <v>71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18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45554</v>
      </c>
      <c r="F5" s="15"/>
      <c r="G5" s="13" t="s">
        <v>19</v>
      </c>
      <c r="H5" s="27">
        <v>29.1</v>
      </c>
      <c r="I5" s="27">
        <v>7.79</v>
      </c>
      <c r="J5" s="27">
        <v>7.41</v>
      </c>
      <c r="K5" s="76">
        <v>213</v>
      </c>
      <c r="L5" s="56"/>
      <c r="M5" s="53"/>
      <c r="N5" s="53"/>
      <c r="O5" s="53">
        <v>0.79800000000000004</v>
      </c>
      <c r="P5" s="53"/>
      <c r="Q5" s="53"/>
      <c r="R5" s="53"/>
      <c r="S5" s="53"/>
      <c r="T5" s="53">
        <v>19.614999999999998</v>
      </c>
      <c r="U5" s="53">
        <v>8.39</v>
      </c>
      <c r="V5" s="53">
        <v>-1.28</v>
      </c>
      <c r="W5" s="84">
        <v>27.662456528967201</v>
      </c>
      <c r="X5" s="84">
        <v>4.8610379223890661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45554</v>
      </c>
      <c r="F6" s="20"/>
      <c r="G6" s="18" t="s">
        <v>19</v>
      </c>
      <c r="H6" s="28">
        <v>31.1</v>
      </c>
      <c r="I6" s="28">
        <v>8.2100000000000009</v>
      </c>
      <c r="J6" s="28">
        <v>8.58</v>
      </c>
      <c r="K6" s="74">
        <v>364</v>
      </c>
      <c r="L6" s="57"/>
      <c r="M6" s="54"/>
      <c r="N6" s="54"/>
      <c r="O6" s="54">
        <v>4.1859999999999999</v>
      </c>
      <c r="P6" s="54"/>
      <c r="Q6" s="54"/>
      <c r="R6" s="54"/>
      <c r="S6" s="54"/>
      <c r="T6" s="54">
        <v>42.957000000000001</v>
      </c>
      <c r="U6" s="54">
        <v>13.52</v>
      </c>
      <c r="V6" s="54">
        <v>-2.37</v>
      </c>
      <c r="W6" s="85">
        <v>24.7672766162591</v>
      </c>
      <c r="X6" s="85">
        <v>9.7239065437712533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45554</v>
      </c>
      <c r="F7" s="20"/>
      <c r="G7" s="18" t="s">
        <v>19</v>
      </c>
      <c r="H7" s="28">
        <v>32.799999999999997</v>
      </c>
      <c r="I7" s="28">
        <v>8.0500000000000007</v>
      </c>
      <c r="J7" s="28">
        <v>8.2899999999999991</v>
      </c>
      <c r="K7" s="74">
        <v>391</v>
      </c>
      <c r="L7" s="57"/>
      <c r="M7" s="54"/>
      <c r="N7" s="54"/>
      <c r="O7" s="54">
        <v>3.1080000000000001</v>
      </c>
      <c r="P7" s="54"/>
      <c r="Q7" s="54"/>
      <c r="R7" s="54"/>
      <c r="S7" s="54"/>
      <c r="T7" s="54">
        <v>47.884</v>
      </c>
      <c r="U7" s="58">
        <v>14.02</v>
      </c>
      <c r="V7" s="58">
        <v>-3.68</v>
      </c>
      <c r="W7" s="86">
        <v>24.0792961930403</v>
      </c>
      <c r="X7" s="85">
        <v>9.7627583260568862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45554</v>
      </c>
      <c r="F8" s="20"/>
      <c r="G8" s="18" t="s">
        <v>19</v>
      </c>
      <c r="H8" s="28">
        <v>32.799999999999997</v>
      </c>
      <c r="I8" s="28">
        <v>8.24</v>
      </c>
      <c r="J8" s="28">
        <v>9.39</v>
      </c>
      <c r="K8" s="74">
        <v>333</v>
      </c>
      <c r="L8" s="57"/>
      <c r="M8" s="54"/>
      <c r="N8" s="54"/>
      <c r="O8" s="54">
        <v>1.391</v>
      </c>
      <c r="P8" s="54"/>
      <c r="Q8" s="54"/>
      <c r="R8" s="54"/>
      <c r="S8" s="54"/>
      <c r="T8" s="54">
        <v>38.052999999999997</v>
      </c>
      <c r="U8" s="55">
        <v>14.22</v>
      </c>
      <c r="V8" s="55">
        <v>-1.24</v>
      </c>
      <c r="W8" s="87">
        <v>21.889296347698799</v>
      </c>
      <c r="X8" s="87">
        <v>10.573961372083717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45554</v>
      </c>
      <c r="F9" s="45"/>
      <c r="G9" s="43" t="s">
        <v>19</v>
      </c>
      <c r="H9" s="72">
        <v>28.75</v>
      </c>
      <c r="I9" s="72">
        <v>6.94</v>
      </c>
      <c r="J9" s="72">
        <v>7.81</v>
      </c>
      <c r="K9" s="73">
        <v>148</v>
      </c>
      <c r="L9" s="59"/>
      <c r="M9" s="60"/>
      <c r="N9" s="60"/>
      <c r="O9" s="61">
        <v>0.77700000000000002</v>
      </c>
      <c r="P9" s="61"/>
      <c r="Q9" s="61"/>
      <c r="R9" s="61"/>
      <c r="S9" s="61"/>
      <c r="T9" s="61">
        <v>14.064</v>
      </c>
      <c r="U9" s="61">
        <v>8.1300000000000008</v>
      </c>
      <c r="V9" s="61">
        <v>2.91</v>
      </c>
      <c r="W9" s="86">
        <v>13.911002779847699</v>
      </c>
      <c r="X9" s="86">
        <v>10.855459951514934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45554</v>
      </c>
      <c r="F10" s="45"/>
      <c r="G10" s="43" t="s">
        <v>19</v>
      </c>
      <c r="H10" s="72">
        <v>28.65</v>
      </c>
      <c r="I10" s="72">
        <v>6.75</v>
      </c>
      <c r="J10" s="72">
        <v>8.06</v>
      </c>
      <c r="K10" s="73">
        <v>177</v>
      </c>
      <c r="L10" s="59"/>
      <c r="M10" s="60"/>
      <c r="N10" s="60"/>
      <c r="O10" s="60">
        <v>1.403</v>
      </c>
      <c r="P10" s="60"/>
      <c r="Q10" s="60"/>
      <c r="R10" s="60"/>
      <c r="S10" s="60"/>
      <c r="T10" s="60">
        <v>23.036000000000001</v>
      </c>
      <c r="U10" s="60">
        <v>9.49</v>
      </c>
      <c r="V10" s="60">
        <v>2.95</v>
      </c>
      <c r="W10" s="85">
        <v>22.975329252380899</v>
      </c>
      <c r="X10" s="85">
        <v>9.6362096420400398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45554</v>
      </c>
      <c r="F11" s="45"/>
      <c r="G11" s="43" t="s">
        <v>19</v>
      </c>
      <c r="H11" s="72">
        <v>28.68</v>
      </c>
      <c r="I11" s="72">
        <v>6.78</v>
      </c>
      <c r="J11" s="72">
        <v>7.37</v>
      </c>
      <c r="K11" s="73">
        <v>188</v>
      </c>
      <c r="L11" s="59"/>
      <c r="M11" s="60"/>
      <c r="N11" s="60"/>
      <c r="O11" s="60">
        <v>1.7809999999999999</v>
      </c>
      <c r="P11" s="60"/>
      <c r="Q11" s="60"/>
      <c r="R11" s="60"/>
      <c r="S11" s="60"/>
      <c r="T11" s="60">
        <v>23.76</v>
      </c>
      <c r="U11" s="60">
        <v>7.61</v>
      </c>
      <c r="V11" s="60">
        <v>-0.36</v>
      </c>
      <c r="W11" s="85">
        <v>24.174021086351001</v>
      </c>
      <c r="X11" s="85">
        <v>9.6380549193237357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45554</v>
      </c>
      <c r="F12" s="45"/>
      <c r="G12" s="43" t="s">
        <v>19</v>
      </c>
      <c r="H12" s="72">
        <v>24.29</v>
      </c>
      <c r="I12" s="72">
        <v>6.51</v>
      </c>
      <c r="J12" s="72">
        <v>6.25</v>
      </c>
      <c r="K12" s="73">
        <v>345</v>
      </c>
      <c r="L12" s="59"/>
      <c r="M12" s="60"/>
      <c r="N12" s="60"/>
      <c r="O12" s="60">
        <v>0.33900000000000002</v>
      </c>
      <c r="P12" s="60"/>
      <c r="Q12" s="60"/>
      <c r="R12" s="60"/>
      <c r="S12" s="60"/>
      <c r="T12" s="60">
        <v>36.484000000000002</v>
      </c>
      <c r="U12" s="60">
        <v>-0.56999999999999995</v>
      </c>
      <c r="V12" s="60">
        <v>-1.45</v>
      </c>
      <c r="W12" s="85">
        <v>43.650194090885002</v>
      </c>
      <c r="X12" s="85">
        <v>10.378581309505863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45554</v>
      </c>
      <c r="F13" s="45"/>
      <c r="G13" s="43" t="s">
        <v>19</v>
      </c>
      <c r="H13" s="72">
        <v>28.04</v>
      </c>
      <c r="I13" s="72">
        <v>6.77</v>
      </c>
      <c r="J13" s="72">
        <v>6.7</v>
      </c>
      <c r="K13" s="73">
        <v>235</v>
      </c>
      <c r="L13" s="59"/>
      <c r="M13" s="60"/>
      <c r="N13" s="60"/>
      <c r="O13" s="60">
        <v>2.4089999999999998</v>
      </c>
      <c r="P13" s="60"/>
      <c r="Q13" s="60"/>
      <c r="R13" s="60"/>
      <c r="S13" s="60"/>
      <c r="T13" s="60">
        <v>28.713999999999999</v>
      </c>
      <c r="U13" s="62">
        <v>3.82</v>
      </c>
      <c r="V13" s="62">
        <v>-1.38</v>
      </c>
      <c r="W13" s="87">
        <v>33.637222309601903</v>
      </c>
      <c r="X13" s="87">
        <v>9.7771056395464235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45554</v>
      </c>
      <c r="F14" s="20"/>
      <c r="G14" s="18" t="s">
        <v>19</v>
      </c>
      <c r="H14" s="28">
        <v>30.78</v>
      </c>
      <c r="I14" s="28">
        <v>6.84</v>
      </c>
      <c r="J14" s="28">
        <v>8.3000000000000007</v>
      </c>
      <c r="K14" s="74">
        <v>240.6</v>
      </c>
      <c r="L14" s="57"/>
      <c r="M14" s="54"/>
      <c r="N14" s="54"/>
      <c r="O14" s="58">
        <v>1.2070000000000001</v>
      </c>
      <c r="P14" s="58"/>
      <c r="Q14" s="58"/>
      <c r="R14" s="58"/>
      <c r="S14" s="58"/>
      <c r="T14" s="58">
        <v>13.584</v>
      </c>
      <c r="U14" s="58">
        <v>9.73</v>
      </c>
      <c r="V14" s="58">
        <v>5</v>
      </c>
      <c r="W14" s="86">
        <v>22.345902492668699</v>
      </c>
      <c r="X14" s="86">
        <v>10.675003707627972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45554</v>
      </c>
      <c r="F15" s="20"/>
      <c r="G15" s="18" t="s">
        <v>19</v>
      </c>
      <c r="H15" s="28">
        <v>30.3</v>
      </c>
      <c r="I15" s="28">
        <v>6.96</v>
      </c>
      <c r="J15" s="28">
        <v>6.97</v>
      </c>
      <c r="K15" s="74">
        <v>241.5</v>
      </c>
      <c r="L15" s="57"/>
      <c r="M15" s="54"/>
      <c r="N15" s="54"/>
      <c r="O15" s="54">
        <v>0.82899999999999996</v>
      </c>
      <c r="P15" s="54"/>
      <c r="Q15" s="54"/>
      <c r="R15" s="54"/>
      <c r="S15" s="54"/>
      <c r="T15" s="54">
        <v>13.785</v>
      </c>
      <c r="U15" s="54">
        <v>10.98</v>
      </c>
      <c r="V15" s="54">
        <v>4.84</v>
      </c>
      <c r="W15" s="85">
        <v>22.933259168901401</v>
      </c>
      <c r="X15" s="85">
        <v>11.747042629575766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45554</v>
      </c>
      <c r="F16" s="20"/>
      <c r="G16" s="18" t="s">
        <v>19</v>
      </c>
      <c r="H16" s="28">
        <v>32.1</v>
      </c>
      <c r="I16" s="28">
        <v>7.73</v>
      </c>
      <c r="J16" s="28">
        <v>10.67</v>
      </c>
      <c r="K16" s="74">
        <v>250</v>
      </c>
      <c r="L16" s="57"/>
      <c r="M16" s="54"/>
      <c r="N16" s="54"/>
      <c r="O16" s="54">
        <v>1.43</v>
      </c>
      <c r="P16" s="54"/>
      <c r="Q16" s="54"/>
      <c r="R16" s="54"/>
      <c r="S16" s="54"/>
      <c r="T16" s="54">
        <v>15.304</v>
      </c>
      <c r="U16" s="54">
        <v>11.17</v>
      </c>
      <c r="V16" s="54">
        <v>3.23</v>
      </c>
      <c r="W16" s="85">
        <v>23.326753447322499</v>
      </c>
      <c r="X16" s="85">
        <v>12.827652694409942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45554</v>
      </c>
      <c r="F17" s="20"/>
      <c r="G17" s="18" t="s">
        <v>37</v>
      </c>
      <c r="H17" s="28">
        <v>30.1</v>
      </c>
      <c r="I17" s="28">
        <v>7.69</v>
      </c>
      <c r="J17" s="28">
        <v>6.12</v>
      </c>
      <c r="K17" s="74">
        <v>278</v>
      </c>
      <c r="L17" s="57"/>
      <c r="M17" s="54"/>
      <c r="N17" s="54"/>
      <c r="O17" s="54">
        <v>0.92100000000000004</v>
      </c>
      <c r="P17" s="54"/>
      <c r="Q17" s="54"/>
      <c r="R17" s="54"/>
      <c r="S17" s="54"/>
      <c r="T17" s="54">
        <v>13.321999999999999</v>
      </c>
      <c r="U17" s="54">
        <v>9.98</v>
      </c>
      <c r="V17" s="54">
        <v>3.95</v>
      </c>
      <c r="W17" s="85">
        <v>21.242223856986101</v>
      </c>
      <c r="X17" s="85">
        <v>11.374547535418611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45554</v>
      </c>
      <c r="F18" s="20"/>
      <c r="G18" s="18" t="s">
        <v>37</v>
      </c>
      <c r="H18" s="28">
        <v>32.4</v>
      </c>
      <c r="I18" s="28">
        <v>7.93</v>
      </c>
      <c r="J18" s="28">
        <v>9.24</v>
      </c>
      <c r="K18" s="74">
        <v>324</v>
      </c>
      <c r="L18" s="57"/>
      <c r="M18" s="54"/>
      <c r="N18" s="54"/>
      <c r="O18" s="54">
        <v>0.71399999999999997</v>
      </c>
      <c r="P18" s="54"/>
      <c r="Q18" s="54"/>
      <c r="R18" s="54"/>
      <c r="S18" s="54"/>
      <c r="T18" s="54">
        <v>30.302</v>
      </c>
      <c r="U18" s="54">
        <v>10.94</v>
      </c>
      <c r="V18" s="54">
        <v>4.0599999999999996</v>
      </c>
      <c r="W18" s="85">
        <v>24.192532410911401</v>
      </c>
      <c r="X18" s="85">
        <v>10.734604160738293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45554</v>
      </c>
      <c r="F19" s="20"/>
      <c r="G19" s="18" t="s">
        <v>37</v>
      </c>
      <c r="H19" s="28">
        <v>30.2</v>
      </c>
      <c r="I19" s="28">
        <v>7.45</v>
      </c>
      <c r="J19" s="28">
        <v>5.91</v>
      </c>
      <c r="K19" s="74">
        <v>267</v>
      </c>
      <c r="L19" s="57"/>
      <c r="M19" s="54"/>
      <c r="N19" s="54"/>
      <c r="O19" s="54">
        <v>0.82</v>
      </c>
      <c r="P19" s="54"/>
      <c r="Q19" s="54"/>
      <c r="R19" s="54"/>
      <c r="S19" s="54"/>
      <c r="T19" s="54">
        <v>13.989000000000001</v>
      </c>
      <c r="U19" s="54">
        <v>11.33</v>
      </c>
      <c r="V19" s="54">
        <v>4.95</v>
      </c>
      <c r="W19" s="87">
        <v>21.552344605112602</v>
      </c>
      <c r="X19" s="87">
        <v>11.346246662814474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45554</v>
      </c>
      <c r="F20" s="45"/>
      <c r="G20" s="43" t="s">
        <v>37</v>
      </c>
      <c r="H20" s="72">
        <v>29</v>
      </c>
      <c r="I20" s="72">
        <v>7.66</v>
      </c>
      <c r="J20" s="72">
        <v>6.83</v>
      </c>
      <c r="K20" s="73">
        <v>200.4</v>
      </c>
      <c r="L20" s="59"/>
      <c r="M20" s="60"/>
      <c r="N20" s="60"/>
      <c r="O20" s="61">
        <v>1.835</v>
      </c>
      <c r="P20" s="61"/>
      <c r="Q20" s="61"/>
      <c r="R20" s="61"/>
      <c r="S20" s="61"/>
      <c r="T20" s="61">
        <v>12.936</v>
      </c>
      <c r="U20" s="61">
        <v>8.52</v>
      </c>
      <c r="V20" s="61">
        <v>3.52</v>
      </c>
      <c r="W20" s="86">
        <v>13.9410216488528</v>
      </c>
      <c r="X20" s="86">
        <v>14.455444642589853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45554</v>
      </c>
      <c r="F21" s="45"/>
      <c r="G21" s="43" t="s">
        <v>37</v>
      </c>
      <c r="H21" s="72">
        <v>31.2</v>
      </c>
      <c r="I21" s="72">
        <v>7.78</v>
      </c>
      <c r="J21" s="72">
        <v>8.76</v>
      </c>
      <c r="K21" s="73">
        <v>242.3</v>
      </c>
      <c r="L21" s="59"/>
      <c r="M21" s="60"/>
      <c r="N21" s="60"/>
      <c r="O21" s="60">
        <v>1.9239999999999999</v>
      </c>
      <c r="P21" s="60"/>
      <c r="Q21" s="60"/>
      <c r="R21" s="60"/>
      <c r="S21" s="60"/>
      <c r="T21" s="60">
        <v>21.669</v>
      </c>
      <c r="U21" s="60">
        <v>10.67</v>
      </c>
      <c r="V21" s="60">
        <v>2.06</v>
      </c>
      <c r="W21" s="85">
        <v>18.785204981710802</v>
      </c>
      <c r="X21" s="85">
        <v>10.859373350748992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45554</v>
      </c>
      <c r="F22" s="45"/>
      <c r="G22" s="43" t="s">
        <v>37</v>
      </c>
      <c r="H22" s="72">
        <v>31.05</v>
      </c>
      <c r="I22" s="72">
        <v>7.68</v>
      </c>
      <c r="J22" s="72">
        <v>9.3000000000000007</v>
      </c>
      <c r="K22" s="73">
        <v>295.2</v>
      </c>
      <c r="L22" s="59"/>
      <c r="M22" s="60"/>
      <c r="N22" s="60"/>
      <c r="O22" s="60">
        <v>1.694</v>
      </c>
      <c r="P22" s="60"/>
      <c r="Q22" s="60"/>
      <c r="R22" s="60"/>
      <c r="S22" s="60"/>
      <c r="T22" s="60">
        <v>34.601999999999997</v>
      </c>
      <c r="U22" s="60">
        <v>12.47</v>
      </c>
      <c r="V22" s="60">
        <v>1.56</v>
      </c>
      <c r="W22" s="85">
        <v>23.0926526076871</v>
      </c>
      <c r="X22" s="85">
        <v>9.5820343771464991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45554</v>
      </c>
      <c r="F23" s="45"/>
      <c r="G23" s="43" t="s">
        <v>37</v>
      </c>
      <c r="H23" s="72">
        <v>31.11</v>
      </c>
      <c r="I23" s="72">
        <v>7.69</v>
      </c>
      <c r="J23" s="72">
        <v>8.51</v>
      </c>
      <c r="K23" s="73">
        <v>393.3</v>
      </c>
      <c r="L23" s="59"/>
      <c r="M23" s="60"/>
      <c r="N23" s="60"/>
      <c r="O23" s="60">
        <v>4.9610000000000003</v>
      </c>
      <c r="P23" s="60"/>
      <c r="Q23" s="60"/>
      <c r="R23" s="60"/>
      <c r="S23" s="60"/>
      <c r="T23" s="60">
        <v>63.668999999999997</v>
      </c>
      <c r="U23" s="60">
        <v>13.59</v>
      </c>
      <c r="V23" s="60">
        <v>3.96</v>
      </c>
      <c r="W23" s="85">
        <v>20.478990392428699</v>
      </c>
      <c r="X23" s="85">
        <v>11.784308695411415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45554</v>
      </c>
      <c r="F24" s="45"/>
      <c r="G24" s="43" t="s">
        <v>37</v>
      </c>
      <c r="H24" s="72">
        <v>30</v>
      </c>
      <c r="I24" s="72">
        <v>7.58</v>
      </c>
      <c r="J24" s="72">
        <v>8.25</v>
      </c>
      <c r="K24" s="73">
        <v>398.5</v>
      </c>
      <c r="L24" s="59"/>
      <c r="M24" s="60"/>
      <c r="N24" s="60"/>
      <c r="O24" s="60">
        <v>4.0640000000000001</v>
      </c>
      <c r="P24" s="60"/>
      <c r="Q24" s="60"/>
      <c r="R24" s="60"/>
      <c r="S24" s="60"/>
      <c r="T24" s="60">
        <v>42.067</v>
      </c>
      <c r="U24" s="60">
        <v>10.210000000000001</v>
      </c>
      <c r="V24" s="60">
        <v>3.1</v>
      </c>
      <c r="W24" s="87">
        <v>16.1979172318017</v>
      </c>
      <c r="X24" s="87">
        <v>10.688000129315089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45554</v>
      </c>
      <c r="F25" s="20"/>
      <c r="G25" s="18" t="s">
        <v>37</v>
      </c>
      <c r="H25" s="28">
        <v>27.04</v>
      </c>
      <c r="I25" s="28">
        <v>7.6</v>
      </c>
      <c r="J25" s="28">
        <v>8.77</v>
      </c>
      <c r="K25" s="74">
        <v>190</v>
      </c>
      <c r="L25" s="57"/>
      <c r="M25" s="54"/>
      <c r="N25" s="54"/>
      <c r="O25" s="58">
        <v>0.49</v>
      </c>
      <c r="P25" s="58"/>
      <c r="Q25" s="58"/>
      <c r="R25" s="58"/>
      <c r="S25" s="58"/>
      <c r="T25" s="58">
        <v>11.234</v>
      </c>
      <c r="U25" s="58">
        <v>10</v>
      </c>
      <c r="V25" s="58">
        <v>2.96</v>
      </c>
      <c r="W25" s="86">
        <v>19.212721507059499</v>
      </c>
      <c r="X25" s="86">
        <v>11.710734289954006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45554</v>
      </c>
      <c r="F26" s="23"/>
      <c r="G26" s="18" t="s">
        <v>37</v>
      </c>
      <c r="H26" s="28">
        <v>27.15</v>
      </c>
      <c r="I26" s="28">
        <v>7.07</v>
      </c>
      <c r="J26" s="28">
        <v>8.2100000000000009</v>
      </c>
      <c r="K26" s="74">
        <v>170</v>
      </c>
      <c r="L26" s="57"/>
      <c r="M26" s="55"/>
      <c r="N26" s="55"/>
      <c r="O26" s="55">
        <v>1.1399999999999999</v>
      </c>
      <c r="P26" s="55"/>
      <c r="Q26" s="55"/>
      <c r="R26" s="55"/>
      <c r="S26" s="55"/>
      <c r="T26" s="55">
        <v>17.195</v>
      </c>
      <c r="U26" s="55">
        <v>10.44</v>
      </c>
      <c r="V26" s="55">
        <v>1.64</v>
      </c>
      <c r="W26" s="87">
        <v>19.488333528425802</v>
      </c>
      <c r="X26" s="87">
        <v>11.729203250046893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45554</v>
      </c>
      <c r="F27" s="23"/>
      <c r="G27" s="18" t="s">
        <v>37</v>
      </c>
      <c r="H27" s="75">
        <v>29.1</v>
      </c>
      <c r="I27" s="75">
        <v>7.14</v>
      </c>
      <c r="J27" s="75">
        <v>9.57</v>
      </c>
      <c r="K27" s="77">
        <v>163</v>
      </c>
      <c r="L27" s="57"/>
      <c r="M27" s="55"/>
      <c r="N27" s="55"/>
      <c r="O27" s="55">
        <v>1.2929999999999999</v>
      </c>
      <c r="P27" s="55"/>
      <c r="Q27" s="55"/>
      <c r="R27" s="55"/>
      <c r="S27" s="55"/>
      <c r="T27" s="55">
        <v>17.489999999999998</v>
      </c>
      <c r="U27" s="55">
        <v>12.09</v>
      </c>
      <c r="V27" s="55">
        <v>1.59</v>
      </c>
      <c r="W27" s="87">
        <v>19.602583287055499</v>
      </c>
      <c r="X27" s="87">
        <v>11.489430196837569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45554</v>
      </c>
      <c r="F28" s="20"/>
      <c r="G28" s="18" t="s">
        <v>19</v>
      </c>
      <c r="H28" s="28">
        <v>29.14</v>
      </c>
      <c r="I28" s="28">
        <v>6.95</v>
      </c>
      <c r="J28" s="28">
        <v>8.77</v>
      </c>
      <c r="K28" s="74">
        <v>155</v>
      </c>
      <c r="L28" s="57"/>
      <c r="M28" s="54"/>
      <c r="N28" s="54"/>
      <c r="O28" s="54">
        <v>0.83899999999999997</v>
      </c>
      <c r="P28" s="54"/>
      <c r="Q28" s="54"/>
      <c r="R28" s="54"/>
      <c r="S28" s="54"/>
      <c r="T28" s="54">
        <v>16.988</v>
      </c>
      <c r="U28" s="54">
        <v>9.6999999999999993</v>
      </c>
      <c r="V28" s="54">
        <v>-0.33</v>
      </c>
      <c r="W28" s="85">
        <v>19.456382492073001</v>
      </c>
      <c r="X28" s="85">
        <v>10.817744322287382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17"/>
  <sheetViews>
    <sheetView zoomScale="80" zoomScaleNormal="80" workbookViewId="0">
      <selection activeCell="A29" sqref="A29:XFD29"/>
    </sheetView>
  </sheetViews>
  <sheetFormatPr defaultRowHeight="16.5"/>
  <cols>
    <col min="1" max="1" width="7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09" t="s">
        <v>72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18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25.2</v>
      </c>
      <c r="I5" s="27">
        <v>7.09</v>
      </c>
      <c r="J5" s="27">
        <v>7.65</v>
      </c>
      <c r="K5" s="76">
        <v>118</v>
      </c>
      <c r="L5" s="56"/>
      <c r="M5" s="53"/>
      <c r="N5" s="53"/>
      <c r="O5" s="53">
        <v>2.4790000000000001</v>
      </c>
      <c r="P5" s="53"/>
      <c r="Q5" s="53"/>
      <c r="R5" s="53"/>
      <c r="S5" s="53"/>
      <c r="T5" s="53">
        <v>6.4429999999999996</v>
      </c>
      <c r="U5" s="53">
        <v>3.61</v>
      </c>
      <c r="V5" s="53">
        <v>-3.39</v>
      </c>
      <c r="W5" s="53"/>
      <c r="X5" s="53"/>
      <c r="Y5" s="63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25.9</v>
      </c>
      <c r="I6" s="28">
        <v>7.31</v>
      </c>
      <c r="J6" s="28">
        <v>7.42</v>
      </c>
      <c r="K6" s="74">
        <v>125</v>
      </c>
      <c r="L6" s="57"/>
      <c r="M6" s="54"/>
      <c r="N6" s="54"/>
      <c r="O6" s="54">
        <v>1.2849999999999999</v>
      </c>
      <c r="P6" s="54"/>
      <c r="Q6" s="54"/>
      <c r="R6" s="54"/>
      <c r="S6" s="54"/>
      <c r="T6" s="54">
        <v>9.0939999999999994</v>
      </c>
      <c r="U6" s="54">
        <v>2.93</v>
      </c>
      <c r="V6" s="54">
        <v>-2.93</v>
      </c>
      <c r="W6" s="54"/>
      <c r="X6" s="54"/>
      <c r="Y6" s="64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26.3</v>
      </c>
      <c r="I7" s="28">
        <v>7.23</v>
      </c>
      <c r="J7" s="28">
        <v>7.08</v>
      </c>
      <c r="K7" s="74">
        <v>115</v>
      </c>
      <c r="L7" s="57"/>
      <c r="M7" s="54"/>
      <c r="N7" s="54"/>
      <c r="O7" s="54">
        <v>1.1259999999999999</v>
      </c>
      <c r="P7" s="54"/>
      <c r="Q7" s="54"/>
      <c r="R7" s="54"/>
      <c r="S7" s="54"/>
      <c r="T7" s="54">
        <v>7.5380000000000003</v>
      </c>
      <c r="U7" s="58">
        <v>2.5299999999999998</v>
      </c>
      <c r="V7" s="58">
        <v>-0.8</v>
      </c>
      <c r="W7" s="58"/>
      <c r="X7" s="54"/>
      <c r="Y7" s="64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25.9</v>
      </c>
      <c r="I8" s="28">
        <v>7.21</v>
      </c>
      <c r="J8" s="28">
        <v>7.11</v>
      </c>
      <c r="K8" s="74">
        <v>119</v>
      </c>
      <c r="L8" s="57"/>
      <c r="M8" s="54"/>
      <c r="N8" s="54"/>
      <c r="O8" s="54">
        <v>0.96599999999999997</v>
      </c>
      <c r="P8" s="54"/>
      <c r="Q8" s="54"/>
      <c r="R8" s="54"/>
      <c r="S8" s="54"/>
      <c r="T8" s="54">
        <v>9.9960000000000004</v>
      </c>
      <c r="U8" s="55">
        <v>2.85</v>
      </c>
      <c r="V8" s="55">
        <v>-0.42</v>
      </c>
      <c r="W8" s="55"/>
      <c r="X8" s="55"/>
      <c r="Y8" s="64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23.01</v>
      </c>
      <c r="I9" s="72">
        <v>7.53</v>
      </c>
      <c r="J9" s="72">
        <v>8.75</v>
      </c>
      <c r="K9" s="73">
        <v>89</v>
      </c>
      <c r="L9" s="59"/>
      <c r="M9" s="60"/>
      <c r="N9" s="60"/>
      <c r="O9" s="61">
        <v>1.81</v>
      </c>
      <c r="P9" s="61"/>
      <c r="Q9" s="61"/>
      <c r="R9" s="61"/>
      <c r="S9" s="61"/>
      <c r="T9" s="61">
        <v>6.7130000000000001</v>
      </c>
      <c r="U9" s="61">
        <v>3.75</v>
      </c>
      <c r="V9" s="61">
        <v>-0.27</v>
      </c>
      <c r="W9" s="61"/>
      <c r="X9" s="61"/>
      <c r="Y9" s="65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23.51</v>
      </c>
      <c r="I10" s="72">
        <v>7.38</v>
      </c>
      <c r="J10" s="72">
        <v>8.7100000000000009</v>
      </c>
      <c r="K10" s="73">
        <v>95</v>
      </c>
      <c r="L10" s="59"/>
      <c r="M10" s="60"/>
      <c r="N10" s="60"/>
      <c r="O10" s="60">
        <v>1.5860000000000001</v>
      </c>
      <c r="P10" s="60"/>
      <c r="Q10" s="60"/>
      <c r="R10" s="60"/>
      <c r="S10" s="60"/>
      <c r="T10" s="60">
        <v>10.242000000000001</v>
      </c>
      <c r="U10" s="60">
        <v>6.21</v>
      </c>
      <c r="V10" s="60">
        <v>-0.08</v>
      </c>
      <c r="W10" s="60"/>
      <c r="X10" s="60"/>
      <c r="Y10" s="65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23.58</v>
      </c>
      <c r="I11" s="72">
        <v>7.27</v>
      </c>
      <c r="J11" s="72">
        <v>8.19</v>
      </c>
      <c r="K11" s="73">
        <v>107</v>
      </c>
      <c r="L11" s="59"/>
      <c r="M11" s="60"/>
      <c r="N11" s="60"/>
      <c r="O11" s="60">
        <v>1.9059999999999999</v>
      </c>
      <c r="P11" s="60"/>
      <c r="Q11" s="60"/>
      <c r="R11" s="60"/>
      <c r="S11" s="60"/>
      <c r="T11" s="60">
        <v>11.489000000000001</v>
      </c>
      <c r="U11" s="60">
        <v>6.45</v>
      </c>
      <c r="V11" s="60">
        <v>-0.33</v>
      </c>
      <c r="W11" s="60"/>
      <c r="X11" s="60"/>
      <c r="Y11" s="65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23.03</v>
      </c>
      <c r="I12" s="72">
        <v>7.12</v>
      </c>
      <c r="J12" s="72">
        <v>7.6</v>
      </c>
      <c r="K12" s="73">
        <v>298</v>
      </c>
      <c r="L12" s="59"/>
      <c r="M12" s="60"/>
      <c r="N12" s="60"/>
      <c r="O12" s="60">
        <v>0.76500000000000001</v>
      </c>
      <c r="P12" s="60"/>
      <c r="Q12" s="60"/>
      <c r="R12" s="60"/>
      <c r="S12" s="60"/>
      <c r="T12" s="60">
        <v>35.637</v>
      </c>
      <c r="U12" s="60">
        <v>6.36</v>
      </c>
      <c r="V12" s="60">
        <v>0.05</v>
      </c>
      <c r="W12" s="60"/>
      <c r="X12" s="60"/>
      <c r="Y12" s="65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24.8</v>
      </c>
      <c r="I13" s="72">
        <v>7.08</v>
      </c>
      <c r="J13" s="72">
        <v>7.06</v>
      </c>
      <c r="K13" s="73">
        <v>141</v>
      </c>
      <c r="L13" s="59"/>
      <c r="M13" s="60"/>
      <c r="N13" s="60"/>
      <c r="O13" s="60">
        <v>2.2280000000000002</v>
      </c>
      <c r="P13" s="60"/>
      <c r="Q13" s="60"/>
      <c r="R13" s="60"/>
      <c r="S13" s="60"/>
      <c r="T13" s="60">
        <v>12.307</v>
      </c>
      <c r="U13" s="62">
        <v>6.09</v>
      </c>
      <c r="V13" s="62">
        <v>-2.75</v>
      </c>
      <c r="W13" s="62"/>
      <c r="X13" s="62"/>
      <c r="Y13" s="65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28.53</v>
      </c>
      <c r="I14" s="28">
        <v>7.9</v>
      </c>
      <c r="J14" s="28">
        <v>5.95</v>
      </c>
      <c r="K14" s="74">
        <v>226</v>
      </c>
      <c r="L14" s="57"/>
      <c r="M14" s="54"/>
      <c r="N14" s="54"/>
      <c r="O14" s="58">
        <v>1.1559999999999999</v>
      </c>
      <c r="P14" s="58"/>
      <c r="Q14" s="58"/>
      <c r="R14" s="58"/>
      <c r="S14" s="58"/>
      <c r="T14" s="58">
        <v>12.255000000000001</v>
      </c>
      <c r="U14" s="58">
        <v>9.75</v>
      </c>
      <c r="V14" s="58">
        <v>6.08</v>
      </c>
      <c r="W14" s="58"/>
      <c r="X14" s="58"/>
      <c r="Y14" s="64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28.3</v>
      </c>
      <c r="I15" s="28">
        <v>7.46</v>
      </c>
      <c r="J15" s="28">
        <v>6.9</v>
      </c>
      <c r="K15" s="74">
        <v>224</v>
      </c>
      <c r="L15" s="57"/>
      <c r="M15" s="54"/>
      <c r="N15" s="54"/>
      <c r="O15" s="54">
        <v>0.82799999999999996</v>
      </c>
      <c r="P15" s="54"/>
      <c r="Q15" s="54"/>
      <c r="R15" s="54"/>
      <c r="S15" s="54"/>
      <c r="T15" s="54">
        <v>14.507999999999999</v>
      </c>
      <c r="U15" s="54">
        <v>10.69</v>
      </c>
      <c r="V15" s="54">
        <v>2.96</v>
      </c>
      <c r="W15" s="54"/>
      <c r="X15" s="54"/>
      <c r="Y15" s="64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28.42</v>
      </c>
      <c r="I16" s="28">
        <v>7.42</v>
      </c>
      <c r="J16" s="28">
        <v>6.67</v>
      </c>
      <c r="K16" s="74">
        <v>234</v>
      </c>
      <c r="L16" s="57"/>
      <c r="M16" s="54"/>
      <c r="N16" s="54"/>
      <c r="O16" s="54">
        <v>1.163</v>
      </c>
      <c r="P16" s="54"/>
      <c r="Q16" s="54"/>
      <c r="R16" s="54"/>
      <c r="S16" s="54"/>
      <c r="T16" s="54">
        <v>15.346</v>
      </c>
      <c r="U16" s="54">
        <v>10.63</v>
      </c>
      <c r="V16" s="54">
        <v>2.95</v>
      </c>
      <c r="W16" s="54"/>
      <c r="X16" s="54"/>
      <c r="Y16" s="64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27.1</v>
      </c>
      <c r="I17" s="28">
        <v>7.04</v>
      </c>
      <c r="J17" s="28">
        <v>6.21</v>
      </c>
      <c r="K17" s="74">
        <v>139</v>
      </c>
      <c r="L17" s="57"/>
      <c r="M17" s="54"/>
      <c r="N17" s="54"/>
      <c r="O17" s="54">
        <v>1.129</v>
      </c>
      <c r="P17" s="54"/>
      <c r="Q17" s="54"/>
      <c r="R17" s="54"/>
      <c r="S17" s="54"/>
      <c r="T17" s="54">
        <v>6.3780000000000001</v>
      </c>
      <c r="U17" s="54">
        <v>7.91</v>
      </c>
      <c r="V17" s="54">
        <v>1.52</v>
      </c>
      <c r="W17" s="54"/>
      <c r="X17" s="54"/>
      <c r="Y17" s="64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26.3</v>
      </c>
      <c r="I18" s="28">
        <v>7.01</v>
      </c>
      <c r="J18" s="28">
        <v>7.04</v>
      </c>
      <c r="K18" s="74">
        <v>157</v>
      </c>
      <c r="L18" s="57"/>
      <c r="M18" s="54"/>
      <c r="N18" s="54"/>
      <c r="O18" s="54">
        <v>1.1659999999999999</v>
      </c>
      <c r="P18" s="54"/>
      <c r="Q18" s="54"/>
      <c r="R18" s="54"/>
      <c r="S18" s="54"/>
      <c r="T18" s="54">
        <v>13.02</v>
      </c>
      <c r="U18" s="54">
        <v>7.65</v>
      </c>
      <c r="V18" s="54">
        <v>2.33</v>
      </c>
      <c r="W18" s="54"/>
      <c r="X18" s="54"/>
      <c r="Y18" s="64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26.5</v>
      </c>
      <c r="I19" s="28">
        <v>7.01</v>
      </c>
      <c r="J19" s="28">
        <v>6.16</v>
      </c>
      <c r="K19" s="74">
        <v>103</v>
      </c>
      <c r="L19" s="57"/>
      <c r="M19" s="54"/>
      <c r="N19" s="54"/>
      <c r="O19" s="54">
        <v>1.204</v>
      </c>
      <c r="P19" s="54"/>
      <c r="Q19" s="54"/>
      <c r="R19" s="54"/>
      <c r="S19" s="54"/>
      <c r="T19" s="54">
        <v>4.8440000000000003</v>
      </c>
      <c r="U19" s="55">
        <v>9.67</v>
      </c>
      <c r="V19" s="55">
        <v>2.44</v>
      </c>
      <c r="W19" s="55"/>
      <c r="X19" s="55"/>
      <c r="Y19" s="64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26.22</v>
      </c>
      <c r="I20" s="72">
        <v>7.77</v>
      </c>
      <c r="J20" s="72">
        <v>115.1</v>
      </c>
      <c r="K20" s="73">
        <v>7.3</v>
      </c>
      <c r="L20" s="59"/>
      <c r="M20" s="60"/>
      <c r="N20" s="60"/>
      <c r="O20" s="61">
        <v>1.4379999999999999</v>
      </c>
      <c r="P20" s="61"/>
      <c r="Q20" s="61"/>
      <c r="R20" s="61"/>
      <c r="S20" s="61"/>
      <c r="T20" s="61">
        <v>6.7939999999999996</v>
      </c>
      <c r="U20" s="61">
        <v>7.01</v>
      </c>
      <c r="V20" s="61">
        <v>-0.65</v>
      </c>
      <c r="W20" s="61"/>
      <c r="X20" s="61"/>
      <c r="Y20" s="65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26.7</v>
      </c>
      <c r="I21" s="72">
        <v>7.1</v>
      </c>
      <c r="J21" s="72">
        <v>7.12</v>
      </c>
      <c r="K21" s="73">
        <v>109.8</v>
      </c>
      <c r="L21" s="59"/>
      <c r="M21" s="60"/>
      <c r="N21" s="60"/>
      <c r="O21" s="60">
        <v>1.1299999999999999</v>
      </c>
      <c r="P21" s="60"/>
      <c r="Q21" s="60"/>
      <c r="R21" s="60"/>
      <c r="S21" s="60"/>
      <c r="T21" s="60">
        <v>6.6559999999999997</v>
      </c>
      <c r="U21" s="60">
        <v>7.55</v>
      </c>
      <c r="V21" s="60">
        <v>0.45</v>
      </c>
      <c r="W21" s="60"/>
      <c r="X21" s="60"/>
      <c r="Y21" s="65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26.52</v>
      </c>
      <c r="I22" s="72">
        <v>7.06</v>
      </c>
      <c r="J22" s="72">
        <v>6.9</v>
      </c>
      <c r="K22" s="73">
        <v>119</v>
      </c>
      <c r="L22" s="59"/>
      <c r="M22" s="60"/>
      <c r="N22" s="60"/>
      <c r="O22" s="60">
        <v>1.2490000000000001</v>
      </c>
      <c r="P22" s="60"/>
      <c r="Q22" s="60"/>
      <c r="R22" s="60"/>
      <c r="S22" s="60"/>
      <c r="T22" s="60">
        <v>8.0779999999999994</v>
      </c>
      <c r="U22" s="60">
        <v>7.87</v>
      </c>
      <c r="V22" s="60">
        <v>0.56000000000000005</v>
      </c>
      <c r="W22" s="60"/>
      <c r="X22" s="60"/>
      <c r="Y22" s="65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</v>
      </c>
      <c r="I23" s="72">
        <v>7.11</v>
      </c>
      <c r="J23" s="72">
        <v>7.1</v>
      </c>
      <c r="K23" s="73">
        <v>94.2</v>
      </c>
      <c r="L23" s="59"/>
      <c r="M23" s="60"/>
      <c r="N23" s="60"/>
      <c r="O23" s="60">
        <v>0.73599999999999999</v>
      </c>
      <c r="P23" s="60"/>
      <c r="Q23" s="60"/>
      <c r="R23" s="60"/>
      <c r="S23" s="60"/>
      <c r="T23" s="60">
        <v>5.6630000000000003</v>
      </c>
      <c r="U23" s="60">
        <v>7.59</v>
      </c>
      <c r="V23" s="60">
        <v>2.76</v>
      </c>
      <c r="W23" s="60"/>
      <c r="X23" s="60"/>
      <c r="Y23" s="65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26.82</v>
      </c>
      <c r="I24" s="72">
        <v>7.32</v>
      </c>
      <c r="J24" s="72">
        <v>7.24</v>
      </c>
      <c r="K24" s="73">
        <v>75</v>
      </c>
      <c r="L24" s="59"/>
      <c r="M24" s="60"/>
      <c r="N24" s="60"/>
      <c r="O24" s="60">
        <v>0.59599999999999997</v>
      </c>
      <c r="P24" s="60"/>
      <c r="Q24" s="60"/>
      <c r="R24" s="60"/>
      <c r="S24" s="60"/>
      <c r="T24" s="60">
        <v>3.7</v>
      </c>
      <c r="U24" s="62">
        <v>6.34</v>
      </c>
      <c r="V24" s="62">
        <v>3.38</v>
      </c>
      <c r="W24" s="62"/>
      <c r="X24" s="62"/>
      <c r="Y24" s="65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23.24</v>
      </c>
      <c r="I25" s="28">
        <v>8</v>
      </c>
      <c r="J25" s="28">
        <v>9.0299999999999994</v>
      </c>
      <c r="K25" s="74">
        <v>96</v>
      </c>
      <c r="L25" s="57"/>
      <c r="M25" s="54"/>
      <c r="N25" s="54"/>
      <c r="O25" s="58">
        <v>1.2</v>
      </c>
      <c r="P25" s="58"/>
      <c r="Q25" s="58"/>
      <c r="R25" s="58"/>
      <c r="S25" s="58"/>
      <c r="T25" s="58">
        <v>7.3719999999999999</v>
      </c>
      <c r="U25" s="58">
        <v>5.44</v>
      </c>
      <c r="V25" s="58">
        <v>-0.64</v>
      </c>
      <c r="W25" s="58"/>
      <c r="X25" s="58"/>
      <c r="Y25" s="64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24.14</v>
      </c>
      <c r="I26" s="28">
        <v>7.76</v>
      </c>
      <c r="J26" s="28">
        <v>8.14</v>
      </c>
      <c r="K26" s="74">
        <v>127</v>
      </c>
      <c r="L26" s="57"/>
      <c r="M26" s="55"/>
      <c r="N26" s="55"/>
      <c r="O26" s="55">
        <v>0.98799999999999999</v>
      </c>
      <c r="P26" s="55"/>
      <c r="Q26" s="55"/>
      <c r="R26" s="55"/>
      <c r="S26" s="55"/>
      <c r="T26" s="55">
        <v>13.813000000000001</v>
      </c>
      <c r="U26" s="55">
        <v>7.87</v>
      </c>
      <c r="V26" s="55">
        <v>0.48</v>
      </c>
      <c r="W26" s="55"/>
      <c r="X26" s="55"/>
      <c r="Y26" s="66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23.86</v>
      </c>
      <c r="I27" s="75">
        <v>7.6</v>
      </c>
      <c r="J27" s="75">
        <v>8.23</v>
      </c>
      <c r="K27" s="77">
        <v>115</v>
      </c>
      <c r="L27" s="57"/>
      <c r="M27" s="55"/>
      <c r="N27" s="55"/>
      <c r="O27" s="55">
        <v>1.2649999999999999</v>
      </c>
      <c r="P27" s="55"/>
      <c r="Q27" s="55"/>
      <c r="R27" s="55"/>
      <c r="S27" s="55"/>
      <c r="T27" s="55">
        <v>12.028</v>
      </c>
      <c r="U27" s="55">
        <v>7.22</v>
      </c>
      <c r="V27" s="55">
        <v>-0.87</v>
      </c>
      <c r="W27" s="55"/>
      <c r="X27" s="55"/>
      <c r="Y27" s="66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23.77</v>
      </c>
      <c r="I28" s="28">
        <v>7.53</v>
      </c>
      <c r="J28" s="28">
        <v>8.26</v>
      </c>
      <c r="K28" s="74">
        <v>109</v>
      </c>
      <c r="L28" s="57"/>
      <c r="M28" s="54"/>
      <c r="N28" s="54"/>
      <c r="O28" s="54">
        <v>1.34</v>
      </c>
      <c r="P28" s="54"/>
      <c r="Q28" s="54"/>
      <c r="R28" s="54"/>
      <c r="S28" s="54"/>
      <c r="T28" s="54">
        <v>11.419</v>
      </c>
      <c r="U28" s="54">
        <v>7.92</v>
      </c>
      <c r="V28" s="54">
        <v>0.46</v>
      </c>
      <c r="W28" s="54"/>
      <c r="X28" s="54"/>
      <c r="Y28" s="64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17"/>
  <sheetViews>
    <sheetView zoomScale="80" zoomScaleNormal="80" workbookViewId="0">
      <selection activeCell="A29" sqref="A29:XFD30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09" t="s">
        <v>73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25" ht="17.25" thickBot="1">
      <c r="Y2" s="3"/>
    </row>
    <row r="3" spans="1:25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</row>
    <row r="4" spans="1:25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64</v>
      </c>
      <c r="U4" s="51" t="s">
        <v>77</v>
      </c>
      <c r="V4" s="4" t="s">
        <v>78</v>
      </c>
      <c r="W4" s="4" t="s">
        <v>131</v>
      </c>
      <c r="X4" s="10" t="s">
        <v>76</v>
      </c>
      <c r="Y4" s="118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24.4</v>
      </c>
      <c r="I5" s="27">
        <v>7.39</v>
      </c>
      <c r="J5" s="27">
        <v>7.85</v>
      </c>
      <c r="K5" s="76">
        <v>149</v>
      </c>
      <c r="L5" s="56"/>
      <c r="M5" s="53"/>
      <c r="N5" s="53"/>
      <c r="O5" s="53">
        <v>3.9780000000000002</v>
      </c>
      <c r="P5" s="53"/>
      <c r="Q5" s="53"/>
      <c r="R5" s="53"/>
      <c r="S5" s="53"/>
      <c r="T5" s="53">
        <v>7.827</v>
      </c>
      <c r="U5" s="53">
        <v>3.22</v>
      </c>
      <c r="V5" s="53">
        <v>-1.83</v>
      </c>
      <c r="W5" s="37"/>
      <c r="X5" s="37"/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26</v>
      </c>
      <c r="I6" s="28">
        <v>7.39</v>
      </c>
      <c r="J6" s="28">
        <v>7.32</v>
      </c>
      <c r="K6" s="74">
        <v>136</v>
      </c>
      <c r="L6" s="57"/>
      <c r="M6" s="54"/>
      <c r="N6" s="54"/>
      <c r="O6" s="54">
        <v>2.569</v>
      </c>
      <c r="P6" s="54"/>
      <c r="Q6" s="54"/>
      <c r="R6" s="54"/>
      <c r="S6" s="54"/>
      <c r="T6" s="54">
        <v>8.0570000000000004</v>
      </c>
      <c r="U6" s="54">
        <v>3.19</v>
      </c>
      <c r="V6" s="54">
        <v>-2.63</v>
      </c>
      <c r="W6" s="38"/>
      <c r="X6" s="38"/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26.4</v>
      </c>
      <c r="I7" s="28">
        <v>7.36</v>
      </c>
      <c r="J7" s="28">
        <v>7.25</v>
      </c>
      <c r="K7" s="74">
        <v>131</v>
      </c>
      <c r="L7" s="57"/>
      <c r="M7" s="54"/>
      <c r="N7" s="54"/>
      <c r="O7" s="54">
        <v>1.444</v>
      </c>
      <c r="P7" s="54"/>
      <c r="Q7" s="54"/>
      <c r="R7" s="54"/>
      <c r="S7" s="54"/>
      <c r="T7" s="54">
        <v>8.9469999999999992</v>
      </c>
      <c r="U7" s="58">
        <v>4.1900000000000004</v>
      </c>
      <c r="V7" s="58">
        <v>-0.87</v>
      </c>
      <c r="W7" s="39"/>
      <c r="X7" s="38"/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26.5</v>
      </c>
      <c r="I8" s="28">
        <v>7.15</v>
      </c>
      <c r="J8" s="28">
        <v>5.89</v>
      </c>
      <c r="K8" s="74">
        <v>148</v>
      </c>
      <c r="L8" s="57"/>
      <c r="M8" s="54"/>
      <c r="N8" s="54"/>
      <c r="O8" s="54">
        <v>1.0980000000000001</v>
      </c>
      <c r="P8" s="54"/>
      <c r="Q8" s="54"/>
      <c r="R8" s="54"/>
      <c r="S8" s="54"/>
      <c r="T8" s="54">
        <v>10.225</v>
      </c>
      <c r="U8" s="55">
        <v>4.33</v>
      </c>
      <c r="V8" s="55">
        <v>-0.2</v>
      </c>
      <c r="W8" s="40"/>
      <c r="X8" s="40"/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24.01</v>
      </c>
      <c r="I9" s="72">
        <v>7.4</v>
      </c>
      <c r="J9" s="72">
        <v>8.84</v>
      </c>
      <c r="K9" s="73">
        <v>97</v>
      </c>
      <c r="L9" s="59"/>
      <c r="M9" s="60"/>
      <c r="N9" s="60"/>
      <c r="O9" s="61">
        <v>1.875</v>
      </c>
      <c r="P9" s="61"/>
      <c r="Q9" s="61"/>
      <c r="R9" s="61"/>
      <c r="S9" s="61"/>
      <c r="T9" s="61">
        <v>7.718</v>
      </c>
      <c r="U9" s="61">
        <v>2.75</v>
      </c>
      <c r="V9" s="61">
        <v>-0.63</v>
      </c>
      <c r="W9" s="47"/>
      <c r="X9" s="47"/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24.87</v>
      </c>
      <c r="I10" s="72">
        <v>7.3</v>
      </c>
      <c r="J10" s="72">
        <v>8.6300000000000008</v>
      </c>
      <c r="K10" s="73">
        <v>100</v>
      </c>
      <c r="L10" s="59"/>
      <c r="M10" s="60"/>
      <c r="N10" s="60"/>
      <c r="O10" s="60">
        <v>1.4830000000000001</v>
      </c>
      <c r="P10" s="60"/>
      <c r="Q10" s="60"/>
      <c r="R10" s="60"/>
      <c r="S10" s="60"/>
      <c r="T10" s="60">
        <v>10.952999999999999</v>
      </c>
      <c r="U10" s="60">
        <v>6.46</v>
      </c>
      <c r="V10" s="60">
        <v>-0.38</v>
      </c>
      <c r="W10" s="49"/>
      <c r="X10" s="49"/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24.62</v>
      </c>
      <c r="I11" s="72">
        <v>7.22</v>
      </c>
      <c r="J11" s="72">
        <v>8.1</v>
      </c>
      <c r="K11" s="73">
        <v>105</v>
      </c>
      <c r="L11" s="59"/>
      <c r="M11" s="60"/>
      <c r="N11" s="60"/>
      <c r="O11" s="60">
        <v>1.696</v>
      </c>
      <c r="P11" s="60"/>
      <c r="Q11" s="60"/>
      <c r="R11" s="60"/>
      <c r="S11" s="60"/>
      <c r="T11" s="60">
        <v>11.271000000000001</v>
      </c>
      <c r="U11" s="60">
        <v>6.72</v>
      </c>
      <c r="V11" s="60">
        <v>-1.21</v>
      </c>
      <c r="W11" s="49"/>
      <c r="X11" s="49"/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25.2</v>
      </c>
      <c r="I12" s="72">
        <v>7.05</v>
      </c>
      <c r="J12" s="72">
        <v>5.66</v>
      </c>
      <c r="K12" s="73">
        <v>559</v>
      </c>
      <c r="L12" s="59"/>
      <c r="M12" s="60"/>
      <c r="N12" s="60"/>
      <c r="O12" s="60">
        <v>0.85299999999999998</v>
      </c>
      <c r="P12" s="60"/>
      <c r="Q12" s="60"/>
      <c r="R12" s="60"/>
      <c r="S12" s="60"/>
      <c r="T12" s="60">
        <v>28.981999999999999</v>
      </c>
      <c r="U12" s="60">
        <v>9.0299999999999994</v>
      </c>
      <c r="V12" s="60">
        <v>-1.96</v>
      </c>
      <c r="W12" s="49"/>
      <c r="X12" s="49"/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25.8</v>
      </c>
      <c r="I13" s="72">
        <v>7.14</v>
      </c>
      <c r="J13" s="72">
        <v>5.81</v>
      </c>
      <c r="K13" s="73">
        <v>189</v>
      </c>
      <c r="L13" s="59"/>
      <c r="M13" s="60"/>
      <c r="N13" s="60"/>
      <c r="O13" s="60">
        <v>1.9219999999999999</v>
      </c>
      <c r="P13" s="60"/>
      <c r="Q13" s="60"/>
      <c r="R13" s="60"/>
      <c r="S13" s="60"/>
      <c r="T13" s="60">
        <v>16.257999999999999</v>
      </c>
      <c r="U13" s="62">
        <v>5.56</v>
      </c>
      <c r="V13" s="62">
        <v>-2.61</v>
      </c>
      <c r="W13" s="50"/>
      <c r="X13" s="50"/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26.69</v>
      </c>
      <c r="I14" s="28">
        <v>6.99</v>
      </c>
      <c r="J14" s="28">
        <v>6.15</v>
      </c>
      <c r="K14" s="74">
        <v>153</v>
      </c>
      <c r="L14" s="57"/>
      <c r="M14" s="54"/>
      <c r="N14" s="54"/>
      <c r="O14" s="58">
        <v>1.387</v>
      </c>
      <c r="P14" s="58"/>
      <c r="Q14" s="58"/>
      <c r="R14" s="58"/>
      <c r="S14" s="58"/>
      <c r="T14" s="58">
        <v>7.6609999999999996</v>
      </c>
      <c r="U14" s="58">
        <v>6.03</v>
      </c>
      <c r="V14" s="58">
        <v>0.6</v>
      </c>
      <c r="W14" s="39"/>
      <c r="X14" s="39"/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27.5</v>
      </c>
      <c r="I15" s="28">
        <v>6.97</v>
      </c>
      <c r="J15" s="28">
        <v>7.01</v>
      </c>
      <c r="K15" s="74">
        <v>188</v>
      </c>
      <c r="L15" s="57"/>
      <c r="M15" s="54"/>
      <c r="N15" s="54"/>
      <c r="O15" s="54">
        <v>1.341</v>
      </c>
      <c r="P15" s="54"/>
      <c r="Q15" s="54"/>
      <c r="R15" s="54"/>
      <c r="S15" s="54"/>
      <c r="T15" s="54">
        <v>10.664</v>
      </c>
      <c r="U15" s="54">
        <v>8.3699999999999992</v>
      </c>
      <c r="V15" s="54">
        <v>4.18</v>
      </c>
      <c r="W15" s="38"/>
      <c r="X15" s="38"/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28.35</v>
      </c>
      <c r="I16" s="28">
        <v>7.16</v>
      </c>
      <c r="J16" s="28">
        <v>6.93</v>
      </c>
      <c r="K16" s="74">
        <v>211</v>
      </c>
      <c r="L16" s="57"/>
      <c r="M16" s="54"/>
      <c r="N16" s="54"/>
      <c r="O16" s="54">
        <v>1.1830000000000001</v>
      </c>
      <c r="P16" s="54"/>
      <c r="Q16" s="54"/>
      <c r="R16" s="54"/>
      <c r="S16" s="54"/>
      <c r="T16" s="54">
        <v>12.348000000000001</v>
      </c>
      <c r="U16" s="54">
        <v>9.42</v>
      </c>
      <c r="V16" s="54">
        <v>3.71</v>
      </c>
      <c r="W16" s="38"/>
      <c r="X16" s="38"/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26.8</v>
      </c>
      <c r="I17" s="28">
        <v>7.21</v>
      </c>
      <c r="J17" s="28">
        <v>7.09</v>
      </c>
      <c r="K17" s="74">
        <v>133</v>
      </c>
      <c r="L17" s="57"/>
      <c r="M17" s="54"/>
      <c r="N17" s="54"/>
      <c r="O17" s="54">
        <v>1.1459999999999999</v>
      </c>
      <c r="P17" s="54"/>
      <c r="Q17" s="54"/>
      <c r="R17" s="54"/>
      <c r="S17" s="54"/>
      <c r="T17" s="54">
        <v>9.5359999999999996</v>
      </c>
      <c r="U17" s="54">
        <v>6.38</v>
      </c>
      <c r="V17" s="54">
        <v>1.37</v>
      </c>
      <c r="W17" s="38"/>
      <c r="X17" s="38"/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27.2</v>
      </c>
      <c r="I18" s="28">
        <v>7.21</v>
      </c>
      <c r="J18" s="28">
        <v>5.91</v>
      </c>
      <c r="K18" s="74">
        <v>161</v>
      </c>
      <c r="L18" s="57"/>
      <c r="M18" s="54"/>
      <c r="N18" s="54"/>
      <c r="O18" s="54">
        <v>1.0580000000000001</v>
      </c>
      <c r="P18" s="54"/>
      <c r="Q18" s="54"/>
      <c r="R18" s="54"/>
      <c r="S18" s="54"/>
      <c r="T18" s="54">
        <v>8.0690000000000008</v>
      </c>
      <c r="U18" s="54">
        <v>8.02</v>
      </c>
      <c r="V18" s="54">
        <v>1.72</v>
      </c>
      <c r="W18" s="38"/>
      <c r="X18" s="38"/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27.5</v>
      </c>
      <c r="I19" s="28">
        <v>7.16</v>
      </c>
      <c r="J19" s="28">
        <v>5.79</v>
      </c>
      <c r="K19" s="74">
        <v>122</v>
      </c>
      <c r="L19" s="57"/>
      <c r="M19" s="54"/>
      <c r="N19" s="54"/>
      <c r="O19" s="54">
        <v>1.196</v>
      </c>
      <c r="P19" s="54"/>
      <c r="Q19" s="54"/>
      <c r="R19" s="54"/>
      <c r="S19" s="54"/>
      <c r="T19" s="54">
        <v>5.6020000000000003</v>
      </c>
      <c r="U19" s="55">
        <v>8.82</v>
      </c>
      <c r="V19" s="55">
        <v>1.1100000000000001</v>
      </c>
      <c r="W19" s="40"/>
      <c r="X19" s="40"/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27.65</v>
      </c>
      <c r="I20" s="72">
        <v>7.45</v>
      </c>
      <c r="J20" s="72">
        <v>7.26</v>
      </c>
      <c r="K20" s="73">
        <v>116</v>
      </c>
      <c r="L20" s="59"/>
      <c r="M20" s="60"/>
      <c r="N20" s="60"/>
      <c r="O20" s="61">
        <v>1.145</v>
      </c>
      <c r="P20" s="61"/>
      <c r="Q20" s="61"/>
      <c r="R20" s="61"/>
      <c r="S20" s="61"/>
      <c r="T20" s="61">
        <v>6.92</v>
      </c>
      <c r="U20" s="61">
        <v>8</v>
      </c>
      <c r="V20" s="61">
        <v>0.13</v>
      </c>
      <c r="W20" s="47"/>
      <c r="X20" s="47"/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27.5</v>
      </c>
      <c r="I21" s="72">
        <v>7.2</v>
      </c>
      <c r="J21" s="72">
        <v>7.2</v>
      </c>
      <c r="K21" s="73">
        <v>151.80000000000001</v>
      </c>
      <c r="L21" s="59"/>
      <c r="M21" s="60"/>
      <c r="N21" s="60"/>
      <c r="O21" s="60">
        <v>1.5629999999999999</v>
      </c>
      <c r="P21" s="60"/>
      <c r="Q21" s="60"/>
      <c r="R21" s="60"/>
      <c r="S21" s="60"/>
      <c r="T21" s="60">
        <v>10.048999999999999</v>
      </c>
      <c r="U21" s="60">
        <v>9.5299999999999994</v>
      </c>
      <c r="V21" s="60">
        <v>1.35</v>
      </c>
      <c r="W21" s="49"/>
      <c r="X21" s="49"/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27.2</v>
      </c>
      <c r="I22" s="72">
        <v>7.16</v>
      </c>
      <c r="J22" s="72">
        <v>7.05</v>
      </c>
      <c r="K22" s="73">
        <v>155</v>
      </c>
      <c r="L22" s="59"/>
      <c r="M22" s="60"/>
      <c r="N22" s="60"/>
      <c r="O22" s="60">
        <v>1.5569999999999999</v>
      </c>
      <c r="P22" s="60"/>
      <c r="Q22" s="60"/>
      <c r="R22" s="60"/>
      <c r="S22" s="60"/>
      <c r="T22" s="60">
        <v>11.33</v>
      </c>
      <c r="U22" s="60">
        <v>9.59</v>
      </c>
      <c r="V22" s="60">
        <v>0.75</v>
      </c>
      <c r="W22" s="49"/>
      <c r="X22" s="49"/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27.81</v>
      </c>
      <c r="I23" s="72">
        <v>7.2</v>
      </c>
      <c r="J23" s="72">
        <v>6.61</v>
      </c>
      <c r="K23" s="73">
        <v>185</v>
      </c>
      <c r="L23" s="59"/>
      <c r="M23" s="60"/>
      <c r="N23" s="60"/>
      <c r="O23" s="60">
        <v>1.1890000000000001</v>
      </c>
      <c r="P23" s="60"/>
      <c r="Q23" s="60"/>
      <c r="R23" s="60"/>
      <c r="S23" s="60"/>
      <c r="T23" s="60">
        <v>13.75</v>
      </c>
      <c r="U23" s="60">
        <v>9.9</v>
      </c>
      <c r="V23" s="60">
        <v>3.24</v>
      </c>
      <c r="W23" s="49"/>
      <c r="X23" s="49"/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27.87</v>
      </c>
      <c r="I24" s="72">
        <v>7.15</v>
      </c>
      <c r="J24" s="72">
        <v>6.84</v>
      </c>
      <c r="K24" s="73">
        <v>157</v>
      </c>
      <c r="L24" s="59"/>
      <c r="M24" s="60"/>
      <c r="N24" s="60"/>
      <c r="O24" s="60">
        <v>1.5349999999999999</v>
      </c>
      <c r="P24" s="60"/>
      <c r="Q24" s="60"/>
      <c r="R24" s="60"/>
      <c r="S24" s="60"/>
      <c r="T24" s="60">
        <v>8.0259999999999998</v>
      </c>
      <c r="U24" s="62">
        <v>4.67</v>
      </c>
      <c r="V24" s="62">
        <v>-0.27</v>
      </c>
      <c r="W24" s="50"/>
      <c r="X24" s="50"/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24.49</v>
      </c>
      <c r="I25" s="28">
        <v>7.58</v>
      </c>
      <c r="J25" s="28">
        <v>8.7799999999999994</v>
      </c>
      <c r="K25" s="74">
        <v>104</v>
      </c>
      <c r="L25" s="57"/>
      <c r="M25" s="54"/>
      <c r="N25" s="54"/>
      <c r="O25" s="58">
        <v>0.97099999999999997</v>
      </c>
      <c r="P25" s="58"/>
      <c r="Q25" s="58"/>
      <c r="R25" s="58"/>
      <c r="S25" s="58"/>
      <c r="T25" s="58">
        <v>9.0559999999999992</v>
      </c>
      <c r="U25" s="58">
        <v>7.49</v>
      </c>
      <c r="V25" s="58">
        <v>2.5299999999999998</v>
      </c>
      <c r="W25" s="86">
        <v>19.471254481382001</v>
      </c>
      <c r="X25" s="86">
        <v>12.907176930257224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24.99</v>
      </c>
      <c r="I26" s="28">
        <v>7.34</v>
      </c>
      <c r="J26" s="28">
        <v>8.39</v>
      </c>
      <c r="K26" s="74">
        <v>120</v>
      </c>
      <c r="L26" s="57"/>
      <c r="M26" s="55"/>
      <c r="N26" s="55"/>
      <c r="O26" s="55">
        <v>0.90300000000000002</v>
      </c>
      <c r="P26" s="55"/>
      <c r="Q26" s="55"/>
      <c r="R26" s="55"/>
      <c r="S26" s="55"/>
      <c r="T26" s="55">
        <v>12.510999999999999</v>
      </c>
      <c r="U26" s="55">
        <v>7.75</v>
      </c>
      <c r="V26" s="55">
        <v>0.71</v>
      </c>
      <c r="W26" s="87">
        <v>22.854924018188399</v>
      </c>
      <c r="X26" s="87">
        <v>9.4441078766691611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24.92</v>
      </c>
      <c r="I27" s="75">
        <v>7.34</v>
      </c>
      <c r="J27" s="75">
        <v>8.36</v>
      </c>
      <c r="K27" s="77">
        <v>118</v>
      </c>
      <c r="L27" s="57"/>
      <c r="M27" s="55"/>
      <c r="N27" s="55"/>
      <c r="O27" s="55">
        <v>0.995</v>
      </c>
      <c r="P27" s="55"/>
      <c r="Q27" s="55"/>
      <c r="R27" s="55"/>
      <c r="S27" s="55"/>
      <c r="T27" s="55">
        <v>12.52</v>
      </c>
      <c r="U27" s="55">
        <v>7.59</v>
      </c>
      <c r="V27" s="55">
        <v>0.8</v>
      </c>
      <c r="W27" s="87">
        <v>25.8221336469378</v>
      </c>
      <c r="X27" s="87">
        <v>8.4464970045217687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25.3</v>
      </c>
      <c r="I28" s="28">
        <v>7.45</v>
      </c>
      <c r="J28" s="28">
        <v>8.76</v>
      </c>
      <c r="K28" s="74">
        <v>117</v>
      </c>
      <c r="L28" s="57"/>
      <c r="M28" s="54"/>
      <c r="N28" s="54"/>
      <c r="O28" s="54">
        <v>1.143</v>
      </c>
      <c r="P28" s="54"/>
      <c r="Q28" s="54"/>
      <c r="R28" s="54"/>
      <c r="S28" s="54"/>
      <c r="T28" s="54">
        <v>12.462999999999999</v>
      </c>
      <c r="U28" s="54">
        <v>8.11</v>
      </c>
      <c r="V28" s="54">
        <v>0.65</v>
      </c>
      <c r="W28" s="85">
        <v>25.467237180056902</v>
      </c>
      <c r="X28" s="85">
        <v>8.6977047867102808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17"/>
  <sheetViews>
    <sheetView topLeftCell="B1" zoomScale="80" zoomScaleNormal="80" workbookViewId="0">
      <selection activeCell="S33" sqref="S33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31" ht="31.5">
      <c r="A1" s="109" t="s">
        <v>74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Y1" s="2"/>
    </row>
    <row r="2" spans="1:31" ht="17.25" thickBot="1">
      <c r="Y2" s="3"/>
    </row>
    <row r="3" spans="1:31" ht="26.25" customHeight="1" thickBot="1">
      <c r="A3" s="110" t="s">
        <v>1</v>
      </c>
      <c r="B3" s="112" t="s">
        <v>62</v>
      </c>
      <c r="C3" s="112" t="s">
        <v>63</v>
      </c>
      <c r="D3" s="110" t="s">
        <v>7</v>
      </c>
      <c r="E3" s="114" t="s">
        <v>8</v>
      </c>
      <c r="F3" s="115"/>
      <c r="G3" s="116" t="s">
        <v>9</v>
      </c>
      <c r="H3" s="116"/>
      <c r="I3" s="116"/>
      <c r="J3" s="116"/>
      <c r="K3" s="116"/>
      <c r="L3" s="107" t="s">
        <v>56</v>
      </c>
      <c r="M3" s="108"/>
      <c r="N3" s="108"/>
      <c r="O3" s="108"/>
      <c r="P3" s="108"/>
      <c r="Q3" s="108"/>
      <c r="R3" s="108"/>
      <c r="S3" s="108"/>
      <c r="T3" s="108"/>
      <c r="U3" s="9"/>
      <c r="V3" s="9"/>
      <c r="W3" s="9"/>
      <c r="X3" s="9"/>
      <c r="Y3" s="117" t="s">
        <v>10</v>
      </c>
      <c r="Z3" s="128" t="s">
        <v>827</v>
      </c>
    </row>
    <row r="4" spans="1:31" ht="33.75" customHeight="1" thickBot="1">
      <c r="A4" s="111"/>
      <c r="B4" s="111"/>
      <c r="C4" s="111"/>
      <c r="D4" s="11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18"/>
      <c r="Z4" s="128" t="s">
        <v>179</v>
      </c>
      <c r="AA4" s="128" t="s">
        <v>180</v>
      </c>
      <c r="AB4" s="128" t="s">
        <v>181</v>
      </c>
      <c r="AC4" s="128" t="s">
        <v>182</v>
      </c>
      <c r="AD4" s="128" t="s">
        <v>183</v>
      </c>
      <c r="AE4" s="129" t="s">
        <v>828</v>
      </c>
    </row>
    <row r="5" spans="1:31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45558</v>
      </c>
      <c r="F5" s="15"/>
      <c r="G5" s="13" t="s">
        <v>134</v>
      </c>
      <c r="H5" s="27">
        <v>21.3</v>
      </c>
      <c r="I5" s="27">
        <v>7.95</v>
      </c>
      <c r="J5" s="27">
        <v>8.6199999999999992</v>
      </c>
      <c r="K5" s="76">
        <v>127</v>
      </c>
      <c r="L5" s="56"/>
      <c r="M5" s="53"/>
      <c r="N5" s="53"/>
      <c r="O5" s="53">
        <v>2.032</v>
      </c>
      <c r="P5" s="53"/>
      <c r="Q5" s="53"/>
      <c r="R5" s="53"/>
      <c r="S5" s="53"/>
      <c r="T5" s="53">
        <v>8.7530000000000001</v>
      </c>
      <c r="U5" s="121">
        <v>2.82</v>
      </c>
      <c r="V5" s="121">
        <v>-0.84</v>
      </c>
      <c r="W5" s="53"/>
      <c r="X5" s="53"/>
      <c r="Y5" s="63"/>
      <c r="Z5" s="130">
        <v>0.21199999999999999</v>
      </c>
      <c r="AA5" s="130">
        <v>5.7000000000000002E-2</v>
      </c>
      <c r="AB5" s="130">
        <v>0.17</v>
      </c>
      <c r="AC5" s="130">
        <v>5.0000000000000001E-3</v>
      </c>
      <c r="AD5" s="130">
        <v>0.55600000000000005</v>
      </c>
      <c r="AE5">
        <f>SUM(Z5:AD5)</f>
        <v>1</v>
      </c>
    </row>
    <row r="6" spans="1:31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45558</v>
      </c>
      <c r="F6" s="20"/>
      <c r="G6" s="18" t="s">
        <v>134</v>
      </c>
      <c r="H6" s="28">
        <v>21.8</v>
      </c>
      <c r="I6" s="28">
        <v>7.39</v>
      </c>
      <c r="J6" s="28">
        <v>8.4600000000000009</v>
      </c>
      <c r="K6" s="74">
        <v>138</v>
      </c>
      <c r="L6" s="57"/>
      <c r="M6" s="54"/>
      <c r="N6" s="54"/>
      <c r="O6" s="54">
        <v>2.137</v>
      </c>
      <c r="P6" s="54"/>
      <c r="Q6" s="54"/>
      <c r="R6" s="54"/>
      <c r="S6" s="54"/>
      <c r="T6" s="54">
        <v>8.5760000000000005</v>
      </c>
      <c r="U6" s="122">
        <v>2.78</v>
      </c>
      <c r="V6" s="122">
        <v>-2.58</v>
      </c>
      <c r="W6" s="54"/>
      <c r="X6" s="54"/>
      <c r="Y6" s="64"/>
      <c r="Z6" s="130">
        <v>0.13500000000000001</v>
      </c>
      <c r="AA6" s="130">
        <v>3.7999999999999999E-2</v>
      </c>
      <c r="AB6" s="130">
        <v>0.22600000000000001</v>
      </c>
      <c r="AC6" s="130">
        <v>6.0000000000000001E-3</v>
      </c>
      <c r="AD6" s="130">
        <v>0.59499999999999997</v>
      </c>
      <c r="AE6">
        <f t="shared" ref="AE6:AE28" si="0">SUM(Z6:AD6)</f>
        <v>1</v>
      </c>
    </row>
    <row r="7" spans="1:31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45558</v>
      </c>
      <c r="F7" s="20"/>
      <c r="G7" s="18" t="s">
        <v>134</v>
      </c>
      <c r="H7" s="28">
        <v>21.9</v>
      </c>
      <c r="I7" s="28">
        <v>7.53</v>
      </c>
      <c r="J7" s="28">
        <v>8.41</v>
      </c>
      <c r="K7" s="74">
        <v>146</v>
      </c>
      <c r="L7" s="57"/>
      <c r="M7" s="54"/>
      <c r="N7" s="54"/>
      <c r="O7" s="54">
        <v>2.1419999999999999</v>
      </c>
      <c r="P7" s="54"/>
      <c r="Q7" s="54"/>
      <c r="R7" s="54"/>
      <c r="S7" s="54"/>
      <c r="T7" s="54">
        <v>8.8390000000000004</v>
      </c>
      <c r="U7" s="123">
        <v>3.38</v>
      </c>
      <c r="V7" s="123">
        <v>-1.92</v>
      </c>
      <c r="W7" s="58"/>
      <c r="X7" s="54"/>
      <c r="Y7" s="64"/>
      <c r="Z7" s="130">
        <v>0.14599999999999999</v>
      </c>
      <c r="AA7" s="130">
        <v>4.4999999999999998E-2</v>
      </c>
      <c r="AB7" s="130">
        <v>0.20599999999999999</v>
      </c>
      <c r="AC7" s="130">
        <v>6.0000000000000001E-3</v>
      </c>
      <c r="AD7" s="130">
        <v>0.59699999999999998</v>
      </c>
      <c r="AE7">
        <f t="shared" si="0"/>
        <v>1</v>
      </c>
    </row>
    <row r="8" spans="1:31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45558</v>
      </c>
      <c r="F8" s="20"/>
      <c r="G8" s="18" t="s">
        <v>134</v>
      </c>
      <c r="H8" s="28">
        <v>23</v>
      </c>
      <c r="I8" s="28">
        <v>7.34</v>
      </c>
      <c r="J8" s="28">
        <v>6.53</v>
      </c>
      <c r="K8" s="74">
        <v>219</v>
      </c>
      <c r="L8" s="57"/>
      <c r="M8" s="54"/>
      <c r="N8" s="54"/>
      <c r="O8" s="54">
        <v>1.7010000000000001</v>
      </c>
      <c r="P8" s="54"/>
      <c r="Q8" s="54"/>
      <c r="R8" s="54"/>
      <c r="S8" s="54"/>
      <c r="T8" s="54">
        <v>13.954000000000001</v>
      </c>
      <c r="U8" s="122">
        <v>4.46</v>
      </c>
      <c r="V8" s="124">
        <v>-2.14</v>
      </c>
      <c r="W8" s="55"/>
      <c r="X8" s="55"/>
      <c r="Y8" s="64"/>
      <c r="Z8" s="130">
        <v>0.17</v>
      </c>
      <c r="AA8" s="130">
        <v>5.2999999999999999E-2</v>
      </c>
      <c r="AB8" s="130">
        <v>0.20100000000000001</v>
      </c>
      <c r="AC8" s="130">
        <v>6.0000000000000001E-3</v>
      </c>
      <c r="AD8" s="130">
        <v>0.56999999999999995</v>
      </c>
      <c r="AE8">
        <f t="shared" si="0"/>
        <v>1</v>
      </c>
    </row>
    <row r="9" spans="1:31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45558</v>
      </c>
      <c r="F9" s="45"/>
      <c r="G9" s="43" t="s">
        <v>134</v>
      </c>
      <c r="H9" s="72">
        <v>20.79</v>
      </c>
      <c r="I9" s="72">
        <v>7.66</v>
      </c>
      <c r="J9" s="72">
        <v>10.26</v>
      </c>
      <c r="K9" s="73">
        <v>84</v>
      </c>
      <c r="L9" s="59"/>
      <c r="M9" s="60"/>
      <c r="N9" s="60"/>
      <c r="O9" s="61">
        <v>1.752</v>
      </c>
      <c r="P9" s="61"/>
      <c r="Q9" s="61"/>
      <c r="R9" s="61"/>
      <c r="S9" s="61"/>
      <c r="T9" s="61">
        <v>7.3540000000000001</v>
      </c>
      <c r="U9" s="125">
        <v>1.98</v>
      </c>
      <c r="V9" s="125">
        <v>2.0499999999999998</v>
      </c>
      <c r="W9" s="61"/>
      <c r="X9" s="61"/>
      <c r="Y9" s="65"/>
      <c r="Z9" s="130">
        <v>0.14699999999999999</v>
      </c>
      <c r="AA9" s="130">
        <v>4.1000000000000002E-2</v>
      </c>
      <c r="AB9" s="130">
        <v>0.21</v>
      </c>
      <c r="AC9" s="130">
        <v>6.0000000000000001E-3</v>
      </c>
      <c r="AD9" s="130">
        <v>0.59599999999999997</v>
      </c>
      <c r="AE9">
        <f t="shared" si="0"/>
        <v>1</v>
      </c>
    </row>
    <row r="10" spans="1:31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45558</v>
      </c>
      <c r="F10" s="45"/>
      <c r="G10" s="43" t="s">
        <v>134</v>
      </c>
      <c r="H10" s="72">
        <v>21.45</v>
      </c>
      <c r="I10" s="72">
        <v>7.49</v>
      </c>
      <c r="J10" s="72">
        <v>10.199999999999999</v>
      </c>
      <c r="K10" s="73">
        <v>120</v>
      </c>
      <c r="L10" s="59"/>
      <c r="M10" s="60"/>
      <c r="N10" s="60"/>
      <c r="O10" s="60">
        <v>1.67</v>
      </c>
      <c r="P10" s="60"/>
      <c r="Q10" s="60"/>
      <c r="R10" s="60"/>
      <c r="S10" s="60"/>
      <c r="T10" s="60">
        <v>12.948</v>
      </c>
      <c r="U10" s="126">
        <v>8.43</v>
      </c>
      <c r="V10" s="126">
        <v>0.78</v>
      </c>
      <c r="W10" s="60"/>
      <c r="X10" s="60"/>
      <c r="Y10" s="65"/>
      <c r="Z10" s="130">
        <v>0.29299999999999998</v>
      </c>
      <c r="AA10" s="130">
        <v>8.4000000000000005E-2</v>
      </c>
      <c r="AB10" s="130">
        <v>0.14899999999999999</v>
      </c>
      <c r="AC10" s="130">
        <v>7.0000000000000001E-3</v>
      </c>
      <c r="AD10" s="130">
        <v>0.46700000000000003</v>
      </c>
      <c r="AE10">
        <f t="shared" si="0"/>
        <v>1</v>
      </c>
    </row>
    <row r="11" spans="1:31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45558</v>
      </c>
      <c r="F11" s="45"/>
      <c r="G11" s="43" t="s">
        <v>134</v>
      </c>
      <c r="H11" s="72">
        <v>21.76</v>
      </c>
      <c r="I11" s="72">
        <v>7.44</v>
      </c>
      <c r="J11" s="72">
        <v>9.6300000000000008</v>
      </c>
      <c r="K11" s="73">
        <v>144</v>
      </c>
      <c r="L11" s="59"/>
      <c r="M11" s="60"/>
      <c r="N11" s="60"/>
      <c r="O11" s="60">
        <v>1.84</v>
      </c>
      <c r="P11" s="60"/>
      <c r="Q11" s="60"/>
      <c r="R11" s="60"/>
      <c r="S11" s="60"/>
      <c r="T11" s="60">
        <v>14.073</v>
      </c>
      <c r="U11" s="126">
        <v>8.25</v>
      </c>
      <c r="V11" s="126">
        <v>-0.35</v>
      </c>
      <c r="W11" s="60"/>
      <c r="X11" s="60"/>
      <c r="Y11" s="65"/>
      <c r="Z11" s="130">
        <v>0.27800000000000002</v>
      </c>
      <c r="AA11" s="130">
        <v>8.3000000000000004E-2</v>
      </c>
      <c r="AB11" s="130">
        <v>0.156</v>
      </c>
      <c r="AC11" s="130">
        <v>6.0000000000000001E-3</v>
      </c>
      <c r="AD11" s="130">
        <v>0.47699999999999998</v>
      </c>
      <c r="AE11">
        <f t="shared" si="0"/>
        <v>1</v>
      </c>
    </row>
    <row r="12" spans="1:31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45558</v>
      </c>
      <c r="F12" s="45"/>
      <c r="G12" s="43" t="s">
        <v>134</v>
      </c>
      <c r="H12" s="72">
        <v>21.59</v>
      </c>
      <c r="I12" s="72">
        <v>7.28</v>
      </c>
      <c r="J12" s="72">
        <v>8.57</v>
      </c>
      <c r="K12" s="73">
        <v>339</v>
      </c>
      <c r="L12" s="59"/>
      <c r="M12" s="60"/>
      <c r="N12" s="60"/>
      <c r="O12" s="60">
        <v>0.70099999999999996</v>
      </c>
      <c r="P12" s="60"/>
      <c r="Q12" s="60"/>
      <c r="R12" s="60"/>
      <c r="S12" s="60"/>
      <c r="T12" s="60">
        <v>30.856000000000002</v>
      </c>
      <c r="U12" s="126">
        <v>12.56</v>
      </c>
      <c r="V12" s="126">
        <v>4.07</v>
      </c>
      <c r="W12" s="60"/>
      <c r="X12" s="60"/>
      <c r="Y12" s="65"/>
      <c r="Z12" s="130">
        <v>0.42699999999999999</v>
      </c>
      <c r="AA12" s="130">
        <v>0.14099999999999999</v>
      </c>
      <c r="AB12" s="130">
        <v>0.111</v>
      </c>
      <c r="AC12" s="130">
        <v>8.0000000000000002E-3</v>
      </c>
      <c r="AD12" s="130">
        <v>0.313</v>
      </c>
      <c r="AE12">
        <f t="shared" si="0"/>
        <v>1</v>
      </c>
    </row>
    <row r="13" spans="1:31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45558</v>
      </c>
      <c r="F13" s="45"/>
      <c r="G13" s="43" t="s">
        <v>134</v>
      </c>
      <c r="H13" s="72">
        <v>21.84</v>
      </c>
      <c r="I13" s="72">
        <v>7.29</v>
      </c>
      <c r="J13" s="72">
        <v>8.7100000000000009</v>
      </c>
      <c r="K13" s="73">
        <v>221</v>
      </c>
      <c r="L13" s="59"/>
      <c r="M13" s="60"/>
      <c r="N13" s="60"/>
      <c r="O13" s="60">
        <v>1.857</v>
      </c>
      <c r="P13" s="60"/>
      <c r="Q13" s="60"/>
      <c r="R13" s="60"/>
      <c r="S13" s="60"/>
      <c r="T13" s="60">
        <v>21.363</v>
      </c>
      <c r="U13" s="126">
        <v>7.14</v>
      </c>
      <c r="V13" s="127">
        <v>-2.67</v>
      </c>
      <c r="W13" s="62"/>
      <c r="X13" s="62"/>
      <c r="Y13" s="65"/>
      <c r="Z13" s="130">
        <v>0.22900000000000001</v>
      </c>
      <c r="AA13" s="130">
        <v>6.5000000000000002E-2</v>
      </c>
      <c r="AB13" s="130">
        <v>0.16300000000000001</v>
      </c>
      <c r="AC13" s="130">
        <v>7.0000000000000001E-3</v>
      </c>
      <c r="AD13" s="130">
        <v>0.53600000000000003</v>
      </c>
      <c r="AE13">
        <f t="shared" si="0"/>
        <v>1</v>
      </c>
    </row>
    <row r="14" spans="1:31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45558</v>
      </c>
      <c r="F14" s="20"/>
      <c r="G14" s="18" t="s">
        <v>134</v>
      </c>
      <c r="H14" s="28">
        <v>22.67</v>
      </c>
      <c r="I14" s="28">
        <v>7.61</v>
      </c>
      <c r="J14" s="28">
        <v>7.83</v>
      </c>
      <c r="K14" s="74">
        <v>137.19999999999999</v>
      </c>
      <c r="L14" s="57"/>
      <c r="M14" s="54"/>
      <c r="N14" s="54"/>
      <c r="O14" s="58">
        <v>2.1589999999999998</v>
      </c>
      <c r="P14" s="58"/>
      <c r="Q14" s="58"/>
      <c r="R14" s="58"/>
      <c r="S14" s="58"/>
      <c r="T14" s="58">
        <v>5.758</v>
      </c>
      <c r="U14" s="123">
        <v>4.8</v>
      </c>
      <c r="V14" s="123">
        <v>-0.72</v>
      </c>
      <c r="W14" s="58"/>
      <c r="X14" s="58"/>
      <c r="Y14" s="64"/>
      <c r="Z14" s="130">
        <v>0.185</v>
      </c>
      <c r="AA14" s="130">
        <v>5.5E-2</v>
      </c>
      <c r="AB14" s="130">
        <v>0.19500000000000001</v>
      </c>
      <c r="AC14" s="130">
        <v>7.0000000000000001E-3</v>
      </c>
      <c r="AD14" s="130">
        <v>0.55800000000000005</v>
      </c>
      <c r="AE14">
        <f t="shared" si="0"/>
        <v>1</v>
      </c>
    </row>
    <row r="15" spans="1:31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45558</v>
      </c>
      <c r="F15" s="20"/>
      <c r="G15" s="18" t="s">
        <v>134</v>
      </c>
      <c r="H15" s="28">
        <v>22.91</v>
      </c>
      <c r="I15" s="28">
        <v>7.07</v>
      </c>
      <c r="J15" s="28">
        <v>8.25</v>
      </c>
      <c r="K15" s="74">
        <v>127.6</v>
      </c>
      <c r="L15" s="57"/>
      <c r="M15" s="54"/>
      <c r="N15" s="54"/>
      <c r="O15" s="54">
        <v>2.1850000000000001</v>
      </c>
      <c r="P15" s="54"/>
      <c r="Q15" s="54"/>
      <c r="R15" s="54"/>
      <c r="S15" s="54"/>
      <c r="T15" s="54">
        <v>5.5590000000000002</v>
      </c>
      <c r="U15" s="122">
        <v>5.13</v>
      </c>
      <c r="V15" s="122">
        <v>-0.4</v>
      </c>
      <c r="W15" s="54"/>
      <c r="X15" s="54"/>
      <c r="Y15" s="64"/>
      <c r="Z15" s="130">
        <v>0.19500000000000001</v>
      </c>
      <c r="AA15" s="130">
        <v>5.8000000000000003E-2</v>
      </c>
      <c r="AB15" s="130">
        <v>0.188</v>
      </c>
      <c r="AC15" s="130">
        <v>7.0000000000000001E-3</v>
      </c>
      <c r="AD15" s="130">
        <v>0.55200000000000005</v>
      </c>
      <c r="AE15">
        <f t="shared" si="0"/>
        <v>1</v>
      </c>
    </row>
    <row r="16" spans="1:31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45558</v>
      </c>
      <c r="F16" s="20"/>
      <c r="G16" s="18" t="s">
        <v>134</v>
      </c>
      <c r="H16" s="28">
        <v>23.08</v>
      </c>
      <c r="I16" s="28">
        <v>7.06</v>
      </c>
      <c r="J16" s="28">
        <v>8.19</v>
      </c>
      <c r="K16" s="74">
        <v>129.5</v>
      </c>
      <c r="L16" s="57"/>
      <c r="M16" s="54"/>
      <c r="N16" s="54"/>
      <c r="O16" s="54">
        <v>2.1640000000000001</v>
      </c>
      <c r="P16" s="54"/>
      <c r="Q16" s="54"/>
      <c r="R16" s="54"/>
      <c r="S16" s="54"/>
      <c r="T16" s="54">
        <v>5.7969999999999997</v>
      </c>
      <c r="U16" s="122">
        <v>4.9400000000000004</v>
      </c>
      <c r="V16" s="122">
        <v>-0.57999999999999996</v>
      </c>
      <c r="W16" s="54"/>
      <c r="X16" s="54"/>
      <c r="Y16" s="64"/>
      <c r="Z16" s="130">
        <v>0.189</v>
      </c>
      <c r="AA16" s="130">
        <v>5.3999999999999999E-2</v>
      </c>
      <c r="AB16" s="130">
        <v>0.19</v>
      </c>
      <c r="AC16" s="130">
        <v>7.0000000000000001E-3</v>
      </c>
      <c r="AD16" s="130">
        <v>0.56000000000000005</v>
      </c>
      <c r="AE16">
        <f t="shared" si="0"/>
        <v>1</v>
      </c>
    </row>
    <row r="17" spans="1:31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45558</v>
      </c>
      <c r="F17" s="20"/>
      <c r="G17" s="18" t="s">
        <v>81</v>
      </c>
      <c r="H17" s="28">
        <v>22.77</v>
      </c>
      <c r="I17" s="28">
        <v>6.66</v>
      </c>
      <c r="J17" s="28">
        <v>7</v>
      </c>
      <c r="K17" s="74">
        <v>186.2</v>
      </c>
      <c r="L17" s="57"/>
      <c r="M17" s="54"/>
      <c r="N17" s="54"/>
      <c r="O17" s="54">
        <v>3.5609999999999999</v>
      </c>
      <c r="P17" s="54"/>
      <c r="Q17" s="54"/>
      <c r="R17" s="54"/>
      <c r="S17" s="54"/>
      <c r="T17" s="54">
        <v>9.6140000000000008</v>
      </c>
      <c r="U17" s="122">
        <v>7.83</v>
      </c>
      <c r="V17" s="122">
        <v>0.59</v>
      </c>
      <c r="W17" s="54"/>
      <c r="X17" s="54"/>
      <c r="Y17" s="64"/>
      <c r="Z17" s="130">
        <v>0.26500000000000001</v>
      </c>
      <c r="AA17" s="130">
        <v>7.8E-2</v>
      </c>
      <c r="AB17" s="130">
        <v>0.159</v>
      </c>
      <c r="AC17" s="130">
        <v>7.0000000000000001E-3</v>
      </c>
      <c r="AD17" s="130">
        <v>0.49099999999999999</v>
      </c>
      <c r="AE17">
        <f t="shared" si="0"/>
        <v>1</v>
      </c>
    </row>
    <row r="18" spans="1:31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45558</v>
      </c>
      <c r="F18" s="20"/>
      <c r="G18" s="18" t="s">
        <v>81</v>
      </c>
      <c r="H18" s="28">
        <v>23.64</v>
      </c>
      <c r="I18" s="28">
        <v>6.72</v>
      </c>
      <c r="J18" s="28">
        <v>8.16</v>
      </c>
      <c r="K18" s="74">
        <v>175.1</v>
      </c>
      <c r="L18" s="57"/>
      <c r="M18" s="54"/>
      <c r="N18" s="54"/>
      <c r="O18" s="54">
        <v>1.7789999999999999</v>
      </c>
      <c r="P18" s="54"/>
      <c r="Q18" s="54"/>
      <c r="R18" s="54"/>
      <c r="S18" s="54"/>
      <c r="T18" s="54">
        <v>11.368</v>
      </c>
      <c r="U18" s="122">
        <v>6.56</v>
      </c>
      <c r="V18" s="122">
        <v>0.87</v>
      </c>
      <c r="W18" s="54"/>
      <c r="X18" s="54"/>
      <c r="Y18" s="64"/>
      <c r="Z18" s="130">
        <v>0.24399999999999999</v>
      </c>
      <c r="AA18" s="130">
        <v>7.1999999999999995E-2</v>
      </c>
      <c r="AB18" s="130">
        <v>0.16400000000000001</v>
      </c>
      <c r="AC18" s="130">
        <v>7.0000000000000001E-3</v>
      </c>
      <c r="AD18" s="130">
        <v>0.51300000000000001</v>
      </c>
      <c r="AE18">
        <f t="shared" si="0"/>
        <v>1</v>
      </c>
    </row>
    <row r="19" spans="1:31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45558</v>
      </c>
      <c r="F19" s="20"/>
      <c r="G19" s="18" t="s">
        <v>81</v>
      </c>
      <c r="H19" s="28">
        <v>23.04</v>
      </c>
      <c r="I19" s="28">
        <v>6.58</v>
      </c>
      <c r="J19" s="28">
        <v>6.6</v>
      </c>
      <c r="K19" s="74">
        <v>183.5</v>
      </c>
      <c r="L19" s="57"/>
      <c r="M19" s="54"/>
      <c r="N19" s="54"/>
      <c r="O19" s="54">
        <v>3.331</v>
      </c>
      <c r="P19" s="54"/>
      <c r="Q19" s="54"/>
      <c r="R19" s="54"/>
      <c r="S19" s="54"/>
      <c r="T19" s="54">
        <v>8.9570000000000007</v>
      </c>
      <c r="U19" s="122">
        <v>8.2100000000000009</v>
      </c>
      <c r="V19" s="124">
        <v>1.84</v>
      </c>
      <c r="W19" s="55"/>
      <c r="X19" s="55"/>
      <c r="Y19" s="64"/>
      <c r="Z19" s="130">
        <v>0.29499999999999998</v>
      </c>
      <c r="AA19" s="130">
        <v>8.2000000000000003E-2</v>
      </c>
      <c r="AB19" s="130">
        <v>0.16</v>
      </c>
      <c r="AC19" s="130">
        <v>8.0000000000000002E-3</v>
      </c>
      <c r="AD19" s="130">
        <v>0.45500000000000002</v>
      </c>
      <c r="AE19">
        <f t="shared" si="0"/>
        <v>1</v>
      </c>
    </row>
    <row r="20" spans="1:31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45558</v>
      </c>
      <c r="F20" s="45"/>
      <c r="G20" s="43" t="s">
        <v>81</v>
      </c>
      <c r="H20" s="72">
        <v>23.98</v>
      </c>
      <c r="I20" s="72">
        <v>7.05</v>
      </c>
      <c r="J20" s="72">
        <v>7.93</v>
      </c>
      <c r="K20" s="73">
        <v>141.9</v>
      </c>
      <c r="L20" s="59"/>
      <c r="M20" s="60"/>
      <c r="N20" s="60"/>
      <c r="O20" s="61">
        <v>2.0390000000000001</v>
      </c>
      <c r="P20" s="61"/>
      <c r="Q20" s="61"/>
      <c r="R20" s="61"/>
      <c r="S20" s="61"/>
      <c r="T20" s="61">
        <v>7.2519999999999998</v>
      </c>
      <c r="U20" s="125">
        <v>5.64</v>
      </c>
      <c r="V20" s="125">
        <v>1.92</v>
      </c>
      <c r="W20" s="61"/>
      <c r="X20" s="61"/>
      <c r="Y20" s="65"/>
      <c r="Z20" s="130">
        <v>0.21099999999999999</v>
      </c>
      <c r="AA20" s="130">
        <v>6.9000000000000006E-2</v>
      </c>
      <c r="AB20" s="130">
        <v>0.184</v>
      </c>
      <c r="AC20" s="130">
        <v>8.0000000000000002E-3</v>
      </c>
      <c r="AD20" s="130">
        <v>0.52800000000000002</v>
      </c>
      <c r="AE20">
        <f t="shared" si="0"/>
        <v>1</v>
      </c>
    </row>
    <row r="21" spans="1:31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45558</v>
      </c>
      <c r="F21" s="45"/>
      <c r="G21" s="43" t="s">
        <v>81</v>
      </c>
      <c r="H21" s="72">
        <v>24.82</v>
      </c>
      <c r="I21" s="72">
        <v>7.65</v>
      </c>
      <c r="J21" s="72">
        <v>7.92</v>
      </c>
      <c r="K21" s="73">
        <v>193.3</v>
      </c>
      <c r="L21" s="59"/>
      <c r="M21" s="60"/>
      <c r="N21" s="60"/>
      <c r="O21" s="60">
        <v>2.0710000000000002</v>
      </c>
      <c r="P21" s="60"/>
      <c r="Q21" s="60"/>
      <c r="R21" s="60"/>
      <c r="S21" s="60"/>
      <c r="T21" s="60">
        <v>12.406000000000001</v>
      </c>
      <c r="U21" s="126">
        <v>8</v>
      </c>
      <c r="V21" s="126">
        <v>2.11</v>
      </c>
      <c r="W21" s="60"/>
      <c r="X21" s="60"/>
      <c r="Y21" s="65"/>
      <c r="Z21" s="130">
        <v>0.28499999999999998</v>
      </c>
      <c r="AA21" s="130">
        <v>8.1000000000000003E-2</v>
      </c>
      <c r="AB21" s="130">
        <v>0.155</v>
      </c>
      <c r="AC21" s="130">
        <v>8.0000000000000002E-3</v>
      </c>
      <c r="AD21" s="130">
        <v>0.47099999999999997</v>
      </c>
      <c r="AE21">
        <f t="shared" si="0"/>
        <v>1</v>
      </c>
    </row>
    <row r="22" spans="1:31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45558</v>
      </c>
      <c r="F22" s="45"/>
      <c r="G22" s="43" t="s">
        <v>81</v>
      </c>
      <c r="H22" s="72">
        <v>24.52</v>
      </c>
      <c r="I22" s="72">
        <v>7.51</v>
      </c>
      <c r="J22" s="72">
        <v>7.4</v>
      </c>
      <c r="K22" s="73">
        <v>208.7</v>
      </c>
      <c r="L22" s="59"/>
      <c r="M22" s="60"/>
      <c r="N22" s="60"/>
      <c r="O22" s="60">
        <v>1.972</v>
      </c>
      <c r="P22" s="60"/>
      <c r="Q22" s="60"/>
      <c r="R22" s="60"/>
      <c r="S22" s="60"/>
      <c r="T22" s="60">
        <v>13.935</v>
      </c>
      <c r="U22" s="126">
        <v>8.16</v>
      </c>
      <c r="V22" s="126">
        <v>1.79</v>
      </c>
      <c r="W22" s="60"/>
      <c r="X22" s="60"/>
      <c r="Y22" s="65"/>
      <c r="Z22" s="130">
        <v>0.28100000000000003</v>
      </c>
      <c r="AA22" s="130">
        <v>8.5999999999999993E-2</v>
      </c>
      <c r="AB22" s="130">
        <v>0.153</v>
      </c>
      <c r="AC22" s="130">
        <v>7.0000000000000001E-3</v>
      </c>
      <c r="AD22" s="130">
        <v>0.47299999999999998</v>
      </c>
      <c r="AE22">
        <f t="shared" si="0"/>
        <v>1</v>
      </c>
    </row>
    <row r="23" spans="1:31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45558</v>
      </c>
      <c r="F23" s="45"/>
      <c r="G23" s="43" t="s">
        <v>81</v>
      </c>
      <c r="H23" s="72">
        <v>25.86</v>
      </c>
      <c r="I23" s="72">
        <v>7.46</v>
      </c>
      <c r="J23" s="72">
        <v>6.9</v>
      </c>
      <c r="K23" s="73">
        <v>309.10000000000002</v>
      </c>
      <c r="L23" s="59"/>
      <c r="M23" s="60"/>
      <c r="N23" s="60"/>
      <c r="O23" s="60">
        <v>2.605</v>
      </c>
      <c r="P23" s="60"/>
      <c r="Q23" s="60"/>
      <c r="R23" s="60"/>
      <c r="S23" s="60"/>
      <c r="T23" s="60">
        <v>30.437000000000001</v>
      </c>
      <c r="U23" s="126">
        <v>9.75</v>
      </c>
      <c r="V23" s="126">
        <v>1.59</v>
      </c>
      <c r="W23" s="60"/>
      <c r="X23" s="60"/>
      <c r="Y23" s="65"/>
      <c r="Z23" s="130">
        <v>0.34100000000000003</v>
      </c>
      <c r="AA23" s="130">
        <v>9.1999999999999998E-2</v>
      </c>
      <c r="AB23" s="130">
        <v>0.128</v>
      </c>
      <c r="AC23" s="130">
        <v>7.0000000000000001E-3</v>
      </c>
      <c r="AD23" s="130">
        <v>0.432</v>
      </c>
      <c r="AE23">
        <f t="shared" si="0"/>
        <v>1</v>
      </c>
    </row>
    <row r="24" spans="1:31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45558</v>
      </c>
      <c r="F24" s="45"/>
      <c r="G24" s="43" t="s">
        <v>81</v>
      </c>
      <c r="H24" s="72">
        <v>24.21</v>
      </c>
      <c r="I24" s="72">
        <v>7.08</v>
      </c>
      <c r="J24" s="72">
        <v>7.84</v>
      </c>
      <c r="K24" s="73">
        <v>274.8</v>
      </c>
      <c r="L24" s="59"/>
      <c r="M24" s="60"/>
      <c r="N24" s="60"/>
      <c r="O24" s="60">
        <v>1.569</v>
      </c>
      <c r="P24" s="60"/>
      <c r="Q24" s="60"/>
      <c r="R24" s="60"/>
      <c r="S24" s="60"/>
      <c r="T24" s="60">
        <v>21.135999999999999</v>
      </c>
      <c r="U24" s="127">
        <v>9.39</v>
      </c>
      <c r="V24" s="127">
        <v>2.5</v>
      </c>
      <c r="W24" s="62"/>
      <c r="X24" s="62"/>
      <c r="Y24" s="65"/>
      <c r="Z24" s="130">
        <v>0.32800000000000001</v>
      </c>
      <c r="AA24" s="130">
        <v>9.8000000000000004E-2</v>
      </c>
      <c r="AB24" s="130">
        <v>0.13800000000000001</v>
      </c>
      <c r="AC24" s="130">
        <v>8.0000000000000002E-3</v>
      </c>
      <c r="AD24" s="130">
        <v>0.42799999999999999</v>
      </c>
      <c r="AE24">
        <f t="shared" si="0"/>
        <v>1</v>
      </c>
    </row>
    <row r="25" spans="1:31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45558</v>
      </c>
      <c r="F25" s="20"/>
      <c r="G25" s="18" t="s">
        <v>81</v>
      </c>
      <c r="H25" s="28">
        <v>21.7</v>
      </c>
      <c r="I25" s="28">
        <v>8.42</v>
      </c>
      <c r="J25" s="28">
        <v>10.36</v>
      </c>
      <c r="K25" s="74">
        <v>104</v>
      </c>
      <c r="L25" s="57"/>
      <c r="M25" s="54"/>
      <c r="N25" s="54"/>
      <c r="O25" s="58">
        <v>2.0310000000000001</v>
      </c>
      <c r="P25" s="58"/>
      <c r="Q25" s="58"/>
      <c r="R25" s="58"/>
      <c r="S25" s="58"/>
      <c r="T25" s="58">
        <v>5.9089999999999998</v>
      </c>
      <c r="U25" s="123">
        <v>2.19</v>
      </c>
      <c r="V25" s="123">
        <v>-0.53</v>
      </c>
      <c r="W25" s="58"/>
      <c r="X25" s="58"/>
      <c r="Y25" s="64"/>
      <c r="Z25" s="130">
        <v>0.14399999999999999</v>
      </c>
      <c r="AA25" s="130">
        <v>4.2999999999999997E-2</v>
      </c>
      <c r="AB25" s="130">
        <v>0.22</v>
      </c>
      <c r="AC25" s="130">
        <v>6.0000000000000001E-3</v>
      </c>
      <c r="AD25" s="130">
        <v>0.58699999999999997</v>
      </c>
      <c r="AE25">
        <f t="shared" si="0"/>
        <v>1</v>
      </c>
    </row>
    <row r="26" spans="1:31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45558</v>
      </c>
      <c r="F26" s="23"/>
      <c r="G26" s="18" t="s">
        <v>81</v>
      </c>
      <c r="H26" s="28">
        <v>20.96</v>
      </c>
      <c r="I26" s="28">
        <v>7.9</v>
      </c>
      <c r="J26" s="28">
        <v>10.15</v>
      </c>
      <c r="K26" s="74">
        <v>101</v>
      </c>
      <c r="L26" s="57"/>
      <c r="M26" s="55"/>
      <c r="N26" s="55"/>
      <c r="O26" s="55">
        <v>2.3380000000000001</v>
      </c>
      <c r="P26" s="55"/>
      <c r="Q26" s="55"/>
      <c r="R26" s="55"/>
      <c r="S26" s="55"/>
      <c r="T26" s="55">
        <v>7.3620000000000001</v>
      </c>
      <c r="U26" s="124">
        <v>4.6100000000000003</v>
      </c>
      <c r="V26" s="124">
        <v>-0.06</v>
      </c>
      <c r="W26" s="55"/>
      <c r="X26" s="55"/>
      <c r="Y26" s="66"/>
      <c r="Z26" s="130">
        <v>0.193</v>
      </c>
      <c r="AA26" s="130">
        <v>5.5E-2</v>
      </c>
      <c r="AB26" s="130">
        <v>0.21299999999999999</v>
      </c>
      <c r="AC26" s="130">
        <v>7.0000000000000001E-3</v>
      </c>
      <c r="AD26" s="130">
        <v>0.53200000000000003</v>
      </c>
      <c r="AE26">
        <f t="shared" si="0"/>
        <v>1</v>
      </c>
    </row>
    <row r="27" spans="1:31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45558</v>
      </c>
      <c r="F27" s="23"/>
      <c r="G27" s="18" t="s">
        <v>81</v>
      </c>
      <c r="H27" s="75">
        <v>21.12</v>
      </c>
      <c r="I27" s="75">
        <v>7.79</v>
      </c>
      <c r="J27" s="75">
        <v>10.23</v>
      </c>
      <c r="K27" s="77">
        <v>97</v>
      </c>
      <c r="L27" s="57"/>
      <c r="M27" s="55"/>
      <c r="N27" s="55"/>
      <c r="O27" s="55">
        <v>2.2559999999999998</v>
      </c>
      <c r="P27" s="55"/>
      <c r="Q27" s="55"/>
      <c r="R27" s="55"/>
      <c r="S27" s="55"/>
      <c r="T27" s="55">
        <v>7.5640000000000001</v>
      </c>
      <c r="U27" s="124">
        <v>3.61</v>
      </c>
      <c r="V27" s="124">
        <v>-2.4700000000000002</v>
      </c>
      <c r="W27" s="55"/>
      <c r="X27" s="55"/>
      <c r="Y27" s="66"/>
      <c r="Z27" s="130">
        <v>0.153</v>
      </c>
      <c r="AA27" s="130">
        <v>4.8000000000000001E-2</v>
      </c>
      <c r="AB27" s="130">
        <v>0.214</v>
      </c>
      <c r="AC27" s="130">
        <v>6.0000000000000001E-3</v>
      </c>
      <c r="AD27" s="130">
        <v>0.57899999999999996</v>
      </c>
      <c r="AE27">
        <f t="shared" si="0"/>
        <v>1</v>
      </c>
    </row>
    <row r="28" spans="1:31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45558</v>
      </c>
      <c r="F28" s="20"/>
      <c r="G28" s="18" t="s">
        <v>134</v>
      </c>
      <c r="H28" s="28">
        <v>21.15</v>
      </c>
      <c r="I28" s="28">
        <v>7.79</v>
      </c>
      <c r="J28" s="28">
        <v>10.44</v>
      </c>
      <c r="K28" s="74">
        <v>99</v>
      </c>
      <c r="L28" s="57"/>
      <c r="M28" s="54"/>
      <c r="N28" s="54"/>
      <c r="O28" s="54">
        <v>2.2269999999999999</v>
      </c>
      <c r="P28" s="54"/>
      <c r="Q28" s="54"/>
      <c r="R28" s="54"/>
      <c r="S28" s="54"/>
      <c r="T28" s="54">
        <v>7.851</v>
      </c>
      <c r="U28" s="122">
        <v>5.78</v>
      </c>
      <c r="V28" s="122">
        <v>1.18</v>
      </c>
      <c r="W28" s="54"/>
      <c r="X28" s="54"/>
      <c r="Y28" s="64"/>
      <c r="Z28" s="130">
        <v>0.216</v>
      </c>
      <c r="AA28" s="130">
        <v>6.5000000000000002E-2</v>
      </c>
      <c r="AB28" s="130">
        <v>0.187</v>
      </c>
      <c r="AC28" s="130">
        <v>7.0000000000000001E-3</v>
      </c>
      <c r="AD28" s="130">
        <v>0.52500000000000002</v>
      </c>
      <c r="AE28">
        <f t="shared" si="0"/>
        <v>1</v>
      </c>
    </row>
    <row r="29" spans="1:31" ht="20.100000000000001" customHeight="1"/>
    <row r="30" spans="1:31" ht="20.100000000000001" customHeight="1"/>
    <row r="31" spans="1:31" ht="20.100000000000001" customHeight="1"/>
    <row r="32" spans="1:3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conditionalFormatting sqref="Z5:AD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{41664222-56FE-4090-98FF-AA52A739BEA9}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64222-56FE-4090-98FF-AA52A739B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Z5:AD28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7C1-E0B2-40B1-8FE9-B583A25A25D5}">
  <dimension ref="A2:J128"/>
  <sheetViews>
    <sheetView tabSelected="1" workbookViewId="0">
      <selection activeCell="J7" sqref="J7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308</v>
      </c>
    </row>
    <row r="3" spans="1:10">
      <c r="A3" t="s">
        <v>309</v>
      </c>
    </row>
    <row r="4" spans="1:10">
      <c r="A4" t="s">
        <v>308</v>
      </c>
    </row>
    <row r="6" spans="1:10">
      <c r="A6" t="s">
        <v>307</v>
      </c>
    </row>
    <row r="8" spans="1:10">
      <c r="A8" t="s">
        <v>306</v>
      </c>
      <c r="B8" t="s">
        <v>305</v>
      </c>
      <c r="C8" s="119" t="s">
        <v>304</v>
      </c>
      <c r="D8" s="119">
        <v>2.5000000000000001E-2</v>
      </c>
      <c r="E8" s="120">
        <v>0.05</v>
      </c>
      <c r="F8" s="120">
        <v>0.25</v>
      </c>
      <c r="G8" s="120">
        <v>0.5</v>
      </c>
      <c r="H8" s="120">
        <v>0.75</v>
      </c>
      <c r="I8" s="120">
        <v>0.95</v>
      </c>
      <c r="J8" s="119">
        <v>0.97499999999999998</v>
      </c>
    </row>
    <row r="9" spans="1:10">
      <c r="A9" t="s">
        <v>303</v>
      </c>
      <c r="B9">
        <v>0.17</v>
      </c>
      <c r="C9">
        <v>0.112</v>
      </c>
      <c r="D9">
        <v>2.4E-2</v>
      </c>
      <c r="E9">
        <v>0.03</v>
      </c>
      <c r="F9">
        <v>0.08</v>
      </c>
      <c r="G9">
        <v>0.14099999999999999</v>
      </c>
      <c r="H9">
        <v>0.245</v>
      </c>
      <c r="I9">
        <v>0.38500000000000001</v>
      </c>
      <c r="J9">
        <v>0.441</v>
      </c>
    </row>
    <row r="10" spans="1:10">
      <c r="A10" t="s">
        <v>302</v>
      </c>
      <c r="B10">
        <v>0.22600000000000001</v>
      </c>
      <c r="C10">
        <v>0.22900000000000001</v>
      </c>
      <c r="D10">
        <v>6.0000000000000001E-3</v>
      </c>
      <c r="E10">
        <v>0.01</v>
      </c>
      <c r="F10">
        <v>4.4999999999999998E-2</v>
      </c>
      <c r="G10">
        <v>0.129</v>
      </c>
      <c r="H10">
        <v>0.34799999999999998</v>
      </c>
      <c r="I10">
        <v>0.72299999999999998</v>
      </c>
      <c r="J10">
        <v>0.77800000000000002</v>
      </c>
    </row>
    <row r="11" spans="1:10">
      <c r="A11" t="s">
        <v>301</v>
      </c>
      <c r="B11">
        <v>0.20699999999999999</v>
      </c>
      <c r="C11">
        <v>0.20300000000000001</v>
      </c>
      <c r="D11">
        <v>5.0000000000000001E-3</v>
      </c>
      <c r="E11">
        <v>0.01</v>
      </c>
      <c r="F11">
        <v>4.2999999999999997E-2</v>
      </c>
      <c r="G11">
        <v>0.127</v>
      </c>
      <c r="H11">
        <v>0.32500000000000001</v>
      </c>
      <c r="I11">
        <v>0.63300000000000001</v>
      </c>
      <c r="J11">
        <v>0.68899999999999995</v>
      </c>
    </row>
    <row r="12" spans="1:10">
      <c r="A12" t="s">
        <v>300</v>
      </c>
      <c r="B12">
        <v>0.20100000000000001</v>
      </c>
      <c r="C12">
        <v>0.191</v>
      </c>
      <c r="D12">
        <v>7.0000000000000001E-3</v>
      </c>
      <c r="E12">
        <v>1.2E-2</v>
      </c>
      <c r="F12">
        <v>0.05</v>
      </c>
      <c r="G12">
        <v>0.13300000000000001</v>
      </c>
      <c r="H12">
        <v>0.30199999999999999</v>
      </c>
      <c r="I12">
        <v>0.59799999999999998</v>
      </c>
      <c r="J12">
        <v>0.68400000000000005</v>
      </c>
    </row>
    <row r="13" spans="1:10">
      <c r="A13" t="s">
        <v>299</v>
      </c>
      <c r="B13">
        <v>0.21</v>
      </c>
      <c r="C13">
        <v>0.214</v>
      </c>
      <c r="D13">
        <v>5.0000000000000001E-3</v>
      </c>
      <c r="E13">
        <v>8.0000000000000002E-3</v>
      </c>
      <c r="F13">
        <v>4.3999999999999997E-2</v>
      </c>
      <c r="G13">
        <v>0.125</v>
      </c>
      <c r="H13">
        <v>0.311</v>
      </c>
      <c r="I13">
        <v>0.66500000000000004</v>
      </c>
      <c r="J13">
        <v>0.755</v>
      </c>
    </row>
    <row r="14" spans="1:10">
      <c r="A14" t="s">
        <v>298</v>
      </c>
      <c r="B14">
        <v>0.14899999999999999</v>
      </c>
      <c r="C14">
        <v>0.13</v>
      </c>
      <c r="D14">
        <v>6.0000000000000001E-3</v>
      </c>
      <c r="E14">
        <v>0.01</v>
      </c>
      <c r="F14">
        <v>4.3999999999999997E-2</v>
      </c>
      <c r="G14">
        <v>0.113</v>
      </c>
      <c r="H14">
        <v>0.224</v>
      </c>
      <c r="I14">
        <v>0.40400000000000003</v>
      </c>
      <c r="J14">
        <v>0.47499999999999998</v>
      </c>
    </row>
    <row r="15" spans="1:10">
      <c r="A15" t="s">
        <v>297</v>
      </c>
      <c r="B15">
        <v>0.156</v>
      </c>
      <c r="C15">
        <v>0.13400000000000001</v>
      </c>
      <c r="D15">
        <v>6.0000000000000001E-3</v>
      </c>
      <c r="E15">
        <v>0.01</v>
      </c>
      <c r="F15">
        <v>4.7E-2</v>
      </c>
      <c r="G15">
        <v>0.11600000000000001</v>
      </c>
      <c r="H15">
        <v>0.23200000000000001</v>
      </c>
      <c r="I15">
        <v>0.42199999999999999</v>
      </c>
      <c r="J15">
        <v>0.48399999999999999</v>
      </c>
    </row>
    <row r="16" spans="1:10">
      <c r="A16" t="s">
        <v>296</v>
      </c>
      <c r="B16">
        <v>0.111</v>
      </c>
      <c r="C16">
        <v>9.0999999999999998E-2</v>
      </c>
      <c r="D16">
        <v>7.0000000000000001E-3</v>
      </c>
      <c r="E16">
        <v>1.2E-2</v>
      </c>
      <c r="F16">
        <v>0.04</v>
      </c>
      <c r="G16">
        <v>8.6999999999999994E-2</v>
      </c>
      <c r="H16">
        <v>0.155</v>
      </c>
      <c r="I16">
        <v>0.31</v>
      </c>
      <c r="J16">
        <v>0.34</v>
      </c>
    </row>
    <row r="17" spans="1:10">
      <c r="A17" t="s">
        <v>295</v>
      </c>
      <c r="B17">
        <v>0.16300000000000001</v>
      </c>
      <c r="C17">
        <v>0.16</v>
      </c>
      <c r="D17">
        <v>5.0000000000000001E-3</v>
      </c>
      <c r="E17">
        <v>8.9999999999999993E-3</v>
      </c>
      <c r="F17">
        <v>4.1000000000000002E-2</v>
      </c>
      <c r="G17">
        <v>0.105</v>
      </c>
      <c r="H17">
        <v>0.24</v>
      </c>
      <c r="I17">
        <v>0.49099999999999999</v>
      </c>
      <c r="J17">
        <v>0.57799999999999996</v>
      </c>
    </row>
    <row r="18" spans="1:10">
      <c r="A18" t="s">
        <v>294</v>
      </c>
      <c r="B18">
        <v>0.19500000000000001</v>
      </c>
      <c r="C18">
        <v>0.189</v>
      </c>
      <c r="D18">
        <v>4.0000000000000001E-3</v>
      </c>
      <c r="E18">
        <v>8.0000000000000002E-3</v>
      </c>
      <c r="F18">
        <v>4.3999999999999997E-2</v>
      </c>
      <c r="G18">
        <v>0.128</v>
      </c>
      <c r="H18">
        <v>0.29399999999999998</v>
      </c>
      <c r="I18">
        <v>0.58599999999999997</v>
      </c>
      <c r="J18">
        <v>0.68100000000000005</v>
      </c>
    </row>
    <row r="19" spans="1:10">
      <c r="A19" t="s">
        <v>293</v>
      </c>
      <c r="B19">
        <v>0.188</v>
      </c>
      <c r="C19">
        <v>0.17799999999999999</v>
      </c>
      <c r="D19">
        <v>6.0000000000000001E-3</v>
      </c>
      <c r="E19">
        <v>8.9999999999999993E-3</v>
      </c>
      <c r="F19">
        <v>4.5999999999999999E-2</v>
      </c>
      <c r="G19">
        <v>0.126</v>
      </c>
      <c r="H19">
        <v>0.28399999999999997</v>
      </c>
      <c r="I19">
        <v>0.56799999999999995</v>
      </c>
      <c r="J19">
        <v>0.63500000000000001</v>
      </c>
    </row>
    <row r="20" spans="1:10">
      <c r="A20" t="s">
        <v>292</v>
      </c>
      <c r="B20">
        <v>0.19</v>
      </c>
      <c r="C20">
        <v>0.184</v>
      </c>
      <c r="D20">
        <v>6.0000000000000001E-3</v>
      </c>
      <c r="E20">
        <v>1.0999999999999999E-2</v>
      </c>
      <c r="F20">
        <v>4.3999999999999997E-2</v>
      </c>
      <c r="G20">
        <v>0.122</v>
      </c>
      <c r="H20">
        <v>0.28100000000000003</v>
      </c>
      <c r="I20">
        <v>0.58499999999999996</v>
      </c>
      <c r="J20">
        <v>0.65100000000000002</v>
      </c>
    </row>
    <row r="21" spans="1:10">
      <c r="A21" t="s">
        <v>291</v>
      </c>
      <c r="B21">
        <v>0.159</v>
      </c>
      <c r="C21">
        <v>0.14299999999999999</v>
      </c>
      <c r="D21">
        <v>7.0000000000000001E-3</v>
      </c>
      <c r="E21">
        <v>1.2E-2</v>
      </c>
      <c r="F21">
        <v>4.4999999999999998E-2</v>
      </c>
      <c r="G21">
        <v>0.11700000000000001</v>
      </c>
      <c r="H21">
        <v>0.23200000000000001</v>
      </c>
      <c r="I21">
        <v>0.442</v>
      </c>
      <c r="J21">
        <v>0.52500000000000002</v>
      </c>
    </row>
    <row r="22" spans="1:10">
      <c r="A22" t="s">
        <v>290</v>
      </c>
      <c r="B22">
        <v>0.16400000000000001</v>
      </c>
      <c r="C22">
        <v>0.14899999999999999</v>
      </c>
      <c r="D22">
        <v>7.0000000000000001E-3</v>
      </c>
      <c r="E22">
        <v>0.01</v>
      </c>
      <c r="F22">
        <v>4.7E-2</v>
      </c>
      <c r="G22">
        <v>0.11600000000000001</v>
      </c>
      <c r="H22">
        <v>0.24299999999999999</v>
      </c>
      <c r="I22">
        <v>0.46500000000000002</v>
      </c>
      <c r="J22">
        <v>0.52800000000000002</v>
      </c>
    </row>
    <row r="23" spans="1:10">
      <c r="A23" t="s">
        <v>289</v>
      </c>
      <c r="B23">
        <v>0.16</v>
      </c>
      <c r="C23">
        <v>0.13700000000000001</v>
      </c>
      <c r="D23">
        <v>7.0000000000000001E-3</v>
      </c>
      <c r="E23">
        <v>1.2E-2</v>
      </c>
      <c r="F23">
        <v>0.05</v>
      </c>
      <c r="G23">
        <v>0.123</v>
      </c>
      <c r="H23">
        <v>0.23799999999999999</v>
      </c>
      <c r="I23">
        <v>0.438</v>
      </c>
      <c r="J23">
        <v>0.502</v>
      </c>
    </row>
    <row r="24" spans="1:10">
      <c r="A24" t="s">
        <v>288</v>
      </c>
      <c r="B24">
        <v>0.184</v>
      </c>
      <c r="C24">
        <v>0.17100000000000001</v>
      </c>
      <c r="D24">
        <v>8.0000000000000002E-3</v>
      </c>
      <c r="E24">
        <v>1.2E-2</v>
      </c>
      <c r="F24">
        <v>4.9000000000000002E-2</v>
      </c>
      <c r="G24">
        <v>0.13300000000000001</v>
      </c>
      <c r="H24">
        <v>0.27100000000000002</v>
      </c>
      <c r="I24">
        <v>0.53700000000000003</v>
      </c>
      <c r="J24">
        <v>0.628</v>
      </c>
    </row>
    <row r="25" spans="1:10">
      <c r="A25" t="s">
        <v>287</v>
      </c>
      <c r="B25">
        <v>0.155</v>
      </c>
      <c r="C25">
        <v>0.13600000000000001</v>
      </c>
      <c r="D25">
        <v>7.0000000000000001E-3</v>
      </c>
      <c r="E25">
        <v>1.0999999999999999E-2</v>
      </c>
      <c r="F25">
        <v>4.8000000000000001E-2</v>
      </c>
      <c r="G25">
        <v>0.113</v>
      </c>
      <c r="H25">
        <v>0.23100000000000001</v>
      </c>
      <c r="I25">
        <v>0.434</v>
      </c>
      <c r="J25">
        <v>0.48099999999999998</v>
      </c>
    </row>
    <row r="26" spans="1:10">
      <c r="A26" t="s">
        <v>286</v>
      </c>
      <c r="B26">
        <v>0.153</v>
      </c>
      <c r="C26">
        <v>0.13500000000000001</v>
      </c>
      <c r="D26">
        <v>6.0000000000000001E-3</v>
      </c>
      <c r="E26">
        <v>0.01</v>
      </c>
      <c r="F26">
        <v>4.5999999999999999E-2</v>
      </c>
      <c r="G26">
        <v>0.11</v>
      </c>
      <c r="H26">
        <v>0.22500000000000001</v>
      </c>
      <c r="I26">
        <v>0.42799999999999999</v>
      </c>
      <c r="J26">
        <v>0.49</v>
      </c>
    </row>
    <row r="27" spans="1:10">
      <c r="A27" t="s">
        <v>285</v>
      </c>
      <c r="B27">
        <v>0.128</v>
      </c>
      <c r="C27">
        <v>0.111</v>
      </c>
      <c r="D27">
        <v>8.9999999999999993E-3</v>
      </c>
      <c r="E27">
        <v>1.2E-2</v>
      </c>
      <c r="F27">
        <v>4.2000000000000003E-2</v>
      </c>
      <c r="G27">
        <v>9.1999999999999998E-2</v>
      </c>
      <c r="H27">
        <v>0.186</v>
      </c>
      <c r="I27">
        <v>0.35799999999999998</v>
      </c>
      <c r="J27">
        <v>0.41899999999999998</v>
      </c>
    </row>
    <row r="28" spans="1:10">
      <c r="A28" t="s">
        <v>284</v>
      </c>
      <c r="B28">
        <v>0.13800000000000001</v>
      </c>
      <c r="C28">
        <v>0.11600000000000001</v>
      </c>
      <c r="D28">
        <v>6.0000000000000001E-3</v>
      </c>
      <c r="E28">
        <v>0.01</v>
      </c>
      <c r="F28">
        <v>4.8000000000000001E-2</v>
      </c>
      <c r="G28">
        <v>0.107</v>
      </c>
      <c r="H28">
        <v>0.19800000000000001</v>
      </c>
      <c r="I28">
        <v>0.374</v>
      </c>
      <c r="J28">
        <v>0.42299999999999999</v>
      </c>
    </row>
    <row r="29" spans="1:10">
      <c r="A29" t="s">
        <v>283</v>
      </c>
      <c r="B29">
        <v>0.22</v>
      </c>
      <c r="C29">
        <v>0.22500000000000001</v>
      </c>
      <c r="D29">
        <v>5.0000000000000001E-3</v>
      </c>
      <c r="E29">
        <v>8.0000000000000002E-3</v>
      </c>
      <c r="F29">
        <v>4.2999999999999997E-2</v>
      </c>
      <c r="G29">
        <v>0.129</v>
      </c>
      <c r="H29">
        <v>0.34799999999999998</v>
      </c>
      <c r="I29">
        <v>0.72</v>
      </c>
      <c r="J29">
        <v>0.76900000000000002</v>
      </c>
    </row>
    <row r="30" spans="1:10">
      <c r="A30" t="s">
        <v>282</v>
      </c>
      <c r="B30">
        <v>0.21299999999999999</v>
      </c>
      <c r="C30">
        <v>0.19600000000000001</v>
      </c>
      <c r="D30">
        <v>6.0000000000000001E-3</v>
      </c>
      <c r="E30">
        <v>0.01</v>
      </c>
      <c r="F30">
        <v>5.8000000000000003E-2</v>
      </c>
      <c r="G30">
        <v>0.14799999999999999</v>
      </c>
      <c r="H30">
        <v>0.33</v>
      </c>
      <c r="I30">
        <v>0.624</v>
      </c>
      <c r="J30">
        <v>0.67600000000000005</v>
      </c>
    </row>
    <row r="31" spans="1:10">
      <c r="A31" t="s">
        <v>281</v>
      </c>
      <c r="B31">
        <v>0.214</v>
      </c>
      <c r="C31">
        <v>0.214</v>
      </c>
      <c r="D31">
        <v>5.0000000000000001E-3</v>
      </c>
      <c r="E31">
        <v>0.01</v>
      </c>
      <c r="F31">
        <v>4.2999999999999997E-2</v>
      </c>
      <c r="G31">
        <v>0.126</v>
      </c>
      <c r="H31">
        <v>0.33600000000000002</v>
      </c>
      <c r="I31">
        <v>0.67</v>
      </c>
      <c r="J31">
        <v>0.74299999999999999</v>
      </c>
    </row>
    <row r="32" spans="1:10">
      <c r="A32" t="s">
        <v>280</v>
      </c>
      <c r="B32">
        <v>0.187</v>
      </c>
      <c r="C32">
        <v>0.17</v>
      </c>
      <c r="D32">
        <v>6.0000000000000001E-3</v>
      </c>
      <c r="E32">
        <v>8.9999999999999993E-3</v>
      </c>
      <c r="F32">
        <v>5.2999999999999999E-2</v>
      </c>
      <c r="G32">
        <v>0.13100000000000001</v>
      </c>
      <c r="H32">
        <v>0.28100000000000003</v>
      </c>
      <c r="I32">
        <v>0.53300000000000003</v>
      </c>
      <c r="J32">
        <v>0.60899999999999999</v>
      </c>
    </row>
    <row r="33" spans="1:10">
      <c r="A33" t="s">
        <v>279</v>
      </c>
      <c r="B33">
        <v>5.7000000000000002E-2</v>
      </c>
      <c r="C33">
        <v>4.3999999999999997E-2</v>
      </c>
      <c r="D33">
        <v>3.0000000000000001E-3</v>
      </c>
      <c r="E33">
        <v>5.0000000000000001E-3</v>
      </c>
      <c r="F33">
        <v>2.3E-2</v>
      </c>
      <c r="G33">
        <v>4.7E-2</v>
      </c>
      <c r="H33">
        <v>7.9000000000000001E-2</v>
      </c>
      <c r="I33">
        <v>0.14499999999999999</v>
      </c>
      <c r="J33">
        <v>0.17100000000000001</v>
      </c>
    </row>
    <row r="34" spans="1:10">
      <c r="A34" t="s">
        <v>278</v>
      </c>
      <c r="B34">
        <v>3.7999999999999999E-2</v>
      </c>
      <c r="C34">
        <v>4.8000000000000001E-2</v>
      </c>
      <c r="D34">
        <v>1E-3</v>
      </c>
      <c r="E34">
        <v>2E-3</v>
      </c>
      <c r="F34">
        <v>0.01</v>
      </c>
      <c r="G34">
        <v>2.4E-2</v>
      </c>
      <c r="H34">
        <v>4.9000000000000002E-2</v>
      </c>
      <c r="I34">
        <v>0.11899999999999999</v>
      </c>
      <c r="J34">
        <v>0.14899999999999999</v>
      </c>
    </row>
    <row r="35" spans="1:10">
      <c r="A35" t="s">
        <v>277</v>
      </c>
      <c r="B35">
        <v>4.4999999999999998E-2</v>
      </c>
      <c r="C35">
        <v>5.1999999999999998E-2</v>
      </c>
      <c r="D35">
        <v>1E-3</v>
      </c>
      <c r="E35">
        <v>2E-3</v>
      </c>
      <c r="F35">
        <v>8.9999999999999993E-3</v>
      </c>
      <c r="G35">
        <v>2.7E-2</v>
      </c>
      <c r="H35">
        <v>6.0999999999999999E-2</v>
      </c>
      <c r="I35">
        <v>0.14699999999999999</v>
      </c>
      <c r="J35">
        <v>0.182</v>
      </c>
    </row>
    <row r="36" spans="1:10">
      <c r="A36" t="s">
        <v>276</v>
      </c>
      <c r="B36">
        <v>5.2999999999999999E-2</v>
      </c>
      <c r="C36">
        <v>6.2E-2</v>
      </c>
      <c r="D36">
        <v>1E-3</v>
      </c>
      <c r="E36">
        <v>2E-3</v>
      </c>
      <c r="F36">
        <v>1.0999999999999999E-2</v>
      </c>
      <c r="G36">
        <v>3.1E-2</v>
      </c>
      <c r="H36">
        <v>7.2999999999999995E-2</v>
      </c>
      <c r="I36">
        <v>0.17599999999999999</v>
      </c>
      <c r="J36">
        <v>0.21199999999999999</v>
      </c>
    </row>
    <row r="37" spans="1:10">
      <c r="A37" t="s">
        <v>275</v>
      </c>
      <c r="B37">
        <v>4.1000000000000002E-2</v>
      </c>
      <c r="C37">
        <v>0.05</v>
      </c>
      <c r="D37">
        <v>1E-3</v>
      </c>
      <c r="E37">
        <v>2E-3</v>
      </c>
      <c r="F37">
        <v>8.0000000000000002E-3</v>
      </c>
      <c r="G37">
        <v>2.1999999999999999E-2</v>
      </c>
      <c r="H37">
        <v>5.3999999999999999E-2</v>
      </c>
      <c r="I37">
        <v>0.13600000000000001</v>
      </c>
      <c r="J37">
        <v>0.18</v>
      </c>
    </row>
    <row r="38" spans="1:10">
      <c r="A38" t="s">
        <v>274</v>
      </c>
      <c r="B38">
        <v>8.4000000000000005E-2</v>
      </c>
      <c r="C38">
        <v>0.10299999999999999</v>
      </c>
      <c r="D38">
        <v>1E-3</v>
      </c>
      <c r="E38">
        <v>2E-3</v>
      </c>
      <c r="F38">
        <v>1.4E-2</v>
      </c>
      <c r="G38">
        <v>4.3999999999999997E-2</v>
      </c>
      <c r="H38">
        <v>0.114</v>
      </c>
      <c r="I38">
        <v>0.308</v>
      </c>
      <c r="J38">
        <v>0.377</v>
      </c>
    </row>
    <row r="39" spans="1:10">
      <c r="A39" t="s">
        <v>273</v>
      </c>
      <c r="B39">
        <v>8.3000000000000004E-2</v>
      </c>
      <c r="C39">
        <v>0.10299999999999999</v>
      </c>
      <c r="D39">
        <v>1E-3</v>
      </c>
      <c r="E39">
        <v>2E-3</v>
      </c>
      <c r="F39">
        <v>1.2999999999999999E-2</v>
      </c>
      <c r="G39">
        <v>4.2999999999999997E-2</v>
      </c>
      <c r="H39">
        <v>0.114</v>
      </c>
      <c r="I39">
        <v>0.30299999999999999</v>
      </c>
      <c r="J39">
        <v>0.371</v>
      </c>
    </row>
    <row r="40" spans="1:10">
      <c r="A40" t="s">
        <v>272</v>
      </c>
      <c r="B40">
        <v>0.14099999999999999</v>
      </c>
      <c r="C40">
        <v>0.16800000000000001</v>
      </c>
      <c r="D40">
        <v>1E-3</v>
      </c>
      <c r="E40">
        <v>2E-3</v>
      </c>
      <c r="F40">
        <v>1.4999999999999999E-2</v>
      </c>
      <c r="G40">
        <v>6.0999999999999999E-2</v>
      </c>
      <c r="H40">
        <v>0.22500000000000001</v>
      </c>
      <c r="I40">
        <v>0.502</v>
      </c>
      <c r="J40">
        <v>0.57399999999999995</v>
      </c>
    </row>
    <row r="41" spans="1:10">
      <c r="A41" t="s">
        <v>271</v>
      </c>
      <c r="B41">
        <v>6.5000000000000002E-2</v>
      </c>
      <c r="C41">
        <v>0.08</v>
      </c>
      <c r="D41">
        <v>1E-3</v>
      </c>
      <c r="E41">
        <v>2E-3</v>
      </c>
      <c r="F41">
        <v>1.0999999999999999E-2</v>
      </c>
      <c r="G41">
        <v>3.4000000000000002E-2</v>
      </c>
      <c r="H41">
        <v>8.8999999999999996E-2</v>
      </c>
      <c r="I41">
        <v>0.24299999999999999</v>
      </c>
      <c r="J41">
        <v>0.29099999999999998</v>
      </c>
    </row>
    <row r="42" spans="1:10">
      <c r="A42" t="s">
        <v>270</v>
      </c>
      <c r="B42">
        <v>5.5E-2</v>
      </c>
      <c r="C42">
        <v>6.9000000000000006E-2</v>
      </c>
      <c r="D42">
        <v>1E-3</v>
      </c>
      <c r="E42">
        <v>2E-3</v>
      </c>
      <c r="F42">
        <v>0.01</v>
      </c>
      <c r="G42">
        <v>0.03</v>
      </c>
      <c r="H42">
        <v>7.1999999999999995E-2</v>
      </c>
      <c r="I42">
        <v>0.19800000000000001</v>
      </c>
      <c r="J42">
        <v>0.248</v>
      </c>
    </row>
    <row r="43" spans="1:10">
      <c r="A43" t="s">
        <v>269</v>
      </c>
      <c r="B43">
        <v>5.8000000000000003E-2</v>
      </c>
      <c r="C43">
        <v>7.2999999999999995E-2</v>
      </c>
      <c r="D43">
        <v>1E-3</v>
      </c>
      <c r="E43">
        <v>2E-3</v>
      </c>
      <c r="F43">
        <v>1.0999999999999999E-2</v>
      </c>
      <c r="G43">
        <v>3.1E-2</v>
      </c>
      <c r="H43">
        <v>7.8E-2</v>
      </c>
      <c r="I43">
        <v>0.20100000000000001</v>
      </c>
      <c r="J43">
        <v>0.26100000000000001</v>
      </c>
    </row>
    <row r="44" spans="1:10">
      <c r="A44" t="s">
        <v>268</v>
      </c>
      <c r="B44">
        <v>5.3999999999999999E-2</v>
      </c>
      <c r="C44">
        <v>6.9000000000000006E-2</v>
      </c>
      <c r="D44">
        <v>1E-3</v>
      </c>
      <c r="E44">
        <v>1E-3</v>
      </c>
      <c r="F44">
        <v>1.0999999999999999E-2</v>
      </c>
      <c r="G44">
        <v>3.1E-2</v>
      </c>
      <c r="H44">
        <v>6.9000000000000006E-2</v>
      </c>
      <c r="I44">
        <v>0.183</v>
      </c>
      <c r="J44">
        <v>0.23799999999999999</v>
      </c>
    </row>
    <row r="45" spans="1:10">
      <c r="A45" t="s">
        <v>267</v>
      </c>
      <c r="B45">
        <v>7.8E-2</v>
      </c>
      <c r="C45">
        <v>9.7000000000000003E-2</v>
      </c>
      <c r="D45">
        <v>1E-3</v>
      </c>
      <c r="E45">
        <v>2E-3</v>
      </c>
      <c r="F45">
        <v>1.2999999999999999E-2</v>
      </c>
      <c r="G45">
        <v>0.04</v>
      </c>
      <c r="H45">
        <v>0.109</v>
      </c>
      <c r="I45">
        <v>0.27700000000000002</v>
      </c>
      <c r="J45">
        <v>0.35699999999999998</v>
      </c>
    </row>
    <row r="46" spans="1:10">
      <c r="A46" t="s">
        <v>266</v>
      </c>
      <c r="B46">
        <v>7.1999999999999995E-2</v>
      </c>
      <c r="C46">
        <v>8.7999999999999995E-2</v>
      </c>
      <c r="D46">
        <v>1E-3</v>
      </c>
      <c r="E46">
        <v>2E-3</v>
      </c>
      <c r="F46">
        <v>1.2E-2</v>
      </c>
      <c r="G46">
        <v>0.04</v>
      </c>
      <c r="H46">
        <v>0.1</v>
      </c>
      <c r="I46">
        <v>0.255</v>
      </c>
      <c r="J46">
        <v>0.32100000000000001</v>
      </c>
    </row>
    <row r="47" spans="1:10">
      <c r="A47" t="s">
        <v>265</v>
      </c>
      <c r="B47">
        <v>8.2000000000000003E-2</v>
      </c>
      <c r="C47">
        <v>9.9000000000000005E-2</v>
      </c>
      <c r="D47">
        <v>1E-3</v>
      </c>
      <c r="E47">
        <v>2E-3</v>
      </c>
      <c r="F47">
        <v>1.4999999999999999E-2</v>
      </c>
      <c r="G47">
        <v>4.5999999999999999E-2</v>
      </c>
      <c r="H47">
        <v>0.113</v>
      </c>
      <c r="I47">
        <v>0.28799999999999998</v>
      </c>
      <c r="J47">
        <v>0.36</v>
      </c>
    </row>
    <row r="48" spans="1:10">
      <c r="A48" t="s">
        <v>264</v>
      </c>
      <c r="B48">
        <v>6.9000000000000006E-2</v>
      </c>
      <c r="C48">
        <v>8.2000000000000003E-2</v>
      </c>
      <c r="D48">
        <v>2E-3</v>
      </c>
      <c r="E48">
        <v>3.0000000000000001E-3</v>
      </c>
      <c r="F48">
        <v>1.2999999999999999E-2</v>
      </c>
      <c r="G48">
        <v>3.9E-2</v>
      </c>
      <c r="H48">
        <v>9.8000000000000004E-2</v>
      </c>
      <c r="I48">
        <v>0.23200000000000001</v>
      </c>
      <c r="J48">
        <v>0.30299999999999999</v>
      </c>
    </row>
    <row r="49" spans="1:10">
      <c r="A49" t="s">
        <v>263</v>
      </c>
      <c r="B49">
        <v>8.1000000000000003E-2</v>
      </c>
      <c r="C49">
        <v>9.4E-2</v>
      </c>
      <c r="D49">
        <v>1E-3</v>
      </c>
      <c r="E49">
        <v>2E-3</v>
      </c>
      <c r="F49">
        <v>1.4999999999999999E-2</v>
      </c>
      <c r="G49">
        <v>4.7E-2</v>
      </c>
      <c r="H49">
        <v>0.114</v>
      </c>
      <c r="I49">
        <v>0.28100000000000003</v>
      </c>
      <c r="J49">
        <v>0.34100000000000003</v>
      </c>
    </row>
    <row r="50" spans="1:10">
      <c r="A50" t="s">
        <v>262</v>
      </c>
      <c r="B50">
        <v>8.5999999999999993E-2</v>
      </c>
      <c r="C50">
        <v>0.107</v>
      </c>
      <c r="D50">
        <v>1E-3</v>
      </c>
      <c r="E50">
        <v>2E-3</v>
      </c>
      <c r="F50">
        <v>1.2999999999999999E-2</v>
      </c>
      <c r="G50">
        <v>4.3999999999999997E-2</v>
      </c>
      <c r="H50">
        <v>0.12</v>
      </c>
      <c r="I50">
        <v>0.30599999999999999</v>
      </c>
      <c r="J50">
        <v>0.38500000000000001</v>
      </c>
    </row>
    <row r="51" spans="1:10">
      <c r="A51" t="s">
        <v>261</v>
      </c>
      <c r="B51">
        <v>9.1999999999999998E-2</v>
      </c>
      <c r="C51">
        <v>0.113</v>
      </c>
      <c r="D51">
        <v>1E-3</v>
      </c>
      <c r="E51">
        <v>2E-3</v>
      </c>
      <c r="F51">
        <v>1.4999999999999999E-2</v>
      </c>
      <c r="G51">
        <v>4.7E-2</v>
      </c>
      <c r="H51">
        <v>0.124</v>
      </c>
      <c r="I51">
        <v>0.33100000000000002</v>
      </c>
      <c r="J51">
        <v>0.41799999999999998</v>
      </c>
    </row>
    <row r="52" spans="1:10">
      <c r="A52" t="s">
        <v>260</v>
      </c>
      <c r="B52">
        <v>9.8000000000000004E-2</v>
      </c>
      <c r="C52">
        <v>0.11700000000000001</v>
      </c>
      <c r="D52">
        <v>1E-3</v>
      </c>
      <c r="E52">
        <v>2E-3</v>
      </c>
      <c r="F52">
        <v>1.4999999999999999E-2</v>
      </c>
      <c r="G52">
        <v>5.1999999999999998E-2</v>
      </c>
      <c r="H52">
        <v>0.14199999999999999</v>
      </c>
      <c r="I52">
        <v>0.34</v>
      </c>
      <c r="J52">
        <v>0.40899999999999997</v>
      </c>
    </row>
    <row r="53" spans="1:10">
      <c r="A53" t="s">
        <v>259</v>
      </c>
      <c r="B53">
        <v>4.2999999999999997E-2</v>
      </c>
      <c r="C53">
        <v>5.5E-2</v>
      </c>
      <c r="D53">
        <v>1E-3</v>
      </c>
      <c r="E53">
        <v>1E-3</v>
      </c>
      <c r="F53">
        <v>8.9999999999999993E-3</v>
      </c>
      <c r="G53">
        <v>2.4E-2</v>
      </c>
      <c r="H53">
        <v>5.5E-2</v>
      </c>
      <c r="I53">
        <v>0.14399999999999999</v>
      </c>
      <c r="J53">
        <v>0.20100000000000001</v>
      </c>
    </row>
    <row r="54" spans="1:10">
      <c r="A54" t="s">
        <v>258</v>
      </c>
      <c r="B54">
        <v>5.5E-2</v>
      </c>
      <c r="C54">
        <v>6.8000000000000005E-2</v>
      </c>
      <c r="D54">
        <v>1E-3</v>
      </c>
      <c r="E54">
        <v>2E-3</v>
      </c>
      <c r="F54">
        <v>1.0999999999999999E-2</v>
      </c>
      <c r="G54">
        <v>3.2000000000000001E-2</v>
      </c>
      <c r="H54">
        <v>7.1999999999999995E-2</v>
      </c>
      <c r="I54">
        <v>0.193</v>
      </c>
      <c r="J54">
        <v>0.23100000000000001</v>
      </c>
    </row>
    <row r="55" spans="1:10">
      <c r="A55" t="s">
        <v>257</v>
      </c>
      <c r="B55">
        <v>4.8000000000000001E-2</v>
      </c>
      <c r="C55">
        <v>5.5E-2</v>
      </c>
      <c r="D55">
        <v>1E-3</v>
      </c>
      <c r="E55">
        <v>2E-3</v>
      </c>
      <c r="F55">
        <v>1.0999999999999999E-2</v>
      </c>
      <c r="G55">
        <v>2.9000000000000001E-2</v>
      </c>
      <c r="H55">
        <v>6.4000000000000001E-2</v>
      </c>
      <c r="I55">
        <v>0.153</v>
      </c>
      <c r="J55">
        <v>0.19600000000000001</v>
      </c>
    </row>
    <row r="56" spans="1:10">
      <c r="A56" t="s">
        <v>256</v>
      </c>
      <c r="B56">
        <v>6.5000000000000002E-2</v>
      </c>
      <c r="C56">
        <v>7.9000000000000001E-2</v>
      </c>
      <c r="D56">
        <v>1E-3</v>
      </c>
      <c r="E56">
        <v>2E-3</v>
      </c>
      <c r="F56">
        <v>1.0999999999999999E-2</v>
      </c>
      <c r="G56">
        <v>3.5999999999999997E-2</v>
      </c>
      <c r="H56">
        <v>0.09</v>
      </c>
      <c r="I56">
        <v>0.23599999999999999</v>
      </c>
      <c r="J56">
        <v>0.28100000000000003</v>
      </c>
    </row>
    <row r="57" spans="1:10">
      <c r="A57" t="s">
        <v>255</v>
      </c>
      <c r="B57">
        <v>5.0000000000000001E-3</v>
      </c>
      <c r="C57">
        <v>5.0000000000000001E-3</v>
      </c>
      <c r="D57">
        <v>0</v>
      </c>
      <c r="E57">
        <v>0</v>
      </c>
      <c r="F57">
        <v>2E-3</v>
      </c>
      <c r="G57">
        <v>4.0000000000000001E-3</v>
      </c>
      <c r="H57">
        <v>7.0000000000000001E-3</v>
      </c>
      <c r="I57">
        <v>1.6E-2</v>
      </c>
      <c r="J57">
        <v>2.3E-2</v>
      </c>
    </row>
    <row r="58" spans="1:10">
      <c r="A58" t="s">
        <v>254</v>
      </c>
      <c r="B58">
        <v>5.0000000000000001E-3</v>
      </c>
      <c r="C58">
        <v>0.01</v>
      </c>
      <c r="D58">
        <v>0</v>
      </c>
      <c r="E58">
        <v>0</v>
      </c>
      <c r="F58">
        <v>1E-3</v>
      </c>
      <c r="G58">
        <v>2E-3</v>
      </c>
      <c r="H58">
        <v>5.0000000000000001E-3</v>
      </c>
      <c r="I58">
        <v>2.5000000000000001E-2</v>
      </c>
      <c r="J58">
        <v>3.5000000000000003E-2</v>
      </c>
    </row>
    <row r="59" spans="1:10">
      <c r="A59" t="s">
        <v>253</v>
      </c>
      <c r="B59">
        <v>6.0000000000000001E-3</v>
      </c>
      <c r="C59">
        <v>0.01</v>
      </c>
      <c r="D59">
        <v>0</v>
      </c>
      <c r="E59">
        <v>0</v>
      </c>
      <c r="F59">
        <v>1E-3</v>
      </c>
      <c r="G59">
        <v>2E-3</v>
      </c>
      <c r="H59">
        <v>6.0000000000000001E-3</v>
      </c>
      <c r="I59">
        <v>2.5000000000000001E-2</v>
      </c>
      <c r="J59">
        <v>3.5000000000000003E-2</v>
      </c>
    </row>
    <row r="60" spans="1:10">
      <c r="A60" t="s">
        <v>252</v>
      </c>
      <c r="B60">
        <v>6.0000000000000001E-3</v>
      </c>
      <c r="C60">
        <v>1.2E-2</v>
      </c>
      <c r="D60">
        <v>0</v>
      </c>
      <c r="E60">
        <v>0</v>
      </c>
      <c r="F60">
        <v>1E-3</v>
      </c>
      <c r="G60">
        <v>2E-3</v>
      </c>
      <c r="H60">
        <v>7.0000000000000001E-3</v>
      </c>
      <c r="I60">
        <v>2.4E-2</v>
      </c>
      <c r="J60">
        <v>3.6999999999999998E-2</v>
      </c>
    </row>
    <row r="61" spans="1:10">
      <c r="A61" t="s">
        <v>251</v>
      </c>
      <c r="B61">
        <v>6.0000000000000001E-3</v>
      </c>
      <c r="C61">
        <v>1.2E-2</v>
      </c>
      <c r="D61">
        <v>0</v>
      </c>
      <c r="E61">
        <v>0</v>
      </c>
      <c r="F61">
        <v>1E-3</v>
      </c>
      <c r="G61">
        <v>2E-3</v>
      </c>
      <c r="H61">
        <v>7.0000000000000001E-3</v>
      </c>
      <c r="I61">
        <v>2.5000000000000001E-2</v>
      </c>
      <c r="J61">
        <v>3.5999999999999997E-2</v>
      </c>
    </row>
    <row r="62" spans="1:10">
      <c r="A62" t="s">
        <v>250</v>
      </c>
      <c r="B62">
        <v>7.0000000000000001E-3</v>
      </c>
      <c r="C62">
        <v>1.0999999999999999E-2</v>
      </c>
      <c r="D62">
        <v>0</v>
      </c>
      <c r="E62">
        <v>0</v>
      </c>
      <c r="F62">
        <v>1E-3</v>
      </c>
      <c r="G62">
        <v>3.0000000000000001E-3</v>
      </c>
      <c r="H62">
        <v>8.0000000000000002E-3</v>
      </c>
      <c r="I62">
        <v>2.5999999999999999E-2</v>
      </c>
      <c r="J62">
        <v>3.6999999999999998E-2</v>
      </c>
    </row>
    <row r="63" spans="1:10">
      <c r="A63" t="s">
        <v>249</v>
      </c>
      <c r="B63">
        <v>6.0000000000000001E-3</v>
      </c>
      <c r="C63">
        <v>0.01</v>
      </c>
      <c r="D63">
        <v>0</v>
      </c>
      <c r="E63">
        <v>0</v>
      </c>
      <c r="F63">
        <v>1E-3</v>
      </c>
      <c r="G63">
        <v>3.0000000000000001E-3</v>
      </c>
      <c r="H63">
        <v>8.0000000000000002E-3</v>
      </c>
      <c r="I63">
        <v>2.4E-2</v>
      </c>
      <c r="J63">
        <v>3.5000000000000003E-2</v>
      </c>
    </row>
    <row r="64" spans="1:10">
      <c r="A64" t="s">
        <v>248</v>
      </c>
      <c r="B64">
        <v>8.0000000000000002E-3</v>
      </c>
      <c r="C64">
        <v>1.2999999999999999E-2</v>
      </c>
      <c r="D64">
        <v>0</v>
      </c>
      <c r="E64">
        <v>0</v>
      </c>
      <c r="F64">
        <v>1E-3</v>
      </c>
      <c r="G64">
        <v>3.0000000000000001E-3</v>
      </c>
      <c r="H64">
        <v>8.9999999999999993E-3</v>
      </c>
      <c r="I64">
        <v>3.2000000000000001E-2</v>
      </c>
      <c r="J64">
        <v>4.2999999999999997E-2</v>
      </c>
    </row>
    <row r="65" spans="1:10">
      <c r="A65" t="s">
        <v>247</v>
      </c>
      <c r="B65">
        <v>6.0000000000000001E-3</v>
      </c>
      <c r="C65">
        <v>1.0999999999999999E-2</v>
      </c>
      <c r="D65">
        <v>0</v>
      </c>
      <c r="E65">
        <v>0</v>
      </c>
      <c r="F65">
        <v>1E-3</v>
      </c>
      <c r="G65">
        <v>3.0000000000000001E-3</v>
      </c>
      <c r="H65">
        <v>7.0000000000000001E-3</v>
      </c>
      <c r="I65">
        <v>2.4E-2</v>
      </c>
      <c r="J65">
        <v>3.5000000000000003E-2</v>
      </c>
    </row>
    <row r="66" spans="1:10">
      <c r="A66" t="s">
        <v>246</v>
      </c>
      <c r="B66">
        <v>7.0000000000000001E-3</v>
      </c>
      <c r="C66">
        <v>1.7999999999999999E-2</v>
      </c>
      <c r="D66">
        <v>0</v>
      </c>
      <c r="E66">
        <v>0</v>
      </c>
      <c r="F66">
        <v>1E-3</v>
      </c>
      <c r="G66">
        <v>3.0000000000000001E-3</v>
      </c>
      <c r="H66">
        <v>7.0000000000000001E-3</v>
      </c>
      <c r="I66">
        <v>2.7E-2</v>
      </c>
      <c r="J66">
        <v>0.04</v>
      </c>
    </row>
    <row r="67" spans="1:10">
      <c r="A67" t="s">
        <v>245</v>
      </c>
      <c r="B67">
        <v>7.0000000000000001E-3</v>
      </c>
      <c r="C67">
        <v>1.2999999999999999E-2</v>
      </c>
      <c r="D67">
        <v>0</v>
      </c>
      <c r="E67">
        <v>0</v>
      </c>
      <c r="F67">
        <v>1E-3</v>
      </c>
      <c r="G67">
        <v>3.0000000000000001E-3</v>
      </c>
      <c r="H67">
        <v>7.0000000000000001E-3</v>
      </c>
      <c r="I67">
        <v>2.8000000000000001E-2</v>
      </c>
      <c r="J67">
        <v>3.9E-2</v>
      </c>
    </row>
    <row r="68" spans="1:10">
      <c r="A68" t="s">
        <v>244</v>
      </c>
      <c r="B68">
        <v>7.0000000000000001E-3</v>
      </c>
      <c r="C68">
        <v>1.2E-2</v>
      </c>
      <c r="D68">
        <v>0</v>
      </c>
      <c r="E68">
        <v>0</v>
      </c>
      <c r="F68">
        <v>1E-3</v>
      </c>
      <c r="G68">
        <v>2E-3</v>
      </c>
      <c r="H68">
        <v>7.0000000000000001E-3</v>
      </c>
      <c r="I68">
        <v>2.8000000000000001E-2</v>
      </c>
      <c r="J68">
        <v>0.04</v>
      </c>
    </row>
    <row r="69" spans="1:10">
      <c r="A69" t="s">
        <v>243</v>
      </c>
      <c r="B69">
        <v>7.0000000000000001E-3</v>
      </c>
      <c r="C69">
        <v>1.2999999999999999E-2</v>
      </c>
      <c r="D69">
        <v>0</v>
      </c>
      <c r="E69">
        <v>0</v>
      </c>
      <c r="F69">
        <v>1E-3</v>
      </c>
      <c r="G69">
        <v>3.0000000000000001E-3</v>
      </c>
      <c r="H69">
        <v>8.0000000000000002E-3</v>
      </c>
      <c r="I69">
        <v>2.9000000000000001E-2</v>
      </c>
      <c r="J69">
        <v>4.3999999999999997E-2</v>
      </c>
    </row>
    <row r="70" spans="1:10">
      <c r="A70" t="s">
        <v>242</v>
      </c>
      <c r="B70">
        <v>7.0000000000000001E-3</v>
      </c>
      <c r="C70">
        <v>1.4E-2</v>
      </c>
      <c r="D70">
        <v>0</v>
      </c>
      <c r="E70">
        <v>0</v>
      </c>
      <c r="F70">
        <v>1E-3</v>
      </c>
      <c r="G70">
        <v>3.0000000000000001E-3</v>
      </c>
      <c r="H70">
        <v>8.0000000000000002E-3</v>
      </c>
      <c r="I70">
        <v>0.03</v>
      </c>
      <c r="J70">
        <v>4.3999999999999997E-2</v>
      </c>
    </row>
    <row r="71" spans="1:10">
      <c r="A71" t="s">
        <v>241</v>
      </c>
      <c r="B71">
        <v>8.0000000000000002E-3</v>
      </c>
      <c r="C71">
        <v>1.4E-2</v>
      </c>
      <c r="D71">
        <v>0</v>
      </c>
      <c r="E71">
        <v>0</v>
      </c>
      <c r="F71">
        <v>1E-3</v>
      </c>
      <c r="G71">
        <v>3.0000000000000001E-3</v>
      </c>
      <c r="H71">
        <v>8.0000000000000002E-3</v>
      </c>
      <c r="I71">
        <v>3.1E-2</v>
      </c>
      <c r="J71">
        <v>4.4999999999999998E-2</v>
      </c>
    </row>
    <row r="72" spans="1:10">
      <c r="A72" t="s">
        <v>240</v>
      </c>
      <c r="B72">
        <v>8.0000000000000002E-3</v>
      </c>
      <c r="C72">
        <v>1.4E-2</v>
      </c>
      <c r="D72">
        <v>0</v>
      </c>
      <c r="E72">
        <v>0</v>
      </c>
      <c r="F72">
        <v>1E-3</v>
      </c>
      <c r="G72">
        <v>3.0000000000000001E-3</v>
      </c>
      <c r="H72">
        <v>8.9999999999999993E-3</v>
      </c>
      <c r="I72">
        <v>3.1E-2</v>
      </c>
      <c r="J72">
        <v>4.9000000000000002E-2</v>
      </c>
    </row>
    <row r="73" spans="1:10">
      <c r="A73" t="s">
        <v>239</v>
      </c>
      <c r="B73">
        <v>8.0000000000000002E-3</v>
      </c>
      <c r="C73">
        <v>1.7000000000000001E-2</v>
      </c>
      <c r="D73">
        <v>0</v>
      </c>
      <c r="E73">
        <v>0</v>
      </c>
      <c r="F73">
        <v>1E-3</v>
      </c>
      <c r="G73">
        <v>3.0000000000000001E-3</v>
      </c>
      <c r="H73">
        <v>8.0000000000000002E-3</v>
      </c>
      <c r="I73">
        <v>3.5000000000000003E-2</v>
      </c>
      <c r="J73">
        <v>5.6000000000000001E-2</v>
      </c>
    </row>
    <row r="74" spans="1:10">
      <c r="A74" t="s">
        <v>238</v>
      </c>
      <c r="B74">
        <v>7.0000000000000001E-3</v>
      </c>
      <c r="C74">
        <v>1.2E-2</v>
      </c>
      <c r="D74">
        <v>0</v>
      </c>
      <c r="E74">
        <v>0</v>
      </c>
      <c r="F74">
        <v>1E-3</v>
      </c>
      <c r="G74">
        <v>3.0000000000000001E-3</v>
      </c>
      <c r="H74">
        <v>8.0000000000000002E-3</v>
      </c>
      <c r="I74">
        <v>3.1E-2</v>
      </c>
      <c r="J74">
        <v>4.2000000000000003E-2</v>
      </c>
    </row>
    <row r="75" spans="1:10">
      <c r="A75" t="s">
        <v>237</v>
      </c>
      <c r="B75">
        <v>7.0000000000000001E-3</v>
      </c>
      <c r="C75">
        <v>1.0999999999999999E-2</v>
      </c>
      <c r="D75">
        <v>0</v>
      </c>
      <c r="E75">
        <v>0</v>
      </c>
      <c r="F75">
        <v>1E-3</v>
      </c>
      <c r="G75">
        <v>3.0000000000000001E-3</v>
      </c>
      <c r="H75">
        <v>8.0000000000000002E-3</v>
      </c>
      <c r="I75">
        <v>2.8000000000000001E-2</v>
      </c>
      <c r="J75">
        <v>3.9E-2</v>
      </c>
    </row>
    <row r="76" spans="1:10">
      <c r="A76" t="s">
        <v>236</v>
      </c>
      <c r="B76">
        <v>8.0000000000000002E-3</v>
      </c>
      <c r="C76">
        <v>1.4999999999999999E-2</v>
      </c>
      <c r="D76">
        <v>0</v>
      </c>
      <c r="E76">
        <v>0</v>
      </c>
      <c r="F76">
        <v>1E-3</v>
      </c>
      <c r="G76">
        <v>3.0000000000000001E-3</v>
      </c>
      <c r="H76">
        <v>0.01</v>
      </c>
      <c r="I76">
        <v>3.3000000000000002E-2</v>
      </c>
      <c r="J76">
        <v>4.4999999999999998E-2</v>
      </c>
    </row>
    <row r="77" spans="1:10">
      <c r="A77" t="s">
        <v>235</v>
      </c>
      <c r="B77">
        <v>6.0000000000000001E-3</v>
      </c>
      <c r="C77">
        <v>1.2999999999999999E-2</v>
      </c>
      <c r="D77">
        <v>0</v>
      </c>
      <c r="E77">
        <v>0</v>
      </c>
      <c r="F77">
        <v>1E-3</v>
      </c>
      <c r="G77">
        <v>2E-3</v>
      </c>
      <c r="H77">
        <v>6.0000000000000001E-3</v>
      </c>
      <c r="I77">
        <v>2.5999999999999999E-2</v>
      </c>
      <c r="J77">
        <v>4.1000000000000002E-2</v>
      </c>
    </row>
    <row r="78" spans="1:10">
      <c r="A78" t="s">
        <v>234</v>
      </c>
      <c r="B78">
        <v>7.0000000000000001E-3</v>
      </c>
      <c r="C78">
        <v>1.0999999999999999E-2</v>
      </c>
      <c r="D78">
        <v>0</v>
      </c>
      <c r="E78">
        <v>0</v>
      </c>
      <c r="F78">
        <v>1E-3</v>
      </c>
      <c r="G78">
        <v>3.0000000000000001E-3</v>
      </c>
      <c r="H78">
        <v>8.0000000000000002E-3</v>
      </c>
      <c r="I78">
        <v>2.7E-2</v>
      </c>
      <c r="J78">
        <v>3.6999999999999998E-2</v>
      </c>
    </row>
    <row r="79" spans="1:10">
      <c r="A79" t="s">
        <v>233</v>
      </c>
      <c r="B79">
        <v>6.0000000000000001E-3</v>
      </c>
      <c r="C79">
        <v>0.01</v>
      </c>
      <c r="D79">
        <v>0</v>
      </c>
      <c r="E79">
        <v>0</v>
      </c>
      <c r="F79">
        <v>1E-3</v>
      </c>
      <c r="G79">
        <v>2E-3</v>
      </c>
      <c r="H79">
        <v>7.0000000000000001E-3</v>
      </c>
      <c r="I79">
        <v>2.3E-2</v>
      </c>
      <c r="J79">
        <v>3.2000000000000001E-2</v>
      </c>
    </row>
    <row r="80" spans="1:10">
      <c r="A80" t="s">
        <v>232</v>
      </c>
      <c r="B80">
        <v>7.0000000000000001E-3</v>
      </c>
      <c r="C80">
        <v>1.2999999999999999E-2</v>
      </c>
      <c r="D80">
        <v>0</v>
      </c>
      <c r="E80">
        <v>0</v>
      </c>
      <c r="F80">
        <v>1E-3</v>
      </c>
      <c r="G80">
        <v>3.0000000000000001E-3</v>
      </c>
      <c r="H80">
        <v>8.0000000000000002E-3</v>
      </c>
      <c r="I80">
        <v>2.8000000000000001E-2</v>
      </c>
      <c r="J80">
        <v>4.3999999999999997E-2</v>
      </c>
    </row>
    <row r="81" spans="1:10">
      <c r="A81" t="s">
        <v>231</v>
      </c>
      <c r="B81">
        <v>0.21199999999999999</v>
      </c>
      <c r="C81">
        <v>9.6000000000000002E-2</v>
      </c>
      <c r="D81">
        <v>5.8999999999999997E-2</v>
      </c>
      <c r="E81">
        <v>7.3999999999999996E-2</v>
      </c>
      <c r="F81">
        <v>0.14199999999999999</v>
      </c>
      <c r="G81">
        <v>0.20200000000000001</v>
      </c>
      <c r="H81">
        <v>0.27200000000000002</v>
      </c>
      <c r="I81">
        <v>0.39200000000000002</v>
      </c>
      <c r="J81">
        <v>0.44</v>
      </c>
    </row>
    <row r="82" spans="1:10">
      <c r="A82" t="s">
        <v>230</v>
      </c>
      <c r="B82">
        <v>0.13500000000000001</v>
      </c>
      <c r="C82">
        <v>0.126</v>
      </c>
      <c r="D82">
        <v>1.2E-2</v>
      </c>
      <c r="E82">
        <v>1.4999999999999999E-2</v>
      </c>
      <c r="F82">
        <v>4.9000000000000002E-2</v>
      </c>
      <c r="G82">
        <v>9.6000000000000002E-2</v>
      </c>
      <c r="H82">
        <v>0.182</v>
      </c>
      <c r="I82">
        <v>0.35899999999999999</v>
      </c>
      <c r="J82">
        <v>0.48599999999999999</v>
      </c>
    </row>
    <row r="83" spans="1:10">
      <c r="A83" t="s">
        <v>229</v>
      </c>
      <c r="B83">
        <v>0.14599999999999999</v>
      </c>
      <c r="C83">
        <v>0.13300000000000001</v>
      </c>
      <c r="D83">
        <v>8.9999999999999993E-3</v>
      </c>
      <c r="E83">
        <v>1.4E-2</v>
      </c>
      <c r="F83">
        <v>5.1999999999999998E-2</v>
      </c>
      <c r="G83">
        <v>0.107</v>
      </c>
      <c r="H83">
        <v>0.2</v>
      </c>
      <c r="I83">
        <v>0.39400000000000002</v>
      </c>
      <c r="J83">
        <v>0.49299999999999999</v>
      </c>
    </row>
    <row r="84" spans="1:10">
      <c r="A84" t="s">
        <v>228</v>
      </c>
      <c r="B84">
        <v>0.17</v>
      </c>
      <c r="C84">
        <v>0.14199999999999999</v>
      </c>
      <c r="D84">
        <v>1.2E-2</v>
      </c>
      <c r="E84">
        <v>1.7999999999999999E-2</v>
      </c>
      <c r="F84">
        <v>6.2E-2</v>
      </c>
      <c r="G84">
        <v>0.13200000000000001</v>
      </c>
      <c r="H84">
        <v>0.24</v>
      </c>
      <c r="I84">
        <v>0.44800000000000001</v>
      </c>
      <c r="J84">
        <v>0.53500000000000003</v>
      </c>
    </row>
    <row r="85" spans="1:10">
      <c r="A85" t="s">
        <v>227</v>
      </c>
      <c r="B85">
        <v>0.14699999999999999</v>
      </c>
      <c r="C85">
        <v>0.15</v>
      </c>
      <c r="D85">
        <v>1.0999999999999999E-2</v>
      </c>
      <c r="E85">
        <v>1.7000000000000001E-2</v>
      </c>
      <c r="F85">
        <v>4.5999999999999999E-2</v>
      </c>
      <c r="G85">
        <v>9.6000000000000002E-2</v>
      </c>
      <c r="H85">
        <v>0.189</v>
      </c>
      <c r="I85">
        <v>0.47499999999999998</v>
      </c>
      <c r="J85">
        <v>0.61299999999999999</v>
      </c>
    </row>
    <row r="86" spans="1:10">
      <c r="A86" t="s">
        <v>226</v>
      </c>
      <c r="B86">
        <v>0.29299999999999998</v>
      </c>
      <c r="C86">
        <v>0.19400000000000001</v>
      </c>
      <c r="D86">
        <v>1.9E-2</v>
      </c>
      <c r="E86">
        <v>3.2000000000000001E-2</v>
      </c>
      <c r="F86">
        <v>0.13800000000000001</v>
      </c>
      <c r="G86">
        <v>0.26200000000000001</v>
      </c>
      <c r="H86">
        <v>0.41799999999999998</v>
      </c>
      <c r="I86">
        <v>0.65300000000000002</v>
      </c>
      <c r="J86">
        <v>0.73299999999999998</v>
      </c>
    </row>
    <row r="87" spans="1:10">
      <c r="A87" t="s">
        <v>225</v>
      </c>
      <c r="B87">
        <v>0.27800000000000002</v>
      </c>
      <c r="C87">
        <v>0.192</v>
      </c>
      <c r="D87">
        <v>1.7999999999999999E-2</v>
      </c>
      <c r="E87">
        <v>2.9000000000000001E-2</v>
      </c>
      <c r="F87">
        <v>0.121</v>
      </c>
      <c r="G87">
        <v>0.247</v>
      </c>
      <c r="H87">
        <v>0.40100000000000002</v>
      </c>
      <c r="I87">
        <v>0.64600000000000002</v>
      </c>
      <c r="J87">
        <v>0.71699999999999997</v>
      </c>
    </row>
    <row r="88" spans="1:10">
      <c r="A88" t="s">
        <v>224</v>
      </c>
      <c r="B88">
        <v>0.42699999999999999</v>
      </c>
      <c r="C88">
        <v>0.22800000000000001</v>
      </c>
      <c r="D88">
        <v>2.5999999999999999E-2</v>
      </c>
      <c r="E88">
        <v>4.3999999999999997E-2</v>
      </c>
      <c r="F88">
        <v>0.248</v>
      </c>
      <c r="G88">
        <v>0.441</v>
      </c>
      <c r="H88">
        <v>0.59299999999999997</v>
      </c>
      <c r="I88">
        <v>0.78600000000000003</v>
      </c>
      <c r="J88">
        <v>0.84099999999999997</v>
      </c>
    </row>
    <row r="89" spans="1:10">
      <c r="A89" t="s">
        <v>223</v>
      </c>
      <c r="B89">
        <v>0.22900000000000001</v>
      </c>
      <c r="C89">
        <v>0.17699999999999999</v>
      </c>
      <c r="D89">
        <v>1.2999999999999999E-2</v>
      </c>
      <c r="E89">
        <v>2.3E-2</v>
      </c>
      <c r="F89">
        <v>9.1999999999999998E-2</v>
      </c>
      <c r="G89">
        <v>0.186</v>
      </c>
      <c r="H89">
        <v>0.33100000000000002</v>
      </c>
      <c r="I89">
        <v>0.56799999999999995</v>
      </c>
      <c r="J89">
        <v>0.66500000000000004</v>
      </c>
    </row>
    <row r="90" spans="1:10">
      <c r="A90" t="s">
        <v>222</v>
      </c>
      <c r="B90">
        <v>0.185</v>
      </c>
      <c r="C90">
        <v>0.152</v>
      </c>
      <c r="D90">
        <v>1.4E-2</v>
      </c>
      <c r="E90">
        <v>2.3E-2</v>
      </c>
      <c r="F90">
        <v>7.2999999999999995E-2</v>
      </c>
      <c r="G90">
        <v>0.14299999999999999</v>
      </c>
      <c r="H90">
        <v>0.25600000000000001</v>
      </c>
      <c r="I90">
        <v>0.496</v>
      </c>
      <c r="J90">
        <v>0.61399999999999999</v>
      </c>
    </row>
    <row r="91" spans="1:10">
      <c r="A91" t="s">
        <v>221</v>
      </c>
      <c r="B91">
        <v>0.19500000000000001</v>
      </c>
      <c r="C91">
        <v>0.161</v>
      </c>
      <c r="D91">
        <v>1.2999999999999999E-2</v>
      </c>
      <c r="E91">
        <v>2.1999999999999999E-2</v>
      </c>
      <c r="F91">
        <v>7.4999999999999997E-2</v>
      </c>
      <c r="G91">
        <v>0.151</v>
      </c>
      <c r="H91">
        <v>0.26600000000000001</v>
      </c>
      <c r="I91">
        <v>0.52500000000000002</v>
      </c>
      <c r="J91">
        <v>0.60899999999999999</v>
      </c>
    </row>
    <row r="92" spans="1:10">
      <c r="A92" t="s">
        <v>220</v>
      </c>
      <c r="B92">
        <v>0.189</v>
      </c>
      <c r="C92">
        <v>0.153</v>
      </c>
      <c r="D92">
        <v>1.2999999999999999E-2</v>
      </c>
      <c r="E92">
        <v>1.7999999999999999E-2</v>
      </c>
      <c r="F92">
        <v>7.0999999999999994E-2</v>
      </c>
      <c r="G92">
        <v>0.151</v>
      </c>
      <c r="H92">
        <v>0.27</v>
      </c>
      <c r="I92">
        <v>0.497</v>
      </c>
      <c r="J92">
        <v>0.58799999999999997</v>
      </c>
    </row>
    <row r="93" spans="1:10">
      <c r="A93" t="s">
        <v>219</v>
      </c>
      <c r="B93">
        <v>0.26500000000000001</v>
      </c>
      <c r="C93">
        <v>0.188</v>
      </c>
      <c r="D93">
        <v>1.6E-2</v>
      </c>
      <c r="E93">
        <v>2.5000000000000001E-2</v>
      </c>
      <c r="F93">
        <v>0.113</v>
      </c>
      <c r="G93">
        <v>0.23</v>
      </c>
      <c r="H93">
        <v>0.38100000000000001</v>
      </c>
      <c r="I93">
        <v>0.61899999999999999</v>
      </c>
      <c r="J93">
        <v>0.7</v>
      </c>
    </row>
    <row r="94" spans="1:10">
      <c r="A94" t="s">
        <v>218</v>
      </c>
      <c r="B94">
        <v>0.24399999999999999</v>
      </c>
      <c r="C94">
        <v>0.183</v>
      </c>
      <c r="D94">
        <v>1.4E-2</v>
      </c>
      <c r="E94">
        <v>2.5999999999999999E-2</v>
      </c>
      <c r="F94">
        <v>9.6000000000000002E-2</v>
      </c>
      <c r="G94">
        <v>0.20499999999999999</v>
      </c>
      <c r="H94">
        <v>0.35</v>
      </c>
      <c r="I94">
        <v>0.6</v>
      </c>
      <c r="J94">
        <v>0.69</v>
      </c>
    </row>
    <row r="95" spans="1:10">
      <c r="A95" t="s">
        <v>217</v>
      </c>
      <c r="B95">
        <v>0.29499999999999998</v>
      </c>
      <c r="C95">
        <v>0.193</v>
      </c>
      <c r="D95">
        <v>1.7999999999999999E-2</v>
      </c>
      <c r="E95">
        <v>2.9000000000000001E-2</v>
      </c>
      <c r="F95">
        <v>0.13200000000000001</v>
      </c>
      <c r="G95">
        <v>0.27600000000000002</v>
      </c>
      <c r="H95">
        <v>0.42199999999999999</v>
      </c>
      <c r="I95">
        <v>0.65300000000000002</v>
      </c>
      <c r="J95">
        <v>0.71299999999999997</v>
      </c>
    </row>
    <row r="96" spans="1:10">
      <c r="A96" t="s">
        <v>216</v>
      </c>
      <c r="B96">
        <v>0.21099999999999999</v>
      </c>
      <c r="C96">
        <v>0.161</v>
      </c>
      <c r="D96">
        <v>1.4E-2</v>
      </c>
      <c r="E96">
        <v>2.1999999999999999E-2</v>
      </c>
      <c r="F96">
        <v>8.1000000000000003E-2</v>
      </c>
      <c r="G96">
        <v>0.17599999999999999</v>
      </c>
      <c r="H96">
        <v>0.29599999999999999</v>
      </c>
      <c r="I96">
        <v>0.53</v>
      </c>
      <c r="J96">
        <v>0.60499999999999998</v>
      </c>
    </row>
    <row r="97" spans="1:10">
      <c r="A97" t="s">
        <v>215</v>
      </c>
      <c r="B97">
        <v>0.28499999999999998</v>
      </c>
      <c r="C97">
        <v>0.193</v>
      </c>
      <c r="D97">
        <v>1.7999999999999999E-2</v>
      </c>
      <c r="E97">
        <v>2.9000000000000001E-2</v>
      </c>
      <c r="F97">
        <v>0.13200000000000001</v>
      </c>
      <c r="G97">
        <v>0.255</v>
      </c>
      <c r="H97">
        <v>0.40200000000000002</v>
      </c>
      <c r="I97">
        <v>0.65100000000000002</v>
      </c>
      <c r="J97">
        <v>0.72799999999999998</v>
      </c>
    </row>
    <row r="98" spans="1:10">
      <c r="A98" t="s">
        <v>214</v>
      </c>
      <c r="B98">
        <v>0.28100000000000003</v>
      </c>
      <c r="C98">
        <v>0.193</v>
      </c>
      <c r="D98">
        <v>1.6E-2</v>
      </c>
      <c r="E98">
        <v>2.4E-2</v>
      </c>
      <c r="F98">
        <v>0.123</v>
      </c>
      <c r="G98">
        <v>0.254</v>
      </c>
      <c r="H98">
        <v>0.41</v>
      </c>
      <c r="I98">
        <v>0.63</v>
      </c>
      <c r="J98">
        <v>0.72299999999999998</v>
      </c>
    </row>
    <row r="99" spans="1:10">
      <c r="A99" t="s">
        <v>213</v>
      </c>
      <c r="B99">
        <v>0.34100000000000003</v>
      </c>
      <c r="C99">
        <v>0.20899999999999999</v>
      </c>
      <c r="D99">
        <v>2.4E-2</v>
      </c>
      <c r="E99">
        <v>3.6999999999999998E-2</v>
      </c>
      <c r="F99">
        <v>0.16900000000000001</v>
      </c>
      <c r="G99">
        <v>0.32</v>
      </c>
      <c r="H99">
        <v>0.49</v>
      </c>
      <c r="I99">
        <v>0.71599999999999997</v>
      </c>
      <c r="J99">
        <v>0.76900000000000002</v>
      </c>
    </row>
    <row r="100" spans="1:10">
      <c r="A100" t="s">
        <v>212</v>
      </c>
      <c r="B100">
        <v>0.32800000000000001</v>
      </c>
      <c r="C100">
        <v>0.20799999999999999</v>
      </c>
      <c r="D100">
        <v>2.3E-2</v>
      </c>
      <c r="E100">
        <v>3.7999999999999999E-2</v>
      </c>
      <c r="F100">
        <v>0.151</v>
      </c>
      <c r="G100">
        <v>0.312</v>
      </c>
      <c r="H100">
        <v>0.47299999999999998</v>
      </c>
      <c r="I100">
        <v>0.69199999999999995</v>
      </c>
      <c r="J100">
        <v>0.74399999999999999</v>
      </c>
    </row>
    <row r="101" spans="1:10">
      <c r="A101" t="s">
        <v>211</v>
      </c>
      <c r="B101">
        <v>0.14399999999999999</v>
      </c>
      <c r="C101">
        <v>0.152</v>
      </c>
      <c r="D101">
        <v>8.0000000000000002E-3</v>
      </c>
      <c r="E101">
        <v>1.2999999999999999E-2</v>
      </c>
      <c r="F101">
        <v>4.2999999999999997E-2</v>
      </c>
      <c r="G101">
        <v>9.4E-2</v>
      </c>
      <c r="H101">
        <v>0.19</v>
      </c>
      <c r="I101">
        <v>0.46600000000000003</v>
      </c>
      <c r="J101">
        <v>0.60599999999999998</v>
      </c>
    </row>
    <row r="102" spans="1:10">
      <c r="A102" t="s">
        <v>210</v>
      </c>
      <c r="B102">
        <v>0.193</v>
      </c>
      <c r="C102">
        <v>0.16400000000000001</v>
      </c>
      <c r="D102">
        <v>1.4999999999999999E-2</v>
      </c>
      <c r="E102">
        <v>2.3E-2</v>
      </c>
      <c r="F102">
        <v>7.5999999999999998E-2</v>
      </c>
      <c r="G102">
        <v>0.14499999999999999</v>
      </c>
      <c r="H102">
        <v>0.26200000000000001</v>
      </c>
      <c r="I102">
        <v>0.54900000000000004</v>
      </c>
      <c r="J102">
        <v>0.65200000000000002</v>
      </c>
    </row>
    <row r="103" spans="1:10">
      <c r="A103" t="s">
        <v>209</v>
      </c>
      <c r="B103">
        <v>0.153</v>
      </c>
      <c r="C103">
        <v>0.13800000000000001</v>
      </c>
      <c r="D103">
        <v>1.0999999999999999E-2</v>
      </c>
      <c r="E103">
        <v>1.7999999999999999E-2</v>
      </c>
      <c r="F103">
        <v>5.8000000000000003E-2</v>
      </c>
      <c r="G103">
        <v>0.114</v>
      </c>
      <c r="H103">
        <v>0.19900000000000001</v>
      </c>
      <c r="I103">
        <v>0.42499999999999999</v>
      </c>
      <c r="J103">
        <v>0.54500000000000004</v>
      </c>
    </row>
    <row r="104" spans="1:10">
      <c r="A104" t="s">
        <v>208</v>
      </c>
      <c r="B104">
        <v>0.216</v>
      </c>
      <c r="C104">
        <v>0.17299999999999999</v>
      </c>
      <c r="D104">
        <v>1.2999999999999999E-2</v>
      </c>
      <c r="E104">
        <v>2.1999999999999999E-2</v>
      </c>
      <c r="F104">
        <v>0.08</v>
      </c>
      <c r="G104">
        <v>0.17</v>
      </c>
      <c r="H104">
        <v>0.30199999999999999</v>
      </c>
      <c r="I104">
        <v>0.57499999999999996</v>
      </c>
      <c r="J104">
        <v>0.67600000000000005</v>
      </c>
    </row>
    <row r="105" spans="1:10">
      <c r="A105" t="s">
        <v>207</v>
      </c>
      <c r="B105">
        <v>0.55600000000000005</v>
      </c>
      <c r="C105">
        <v>0.14199999999999999</v>
      </c>
      <c r="D105">
        <v>0.25700000000000001</v>
      </c>
      <c r="E105">
        <v>0.27700000000000002</v>
      </c>
      <c r="F105">
        <v>0.46500000000000002</v>
      </c>
      <c r="G105">
        <v>0.57899999999999996</v>
      </c>
      <c r="H105">
        <v>0.65500000000000003</v>
      </c>
      <c r="I105">
        <v>0.75</v>
      </c>
      <c r="J105">
        <v>0.78600000000000003</v>
      </c>
    </row>
    <row r="106" spans="1:10">
      <c r="A106" t="s">
        <v>206</v>
      </c>
      <c r="B106">
        <v>0.59499999999999997</v>
      </c>
      <c r="C106">
        <v>0.25600000000000001</v>
      </c>
      <c r="D106">
        <v>6.7000000000000004E-2</v>
      </c>
      <c r="E106">
        <v>0.12</v>
      </c>
      <c r="F106">
        <v>0.40600000000000003</v>
      </c>
      <c r="G106">
        <v>0.65200000000000002</v>
      </c>
      <c r="H106">
        <v>0.80800000000000005</v>
      </c>
      <c r="I106">
        <v>0.92400000000000004</v>
      </c>
      <c r="J106">
        <v>0.94399999999999995</v>
      </c>
    </row>
    <row r="107" spans="1:10">
      <c r="A107" t="s">
        <v>205</v>
      </c>
      <c r="B107">
        <v>0.59699999999999998</v>
      </c>
      <c r="C107">
        <v>0.23799999999999999</v>
      </c>
      <c r="D107">
        <v>9.6000000000000002E-2</v>
      </c>
      <c r="E107">
        <v>0.156</v>
      </c>
      <c r="F107">
        <v>0.432</v>
      </c>
      <c r="G107">
        <v>0.63200000000000001</v>
      </c>
      <c r="H107">
        <v>0.79200000000000004</v>
      </c>
      <c r="I107">
        <v>0.92300000000000004</v>
      </c>
      <c r="J107">
        <v>0.95</v>
      </c>
    </row>
    <row r="108" spans="1:10">
      <c r="A108" t="s">
        <v>204</v>
      </c>
      <c r="B108">
        <v>0.56999999999999995</v>
      </c>
      <c r="C108">
        <v>0.23200000000000001</v>
      </c>
      <c r="D108">
        <v>8.3000000000000004E-2</v>
      </c>
      <c r="E108">
        <v>0.14699999999999999</v>
      </c>
      <c r="F108">
        <v>0.40200000000000002</v>
      </c>
      <c r="G108">
        <v>0.60699999999999998</v>
      </c>
      <c r="H108">
        <v>0.752</v>
      </c>
      <c r="I108">
        <v>0.89700000000000002</v>
      </c>
      <c r="J108">
        <v>0.92600000000000005</v>
      </c>
    </row>
    <row r="109" spans="1:10">
      <c r="A109" t="s">
        <v>203</v>
      </c>
      <c r="B109">
        <v>0.59599999999999997</v>
      </c>
      <c r="C109">
        <v>0.24399999999999999</v>
      </c>
      <c r="D109">
        <v>8.3000000000000004E-2</v>
      </c>
      <c r="E109">
        <v>0.13400000000000001</v>
      </c>
      <c r="F109">
        <v>0.41199999999999998</v>
      </c>
      <c r="G109">
        <v>0.64</v>
      </c>
      <c r="H109">
        <v>0.79800000000000004</v>
      </c>
      <c r="I109">
        <v>0.92700000000000005</v>
      </c>
      <c r="J109">
        <v>0.94799999999999995</v>
      </c>
    </row>
    <row r="110" spans="1:10">
      <c r="A110" t="s">
        <v>202</v>
      </c>
      <c r="B110">
        <v>0.46800000000000003</v>
      </c>
      <c r="C110">
        <v>0.223</v>
      </c>
      <c r="D110">
        <v>8.4000000000000005E-2</v>
      </c>
      <c r="E110">
        <v>0.121</v>
      </c>
      <c r="F110">
        <v>0.28999999999999998</v>
      </c>
      <c r="G110">
        <v>0.45300000000000001</v>
      </c>
      <c r="H110">
        <v>0.63900000000000001</v>
      </c>
      <c r="I110">
        <v>0.84299999999999997</v>
      </c>
      <c r="J110">
        <v>0.90100000000000002</v>
      </c>
    </row>
    <row r="111" spans="1:10">
      <c r="A111" t="s">
        <v>201</v>
      </c>
      <c r="B111">
        <v>0.47799999999999998</v>
      </c>
      <c r="C111">
        <v>0.22500000000000001</v>
      </c>
      <c r="D111">
        <v>7.1999999999999995E-2</v>
      </c>
      <c r="E111">
        <v>0.108</v>
      </c>
      <c r="F111">
        <v>0.309</v>
      </c>
      <c r="G111">
        <v>0.47499999999999998</v>
      </c>
      <c r="H111">
        <v>0.64</v>
      </c>
      <c r="I111">
        <v>0.84799999999999998</v>
      </c>
      <c r="J111">
        <v>0.90100000000000002</v>
      </c>
    </row>
    <row r="112" spans="1:10">
      <c r="A112" t="s">
        <v>200</v>
      </c>
      <c r="B112">
        <v>0.313</v>
      </c>
      <c r="C112">
        <v>0.187</v>
      </c>
      <c r="D112">
        <v>0.04</v>
      </c>
      <c r="E112">
        <v>6.0999999999999999E-2</v>
      </c>
      <c r="F112">
        <v>0.17199999999999999</v>
      </c>
      <c r="G112">
        <v>0.28599999999999998</v>
      </c>
      <c r="H112">
        <v>0.41899999999999998</v>
      </c>
      <c r="I112">
        <v>0.66800000000000004</v>
      </c>
      <c r="J112">
        <v>0.78300000000000003</v>
      </c>
    </row>
    <row r="113" spans="1:10">
      <c r="A113" t="s">
        <v>199</v>
      </c>
      <c r="B113">
        <v>0.53600000000000003</v>
      </c>
      <c r="C113">
        <v>0.23899999999999999</v>
      </c>
      <c r="D113">
        <v>0.09</v>
      </c>
      <c r="E113">
        <v>0.125</v>
      </c>
      <c r="F113">
        <v>0.34100000000000003</v>
      </c>
      <c r="G113">
        <v>0.55900000000000005</v>
      </c>
      <c r="H113">
        <v>0.73</v>
      </c>
      <c r="I113">
        <v>0.89500000000000002</v>
      </c>
      <c r="J113">
        <v>0.93300000000000005</v>
      </c>
    </row>
    <row r="114" spans="1:10">
      <c r="A114" t="s">
        <v>198</v>
      </c>
      <c r="B114">
        <v>0.55800000000000005</v>
      </c>
      <c r="C114">
        <v>0.23499999999999999</v>
      </c>
      <c r="D114">
        <v>8.4000000000000005E-2</v>
      </c>
      <c r="E114">
        <v>0.14099999999999999</v>
      </c>
      <c r="F114">
        <v>0.378</v>
      </c>
      <c r="G114">
        <v>0.58199999999999996</v>
      </c>
      <c r="H114">
        <v>0.75</v>
      </c>
      <c r="I114">
        <v>0.9</v>
      </c>
      <c r="J114">
        <v>0.92800000000000005</v>
      </c>
    </row>
    <row r="115" spans="1:10">
      <c r="A115" t="s">
        <v>197</v>
      </c>
      <c r="B115">
        <v>0.55200000000000005</v>
      </c>
      <c r="C115">
        <v>0.23100000000000001</v>
      </c>
      <c r="D115">
        <v>8.4000000000000005E-2</v>
      </c>
      <c r="E115">
        <v>0.13500000000000001</v>
      </c>
      <c r="F115">
        <v>0.38600000000000001</v>
      </c>
      <c r="G115">
        <v>0.57499999999999996</v>
      </c>
      <c r="H115">
        <v>0.73799999999999999</v>
      </c>
      <c r="I115">
        <v>0.89600000000000002</v>
      </c>
      <c r="J115">
        <v>0.92300000000000004</v>
      </c>
    </row>
    <row r="116" spans="1:10">
      <c r="A116" t="s">
        <v>196</v>
      </c>
      <c r="B116">
        <v>0.56100000000000005</v>
      </c>
      <c r="C116">
        <v>0.23200000000000001</v>
      </c>
      <c r="D116">
        <v>0.1</v>
      </c>
      <c r="E116">
        <v>0.14299999999999999</v>
      </c>
      <c r="F116">
        <v>0.38600000000000001</v>
      </c>
      <c r="G116">
        <v>0.59099999999999997</v>
      </c>
      <c r="H116">
        <v>0.74099999999999999</v>
      </c>
      <c r="I116">
        <v>0.90600000000000003</v>
      </c>
      <c r="J116">
        <v>0.93</v>
      </c>
    </row>
    <row r="117" spans="1:10">
      <c r="A117" t="s">
        <v>195</v>
      </c>
      <c r="B117">
        <v>0.49099999999999999</v>
      </c>
      <c r="C117">
        <v>0.22800000000000001</v>
      </c>
      <c r="D117">
        <v>8.4000000000000005E-2</v>
      </c>
      <c r="E117">
        <v>0.13300000000000001</v>
      </c>
      <c r="F117">
        <v>0.315</v>
      </c>
      <c r="G117">
        <v>0.48199999999999998</v>
      </c>
      <c r="H117">
        <v>0.66100000000000003</v>
      </c>
      <c r="I117">
        <v>0.872</v>
      </c>
      <c r="J117">
        <v>0.91100000000000003</v>
      </c>
    </row>
    <row r="118" spans="1:10">
      <c r="A118" t="s">
        <v>194</v>
      </c>
      <c r="B118">
        <v>0.51300000000000001</v>
      </c>
      <c r="C118">
        <v>0.222</v>
      </c>
      <c r="D118">
        <v>8.5999999999999993E-2</v>
      </c>
      <c r="E118">
        <v>0.128</v>
      </c>
      <c r="F118">
        <v>0.34799999999999998</v>
      </c>
      <c r="G118">
        <v>0.51800000000000002</v>
      </c>
      <c r="H118">
        <v>0.67900000000000005</v>
      </c>
      <c r="I118">
        <v>0.86899999999999999</v>
      </c>
      <c r="J118">
        <v>0.90500000000000003</v>
      </c>
    </row>
    <row r="119" spans="1:10">
      <c r="A119" t="s">
        <v>193</v>
      </c>
      <c r="B119">
        <v>0.45600000000000002</v>
      </c>
      <c r="C119">
        <v>0.23</v>
      </c>
      <c r="D119">
        <v>6.2E-2</v>
      </c>
      <c r="E119">
        <v>0.107</v>
      </c>
      <c r="F119">
        <v>0.27500000000000002</v>
      </c>
      <c r="G119">
        <v>0.44600000000000001</v>
      </c>
      <c r="H119">
        <v>0.626</v>
      </c>
      <c r="I119">
        <v>0.86</v>
      </c>
      <c r="J119">
        <v>0.90100000000000002</v>
      </c>
    </row>
    <row r="120" spans="1:10">
      <c r="A120" t="s">
        <v>192</v>
      </c>
      <c r="B120">
        <v>0.52800000000000002</v>
      </c>
      <c r="C120">
        <v>0.223</v>
      </c>
      <c r="D120">
        <v>8.4000000000000005E-2</v>
      </c>
      <c r="E120">
        <v>0.13500000000000001</v>
      </c>
      <c r="F120">
        <v>0.36799999999999999</v>
      </c>
      <c r="G120">
        <v>0.53500000000000003</v>
      </c>
      <c r="H120">
        <v>0.70099999999999996</v>
      </c>
      <c r="I120">
        <v>0.88100000000000001</v>
      </c>
      <c r="J120">
        <v>0.91600000000000004</v>
      </c>
    </row>
    <row r="121" spans="1:10">
      <c r="A121" t="s">
        <v>191</v>
      </c>
      <c r="B121">
        <v>0.47099999999999997</v>
      </c>
      <c r="C121">
        <v>0.221</v>
      </c>
      <c r="D121">
        <v>0.09</v>
      </c>
      <c r="E121">
        <v>0.124</v>
      </c>
      <c r="F121">
        <v>0.29199999999999998</v>
      </c>
      <c r="G121">
        <v>0.46500000000000002</v>
      </c>
      <c r="H121">
        <v>0.64200000000000002</v>
      </c>
      <c r="I121">
        <v>0.83699999999999997</v>
      </c>
      <c r="J121">
        <v>0.88300000000000001</v>
      </c>
    </row>
    <row r="122" spans="1:10">
      <c r="A122" t="s">
        <v>190</v>
      </c>
      <c r="B122">
        <v>0.47199999999999998</v>
      </c>
      <c r="C122">
        <v>0.22900000000000001</v>
      </c>
      <c r="D122">
        <v>8.1000000000000003E-2</v>
      </c>
      <c r="E122">
        <v>0.115</v>
      </c>
      <c r="F122">
        <v>0.29299999999999998</v>
      </c>
      <c r="G122">
        <v>0.46400000000000002</v>
      </c>
      <c r="H122">
        <v>0.64</v>
      </c>
      <c r="I122">
        <v>0.873</v>
      </c>
      <c r="J122">
        <v>0.92300000000000004</v>
      </c>
    </row>
    <row r="123" spans="1:10">
      <c r="A123" t="s">
        <v>189</v>
      </c>
      <c r="B123">
        <v>0.432</v>
      </c>
      <c r="C123">
        <v>0.224</v>
      </c>
      <c r="D123">
        <v>6.4000000000000001E-2</v>
      </c>
      <c r="E123">
        <v>9.5000000000000001E-2</v>
      </c>
      <c r="F123">
        <v>0.26</v>
      </c>
      <c r="G123">
        <v>0.40699999999999997</v>
      </c>
      <c r="H123">
        <v>0.60099999999999998</v>
      </c>
      <c r="I123">
        <v>0.82799999999999996</v>
      </c>
      <c r="J123">
        <v>0.87</v>
      </c>
    </row>
    <row r="124" spans="1:10">
      <c r="A124" t="s">
        <v>188</v>
      </c>
      <c r="B124">
        <v>0.42799999999999999</v>
      </c>
      <c r="C124">
        <v>0.219</v>
      </c>
      <c r="D124">
        <v>8.5999999999999993E-2</v>
      </c>
      <c r="E124">
        <v>0.112</v>
      </c>
      <c r="F124">
        <v>0.248</v>
      </c>
      <c r="G124">
        <v>0.40300000000000002</v>
      </c>
      <c r="H124">
        <v>0.58799999999999997</v>
      </c>
      <c r="I124">
        <v>0.83</v>
      </c>
      <c r="J124">
        <v>0.879</v>
      </c>
    </row>
    <row r="125" spans="1:10">
      <c r="A125" t="s">
        <v>187</v>
      </c>
      <c r="B125">
        <v>0.58699999999999997</v>
      </c>
      <c r="C125">
        <v>0.255</v>
      </c>
      <c r="D125">
        <v>8.1000000000000003E-2</v>
      </c>
      <c r="E125">
        <v>0.12</v>
      </c>
      <c r="F125">
        <v>0.40300000000000002</v>
      </c>
      <c r="G125">
        <v>0.63300000000000001</v>
      </c>
      <c r="H125">
        <v>0.80500000000000005</v>
      </c>
      <c r="I125">
        <v>0.92900000000000005</v>
      </c>
      <c r="J125">
        <v>0.94199999999999995</v>
      </c>
    </row>
    <row r="126" spans="1:10">
      <c r="A126" t="s">
        <v>186</v>
      </c>
      <c r="B126">
        <v>0.53300000000000003</v>
      </c>
      <c r="C126">
        <v>0.24</v>
      </c>
      <c r="D126">
        <v>6.7000000000000004E-2</v>
      </c>
      <c r="E126">
        <v>0.11700000000000001</v>
      </c>
      <c r="F126">
        <v>0.35199999999999998</v>
      </c>
      <c r="G126">
        <v>0.55500000000000005</v>
      </c>
      <c r="H126">
        <v>0.72899999999999998</v>
      </c>
      <c r="I126">
        <v>0.89400000000000002</v>
      </c>
      <c r="J126">
        <v>0.92700000000000005</v>
      </c>
    </row>
    <row r="127" spans="1:10">
      <c r="A127" t="s">
        <v>185</v>
      </c>
      <c r="B127">
        <v>0.57999999999999996</v>
      </c>
      <c r="C127">
        <v>0.246</v>
      </c>
      <c r="D127">
        <v>7.8E-2</v>
      </c>
      <c r="E127">
        <v>0.122</v>
      </c>
      <c r="F127">
        <v>0.40200000000000002</v>
      </c>
      <c r="G127">
        <v>0.626</v>
      </c>
      <c r="H127">
        <v>0.77900000000000003</v>
      </c>
      <c r="I127">
        <v>0.91900000000000004</v>
      </c>
      <c r="J127">
        <v>0.94599999999999995</v>
      </c>
    </row>
    <row r="128" spans="1:10">
      <c r="A128" t="s">
        <v>184</v>
      </c>
      <c r="B128">
        <v>0.52500000000000002</v>
      </c>
      <c r="C128">
        <v>0.23599999999999999</v>
      </c>
      <c r="D128">
        <v>8.4000000000000005E-2</v>
      </c>
      <c r="E128">
        <v>0.129</v>
      </c>
      <c r="F128">
        <v>0.34499999999999997</v>
      </c>
      <c r="G128">
        <v>0.53300000000000003</v>
      </c>
      <c r="H128">
        <v>0.72</v>
      </c>
      <c r="I128">
        <v>0.88700000000000001</v>
      </c>
      <c r="J128">
        <v>0.92100000000000004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D772-4A28-4B6A-8794-723674257C3F}">
  <dimension ref="A2:A541"/>
  <sheetViews>
    <sheetView workbookViewId="0">
      <selection activeCell="E29" sqref="E29"/>
    </sheetView>
  </sheetViews>
  <sheetFormatPr defaultRowHeight="16.5"/>
  <sheetData>
    <row r="2" spans="1:1">
      <c r="A2" t="s">
        <v>559</v>
      </c>
    </row>
    <row r="3" spans="1:1">
      <c r="A3" t="s">
        <v>826</v>
      </c>
    </row>
    <row r="4" spans="1:1">
      <c r="A4" t="s">
        <v>559</v>
      </c>
    </row>
    <row r="6" spans="1:1">
      <c r="A6" t="s">
        <v>825</v>
      </c>
    </row>
    <row r="9" spans="1:1">
      <c r="A9" t="s">
        <v>824</v>
      </c>
    </row>
    <row r="11" spans="1:1">
      <c r="A11" t="s">
        <v>822</v>
      </c>
    </row>
    <row r="12" spans="1:1">
      <c r="A12" t="s">
        <v>823</v>
      </c>
    </row>
    <row r="14" spans="1:1">
      <c r="A14" t="s">
        <v>822</v>
      </c>
    </row>
    <row r="15" spans="1:1">
      <c r="A15" t="s">
        <v>821</v>
      </c>
    </row>
    <row r="18" spans="1:1">
      <c r="A18" t="s">
        <v>820</v>
      </c>
    </row>
    <row r="20" spans="1:1">
      <c r="A20" t="s">
        <v>819</v>
      </c>
    </row>
    <row r="21" spans="1:1">
      <c r="A21" t="s">
        <v>818</v>
      </c>
    </row>
    <row r="22" spans="1:1">
      <c r="A22" t="s">
        <v>817</v>
      </c>
    </row>
    <row r="23" spans="1:1">
      <c r="A23" t="s">
        <v>816</v>
      </c>
    </row>
    <row r="24" spans="1:1">
      <c r="A24" t="s">
        <v>815</v>
      </c>
    </row>
    <row r="25" spans="1:1">
      <c r="A25" t="s">
        <v>814</v>
      </c>
    </row>
    <row r="26" spans="1:1">
      <c r="A26" t="s">
        <v>813</v>
      </c>
    </row>
    <row r="27" spans="1:1">
      <c r="A27" t="s">
        <v>812</v>
      </c>
    </row>
    <row r="28" spans="1:1">
      <c r="A28" t="s">
        <v>811</v>
      </c>
    </row>
    <row r="29" spans="1:1">
      <c r="A29" t="s">
        <v>810</v>
      </c>
    </row>
    <row r="30" spans="1:1">
      <c r="A30" t="s">
        <v>809</v>
      </c>
    </row>
    <row r="33" spans="1:1">
      <c r="A33" t="s">
        <v>808</v>
      </c>
    </row>
    <row r="35" spans="1:1">
      <c r="A35" t="s">
        <v>807</v>
      </c>
    </row>
    <row r="36" spans="1:1">
      <c r="A36" t="s">
        <v>806</v>
      </c>
    </row>
    <row r="37" spans="1:1">
      <c r="A37" t="s">
        <v>805</v>
      </c>
    </row>
    <row r="38" spans="1:1">
      <c r="A38" t="s">
        <v>804</v>
      </c>
    </row>
    <row r="39" spans="1:1">
      <c r="A39" t="s">
        <v>803</v>
      </c>
    </row>
    <row r="40" spans="1:1">
      <c r="A40" t="s">
        <v>802</v>
      </c>
    </row>
    <row r="41" spans="1:1">
      <c r="A41" t="s">
        <v>801</v>
      </c>
    </row>
    <row r="42" spans="1:1">
      <c r="A42" t="s">
        <v>800</v>
      </c>
    </row>
    <row r="43" spans="1:1">
      <c r="A43" t="s">
        <v>799</v>
      </c>
    </row>
    <row r="44" spans="1:1">
      <c r="A44" t="s">
        <v>798</v>
      </c>
    </row>
    <row r="45" spans="1:1">
      <c r="A45" t="s">
        <v>797</v>
      </c>
    </row>
    <row r="46" spans="1:1">
      <c r="A46" t="s">
        <v>796</v>
      </c>
    </row>
    <row r="47" spans="1:1">
      <c r="A47" t="s">
        <v>795</v>
      </c>
    </row>
    <row r="48" spans="1:1">
      <c r="A48" t="s">
        <v>794</v>
      </c>
    </row>
    <row r="49" spans="1:1">
      <c r="A49" t="s">
        <v>793</v>
      </c>
    </row>
    <row r="50" spans="1:1">
      <c r="A50" t="s">
        <v>792</v>
      </c>
    </row>
    <row r="51" spans="1:1">
      <c r="A51" t="s">
        <v>791</v>
      </c>
    </row>
    <row r="52" spans="1:1">
      <c r="A52" t="s">
        <v>790</v>
      </c>
    </row>
    <row r="53" spans="1:1">
      <c r="A53" t="s">
        <v>789</v>
      </c>
    </row>
    <row r="54" spans="1:1">
      <c r="A54" t="s">
        <v>788</v>
      </c>
    </row>
    <row r="55" spans="1:1">
      <c r="A55" t="s">
        <v>787</v>
      </c>
    </row>
    <row r="56" spans="1:1">
      <c r="A56" t="s">
        <v>786</v>
      </c>
    </row>
    <row r="57" spans="1:1">
      <c r="A57" t="s">
        <v>785</v>
      </c>
    </row>
    <row r="58" spans="1:1">
      <c r="A58" t="s">
        <v>784</v>
      </c>
    </row>
    <row r="59" spans="1:1">
      <c r="A59" t="s">
        <v>783</v>
      </c>
    </row>
    <row r="60" spans="1:1">
      <c r="A60" t="s">
        <v>782</v>
      </c>
    </row>
    <row r="61" spans="1:1">
      <c r="A61" t="s">
        <v>781</v>
      </c>
    </row>
    <row r="62" spans="1:1">
      <c r="A62" t="s">
        <v>780</v>
      </c>
    </row>
    <row r="63" spans="1:1">
      <c r="A63" t="s">
        <v>779</v>
      </c>
    </row>
    <row r="64" spans="1:1">
      <c r="A64" t="s">
        <v>778</v>
      </c>
    </row>
    <row r="65" spans="1:1">
      <c r="A65" t="s">
        <v>777</v>
      </c>
    </row>
    <row r="66" spans="1:1">
      <c r="A66" t="s">
        <v>776</v>
      </c>
    </row>
    <row r="67" spans="1:1">
      <c r="A67" t="s">
        <v>775</v>
      </c>
    </row>
    <row r="68" spans="1:1">
      <c r="A68" t="s">
        <v>774</v>
      </c>
    </row>
    <row r="69" spans="1:1">
      <c r="A69" t="s">
        <v>773</v>
      </c>
    </row>
    <row r="70" spans="1:1">
      <c r="A70" t="s">
        <v>772</v>
      </c>
    </row>
    <row r="71" spans="1:1">
      <c r="A71" t="s">
        <v>771</v>
      </c>
    </row>
    <row r="72" spans="1:1">
      <c r="A72" t="s">
        <v>770</v>
      </c>
    </row>
    <row r="73" spans="1:1">
      <c r="A73" t="s">
        <v>769</v>
      </c>
    </row>
    <row r="74" spans="1:1">
      <c r="A74" t="s">
        <v>768</v>
      </c>
    </row>
    <row r="75" spans="1:1">
      <c r="A75" t="s">
        <v>767</v>
      </c>
    </row>
    <row r="76" spans="1:1">
      <c r="A76" t="s">
        <v>766</v>
      </c>
    </row>
    <row r="77" spans="1:1">
      <c r="A77" t="s">
        <v>765</v>
      </c>
    </row>
    <row r="78" spans="1:1">
      <c r="A78" t="s">
        <v>764</v>
      </c>
    </row>
    <row r="79" spans="1:1">
      <c r="A79" t="s">
        <v>763</v>
      </c>
    </row>
    <row r="80" spans="1:1">
      <c r="A80" t="s">
        <v>762</v>
      </c>
    </row>
    <row r="81" spans="1:1">
      <c r="A81" t="s">
        <v>761</v>
      </c>
    </row>
    <row r="82" spans="1:1">
      <c r="A82" t="s">
        <v>760</v>
      </c>
    </row>
    <row r="83" spans="1:1">
      <c r="A83" t="s">
        <v>759</v>
      </c>
    </row>
    <row r="84" spans="1:1">
      <c r="A84" t="s">
        <v>758</v>
      </c>
    </row>
    <row r="85" spans="1:1">
      <c r="A85" t="s">
        <v>757</v>
      </c>
    </row>
    <row r="86" spans="1:1">
      <c r="A86" t="s">
        <v>756</v>
      </c>
    </row>
    <row r="87" spans="1:1">
      <c r="A87" t="s">
        <v>755</v>
      </c>
    </row>
    <row r="88" spans="1:1">
      <c r="A88" t="s">
        <v>754</v>
      </c>
    </row>
    <row r="89" spans="1:1">
      <c r="A89" t="s">
        <v>753</v>
      </c>
    </row>
    <row r="90" spans="1:1">
      <c r="A90" t="s">
        <v>752</v>
      </c>
    </row>
    <row r="91" spans="1:1">
      <c r="A91" t="s">
        <v>751</v>
      </c>
    </row>
    <row r="92" spans="1:1">
      <c r="A92" t="s">
        <v>750</v>
      </c>
    </row>
    <row r="93" spans="1:1">
      <c r="A93" t="s">
        <v>749</v>
      </c>
    </row>
    <row r="94" spans="1:1">
      <c r="A94" t="s">
        <v>748</v>
      </c>
    </row>
    <row r="95" spans="1:1">
      <c r="A95" t="s">
        <v>747</v>
      </c>
    </row>
    <row r="96" spans="1:1">
      <c r="A96" t="s">
        <v>746</v>
      </c>
    </row>
    <row r="97" spans="1:1">
      <c r="A97" t="s">
        <v>745</v>
      </c>
    </row>
    <row r="98" spans="1:1">
      <c r="A98" t="s">
        <v>744</v>
      </c>
    </row>
    <row r="99" spans="1:1">
      <c r="A99" t="s">
        <v>743</v>
      </c>
    </row>
    <row r="100" spans="1:1">
      <c r="A100" t="s">
        <v>742</v>
      </c>
    </row>
    <row r="101" spans="1:1">
      <c r="A101" t="s">
        <v>741</v>
      </c>
    </row>
    <row r="102" spans="1:1">
      <c r="A102" t="s">
        <v>740</v>
      </c>
    </row>
    <row r="103" spans="1:1">
      <c r="A103" t="s">
        <v>739</v>
      </c>
    </row>
    <row r="104" spans="1:1">
      <c r="A104" t="s">
        <v>738</v>
      </c>
    </row>
    <row r="105" spans="1:1">
      <c r="A105" t="s">
        <v>737</v>
      </c>
    </row>
    <row r="106" spans="1:1">
      <c r="A106" t="s">
        <v>736</v>
      </c>
    </row>
    <row r="107" spans="1:1">
      <c r="A107" t="s">
        <v>735</v>
      </c>
    </row>
    <row r="108" spans="1:1">
      <c r="A108" t="s">
        <v>734</v>
      </c>
    </row>
    <row r="109" spans="1:1">
      <c r="A109" t="s">
        <v>733</v>
      </c>
    </row>
    <row r="110" spans="1:1">
      <c r="A110" t="s">
        <v>732</v>
      </c>
    </row>
    <row r="111" spans="1:1">
      <c r="A111" t="s">
        <v>731</v>
      </c>
    </row>
    <row r="112" spans="1:1">
      <c r="A112" t="s">
        <v>730</v>
      </c>
    </row>
    <row r="113" spans="1:1">
      <c r="A113" t="s">
        <v>729</v>
      </c>
    </row>
    <row r="114" spans="1:1">
      <c r="A114" t="s">
        <v>728</v>
      </c>
    </row>
    <row r="115" spans="1:1">
      <c r="A115" t="s">
        <v>727</v>
      </c>
    </row>
    <row r="116" spans="1:1">
      <c r="A116" t="s">
        <v>726</v>
      </c>
    </row>
    <row r="117" spans="1:1">
      <c r="A117" t="s">
        <v>725</v>
      </c>
    </row>
    <row r="118" spans="1:1">
      <c r="A118" t="s">
        <v>724</v>
      </c>
    </row>
    <row r="119" spans="1:1">
      <c r="A119" t="s">
        <v>723</v>
      </c>
    </row>
    <row r="120" spans="1:1">
      <c r="A120" t="s">
        <v>722</v>
      </c>
    </row>
    <row r="121" spans="1:1">
      <c r="A121" t="s">
        <v>721</v>
      </c>
    </row>
    <row r="122" spans="1:1">
      <c r="A122" t="s">
        <v>720</v>
      </c>
    </row>
    <row r="123" spans="1:1">
      <c r="A123" t="s">
        <v>719</v>
      </c>
    </row>
    <row r="124" spans="1:1">
      <c r="A124" t="s">
        <v>718</v>
      </c>
    </row>
    <row r="125" spans="1:1">
      <c r="A125" t="s">
        <v>717</v>
      </c>
    </row>
    <row r="126" spans="1:1">
      <c r="A126" t="s">
        <v>716</v>
      </c>
    </row>
    <row r="127" spans="1:1">
      <c r="A127" t="s">
        <v>715</v>
      </c>
    </row>
    <row r="128" spans="1:1">
      <c r="A128" t="s">
        <v>714</v>
      </c>
    </row>
    <row r="129" spans="1:1">
      <c r="A129" t="s">
        <v>713</v>
      </c>
    </row>
    <row r="130" spans="1:1">
      <c r="A130" t="s">
        <v>712</v>
      </c>
    </row>
    <row r="131" spans="1:1">
      <c r="A131" t="s">
        <v>711</v>
      </c>
    </row>
    <row r="132" spans="1:1">
      <c r="A132" t="s">
        <v>710</v>
      </c>
    </row>
    <row r="133" spans="1:1">
      <c r="A133" t="s">
        <v>709</v>
      </c>
    </row>
    <row r="134" spans="1:1">
      <c r="A134" t="s">
        <v>708</v>
      </c>
    </row>
    <row r="135" spans="1:1">
      <c r="A135" t="s">
        <v>707</v>
      </c>
    </row>
    <row r="136" spans="1:1">
      <c r="A136" t="s">
        <v>706</v>
      </c>
    </row>
    <row r="137" spans="1:1">
      <c r="A137" t="s">
        <v>705</v>
      </c>
    </row>
    <row r="138" spans="1:1">
      <c r="A138" t="s">
        <v>704</v>
      </c>
    </row>
    <row r="139" spans="1:1">
      <c r="A139" t="s">
        <v>703</v>
      </c>
    </row>
    <row r="140" spans="1:1">
      <c r="A140" t="s">
        <v>702</v>
      </c>
    </row>
    <row r="141" spans="1:1">
      <c r="A141" t="s">
        <v>701</v>
      </c>
    </row>
    <row r="142" spans="1:1">
      <c r="A142" t="s">
        <v>700</v>
      </c>
    </row>
    <row r="143" spans="1:1">
      <c r="A143" t="s">
        <v>699</v>
      </c>
    </row>
    <row r="144" spans="1:1">
      <c r="A144" t="s">
        <v>698</v>
      </c>
    </row>
    <row r="145" spans="1:1">
      <c r="A145" t="s">
        <v>697</v>
      </c>
    </row>
    <row r="146" spans="1:1">
      <c r="A146" t="s">
        <v>696</v>
      </c>
    </row>
    <row r="147" spans="1:1">
      <c r="A147" t="s">
        <v>695</v>
      </c>
    </row>
    <row r="148" spans="1:1">
      <c r="A148" t="s">
        <v>694</v>
      </c>
    </row>
    <row r="149" spans="1:1">
      <c r="A149" t="s">
        <v>693</v>
      </c>
    </row>
    <row r="150" spans="1:1">
      <c r="A150" t="s">
        <v>692</v>
      </c>
    </row>
    <row r="151" spans="1:1">
      <c r="A151" t="s">
        <v>691</v>
      </c>
    </row>
    <row r="152" spans="1:1">
      <c r="A152" t="s">
        <v>690</v>
      </c>
    </row>
    <row r="153" spans="1:1">
      <c r="A153" t="s">
        <v>689</v>
      </c>
    </row>
    <row r="154" spans="1:1">
      <c r="A154" t="s">
        <v>688</v>
      </c>
    </row>
    <row r="155" spans="1:1">
      <c r="A155" t="s">
        <v>687</v>
      </c>
    </row>
    <row r="156" spans="1:1">
      <c r="A156" t="s">
        <v>686</v>
      </c>
    </row>
    <row r="157" spans="1:1">
      <c r="A157" t="s">
        <v>685</v>
      </c>
    </row>
    <row r="158" spans="1:1">
      <c r="A158" t="s">
        <v>684</v>
      </c>
    </row>
    <row r="159" spans="1:1">
      <c r="A159" t="s">
        <v>683</v>
      </c>
    </row>
    <row r="160" spans="1:1">
      <c r="A160" t="s">
        <v>682</v>
      </c>
    </row>
    <row r="161" spans="1:1">
      <c r="A161" t="s">
        <v>681</v>
      </c>
    </row>
    <row r="162" spans="1:1">
      <c r="A162" t="s">
        <v>680</v>
      </c>
    </row>
    <row r="163" spans="1:1">
      <c r="A163" t="s">
        <v>679</v>
      </c>
    </row>
    <row r="164" spans="1:1">
      <c r="A164" t="s">
        <v>678</v>
      </c>
    </row>
    <row r="165" spans="1:1">
      <c r="A165" t="s">
        <v>677</v>
      </c>
    </row>
    <row r="166" spans="1:1">
      <c r="A166" t="s">
        <v>676</v>
      </c>
    </row>
    <row r="167" spans="1:1">
      <c r="A167" t="s">
        <v>675</v>
      </c>
    </row>
    <row r="168" spans="1:1">
      <c r="A168" t="s">
        <v>674</v>
      </c>
    </row>
    <row r="169" spans="1:1">
      <c r="A169" t="s">
        <v>673</v>
      </c>
    </row>
    <row r="170" spans="1:1">
      <c r="A170" t="s">
        <v>672</v>
      </c>
    </row>
    <row r="171" spans="1:1">
      <c r="A171" t="s">
        <v>671</v>
      </c>
    </row>
    <row r="172" spans="1:1">
      <c r="A172" t="s">
        <v>670</v>
      </c>
    </row>
    <row r="173" spans="1:1">
      <c r="A173" t="s">
        <v>669</v>
      </c>
    </row>
    <row r="174" spans="1:1">
      <c r="A174" t="s">
        <v>668</v>
      </c>
    </row>
    <row r="175" spans="1:1">
      <c r="A175" t="s">
        <v>667</v>
      </c>
    </row>
    <row r="176" spans="1:1">
      <c r="A176" t="s">
        <v>666</v>
      </c>
    </row>
    <row r="177" spans="1:1">
      <c r="A177" t="s">
        <v>665</v>
      </c>
    </row>
    <row r="178" spans="1:1">
      <c r="A178" t="s">
        <v>664</v>
      </c>
    </row>
    <row r="179" spans="1:1">
      <c r="A179" t="s">
        <v>663</v>
      </c>
    </row>
    <row r="180" spans="1:1">
      <c r="A180" t="s">
        <v>662</v>
      </c>
    </row>
    <row r="181" spans="1:1">
      <c r="A181" t="s">
        <v>661</v>
      </c>
    </row>
    <row r="182" spans="1:1">
      <c r="A182" t="s">
        <v>660</v>
      </c>
    </row>
    <row r="183" spans="1:1">
      <c r="A183" t="s">
        <v>659</v>
      </c>
    </row>
    <row r="184" spans="1:1">
      <c r="A184" t="s">
        <v>658</v>
      </c>
    </row>
    <row r="185" spans="1:1">
      <c r="A185" t="s">
        <v>657</v>
      </c>
    </row>
    <row r="186" spans="1:1">
      <c r="A186" t="s">
        <v>656</v>
      </c>
    </row>
    <row r="187" spans="1:1">
      <c r="A187" t="s">
        <v>655</v>
      </c>
    </row>
    <row r="188" spans="1:1">
      <c r="A188" t="s">
        <v>654</v>
      </c>
    </row>
    <row r="189" spans="1:1">
      <c r="A189" t="s">
        <v>653</v>
      </c>
    </row>
    <row r="190" spans="1:1">
      <c r="A190" t="s">
        <v>652</v>
      </c>
    </row>
    <row r="191" spans="1:1">
      <c r="A191" t="s">
        <v>651</v>
      </c>
    </row>
    <row r="192" spans="1:1">
      <c r="A192" t="s">
        <v>650</v>
      </c>
    </row>
    <row r="193" spans="1:1">
      <c r="A193" t="s">
        <v>649</v>
      </c>
    </row>
    <row r="194" spans="1:1">
      <c r="A194" t="s">
        <v>648</v>
      </c>
    </row>
    <row r="195" spans="1:1">
      <c r="A195" t="s">
        <v>647</v>
      </c>
    </row>
    <row r="196" spans="1:1">
      <c r="A196" t="s">
        <v>646</v>
      </c>
    </row>
    <row r="197" spans="1:1">
      <c r="A197" t="s">
        <v>645</v>
      </c>
    </row>
    <row r="198" spans="1:1">
      <c r="A198" t="s">
        <v>644</v>
      </c>
    </row>
    <row r="199" spans="1:1">
      <c r="A199" t="s">
        <v>643</v>
      </c>
    </row>
    <row r="200" spans="1:1">
      <c r="A200" t="s">
        <v>642</v>
      </c>
    </row>
    <row r="201" spans="1:1">
      <c r="A201" t="s">
        <v>641</v>
      </c>
    </row>
    <row r="202" spans="1:1">
      <c r="A202" t="s">
        <v>640</v>
      </c>
    </row>
    <row r="203" spans="1:1">
      <c r="A203" t="s">
        <v>639</v>
      </c>
    </row>
    <row r="204" spans="1:1">
      <c r="A204" t="s">
        <v>638</v>
      </c>
    </row>
    <row r="205" spans="1:1">
      <c r="A205" t="s">
        <v>637</v>
      </c>
    </row>
    <row r="206" spans="1:1">
      <c r="A206" t="s">
        <v>636</v>
      </c>
    </row>
    <row r="207" spans="1:1">
      <c r="A207" t="s">
        <v>635</v>
      </c>
    </row>
    <row r="208" spans="1:1">
      <c r="A208" t="s">
        <v>634</v>
      </c>
    </row>
    <row r="209" spans="1:1">
      <c r="A209" t="s">
        <v>633</v>
      </c>
    </row>
    <row r="210" spans="1:1">
      <c r="A210" t="s">
        <v>632</v>
      </c>
    </row>
    <row r="211" spans="1:1">
      <c r="A211" t="s">
        <v>631</v>
      </c>
    </row>
    <row r="212" spans="1:1">
      <c r="A212" t="s">
        <v>630</v>
      </c>
    </row>
    <row r="213" spans="1:1">
      <c r="A213" t="s">
        <v>629</v>
      </c>
    </row>
    <row r="214" spans="1:1">
      <c r="A214" t="s">
        <v>628</v>
      </c>
    </row>
    <row r="215" spans="1:1">
      <c r="A215" t="s">
        <v>627</v>
      </c>
    </row>
    <row r="216" spans="1:1">
      <c r="A216" t="s">
        <v>626</v>
      </c>
    </row>
    <row r="217" spans="1:1">
      <c r="A217" t="s">
        <v>625</v>
      </c>
    </row>
    <row r="218" spans="1:1">
      <c r="A218" t="s">
        <v>624</v>
      </c>
    </row>
    <row r="219" spans="1:1">
      <c r="A219" t="s">
        <v>623</v>
      </c>
    </row>
    <row r="220" spans="1:1">
      <c r="A220" t="s">
        <v>622</v>
      </c>
    </row>
    <row r="221" spans="1:1">
      <c r="A221" t="s">
        <v>621</v>
      </c>
    </row>
    <row r="222" spans="1:1">
      <c r="A222" t="s">
        <v>620</v>
      </c>
    </row>
    <row r="223" spans="1:1">
      <c r="A223" t="s">
        <v>619</v>
      </c>
    </row>
    <row r="224" spans="1:1">
      <c r="A224" t="s">
        <v>618</v>
      </c>
    </row>
    <row r="225" spans="1:1">
      <c r="A225" t="s">
        <v>617</v>
      </c>
    </row>
    <row r="226" spans="1:1">
      <c r="A226" t="s">
        <v>616</v>
      </c>
    </row>
    <row r="227" spans="1:1">
      <c r="A227" t="s">
        <v>615</v>
      </c>
    </row>
    <row r="228" spans="1:1">
      <c r="A228" t="s">
        <v>614</v>
      </c>
    </row>
    <row r="229" spans="1:1">
      <c r="A229" t="s">
        <v>613</v>
      </c>
    </row>
    <row r="230" spans="1:1">
      <c r="A230" t="s">
        <v>612</v>
      </c>
    </row>
    <row r="231" spans="1:1">
      <c r="A231" t="s">
        <v>611</v>
      </c>
    </row>
    <row r="232" spans="1:1">
      <c r="A232" t="s">
        <v>610</v>
      </c>
    </row>
    <row r="233" spans="1:1">
      <c r="A233" t="s">
        <v>609</v>
      </c>
    </row>
    <row r="234" spans="1:1">
      <c r="A234" t="s">
        <v>608</v>
      </c>
    </row>
    <row r="235" spans="1:1">
      <c r="A235" t="s">
        <v>607</v>
      </c>
    </row>
    <row r="236" spans="1:1">
      <c r="A236" t="s">
        <v>606</v>
      </c>
    </row>
    <row r="237" spans="1:1">
      <c r="A237" t="s">
        <v>605</v>
      </c>
    </row>
    <row r="238" spans="1:1">
      <c r="A238" t="s">
        <v>604</v>
      </c>
    </row>
    <row r="239" spans="1:1">
      <c r="A239" t="s">
        <v>603</v>
      </c>
    </row>
    <row r="240" spans="1:1">
      <c r="A240" t="s">
        <v>602</v>
      </c>
    </row>
    <row r="241" spans="1:1">
      <c r="A241" t="s">
        <v>601</v>
      </c>
    </row>
    <row r="242" spans="1:1">
      <c r="A242" t="s">
        <v>600</v>
      </c>
    </row>
    <row r="243" spans="1:1">
      <c r="A243" t="s">
        <v>599</v>
      </c>
    </row>
    <row r="244" spans="1:1">
      <c r="A244" t="s">
        <v>598</v>
      </c>
    </row>
    <row r="245" spans="1:1">
      <c r="A245" t="s">
        <v>597</v>
      </c>
    </row>
    <row r="246" spans="1:1">
      <c r="A246" t="s">
        <v>596</v>
      </c>
    </row>
    <row r="247" spans="1:1">
      <c r="A247" t="s">
        <v>595</v>
      </c>
    </row>
    <row r="248" spans="1:1">
      <c r="A248" t="s">
        <v>594</v>
      </c>
    </row>
    <row r="249" spans="1:1">
      <c r="A249" t="s">
        <v>593</v>
      </c>
    </row>
    <row r="250" spans="1:1">
      <c r="A250" t="s">
        <v>592</v>
      </c>
    </row>
    <row r="251" spans="1:1">
      <c r="A251" t="s">
        <v>591</v>
      </c>
    </row>
    <row r="252" spans="1:1">
      <c r="A252" t="s">
        <v>590</v>
      </c>
    </row>
    <row r="253" spans="1:1">
      <c r="A253" t="s">
        <v>589</v>
      </c>
    </row>
    <row r="254" spans="1:1">
      <c r="A254" t="s">
        <v>588</v>
      </c>
    </row>
    <row r="255" spans="1:1">
      <c r="A255" t="s">
        <v>587</v>
      </c>
    </row>
    <row r="256" spans="1:1">
      <c r="A256" t="s">
        <v>586</v>
      </c>
    </row>
    <row r="257" spans="1:1">
      <c r="A257" t="s">
        <v>585</v>
      </c>
    </row>
    <row r="258" spans="1:1">
      <c r="A258" t="s">
        <v>584</v>
      </c>
    </row>
    <row r="259" spans="1:1">
      <c r="A259" t="s">
        <v>583</v>
      </c>
    </row>
    <row r="260" spans="1:1">
      <c r="A260" t="s">
        <v>582</v>
      </c>
    </row>
    <row r="261" spans="1:1">
      <c r="A261" t="s">
        <v>581</v>
      </c>
    </row>
    <row r="262" spans="1:1">
      <c r="A262" t="s">
        <v>580</v>
      </c>
    </row>
    <row r="263" spans="1:1">
      <c r="A263" t="s">
        <v>579</v>
      </c>
    </row>
    <row r="264" spans="1:1">
      <c r="A264" t="s">
        <v>578</v>
      </c>
    </row>
    <row r="265" spans="1:1">
      <c r="A265" t="s">
        <v>577</v>
      </c>
    </row>
    <row r="266" spans="1:1">
      <c r="A266" t="s">
        <v>576</v>
      </c>
    </row>
    <row r="267" spans="1:1">
      <c r="A267" t="s">
        <v>575</v>
      </c>
    </row>
    <row r="268" spans="1:1">
      <c r="A268" t="s">
        <v>574</v>
      </c>
    </row>
    <row r="269" spans="1:1">
      <c r="A269" t="s">
        <v>573</v>
      </c>
    </row>
    <row r="270" spans="1:1">
      <c r="A270" t="s">
        <v>572</v>
      </c>
    </row>
    <row r="271" spans="1:1">
      <c r="A271" t="s">
        <v>571</v>
      </c>
    </row>
    <row r="272" spans="1:1">
      <c r="A272" t="s">
        <v>570</v>
      </c>
    </row>
    <row r="273" spans="1:1">
      <c r="A273" t="s">
        <v>569</v>
      </c>
    </row>
    <row r="274" spans="1:1">
      <c r="A274" t="s">
        <v>568</v>
      </c>
    </row>
    <row r="275" spans="1:1">
      <c r="A275" t="s">
        <v>567</v>
      </c>
    </row>
    <row r="276" spans="1:1">
      <c r="A276" t="s">
        <v>566</v>
      </c>
    </row>
    <row r="277" spans="1:1">
      <c r="A277" t="s">
        <v>565</v>
      </c>
    </row>
    <row r="278" spans="1:1">
      <c r="A278" t="s">
        <v>564</v>
      </c>
    </row>
    <row r="279" spans="1:1">
      <c r="A279" t="s">
        <v>563</v>
      </c>
    </row>
    <row r="280" spans="1:1">
      <c r="A280" t="s">
        <v>562</v>
      </c>
    </row>
    <row r="281" spans="1:1">
      <c r="A281" t="s">
        <v>561</v>
      </c>
    </row>
    <row r="283" spans="1:1">
      <c r="A283" t="s">
        <v>559</v>
      </c>
    </row>
    <row r="284" spans="1:1">
      <c r="A284" t="s">
        <v>560</v>
      </c>
    </row>
    <row r="285" spans="1:1">
      <c r="A285" t="s">
        <v>559</v>
      </c>
    </row>
    <row r="287" spans="1:1">
      <c r="A287" t="s">
        <v>558</v>
      </c>
    </row>
    <row r="288" spans="1:1">
      <c r="A288" t="s">
        <v>557</v>
      </c>
    </row>
    <row r="289" spans="1:1">
      <c r="A289">
        <v>246</v>
      </c>
    </row>
    <row r="290" spans="1:1">
      <c r="A290" t="s">
        <v>556</v>
      </c>
    </row>
    <row r="293" spans="1:1">
      <c r="A293" t="s">
        <v>555</v>
      </c>
    </row>
    <row r="294" spans="1:1">
      <c r="A294" t="s">
        <v>554</v>
      </c>
    </row>
    <row r="297" spans="1:1">
      <c r="A297" t="s">
        <v>553</v>
      </c>
    </row>
    <row r="299" spans="1:1">
      <c r="A299" t="s">
        <v>552</v>
      </c>
    </row>
    <row r="300" spans="1:1">
      <c r="A300" t="s">
        <v>551</v>
      </c>
    </row>
    <row r="301" spans="1:1">
      <c r="A301" t="s">
        <v>550</v>
      </c>
    </row>
    <row r="302" spans="1:1">
      <c r="A302" t="s">
        <v>549</v>
      </c>
    </row>
    <row r="303" spans="1:1">
      <c r="A303" t="s">
        <v>548</v>
      </c>
    </row>
    <row r="304" spans="1:1">
      <c r="A304" t="s">
        <v>547</v>
      </c>
    </row>
    <row r="305" spans="1:1">
      <c r="A305" t="s">
        <v>546</v>
      </c>
    </row>
    <row r="306" spans="1:1">
      <c r="A306" t="s">
        <v>545</v>
      </c>
    </row>
    <row r="307" spans="1:1">
      <c r="A307" t="s">
        <v>544</v>
      </c>
    </row>
    <row r="308" spans="1:1">
      <c r="A308" t="s">
        <v>543</v>
      </c>
    </row>
    <row r="309" spans="1:1">
      <c r="A309" t="s">
        <v>542</v>
      </c>
    </row>
    <row r="310" spans="1:1">
      <c r="A310" t="s">
        <v>541</v>
      </c>
    </row>
    <row r="311" spans="1:1">
      <c r="A311" t="s">
        <v>540</v>
      </c>
    </row>
    <row r="312" spans="1:1">
      <c r="A312" t="s">
        <v>539</v>
      </c>
    </row>
    <row r="313" spans="1:1">
      <c r="A313" t="s">
        <v>538</v>
      </c>
    </row>
    <row r="314" spans="1:1">
      <c r="A314" t="s">
        <v>537</v>
      </c>
    </row>
    <row r="315" spans="1:1">
      <c r="A315" t="s">
        <v>536</v>
      </c>
    </row>
    <row r="316" spans="1:1">
      <c r="A316" t="s">
        <v>535</v>
      </c>
    </row>
    <row r="317" spans="1:1">
      <c r="A317" t="s">
        <v>534</v>
      </c>
    </row>
    <row r="318" spans="1:1">
      <c r="A318" t="s">
        <v>533</v>
      </c>
    </row>
    <row r="319" spans="1:1">
      <c r="A319" t="s">
        <v>532</v>
      </c>
    </row>
    <row r="320" spans="1:1">
      <c r="A320" t="s">
        <v>531</v>
      </c>
    </row>
    <row r="321" spans="1:1">
      <c r="A321" t="s">
        <v>530</v>
      </c>
    </row>
    <row r="322" spans="1:1">
      <c r="A322" t="s">
        <v>529</v>
      </c>
    </row>
    <row r="323" spans="1:1">
      <c r="A323" t="s">
        <v>528</v>
      </c>
    </row>
    <row r="324" spans="1:1">
      <c r="A324" t="s">
        <v>527</v>
      </c>
    </row>
    <row r="325" spans="1:1">
      <c r="A325" t="s">
        <v>526</v>
      </c>
    </row>
    <row r="326" spans="1:1">
      <c r="A326" t="s">
        <v>525</v>
      </c>
    </row>
    <row r="327" spans="1:1">
      <c r="A327" t="s">
        <v>524</v>
      </c>
    </row>
    <row r="328" spans="1:1">
      <c r="A328" t="s">
        <v>523</v>
      </c>
    </row>
    <row r="329" spans="1:1">
      <c r="A329" t="s">
        <v>522</v>
      </c>
    </row>
    <row r="330" spans="1:1">
      <c r="A330" t="s">
        <v>521</v>
      </c>
    </row>
    <row r="331" spans="1:1">
      <c r="A331" t="s">
        <v>520</v>
      </c>
    </row>
    <row r="332" spans="1:1">
      <c r="A332" t="s">
        <v>519</v>
      </c>
    </row>
    <row r="333" spans="1:1">
      <c r="A333" t="s">
        <v>518</v>
      </c>
    </row>
    <row r="334" spans="1:1">
      <c r="A334" t="s">
        <v>517</v>
      </c>
    </row>
    <row r="335" spans="1:1">
      <c r="A335" t="s">
        <v>516</v>
      </c>
    </row>
    <row r="336" spans="1:1">
      <c r="A336" t="s">
        <v>515</v>
      </c>
    </row>
    <row r="337" spans="1:1">
      <c r="A337" t="s">
        <v>514</v>
      </c>
    </row>
    <row r="338" spans="1:1">
      <c r="A338" t="s">
        <v>513</v>
      </c>
    </row>
    <row r="339" spans="1:1">
      <c r="A339" t="s">
        <v>512</v>
      </c>
    </row>
    <row r="340" spans="1:1">
      <c r="A340" t="s">
        <v>511</v>
      </c>
    </row>
    <row r="341" spans="1:1">
      <c r="A341" t="s">
        <v>510</v>
      </c>
    </row>
    <row r="342" spans="1:1">
      <c r="A342" t="s">
        <v>509</v>
      </c>
    </row>
    <row r="343" spans="1:1">
      <c r="A343" t="s">
        <v>508</v>
      </c>
    </row>
    <row r="344" spans="1:1">
      <c r="A344" t="s">
        <v>507</v>
      </c>
    </row>
    <row r="345" spans="1:1">
      <c r="A345" t="s">
        <v>506</v>
      </c>
    </row>
    <row r="346" spans="1:1">
      <c r="A346" t="s">
        <v>505</v>
      </c>
    </row>
    <row r="347" spans="1:1">
      <c r="A347" t="s">
        <v>504</v>
      </c>
    </row>
    <row r="348" spans="1:1">
      <c r="A348" t="s">
        <v>503</v>
      </c>
    </row>
    <row r="349" spans="1:1">
      <c r="A349" t="s">
        <v>502</v>
      </c>
    </row>
    <row r="350" spans="1:1">
      <c r="A350" t="s">
        <v>501</v>
      </c>
    </row>
    <row r="351" spans="1:1">
      <c r="A351" t="s">
        <v>500</v>
      </c>
    </row>
    <row r="352" spans="1:1">
      <c r="A352" t="s">
        <v>499</v>
      </c>
    </row>
    <row r="353" spans="1:1">
      <c r="A353" t="s">
        <v>498</v>
      </c>
    </row>
    <row r="354" spans="1:1">
      <c r="A354" t="s">
        <v>497</v>
      </c>
    </row>
    <row r="355" spans="1:1">
      <c r="A355" t="s">
        <v>496</v>
      </c>
    </row>
    <row r="356" spans="1:1">
      <c r="A356" t="s">
        <v>495</v>
      </c>
    </row>
    <row r="357" spans="1:1">
      <c r="A357" t="s">
        <v>494</v>
      </c>
    </row>
    <row r="358" spans="1:1">
      <c r="A358" t="s">
        <v>493</v>
      </c>
    </row>
    <row r="359" spans="1:1">
      <c r="A359" t="s">
        <v>492</v>
      </c>
    </row>
    <row r="360" spans="1:1">
      <c r="A360" t="s">
        <v>491</v>
      </c>
    </row>
    <row r="361" spans="1:1">
      <c r="A361" t="s">
        <v>490</v>
      </c>
    </row>
    <row r="362" spans="1:1">
      <c r="A362" t="s">
        <v>489</v>
      </c>
    </row>
    <row r="363" spans="1:1">
      <c r="A363" t="s">
        <v>488</v>
      </c>
    </row>
    <row r="364" spans="1:1">
      <c r="A364" t="s">
        <v>487</v>
      </c>
    </row>
    <row r="365" spans="1:1">
      <c r="A365" t="s">
        <v>486</v>
      </c>
    </row>
    <row r="366" spans="1:1">
      <c r="A366" t="s">
        <v>485</v>
      </c>
    </row>
    <row r="367" spans="1:1">
      <c r="A367" t="s">
        <v>484</v>
      </c>
    </row>
    <row r="368" spans="1:1">
      <c r="A368" t="s">
        <v>483</v>
      </c>
    </row>
    <row r="369" spans="1:1">
      <c r="A369" t="s">
        <v>482</v>
      </c>
    </row>
    <row r="370" spans="1:1">
      <c r="A370" t="s">
        <v>481</v>
      </c>
    </row>
    <row r="371" spans="1:1">
      <c r="A371" t="s">
        <v>480</v>
      </c>
    </row>
    <row r="372" spans="1:1">
      <c r="A372" t="s">
        <v>479</v>
      </c>
    </row>
    <row r="373" spans="1:1">
      <c r="A373" t="s">
        <v>478</v>
      </c>
    </row>
    <row r="374" spans="1:1">
      <c r="A374" t="s">
        <v>477</v>
      </c>
    </row>
    <row r="375" spans="1:1">
      <c r="A375" t="s">
        <v>476</v>
      </c>
    </row>
    <row r="376" spans="1:1">
      <c r="A376" t="s">
        <v>475</v>
      </c>
    </row>
    <row r="377" spans="1:1">
      <c r="A377" t="s">
        <v>474</v>
      </c>
    </row>
    <row r="378" spans="1:1">
      <c r="A378" t="s">
        <v>473</v>
      </c>
    </row>
    <row r="379" spans="1:1">
      <c r="A379" t="s">
        <v>472</v>
      </c>
    </row>
    <row r="380" spans="1:1">
      <c r="A380" t="s">
        <v>471</v>
      </c>
    </row>
    <row r="381" spans="1:1">
      <c r="A381" t="s">
        <v>470</v>
      </c>
    </row>
    <row r="382" spans="1:1">
      <c r="A382" t="s">
        <v>469</v>
      </c>
    </row>
    <row r="383" spans="1:1">
      <c r="A383" t="s">
        <v>468</v>
      </c>
    </row>
    <row r="384" spans="1:1">
      <c r="A384" t="s">
        <v>467</v>
      </c>
    </row>
    <row r="385" spans="1:1">
      <c r="A385" t="s">
        <v>466</v>
      </c>
    </row>
    <row r="386" spans="1:1">
      <c r="A386" t="s">
        <v>465</v>
      </c>
    </row>
    <row r="387" spans="1:1">
      <c r="A387" t="s">
        <v>464</v>
      </c>
    </row>
    <row r="388" spans="1:1">
      <c r="A388" t="s">
        <v>463</v>
      </c>
    </row>
    <row r="389" spans="1:1">
      <c r="A389" t="s">
        <v>462</v>
      </c>
    </row>
    <row r="390" spans="1:1">
      <c r="A390" t="s">
        <v>461</v>
      </c>
    </row>
    <row r="391" spans="1:1">
      <c r="A391" t="s">
        <v>460</v>
      </c>
    </row>
    <row r="392" spans="1:1">
      <c r="A392" t="s">
        <v>459</v>
      </c>
    </row>
    <row r="393" spans="1:1">
      <c r="A393" t="s">
        <v>458</v>
      </c>
    </row>
    <row r="394" spans="1:1">
      <c r="A394" t="s">
        <v>457</v>
      </c>
    </row>
    <row r="395" spans="1:1">
      <c r="A395" t="s">
        <v>456</v>
      </c>
    </row>
    <row r="396" spans="1:1">
      <c r="A396" t="s">
        <v>455</v>
      </c>
    </row>
    <row r="397" spans="1:1">
      <c r="A397" t="s">
        <v>454</v>
      </c>
    </row>
    <row r="398" spans="1:1">
      <c r="A398" t="s">
        <v>453</v>
      </c>
    </row>
    <row r="399" spans="1:1">
      <c r="A399" t="s">
        <v>452</v>
      </c>
    </row>
    <row r="400" spans="1:1">
      <c r="A400" t="s">
        <v>451</v>
      </c>
    </row>
    <row r="401" spans="1:1">
      <c r="A401" t="s">
        <v>450</v>
      </c>
    </row>
    <row r="402" spans="1:1">
      <c r="A402" t="s">
        <v>449</v>
      </c>
    </row>
    <row r="403" spans="1:1">
      <c r="A403" t="s">
        <v>448</v>
      </c>
    </row>
    <row r="404" spans="1:1">
      <c r="A404" t="s">
        <v>447</v>
      </c>
    </row>
    <row r="405" spans="1:1">
      <c r="A405" t="s">
        <v>446</v>
      </c>
    </row>
    <row r="406" spans="1:1">
      <c r="A406" t="s">
        <v>445</v>
      </c>
    </row>
    <row r="407" spans="1:1">
      <c r="A407" t="s">
        <v>444</v>
      </c>
    </row>
    <row r="408" spans="1:1">
      <c r="A408" t="s">
        <v>443</v>
      </c>
    </row>
    <row r="409" spans="1:1">
      <c r="A409" t="s">
        <v>442</v>
      </c>
    </row>
    <row r="410" spans="1:1">
      <c r="A410" t="s">
        <v>441</v>
      </c>
    </row>
    <row r="411" spans="1:1">
      <c r="A411" t="s">
        <v>440</v>
      </c>
    </row>
    <row r="412" spans="1:1">
      <c r="A412" t="s">
        <v>439</v>
      </c>
    </row>
    <row r="413" spans="1:1">
      <c r="A413" t="s">
        <v>438</v>
      </c>
    </row>
    <row r="414" spans="1:1">
      <c r="A414" t="s">
        <v>437</v>
      </c>
    </row>
    <row r="415" spans="1:1">
      <c r="A415" t="s">
        <v>436</v>
      </c>
    </row>
    <row r="416" spans="1:1">
      <c r="A416" t="s">
        <v>435</v>
      </c>
    </row>
    <row r="417" spans="1:1">
      <c r="A417" t="s">
        <v>434</v>
      </c>
    </row>
    <row r="418" spans="1:1">
      <c r="A418" t="s">
        <v>433</v>
      </c>
    </row>
    <row r="419" spans="1:1">
      <c r="A419" t="s">
        <v>432</v>
      </c>
    </row>
    <row r="420" spans="1:1">
      <c r="A420" t="s">
        <v>431</v>
      </c>
    </row>
    <row r="421" spans="1:1">
      <c r="A421" t="s">
        <v>430</v>
      </c>
    </row>
    <row r="422" spans="1:1">
      <c r="A422" t="s">
        <v>429</v>
      </c>
    </row>
    <row r="423" spans="1:1">
      <c r="A423" t="s">
        <v>428</v>
      </c>
    </row>
    <row r="424" spans="1:1">
      <c r="A424" t="s">
        <v>427</v>
      </c>
    </row>
    <row r="425" spans="1:1">
      <c r="A425" t="s">
        <v>426</v>
      </c>
    </row>
    <row r="426" spans="1:1">
      <c r="A426" t="s">
        <v>425</v>
      </c>
    </row>
    <row r="427" spans="1:1">
      <c r="A427" t="s">
        <v>424</v>
      </c>
    </row>
    <row r="428" spans="1:1">
      <c r="A428" t="s">
        <v>423</v>
      </c>
    </row>
    <row r="429" spans="1:1">
      <c r="A429" t="s">
        <v>422</v>
      </c>
    </row>
    <row r="430" spans="1:1">
      <c r="A430" t="s">
        <v>421</v>
      </c>
    </row>
    <row r="431" spans="1:1">
      <c r="A431" t="s">
        <v>420</v>
      </c>
    </row>
    <row r="432" spans="1:1">
      <c r="A432" t="s">
        <v>419</v>
      </c>
    </row>
    <row r="433" spans="1:1">
      <c r="A433" t="s">
        <v>418</v>
      </c>
    </row>
    <row r="434" spans="1:1">
      <c r="A434" t="s">
        <v>417</v>
      </c>
    </row>
    <row r="435" spans="1:1">
      <c r="A435" t="s">
        <v>416</v>
      </c>
    </row>
    <row r="436" spans="1:1">
      <c r="A436" t="s">
        <v>415</v>
      </c>
    </row>
    <row r="437" spans="1:1">
      <c r="A437" t="s">
        <v>414</v>
      </c>
    </row>
    <row r="438" spans="1:1">
      <c r="A438" t="s">
        <v>413</v>
      </c>
    </row>
    <row r="439" spans="1:1">
      <c r="A439" t="s">
        <v>412</v>
      </c>
    </row>
    <row r="440" spans="1:1">
      <c r="A440" t="s">
        <v>411</v>
      </c>
    </row>
    <row r="441" spans="1:1">
      <c r="A441" t="s">
        <v>410</v>
      </c>
    </row>
    <row r="442" spans="1:1">
      <c r="A442" t="s">
        <v>409</v>
      </c>
    </row>
    <row r="443" spans="1:1">
      <c r="A443" t="s">
        <v>408</v>
      </c>
    </row>
    <row r="444" spans="1:1">
      <c r="A444" t="s">
        <v>407</v>
      </c>
    </row>
    <row r="445" spans="1:1">
      <c r="A445" t="s">
        <v>406</v>
      </c>
    </row>
    <row r="446" spans="1:1">
      <c r="A446" t="s">
        <v>405</v>
      </c>
    </row>
    <row r="447" spans="1:1">
      <c r="A447" t="s">
        <v>404</v>
      </c>
    </row>
    <row r="448" spans="1:1">
      <c r="A448" t="s">
        <v>403</v>
      </c>
    </row>
    <row r="449" spans="1:1">
      <c r="A449" t="s">
        <v>402</v>
      </c>
    </row>
    <row r="450" spans="1:1">
      <c r="A450" t="s">
        <v>401</v>
      </c>
    </row>
    <row r="451" spans="1:1">
      <c r="A451" t="s">
        <v>400</v>
      </c>
    </row>
    <row r="452" spans="1:1">
      <c r="A452" t="s">
        <v>399</v>
      </c>
    </row>
    <row r="453" spans="1:1">
      <c r="A453" t="s">
        <v>398</v>
      </c>
    </row>
    <row r="454" spans="1:1">
      <c r="A454" t="s">
        <v>397</v>
      </c>
    </row>
    <row r="455" spans="1:1">
      <c r="A455" t="s">
        <v>396</v>
      </c>
    </row>
    <row r="456" spans="1:1">
      <c r="A456" t="s">
        <v>395</v>
      </c>
    </row>
    <row r="457" spans="1:1">
      <c r="A457" t="s">
        <v>394</v>
      </c>
    </row>
    <row r="458" spans="1:1">
      <c r="A458" t="s">
        <v>393</v>
      </c>
    </row>
    <row r="459" spans="1:1">
      <c r="A459" t="s">
        <v>392</v>
      </c>
    </row>
    <row r="460" spans="1:1">
      <c r="A460" t="s">
        <v>391</v>
      </c>
    </row>
    <row r="461" spans="1:1">
      <c r="A461" t="s">
        <v>390</v>
      </c>
    </row>
    <row r="462" spans="1:1">
      <c r="A462" t="s">
        <v>389</v>
      </c>
    </row>
    <row r="463" spans="1:1">
      <c r="A463" t="s">
        <v>388</v>
      </c>
    </row>
    <row r="464" spans="1:1">
      <c r="A464" t="s">
        <v>387</v>
      </c>
    </row>
    <row r="465" spans="1:1">
      <c r="A465" t="s">
        <v>386</v>
      </c>
    </row>
    <row r="466" spans="1:1">
      <c r="A466" t="s">
        <v>385</v>
      </c>
    </row>
    <row r="467" spans="1:1">
      <c r="A467" t="s">
        <v>384</v>
      </c>
    </row>
    <row r="468" spans="1:1">
      <c r="A468" t="s">
        <v>383</v>
      </c>
    </row>
    <row r="469" spans="1:1">
      <c r="A469" t="s">
        <v>382</v>
      </c>
    </row>
    <row r="470" spans="1:1">
      <c r="A470" t="s">
        <v>381</v>
      </c>
    </row>
    <row r="471" spans="1:1">
      <c r="A471" t="s">
        <v>380</v>
      </c>
    </row>
    <row r="472" spans="1:1">
      <c r="A472" t="s">
        <v>379</v>
      </c>
    </row>
    <row r="473" spans="1:1">
      <c r="A473" t="s">
        <v>378</v>
      </c>
    </row>
    <row r="474" spans="1:1">
      <c r="A474" t="s">
        <v>377</v>
      </c>
    </row>
    <row r="475" spans="1:1">
      <c r="A475" t="s">
        <v>376</v>
      </c>
    </row>
    <row r="476" spans="1:1">
      <c r="A476" t="s">
        <v>375</v>
      </c>
    </row>
    <row r="477" spans="1:1">
      <c r="A477" t="s">
        <v>374</v>
      </c>
    </row>
    <row r="478" spans="1:1">
      <c r="A478" t="s">
        <v>373</v>
      </c>
    </row>
    <row r="479" spans="1:1">
      <c r="A479" t="s">
        <v>372</v>
      </c>
    </row>
    <row r="480" spans="1:1">
      <c r="A480" t="s">
        <v>371</v>
      </c>
    </row>
    <row r="481" spans="1:1">
      <c r="A481" t="s">
        <v>370</v>
      </c>
    </row>
    <row r="482" spans="1:1">
      <c r="A482" t="s">
        <v>369</v>
      </c>
    </row>
    <row r="483" spans="1:1">
      <c r="A483" t="s">
        <v>368</v>
      </c>
    </row>
    <row r="484" spans="1:1">
      <c r="A484" t="s">
        <v>367</v>
      </c>
    </row>
    <row r="485" spans="1:1">
      <c r="A485" t="s">
        <v>366</v>
      </c>
    </row>
    <row r="486" spans="1:1">
      <c r="A486" t="s">
        <v>365</v>
      </c>
    </row>
    <row r="487" spans="1:1">
      <c r="A487" t="s">
        <v>364</v>
      </c>
    </row>
    <row r="488" spans="1:1">
      <c r="A488" t="s">
        <v>363</v>
      </c>
    </row>
    <row r="489" spans="1:1">
      <c r="A489" t="s">
        <v>362</v>
      </c>
    </row>
    <row r="490" spans="1:1">
      <c r="A490" t="s">
        <v>361</v>
      </c>
    </row>
    <row r="491" spans="1:1">
      <c r="A491" t="s">
        <v>360</v>
      </c>
    </row>
    <row r="492" spans="1:1">
      <c r="A492" t="s">
        <v>359</v>
      </c>
    </row>
    <row r="493" spans="1:1">
      <c r="A493" t="s">
        <v>358</v>
      </c>
    </row>
    <row r="494" spans="1:1">
      <c r="A494" t="s">
        <v>357</v>
      </c>
    </row>
    <row r="495" spans="1:1">
      <c r="A495" t="s">
        <v>356</v>
      </c>
    </row>
    <row r="496" spans="1:1">
      <c r="A496" t="s">
        <v>355</v>
      </c>
    </row>
    <row r="497" spans="1:1">
      <c r="A497" t="s">
        <v>354</v>
      </c>
    </row>
    <row r="498" spans="1:1">
      <c r="A498" t="s">
        <v>353</v>
      </c>
    </row>
    <row r="499" spans="1:1">
      <c r="A499" t="s">
        <v>352</v>
      </c>
    </row>
    <row r="500" spans="1:1">
      <c r="A500" t="s">
        <v>351</v>
      </c>
    </row>
    <row r="501" spans="1:1">
      <c r="A501" t="s">
        <v>350</v>
      </c>
    </row>
    <row r="502" spans="1:1">
      <c r="A502" t="s">
        <v>349</v>
      </c>
    </row>
    <row r="503" spans="1:1">
      <c r="A503" t="s">
        <v>348</v>
      </c>
    </row>
    <row r="504" spans="1:1">
      <c r="A504" t="s">
        <v>347</v>
      </c>
    </row>
    <row r="505" spans="1:1">
      <c r="A505" t="s">
        <v>346</v>
      </c>
    </row>
    <row r="506" spans="1:1">
      <c r="A506" t="s">
        <v>345</v>
      </c>
    </row>
    <row r="507" spans="1:1">
      <c r="A507" t="s">
        <v>344</v>
      </c>
    </row>
    <row r="508" spans="1:1">
      <c r="A508" t="s">
        <v>343</v>
      </c>
    </row>
    <row r="509" spans="1:1">
      <c r="A509" t="s">
        <v>342</v>
      </c>
    </row>
    <row r="510" spans="1:1">
      <c r="A510" t="s">
        <v>341</v>
      </c>
    </row>
    <row r="511" spans="1:1">
      <c r="A511" t="s">
        <v>340</v>
      </c>
    </row>
    <row r="512" spans="1:1">
      <c r="A512" t="s">
        <v>339</v>
      </c>
    </row>
    <row r="513" spans="1:1">
      <c r="A513" t="s">
        <v>338</v>
      </c>
    </row>
    <row r="514" spans="1:1">
      <c r="A514" t="s">
        <v>337</v>
      </c>
    </row>
    <row r="515" spans="1:1">
      <c r="A515" t="s">
        <v>336</v>
      </c>
    </row>
    <row r="516" spans="1:1">
      <c r="A516" t="s">
        <v>335</v>
      </c>
    </row>
    <row r="517" spans="1:1">
      <c r="A517" t="s">
        <v>334</v>
      </c>
    </row>
    <row r="518" spans="1:1">
      <c r="A518" t="s">
        <v>333</v>
      </c>
    </row>
    <row r="519" spans="1:1">
      <c r="A519" t="s">
        <v>332</v>
      </c>
    </row>
    <row r="520" spans="1:1">
      <c r="A520" t="s">
        <v>331</v>
      </c>
    </row>
    <row r="521" spans="1:1">
      <c r="A521" t="s">
        <v>330</v>
      </c>
    </row>
    <row r="522" spans="1:1">
      <c r="A522" t="s">
        <v>329</v>
      </c>
    </row>
    <row r="523" spans="1:1">
      <c r="A523" t="s">
        <v>328</v>
      </c>
    </row>
    <row r="524" spans="1:1">
      <c r="A524" t="s">
        <v>327</v>
      </c>
    </row>
    <row r="525" spans="1:1">
      <c r="A525" t="s">
        <v>326</v>
      </c>
    </row>
    <row r="526" spans="1:1">
      <c r="A526" t="s">
        <v>325</v>
      </c>
    </row>
    <row r="527" spans="1:1">
      <c r="A527" t="s">
        <v>324</v>
      </c>
    </row>
    <row r="528" spans="1:1">
      <c r="A528" t="s">
        <v>323</v>
      </c>
    </row>
    <row r="529" spans="1:1">
      <c r="A529" t="s">
        <v>322</v>
      </c>
    </row>
    <row r="530" spans="1:1">
      <c r="A530" t="s">
        <v>321</v>
      </c>
    </row>
    <row r="531" spans="1:1">
      <c r="A531" t="s">
        <v>320</v>
      </c>
    </row>
    <row r="532" spans="1:1">
      <c r="A532" t="s">
        <v>319</v>
      </c>
    </row>
    <row r="533" spans="1:1">
      <c r="A533" t="s">
        <v>318</v>
      </c>
    </row>
    <row r="534" spans="1:1">
      <c r="A534" t="s">
        <v>317</v>
      </c>
    </row>
    <row r="535" spans="1:1">
      <c r="A535" t="s">
        <v>316</v>
      </c>
    </row>
    <row r="536" spans="1:1">
      <c r="A536" t="s">
        <v>315</v>
      </c>
    </row>
    <row r="537" spans="1:1">
      <c r="A537" t="s">
        <v>314</v>
      </c>
    </row>
    <row r="538" spans="1:1">
      <c r="A538" t="s">
        <v>313</v>
      </c>
    </row>
    <row r="539" spans="1:1">
      <c r="A539" t="s">
        <v>312</v>
      </c>
    </row>
    <row r="540" spans="1:1">
      <c r="A540" t="s">
        <v>311</v>
      </c>
    </row>
    <row r="541" spans="1:1">
      <c r="A541" t="s">
        <v>310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22"/>
  <sheetViews>
    <sheetView zoomScale="85" zoomScaleNormal="85" workbookViewId="0">
      <selection activeCell="D16" sqref="D16:E16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137</v>
      </c>
      <c r="B2" s="102" t="s">
        <v>136</v>
      </c>
      <c r="C2" s="102" t="s">
        <v>49</v>
      </c>
      <c r="D2" s="103">
        <v>8.52</v>
      </c>
      <c r="E2" s="103">
        <v>2.98</v>
      </c>
      <c r="G2" s="104"/>
    </row>
    <row r="3" spans="1:16" ht="20.100000000000001" customHeight="1">
      <c r="A3" s="101" t="s">
        <v>138</v>
      </c>
      <c r="B3" s="102" t="s">
        <v>136</v>
      </c>
      <c r="C3" s="102" t="s">
        <v>139</v>
      </c>
      <c r="D3" s="103">
        <v>12.27</v>
      </c>
      <c r="E3" s="103">
        <v>4.01</v>
      </c>
      <c r="F3" s="104"/>
      <c r="G3" s="104"/>
    </row>
    <row r="4" spans="1:16" ht="20.100000000000001" customHeight="1">
      <c r="A4" s="101" t="s">
        <v>138</v>
      </c>
      <c r="B4" s="102" t="s">
        <v>136</v>
      </c>
      <c r="C4" s="102" t="s">
        <v>139</v>
      </c>
      <c r="D4" s="103">
        <v>14.07</v>
      </c>
      <c r="E4" s="103">
        <v>3.84</v>
      </c>
      <c r="F4" s="104"/>
      <c r="G4" s="104"/>
    </row>
    <row r="5" spans="1:16" ht="20.100000000000001" customHeight="1">
      <c r="A5" s="101" t="s">
        <v>138</v>
      </c>
      <c r="B5" s="102" t="s">
        <v>136</v>
      </c>
      <c r="C5" s="102" t="s">
        <v>139</v>
      </c>
      <c r="D5" s="103">
        <v>12.44</v>
      </c>
      <c r="E5" s="103">
        <v>3.65</v>
      </c>
      <c r="F5" s="104"/>
      <c r="G5" s="104"/>
    </row>
    <row r="6" spans="1:16" ht="20.100000000000001" customHeight="1">
      <c r="A6" s="101" t="s">
        <v>137</v>
      </c>
      <c r="B6" s="102" t="s">
        <v>136</v>
      </c>
      <c r="C6" s="102" t="s">
        <v>49</v>
      </c>
      <c r="D6" s="103">
        <v>16.52</v>
      </c>
      <c r="E6" s="103">
        <v>5.16</v>
      </c>
      <c r="G6" s="104"/>
    </row>
    <row r="7" spans="1:16" ht="20.100000000000001" customHeight="1">
      <c r="A7" s="101" t="s">
        <v>94</v>
      </c>
      <c r="B7" s="102" t="s">
        <v>84</v>
      </c>
      <c r="C7" s="102" t="s">
        <v>95</v>
      </c>
      <c r="D7" s="103">
        <v>10.89</v>
      </c>
      <c r="E7" s="103">
        <v>1.05</v>
      </c>
      <c r="G7" s="104"/>
    </row>
    <row r="8" spans="1:16" ht="20.100000000000001" customHeight="1">
      <c r="A8" s="101" t="s">
        <v>83</v>
      </c>
      <c r="B8" s="102" t="s">
        <v>84</v>
      </c>
      <c r="C8" s="102" t="s">
        <v>96</v>
      </c>
      <c r="D8" s="103">
        <v>19.190000000000001</v>
      </c>
      <c r="E8" s="103">
        <v>4</v>
      </c>
      <c r="F8" s="104"/>
      <c r="G8" s="104"/>
    </row>
    <row r="9" spans="1:16" ht="20.100000000000001" customHeight="1">
      <c r="A9" s="101" t="s">
        <v>83</v>
      </c>
      <c r="B9" s="102" t="s">
        <v>84</v>
      </c>
      <c r="C9" s="102" t="s">
        <v>99</v>
      </c>
      <c r="D9" s="103">
        <v>15.92</v>
      </c>
      <c r="E9" s="103">
        <v>-0.37</v>
      </c>
      <c r="F9" s="104"/>
      <c r="G9" s="104"/>
    </row>
    <row r="10" spans="1:16" ht="20.100000000000001" customHeight="1">
      <c r="A10" s="101" t="s">
        <v>166</v>
      </c>
      <c r="B10" s="102" t="s">
        <v>85</v>
      </c>
      <c r="C10" s="102" t="s">
        <v>167</v>
      </c>
      <c r="D10" s="103">
        <v>13.38</v>
      </c>
      <c r="E10" s="103">
        <v>4.66</v>
      </c>
      <c r="F10" s="104"/>
      <c r="G10" s="104"/>
    </row>
    <row r="11" spans="1:16" ht="20.100000000000001" customHeight="1">
      <c r="A11" s="101" t="s">
        <v>82</v>
      </c>
      <c r="B11" s="102" t="s">
        <v>86</v>
      </c>
      <c r="C11" s="102" t="s">
        <v>100</v>
      </c>
      <c r="D11" s="103">
        <v>7.56</v>
      </c>
      <c r="E11" s="103">
        <v>-0.25</v>
      </c>
      <c r="F11" s="104"/>
      <c r="G11" s="104"/>
    </row>
    <row r="12" spans="1:16" ht="20.100000000000001" customHeight="1">
      <c r="A12" s="101" t="s">
        <v>168</v>
      </c>
      <c r="B12" s="102" t="s">
        <v>85</v>
      </c>
      <c r="C12" s="102" t="s">
        <v>169</v>
      </c>
      <c r="D12" s="103">
        <v>20.5</v>
      </c>
      <c r="E12" s="103">
        <v>5.45</v>
      </c>
      <c r="F12" s="104"/>
      <c r="G12" s="104"/>
    </row>
    <row r="13" spans="1:16" ht="20.100000000000001" customHeight="1">
      <c r="A13" s="101" t="s">
        <v>170</v>
      </c>
      <c r="B13" s="102" t="s">
        <v>85</v>
      </c>
      <c r="C13" s="102" t="s">
        <v>171</v>
      </c>
      <c r="D13" s="103">
        <v>23.7</v>
      </c>
      <c r="E13" s="103">
        <v>6.6</v>
      </c>
      <c r="F13" s="104"/>
      <c r="G13" s="104"/>
    </row>
    <row r="14" spans="1:16" ht="20.100000000000001" customHeight="1">
      <c r="A14" s="101" t="s">
        <v>172</v>
      </c>
      <c r="B14" s="102" t="s">
        <v>85</v>
      </c>
      <c r="C14" s="102" t="s">
        <v>169</v>
      </c>
      <c r="D14" s="103">
        <v>12.15</v>
      </c>
      <c r="E14" s="103">
        <v>-0.53</v>
      </c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 t="s">
        <v>178</v>
      </c>
      <c r="D16" s="103">
        <f>AVERAGE(D2:D14)</f>
        <v>14.393076923076922</v>
      </c>
      <c r="E16" s="103">
        <f>AVERAGE(E2:E14)</f>
        <v>3.0961538461538463</v>
      </c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8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2"/>
  <sheetViews>
    <sheetView zoomScale="85" zoomScaleNormal="85" workbookViewId="0">
      <selection activeCell="H30" sqref="H30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87</v>
      </c>
      <c r="B2" s="102" t="s">
        <v>88</v>
      </c>
      <c r="C2" s="102" t="s">
        <v>89</v>
      </c>
      <c r="D2" s="103">
        <v>17.66</v>
      </c>
      <c r="E2" s="103">
        <v>10.89</v>
      </c>
      <c r="G2" s="104"/>
    </row>
    <row r="3" spans="1:16" ht="20.100000000000001" customHeight="1">
      <c r="A3" s="101" t="s">
        <v>87</v>
      </c>
      <c r="B3" s="102" t="s">
        <v>88</v>
      </c>
      <c r="C3" s="102" t="s">
        <v>89</v>
      </c>
      <c r="D3" s="103">
        <v>18.170000000000002</v>
      </c>
      <c r="E3" s="103">
        <v>9.27</v>
      </c>
      <c r="F3" s="104"/>
      <c r="G3" s="104"/>
    </row>
    <row r="4" spans="1:16" ht="20.100000000000001" customHeight="1">
      <c r="A4" s="101" t="s">
        <v>109</v>
      </c>
      <c r="B4" s="102"/>
      <c r="C4" s="102" t="s">
        <v>118</v>
      </c>
      <c r="D4" s="103">
        <v>15.309999999999999</v>
      </c>
      <c r="E4" s="103">
        <v>3.085</v>
      </c>
      <c r="F4" s="104"/>
      <c r="G4" s="104"/>
    </row>
    <row r="5" spans="1:16" ht="20.100000000000001" customHeight="1">
      <c r="A5" s="101" t="s">
        <v>111</v>
      </c>
      <c r="B5" s="102"/>
      <c r="C5" s="102" t="s">
        <v>119</v>
      </c>
      <c r="D5" s="103">
        <v>19.239999999999998</v>
      </c>
      <c r="E5" s="103">
        <v>8.4600000000000009</v>
      </c>
      <c r="F5" s="104"/>
      <c r="G5" s="104"/>
    </row>
    <row r="6" spans="1:16" ht="20.100000000000001" customHeight="1">
      <c r="A6" s="101" t="s">
        <v>161</v>
      </c>
      <c r="B6" s="102"/>
      <c r="C6" s="102" t="s">
        <v>121</v>
      </c>
      <c r="D6" s="103">
        <v>4.09</v>
      </c>
      <c r="E6" s="103">
        <v>16.754999999999999</v>
      </c>
      <c r="G6" s="104"/>
    </row>
    <row r="7" spans="1:16" ht="20.100000000000001" customHeight="1">
      <c r="A7" s="101" t="s">
        <v>113</v>
      </c>
      <c r="B7" s="102"/>
      <c r="C7" s="102" t="s">
        <v>122</v>
      </c>
      <c r="D7" s="103">
        <v>20.925000000000001</v>
      </c>
      <c r="E7" s="103">
        <v>5.27</v>
      </c>
      <c r="G7" s="104"/>
    </row>
    <row r="8" spans="1:16" ht="20.100000000000001" customHeight="1">
      <c r="A8" s="101" t="s">
        <v>173</v>
      </c>
      <c r="B8" s="102"/>
      <c r="C8" s="102" t="s">
        <v>174</v>
      </c>
      <c r="D8" s="103">
        <v>24.47</v>
      </c>
      <c r="E8" s="103">
        <v>-0.67</v>
      </c>
      <c r="F8" s="104"/>
      <c r="G8" s="104"/>
    </row>
    <row r="9" spans="1:16" ht="20.100000000000001" customHeight="1">
      <c r="A9" s="101" t="s">
        <v>162</v>
      </c>
      <c r="B9" s="102"/>
      <c r="C9" s="102" t="s">
        <v>123</v>
      </c>
      <c r="D9" s="103">
        <v>24.39</v>
      </c>
      <c r="E9" s="103">
        <v>1.3149999999999999</v>
      </c>
      <c r="F9" s="104"/>
      <c r="G9" s="104"/>
    </row>
    <row r="10" spans="1:16" ht="20.100000000000001" customHeight="1">
      <c r="A10" s="101" t="s">
        <v>102</v>
      </c>
      <c r="B10" s="102"/>
      <c r="C10" s="102" t="s">
        <v>101</v>
      </c>
      <c r="D10" s="103">
        <v>18.195</v>
      </c>
      <c r="E10" s="103">
        <v>4.7449999999999992</v>
      </c>
      <c r="F10" s="104"/>
      <c r="G10" s="104"/>
    </row>
    <row r="11" spans="1:16" ht="20.100000000000001" customHeight="1">
      <c r="A11" s="101" t="s">
        <v>92</v>
      </c>
      <c r="B11" s="102" t="s">
        <v>85</v>
      </c>
      <c r="C11" s="102" t="s">
        <v>93</v>
      </c>
      <c r="D11" s="103">
        <v>9.6</v>
      </c>
      <c r="E11" s="103">
        <v>5.88</v>
      </c>
      <c r="F11" s="104"/>
      <c r="G11" s="104"/>
    </row>
    <row r="12" spans="1:16" ht="20.100000000000001" customHeight="1">
      <c r="A12" s="101" t="s">
        <v>107</v>
      </c>
      <c r="B12" s="102"/>
      <c r="C12" s="102" t="s">
        <v>116</v>
      </c>
      <c r="D12" s="103">
        <v>8.6150000000000002</v>
      </c>
      <c r="E12" s="103">
        <v>11.465</v>
      </c>
      <c r="F12" s="104"/>
      <c r="G12" s="104"/>
    </row>
    <row r="13" spans="1:16" ht="20.100000000000001" customHeight="1">
      <c r="A13" s="101" t="s">
        <v>112</v>
      </c>
      <c r="B13" s="102"/>
      <c r="C13" s="102" t="s">
        <v>120</v>
      </c>
      <c r="D13" s="103">
        <v>17.560000000000002</v>
      </c>
      <c r="E13" s="103">
        <v>8.84</v>
      </c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9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22"/>
  <sheetViews>
    <sheetView zoomScale="85" zoomScaleNormal="85" workbookViewId="0">
      <selection activeCell="G33" sqref="G33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114</v>
      </c>
      <c r="B2" s="102" t="s">
        <v>163</v>
      </c>
      <c r="C2" s="102" t="s">
        <v>165</v>
      </c>
      <c r="D2" s="103">
        <v>0.63</v>
      </c>
      <c r="E2" s="103">
        <v>10.72</v>
      </c>
      <c r="G2" s="104"/>
    </row>
    <row r="3" spans="1:16" ht="20.100000000000001" customHeight="1">
      <c r="A3" s="101" t="s">
        <v>115</v>
      </c>
      <c r="B3" s="102" t="s">
        <v>163</v>
      </c>
      <c r="C3" s="102" t="s">
        <v>164</v>
      </c>
      <c r="D3" s="103">
        <v>1.1000000000000001</v>
      </c>
      <c r="E3" s="103">
        <v>18.05</v>
      </c>
      <c r="F3" s="104"/>
      <c r="G3" s="104"/>
    </row>
    <row r="4" spans="1:16" ht="20.100000000000001" customHeight="1">
      <c r="A4" s="101" t="s">
        <v>103</v>
      </c>
      <c r="B4" s="102"/>
      <c r="C4" s="102" t="s">
        <v>104</v>
      </c>
      <c r="D4" s="103">
        <v>1.665</v>
      </c>
      <c r="E4" s="103">
        <v>4.1099999999999994</v>
      </c>
      <c r="F4" s="104"/>
      <c r="G4" s="104"/>
    </row>
    <row r="5" spans="1:16" ht="20.100000000000001" customHeight="1">
      <c r="A5" s="101" t="s">
        <v>108</v>
      </c>
      <c r="B5" s="102"/>
      <c r="C5" s="102" t="s">
        <v>117</v>
      </c>
      <c r="D5" s="103">
        <v>1.4100000000000001</v>
      </c>
      <c r="E5" s="103">
        <v>8.9700000000000006</v>
      </c>
      <c r="F5" s="104"/>
      <c r="G5" s="104"/>
    </row>
    <row r="6" spans="1:16" ht="20.100000000000001" customHeight="1">
      <c r="A6" s="101" t="s">
        <v>110</v>
      </c>
      <c r="B6" s="102"/>
      <c r="C6" s="102" t="s">
        <v>177</v>
      </c>
      <c r="D6" s="103">
        <v>0.53</v>
      </c>
      <c r="E6" s="103">
        <v>7.29</v>
      </c>
      <c r="G6" s="104"/>
    </row>
    <row r="7" spans="1:16" ht="20.100000000000001" customHeight="1">
      <c r="A7" s="101"/>
      <c r="B7" s="102"/>
      <c r="C7" s="102"/>
      <c r="D7" s="103"/>
      <c r="E7" s="103"/>
      <c r="G7" s="104"/>
    </row>
    <row r="8" spans="1:16" ht="20.100000000000001" customHeight="1">
      <c r="A8" s="101"/>
      <c r="B8" s="102"/>
      <c r="C8" s="102"/>
      <c r="D8" s="103"/>
      <c r="E8" s="103"/>
      <c r="F8" s="104"/>
      <c r="G8" s="104"/>
    </row>
    <row r="9" spans="1:16" ht="20.100000000000001" customHeight="1">
      <c r="A9" s="101"/>
      <c r="B9" s="102"/>
      <c r="C9" s="102"/>
      <c r="D9" s="103"/>
      <c r="E9" s="103"/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A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22"/>
  <sheetViews>
    <sheetView zoomScale="85" zoomScaleNormal="85" workbookViewId="0">
      <selection activeCell="I32" sqref="I32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175</v>
      </c>
      <c r="B2" s="102"/>
      <c r="C2" s="102" t="s">
        <v>176</v>
      </c>
      <c r="D2" s="103">
        <v>3.25</v>
      </c>
      <c r="E2" s="103">
        <v>40.020000000000003</v>
      </c>
      <c r="G2" s="104"/>
    </row>
    <row r="3" spans="1:16" ht="20.100000000000001" customHeight="1">
      <c r="A3" s="101" t="s">
        <v>147</v>
      </c>
      <c r="B3" s="102"/>
      <c r="C3" s="102" t="s">
        <v>148</v>
      </c>
      <c r="D3" s="103">
        <v>1.75</v>
      </c>
      <c r="E3" s="103">
        <v>45.94</v>
      </c>
      <c r="F3" s="104"/>
      <c r="G3" s="104"/>
    </row>
    <row r="4" spans="1:16" ht="20.100000000000001" customHeight="1">
      <c r="A4" s="101" t="s">
        <v>160</v>
      </c>
      <c r="B4" s="102"/>
      <c r="C4" s="102" t="s">
        <v>148</v>
      </c>
      <c r="D4" s="103">
        <v>0.13</v>
      </c>
      <c r="E4" s="103">
        <v>51.47</v>
      </c>
      <c r="F4" s="104"/>
      <c r="G4" s="104"/>
    </row>
    <row r="5" spans="1:16" ht="20.100000000000001" customHeight="1">
      <c r="A5" s="101"/>
      <c r="B5" s="102"/>
      <c r="C5" s="102"/>
      <c r="D5" s="103"/>
      <c r="E5" s="103"/>
      <c r="F5" s="104"/>
      <c r="G5" s="104"/>
    </row>
    <row r="6" spans="1:16" ht="20.100000000000001" customHeight="1">
      <c r="A6" s="101"/>
      <c r="B6" s="102"/>
      <c r="C6" s="102"/>
      <c r="D6" s="103"/>
      <c r="E6" s="103"/>
      <c r="G6" s="104"/>
    </row>
    <row r="7" spans="1:16" ht="20.100000000000001" customHeight="1">
      <c r="A7" s="101"/>
      <c r="B7" s="102"/>
      <c r="C7" s="102"/>
      <c r="D7" s="103"/>
      <c r="E7" s="103"/>
      <c r="G7" s="104"/>
    </row>
    <row r="8" spans="1:16" ht="20.100000000000001" customHeight="1">
      <c r="A8" s="101"/>
      <c r="B8" s="102"/>
      <c r="C8" s="102"/>
      <c r="D8" s="103"/>
      <c r="E8" s="103"/>
      <c r="F8" s="104"/>
      <c r="G8" s="104"/>
    </row>
    <row r="9" spans="1:16" ht="20.100000000000001" customHeight="1">
      <c r="A9" s="101"/>
      <c r="B9" s="102"/>
      <c r="C9" s="102"/>
      <c r="D9" s="103"/>
      <c r="E9" s="103"/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B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19"/>
  <sheetViews>
    <sheetView topLeftCell="B1" zoomScale="85" zoomScaleNormal="85" workbookViewId="0">
      <selection activeCell="N27" sqref="N27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90</v>
      </c>
      <c r="B2" s="102" t="s">
        <v>88</v>
      </c>
      <c r="C2" s="102" t="s">
        <v>91</v>
      </c>
      <c r="D2" s="103">
        <v>1.75</v>
      </c>
      <c r="E2" s="103">
        <v>7.65</v>
      </c>
      <c r="G2" s="104"/>
    </row>
    <row r="3" spans="1:16" ht="20.100000000000001" customHeight="1">
      <c r="A3" s="101" t="s">
        <v>97</v>
      </c>
      <c r="B3" s="102" t="s">
        <v>84</v>
      </c>
      <c r="C3" s="102" t="s">
        <v>98</v>
      </c>
      <c r="D3" s="103">
        <v>4.34</v>
      </c>
      <c r="E3" s="103">
        <v>0.88</v>
      </c>
      <c r="F3" s="104"/>
      <c r="G3" s="104"/>
    </row>
    <row r="4" spans="1:16" ht="20.100000000000001" customHeight="1">
      <c r="A4" s="101" t="s">
        <v>105</v>
      </c>
      <c r="B4" s="102"/>
      <c r="C4" s="102" t="s">
        <v>106</v>
      </c>
      <c r="D4" s="103">
        <v>3.76</v>
      </c>
      <c r="E4" s="103">
        <v>8.43</v>
      </c>
      <c r="F4" s="104"/>
      <c r="G4" s="104"/>
    </row>
    <row r="5" spans="1:16" ht="20.100000000000001" customHeight="1">
      <c r="A5" s="101" t="s">
        <v>149</v>
      </c>
      <c r="B5" s="102" t="s">
        <v>150</v>
      </c>
      <c r="C5" s="102" t="s">
        <v>151</v>
      </c>
      <c r="D5" s="103">
        <v>2.36</v>
      </c>
      <c r="E5" s="103">
        <v>-0.6</v>
      </c>
      <c r="F5" s="104"/>
      <c r="G5" s="104"/>
    </row>
    <row r="6" spans="1:16" ht="20.100000000000001" customHeight="1">
      <c r="A6" s="101" t="s">
        <v>152</v>
      </c>
      <c r="B6" s="102" t="s">
        <v>150</v>
      </c>
      <c r="C6" s="102" t="s">
        <v>153</v>
      </c>
      <c r="D6" s="103">
        <v>1.86</v>
      </c>
      <c r="E6" s="103">
        <v>-1.83</v>
      </c>
      <c r="F6" s="104"/>
      <c r="G6" s="104"/>
    </row>
    <row r="7" spans="1:16" ht="20.100000000000001" customHeight="1">
      <c r="A7" s="101" t="s">
        <v>154</v>
      </c>
      <c r="B7" s="102" t="s">
        <v>150</v>
      </c>
      <c r="C7" s="102" t="s">
        <v>155</v>
      </c>
      <c r="D7" s="103">
        <v>7.77</v>
      </c>
      <c r="E7" s="103">
        <v>2.4</v>
      </c>
      <c r="F7" s="104"/>
      <c r="G7" s="104"/>
    </row>
    <row r="8" spans="1:16" ht="20.100000000000001" customHeight="1">
      <c r="A8" s="101" t="s">
        <v>156</v>
      </c>
      <c r="B8" s="102" t="s">
        <v>150</v>
      </c>
      <c r="C8" s="102" t="s">
        <v>157</v>
      </c>
      <c r="D8" s="103">
        <v>0.92</v>
      </c>
      <c r="E8" s="103">
        <v>0.08</v>
      </c>
      <c r="F8" s="104"/>
      <c r="G8" s="104"/>
    </row>
    <row r="9" spans="1:16" ht="20.100000000000001" customHeight="1">
      <c r="A9" s="101" t="s">
        <v>158</v>
      </c>
      <c r="B9" s="102" t="s">
        <v>150</v>
      </c>
      <c r="C9" s="102" t="s">
        <v>159</v>
      </c>
      <c r="D9" s="103">
        <v>2.98</v>
      </c>
      <c r="E9" s="103">
        <v>0.23</v>
      </c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</sheetData>
  <autoFilter ref="A1:E19" xr:uid="{00000000-0009-0000-0000-00000C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4월</vt:lpstr>
      <vt:lpstr>6월</vt:lpstr>
      <vt:lpstr>8월</vt:lpstr>
      <vt:lpstr>10월</vt:lpstr>
      <vt:lpstr>9월 19일</vt:lpstr>
      <vt:lpstr>9월 20일 A</vt:lpstr>
      <vt:lpstr>9월 20일 P</vt:lpstr>
      <vt:lpstr>9월 23일</vt:lpstr>
      <vt:lpstr>summary_statistics_MixSIAR_0923</vt:lpstr>
      <vt:lpstr>diagnostics_MixSIAR_0923</vt:lpstr>
      <vt:lpstr>오염원(하수)</vt:lpstr>
      <vt:lpstr>오염원(퇴비)</vt:lpstr>
      <vt:lpstr>오염원(비료)</vt:lpstr>
      <vt:lpstr>오염원(강우)</vt:lpstr>
      <vt:lpstr>오염원(토양_산림)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2024-02-24T01:32:10Z</cp:lastPrinted>
  <dcterms:created xsi:type="dcterms:W3CDTF">2018-05-02T05:09:56Z</dcterms:created>
  <dcterms:modified xsi:type="dcterms:W3CDTF">2026-04-08T11:13:53Z</dcterms:modified>
</cp:coreProperties>
</file>