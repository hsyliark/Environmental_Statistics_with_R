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강종원\2026\1. 조사\1. data\오염원\"/>
    </mc:Choice>
  </mc:AlternateContent>
  <xr:revisionPtr revIDLastSave="0" documentId="13_ncr:1_{C0103E26-174E-488F-A44F-F3136A9153B8}" xr6:coauthVersionLast="47" xr6:coauthVersionMax="47" xr10:uidLastSave="{00000000-0000-0000-0000-000000000000}"/>
  <bookViews>
    <workbookView xWindow="28680" yWindow="-120" windowWidth="29040" windowHeight="15720" activeTab="5" xr2:uid="{0F6A066D-D211-4238-8963-554B29C1B224}"/>
  </bookViews>
  <sheets>
    <sheet name="19년 문헌(Shin et al)" sheetId="12" r:id="rId1"/>
    <sheet name="19년 연구사업(류)" sheetId="7" r:id="rId2"/>
    <sheet name="23 연구사업" sheetId="1" r:id="rId3"/>
    <sheet name="24 연구사업" sheetId="8" r:id="rId4"/>
    <sheet name="25 연구사업" sheetId="9" r:id="rId5"/>
    <sheet name="24~25환기조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6" i="10" l="1"/>
  <c r="E106" i="10"/>
  <c r="G44" i="10"/>
  <c r="E44" i="10"/>
  <c r="G32" i="10"/>
  <c r="E32" i="10"/>
  <c r="G8" i="10"/>
  <c r="E8" i="10"/>
  <c r="G4" i="10"/>
  <c r="E4" i="10"/>
  <c r="G64" i="9"/>
  <c r="E64" i="9"/>
  <c r="G24" i="9"/>
  <c r="E24" i="9"/>
  <c r="E20" i="9"/>
  <c r="G20" i="9"/>
  <c r="G11" i="9"/>
  <c r="E11" i="9"/>
  <c r="G8" i="9"/>
  <c r="E8" i="9"/>
  <c r="G36" i="8"/>
  <c r="E36" i="8"/>
  <c r="G28" i="8"/>
  <c r="E28" i="8"/>
  <c r="G18" i="8"/>
  <c r="E18" i="8"/>
  <c r="E9" i="8"/>
  <c r="G9" i="8"/>
  <c r="G7" i="8"/>
  <c r="E7" i="8"/>
  <c r="G38" i="1"/>
  <c r="E38" i="1"/>
  <c r="G27" i="1"/>
  <c r="E27" i="1"/>
  <c r="G20" i="1"/>
  <c r="E20" i="1"/>
  <c r="G7" i="1"/>
  <c r="E7" i="1"/>
  <c r="G4" i="1"/>
  <c r="E4" i="1"/>
  <c r="G45" i="7"/>
  <c r="E45" i="7"/>
  <c r="G35" i="7"/>
  <c r="E35" i="7"/>
  <c r="G27" i="7"/>
  <c r="E27" i="7"/>
  <c r="G8" i="7"/>
  <c r="E8" i="7"/>
  <c r="G4" i="7"/>
  <c r="E4" i="7"/>
</calcChain>
</file>

<file path=xl/sharedStrings.xml><?xml version="1.0" encoding="utf-8"?>
<sst xmlns="http://schemas.openxmlformats.org/spreadsheetml/2006/main" count="476" uniqueCount="265">
  <si>
    <t>오염원 정보</t>
    <phoneticPr fontId="5" type="noConversion"/>
  </si>
  <si>
    <t>구분</t>
    <phoneticPr fontId="5" type="noConversion"/>
  </si>
  <si>
    <t>오염원</t>
    <phoneticPr fontId="5" type="noConversion"/>
  </si>
  <si>
    <t>δ¹⁵N</t>
    <phoneticPr fontId="4" type="noConversion"/>
  </si>
  <si>
    <t>δ¹⁸O</t>
    <phoneticPr fontId="4" type="noConversion"/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</si>
  <si>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4" type="noConversion"/>
  </si>
  <si>
    <t>산림유출수-2</t>
    <phoneticPr fontId="4" type="noConversion"/>
  </si>
  <si>
    <t>강우(옥상)</t>
    <phoneticPr fontId="4" type="noConversion"/>
  </si>
  <si>
    <t>강우(순수)</t>
    <phoneticPr fontId="4" type="noConversion"/>
  </si>
  <si>
    <t>광주1 방류수</t>
    <phoneticPr fontId="4" type="noConversion"/>
  </si>
  <si>
    <t>광주2 유입수</t>
    <phoneticPr fontId="4" type="noConversion"/>
  </si>
  <si>
    <t>광주2 방류수</t>
    <phoneticPr fontId="4" type="noConversion"/>
  </si>
  <si>
    <t>장성 유입수</t>
    <phoneticPr fontId="4" type="noConversion"/>
  </si>
  <si>
    <t>장성 생활하수</t>
    <phoneticPr fontId="4" type="noConversion"/>
  </si>
  <si>
    <t>장성 방류수</t>
    <phoneticPr fontId="4" type="noConversion"/>
  </si>
  <si>
    <t>나주 매립지침출수</t>
    <phoneticPr fontId="4" type="noConversion"/>
  </si>
  <si>
    <t>나주 산단폐수</t>
    <phoneticPr fontId="4" type="noConversion"/>
  </si>
  <si>
    <t>나주 방류수</t>
    <phoneticPr fontId="4" type="noConversion"/>
  </si>
  <si>
    <t>함평 방류수</t>
    <phoneticPr fontId="4" type="noConversion"/>
  </si>
  <si>
    <t>퇴비 유출수(소)-1</t>
    <phoneticPr fontId="4" type="noConversion"/>
  </si>
  <si>
    <t>감정천 퇴비유출수(소)</t>
    <phoneticPr fontId="4" type="noConversion"/>
  </si>
  <si>
    <t>돈분 액비-2</t>
    <phoneticPr fontId="4" type="noConversion"/>
  </si>
  <si>
    <t>돈분 하천 방류수-3</t>
    <phoneticPr fontId="4" type="noConversion"/>
  </si>
  <si>
    <t>밭토양 유출수-3</t>
    <phoneticPr fontId="4" type="noConversion"/>
  </si>
  <si>
    <t>퇴비, 밭 유출수-5</t>
    <phoneticPr fontId="4" type="noConversion"/>
  </si>
  <si>
    <t>과수원 유출수-6</t>
    <phoneticPr fontId="4" type="noConversion"/>
  </si>
  <si>
    <t>토양 유출수-4</t>
    <phoneticPr fontId="4" type="noConversion"/>
  </si>
  <si>
    <t>논유출수</t>
    <phoneticPr fontId="4" type="noConversion"/>
  </si>
  <si>
    <t>밭토양 감나무</t>
    <phoneticPr fontId="4" type="noConversion"/>
  </si>
  <si>
    <t>밭토양 깻잎</t>
    <phoneticPr fontId="4" type="noConversion"/>
  </si>
  <si>
    <t>밭토양 고구마</t>
    <phoneticPr fontId="4" type="noConversion"/>
  </si>
  <si>
    <t>화학비료</t>
    <phoneticPr fontId="4" type="noConversion"/>
  </si>
  <si>
    <t>감정천 퇴비유출수</t>
  </si>
  <si>
    <t>장성천 산림유출수</t>
  </si>
  <si>
    <t>산포천 논배수로</t>
  </si>
  <si>
    <t>증심사천 방류수</t>
  </si>
  <si>
    <t>신안천 방류수</t>
  </si>
  <si>
    <t>신안천방류수</t>
  </si>
  <si>
    <t>광주천 산림유출수</t>
  </si>
  <si>
    <t>내정마을방류수</t>
  </si>
  <si>
    <t>대촌천 논토양1</t>
  </si>
  <si>
    <t>광주천 부숙퇴비</t>
  </si>
  <si>
    <t>광주천 산림토(대나무)</t>
  </si>
  <si>
    <t>광주천 논토양</t>
  </si>
  <si>
    <t>만봉천 논토양</t>
  </si>
  <si>
    <t>만봉천 부숙퇴비(소)</t>
  </si>
  <si>
    <t>장성천 논토양</t>
  </si>
  <si>
    <t>영산천 산림토</t>
  </si>
  <si>
    <t>영산천 부숙퇴비(소)</t>
  </si>
  <si>
    <t>영산천 논토양</t>
  </si>
  <si>
    <t>돈분퇴비</t>
  </si>
  <si>
    <t>승가교 퇴비(소)</t>
  </si>
  <si>
    <t>남평퇴비</t>
  </si>
  <si>
    <t>뿌리조은 황플러스</t>
  </si>
  <si>
    <t>추동천 퇴비</t>
  </si>
  <si>
    <t>비료-2</t>
  </si>
  <si>
    <t>비료-3</t>
  </si>
  <si>
    <t>비료-4</t>
  </si>
  <si>
    <t>비료-1</t>
    <phoneticPr fontId="4" type="noConversion"/>
  </si>
  <si>
    <t>분석결과</t>
    <phoneticPr fontId="5" type="noConversion"/>
  </si>
  <si>
    <t>No</t>
    <phoneticPr fontId="5" type="noConversion"/>
  </si>
  <si>
    <t>강우계</t>
  </si>
  <si>
    <t>생활계</t>
  </si>
  <si>
    <t>축산계</t>
  </si>
  <si>
    <t>농업계</t>
  </si>
  <si>
    <t>토양계</t>
  </si>
  <si>
    <t>비료-6</t>
  </si>
  <si>
    <t>비료-7</t>
  </si>
  <si>
    <t>비료-8</t>
  </si>
  <si>
    <t>비료-9</t>
  </si>
  <si>
    <t>비료-10</t>
  </si>
  <si>
    <t>토양-4</t>
  </si>
  <si>
    <t>퇴비-2</t>
  </si>
  <si>
    <t>퇴비-4</t>
  </si>
  <si>
    <t>퇴비-5</t>
  </si>
  <si>
    <t>퇴비-6</t>
  </si>
  <si>
    <t>퇴비-7</t>
  </si>
  <si>
    <t>퇴비-8</t>
  </si>
  <si>
    <t>퇴비-9</t>
  </si>
  <si>
    <t>강우-3</t>
  </si>
  <si>
    <t>강우-4</t>
  </si>
  <si>
    <t>강우-5</t>
    <phoneticPr fontId="4" type="noConversion"/>
  </si>
  <si>
    <t>하수처리장-1</t>
    <phoneticPr fontId="4" type="noConversion"/>
  </si>
  <si>
    <t>하수처리장-8</t>
  </si>
  <si>
    <t>하수처리장-5</t>
  </si>
  <si>
    <t>하수처리장-3</t>
  </si>
  <si>
    <t>하수처리장-7</t>
  </si>
  <si>
    <t>하수처리장-4</t>
  </si>
  <si>
    <t>하수처리장-2</t>
  </si>
  <si>
    <t>하수처리장-6</t>
  </si>
  <si>
    <t>하수처리장-10</t>
  </si>
  <si>
    <t>하수처리장-11</t>
  </si>
  <si>
    <t>하수처리장-12</t>
  </si>
  <si>
    <t>하수처리장-13</t>
  </si>
  <si>
    <t>하수처리장-14</t>
  </si>
  <si>
    <t>하수처리장-15</t>
  </si>
  <si>
    <t>하수처리장-16</t>
  </si>
  <si>
    <t>하수처리장-17</t>
  </si>
  <si>
    <t>하수처리장-18</t>
  </si>
  <si>
    <t>하수처리장-19</t>
  </si>
  <si>
    <t>나주 가축분뇨</t>
  </si>
  <si>
    <t>장성 분뇨처리수</t>
  </si>
  <si>
    <t>산포하수처리장 방류수</t>
  </si>
  <si>
    <t>강우시료</t>
  </si>
  <si>
    <t>화순천 하수처리장 방류수</t>
  </si>
  <si>
    <t>마을하수처리장 방류수</t>
  </si>
  <si>
    <t>안계하수처리장</t>
  </si>
  <si>
    <t>하신하수처리장</t>
  </si>
  <si>
    <t>오수하수처리장</t>
  </si>
  <si>
    <t>논침출수</t>
    <phoneticPr fontId="4" type="noConversion"/>
  </si>
  <si>
    <t>밭토양</t>
  </si>
  <si>
    <t>적치퇴비</t>
  </si>
  <si>
    <t>논토양(모내기 물)</t>
  </si>
  <si>
    <t>강우(빗물)</t>
  </si>
  <si>
    <t>농배수로(4번지점 옆)</t>
  </si>
  <si>
    <t>동화호 상류01</t>
  </si>
  <si>
    <t>동화호 상류02</t>
  </si>
  <si>
    <t>장남호 상류</t>
  </si>
  <si>
    <t>동화천 상류</t>
  </si>
  <si>
    <t>오수천 상류</t>
  </si>
  <si>
    <t>농배수로(EM27 옆)</t>
  </si>
  <si>
    <t>남원 생태습지 방류수</t>
  </si>
  <si>
    <t>남원하수처리장</t>
  </si>
  <si>
    <t>웅정 하수처리장</t>
  </si>
  <si>
    <t>논토양(방계인근)</t>
  </si>
  <si>
    <t>논토양</t>
  </si>
  <si>
    <t>농배수로</t>
  </si>
  <si>
    <t>논토양 물</t>
  </si>
  <si>
    <t>복합비료(밭에 주로 사용)</t>
  </si>
  <si>
    <t>복합비료(논에 주로 사용)</t>
  </si>
  <si>
    <t>축사유출수</t>
  </si>
  <si>
    <t>퇴비(과수원 시비)</t>
  </si>
  <si>
    <t>시판퇴비</t>
  </si>
  <si>
    <t>우분퇴비(만봉천)</t>
  </si>
  <si>
    <t>우분퇴비(영산천)</t>
  </si>
  <si>
    <t>우분퇴비(승가교)</t>
  </si>
  <si>
    <t>우분퇴비(남평)</t>
  </si>
  <si>
    <t>논</t>
  </si>
  <si>
    <t>밭</t>
  </si>
  <si>
    <t>비닐하우스</t>
  </si>
  <si>
    <t>과수원</t>
  </si>
  <si>
    <t>산림</t>
  </si>
  <si>
    <t>논(soil-A)</t>
  </si>
  <si>
    <t>과수원(퇴비)</t>
  </si>
  <si>
    <t>과수원(감)</t>
  </si>
  <si>
    <t>비닐하우스(쪽파)</t>
  </si>
  <si>
    <t>과수원(배)</t>
  </si>
  <si>
    <t>밭(고추밭)</t>
  </si>
  <si>
    <t>밭(깨)</t>
  </si>
  <si>
    <t>산림유출수</t>
  </si>
  <si>
    <t>석정천 상류</t>
  </si>
  <si>
    <t>회송천 말단 측구</t>
  </si>
  <si>
    <t>유곡천 상류 측구</t>
  </si>
  <si>
    <t>대초천 말단 측구</t>
  </si>
  <si>
    <t>수춘천 측구</t>
  </si>
  <si>
    <t>송학천 골프장 영향지점 합류 후</t>
  </si>
  <si>
    <t>회송천 농업유출수</t>
  </si>
  <si>
    <t>산포천말단 배출수</t>
  </si>
  <si>
    <t>석정천 논 유출수</t>
  </si>
  <si>
    <t>대초천 논 유출수</t>
  </si>
  <si>
    <t>지석천 배수로 유출수</t>
  </si>
  <si>
    <t>노동천(비닐하우스)</t>
  </si>
  <si>
    <t>석정천(과수원)</t>
  </si>
  <si>
    <t>대촌천(비닐하우스)</t>
  </si>
  <si>
    <t>비료</t>
    <phoneticPr fontId="4" type="noConversion"/>
  </si>
  <si>
    <t>화순읍 하수처리장 방류수</t>
  </si>
  <si>
    <t>도곡온천 하수처리장 방류수</t>
  </si>
  <si>
    <t>산포 하수종말처리시설 방류수</t>
  </si>
  <si>
    <t>이양 마을하수처리시설 방류수</t>
  </si>
  <si>
    <t>효천하수처리장 방류수</t>
  </si>
  <si>
    <t>월곡마을하수처리장</t>
  </si>
  <si>
    <t>강우</t>
  </si>
  <si>
    <t>감정천 퇴비 유출수</t>
  </si>
  <si>
    <t>IOF-1</t>
  </si>
  <si>
    <t>IOF-2</t>
  </si>
  <si>
    <t>IOF-3</t>
  </si>
  <si>
    <t>IOF-4</t>
  </si>
  <si>
    <t>IOF-5</t>
  </si>
  <si>
    <t>IOF-6</t>
  </si>
  <si>
    <t>IOF-7</t>
  </si>
  <si>
    <t>IOF-8</t>
  </si>
  <si>
    <t>IOF-9</t>
  </si>
  <si>
    <t>IOF-10</t>
  </si>
  <si>
    <t>IOF-11</t>
  </si>
  <si>
    <t>IOF-12</t>
  </si>
  <si>
    <t>IOF-13</t>
  </si>
  <si>
    <t>IOF-14</t>
  </si>
  <si>
    <t>IOF-15</t>
  </si>
  <si>
    <t>IOF-16</t>
  </si>
  <si>
    <t>IOF-17</t>
  </si>
  <si>
    <t>IOF-18</t>
  </si>
  <si>
    <t>IOF-19</t>
  </si>
  <si>
    <t>OF-1</t>
  </si>
  <si>
    <t>OF-2</t>
  </si>
  <si>
    <t>OF-3</t>
  </si>
  <si>
    <t>OF-4</t>
  </si>
  <si>
    <t>OF-5</t>
  </si>
  <si>
    <t>OF-6</t>
  </si>
  <si>
    <t>OF-7</t>
  </si>
  <si>
    <t>OF-8</t>
  </si>
  <si>
    <t>OF-9</t>
  </si>
  <si>
    <t>OF-10</t>
  </si>
  <si>
    <t>OF-11</t>
  </si>
  <si>
    <t>OF-12</t>
  </si>
  <si>
    <t>OF-13</t>
  </si>
  <si>
    <t>OF-14</t>
  </si>
  <si>
    <t>OF-15</t>
  </si>
  <si>
    <t>OF-16</t>
  </si>
  <si>
    <t>OF-17</t>
  </si>
  <si>
    <t>OF-18</t>
  </si>
  <si>
    <t>OF-19</t>
  </si>
  <si>
    <t>OF-20</t>
  </si>
  <si>
    <t>OF-21</t>
  </si>
  <si>
    <t>OF-22</t>
  </si>
  <si>
    <t>OF-23</t>
  </si>
  <si>
    <t>OF-24</t>
  </si>
  <si>
    <t>OF-25</t>
  </si>
  <si>
    <t>OF-26</t>
  </si>
  <si>
    <t>OF-27</t>
  </si>
  <si>
    <t>OF-28</t>
  </si>
  <si>
    <t>OF-29</t>
  </si>
  <si>
    <t>OF-30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</si>
  <si>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</si>
  <si>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</si>
  <si>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</si>
  <si>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</si>
  <si>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</si>
  <si>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</si>
  <si>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</si>
  <si>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</si>
  <si>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</si>
  <si>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</si>
  <si>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PCF-11</t>
  </si>
  <si>
    <t>PCF-12</t>
  </si>
  <si>
    <t>PCF-13</t>
  </si>
  <si>
    <t>PCF-14</t>
  </si>
  <si>
    <t>PCF-15</t>
  </si>
  <si>
    <t>PCF-16</t>
  </si>
  <si>
    <t>PCF-17</t>
  </si>
  <si>
    <t>PCF-18</t>
  </si>
  <si>
    <t>PCF-19</t>
  </si>
  <si>
    <t>PCF-20</t>
  </si>
  <si>
    <t>PCF-21</t>
  </si>
  <si>
    <t>PCF-22</t>
  </si>
  <si>
    <t>PCF-23</t>
  </si>
  <si>
    <t>PCF-24</t>
  </si>
  <si>
    <t>IOF</t>
    <phoneticPr fontId="4" type="noConversion"/>
  </si>
  <si>
    <t>Inorganic fertilizer</t>
    <phoneticPr fontId="4" type="noConversion"/>
  </si>
  <si>
    <t>OF</t>
    <phoneticPr fontId="4" type="noConversion"/>
  </si>
  <si>
    <t>Organic fertilizer</t>
    <phoneticPr fontId="4" type="noConversion"/>
  </si>
  <si>
    <t>PCF</t>
    <phoneticPr fontId="4" type="noConversion"/>
  </si>
  <si>
    <t>Plant-based compound fertilizer</t>
    <phoneticPr fontId="4" type="noConversion"/>
  </si>
  <si>
    <t>분류</t>
    <phoneticPr fontId="4" type="noConversion"/>
  </si>
  <si>
    <t>inorganic</t>
    <phoneticPr fontId="4" type="noConversion"/>
  </si>
  <si>
    <t>organic</t>
    <phoneticPr fontId="4" type="noConversion"/>
  </si>
  <si>
    <t>plant-based</t>
    <phoneticPr fontId="4" type="noConversion"/>
  </si>
  <si>
    <t>분류</t>
    <phoneticPr fontId="4" type="noConversion"/>
  </si>
  <si>
    <t>적치퇴비</t>
    <phoneticPr fontId="4" type="noConversion"/>
  </si>
  <si>
    <t>돈분퇴비</t>
    <phoneticPr fontId="4" type="noConversion"/>
  </si>
  <si>
    <t>우분퇴비</t>
    <phoneticPr fontId="4" type="noConversion"/>
  </si>
  <si>
    <t>참고문헌</t>
    <phoneticPr fontId="4" type="noConversion"/>
  </si>
  <si>
    <t>토양</t>
    <phoneticPr fontId="4" type="noConversion"/>
  </si>
  <si>
    <t>동천</t>
  </si>
  <si>
    <t>AVG</t>
  </si>
  <si>
    <t>AVG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</si>
</sst>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5"/>
      <color theme="3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4">
    <xf numFmtId="0" fontId="0" fillId="0" borderId="0">
      <alignment vertical="center"/>
    </xf>
    <xf numFmtId="0" fontId="3" fillId="0" borderId="1" applyNumberFormat="0" applyFill="0" applyAlignment="0" applyProtection="0"/>
    <xf numFmtId="0" fontId="2" fillId="0" borderId="2" applyNumberFormat="0" applyFill="0" applyAlignment="0" applyProtection="0">
      <alignment vertical="center"/>
    </xf>
    <xf numFmtId="0" fontId="1" fillId="0" borderId="0">
      <alignment vertical="center"/>
    </xf>
  </cellStyleXfs>
  <cellXfs count="76">
    <xf numFmtId="0" fontId="0" fillId="0" borderId="0" xfId="0">
      <alignment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3" borderId="11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4" borderId="11" xfId="3" applyFont="1" applyFill="1" applyBorder="1" applyAlignment="1">
      <alignment horizontal="center" vertical="center"/>
    </xf>
    <xf numFmtId="0" fontId="9" fillId="4" borderId="12" xfId="3" applyFont="1" applyFill="1" applyBorder="1" applyAlignment="1">
      <alignment horizontal="center" vertical="center"/>
    </xf>
    <xf numFmtId="0" fontId="9" fillId="5" borderId="11" xfId="3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horizontal="center" vertical="center"/>
    </xf>
    <xf numFmtId="0" fontId="9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2" fontId="12" fillId="0" borderId="0" xfId="0" applyNumberFormat="1" applyFont="1" applyAlignment="1">
      <alignment horizontal="center" vertical="center"/>
    </xf>
    <xf numFmtId="0" fontId="13" fillId="3" borderId="10" xfId="3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>
      <alignment vertical="center"/>
    </xf>
    <xf numFmtId="0" fontId="9" fillId="6" borderId="13" xfId="3" applyFont="1" applyFill="1" applyBorder="1" applyAlignment="1">
      <alignment horizontal="center" vertical="center"/>
    </xf>
    <xf numFmtId="0" fontId="9" fillId="6" borderId="14" xfId="3" applyFont="1" applyFill="1" applyBorder="1" applyAlignment="1">
      <alignment horizontal="center" vertical="center"/>
    </xf>
    <xf numFmtId="0" fontId="9" fillId="0" borderId="0" xfId="3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6" fontId="15" fillId="0" borderId="0" xfId="0" applyNumberFormat="1" applyFont="1" applyAlignment="1">
      <alignment horizontal="center" vertical="center"/>
    </xf>
    <xf numFmtId="0" fontId="13" fillId="3" borderId="9" xfId="3" applyFont="1" applyFill="1" applyBorder="1" applyAlignment="1">
      <alignment horizontal="center" vertical="center"/>
    </xf>
    <xf numFmtId="0" fontId="13" fillId="3" borderId="12" xfId="3" applyFont="1" applyFill="1" applyBorder="1" applyAlignment="1">
      <alignment horizontal="center" vertical="center"/>
    </xf>
    <xf numFmtId="0" fontId="13" fillId="0" borderId="11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4" borderId="11" xfId="3" applyFont="1" applyFill="1" applyBorder="1" applyAlignment="1">
      <alignment horizontal="center" vertical="center"/>
    </xf>
    <xf numFmtId="0" fontId="13" fillId="4" borderId="12" xfId="3" applyFont="1" applyFill="1" applyBorder="1" applyAlignment="1">
      <alignment horizontal="center" vertical="center"/>
    </xf>
    <xf numFmtId="176" fontId="14" fillId="0" borderId="0" xfId="0" applyNumberFormat="1" applyFont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2" fontId="15" fillId="0" borderId="0" xfId="0" applyNumberFormat="1" applyFont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16" fillId="4" borderId="15" xfId="3" applyFont="1" applyFill="1" applyBorder="1" applyAlignment="1">
      <alignment horizontal="center" vertical="center"/>
    </xf>
    <xf numFmtId="0" fontId="16" fillId="4" borderId="16" xfId="3" applyFont="1" applyFill="1" applyBorder="1" applyAlignment="1">
      <alignment horizontal="center" vertical="center"/>
    </xf>
    <xf numFmtId="0" fontId="16" fillId="4" borderId="12" xfId="3" applyFont="1" applyFill="1" applyBorder="1" applyAlignment="1">
      <alignment horizontal="center" vertical="center"/>
    </xf>
    <xf numFmtId="0" fontId="16" fillId="5" borderId="15" xfId="3" applyFont="1" applyFill="1" applyBorder="1" applyAlignment="1">
      <alignment horizontal="center" vertical="center"/>
    </xf>
    <xf numFmtId="0" fontId="16" fillId="5" borderId="16" xfId="3" applyFont="1" applyFill="1" applyBorder="1" applyAlignment="1">
      <alignment horizontal="center" vertical="center"/>
    </xf>
    <xf numFmtId="0" fontId="16" fillId="5" borderId="12" xfId="3" applyFont="1" applyFill="1" applyBorder="1" applyAlignment="1">
      <alignment horizontal="center" vertical="center"/>
    </xf>
    <xf numFmtId="0" fontId="16" fillId="6" borderId="17" xfId="3" applyFont="1" applyFill="1" applyBorder="1" applyAlignment="1">
      <alignment horizontal="center" vertical="center"/>
    </xf>
    <xf numFmtId="0" fontId="16" fillId="6" borderId="18" xfId="3" applyFont="1" applyFill="1" applyBorder="1" applyAlignment="1">
      <alignment horizontal="center" vertical="center"/>
    </xf>
    <xf numFmtId="0" fontId="16" fillId="6" borderId="14" xfId="3" applyFont="1" applyFill="1" applyBorder="1" applyAlignment="1">
      <alignment horizontal="center" vertical="center"/>
    </xf>
    <xf numFmtId="0" fontId="16" fillId="3" borderId="15" xfId="3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/>
    </xf>
    <xf numFmtId="0" fontId="16" fillId="3" borderId="12" xfId="3" applyFont="1" applyFill="1" applyBorder="1" applyAlignment="1">
      <alignment horizontal="center" vertical="center"/>
    </xf>
    <xf numFmtId="0" fontId="16" fillId="0" borderId="15" xfId="3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16" fillId="6" borderId="0" xfId="3" applyFont="1" applyFill="1" applyBorder="1" applyAlignment="1">
      <alignment horizontal="center" vertical="center"/>
    </xf>
    <xf numFmtId="0" fontId="16" fillId="6" borderId="15" xfId="3" applyFont="1" applyFill="1" applyBorder="1" applyAlignment="1">
      <alignment horizontal="center" vertical="center"/>
    </xf>
    <xf numFmtId="0" fontId="16" fillId="6" borderId="16" xfId="3" applyFont="1" applyFill="1" applyBorder="1" applyAlignment="1">
      <alignment horizontal="center" vertical="center"/>
    </xf>
    <xf numFmtId="0" fontId="16" fillId="6" borderId="12" xfId="3" applyFont="1" applyFill="1" applyBorder="1" applyAlignment="1">
      <alignment horizontal="center" vertical="center"/>
    </xf>
    <xf numFmtId="0" fontId="16" fillId="0" borderId="15" xfId="3" applyFont="1" applyFill="1" applyBorder="1" applyAlignment="1">
      <alignment horizontal="center" vertical="center"/>
    </xf>
    <xf numFmtId="0" fontId="16" fillId="0" borderId="16" xfId="3" applyFont="1" applyFill="1" applyBorder="1" applyAlignment="1">
      <alignment horizontal="center" vertical="center"/>
    </xf>
    <xf numFmtId="0" fontId="16" fillId="0" borderId="12" xfId="3" applyFont="1" applyFill="1" applyBorder="1" applyAlignment="1">
      <alignment horizontal="center" vertical="center"/>
    </xf>
    <xf numFmtId="0" fontId="9" fillId="6" borderId="15" xfId="3" applyFont="1" applyFill="1" applyBorder="1" applyAlignment="1">
      <alignment horizontal="center" vertical="center"/>
    </xf>
    <xf numFmtId="0" fontId="9" fillId="6" borderId="16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/>
    </xf>
    <xf numFmtId="0" fontId="9" fillId="0" borderId="0" xfId="3" applyFont="1" applyFill="1" applyBorder="1" applyAlignment="1">
      <alignment horizontal="center" vertical="center"/>
    </xf>
    <xf numFmtId="0" fontId="15" fillId="0" borderId="0" xfId="0" applyFont="1">
      <alignment vertical="center"/>
    </xf>
    <xf numFmtId="2" fontId="12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</cellXfs>
  <cellStyles count="4">
    <cellStyle name="제목 1 2" xfId="1" xr:uid="{57FAB0F3-A3F0-41C3-90D7-063C524E159B}"/>
    <cellStyle name="제목 3 3" xfId="2" xr:uid="{91483142-93EE-4882-84EE-AB7C46B64A81}"/>
    <cellStyle name="표준" xfId="0" builtinId="0"/>
    <cellStyle name="표준 4" xfId="3" xr:uid="{82B6EF18-B2B1-4675-8DF8-0420CA888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문헌(Shin et al)'!$E$3:$E$51</c:f>
              <c:numCache>
                <c:formatCode>0.0</c:formatCode>
                <c:ptCount val="49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</c:numCache>
            </c:numRef>
          </c:xVal>
          <c:yVal>
            <c:numRef>
              <c:f>'19년 문헌(Shin et al)'!$F$3:$F$51</c:f>
              <c:numCache>
                <c:formatCode>0.0</c:formatCode>
                <c:ptCount val="49"/>
                <c:pt idx="0">
                  <c:v>18.899999999999999</c:v>
                </c:pt>
                <c:pt idx="1">
                  <c:v>16.5</c:v>
                </c:pt>
                <c:pt idx="2">
                  <c:v>17.600000000000001</c:v>
                </c:pt>
                <c:pt idx="3">
                  <c:v>17.3</c:v>
                </c:pt>
                <c:pt idx="4">
                  <c:v>21.7</c:v>
                </c:pt>
                <c:pt idx="5">
                  <c:v>19</c:v>
                </c:pt>
                <c:pt idx="6">
                  <c:v>22.7</c:v>
                </c:pt>
                <c:pt idx="7">
                  <c:v>21.8</c:v>
                </c:pt>
                <c:pt idx="8">
                  <c:v>22.6</c:v>
                </c:pt>
                <c:pt idx="9">
                  <c:v>21.9</c:v>
                </c:pt>
                <c:pt idx="10">
                  <c:v>19</c:v>
                </c:pt>
                <c:pt idx="11">
                  <c:v>20.9</c:v>
                </c:pt>
                <c:pt idx="12">
                  <c:v>20.399999999999999</c:v>
                </c:pt>
                <c:pt idx="13">
                  <c:v>15.1</c:v>
                </c:pt>
                <c:pt idx="14">
                  <c:v>22.5</c:v>
                </c:pt>
                <c:pt idx="15">
                  <c:v>16.5</c:v>
                </c:pt>
                <c:pt idx="16">
                  <c:v>18.899999999999999</c:v>
                </c:pt>
                <c:pt idx="17">
                  <c:v>14.1</c:v>
                </c:pt>
                <c:pt idx="18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1-4442-8727-2018B5AE9161}"/>
            </c:ext>
          </c:extLst>
        </c:ser>
        <c:ser>
          <c:idx val="2"/>
          <c:order val="1"/>
          <c:tx>
            <c:v>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'19년 문헌(Shin et al)'!$E$3:$E$51</c:f>
              <c:numCache>
                <c:formatCode>0.0</c:formatCode>
                <c:ptCount val="49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</c:numCache>
            </c:numRef>
          </c:xVal>
          <c:yVal>
            <c:numRef>
              <c:f>'19년 문헌(Shin et al)'!$G$3:$G$51</c:f>
              <c:numCache>
                <c:formatCode>0.0</c:formatCode>
                <c:ptCount val="49"/>
                <c:pt idx="19">
                  <c:v>7.4</c:v>
                </c:pt>
                <c:pt idx="20">
                  <c:v>8</c:v>
                </c:pt>
                <c:pt idx="21">
                  <c:v>7.4</c:v>
                </c:pt>
                <c:pt idx="22">
                  <c:v>8.8000000000000007</c:v>
                </c:pt>
                <c:pt idx="23">
                  <c:v>11</c:v>
                </c:pt>
                <c:pt idx="24">
                  <c:v>7.1</c:v>
                </c:pt>
                <c:pt idx="25">
                  <c:v>1.6</c:v>
                </c:pt>
                <c:pt idx="26">
                  <c:v>1</c:v>
                </c:pt>
                <c:pt idx="27">
                  <c:v>14.4</c:v>
                </c:pt>
                <c:pt idx="28">
                  <c:v>3.5</c:v>
                </c:pt>
                <c:pt idx="29">
                  <c:v>4.4000000000000004</c:v>
                </c:pt>
                <c:pt idx="30">
                  <c:v>-4</c:v>
                </c:pt>
                <c:pt idx="31">
                  <c:v>10.5</c:v>
                </c:pt>
                <c:pt idx="32">
                  <c:v>14.1</c:v>
                </c:pt>
                <c:pt idx="33">
                  <c:v>7.6</c:v>
                </c:pt>
                <c:pt idx="34">
                  <c:v>4.4000000000000004</c:v>
                </c:pt>
                <c:pt idx="35">
                  <c:v>5.4</c:v>
                </c:pt>
                <c:pt idx="36">
                  <c:v>12.5</c:v>
                </c:pt>
                <c:pt idx="37">
                  <c:v>5.8</c:v>
                </c:pt>
                <c:pt idx="38">
                  <c:v>-2.8</c:v>
                </c:pt>
                <c:pt idx="39">
                  <c:v>9.3000000000000007</c:v>
                </c:pt>
                <c:pt idx="40">
                  <c:v>-4.5</c:v>
                </c:pt>
                <c:pt idx="41">
                  <c:v>10</c:v>
                </c:pt>
                <c:pt idx="42">
                  <c:v>10.7</c:v>
                </c:pt>
                <c:pt idx="43">
                  <c:v>2.6</c:v>
                </c:pt>
                <c:pt idx="44">
                  <c:v>3</c:v>
                </c:pt>
                <c:pt idx="45">
                  <c:v>1</c:v>
                </c:pt>
                <c:pt idx="46">
                  <c:v>6</c:v>
                </c:pt>
                <c:pt idx="47">
                  <c:v>7</c:v>
                </c:pt>
                <c:pt idx="4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5-4C1B-8AE0-3189AB496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'19년 문헌(Shin et al)'!$E$3:$E$51</c15:sqref>
                        </c15:formulaRef>
                      </c:ext>
                    </c:extLst>
                    <c:numCache>
                      <c:formatCode>0.0</c:formatCode>
                      <c:ptCount val="49"/>
                      <c:pt idx="0">
                        <c:v>3.8</c:v>
                      </c:pt>
                      <c:pt idx="1">
                        <c:v>5.3</c:v>
                      </c:pt>
                      <c:pt idx="2">
                        <c:v>6.2</c:v>
                      </c:pt>
                      <c:pt idx="3">
                        <c:v>3.9</c:v>
                      </c:pt>
                      <c:pt idx="4">
                        <c:v>5.6</c:v>
                      </c:pt>
                      <c:pt idx="5">
                        <c:v>4.7</c:v>
                      </c:pt>
                      <c:pt idx="6">
                        <c:v>0.5</c:v>
                      </c:pt>
                      <c:pt idx="7">
                        <c:v>0.9</c:v>
                      </c:pt>
                      <c:pt idx="8">
                        <c:v>1.7</c:v>
                      </c:pt>
                      <c:pt idx="9">
                        <c:v>0.4</c:v>
                      </c:pt>
                      <c:pt idx="10">
                        <c:v>1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-0.9</c:v>
                      </c:pt>
                      <c:pt idx="14">
                        <c:v>1</c:v>
                      </c:pt>
                      <c:pt idx="15">
                        <c:v>3.8</c:v>
                      </c:pt>
                      <c:pt idx="16">
                        <c:v>-0.4</c:v>
                      </c:pt>
                      <c:pt idx="17">
                        <c:v>-1.1000000000000001</c:v>
                      </c:pt>
                      <c:pt idx="18">
                        <c:v>7.6</c:v>
                      </c:pt>
                      <c:pt idx="19">
                        <c:v>20.399999999999999</c:v>
                      </c:pt>
                      <c:pt idx="20">
                        <c:v>-0.6</c:v>
                      </c:pt>
                      <c:pt idx="21">
                        <c:v>21.7</c:v>
                      </c:pt>
                      <c:pt idx="22">
                        <c:v>18.8</c:v>
                      </c:pt>
                      <c:pt idx="23">
                        <c:v>15</c:v>
                      </c:pt>
                      <c:pt idx="24">
                        <c:v>15.7</c:v>
                      </c:pt>
                      <c:pt idx="25">
                        <c:v>10.9</c:v>
                      </c:pt>
                      <c:pt idx="26">
                        <c:v>17.2</c:v>
                      </c:pt>
                      <c:pt idx="27">
                        <c:v>23.2</c:v>
                      </c:pt>
                      <c:pt idx="28">
                        <c:v>21.7</c:v>
                      </c:pt>
                      <c:pt idx="29">
                        <c:v>2.1</c:v>
                      </c:pt>
                      <c:pt idx="30">
                        <c:v>7.5</c:v>
                      </c:pt>
                      <c:pt idx="31">
                        <c:v>24.4</c:v>
                      </c:pt>
                      <c:pt idx="32">
                        <c:v>11.5</c:v>
                      </c:pt>
                      <c:pt idx="33">
                        <c:v>24</c:v>
                      </c:pt>
                      <c:pt idx="34">
                        <c:v>-1.2</c:v>
                      </c:pt>
                      <c:pt idx="35">
                        <c:v>12.2</c:v>
                      </c:pt>
                      <c:pt idx="36">
                        <c:v>22.6</c:v>
                      </c:pt>
                      <c:pt idx="37">
                        <c:v>17.7</c:v>
                      </c:pt>
                      <c:pt idx="38">
                        <c:v>-1</c:v>
                      </c:pt>
                      <c:pt idx="39">
                        <c:v>13</c:v>
                      </c:pt>
                      <c:pt idx="40">
                        <c:v>9.4</c:v>
                      </c:pt>
                      <c:pt idx="41">
                        <c:v>13.2</c:v>
                      </c:pt>
                      <c:pt idx="42">
                        <c:v>26.2</c:v>
                      </c:pt>
                      <c:pt idx="43">
                        <c:v>17.100000000000001</c:v>
                      </c:pt>
                      <c:pt idx="44">
                        <c:v>13.2</c:v>
                      </c:pt>
                      <c:pt idx="45">
                        <c:v>15.4</c:v>
                      </c:pt>
                      <c:pt idx="46">
                        <c:v>22.9</c:v>
                      </c:pt>
                      <c:pt idx="47">
                        <c:v>14.8</c:v>
                      </c:pt>
                      <c:pt idx="48">
                        <c:v>12.1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'19년 문헌(Shin et al)'!$H$3:$H$51</c15:sqref>
                        </c15:formulaRef>
                      </c:ext>
                    </c:extLst>
                    <c:numCache>
                      <c:formatCode>General</c:formatCode>
                      <c:ptCount val="49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6D1-4442-8727-2018B5AE9161}"/>
                  </c:ext>
                </c:extLst>
              </c15:ser>
            </c15:filteredScatterSeries>
          </c:ext>
        </c:extLst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2"/>
          <c:tx>
            <c:v>PCF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문헌(Shin et al)'!$E$52:$E$75</c:f>
              <c:numCache>
                <c:formatCode>0.0</c:formatCode>
                <c:ptCount val="24"/>
                <c:pt idx="0">
                  <c:v>8</c:v>
                </c:pt>
                <c:pt idx="1">
                  <c:v>10.199999999999999</c:v>
                </c:pt>
                <c:pt idx="2">
                  <c:v>2</c:v>
                </c:pt>
                <c:pt idx="3">
                  <c:v>14.6</c:v>
                </c:pt>
                <c:pt idx="4">
                  <c:v>17.8</c:v>
                </c:pt>
                <c:pt idx="5">
                  <c:v>15.4</c:v>
                </c:pt>
                <c:pt idx="6">
                  <c:v>13.2</c:v>
                </c:pt>
                <c:pt idx="7">
                  <c:v>7.6</c:v>
                </c:pt>
                <c:pt idx="8">
                  <c:v>0.7</c:v>
                </c:pt>
                <c:pt idx="9">
                  <c:v>15.3</c:v>
                </c:pt>
                <c:pt idx="10">
                  <c:v>8.6999999999999993</c:v>
                </c:pt>
                <c:pt idx="11">
                  <c:v>12.5</c:v>
                </c:pt>
                <c:pt idx="12">
                  <c:v>21.6</c:v>
                </c:pt>
                <c:pt idx="13">
                  <c:v>12</c:v>
                </c:pt>
                <c:pt idx="14">
                  <c:v>15.4</c:v>
                </c:pt>
                <c:pt idx="15">
                  <c:v>6.8</c:v>
                </c:pt>
                <c:pt idx="16">
                  <c:v>1.8</c:v>
                </c:pt>
                <c:pt idx="17">
                  <c:v>15.5</c:v>
                </c:pt>
                <c:pt idx="18">
                  <c:v>15.8</c:v>
                </c:pt>
                <c:pt idx="19">
                  <c:v>4.7</c:v>
                </c:pt>
                <c:pt idx="20">
                  <c:v>6</c:v>
                </c:pt>
                <c:pt idx="21">
                  <c:v>-1</c:v>
                </c:pt>
                <c:pt idx="22">
                  <c:v>12.2</c:v>
                </c:pt>
                <c:pt idx="23">
                  <c:v>25.5</c:v>
                </c:pt>
              </c:numCache>
            </c:numRef>
          </c:xVal>
          <c:yVal>
            <c:numRef>
              <c:f>'19년 문헌(Shin et al)'!$H$52:$H$75</c:f>
              <c:numCache>
                <c:formatCode>0.0</c:formatCode>
                <c:ptCount val="24"/>
                <c:pt idx="0">
                  <c:v>19.399999999999999</c:v>
                </c:pt>
                <c:pt idx="1">
                  <c:v>11.7</c:v>
                </c:pt>
                <c:pt idx="2">
                  <c:v>19.399999999999999</c:v>
                </c:pt>
                <c:pt idx="3">
                  <c:v>9.4</c:v>
                </c:pt>
                <c:pt idx="4">
                  <c:v>17.7</c:v>
                </c:pt>
                <c:pt idx="5">
                  <c:v>11</c:v>
                </c:pt>
                <c:pt idx="6">
                  <c:v>18.3</c:v>
                </c:pt>
                <c:pt idx="7">
                  <c:v>19.600000000000001</c:v>
                </c:pt>
                <c:pt idx="8">
                  <c:v>10.6</c:v>
                </c:pt>
                <c:pt idx="9">
                  <c:v>12.3</c:v>
                </c:pt>
                <c:pt idx="10">
                  <c:v>12.7</c:v>
                </c:pt>
                <c:pt idx="11">
                  <c:v>13.8</c:v>
                </c:pt>
                <c:pt idx="12">
                  <c:v>12.4</c:v>
                </c:pt>
                <c:pt idx="13">
                  <c:v>31</c:v>
                </c:pt>
                <c:pt idx="14">
                  <c:v>1.8</c:v>
                </c:pt>
                <c:pt idx="15">
                  <c:v>24.8</c:v>
                </c:pt>
                <c:pt idx="16">
                  <c:v>21.1</c:v>
                </c:pt>
                <c:pt idx="17">
                  <c:v>17.3</c:v>
                </c:pt>
                <c:pt idx="18">
                  <c:v>15</c:v>
                </c:pt>
                <c:pt idx="19">
                  <c:v>22.6</c:v>
                </c:pt>
                <c:pt idx="20">
                  <c:v>18.600000000000001</c:v>
                </c:pt>
                <c:pt idx="21">
                  <c:v>20.3</c:v>
                </c:pt>
                <c:pt idx="22">
                  <c:v>10.199999999999999</c:v>
                </c:pt>
                <c:pt idx="23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56-450E-B43F-22E2C79F7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'19년 문헌(Shin et al)'!$E$52:$E$75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8</c:v>
                      </c:pt>
                      <c:pt idx="1">
                        <c:v>10.199999999999999</c:v>
                      </c:pt>
                      <c:pt idx="2">
                        <c:v>2</c:v>
                      </c:pt>
                      <c:pt idx="3">
                        <c:v>14.6</c:v>
                      </c:pt>
                      <c:pt idx="4">
                        <c:v>17.8</c:v>
                      </c:pt>
                      <c:pt idx="5">
                        <c:v>15.4</c:v>
                      </c:pt>
                      <c:pt idx="6">
                        <c:v>13.2</c:v>
                      </c:pt>
                      <c:pt idx="7">
                        <c:v>7.6</c:v>
                      </c:pt>
                      <c:pt idx="8">
                        <c:v>0.7</c:v>
                      </c:pt>
                      <c:pt idx="9">
                        <c:v>15.3</c:v>
                      </c:pt>
                      <c:pt idx="10">
                        <c:v>8.6999999999999993</c:v>
                      </c:pt>
                      <c:pt idx="11">
                        <c:v>12.5</c:v>
                      </c:pt>
                      <c:pt idx="12">
                        <c:v>21.6</c:v>
                      </c:pt>
                      <c:pt idx="13">
                        <c:v>12</c:v>
                      </c:pt>
                      <c:pt idx="14">
                        <c:v>15.4</c:v>
                      </c:pt>
                      <c:pt idx="15">
                        <c:v>6.8</c:v>
                      </c:pt>
                      <c:pt idx="16">
                        <c:v>1.8</c:v>
                      </c:pt>
                      <c:pt idx="17">
                        <c:v>15.5</c:v>
                      </c:pt>
                      <c:pt idx="18">
                        <c:v>15.8</c:v>
                      </c:pt>
                      <c:pt idx="19">
                        <c:v>4.7</c:v>
                      </c:pt>
                      <c:pt idx="20">
                        <c:v>6</c:v>
                      </c:pt>
                      <c:pt idx="21">
                        <c:v>-1</c:v>
                      </c:pt>
                      <c:pt idx="22">
                        <c:v>12.2</c:v>
                      </c:pt>
                      <c:pt idx="23">
                        <c:v>25.5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'19년 문헌(Shin et al)'!$F$52:$F$75</c15:sqref>
                        </c15:formulaRef>
                      </c:ext>
                    </c:extLst>
                    <c:numCache>
                      <c:formatCode>General</c:formatCode>
                      <c:ptCount val="2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E56-450E-B43F-22E2C79F7923}"/>
                  </c:ext>
                </c:extLst>
              </c15:ser>
            </c15:filteredScatterSeries>
            <c15:filteredScatterSeries>
              <c15:ser>
                <c:idx val="2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'19년 문헌(Shin et al)'!$E$52:$E$75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8</c:v>
                      </c:pt>
                      <c:pt idx="1">
                        <c:v>10.199999999999999</c:v>
                      </c:pt>
                      <c:pt idx="2">
                        <c:v>2</c:v>
                      </c:pt>
                      <c:pt idx="3">
                        <c:v>14.6</c:v>
                      </c:pt>
                      <c:pt idx="4">
                        <c:v>17.8</c:v>
                      </c:pt>
                      <c:pt idx="5">
                        <c:v>15.4</c:v>
                      </c:pt>
                      <c:pt idx="6">
                        <c:v>13.2</c:v>
                      </c:pt>
                      <c:pt idx="7">
                        <c:v>7.6</c:v>
                      </c:pt>
                      <c:pt idx="8">
                        <c:v>0.7</c:v>
                      </c:pt>
                      <c:pt idx="9">
                        <c:v>15.3</c:v>
                      </c:pt>
                      <c:pt idx="10">
                        <c:v>8.6999999999999993</c:v>
                      </c:pt>
                      <c:pt idx="11">
                        <c:v>12.5</c:v>
                      </c:pt>
                      <c:pt idx="12">
                        <c:v>21.6</c:v>
                      </c:pt>
                      <c:pt idx="13">
                        <c:v>12</c:v>
                      </c:pt>
                      <c:pt idx="14">
                        <c:v>15.4</c:v>
                      </c:pt>
                      <c:pt idx="15">
                        <c:v>6.8</c:v>
                      </c:pt>
                      <c:pt idx="16">
                        <c:v>1.8</c:v>
                      </c:pt>
                      <c:pt idx="17">
                        <c:v>15.5</c:v>
                      </c:pt>
                      <c:pt idx="18">
                        <c:v>15.8</c:v>
                      </c:pt>
                      <c:pt idx="19">
                        <c:v>4.7</c:v>
                      </c:pt>
                      <c:pt idx="20">
                        <c:v>6</c:v>
                      </c:pt>
                      <c:pt idx="21">
                        <c:v>-1</c:v>
                      </c:pt>
                      <c:pt idx="22">
                        <c:v>12.2</c:v>
                      </c:pt>
                      <c:pt idx="23">
                        <c:v>25.5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'19년 문헌(Shin et al)'!$G$52:$G$75</c15:sqref>
                        </c15:formulaRef>
                      </c:ext>
                    </c:extLst>
                    <c:numCache>
                      <c:formatCode>0.0</c:formatCode>
                      <c:ptCount val="24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E56-450E-B43F-22E2C79F7923}"/>
                  </c:ext>
                </c:extLst>
              </c15:ser>
            </c15:filteredScatterSeries>
          </c:ext>
        </c:extLst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연구사업(류)'!$E$3:$E$4</c:f>
              <c:numCache>
                <c:formatCode>0.0</c:formatCode>
                <c:ptCount val="2"/>
                <c:pt idx="0">
                  <c:v>4.0999999999999996</c:v>
                </c:pt>
                <c:pt idx="1">
                  <c:v>4.0999999999999996</c:v>
                </c:pt>
              </c:numCache>
            </c:numRef>
          </c:xVal>
          <c:yVal>
            <c:numRef>
              <c:f>'19년 연구사업(류)'!$F$3:$F$4</c:f>
              <c:numCache>
                <c:formatCode>General</c:formatCode>
                <c:ptCount val="2"/>
                <c:pt idx="0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2-42FD-B8DF-3BA548492D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연구사업(류)'!$E$3:$E$4</c:f>
              <c:numCache>
                <c:formatCode>0.0</c:formatCode>
                <c:ptCount val="2"/>
                <c:pt idx="0">
                  <c:v>4.0999999999999996</c:v>
                </c:pt>
                <c:pt idx="1">
                  <c:v>4.0999999999999996</c:v>
                </c:pt>
              </c:numCache>
            </c:numRef>
          </c:xVal>
          <c:yVal>
            <c:numRef>
              <c:f>'19년 연구사업(류)'!$G$3:$G$4</c:f>
              <c:numCache>
                <c:formatCode>0.0</c:formatCode>
                <c:ptCount val="2"/>
                <c:pt idx="1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2-42FD-B8DF-3BA548492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연구사업(류)'!$E$5:$E$8</c:f>
              <c:numCache>
                <c:formatCode>0.0</c:formatCode>
                <c:ptCount val="4"/>
                <c:pt idx="0">
                  <c:v>-1.5</c:v>
                </c:pt>
                <c:pt idx="1">
                  <c:v>0.2</c:v>
                </c:pt>
                <c:pt idx="2">
                  <c:v>-7.2</c:v>
                </c:pt>
                <c:pt idx="3">
                  <c:v>-2.8333333333333335</c:v>
                </c:pt>
              </c:numCache>
            </c:numRef>
          </c:xVal>
          <c:yVal>
            <c:numRef>
              <c:f>'19년 연구사업(류)'!$F$5:$F$8</c:f>
              <c:numCache>
                <c:formatCode>0.0</c:formatCode>
                <c:ptCount val="4"/>
                <c:pt idx="0">
                  <c:v>54.8</c:v>
                </c:pt>
                <c:pt idx="1">
                  <c:v>49.3</c:v>
                </c:pt>
                <c:pt idx="2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C-4AF9-9EA2-0384AEE56D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연구사업(류)'!$E$5:$E$8</c:f>
              <c:numCache>
                <c:formatCode>0.0</c:formatCode>
                <c:ptCount val="4"/>
                <c:pt idx="0">
                  <c:v>-1.5</c:v>
                </c:pt>
                <c:pt idx="1">
                  <c:v>0.2</c:v>
                </c:pt>
                <c:pt idx="2">
                  <c:v>-7.2</c:v>
                </c:pt>
                <c:pt idx="3">
                  <c:v>-2.8333333333333335</c:v>
                </c:pt>
              </c:numCache>
            </c:numRef>
          </c:xVal>
          <c:yVal>
            <c:numRef>
              <c:f>'19년 연구사업(류)'!$G$5:$G$8</c:f>
              <c:numCache>
                <c:formatCode>0.0</c:formatCode>
                <c:ptCount val="4"/>
                <c:pt idx="3">
                  <c:v>51.733333333333327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C-4AF9-9EA2-0384AEE5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연구사업(류)'!$E$9:$E$27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8.1</c:v>
                </c:pt>
                <c:pt idx="9">
                  <c:v>14</c:v>
                </c:pt>
                <c:pt idx="10">
                  <c:v>11.5</c:v>
                </c:pt>
                <c:pt idx="11">
                  <c:v>14.4</c:v>
                </c:pt>
                <c:pt idx="12">
                  <c:v>16.3</c:v>
                </c:pt>
                <c:pt idx="13">
                  <c:v>11.2</c:v>
                </c:pt>
                <c:pt idx="14">
                  <c:v>13.6</c:v>
                </c:pt>
                <c:pt idx="15">
                  <c:v>10.1</c:v>
                </c:pt>
                <c:pt idx="16">
                  <c:v>20.399999999999999</c:v>
                </c:pt>
                <c:pt idx="17">
                  <c:v>12.7</c:v>
                </c:pt>
                <c:pt idx="18">
                  <c:v>12.833333333333334</c:v>
                </c:pt>
              </c:numCache>
            </c:numRef>
          </c:xVal>
          <c:yVal>
            <c:numRef>
              <c:f>'19년 연구사업(류)'!$F$9:$F$27</c:f>
              <c:numCache>
                <c:formatCode>0.0</c:formatCode>
                <c:ptCount val="19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3.7</c:v>
                </c:pt>
                <c:pt idx="9">
                  <c:v>5.9</c:v>
                </c:pt>
                <c:pt idx="10">
                  <c:v>7.6</c:v>
                </c:pt>
                <c:pt idx="11">
                  <c:v>5</c:v>
                </c:pt>
                <c:pt idx="12">
                  <c:v>3.9</c:v>
                </c:pt>
                <c:pt idx="13">
                  <c:v>3</c:v>
                </c:pt>
                <c:pt idx="14">
                  <c:v>4.5</c:v>
                </c:pt>
                <c:pt idx="15">
                  <c:v>5.0999999999999996</c:v>
                </c:pt>
                <c:pt idx="16">
                  <c:v>9.3000000000000007</c:v>
                </c:pt>
                <c:pt idx="17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C-4D70-9575-9434AE2D3F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연구사업(류)'!$E$9:$E$27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8.1</c:v>
                </c:pt>
                <c:pt idx="9">
                  <c:v>14</c:v>
                </c:pt>
                <c:pt idx="10">
                  <c:v>11.5</c:v>
                </c:pt>
                <c:pt idx="11">
                  <c:v>14.4</c:v>
                </c:pt>
                <c:pt idx="12">
                  <c:v>16.3</c:v>
                </c:pt>
                <c:pt idx="13">
                  <c:v>11.2</c:v>
                </c:pt>
                <c:pt idx="14">
                  <c:v>13.6</c:v>
                </c:pt>
                <c:pt idx="15">
                  <c:v>10.1</c:v>
                </c:pt>
                <c:pt idx="16">
                  <c:v>20.399999999999999</c:v>
                </c:pt>
                <c:pt idx="17">
                  <c:v>12.7</c:v>
                </c:pt>
                <c:pt idx="18">
                  <c:v>12.833333333333334</c:v>
                </c:pt>
              </c:numCache>
            </c:numRef>
          </c:xVal>
          <c:yVal>
            <c:numRef>
              <c:f>'19년 연구사업(류)'!$G$9:$G$27</c:f>
              <c:numCache>
                <c:formatCode>0.0</c:formatCode>
                <c:ptCount val="19"/>
                <c:pt idx="18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C-4D70-9575-9434AE2D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연구사업(류)'!$E$28:$E$35</c:f>
              <c:numCache>
                <c:formatCode>0.0</c:formatCode>
                <c:ptCount val="8"/>
                <c:pt idx="0">
                  <c:v>17.8</c:v>
                </c:pt>
                <c:pt idx="1">
                  <c:v>15.2</c:v>
                </c:pt>
                <c:pt idx="2">
                  <c:v>21.6</c:v>
                </c:pt>
                <c:pt idx="3">
                  <c:v>14.3</c:v>
                </c:pt>
                <c:pt idx="4">
                  <c:v>12.5</c:v>
                </c:pt>
                <c:pt idx="5">
                  <c:v>20.8</c:v>
                </c:pt>
                <c:pt idx="6">
                  <c:v>12.9</c:v>
                </c:pt>
                <c:pt idx="7">
                  <c:v>16.442857142857143</c:v>
                </c:pt>
              </c:numCache>
            </c:numRef>
          </c:xVal>
          <c:yVal>
            <c:numRef>
              <c:f>'19년 연구사업(류)'!$F$28:$F$35</c:f>
              <c:numCache>
                <c:formatCode>0.0</c:formatCode>
                <c:ptCount val="8"/>
                <c:pt idx="0">
                  <c:v>17.8</c:v>
                </c:pt>
                <c:pt idx="1">
                  <c:v>8</c:v>
                </c:pt>
                <c:pt idx="2">
                  <c:v>10.4</c:v>
                </c:pt>
                <c:pt idx="3">
                  <c:v>9.6999999999999993</c:v>
                </c:pt>
                <c:pt idx="4">
                  <c:v>10.3</c:v>
                </c:pt>
                <c:pt idx="5">
                  <c:v>10.9</c:v>
                </c:pt>
                <c:pt idx="6">
                  <c:v>15.3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7-4421-88CD-D50363F6FAE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연구사업(류)'!$E$28:$E$35</c:f>
              <c:numCache>
                <c:formatCode>0.0</c:formatCode>
                <c:ptCount val="8"/>
                <c:pt idx="0">
                  <c:v>17.8</c:v>
                </c:pt>
                <c:pt idx="1">
                  <c:v>15.2</c:v>
                </c:pt>
                <c:pt idx="2">
                  <c:v>21.6</c:v>
                </c:pt>
                <c:pt idx="3">
                  <c:v>14.3</c:v>
                </c:pt>
                <c:pt idx="4">
                  <c:v>12.5</c:v>
                </c:pt>
                <c:pt idx="5">
                  <c:v>20.8</c:v>
                </c:pt>
                <c:pt idx="6">
                  <c:v>12.9</c:v>
                </c:pt>
                <c:pt idx="7">
                  <c:v>16.442857142857143</c:v>
                </c:pt>
              </c:numCache>
            </c:numRef>
          </c:xVal>
          <c:yVal>
            <c:numRef>
              <c:f>'19년 연구사업(류)'!$G$28:$G$35</c:f>
              <c:numCache>
                <c:formatCode>General</c:formatCode>
                <c:ptCount val="8"/>
                <c:pt idx="7" formatCode="0.0">
                  <c:v>11.771428571428572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47-4421-88CD-D50363F6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연구사업(류)'!$E$36:$E$45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2.2999999999999998</c:v>
                </c:pt>
                <c:pt idx="5">
                  <c:v>4</c:v>
                </c:pt>
                <c:pt idx="6">
                  <c:v>-2.5</c:v>
                </c:pt>
                <c:pt idx="7">
                  <c:v>4.0999999999999996</c:v>
                </c:pt>
                <c:pt idx="8">
                  <c:v>-2.6</c:v>
                </c:pt>
                <c:pt idx="9">
                  <c:v>1.7555555555555555</c:v>
                </c:pt>
              </c:numCache>
            </c:numRef>
          </c:xVal>
          <c:yVal>
            <c:numRef>
              <c:f>'19년 연구사업(류)'!$F$36:$F$45</c:f>
              <c:numCache>
                <c:formatCode>0.0</c:formatCode>
                <c:ptCount val="10"/>
                <c:pt idx="0">
                  <c:v>18</c:v>
                </c:pt>
                <c:pt idx="1">
                  <c:v>19.5</c:v>
                </c:pt>
                <c:pt idx="2">
                  <c:v>13.9</c:v>
                </c:pt>
                <c:pt idx="3">
                  <c:v>15.5</c:v>
                </c:pt>
                <c:pt idx="4">
                  <c:v>11.4</c:v>
                </c:pt>
                <c:pt idx="5">
                  <c:v>13.4</c:v>
                </c:pt>
                <c:pt idx="6">
                  <c:v>13.7</c:v>
                </c:pt>
                <c:pt idx="7">
                  <c:v>10.3</c:v>
                </c:pt>
                <c:pt idx="8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F-4024-A18D-D2B9A4BB79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연구사업(류)'!$E$36:$E$45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2.2999999999999998</c:v>
                </c:pt>
                <c:pt idx="5">
                  <c:v>4</c:v>
                </c:pt>
                <c:pt idx="6">
                  <c:v>-2.5</c:v>
                </c:pt>
                <c:pt idx="7">
                  <c:v>4.0999999999999996</c:v>
                </c:pt>
                <c:pt idx="8">
                  <c:v>-2.6</c:v>
                </c:pt>
                <c:pt idx="9">
                  <c:v>1.7555555555555555</c:v>
                </c:pt>
              </c:numCache>
            </c:numRef>
          </c:xVal>
          <c:yVal>
            <c:numRef>
              <c:f>'19년 연구사업(류)'!$G$36:$G$45</c:f>
              <c:numCache>
                <c:formatCode>0.0</c:formatCode>
                <c:ptCount val="10"/>
                <c:pt idx="9">
                  <c:v>14.100000000000001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F-4024-A18D-D2B9A4BB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연구사업'!$E$3:$E$4</c:f>
              <c:numCache>
                <c:formatCode>0.0</c:formatCode>
                <c:ptCount val="2"/>
                <c:pt idx="0">
                  <c:v>1.9466701420226717</c:v>
                </c:pt>
                <c:pt idx="1">
                  <c:v>1.9466701420226717</c:v>
                </c:pt>
              </c:numCache>
            </c:numRef>
          </c:xVal>
          <c:yVal>
            <c:numRef>
              <c:f>'23 연구사업'!$F$3:$F$4</c:f>
              <c:numCache>
                <c:formatCode>General</c:formatCode>
                <c:ptCount val="2"/>
                <c:pt idx="0" formatCode="0.0">
                  <c:v>4.105580764011548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2-4320-9C34-0259252C81F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연구사업'!$E$3:$E$4</c:f>
              <c:numCache>
                <c:formatCode>0.0</c:formatCode>
                <c:ptCount val="2"/>
                <c:pt idx="0">
                  <c:v>1.9466701420226717</c:v>
                </c:pt>
                <c:pt idx="1">
                  <c:v>1.9466701420226717</c:v>
                </c:pt>
              </c:numCache>
            </c:numRef>
          </c:xVal>
          <c:yVal>
            <c:numRef>
              <c:f>'23 연구사업'!$G$3:$G$4</c:f>
              <c:numCache>
                <c:formatCode>0.0</c:formatCode>
                <c:ptCount val="2"/>
                <c:pt idx="1">
                  <c:v>4.105580764011548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2-4320-9C34-0259252C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연구사업'!$E$5:$E$7</c:f>
              <c:numCache>
                <c:formatCode>0.0</c:formatCode>
                <c:ptCount val="3"/>
                <c:pt idx="0">
                  <c:v>-2.1906342431913202</c:v>
                </c:pt>
                <c:pt idx="1">
                  <c:v>-2.1000992226540895</c:v>
                </c:pt>
                <c:pt idx="2">
                  <c:v>-2.1453667329227049</c:v>
                </c:pt>
              </c:numCache>
            </c:numRef>
          </c:xVal>
          <c:yVal>
            <c:numRef>
              <c:f>'23 연구사업'!$F$5:$F$7</c:f>
              <c:numCache>
                <c:formatCode>0.0</c:formatCode>
                <c:ptCount val="3"/>
                <c:pt idx="0">
                  <c:v>52.36685460008141</c:v>
                </c:pt>
                <c:pt idx="1">
                  <c:v>51.496754689599946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7-4987-B315-56485DD0A5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연구사업'!$E$5:$E$7</c:f>
              <c:numCache>
                <c:formatCode>0.0</c:formatCode>
                <c:ptCount val="3"/>
                <c:pt idx="0">
                  <c:v>-2.1906342431913202</c:v>
                </c:pt>
                <c:pt idx="1">
                  <c:v>-2.1000992226540895</c:v>
                </c:pt>
                <c:pt idx="2">
                  <c:v>-2.1453667329227049</c:v>
                </c:pt>
              </c:numCache>
            </c:numRef>
          </c:xVal>
          <c:yVal>
            <c:numRef>
              <c:f>'23 연구사업'!$G$5:$G$7</c:f>
              <c:numCache>
                <c:formatCode>0.0</c:formatCode>
                <c:ptCount val="3"/>
                <c:pt idx="2">
                  <c:v>51.931804644840682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77-4987-B315-56485DD0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연구사업'!$E$8:$E$20</c:f>
              <c:numCache>
                <c:formatCode>0.0</c:formatCode>
                <c:ptCount val="13"/>
                <c:pt idx="0">
                  <c:v>12.218462072026702</c:v>
                </c:pt>
                <c:pt idx="1">
                  <c:v>14.78891342503031</c:v>
                </c:pt>
                <c:pt idx="2">
                  <c:v>12.848166457361947</c:v>
                </c:pt>
                <c:pt idx="3">
                  <c:v>14.291101992415776</c:v>
                </c:pt>
                <c:pt idx="4">
                  <c:v>6.3128616755733837</c:v>
                </c:pt>
                <c:pt idx="5">
                  <c:v>13.290318660938917</c:v>
                </c:pt>
                <c:pt idx="6">
                  <c:v>14.78891342503031</c:v>
                </c:pt>
                <c:pt idx="7">
                  <c:v>12.848166457361947</c:v>
                </c:pt>
                <c:pt idx="8">
                  <c:v>21.679354866396391</c:v>
                </c:pt>
                <c:pt idx="9">
                  <c:v>19.486216356157239</c:v>
                </c:pt>
                <c:pt idx="10">
                  <c:v>12.522788482871908</c:v>
                </c:pt>
                <c:pt idx="11">
                  <c:v>20.519795733187507</c:v>
                </c:pt>
                <c:pt idx="12">
                  <c:v>14.632921633696029</c:v>
                </c:pt>
              </c:numCache>
            </c:numRef>
          </c:xVal>
          <c:yVal>
            <c:numRef>
              <c:f>'23 연구사업'!$F$8:$F$20</c:f>
              <c:numCache>
                <c:formatCode>0.0</c:formatCode>
                <c:ptCount val="13"/>
                <c:pt idx="0">
                  <c:v>4.6161567726977362</c:v>
                </c:pt>
                <c:pt idx="1">
                  <c:v>11.616775720527523</c:v>
                </c:pt>
                <c:pt idx="2">
                  <c:v>4.5206416090944304</c:v>
                </c:pt>
                <c:pt idx="3">
                  <c:v>6.4526056541933103</c:v>
                </c:pt>
                <c:pt idx="4">
                  <c:v>8.5544386963620624</c:v>
                </c:pt>
                <c:pt idx="5">
                  <c:v>2.4737785448468368</c:v>
                </c:pt>
                <c:pt idx="6">
                  <c:v>11.616775720527523</c:v>
                </c:pt>
                <c:pt idx="7">
                  <c:v>4.5206416090944304</c:v>
                </c:pt>
                <c:pt idx="8">
                  <c:v>6.8759712281099743</c:v>
                </c:pt>
                <c:pt idx="9">
                  <c:v>6.8365328367653957</c:v>
                </c:pt>
                <c:pt idx="10">
                  <c:v>1.3275827318054605</c:v>
                </c:pt>
                <c:pt idx="11">
                  <c:v>6.4965928362269034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4-4309-9C85-3B37176A00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연구사업'!$E$8:$E$20</c:f>
              <c:numCache>
                <c:formatCode>0.0</c:formatCode>
                <c:ptCount val="13"/>
                <c:pt idx="0">
                  <c:v>12.218462072026702</c:v>
                </c:pt>
                <c:pt idx="1">
                  <c:v>14.78891342503031</c:v>
                </c:pt>
                <c:pt idx="2">
                  <c:v>12.848166457361947</c:v>
                </c:pt>
                <c:pt idx="3">
                  <c:v>14.291101992415776</c:v>
                </c:pt>
                <c:pt idx="4">
                  <c:v>6.3128616755733837</c:v>
                </c:pt>
                <c:pt idx="5">
                  <c:v>13.290318660938917</c:v>
                </c:pt>
                <c:pt idx="6">
                  <c:v>14.78891342503031</c:v>
                </c:pt>
                <c:pt idx="7">
                  <c:v>12.848166457361947</c:v>
                </c:pt>
                <c:pt idx="8">
                  <c:v>21.679354866396391</c:v>
                </c:pt>
                <c:pt idx="9">
                  <c:v>19.486216356157239</c:v>
                </c:pt>
                <c:pt idx="10">
                  <c:v>12.522788482871908</c:v>
                </c:pt>
                <c:pt idx="11">
                  <c:v>20.519795733187507</c:v>
                </c:pt>
                <c:pt idx="12">
                  <c:v>14.632921633696029</c:v>
                </c:pt>
              </c:numCache>
            </c:numRef>
          </c:xVal>
          <c:yVal>
            <c:numRef>
              <c:f>'23 연구사업'!$G$8:$G$20</c:f>
              <c:numCache>
                <c:formatCode>0.0</c:formatCode>
                <c:ptCount val="13"/>
                <c:pt idx="12">
                  <c:v>6.325707830020967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4-4309-9C85-3B37176A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연구사업'!$E$21:$E$27</c:f>
              <c:numCache>
                <c:formatCode>0.0</c:formatCode>
                <c:ptCount val="7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12.172380443523039</c:v>
                </c:pt>
                <c:pt idx="4">
                  <c:v>25.946216339937127</c:v>
                </c:pt>
                <c:pt idx="5">
                  <c:v>17.723203364241439</c:v>
                </c:pt>
                <c:pt idx="6">
                  <c:v>17.124504830321424</c:v>
                </c:pt>
              </c:numCache>
            </c:numRef>
          </c:xVal>
          <c:yVal>
            <c:numRef>
              <c:f>'23 연구사업'!$F$21:$F$27</c:f>
              <c:numCache>
                <c:formatCode>0.0</c:formatCode>
                <c:ptCount val="7"/>
                <c:pt idx="0">
                  <c:v>8.1908345594673317</c:v>
                </c:pt>
                <c:pt idx="1">
                  <c:v>-8.2193429496473964</c:v>
                </c:pt>
                <c:pt idx="2">
                  <c:v>6.2339539005223292</c:v>
                </c:pt>
                <c:pt idx="3">
                  <c:v>9.6395253606876974</c:v>
                </c:pt>
                <c:pt idx="4">
                  <c:v>13.156273919309676</c:v>
                </c:pt>
                <c:pt idx="5">
                  <c:v>8.8196253753158071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5-4DBF-9875-7AA10BAB6B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연구사업'!$E$21:$E$27</c:f>
              <c:numCache>
                <c:formatCode>0.0</c:formatCode>
                <c:ptCount val="7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12.172380443523039</c:v>
                </c:pt>
                <c:pt idx="4">
                  <c:v>25.946216339937127</c:v>
                </c:pt>
                <c:pt idx="5">
                  <c:v>17.723203364241439</c:v>
                </c:pt>
                <c:pt idx="6">
                  <c:v>17.124504830321424</c:v>
                </c:pt>
              </c:numCache>
            </c:numRef>
          </c:xVal>
          <c:yVal>
            <c:numRef>
              <c:f>'23 연구사업'!$G$21:$G$27</c:f>
              <c:numCache>
                <c:formatCode>General</c:formatCode>
                <c:ptCount val="7"/>
                <c:pt idx="6" formatCode="0.0">
                  <c:v>6.3034783609425737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5-4DBF-9875-7AA10BAB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연구사업'!$E$28:$E$38</c:f>
              <c:numCache>
                <c:formatCode>0.0</c:formatCode>
                <c:ptCount val="11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6.436224273739696</c:v>
                </c:pt>
                <c:pt idx="6">
                  <c:v>4.1788296430679628</c:v>
                </c:pt>
                <c:pt idx="7">
                  <c:v>8.3077133936470364</c:v>
                </c:pt>
                <c:pt idx="8">
                  <c:v>-2.8436590653693261</c:v>
                </c:pt>
                <c:pt idx="9">
                  <c:v>6.8232321245322494</c:v>
                </c:pt>
                <c:pt idx="10">
                  <c:v>4.4525807330068918</c:v>
                </c:pt>
              </c:numCache>
            </c:numRef>
          </c:xVal>
          <c:yVal>
            <c:numRef>
              <c:f>'23 연구사업'!$F$28:$F$38</c:f>
              <c:numCache>
                <c:formatCode>0.0</c:formatCode>
                <c:ptCount val="11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-1.6792761600932493</c:v>
                </c:pt>
                <c:pt idx="6">
                  <c:v>2.5659948110103463</c:v>
                </c:pt>
                <c:pt idx="7">
                  <c:v>-1.922751197824758</c:v>
                </c:pt>
                <c:pt idx="8">
                  <c:v>20.304265334571912</c:v>
                </c:pt>
                <c:pt idx="9">
                  <c:v>15.195319251497333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B-49F7-8F6C-35FF91B7E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연구사업'!$E$28:$E$38</c:f>
              <c:numCache>
                <c:formatCode>0.0</c:formatCode>
                <c:ptCount val="11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6.436224273739696</c:v>
                </c:pt>
                <c:pt idx="6">
                  <c:v>4.1788296430679628</c:v>
                </c:pt>
                <c:pt idx="7">
                  <c:v>8.3077133936470364</c:v>
                </c:pt>
                <c:pt idx="8">
                  <c:v>-2.8436590653693261</c:v>
                </c:pt>
                <c:pt idx="9">
                  <c:v>6.8232321245322494</c:v>
                </c:pt>
                <c:pt idx="10">
                  <c:v>4.4525807330068918</c:v>
                </c:pt>
              </c:numCache>
            </c:numRef>
          </c:xVal>
          <c:yVal>
            <c:numRef>
              <c:f>'23 연구사업'!$G$28:$G$38</c:f>
              <c:numCache>
                <c:formatCode>General</c:formatCode>
                <c:ptCount val="11"/>
                <c:pt idx="10" formatCode="0.0">
                  <c:v>5.8525225645444143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B-49F7-8F6C-35FF91B7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연구사업'!$E$3:$E$7</c:f>
              <c:numCache>
                <c:formatCode>0.00</c:formatCode>
                <c:ptCount val="5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-0.08</c:v>
                </c:pt>
                <c:pt idx="4">
                  <c:v>2.4424999999999999</c:v>
                </c:pt>
              </c:numCache>
            </c:numRef>
          </c:xVal>
          <c:yVal>
            <c:numRef>
              <c:f>'24 연구사업'!$F$3:$F$7</c:f>
              <c:numCache>
                <c:formatCode>0.00</c:formatCode>
                <c:ptCount val="5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4.125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6-466F-B0AC-E866D21218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연구사업'!$E$3:$E$7</c:f>
              <c:numCache>
                <c:formatCode>0.00</c:formatCode>
                <c:ptCount val="5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-0.08</c:v>
                </c:pt>
                <c:pt idx="4">
                  <c:v>2.4424999999999999</c:v>
                </c:pt>
              </c:numCache>
            </c:numRef>
          </c:xVal>
          <c:yVal>
            <c:numRef>
              <c:f>'24 연구사업'!$G$3:$G$7</c:f>
              <c:numCache>
                <c:formatCode>0.00</c:formatCode>
                <c:ptCount val="5"/>
                <c:pt idx="4">
                  <c:v>5.2712500000000002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A6-466F-B0AC-E866D212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연구사업'!$E$8:$E$9</c:f>
              <c:numCache>
                <c:formatCode>0.00</c:formatCode>
                <c:ptCount val="2"/>
                <c:pt idx="0">
                  <c:v>3.25</c:v>
                </c:pt>
                <c:pt idx="1">
                  <c:v>3.25</c:v>
                </c:pt>
              </c:numCache>
            </c:numRef>
          </c:xVal>
          <c:yVal>
            <c:numRef>
              <c:f>'24 연구사업'!$F$8:$F$9</c:f>
              <c:numCache>
                <c:formatCode>General</c:formatCode>
                <c:ptCount val="2"/>
                <c:pt idx="0" formatCode="0.00">
                  <c:v>40.020000000000003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D-4810-84AC-FD4D8FA23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연구사업'!$E$8:$E$9</c:f>
              <c:numCache>
                <c:formatCode>0.00</c:formatCode>
                <c:ptCount val="2"/>
                <c:pt idx="0">
                  <c:v>3.25</c:v>
                </c:pt>
                <c:pt idx="1">
                  <c:v>3.25</c:v>
                </c:pt>
              </c:numCache>
            </c:numRef>
          </c:xVal>
          <c:yVal>
            <c:numRef>
              <c:f>'24 연구사업'!$G$8:$G$9</c:f>
              <c:numCache>
                <c:formatCode>0.00</c:formatCode>
                <c:ptCount val="2"/>
                <c:pt idx="1">
                  <c:v>40.020000000000003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D-4810-84AC-FD4D8FA23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연구사업'!$E$10:$E$18</c:f>
              <c:numCache>
                <c:formatCode>0.00</c:formatCode>
                <c:ptCount val="9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  <c:pt idx="8">
                  <c:v>15.411250000000001</c:v>
                </c:pt>
              </c:numCache>
            </c:numRef>
          </c:xVal>
          <c:yVal>
            <c:numRef>
              <c:f>'24 연구사업'!$F$10:$F$18</c:f>
              <c:numCache>
                <c:formatCode>0.00</c:formatCode>
                <c:ptCount val="9"/>
                <c:pt idx="0">
                  <c:v>1.05</c:v>
                </c:pt>
                <c:pt idx="1">
                  <c:v>4</c:v>
                </c:pt>
                <c:pt idx="2">
                  <c:v>-0.37</c:v>
                </c:pt>
                <c:pt idx="3">
                  <c:v>4.66</c:v>
                </c:pt>
                <c:pt idx="4">
                  <c:v>-0.25</c:v>
                </c:pt>
                <c:pt idx="5">
                  <c:v>5.45</c:v>
                </c:pt>
                <c:pt idx="6">
                  <c:v>6.6</c:v>
                </c:pt>
                <c:pt idx="7">
                  <c:v>-0.53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0-441D-9EF8-EF218EE390D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연구사업'!$E$10:$E$18</c:f>
              <c:numCache>
                <c:formatCode>0.00</c:formatCode>
                <c:ptCount val="9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  <c:pt idx="8">
                  <c:v>15.411250000000001</c:v>
                </c:pt>
              </c:numCache>
            </c:numRef>
          </c:xVal>
          <c:yVal>
            <c:numRef>
              <c:f>'24 연구사업'!$G$10:$G$18</c:f>
              <c:numCache>
                <c:formatCode>0.00</c:formatCode>
                <c:ptCount val="9"/>
                <c:pt idx="8">
                  <c:v>2.5762499999999999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90-441D-9EF8-EF218EE3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연구사업'!$E$19:$E$28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18.195</c:v>
                </c:pt>
                <c:pt idx="3">
                  <c:v>15.309999999999999</c:v>
                </c:pt>
                <c:pt idx="4">
                  <c:v>19.239999999999998</c:v>
                </c:pt>
                <c:pt idx="5">
                  <c:v>24.47</c:v>
                </c:pt>
                <c:pt idx="6">
                  <c:v>4.09</c:v>
                </c:pt>
                <c:pt idx="7">
                  <c:v>20.925000000000001</c:v>
                </c:pt>
                <c:pt idx="8">
                  <c:v>24.39</c:v>
                </c:pt>
                <c:pt idx="9">
                  <c:v>18.049999999999997</c:v>
                </c:pt>
              </c:numCache>
            </c:numRef>
          </c:xVal>
          <c:yVal>
            <c:numRef>
              <c:f>'24 연구사업'!$F$19:$F$28</c:f>
              <c:numCache>
                <c:formatCode>0.00</c:formatCode>
                <c:ptCount val="10"/>
                <c:pt idx="0">
                  <c:v>10.89</c:v>
                </c:pt>
                <c:pt idx="1">
                  <c:v>9.27</c:v>
                </c:pt>
                <c:pt idx="2">
                  <c:v>4.7449999999999992</c:v>
                </c:pt>
                <c:pt idx="3">
                  <c:v>3.085</c:v>
                </c:pt>
                <c:pt idx="4">
                  <c:v>8.4600000000000009</c:v>
                </c:pt>
                <c:pt idx="5">
                  <c:v>-0.67</c:v>
                </c:pt>
                <c:pt idx="6">
                  <c:v>16.754999999999999</c:v>
                </c:pt>
                <c:pt idx="7">
                  <c:v>5.27</c:v>
                </c:pt>
                <c:pt idx="8">
                  <c:v>1.3149999999999999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B-4D61-9699-22FE000A66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연구사업'!$E$19:$E$28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18.195</c:v>
                </c:pt>
                <c:pt idx="3">
                  <c:v>15.309999999999999</c:v>
                </c:pt>
                <c:pt idx="4">
                  <c:v>19.239999999999998</c:v>
                </c:pt>
                <c:pt idx="5">
                  <c:v>24.47</c:v>
                </c:pt>
                <c:pt idx="6">
                  <c:v>4.09</c:v>
                </c:pt>
                <c:pt idx="7">
                  <c:v>20.925000000000001</c:v>
                </c:pt>
                <c:pt idx="8">
                  <c:v>24.39</c:v>
                </c:pt>
                <c:pt idx="9">
                  <c:v>18.049999999999997</c:v>
                </c:pt>
              </c:numCache>
            </c:numRef>
          </c:xVal>
          <c:yVal>
            <c:numRef>
              <c:f>'24 연구사업'!$G$19:$G$28</c:f>
              <c:numCache>
                <c:formatCode>0.00</c:formatCode>
                <c:ptCount val="10"/>
                <c:pt idx="9">
                  <c:v>6.5688888888888881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B-4D61-9699-22FE000A6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연구사업'!$E$29:$E$36</c:f>
              <c:numCache>
                <c:formatCode>0.00</c:formatCode>
                <c:ptCount val="8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0.33999999999999997</c:v>
                </c:pt>
                <c:pt idx="7">
                  <c:v>5.6742857142857162</c:v>
                </c:pt>
              </c:numCache>
            </c:numRef>
          </c:xVal>
          <c:yVal>
            <c:numRef>
              <c:f>'24 연구사업'!$F$29:$F$36</c:f>
              <c:numCache>
                <c:formatCode>0.00</c:formatCode>
                <c:ptCount val="8"/>
                <c:pt idx="0">
                  <c:v>5.88</c:v>
                </c:pt>
                <c:pt idx="1">
                  <c:v>4.1099999999999994</c:v>
                </c:pt>
                <c:pt idx="2">
                  <c:v>11.465</c:v>
                </c:pt>
                <c:pt idx="3">
                  <c:v>8.9700000000000006</c:v>
                </c:pt>
                <c:pt idx="4">
                  <c:v>7.29</c:v>
                </c:pt>
                <c:pt idx="5">
                  <c:v>8.84</c:v>
                </c:pt>
                <c:pt idx="6">
                  <c:v>24.655000000000001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1-4E24-9770-1FD931A82B0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연구사업'!$E$29:$E$36</c:f>
              <c:numCache>
                <c:formatCode>0.00</c:formatCode>
                <c:ptCount val="8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0.33999999999999997</c:v>
                </c:pt>
                <c:pt idx="7">
                  <c:v>5.6742857142857162</c:v>
                </c:pt>
              </c:numCache>
            </c:numRef>
          </c:xVal>
          <c:yVal>
            <c:numRef>
              <c:f>'24 연구사업'!$G$29:$G$36</c:f>
              <c:numCache>
                <c:formatCode>0.00</c:formatCode>
                <c:ptCount val="8"/>
                <c:pt idx="7">
                  <c:v>10.172857142857142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1-4E24-9770-1FD931A82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연구사업'!$E$3:$E$8</c:f>
              <c:numCache>
                <c:formatCode>0.00</c:formatCode>
                <c:ptCount val="6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  <c:pt idx="5">
                  <c:v>3.1779999999999999</c:v>
                </c:pt>
              </c:numCache>
            </c:numRef>
          </c:xVal>
          <c:yVal>
            <c:numRef>
              <c:f>'25 연구사업'!$F$3:$F$8</c:f>
              <c:numCache>
                <c:formatCode>0.00</c:formatCode>
                <c:ptCount val="6"/>
                <c:pt idx="0">
                  <c:v>-0.6</c:v>
                </c:pt>
                <c:pt idx="1">
                  <c:v>-1.83</c:v>
                </c:pt>
                <c:pt idx="2">
                  <c:v>2.4</c:v>
                </c:pt>
                <c:pt idx="3">
                  <c:v>0.08</c:v>
                </c:pt>
                <c:pt idx="4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A-485E-A8D3-3059C00B3C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연구사업'!$E$3:$E$8</c:f>
              <c:numCache>
                <c:formatCode>0.00</c:formatCode>
                <c:ptCount val="6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  <c:pt idx="5">
                  <c:v>3.1779999999999999</c:v>
                </c:pt>
              </c:numCache>
            </c:numRef>
          </c:xVal>
          <c:yVal>
            <c:numRef>
              <c:f>'25 연구사업'!$G$3:$G$8</c:f>
              <c:numCache>
                <c:formatCode>0.00</c:formatCode>
                <c:ptCount val="6"/>
                <c:pt idx="5">
                  <c:v>5.5999999999999953E-2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A-485E-A8D3-3059C00B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연구사업'!$E$9:$E$11</c:f>
              <c:numCache>
                <c:formatCode>0.00</c:formatCode>
                <c:ptCount val="3"/>
                <c:pt idx="0">
                  <c:v>1.75</c:v>
                </c:pt>
                <c:pt idx="1">
                  <c:v>0.13</c:v>
                </c:pt>
                <c:pt idx="2">
                  <c:v>0.94</c:v>
                </c:pt>
              </c:numCache>
            </c:numRef>
          </c:xVal>
          <c:yVal>
            <c:numRef>
              <c:f>'25 연구사업'!$F$9:$F$11</c:f>
              <c:numCache>
                <c:formatCode>0.00</c:formatCode>
                <c:ptCount val="3"/>
                <c:pt idx="0">
                  <c:v>45.94</c:v>
                </c:pt>
                <c:pt idx="1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2-488E-8D27-872865E66F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연구사업'!$E$9:$E$11</c:f>
              <c:numCache>
                <c:formatCode>0.00</c:formatCode>
                <c:ptCount val="3"/>
                <c:pt idx="0">
                  <c:v>1.75</c:v>
                </c:pt>
                <c:pt idx="1">
                  <c:v>0.13</c:v>
                </c:pt>
                <c:pt idx="2">
                  <c:v>0.94</c:v>
                </c:pt>
              </c:numCache>
            </c:numRef>
          </c:xVal>
          <c:yVal>
            <c:numRef>
              <c:f>'25 연구사업'!$G$9:$G$11</c:f>
              <c:numCache>
                <c:formatCode>0.00</c:formatCode>
                <c:ptCount val="3"/>
                <c:pt idx="2">
                  <c:v>48.704999999999998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2-488E-8D27-872865E66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연구사업'!$E$12:$E$20</c:f>
              <c:numCache>
                <c:formatCode>0.00</c:formatCode>
                <c:ptCount val="9"/>
                <c:pt idx="0">
                  <c:v>4.57</c:v>
                </c:pt>
                <c:pt idx="1">
                  <c:v>7.66</c:v>
                </c:pt>
                <c:pt idx="2">
                  <c:v>9.57</c:v>
                </c:pt>
                <c:pt idx="3">
                  <c:v>9.9499999999999993</c:v>
                </c:pt>
                <c:pt idx="4">
                  <c:v>19.28</c:v>
                </c:pt>
                <c:pt idx="5">
                  <c:v>11.04</c:v>
                </c:pt>
                <c:pt idx="6">
                  <c:v>10.83</c:v>
                </c:pt>
                <c:pt idx="7">
                  <c:v>6.49</c:v>
                </c:pt>
                <c:pt idx="8">
                  <c:v>9.9237500000000001</c:v>
                </c:pt>
              </c:numCache>
            </c:numRef>
          </c:xVal>
          <c:yVal>
            <c:numRef>
              <c:f>'25 연구사업'!$F$12:$F$20</c:f>
              <c:numCache>
                <c:formatCode>0.00</c:formatCode>
                <c:ptCount val="9"/>
                <c:pt idx="0">
                  <c:v>0.2</c:v>
                </c:pt>
                <c:pt idx="1">
                  <c:v>1.41</c:v>
                </c:pt>
                <c:pt idx="2">
                  <c:v>3.31</c:v>
                </c:pt>
                <c:pt idx="3">
                  <c:v>2.1</c:v>
                </c:pt>
                <c:pt idx="4">
                  <c:v>-3.13</c:v>
                </c:pt>
                <c:pt idx="5">
                  <c:v>-3.61</c:v>
                </c:pt>
                <c:pt idx="6">
                  <c:v>-4.8499999999999996</c:v>
                </c:pt>
                <c:pt idx="7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E-454C-A5E8-4BBA49AED0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연구사업'!$E$12:$E$20</c:f>
              <c:numCache>
                <c:formatCode>0.00</c:formatCode>
                <c:ptCount val="9"/>
                <c:pt idx="0">
                  <c:v>4.57</c:v>
                </c:pt>
                <c:pt idx="1">
                  <c:v>7.66</c:v>
                </c:pt>
                <c:pt idx="2">
                  <c:v>9.57</c:v>
                </c:pt>
                <c:pt idx="3">
                  <c:v>9.9499999999999993</c:v>
                </c:pt>
                <c:pt idx="4">
                  <c:v>19.28</c:v>
                </c:pt>
                <c:pt idx="5">
                  <c:v>11.04</c:v>
                </c:pt>
                <c:pt idx="6">
                  <c:v>10.83</c:v>
                </c:pt>
                <c:pt idx="7">
                  <c:v>6.49</c:v>
                </c:pt>
                <c:pt idx="8">
                  <c:v>9.9237500000000001</c:v>
                </c:pt>
              </c:numCache>
            </c:numRef>
          </c:xVal>
          <c:yVal>
            <c:numRef>
              <c:f>'25 연구사업'!$G$12:$G$20</c:f>
              <c:numCache>
                <c:formatCode>0.00</c:formatCode>
                <c:ptCount val="9"/>
                <c:pt idx="8">
                  <c:v>-1.1400000000000001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E-454C-A5E8-4BBA49AE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연구사업'!$E$21:$E$24</c:f>
              <c:numCache>
                <c:formatCode>0.00</c:formatCode>
                <c:ptCount val="4"/>
                <c:pt idx="0">
                  <c:v>6.32</c:v>
                </c:pt>
                <c:pt idx="1">
                  <c:v>15.57</c:v>
                </c:pt>
                <c:pt idx="2">
                  <c:v>9.18</c:v>
                </c:pt>
                <c:pt idx="3">
                  <c:v>10.356666666666667</c:v>
                </c:pt>
              </c:numCache>
            </c:numRef>
          </c:xVal>
          <c:yVal>
            <c:numRef>
              <c:f>'25 연구사업'!$F$21:$F$24</c:f>
              <c:numCache>
                <c:formatCode>0.00</c:formatCode>
                <c:ptCount val="4"/>
                <c:pt idx="0">
                  <c:v>-0.06</c:v>
                </c:pt>
                <c:pt idx="1">
                  <c:v>2.06</c:v>
                </c:pt>
                <c:pt idx="2">
                  <c:v>-0.3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7-443E-8D4C-DFD293B160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연구사업'!$E$21:$E$24</c:f>
              <c:numCache>
                <c:formatCode>0.00</c:formatCode>
                <c:ptCount val="4"/>
                <c:pt idx="0">
                  <c:v>6.32</c:v>
                </c:pt>
                <c:pt idx="1">
                  <c:v>15.57</c:v>
                </c:pt>
                <c:pt idx="2">
                  <c:v>9.18</c:v>
                </c:pt>
                <c:pt idx="3">
                  <c:v>10.356666666666667</c:v>
                </c:pt>
              </c:numCache>
            </c:numRef>
          </c:xVal>
          <c:yVal>
            <c:numRef>
              <c:f>'25 연구사업'!$G$21:$G$24</c:f>
              <c:numCache>
                <c:formatCode>0.00</c:formatCode>
                <c:ptCount val="4"/>
                <c:pt idx="3">
                  <c:v>0.56666666666666665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37-443E-8D4C-DFD293B16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연구사업'!$E$25:$E$64</c:f>
              <c:numCache>
                <c:formatCode>0.00</c:formatCode>
                <c:ptCount val="40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1.37</c:v>
                </c:pt>
                <c:pt idx="7">
                  <c:v>4.07</c:v>
                </c:pt>
                <c:pt idx="8">
                  <c:v>6.17</c:v>
                </c:pt>
                <c:pt idx="9">
                  <c:v>3.11</c:v>
                </c:pt>
                <c:pt idx="10">
                  <c:v>10.37</c:v>
                </c:pt>
                <c:pt idx="11">
                  <c:v>7.91</c:v>
                </c:pt>
                <c:pt idx="12">
                  <c:v>7.82</c:v>
                </c:pt>
                <c:pt idx="13">
                  <c:v>5.39</c:v>
                </c:pt>
                <c:pt idx="14">
                  <c:v>7.15</c:v>
                </c:pt>
                <c:pt idx="15">
                  <c:v>-4.8</c:v>
                </c:pt>
                <c:pt idx="16">
                  <c:v>3.03</c:v>
                </c:pt>
                <c:pt idx="17">
                  <c:v>6.24</c:v>
                </c:pt>
                <c:pt idx="18">
                  <c:v>9.9600000000000009</c:v>
                </c:pt>
                <c:pt idx="19">
                  <c:v>0.63</c:v>
                </c:pt>
                <c:pt idx="20">
                  <c:v>1.1000000000000001</c:v>
                </c:pt>
                <c:pt idx="21">
                  <c:v>6.11</c:v>
                </c:pt>
                <c:pt idx="22">
                  <c:v>3.42</c:v>
                </c:pt>
                <c:pt idx="23">
                  <c:v>9.8800000000000008</c:v>
                </c:pt>
                <c:pt idx="24">
                  <c:v>9.18</c:v>
                </c:pt>
                <c:pt idx="25">
                  <c:v>18.7</c:v>
                </c:pt>
                <c:pt idx="26">
                  <c:v>4.5999999999999996</c:v>
                </c:pt>
                <c:pt idx="27">
                  <c:v>7.71</c:v>
                </c:pt>
                <c:pt idx="28">
                  <c:v>-2.78</c:v>
                </c:pt>
                <c:pt idx="29">
                  <c:v>4.4400000000000004</c:v>
                </c:pt>
                <c:pt idx="30">
                  <c:v>1.83</c:v>
                </c:pt>
                <c:pt idx="31">
                  <c:v>4.32</c:v>
                </c:pt>
                <c:pt idx="32">
                  <c:v>2.83</c:v>
                </c:pt>
                <c:pt idx="33">
                  <c:v>1.06</c:v>
                </c:pt>
                <c:pt idx="34">
                  <c:v>3.17</c:v>
                </c:pt>
                <c:pt idx="35">
                  <c:v>3.41</c:v>
                </c:pt>
                <c:pt idx="36">
                  <c:v>4.72</c:v>
                </c:pt>
                <c:pt idx="37">
                  <c:v>8.2200000000000006</c:v>
                </c:pt>
                <c:pt idx="38">
                  <c:v>12.8</c:v>
                </c:pt>
                <c:pt idx="39">
                  <c:v>4.0905128205128207</c:v>
                </c:pt>
              </c:numCache>
            </c:numRef>
          </c:xVal>
          <c:yVal>
            <c:numRef>
              <c:f>'25 연구사업'!$F$25:$F$64</c:f>
              <c:numCache>
                <c:formatCode>0.00</c:formatCode>
                <c:ptCount val="40"/>
                <c:pt idx="0">
                  <c:v>6.12</c:v>
                </c:pt>
                <c:pt idx="1">
                  <c:v>-0.02</c:v>
                </c:pt>
                <c:pt idx="2">
                  <c:v>1.82</c:v>
                </c:pt>
                <c:pt idx="3">
                  <c:v>-0.63</c:v>
                </c:pt>
                <c:pt idx="4">
                  <c:v>-2.64</c:v>
                </c:pt>
                <c:pt idx="5">
                  <c:v>-1.64</c:v>
                </c:pt>
                <c:pt idx="6">
                  <c:v>4.26</c:v>
                </c:pt>
                <c:pt idx="7">
                  <c:v>1.58</c:v>
                </c:pt>
                <c:pt idx="8">
                  <c:v>1.68</c:v>
                </c:pt>
                <c:pt idx="9">
                  <c:v>-12.58</c:v>
                </c:pt>
                <c:pt idx="10">
                  <c:v>4.37</c:v>
                </c:pt>
                <c:pt idx="11">
                  <c:v>-0.2</c:v>
                </c:pt>
                <c:pt idx="12">
                  <c:v>3.13</c:v>
                </c:pt>
                <c:pt idx="13">
                  <c:v>1.02</c:v>
                </c:pt>
                <c:pt idx="14">
                  <c:v>0.47</c:v>
                </c:pt>
                <c:pt idx="15">
                  <c:v>0.87</c:v>
                </c:pt>
                <c:pt idx="16">
                  <c:v>8.1999999999999993</c:v>
                </c:pt>
                <c:pt idx="17">
                  <c:v>-0.86</c:v>
                </c:pt>
                <c:pt idx="18">
                  <c:v>1.73</c:v>
                </c:pt>
                <c:pt idx="19">
                  <c:v>10.72</c:v>
                </c:pt>
                <c:pt idx="20">
                  <c:v>18.05</c:v>
                </c:pt>
                <c:pt idx="21">
                  <c:v>-2.46</c:v>
                </c:pt>
                <c:pt idx="22">
                  <c:v>-1.89</c:v>
                </c:pt>
                <c:pt idx="23">
                  <c:v>-1.32</c:v>
                </c:pt>
                <c:pt idx="24">
                  <c:v>-0.33</c:v>
                </c:pt>
                <c:pt idx="25">
                  <c:v>-1.07</c:v>
                </c:pt>
                <c:pt idx="26">
                  <c:v>-2.17</c:v>
                </c:pt>
                <c:pt idx="27">
                  <c:v>-1.6</c:v>
                </c:pt>
                <c:pt idx="28">
                  <c:v>-3.8</c:v>
                </c:pt>
                <c:pt idx="29">
                  <c:v>0.91</c:v>
                </c:pt>
                <c:pt idx="30">
                  <c:v>-3.68</c:v>
                </c:pt>
                <c:pt idx="31">
                  <c:v>-4.53</c:v>
                </c:pt>
                <c:pt idx="32">
                  <c:v>-1.1000000000000001</c:v>
                </c:pt>
                <c:pt idx="33">
                  <c:v>-4.8</c:v>
                </c:pt>
                <c:pt idx="34">
                  <c:v>0.38</c:v>
                </c:pt>
                <c:pt idx="35">
                  <c:v>1.41</c:v>
                </c:pt>
                <c:pt idx="36">
                  <c:v>3.96</c:v>
                </c:pt>
                <c:pt idx="37">
                  <c:v>5.43</c:v>
                </c:pt>
                <c:pt idx="38">
                  <c:v>-1.1599999999999999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8-4F11-960D-AF4F4B35A4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연구사업'!$E$25:$E$64</c:f>
              <c:numCache>
                <c:formatCode>0.00</c:formatCode>
                <c:ptCount val="40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1.37</c:v>
                </c:pt>
                <c:pt idx="7">
                  <c:v>4.07</c:v>
                </c:pt>
                <c:pt idx="8">
                  <c:v>6.17</c:v>
                </c:pt>
                <c:pt idx="9">
                  <c:v>3.11</c:v>
                </c:pt>
                <c:pt idx="10">
                  <c:v>10.37</c:v>
                </c:pt>
                <c:pt idx="11">
                  <c:v>7.91</c:v>
                </c:pt>
                <c:pt idx="12">
                  <c:v>7.82</c:v>
                </c:pt>
                <c:pt idx="13">
                  <c:v>5.39</c:v>
                </c:pt>
                <c:pt idx="14">
                  <c:v>7.15</c:v>
                </c:pt>
                <c:pt idx="15">
                  <c:v>-4.8</c:v>
                </c:pt>
                <c:pt idx="16">
                  <c:v>3.03</c:v>
                </c:pt>
                <c:pt idx="17">
                  <c:v>6.24</c:v>
                </c:pt>
                <c:pt idx="18">
                  <c:v>9.9600000000000009</c:v>
                </c:pt>
                <c:pt idx="19">
                  <c:v>0.63</c:v>
                </c:pt>
                <c:pt idx="20">
                  <c:v>1.1000000000000001</c:v>
                </c:pt>
                <c:pt idx="21">
                  <c:v>6.11</c:v>
                </c:pt>
                <c:pt idx="22">
                  <c:v>3.42</c:v>
                </c:pt>
                <c:pt idx="23">
                  <c:v>9.8800000000000008</c:v>
                </c:pt>
                <c:pt idx="24">
                  <c:v>9.18</c:v>
                </c:pt>
                <c:pt idx="25">
                  <c:v>18.7</c:v>
                </c:pt>
                <c:pt idx="26">
                  <c:v>4.5999999999999996</c:v>
                </c:pt>
                <c:pt idx="27">
                  <c:v>7.71</c:v>
                </c:pt>
                <c:pt idx="28">
                  <c:v>-2.78</c:v>
                </c:pt>
                <c:pt idx="29">
                  <c:v>4.4400000000000004</c:v>
                </c:pt>
                <c:pt idx="30">
                  <c:v>1.83</c:v>
                </c:pt>
                <c:pt idx="31">
                  <c:v>4.32</c:v>
                </c:pt>
                <c:pt idx="32">
                  <c:v>2.83</c:v>
                </c:pt>
                <c:pt idx="33">
                  <c:v>1.06</c:v>
                </c:pt>
                <c:pt idx="34">
                  <c:v>3.17</c:v>
                </c:pt>
                <c:pt idx="35">
                  <c:v>3.41</c:v>
                </c:pt>
                <c:pt idx="36">
                  <c:v>4.72</c:v>
                </c:pt>
                <c:pt idx="37">
                  <c:v>8.2200000000000006</c:v>
                </c:pt>
                <c:pt idx="38">
                  <c:v>12.8</c:v>
                </c:pt>
                <c:pt idx="39">
                  <c:v>4.0905128205128207</c:v>
                </c:pt>
              </c:numCache>
            </c:numRef>
          </c:xVal>
          <c:yVal>
            <c:numRef>
              <c:f>'25 연구사업'!$G$25:$G$64</c:f>
              <c:numCache>
                <c:formatCode>0.00</c:formatCode>
                <c:ptCount val="40"/>
                <c:pt idx="39">
                  <c:v>0.70846153846153836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8-4F11-960D-AF4F4B35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'24~25환기조'!$E$3:$E$4</c:f>
              <c:numCache>
                <c:formatCode>0.00</c:formatCode>
                <c:ptCount val="2"/>
                <c:pt idx="0">
                  <c:v>5.15</c:v>
                </c:pt>
                <c:pt idx="1">
                  <c:v>5.15</c:v>
                </c:pt>
              </c:numCache>
            </c:numRef>
          </c:xVal>
          <c:yVal>
            <c:numRef>
              <c:f>'24~25환기조'!$F$3:$F$4</c:f>
              <c:numCache>
                <c:formatCode>General</c:formatCode>
                <c:ptCount val="2"/>
                <c:pt idx="0" formatCode="0.00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5-41A9-B296-4C21A8F071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'24~25환기조'!$E$3:$E$4</c:f>
              <c:numCache>
                <c:formatCode>0.00</c:formatCode>
                <c:ptCount val="2"/>
                <c:pt idx="0">
                  <c:v>5.15</c:v>
                </c:pt>
                <c:pt idx="1">
                  <c:v>5.15</c:v>
                </c:pt>
              </c:numCache>
            </c:numRef>
          </c:xVal>
          <c:yVal>
            <c:numRef>
              <c:f>'24~25환기조'!$G$3:$G$4</c:f>
              <c:numCache>
                <c:formatCode>0.00</c:formatCode>
                <c:ptCount val="2"/>
                <c:pt idx="1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5-41A9-B296-4C21A8F0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'24~25환기조'!$E$5:$E$8</c:f>
              <c:numCache>
                <c:formatCode>0.00</c:formatCode>
                <c:ptCount val="4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  <c:pt idx="3">
                  <c:v>0.53325183712828783</c:v>
                </c:pt>
              </c:numCache>
            </c:numRef>
          </c:xVal>
          <c:yVal>
            <c:numRef>
              <c:f>'24~25환기조'!$F$5:$F$8</c:f>
              <c:numCache>
                <c:formatCode>0.00</c:formatCode>
                <c:ptCount val="4"/>
                <c:pt idx="0">
                  <c:v>47.367869763227127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3-4EA5-A06F-165D6634B4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'24~25환기조'!$E$5:$E$8</c:f>
              <c:numCache>
                <c:formatCode>0.00</c:formatCode>
                <c:ptCount val="4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  <c:pt idx="3">
                  <c:v>0.53325183712828783</c:v>
                </c:pt>
              </c:numCache>
            </c:numRef>
          </c:xVal>
          <c:yVal>
            <c:numRef>
              <c:f>'24~25환기조'!$G$5:$G$8</c:f>
              <c:numCache>
                <c:formatCode>0.00</c:formatCode>
                <c:ptCount val="4"/>
                <c:pt idx="3">
                  <c:v>48.259289921075712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3-4EA5-A06F-165D6634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'24~25환기조'!$E$9:$E$32</c:f>
              <c:numCache>
                <c:formatCode>0.00</c:formatCode>
                <c:ptCount val="24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  <c:pt idx="23">
                  <c:v>12.911739130434782</c:v>
                </c:pt>
              </c:numCache>
            </c:numRef>
          </c:xVal>
          <c:yVal>
            <c:numRef>
              <c:f>'24~25환기조'!$F$9:$F$32</c:f>
              <c:numCache>
                <c:formatCode>0.00</c:formatCode>
                <c:ptCount val="24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  <c:pt idx="19">
                  <c:v>1.92</c:v>
                </c:pt>
                <c:pt idx="20">
                  <c:v>0.92</c:v>
                </c:pt>
                <c:pt idx="21">
                  <c:v>7.97</c:v>
                </c:pt>
                <c:pt idx="22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5-48B9-A014-28FE4E878B8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'24~25환기조'!$E$9:$E$32</c:f>
              <c:numCache>
                <c:formatCode>0.00</c:formatCode>
                <c:ptCount val="24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  <c:pt idx="23">
                  <c:v>12.911739130434782</c:v>
                </c:pt>
              </c:numCache>
            </c:numRef>
          </c:xVal>
          <c:yVal>
            <c:numRef>
              <c:f>'24~25환기조'!$G$9:$G$32</c:f>
              <c:numCache>
                <c:formatCode>0.00</c:formatCode>
                <c:ptCount val="24"/>
                <c:pt idx="23">
                  <c:v>1.2413043478260872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5-48B9-A014-28FE4E878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'24~25환기조'!$E$33:$E$44</c:f>
              <c:numCache>
                <c:formatCode>0.00</c:formatCode>
                <c:ptCount val="12"/>
                <c:pt idx="0">
                  <c:v>15.93</c:v>
                </c:pt>
                <c:pt idx="1">
                  <c:v>18.760000000000002</c:v>
                </c:pt>
                <c:pt idx="2">
                  <c:v>15.11</c:v>
                </c:pt>
                <c:pt idx="3">
                  <c:v>19.260000000000002</c:v>
                </c:pt>
                <c:pt idx="4">
                  <c:v>15.97</c:v>
                </c:pt>
                <c:pt idx="5">
                  <c:v>19.62</c:v>
                </c:pt>
                <c:pt idx="6">
                  <c:v>21.09</c:v>
                </c:pt>
                <c:pt idx="7">
                  <c:v>24.48</c:v>
                </c:pt>
                <c:pt idx="8">
                  <c:v>17.723203364241439</c:v>
                </c:pt>
                <c:pt idx="9">
                  <c:v>17.66</c:v>
                </c:pt>
                <c:pt idx="10">
                  <c:v>18.170000000000002</c:v>
                </c:pt>
                <c:pt idx="11">
                  <c:v>18.524836669476496</c:v>
                </c:pt>
              </c:numCache>
            </c:numRef>
          </c:xVal>
          <c:yVal>
            <c:numRef>
              <c:f>'24~25환기조'!$F$33:$F$44</c:f>
              <c:numCache>
                <c:formatCode>0.00</c:formatCode>
                <c:ptCount val="12"/>
                <c:pt idx="0">
                  <c:v>15.78</c:v>
                </c:pt>
                <c:pt idx="1">
                  <c:v>3.97</c:v>
                </c:pt>
                <c:pt idx="2">
                  <c:v>9.7200000000000006</c:v>
                </c:pt>
                <c:pt idx="3">
                  <c:v>3</c:v>
                </c:pt>
                <c:pt idx="4">
                  <c:v>2.65</c:v>
                </c:pt>
                <c:pt idx="5">
                  <c:v>7.36</c:v>
                </c:pt>
                <c:pt idx="6">
                  <c:v>4.13</c:v>
                </c:pt>
                <c:pt idx="7">
                  <c:v>1.67</c:v>
                </c:pt>
                <c:pt idx="8">
                  <c:v>8.8196253753158071</c:v>
                </c:pt>
                <c:pt idx="9">
                  <c:v>10.89</c:v>
                </c:pt>
                <c:pt idx="1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6-4213-BCDB-9D13C93EC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'24~25환기조'!$E$33:$E$44</c:f>
              <c:numCache>
                <c:formatCode>0.00</c:formatCode>
                <c:ptCount val="12"/>
                <c:pt idx="0">
                  <c:v>15.93</c:v>
                </c:pt>
                <c:pt idx="1">
                  <c:v>18.760000000000002</c:v>
                </c:pt>
                <c:pt idx="2">
                  <c:v>15.11</c:v>
                </c:pt>
                <c:pt idx="3">
                  <c:v>19.260000000000002</c:v>
                </c:pt>
                <c:pt idx="4">
                  <c:v>15.97</c:v>
                </c:pt>
                <c:pt idx="5">
                  <c:v>19.62</c:v>
                </c:pt>
                <c:pt idx="6">
                  <c:v>21.09</c:v>
                </c:pt>
                <c:pt idx="7">
                  <c:v>24.48</c:v>
                </c:pt>
                <c:pt idx="8">
                  <c:v>17.723203364241439</c:v>
                </c:pt>
                <c:pt idx="9">
                  <c:v>17.66</c:v>
                </c:pt>
                <c:pt idx="10">
                  <c:v>18.170000000000002</c:v>
                </c:pt>
                <c:pt idx="11">
                  <c:v>18.524836669476496</c:v>
                </c:pt>
              </c:numCache>
            </c:numRef>
          </c:xVal>
          <c:yVal>
            <c:numRef>
              <c:f>'24~25환기조'!$G$33:$G$44</c:f>
              <c:numCache>
                <c:formatCode>0.00</c:formatCode>
                <c:ptCount val="12"/>
                <c:pt idx="11">
                  <c:v>7.0236023068468914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E6-4213-BCDB-9D13C93E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'24~25환기조'!$E$45:$E$109</c:f>
              <c:numCache>
                <c:formatCode>0.00</c:formatCode>
                <c:ptCount val="65"/>
                <c:pt idx="0">
                  <c:v>8.07</c:v>
                </c:pt>
                <c:pt idx="1">
                  <c:v>20.350000000000001</c:v>
                </c:pt>
                <c:pt idx="2">
                  <c:v>7.09</c:v>
                </c:pt>
                <c:pt idx="3">
                  <c:v>0.17</c:v>
                </c:pt>
                <c:pt idx="4">
                  <c:v>11.45</c:v>
                </c:pt>
                <c:pt idx="5">
                  <c:v>8.6199999999999992</c:v>
                </c:pt>
                <c:pt idx="6">
                  <c:v>5.65</c:v>
                </c:pt>
                <c:pt idx="7">
                  <c:v>1.77</c:v>
                </c:pt>
                <c:pt idx="8">
                  <c:v>10.31</c:v>
                </c:pt>
                <c:pt idx="9">
                  <c:v>1.67</c:v>
                </c:pt>
                <c:pt idx="10">
                  <c:v>5.82</c:v>
                </c:pt>
                <c:pt idx="11">
                  <c:v>-7.66</c:v>
                </c:pt>
                <c:pt idx="12">
                  <c:v>0.76</c:v>
                </c:pt>
                <c:pt idx="13">
                  <c:v>3.07</c:v>
                </c:pt>
                <c:pt idx="14">
                  <c:v>1.44</c:v>
                </c:pt>
                <c:pt idx="15">
                  <c:v>-0.97</c:v>
                </c:pt>
                <c:pt idx="16">
                  <c:v>9.17</c:v>
                </c:pt>
                <c:pt idx="17">
                  <c:v>5.66</c:v>
                </c:pt>
                <c:pt idx="18">
                  <c:v>9.56</c:v>
                </c:pt>
                <c:pt idx="19">
                  <c:v>8.01</c:v>
                </c:pt>
                <c:pt idx="20">
                  <c:v>8.61</c:v>
                </c:pt>
                <c:pt idx="21">
                  <c:v>8.19</c:v>
                </c:pt>
                <c:pt idx="22">
                  <c:v>-0.66</c:v>
                </c:pt>
                <c:pt idx="23">
                  <c:v>4.79</c:v>
                </c:pt>
                <c:pt idx="24">
                  <c:v>7.38</c:v>
                </c:pt>
                <c:pt idx="25">
                  <c:v>-0.78</c:v>
                </c:pt>
                <c:pt idx="26">
                  <c:v>12.06</c:v>
                </c:pt>
                <c:pt idx="27">
                  <c:v>3.35</c:v>
                </c:pt>
                <c:pt idx="28">
                  <c:v>10.210000000000001</c:v>
                </c:pt>
                <c:pt idx="29">
                  <c:v>2.5299999999999998</c:v>
                </c:pt>
                <c:pt idx="30">
                  <c:v>11.41</c:v>
                </c:pt>
                <c:pt idx="31">
                  <c:v>10.77</c:v>
                </c:pt>
                <c:pt idx="32">
                  <c:v>0.91</c:v>
                </c:pt>
                <c:pt idx="33">
                  <c:v>-6.16</c:v>
                </c:pt>
                <c:pt idx="34">
                  <c:v>8.6</c:v>
                </c:pt>
                <c:pt idx="35">
                  <c:v>-2.21</c:v>
                </c:pt>
                <c:pt idx="36">
                  <c:v>0.98</c:v>
                </c:pt>
                <c:pt idx="37">
                  <c:v>8.3699999999999992</c:v>
                </c:pt>
                <c:pt idx="38">
                  <c:v>-1.26</c:v>
                </c:pt>
                <c:pt idx="39">
                  <c:v>2.46</c:v>
                </c:pt>
                <c:pt idx="40">
                  <c:v>5.83</c:v>
                </c:pt>
                <c:pt idx="41">
                  <c:v>9.32</c:v>
                </c:pt>
                <c:pt idx="42">
                  <c:v>9.2899999999999991</c:v>
                </c:pt>
                <c:pt idx="43">
                  <c:v>9.3800000000000008</c:v>
                </c:pt>
                <c:pt idx="44">
                  <c:v>0.98</c:v>
                </c:pt>
                <c:pt idx="45">
                  <c:v>6.82</c:v>
                </c:pt>
                <c:pt idx="46">
                  <c:v>1.56</c:v>
                </c:pt>
                <c:pt idx="47">
                  <c:v>8.42</c:v>
                </c:pt>
                <c:pt idx="48">
                  <c:v>14.34</c:v>
                </c:pt>
                <c:pt idx="49">
                  <c:v>6.83</c:v>
                </c:pt>
                <c:pt idx="50">
                  <c:v>5.1100000000000003</c:v>
                </c:pt>
                <c:pt idx="51">
                  <c:v>6.91</c:v>
                </c:pt>
                <c:pt idx="52">
                  <c:v>8.9600000000000009</c:v>
                </c:pt>
                <c:pt idx="53">
                  <c:v>6.09</c:v>
                </c:pt>
                <c:pt idx="54">
                  <c:v>10.34</c:v>
                </c:pt>
                <c:pt idx="55">
                  <c:v>6.05</c:v>
                </c:pt>
                <c:pt idx="56">
                  <c:v>8.77</c:v>
                </c:pt>
                <c:pt idx="57">
                  <c:v>-7.9</c:v>
                </c:pt>
                <c:pt idx="58">
                  <c:v>1</c:v>
                </c:pt>
                <c:pt idx="59">
                  <c:v>0.54</c:v>
                </c:pt>
                <c:pt idx="60">
                  <c:v>-2.8436590653693261</c:v>
                </c:pt>
                <c:pt idx="61">
                  <c:v>5.1697760808955842</c:v>
                </c:pt>
              </c:numCache>
            </c:numRef>
          </c:xVal>
          <c:yVal>
            <c:numRef>
              <c:f>'24~25환기조'!$F$45:$F$109</c:f>
              <c:numCache>
                <c:formatCode>0.00</c:formatCode>
                <c:ptCount val="65"/>
                <c:pt idx="0">
                  <c:v>5.95</c:v>
                </c:pt>
                <c:pt idx="1">
                  <c:v>-4.0199999999999996</c:v>
                </c:pt>
                <c:pt idx="2">
                  <c:v>2.76</c:v>
                </c:pt>
                <c:pt idx="3">
                  <c:v>4.79</c:v>
                </c:pt>
                <c:pt idx="4">
                  <c:v>-2.44</c:v>
                </c:pt>
                <c:pt idx="5">
                  <c:v>1.91</c:v>
                </c:pt>
                <c:pt idx="6">
                  <c:v>-0.27</c:v>
                </c:pt>
                <c:pt idx="7">
                  <c:v>-0.12</c:v>
                </c:pt>
                <c:pt idx="8">
                  <c:v>3.08</c:v>
                </c:pt>
                <c:pt idx="9">
                  <c:v>-1.53</c:v>
                </c:pt>
                <c:pt idx="10">
                  <c:v>-2.3199999999999998</c:v>
                </c:pt>
                <c:pt idx="11">
                  <c:v>8.66</c:v>
                </c:pt>
                <c:pt idx="12">
                  <c:v>10.93</c:v>
                </c:pt>
                <c:pt idx="13">
                  <c:v>10.94</c:v>
                </c:pt>
                <c:pt idx="14">
                  <c:v>6.68</c:v>
                </c:pt>
                <c:pt idx="15">
                  <c:v>4.4400000000000004</c:v>
                </c:pt>
                <c:pt idx="16">
                  <c:v>6.08</c:v>
                </c:pt>
                <c:pt idx="17">
                  <c:v>5.47</c:v>
                </c:pt>
                <c:pt idx="18">
                  <c:v>1.69</c:v>
                </c:pt>
                <c:pt idx="19">
                  <c:v>10.42</c:v>
                </c:pt>
                <c:pt idx="20">
                  <c:v>1.57</c:v>
                </c:pt>
                <c:pt idx="21">
                  <c:v>-0.4</c:v>
                </c:pt>
                <c:pt idx="22">
                  <c:v>-5.07</c:v>
                </c:pt>
                <c:pt idx="23">
                  <c:v>2.92</c:v>
                </c:pt>
                <c:pt idx="24">
                  <c:v>7.32</c:v>
                </c:pt>
                <c:pt idx="25">
                  <c:v>7.39</c:v>
                </c:pt>
                <c:pt idx="26">
                  <c:v>1.55</c:v>
                </c:pt>
                <c:pt idx="27">
                  <c:v>6.93</c:v>
                </c:pt>
                <c:pt idx="28">
                  <c:v>10.56</c:v>
                </c:pt>
                <c:pt idx="29">
                  <c:v>10.61</c:v>
                </c:pt>
                <c:pt idx="30">
                  <c:v>4.5999999999999996</c:v>
                </c:pt>
                <c:pt idx="31">
                  <c:v>3.93</c:v>
                </c:pt>
                <c:pt idx="32">
                  <c:v>10.36</c:v>
                </c:pt>
                <c:pt idx="33">
                  <c:v>1.42</c:v>
                </c:pt>
                <c:pt idx="34">
                  <c:v>7.99</c:v>
                </c:pt>
                <c:pt idx="35">
                  <c:v>-2.04</c:v>
                </c:pt>
                <c:pt idx="36">
                  <c:v>4.29</c:v>
                </c:pt>
                <c:pt idx="37">
                  <c:v>2.1800000000000002</c:v>
                </c:pt>
                <c:pt idx="38">
                  <c:v>2.93</c:v>
                </c:pt>
                <c:pt idx="39">
                  <c:v>4.5599999999999996</c:v>
                </c:pt>
                <c:pt idx="40">
                  <c:v>2.36</c:v>
                </c:pt>
                <c:pt idx="41">
                  <c:v>3.43</c:v>
                </c:pt>
                <c:pt idx="42">
                  <c:v>0.41</c:v>
                </c:pt>
                <c:pt idx="43">
                  <c:v>-0.66</c:v>
                </c:pt>
                <c:pt idx="44">
                  <c:v>5.25</c:v>
                </c:pt>
                <c:pt idx="45">
                  <c:v>2.08</c:v>
                </c:pt>
                <c:pt idx="46">
                  <c:v>1.42</c:v>
                </c:pt>
                <c:pt idx="47">
                  <c:v>1.95</c:v>
                </c:pt>
                <c:pt idx="48">
                  <c:v>3.59</c:v>
                </c:pt>
                <c:pt idx="49">
                  <c:v>3.8</c:v>
                </c:pt>
                <c:pt idx="50">
                  <c:v>4.53</c:v>
                </c:pt>
                <c:pt idx="51">
                  <c:v>5.44</c:v>
                </c:pt>
                <c:pt idx="52">
                  <c:v>8.98</c:v>
                </c:pt>
                <c:pt idx="53">
                  <c:v>2.36</c:v>
                </c:pt>
                <c:pt idx="54">
                  <c:v>3.36</c:v>
                </c:pt>
                <c:pt idx="55">
                  <c:v>1.94</c:v>
                </c:pt>
                <c:pt idx="56">
                  <c:v>4.9800000000000004</c:v>
                </c:pt>
                <c:pt idx="57">
                  <c:v>18.2</c:v>
                </c:pt>
                <c:pt idx="58">
                  <c:v>16.600000000000001</c:v>
                </c:pt>
                <c:pt idx="59">
                  <c:v>20.49</c:v>
                </c:pt>
                <c:pt idx="60">
                  <c:v>20.304265334571912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0-43D2-BE94-BF56076E5D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'24~25환기조'!$E$45:$E$109</c:f>
              <c:numCache>
                <c:formatCode>0.00</c:formatCode>
                <c:ptCount val="65"/>
                <c:pt idx="0">
                  <c:v>8.07</c:v>
                </c:pt>
                <c:pt idx="1">
                  <c:v>20.350000000000001</c:v>
                </c:pt>
                <c:pt idx="2">
                  <c:v>7.09</c:v>
                </c:pt>
                <c:pt idx="3">
                  <c:v>0.17</c:v>
                </c:pt>
                <c:pt idx="4">
                  <c:v>11.45</c:v>
                </c:pt>
                <c:pt idx="5">
                  <c:v>8.6199999999999992</c:v>
                </c:pt>
                <c:pt idx="6">
                  <c:v>5.65</c:v>
                </c:pt>
                <c:pt idx="7">
                  <c:v>1.77</c:v>
                </c:pt>
                <c:pt idx="8">
                  <c:v>10.31</c:v>
                </c:pt>
                <c:pt idx="9">
                  <c:v>1.67</c:v>
                </c:pt>
                <c:pt idx="10">
                  <c:v>5.82</c:v>
                </c:pt>
                <c:pt idx="11">
                  <c:v>-7.66</c:v>
                </c:pt>
                <c:pt idx="12">
                  <c:v>0.76</c:v>
                </c:pt>
                <c:pt idx="13">
                  <c:v>3.07</c:v>
                </c:pt>
                <c:pt idx="14">
                  <c:v>1.44</c:v>
                </c:pt>
                <c:pt idx="15">
                  <c:v>-0.97</c:v>
                </c:pt>
                <c:pt idx="16">
                  <c:v>9.17</c:v>
                </c:pt>
                <c:pt idx="17">
                  <c:v>5.66</c:v>
                </c:pt>
                <c:pt idx="18">
                  <c:v>9.56</c:v>
                </c:pt>
                <c:pt idx="19">
                  <c:v>8.01</c:v>
                </c:pt>
                <c:pt idx="20">
                  <c:v>8.61</c:v>
                </c:pt>
                <c:pt idx="21">
                  <c:v>8.19</c:v>
                </c:pt>
                <c:pt idx="22">
                  <c:v>-0.66</c:v>
                </c:pt>
                <c:pt idx="23">
                  <c:v>4.79</c:v>
                </c:pt>
                <c:pt idx="24">
                  <c:v>7.38</c:v>
                </c:pt>
                <c:pt idx="25">
                  <c:v>-0.78</c:v>
                </c:pt>
                <c:pt idx="26">
                  <c:v>12.06</c:v>
                </c:pt>
                <c:pt idx="27">
                  <c:v>3.35</c:v>
                </c:pt>
                <c:pt idx="28">
                  <c:v>10.210000000000001</c:v>
                </c:pt>
                <c:pt idx="29">
                  <c:v>2.5299999999999998</c:v>
                </c:pt>
                <c:pt idx="30">
                  <c:v>11.41</c:v>
                </c:pt>
                <c:pt idx="31">
                  <c:v>10.77</c:v>
                </c:pt>
                <c:pt idx="32">
                  <c:v>0.91</c:v>
                </c:pt>
                <c:pt idx="33">
                  <c:v>-6.16</c:v>
                </c:pt>
                <c:pt idx="34">
                  <c:v>8.6</c:v>
                </c:pt>
                <c:pt idx="35">
                  <c:v>-2.21</c:v>
                </c:pt>
                <c:pt idx="36">
                  <c:v>0.98</c:v>
                </c:pt>
                <c:pt idx="37">
                  <c:v>8.3699999999999992</c:v>
                </c:pt>
                <c:pt idx="38">
                  <c:v>-1.26</c:v>
                </c:pt>
                <c:pt idx="39">
                  <c:v>2.46</c:v>
                </c:pt>
                <c:pt idx="40">
                  <c:v>5.83</c:v>
                </c:pt>
                <c:pt idx="41">
                  <c:v>9.32</c:v>
                </c:pt>
                <c:pt idx="42">
                  <c:v>9.2899999999999991</c:v>
                </c:pt>
                <c:pt idx="43">
                  <c:v>9.3800000000000008</c:v>
                </c:pt>
                <c:pt idx="44">
                  <c:v>0.98</c:v>
                </c:pt>
                <c:pt idx="45">
                  <c:v>6.82</c:v>
                </c:pt>
                <c:pt idx="46">
                  <c:v>1.56</c:v>
                </c:pt>
                <c:pt idx="47">
                  <c:v>8.42</c:v>
                </c:pt>
                <c:pt idx="48">
                  <c:v>14.34</c:v>
                </c:pt>
                <c:pt idx="49">
                  <c:v>6.83</c:v>
                </c:pt>
                <c:pt idx="50">
                  <c:v>5.1100000000000003</c:v>
                </c:pt>
                <c:pt idx="51">
                  <c:v>6.91</c:v>
                </c:pt>
                <c:pt idx="52">
                  <c:v>8.9600000000000009</c:v>
                </c:pt>
                <c:pt idx="53">
                  <c:v>6.09</c:v>
                </c:pt>
                <c:pt idx="54">
                  <c:v>10.34</c:v>
                </c:pt>
                <c:pt idx="55">
                  <c:v>6.05</c:v>
                </c:pt>
                <c:pt idx="56">
                  <c:v>8.77</c:v>
                </c:pt>
                <c:pt idx="57">
                  <c:v>-7.9</c:v>
                </c:pt>
                <c:pt idx="58">
                  <c:v>1</c:v>
                </c:pt>
                <c:pt idx="59">
                  <c:v>0.54</c:v>
                </c:pt>
                <c:pt idx="60">
                  <c:v>-2.8436590653693261</c:v>
                </c:pt>
                <c:pt idx="61">
                  <c:v>5.1697760808955842</c:v>
                </c:pt>
              </c:numCache>
            </c:numRef>
          </c:xVal>
          <c:yVal>
            <c:numRef>
              <c:f>'24~25환기조'!$G$45:$G$110</c:f>
              <c:numCache>
                <c:formatCode>0.00</c:formatCode>
                <c:ptCount val="66"/>
                <c:pt idx="61">
                  <c:v>4.7133486120421635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0-43D2-BE94-BF56076E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163279</xdr:colOff>
      <xdr:row>6</xdr:row>
      <xdr:rowOff>27</xdr:rowOff>
    </xdr:from>
    <xdr:to>
      <xdr:col>20</xdr:col>
      <xdr:colOff>612322</xdr:colOff>
      <xdr:row>35</xdr:row>
      <xdr:rowOff>54429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A6A9B7E1-53C6-4D39-86D4-4C07C85BFB9A}"/>
            </a:ext>
          </a:extLst>
        </xdr:cNvPr>
        <xdr:cNvGrpSpPr/>
      </xdr:nvGrpSpPr>
      <xdr:grpSpPr>
        <a:xfrm>
          <a:off x="7851315" y="1415170"/>
          <a:ext cx="7932971" cy="6368116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814525-B4F5-1D2C-9DA6-24EF4BB564E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20B7BB57-282F-4F65-8458-9D14F1D5F4A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BA34A5E2-42CA-2A85-5BE2-5A3A9A2584D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9ABB9006-315C-6DC8-1671-0DFFA7F245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A10C78C8-E8EF-F4F8-5CB0-45C0B46A87C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662D139-8367-8182-28E2-9C60F0D3A8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93FB2EE8-B894-86D7-B8E1-3973378936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EBEF698-B7E5-2996-0AE9-5A0FA1771AA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3B90BBA8-710C-0688-7B3E-67F45FABBD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88737DEF-FB2B-C7A2-F80B-B83D751332C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5519571-888D-A9F5-FD54-A9EB6E1785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3CB7860-5D93-432E-16F6-14CF2FB15F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8892F63-0A1B-5585-026A-323178F9246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D536E53B-AE5C-1802-088E-00C73873EC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8AB3AC3-B681-580F-EC39-2359BF3459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41</xdr:row>
      <xdr:rowOff>0</xdr:rowOff>
    </xdr:from>
    <xdr:to>
      <xdr:col>21</xdr:col>
      <xdr:colOff>449043</xdr:colOff>
      <xdr:row>70</xdr:row>
      <xdr:rowOff>54402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CE8B9D0-04A6-4275-B4D9-B80D4C95F07E}"/>
            </a:ext>
          </a:extLst>
        </xdr:cNvPr>
        <xdr:cNvGrpSpPr/>
      </xdr:nvGrpSpPr>
      <xdr:grpSpPr>
        <a:xfrm>
          <a:off x="8368393" y="9035143"/>
          <a:ext cx="7932971" cy="636811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CABF3570-F0D7-F8C0-6168-BFB840AF946C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5665873-C3C3-3C16-982A-42E5B17934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B624FD1-FE49-5134-1B88-FF24F660FAC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69F4B40-BA18-E75F-F6B1-745E69BA498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686B419-4D57-F09E-363B-C3E7804C842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C745B88-CCF2-88F6-6A58-A1D718CF2D7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30B914E-CEFD-9E96-8896-59CC264FDB7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A409AE7-2433-AC05-223D-3B45DC2DBC1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6D454BD-3176-0146-0C9B-8D00489AF1C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494818D-8AA2-98ED-BFEC-A8773672241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E920B69-7C32-99AE-1534-EB368D9A88B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81FDC4A-48A7-7A6A-327B-C9D3E78AE08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A372B6F-7806-8C7A-53CB-2A03F71E7D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C802C59-4A8C-5CDC-AD9A-16CDF523552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42915E5-5D20-2292-7AB7-AB86A634C64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122468</xdr:rowOff>
    </xdr:from>
    <xdr:to>
      <xdr:col>14</xdr:col>
      <xdr:colOff>408214</xdr:colOff>
      <xdr:row>22</xdr:row>
      <xdr:rowOff>108861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0D1087A7-5AE9-42D6-9CA9-7D19B34E2767}"/>
            </a:ext>
          </a:extLst>
        </xdr:cNvPr>
        <xdr:cNvGrpSpPr/>
      </xdr:nvGrpSpPr>
      <xdr:grpSpPr>
        <a:xfrm>
          <a:off x="6653893" y="884468"/>
          <a:ext cx="4490357" cy="4122964"/>
          <a:chOff x="9588065" y="2957512"/>
          <a:chExt cx="3127810" cy="3015498"/>
        </a:xfrm>
      </xdr:grpSpPr>
      <xdr:graphicFrame macro="">
        <xdr:nvGraphicFramePr>
          <xdr:cNvPr id="29" name="차트 28">
            <a:extLst>
              <a:ext uri="{FF2B5EF4-FFF2-40B4-BE49-F238E27FC236}">
                <a16:creationId xmlns:a16="http://schemas.microsoft.com/office/drawing/2014/main" id="{C2BED139-1170-335D-4B74-AEA8D431180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0" name="모서리가 둥근 직사각형 3">
            <a:extLst>
              <a:ext uri="{FF2B5EF4-FFF2-40B4-BE49-F238E27FC236}">
                <a16:creationId xmlns:a16="http://schemas.microsoft.com/office/drawing/2014/main" id="{304F3888-8B52-3AFD-ED48-E69E990938D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모서리가 둥근 직사각형 4">
            <a:extLst>
              <a:ext uri="{FF2B5EF4-FFF2-40B4-BE49-F238E27FC236}">
                <a16:creationId xmlns:a16="http://schemas.microsoft.com/office/drawing/2014/main" id="{937E7B8F-6432-CA78-2C89-34DA96E6949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모서리가 둥근 직사각형 5">
            <a:extLst>
              <a:ext uri="{FF2B5EF4-FFF2-40B4-BE49-F238E27FC236}">
                <a16:creationId xmlns:a16="http://schemas.microsoft.com/office/drawing/2014/main" id="{EA67A09E-75AE-B87C-0ACA-8B8D46284A8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7572BC5-CB6C-FA43-FA31-3C848DE11D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453E0FF5-1336-1644-BEA9-C1033FABBE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5" name="모서리가 둥근 직사각형 8">
            <a:extLst>
              <a:ext uri="{FF2B5EF4-FFF2-40B4-BE49-F238E27FC236}">
                <a16:creationId xmlns:a16="http://schemas.microsoft.com/office/drawing/2014/main" id="{EF1C271D-A98D-B1EB-A3C0-29BA97C6CAB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모서리가 둥근 직사각형 9">
            <a:extLst>
              <a:ext uri="{FF2B5EF4-FFF2-40B4-BE49-F238E27FC236}">
                <a16:creationId xmlns:a16="http://schemas.microsoft.com/office/drawing/2014/main" id="{46138E5E-92C0-BD46-1020-AF3B8823A9A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10">
            <a:extLst>
              <a:ext uri="{FF2B5EF4-FFF2-40B4-BE49-F238E27FC236}">
                <a16:creationId xmlns:a16="http://schemas.microsoft.com/office/drawing/2014/main" id="{3ADC79F5-9534-5DD6-64D6-B12ADA0CB13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13CC1D90-96E0-BFCA-0AB7-AB87765CC37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A0B977-53E4-1E82-93E6-3C122EE1ADF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BFD9BAD5-FF33-63A5-7E0D-3D5E289BCCE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B94D999D-A33C-F54C-68B8-96D2764AB3F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A233CDA0-94CD-8A34-F304-A3A8802376D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6B3385F6-736E-739A-B7A4-F60FD0D90C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108856</xdr:colOff>
      <xdr:row>3</xdr:row>
      <xdr:rowOff>40825</xdr:rowOff>
    </xdr:from>
    <xdr:to>
      <xdr:col>25</xdr:col>
      <xdr:colOff>517070</xdr:colOff>
      <xdr:row>22</xdr:row>
      <xdr:rowOff>27218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AAE56803-A7D4-4F89-9987-2AC92D010F3A}"/>
            </a:ext>
          </a:extLst>
        </xdr:cNvPr>
        <xdr:cNvGrpSpPr/>
      </xdr:nvGrpSpPr>
      <xdr:grpSpPr>
        <a:xfrm>
          <a:off x="14246677" y="802825"/>
          <a:ext cx="4490357" cy="4122964"/>
          <a:chOff x="9588065" y="2957512"/>
          <a:chExt cx="3127810" cy="3015498"/>
        </a:xfrm>
      </xdr:grpSpPr>
      <xdr:graphicFrame macro="">
        <xdr:nvGraphicFramePr>
          <xdr:cNvPr id="45" name="차트 44">
            <a:extLst>
              <a:ext uri="{FF2B5EF4-FFF2-40B4-BE49-F238E27FC236}">
                <a16:creationId xmlns:a16="http://schemas.microsoft.com/office/drawing/2014/main" id="{181810B4-BBF3-E48E-4C1C-2BFE6FC4213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6" name="모서리가 둥근 직사각형 3">
            <a:extLst>
              <a:ext uri="{FF2B5EF4-FFF2-40B4-BE49-F238E27FC236}">
                <a16:creationId xmlns:a16="http://schemas.microsoft.com/office/drawing/2014/main" id="{7430C93D-E1A3-B195-A6A8-6EEA6FF5FA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모서리가 둥근 직사각형 4">
            <a:extLst>
              <a:ext uri="{FF2B5EF4-FFF2-40B4-BE49-F238E27FC236}">
                <a16:creationId xmlns:a16="http://schemas.microsoft.com/office/drawing/2014/main" id="{A21B60E6-2B16-89B0-06D7-7D5622A1867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모서리가 둥근 직사각형 5">
            <a:extLst>
              <a:ext uri="{FF2B5EF4-FFF2-40B4-BE49-F238E27FC236}">
                <a16:creationId xmlns:a16="http://schemas.microsoft.com/office/drawing/2014/main" id="{4D8837B8-9B43-DAF8-1828-33153B414D3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835043E-8423-B2E0-4D26-68B28962A07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DD49F8D4-68FA-3321-105B-73A0E4A68A9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1" name="모서리가 둥근 직사각형 8">
            <a:extLst>
              <a:ext uri="{FF2B5EF4-FFF2-40B4-BE49-F238E27FC236}">
                <a16:creationId xmlns:a16="http://schemas.microsoft.com/office/drawing/2014/main" id="{2E896338-E648-CEA6-E167-DE8D6F0BC77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모서리가 둥근 직사각형 9">
            <a:extLst>
              <a:ext uri="{FF2B5EF4-FFF2-40B4-BE49-F238E27FC236}">
                <a16:creationId xmlns:a16="http://schemas.microsoft.com/office/drawing/2014/main" id="{405C7CC2-996A-8E87-006A-8B52809B92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10">
            <a:extLst>
              <a:ext uri="{FF2B5EF4-FFF2-40B4-BE49-F238E27FC236}">
                <a16:creationId xmlns:a16="http://schemas.microsoft.com/office/drawing/2014/main" id="{350BDC5B-3046-4FC7-1DAA-767D95E90A7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78D43FCB-08EC-05D9-ABD0-0F998DF47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D469B16-1081-8CB0-4158-CBA4A4D8E2E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77C6F2AD-60CE-70DD-0483-05627F5A934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58D0D3BC-382B-A9B0-E1AA-5F7902D49D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1DBBDECF-A7C1-3DAC-CFB0-2788B0F9478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4D56207D-CF5B-4877-872B-6F1FFBD4B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26</xdr:row>
      <xdr:rowOff>149683</xdr:rowOff>
    </xdr:from>
    <xdr:to>
      <xdr:col>14</xdr:col>
      <xdr:colOff>408214</xdr:colOff>
      <xdr:row>45</xdr:row>
      <xdr:rowOff>136076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05D1135-7C7C-461C-AAEF-51787F519CE7}"/>
            </a:ext>
          </a:extLst>
        </xdr:cNvPr>
        <xdr:cNvGrpSpPr/>
      </xdr:nvGrpSpPr>
      <xdr:grpSpPr>
        <a:xfrm>
          <a:off x="6653893" y="5919112"/>
          <a:ext cx="4490357" cy="4122964"/>
          <a:chOff x="9588065" y="2957512"/>
          <a:chExt cx="3127810" cy="3015498"/>
        </a:xfrm>
      </xdr:grpSpPr>
      <xdr:graphicFrame macro="">
        <xdr:nvGraphicFramePr>
          <xdr:cNvPr id="61" name="차트 60">
            <a:extLst>
              <a:ext uri="{FF2B5EF4-FFF2-40B4-BE49-F238E27FC236}">
                <a16:creationId xmlns:a16="http://schemas.microsoft.com/office/drawing/2014/main" id="{3220A2D7-CA4F-5E00-D4E8-005BBDB38C7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2" name="모서리가 둥근 직사각형 3">
            <a:extLst>
              <a:ext uri="{FF2B5EF4-FFF2-40B4-BE49-F238E27FC236}">
                <a16:creationId xmlns:a16="http://schemas.microsoft.com/office/drawing/2014/main" id="{C9358CE8-8609-5BF9-1F10-3D199C91AD1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모서리가 둥근 직사각형 4">
            <a:extLst>
              <a:ext uri="{FF2B5EF4-FFF2-40B4-BE49-F238E27FC236}">
                <a16:creationId xmlns:a16="http://schemas.microsoft.com/office/drawing/2014/main" id="{BB79ED5D-1587-0FF2-03B7-BE440833B2E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모서리가 둥근 직사각형 5">
            <a:extLst>
              <a:ext uri="{FF2B5EF4-FFF2-40B4-BE49-F238E27FC236}">
                <a16:creationId xmlns:a16="http://schemas.microsoft.com/office/drawing/2014/main" id="{CA1792A1-524F-3C4C-7B1A-21C4F9D32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56065C55-7C30-BEE7-9CBA-412DC4A496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0D29FE7-3BC5-1EE3-904B-D4AE3C9EF8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67" name="모서리가 둥근 직사각형 8">
            <a:extLst>
              <a:ext uri="{FF2B5EF4-FFF2-40B4-BE49-F238E27FC236}">
                <a16:creationId xmlns:a16="http://schemas.microsoft.com/office/drawing/2014/main" id="{19A77C39-80FB-FCE2-3E05-C171DA07555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모서리가 둥근 직사각형 9">
            <a:extLst>
              <a:ext uri="{FF2B5EF4-FFF2-40B4-BE49-F238E27FC236}">
                <a16:creationId xmlns:a16="http://schemas.microsoft.com/office/drawing/2014/main" id="{E7C59153-FE61-4BAB-C4B9-A2F0EE00515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10">
            <a:extLst>
              <a:ext uri="{FF2B5EF4-FFF2-40B4-BE49-F238E27FC236}">
                <a16:creationId xmlns:a16="http://schemas.microsoft.com/office/drawing/2014/main" id="{95779930-FF54-23E0-8889-7AB1A25AA64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319B5FDE-4E6A-3DD6-F039-53EAD86C6D2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B0328698-A29F-BCC7-9223-DB516C3394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80BB8D1-AA7E-B832-C8F3-D389DAE4B73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CA9CA44-F95D-A8D1-4ACD-9C5287FB328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6F5148D-2809-4D98-02ED-832189C95E2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EF7D20C-3358-5AFB-076A-B9FAA9BEFC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489856</xdr:colOff>
      <xdr:row>26</xdr:row>
      <xdr:rowOff>149683</xdr:rowOff>
    </xdr:from>
    <xdr:to>
      <xdr:col>25</xdr:col>
      <xdr:colOff>217713</xdr:colOff>
      <xdr:row>45</xdr:row>
      <xdr:rowOff>136076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D27BA56-5D09-49D6-BA6A-9371746F6293}"/>
            </a:ext>
          </a:extLst>
        </xdr:cNvPr>
        <xdr:cNvGrpSpPr/>
      </xdr:nvGrpSpPr>
      <xdr:grpSpPr>
        <a:xfrm>
          <a:off x="13947320" y="5919112"/>
          <a:ext cx="4490357" cy="4122964"/>
          <a:chOff x="9588065" y="2957512"/>
          <a:chExt cx="3127810" cy="3015498"/>
        </a:xfrm>
      </xdr:grpSpPr>
      <xdr:graphicFrame macro="">
        <xdr:nvGraphicFramePr>
          <xdr:cNvPr id="77" name="차트 76">
            <a:extLst>
              <a:ext uri="{FF2B5EF4-FFF2-40B4-BE49-F238E27FC236}">
                <a16:creationId xmlns:a16="http://schemas.microsoft.com/office/drawing/2014/main" id="{12C9CF4B-F9A7-D253-7D0D-02ED96D9D79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8" name="모서리가 둥근 직사각형 3">
            <a:extLst>
              <a:ext uri="{FF2B5EF4-FFF2-40B4-BE49-F238E27FC236}">
                <a16:creationId xmlns:a16="http://schemas.microsoft.com/office/drawing/2014/main" id="{3EFCAEAC-D716-8A6E-2D88-3CBFF531E09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모서리가 둥근 직사각형 4">
            <a:extLst>
              <a:ext uri="{FF2B5EF4-FFF2-40B4-BE49-F238E27FC236}">
                <a16:creationId xmlns:a16="http://schemas.microsoft.com/office/drawing/2014/main" id="{99004727-B436-E8B9-6305-8C9811DF0A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모서리가 둥근 직사각형 5">
            <a:extLst>
              <a:ext uri="{FF2B5EF4-FFF2-40B4-BE49-F238E27FC236}">
                <a16:creationId xmlns:a16="http://schemas.microsoft.com/office/drawing/2014/main" id="{742BE18D-4ADB-7FB4-FFA6-B20241E01DC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E0FA3AD5-D719-FA37-E9A0-7994AF5E0A7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B383565B-664A-6F76-ACED-FC421662526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3" name="모서리가 둥근 직사각형 8">
            <a:extLst>
              <a:ext uri="{FF2B5EF4-FFF2-40B4-BE49-F238E27FC236}">
                <a16:creationId xmlns:a16="http://schemas.microsoft.com/office/drawing/2014/main" id="{C2E9B58C-247A-20EA-9CD5-BDC35B753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4" name="모서리가 둥근 직사각형 9">
            <a:extLst>
              <a:ext uri="{FF2B5EF4-FFF2-40B4-BE49-F238E27FC236}">
                <a16:creationId xmlns:a16="http://schemas.microsoft.com/office/drawing/2014/main" id="{544DF9BA-C07F-641D-49EF-7A5234F236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10">
            <a:extLst>
              <a:ext uri="{FF2B5EF4-FFF2-40B4-BE49-F238E27FC236}">
                <a16:creationId xmlns:a16="http://schemas.microsoft.com/office/drawing/2014/main" id="{9E4BF0CF-BEAE-624F-B6DB-9A39B189D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BF4C16CE-F597-F396-A114-7659A9FE4A4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330DA7C5-9D1E-3435-275E-D0434D4DC14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B639FF6A-CFA7-E904-6413-8468FEFA6F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485D5AEE-CF94-AFA3-8EE7-B86AC5711A7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D091E99B-87E6-5136-DC8E-C6E8667ACC1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68C389F-F89B-247F-347A-B4F2665D8D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52</xdr:row>
      <xdr:rowOff>13608</xdr:rowOff>
    </xdr:from>
    <xdr:to>
      <xdr:col>14</xdr:col>
      <xdr:colOff>408214</xdr:colOff>
      <xdr:row>71</xdr:row>
      <xdr:rowOff>163286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7243217E-E738-4BF2-A5BA-3FB57BA0E2AC}"/>
            </a:ext>
          </a:extLst>
        </xdr:cNvPr>
        <xdr:cNvGrpSpPr/>
      </xdr:nvGrpSpPr>
      <xdr:grpSpPr>
        <a:xfrm>
          <a:off x="6653893" y="11443608"/>
          <a:ext cx="4490357" cy="4122964"/>
          <a:chOff x="9588065" y="2957512"/>
          <a:chExt cx="3127810" cy="3015498"/>
        </a:xfrm>
      </xdr:grpSpPr>
      <xdr:graphicFrame macro="">
        <xdr:nvGraphicFramePr>
          <xdr:cNvPr id="93" name="차트 92">
            <a:extLst>
              <a:ext uri="{FF2B5EF4-FFF2-40B4-BE49-F238E27FC236}">
                <a16:creationId xmlns:a16="http://schemas.microsoft.com/office/drawing/2014/main" id="{F1C8C880-4BEE-2956-41F9-2ED8CAC9FF4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4" name="모서리가 둥근 직사각형 3">
            <a:extLst>
              <a:ext uri="{FF2B5EF4-FFF2-40B4-BE49-F238E27FC236}">
                <a16:creationId xmlns:a16="http://schemas.microsoft.com/office/drawing/2014/main" id="{E1F0C15A-EF95-6989-EE65-AE2D40F27C7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모서리가 둥근 직사각형 4">
            <a:extLst>
              <a:ext uri="{FF2B5EF4-FFF2-40B4-BE49-F238E27FC236}">
                <a16:creationId xmlns:a16="http://schemas.microsoft.com/office/drawing/2014/main" id="{BD600C4C-60C6-5754-30CB-ED3699DC2D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모서리가 둥근 직사각형 5">
            <a:extLst>
              <a:ext uri="{FF2B5EF4-FFF2-40B4-BE49-F238E27FC236}">
                <a16:creationId xmlns:a16="http://schemas.microsoft.com/office/drawing/2014/main" id="{9AF9E343-69EE-0E77-B35F-0F8DC27F638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246C346-21C9-FCE1-2DF8-5483921C652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8C323A53-04A7-BC36-22E2-5803174E0D0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9" name="모서리가 둥근 직사각형 8">
            <a:extLst>
              <a:ext uri="{FF2B5EF4-FFF2-40B4-BE49-F238E27FC236}">
                <a16:creationId xmlns:a16="http://schemas.microsoft.com/office/drawing/2014/main" id="{FF5949DD-27C5-F4AE-F036-708A3D13E88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모서리가 둥근 직사각형 9">
            <a:extLst>
              <a:ext uri="{FF2B5EF4-FFF2-40B4-BE49-F238E27FC236}">
                <a16:creationId xmlns:a16="http://schemas.microsoft.com/office/drawing/2014/main" id="{90916628-BCB0-9701-1A09-0E84A0F654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10">
            <a:extLst>
              <a:ext uri="{FF2B5EF4-FFF2-40B4-BE49-F238E27FC236}">
                <a16:creationId xmlns:a16="http://schemas.microsoft.com/office/drawing/2014/main" id="{E77D8FF4-327E-212F-8431-CFBDA405931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BD190511-3E5E-286C-95A2-151CB3985C6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4BDC872-778C-9DCC-FFEA-075CED3A7D5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CBD05BC6-635A-6AB8-285D-453658EDC89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7FE31E28-F43A-297F-94F5-7321545FA4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276BF75A-03CF-6474-143C-482AEA1B822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E105FC02-76BF-4A12-A52F-278064C6159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54436</xdr:rowOff>
    </xdr:from>
    <xdr:to>
      <xdr:col>16</xdr:col>
      <xdr:colOff>408214</xdr:colOff>
      <xdr:row>25</xdr:row>
      <xdr:rowOff>40829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7F11E9D-A754-4CF6-88B1-117D69479E26}"/>
            </a:ext>
          </a:extLst>
        </xdr:cNvPr>
        <xdr:cNvGrpSpPr/>
      </xdr:nvGrpSpPr>
      <xdr:grpSpPr>
        <a:xfrm>
          <a:off x="8014607" y="1469579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CFBE5185-6C8F-BBE1-C344-DA578CAC79D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167B697-ECEB-4271-D538-0CCD493824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104ADA-9B35-B250-17E1-F3A123DA2D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C6BDC3-1C1A-13F9-E2DF-A52FDA8CEF7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42CD5D3-F5D9-BDFF-2308-21BB1DE056A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DD63AF3-234D-C6D4-F2AB-EF328980023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B3DE145-9F5B-5019-AAC8-D1FA1F5F60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DD3B7A9-3DCB-DC45-2304-1F7472186FF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8825C90-6B1E-7020-0266-6C4C97630F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3CFA13F-1284-E782-511A-1B35DB39D7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0B5BF9C-F8D5-AB9D-061D-F4BA962E148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B95A213-7A86-5E60-97F0-9939FB93EF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DC1E065-03D0-3192-6872-EA02D9362C0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CFC3C6A-FF96-89F5-CE20-2EFCABCB0F5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59E55D-67E4-1B4F-C060-FD5215AB67B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6</xdr:row>
      <xdr:rowOff>27222</xdr:rowOff>
    </xdr:from>
    <xdr:to>
      <xdr:col>24</xdr:col>
      <xdr:colOff>408214</xdr:colOff>
      <xdr:row>25</xdr:row>
      <xdr:rowOff>13615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A59A88D2-34AE-4760-B12F-8CE55DE6CB30}"/>
            </a:ext>
          </a:extLst>
        </xdr:cNvPr>
        <xdr:cNvGrpSpPr/>
      </xdr:nvGrpSpPr>
      <xdr:grpSpPr>
        <a:xfrm>
          <a:off x="13457464" y="1442365"/>
          <a:ext cx="4490357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833E9E46-BE73-C9C7-13F4-F2EBF8C0404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D02C9A4B-AF86-786F-9C45-8EF800CF180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87E5FC40-C08F-E95F-C7D3-C3A5F8F8A7F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5FCC954-DA23-5AE9-041D-00FA16DC008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27D401DC-4966-9F2F-2E7A-30D56268633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459C36E1-74E1-25FB-7083-93DEAD9804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FA393A0-C4F8-CA71-A6EB-CC5D5B8F279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99E808A4-10B8-85BF-DA00-BFE65901ECE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D3D0CAD-66BF-49EF-A528-DD94AC659F7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7599B813-F5F2-420B-3292-D8317C0FE27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A4B3B9B6-BC68-FE4D-234A-15AA15FCB24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2158961D-227F-0924-E232-4D2EBEDAA91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E475712F-8B9E-3320-50FB-408D7D06B0F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E253676-3494-3CF8-CD51-A9C04B489A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F7AFF76-C3D5-C56E-4CA7-8877CBB38E6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30</xdr:row>
      <xdr:rowOff>163290</xdr:rowOff>
    </xdr:from>
    <xdr:to>
      <xdr:col>16</xdr:col>
      <xdr:colOff>408214</xdr:colOff>
      <xdr:row>49</xdr:row>
      <xdr:rowOff>149683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70E80F08-353D-4F83-BABE-22D85F619EA9}"/>
            </a:ext>
          </a:extLst>
        </xdr:cNvPr>
        <xdr:cNvGrpSpPr/>
      </xdr:nvGrpSpPr>
      <xdr:grpSpPr>
        <a:xfrm>
          <a:off x="8014607" y="6803576"/>
          <a:ext cx="4490357" cy="4122964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2AD8DA0C-E277-F886-CF87-A25F5AEAED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7EB53CD2-D433-5FBF-E04B-70649A83A9E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E53B719A-A143-5E33-C9AA-6FD212533F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14D38B76-0AB8-58D5-A593-02114D1E5F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D5E700E0-5957-28B8-34B2-21C0ED8CE8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ED27260C-77DB-F885-DC01-698AF34CB37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BE247958-3909-9377-60BD-4A248C9D644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C0CE093B-89DF-E06D-F928-4BDD230BBA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C53AA57A-FEDE-1725-6D3A-AF72AB60A64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1092398D-402D-F6C3-3F23-5543D9CABCB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9C39051-FDBE-7706-D408-C146BEAAFBA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46320BB7-CE30-53D0-ECF0-6845E28E10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66B629D-1D1A-5C64-445E-9753268AC26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37C1D0AB-1C08-A197-F850-8605812F502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70FE7CE9-F6CB-DC49-42CA-87B920143B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30</xdr:row>
      <xdr:rowOff>176894</xdr:rowOff>
    </xdr:from>
    <xdr:to>
      <xdr:col>25</xdr:col>
      <xdr:colOff>408214</xdr:colOff>
      <xdr:row>49</xdr:row>
      <xdr:rowOff>163287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FD13626-A577-4990-B921-7C201A583DF0}"/>
            </a:ext>
          </a:extLst>
        </xdr:cNvPr>
        <xdr:cNvGrpSpPr/>
      </xdr:nvGrpSpPr>
      <xdr:grpSpPr>
        <a:xfrm>
          <a:off x="14137821" y="6817180"/>
          <a:ext cx="4490357" cy="4122964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EB3808DA-5E86-01BA-DACA-A29D02CC90E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90A222B4-3FFA-EA16-4810-4BB08BF3E35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76A6B061-426F-332C-1BFC-92AA1897F07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F646597E-A982-74A3-5D34-C13B0770B4F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A86E6343-AA89-1377-65C4-58995BD77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7FC49E8D-5014-4084-14FC-F3205C28307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D3CC7230-FCE9-BC56-E969-DAE8E8C86A5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0A7B5B05-62DD-17CE-A017-663110780C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184CA9EB-642A-8896-4E69-1FB957C63B2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AA2247-C147-3C75-1A88-063275F68F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B768AA6F-B9A7-6EF2-D88C-AFA7017050D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285BBDDD-4AC7-6CB6-55D4-1FBF5FE940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A595607-88DE-1E4E-3CE5-85F8B343FEC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FD2175C8-5413-7EC4-EB3D-94E20B14A9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5520ECC4-598A-2CEE-3002-A599686B93D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52</xdr:row>
      <xdr:rowOff>176900</xdr:rowOff>
    </xdr:from>
    <xdr:to>
      <xdr:col>16</xdr:col>
      <xdr:colOff>408214</xdr:colOff>
      <xdr:row>73</xdr:row>
      <xdr:rowOff>7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411DB76C-8508-4DBF-9754-BF3C3010B8DC}"/>
            </a:ext>
          </a:extLst>
        </xdr:cNvPr>
        <xdr:cNvGrpSpPr/>
      </xdr:nvGrpSpPr>
      <xdr:grpSpPr>
        <a:xfrm>
          <a:off x="8014607" y="11606900"/>
          <a:ext cx="4490357" cy="4122964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6FCCDD5E-645E-C8DA-8314-97EA099C1C5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DC53DDBD-B77C-6AFB-AFF4-2A70A60FC39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6FF2613E-BE0F-26A3-CE02-9E2AD505CF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08BCD461-FD32-AE7C-7BAF-C17C7E2DB61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6C149FA3-AC1B-BE2A-6EB2-CCB81B38E48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A48219CF-7577-8B86-004B-89CBF88692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DC62C142-DC5B-167B-6928-2EB87269DCD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3505DE71-1254-B735-F762-E98BB028321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1F90FBBF-C239-4142-83AC-0F7CBEB376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2AB81E0A-3B47-F71F-3087-F544762107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DE339460-E262-C836-42D8-5EC7B7623B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79FA50D4-81C7-6ABC-A95A-99F44668E7F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C8E7F3D9-8E78-5663-CFBE-1D230761CC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BF26D976-79B3-4F7C-F4A9-BF056A4A96E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B9D3397E-E3AA-69B3-75D1-C6B4930DFFE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40818</xdr:rowOff>
    </xdr:from>
    <xdr:to>
      <xdr:col>15</xdr:col>
      <xdr:colOff>408214</xdr:colOff>
      <xdr:row>21</xdr:row>
      <xdr:rowOff>27211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9957DE4-28FE-49BD-80A4-0CE7EDEFD891}"/>
            </a:ext>
          </a:extLst>
        </xdr:cNvPr>
        <xdr:cNvGrpSpPr/>
      </xdr:nvGrpSpPr>
      <xdr:grpSpPr>
        <a:xfrm>
          <a:off x="7334250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157F019-BA62-A3D8-FCCC-C545149BCA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D454C072-A358-2D3C-6032-CECC0EF15E4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CAA5518-85F1-5033-122F-454ED0ED6B7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A4B068A-451F-4E7F-671F-A074F57B473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B6FB35-3364-50B0-53A6-DAA713B3EF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B53358B-08C0-0AFC-8699-2CE121D0B3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614BAED-46ED-CB74-2B81-B43833B21E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EC17345-0C74-5D66-5904-D2179CCD726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46E3BE-66F7-C35E-29E8-8E3E3F05767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88819DD-F8BC-6313-108D-DF91861243A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EBAFE2B-60A7-C330-BE45-63FF5D09A01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20020C2-EB57-0816-D819-3F28B6AB65D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38E38C6-453F-59EA-D1FC-593A72FA32E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5993F48-90C8-4EDF-C6FD-E3F438284D4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5ACCFDD-E456-3AB6-A43F-E5C9BCD47D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</xdr:row>
      <xdr:rowOff>40818</xdr:rowOff>
    </xdr:from>
    <xdr:to>
      <xdr:col>23</xdr:col>
      <xdr:colOff>408214</xdr:colOff>
      <xdr:row>21</xdr:row>
      <xdr:rowOff>27211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26ED44-B06A-49B8-9A6A-B33CFFB68679}"/>
            </a:ext>
          </a:extLst>
        </xdr:cNvPr>
        <xdr:cNvGrpSpPr/>
      </xdr:nvGrpSpPr>
      <xdr:grpSpPr>
        <a:xfrm>
          <a:off x="12777107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3438607-0E04-EBAC-29DC-3F1EF80307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591DA47B-1DF6-C107-3811-2F7B30F8572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C6B41FB9-D6C7-286C-762F-DE46003F976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4F45193B-9A34-EB65-17B0-FE2963491AC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FD0194F-E4DA-5D2F-92EC-42DD564628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6DCF99F-A398-5816-2EFE-17A94649C89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A9428CA7-6163-F71C-E045-AFF42AC9CA3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ABCEFDE9-387F-FFA0-EB5B-CBCC67A6E8E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D429571-08C1-EF93-168F-316137D2D7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B0A0C37E-93A0-2E0B-163A-35A5485FAA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29C2C9E-2D15-BEA6-7A33-A644789049A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1F17B71-A6BD-B30C-3F97-8F9A180DDBE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8DC288F-034A-BAB9-01B4-A36E8B3297E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E8E2931-B1D2-289E-42DB-64BE0B641A7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BC450E17-C0BF-A48E-3671-EA2B272F456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26</xdr:row>
      <xdr:rowOff>122461</xdr:rowOff>
    </xdr:from>
    <xdr:to>
      <xdr:col>15</xdr:col>
      <xdr:colOff>408214</xdr:colOff>
      <xdr:row>46</xdr:row>
      <xdr:rowOff>13604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BA3BE218-BCB3-445D-B778-E5C543FD1C66}"/>
            </a:ext>
          </a:extLst>
        </xdr:cNvPr>
        <xdr:cNvGrpSpPr/>
      </xdr:nvGrpSpPr>
      <xdr:grpSpPr>
        <a:xfrm>
          <a:off x="7334250" y="5891890"/>
          <a:ext cx="4490357" cy="4109357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3D573C5D-95FE-2D62-D0A3-AD424C85DCC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40C0D251-ECF6-6693-7AB0-D9C5FE5DC7F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3F7E5774-0D0A-590C-2601-092DFB0CA5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B3A2059D-6310-841A-5549-CDC568FA86A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639E450-786C-95BC-8D0F-40AECB8F90D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8ACE1A14-115B-F24F-56B2-16235EF1905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472904C-E722-682A-2446-807C5A3B73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225A2BF0-4D0A-B857-4C2D-8E38F45A3D5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62753115-4307-3E1D-6913-3FC64D6233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B5E0A11-599C-B88A-729B-458DF3CE41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FE96748A-6A51-C072-9D62-583904A3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CB73475-7B59-BB4B-16E6-02CA10B225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357DCC29-8BA8-107E-55AF-81A909ED39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5F5B607-0C96-EB31-288B-5E1D7A901E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FED5BFC6-97B2-0E0F-5D83-634740D4D81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26</xdr:row>
      <xdr:rowOff>217709</xdr:rowOff>
    </xdr:from>
    <xdr:to>
      <xdr:col>23</xdr:col>
      <xdr:colOff>408214</xdr:colOff>
      <xdr:row>46</xdr:row>
      <xdr:rowOff>108852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63CAABDB-50B0-4A7B-822B-ACC74BDDC70D}"/>
            </a:ext>
          </a:extLst>
        </xdr:cNvPr>
        <xdr:cNvGrpSpPr/>
      </xdr:nvGrpSpPr>
      <xdr:grpSpPr>
        <a:xfrm>
          <a:off x="12777107" y="5987138"/>
          <a:ext cx="4490357" cy="410935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B1B32782-E6F4-E837-EA4B-65CC2845B2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833502B5-9725-5506-95A6-401C8AB8E40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D66CAD7A-9867-D142-914F-41A7FE7782A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94F049E2-C8C9-2468-4E24-1F9F91EC9E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24A328F-BD56-C075-2F55-DA5624D26D5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65D423-E9FA-B420-E8E0-D23204DEAF4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4C1070A-93CB-FBC3-7EBD-C89F6BCB4C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89D8C3A-5765-0790-091E-49E22245A92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BB90C0B3-B02A-3E56-F86B-8FB92ECAE5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2F65031F-17B8-DD7F-5F62-46361E286C7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37088A52-FBF6-6F0C-4061-FDC106FAD8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292E7127-E36B-D0A7-FFB9-F859BC705F1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D6FF37-B76C-00B0-4969-5AF8636957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DC3B15B-E80D-30A7-917C-B55FD79CE71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CF71FB1D-CF66-E3D2-E562-AA4E4C1CD43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50</xdr:row>
      <xdr:rowOff>176890</xdr:rowOff>
    </xdr:from>
    <xdr:to>
      <xdr:col>15</xdr:col>
      <xdr:colOff>408214</xdr:colOff>
      <xdr:row>71</xdr:row>
      <xdr:rowOff>13604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745988D9-031A-4CED-B514-3CD42868D0BD}"/>
            </a:ext>
          </a:extLst>
        </xdr:cNvPr>
        <xdr:cNvGrpSpPr/>
      </xdr:nvGrpSpPr>
      <xdr:grpSpPr>
        <a:xfrm>
          <a:off x="7334250" y="10994569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6CDA2D3C-B48A-BCC6-E66A-7FBA6AEF40C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790B5FE2-7A7B-D39B-0C54-7B3CA6D8A1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46C6454F-4CF7-7F8E-6BA5-7FAECEA96B0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70B743C-956C-BCA9-7173-72565236140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7999706B-C13F-E7AC-6247-878BCE346A7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E125779-2EAA-E51D-D45F-E1CE71817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A04C7B7-D568-3897-2614-350A2B56B0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11A878C-BA3A-43AE-DBB5-CA6BFD20A1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48F4B9F-3FF1-0098-7F08-4C9F2738FF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E736C1B5-C745-6004-4C37-8440B666C3D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BD14002-2D52-3B40-EAFD-04FD67D9162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5FC5B2FE-7256-EF0B-AD04-0BE90DDDB9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B51F090D-6C61-052F-4AEB-D07D4DC2AF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88ED3AB2-F628-28B8-FA6A-3889C634ED6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48F3E7FC-61D6-1E55-6A38-14199ED5E6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F04F9A9-DC5F-417D-931B-5A7837698BBD}"/>
            </a:ext>
          </a:extLst>
        </xdr:cNvPr>
        <xdr:cNvGrpSpPr/>
      </xdr:nvGrpSpPr>
      <xdr:grpSpPr>
        <a:xfrm>
          <a:off x="8014607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314DE28-6820-30E4-7A6A-3D0C64DD3A9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B29C32-72A2-3871-E515-7E8C619E29A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1E09D23-1917-695A-05FE-6285EE7E8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771D1B8-94FC-E9BC-CBD5-E4185715083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2A4A489-3E53-E8B2-8E48-B2B54F8326A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40D59E6-BEAD-9C54-86AA-AB0DE845BA2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375489A-6E07-471F-D9C9-F7C0726DF5D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AAD8459-8B01-B71C-147C-86067916AD3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E04FC4-6118-8B14-3C60-8946FDAAEC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D765F40-4BEF-2854-20D7-EF2636978F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1001B9A-11B7-0F61-0C90-542EF48BF8E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895AAF7-A11B-F774-F511-74C72E96B2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5670648-E507-F593-4DAE-E30A5DBB9AA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88ECC2D-6A99-AE95-C61C-7CF40AD1B0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C6D0B36-F1D0-4842-BEAC-1C9FA54ACF9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40821</xdr:colOff>
      <xdr:row>1</xdr:row>
      <xdr:rowOff>204103</xdr:rowOff>
    </xdr:from>
    <xdr:to>
      <xdr:col>25</xdr:col>
      <xdr:colOff>449035</xdr:colOff>
      <xdr:row>20</xdr:row>
      <xdr:rowOff>176888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428FD4-EAB6-4A1A-AF59-DCC44C81EB57}"/>
            </a:ext>
          </a:extLst>
        </xdr:cNvPr>
        <xdr:cNvGrpSpPr/>
      </xdr:nvGrpSpPr>
      <xdr:grpSpPr>
        <a:xfrm>
          <a:off x="14178642" y="517067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EDADB88-A378-81BA-0A8F-1BB2D1131D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228D7350-E576-EEA8-21EB-50FFD884E54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1E71B19-E2CC-9853-92DA-85BC0B9BE01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DBB78D1C-A1EC-E5F2-A788-655B2E8C5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6D1DA77-5843-FB1F-1555-95745E47F3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A8DD1CE-0C67-2E6C-82A6-06CA117491C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F16AC9AE-D355-4B26-07E1-83BE31EF5D5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83197C0A-F6DA-B328-06B2-3860682677C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E3DAEC9F-1795-CF42-D3C9-894C5FEDCD2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326DCD0-4628-DE52-D4AE-CE5262B52F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FBCF673-7CA7-7B34-8F44-77018BC61DE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B36912D-2050-C617-AE0E-23148298C3B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918802C2-65E2-A544-988A-39732F5BDC8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436C0EF-579B-0B8D-BE16-E23D47649E9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F1D0C7E1-34D5-2C76-C1A2-468E76076CB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23</xdr:row>
      <xdr:rowOff>0</xdr:rowOff>
    </xdr:from>
    <xdr:to>
      <xdr:col>16</xdr:col>
      <xdr:colOff>408214</xdr:colOff>
      <xdr:row>41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845E809D-67AF-4813-AFD0-B2FB537B1092}"/>
            </a:ext>
          </a:extLst>
        </xdr:cNvPr>
        <xdr:cNvGrpSpPr/>
      </xdr:nvGrpSpPr>
      <xdr:grpSpPr>
        <a:xfrm>
          <a:off x="8014607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4279A89A-3CD4-CC05-0D3C-A750A0E31D4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AFEAB00D-3FF2-E00D-753B-7D9D2C9ED6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9763E17-66C8-30A6-B1A5-C8AF9A7C8F6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7F6FBC7C-7E06-4D7B-AFA3-7CCAE2371D6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CAF7654-02B2-28F7-9CFF-E250A8300DE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3AADB55-C95B-6ACF-BE05-AD987B1419D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6AC5D40C-E1D3-A097-7CC1-134874BAE0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BA0FD56F-56A8-2DF6-EAB8-5A768643A5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A48462EB-5EE0-7E7E-A73A-0CD3AF82D4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EC955E5-63A7-2DFB-8AD8-481AABBC69B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6D7B8641-6E9E-FD80-3843-9A92340448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14EBDB9-D704-4D19-03AE-71ACF1FA6CA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2C26FFA-CC37-0844-6764-E57CF2870AD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DB79684-DEDC-D1B1-D122-60570991C4F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7DF53F3F-7AAA-908A-4BAE-3360843C98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23</xdr:row>
      <xdr:rowOff>0</xdr:rowOff>
    </xdr:from>
    <xdr:to>
      <xdr:col>25</xdr:col>
      <xdr:colOff>408214</xdr:colOff>
      <xdr:row>41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A7841BE2-C334-4E51-9EF5-07B8A06CB022}"/>
            </a:ext>
          </a:extLst>
        </xdr:cNvPr>
        <xdr:cNvGrpSpPr/>
      </xdr:nvGrpSpPr>
      <xdr:grpSpPr>
        <a:xfrm>
          <a:off x="14137821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A4CD747A-75F5-7A9F-A2A9-19B0D800C8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2187596E-297B-1C45-3CF8-F30962EA62B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161DEF84-740F-F519-770C-6749A04A9F6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B2B795B2-6C40-C891-8E67-5B1C3D211AB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7D16748-4063-280E-8008-31E15946CA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DAC59B-67A1-F55D-DADF-117CBC175FE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DDC716C2-B67A-17D9-21A4-1652F37D693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357485FD-FAC2-80BF-1CCF-2A2820C6A04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9ADFB832-7515-0414-6810-9113FE840A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AC1C29-0517-5B7C-D8B8-9602827B5A1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A5D9C43-8DD3-4789-0AA4-CCD9FABED7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134A79D-FBF6-14F5-DB69-07DB047BE71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2CFCF3-3EE0-4B8D-A54E-46FBCCC411E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ABDC0D43-2FEC-48C7-FCF5-36B0B30DA52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BE7D0494-485C-C3B8-FEC5-29AA9CF769A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46</xdr:row>
      <xdr:rowOff>0</xdr:rowOff>
    </xdr:from>
    <xdr:to>
      <xdr:col>16</xdr:col>
      <xdr:colOff>408214</xdr:colOff>
      <xdr:row>64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3BCB8AB5-3302-4E6D-AAB7-ADA54F85F9D4}"/>
            </a:ext>
          </a:extLst>
        </xdr:cNvPr>
        <xdr:cNvGrpSpPr/>
      </xdr:nvGrpSpPr>
      <xdr:grpSpPr>
        <a:xfrm>
          <a:off x="8014607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CF786F3F-B878-52EE-F2EB-225F8524623C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44DCFBD-02BA-D338-154F-6112856F32D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A892F15B-4049-C760-1F68-4974A661D0E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639561F5-E2B0-CA3F-3E4D-5822071776A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6C1D9D4E-C3A3-9739-411B-B79ECF52AC9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89373E02-3553-47DB-4588-4A6C265286B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37233E3-9C1D-D1AD-7EC6-7EA1A89CF9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56B0315-C25F-A00E-DC36-CC3B32B8F72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0C43EEE1-4E93-2FED-FA70-101FF00B003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9114E657-E8C4-C6BB-F2A7-7208831A8F8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A157D44C-0BCD-7388-F0A7-77BA7B7E102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67948D1-35AA-FAAB-0580-BD5328BDB3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72FAADA-5B92-E25E-7249-090AF607219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9C91F95E-ADDF-4C3F-23F0-BA943847D8E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80B2A7FD-1E74-0656-055A-81ABF1F95D0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2A883EF-B12E-41C2-9A72-6E9B0AC393F0}"/>
            </a:ext>
          </a:extLst>
        </xdr:cNvPr>
        <xdr:cNvGrpSpPr/>
      </xdr:nvGrpSpPr>
      <xdr:grpSpPr>
        <a:xfrm>
          <a:off x="8123464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B849101-1CBF-E04D-CDF3-5CFA78090B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60C3D6A-4DDF-5C5F-0229-8ACEECF6DB2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3AED311-64BD-78C5-475A-CB390B4FB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E50BDE0-D376-2824-C7D4-E88CC3CF716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E42827-11BC-CD2B-5E4A-04BBA0F628C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3A91011-E334-99FD-6F5E-17E02A23B08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8D1FC5E-5CAC-E1EC-BF29-C49BCB2586A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F3891C-50B2-B4DF-66DF-A4E93B74CC9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0A0C027-F33B-11CD-085D-5263BEEA2B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D89FD41-077F-FAC4-6CD9-A3A40189E40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AE71159-DC85-F754-1363-C11401D9689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8152E7-CA14-CDA7-2AE9-44C2E012F5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10E0360-C5DA-7BEF-FA7B-F74C3408585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9D620EB-FE39-4FE0-1271-9A5D4A0D77D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45789BB-4765-4028-918A-F76E767C8DB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</xdr:row>
      <xdr:rowOff>0</xdr:rowOff>
    </xdr:from>
    <xdr:to>
      <xdr:col>23</xdr:col>
      <xdr:colOff>408214</xdr:colOff>
      <xdr:row>20</xdr:row>
      <xdr:rowOff>204107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4AB29C6-D27B-4FF7-909E-DEF674D311BF}"/>
            </a:ext>
          </a:extLst>
        </xdr:cNvPr>
        <xdr:cNvGrpSpPr/>
      </xdr:nvGrpSpPr>
      <xdr:grpSpPr>
        <a:xfrm>
          <a:off x="13566321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A1DEE06-7BCC-F98C-EF12-0C0DA18B427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4910D44D-1557-C193-23D8-D840DEBBEE3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A9B7CD4-F45A-E9DB-D291-51D2612248A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35EAE41C-115E-4089-4726-13B4400CFF9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D647DB6-05A9-435B-E9B1-63501BC35ED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19B6DC7-497B-700E-77DE-1F5B75D0B7D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DF9626CF-A354-2C19-F4DE-1267A936590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BFE0F46B-D36C-50E7-03EE-EC58FD1AFC9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06AF953-BA3A-A2EE-9070-4E2BB1F2C58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404D8EAF-41C5-7F5B-8278-6E8E6F6EAD1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B0C2C6E-F5B0-388A-932D-A65B1BA4FB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450D06C5-9E01-3A43-74A9-6781DB91A4A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43B8AB9-CE56-204E-788F-061D48477B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9F1848C0-01FA-F5A7-BA07-01217CFEF61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5446317-70CB-C0E0-E48F-CFA83EE143E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24</xdr:row>
      <xdr:rowOff>0</xdr:rowOff>
    </xdr:from>
    <xdr:to>
      <xdr:col>15</xdr:col>
      <xdr:colOff>408214</xdr:colOff>
      <xdr:row>42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36BB1975-6F00-4837-A3FA-4AA7881F3366}"/>
            </a:ext>
          </a:extLst>
        </xdr:cNvPr>
        <xdr:cNvGrpSpPr/>
      </xdr:nvGrpSpPr>
      <xdr:grpSpPr>
        <a:xfrm>
          <a:off x="8123464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075BBD4F-067C-9980-34C3-7D947FB12C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C272509A-ACB0-553D-FCB5-EFE18290C95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2FFE8BDF-3B5B-0E5C-3C5D-1D117C63AD6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99407789-BA38-11E9-FFA4-A87EB9BA4E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F6B61D-F313-0F91-4D70-4D9393F1FE9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C42A28F-07B6-B2B8-89CC-EB82B4BA9CB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2C1C395-A0A0-85AC-17EC-56AA35E838E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36CE310-45BD-91F4-303D-F0DE484EB4F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920A0BEB-C629-3DA3-C18B-2CD9D13398C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48751AD-F423-15C0-5804-C6EDA03C5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A6A0DE1-50DF-B3AD-95F3-A10ACCBB6F3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554A3AD-B23C-31A7-D604-C267A4A152C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7A7C5318-1E2E-E05D-22E6-4378598600F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73EEC861-E5D5-9BFA-D59A-1B0DD6A3980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20905E9-86DE-96B6-895D-F2D97BD7D15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24</xdr:row>
      <xdr:rowOff>0</xdr:rowOff>
    </xdr:from>
    <xdr:to>
      <xdr:col>23</xdr:col>
      <xdr:colOff>408214</xdr:colOff>
      <xdr:row>42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CA4A26DC-A041-4CFE-B429-49B3AD97D56D}"/>
            </a:ext>
          </a:extLst>
        </xdr:cNvPr>
        <xdr:cNvGrpSpPr/>
      </xdr:nvGrpSpPr>
      <xdr:grpSpPr>
        <a:xfrm>
          <a:off x="13566321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FA4A7F7B-B5B0-E024-BEAD-0CBE07F2D6E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BF556547-D16A-4E80-C669-DB2741F139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5140D165-F7DC-CE70-4304-8E82E661406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8F653348-49A5-9493-10FF-6C149628690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9BECDD9E-85B8-F254-FC36-C934BFAD95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6C6C135E-2A24-078B-A699-545A9C9738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9841A785-BDE8-0D9F-BFB0-03EE67149EA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B0921816-F981-E654-1162-DF525883D24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DA5E1A51-CF5D-1956-5AB6-DA2598DB57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C4F5E1-DFCB-2F46-5259-6FCAEFD319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22AE2B7A-46BF-145A-C006-35DDECE9291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8CDCF1FE-3086-A3EC-6E98-D2CFDD5CDF0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1760FD98-80BB-F195-A9EC-0562612FA1C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14F8892-906D-8DC2-6C4C-0BC1C978FD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A89139F0-6DDD-1419-246B-0CB38486859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48</xdr:row>
      <xdr:rowOff>0</xdr:rowOff>
    </xdr:from>
    <xdr:to>
      <xdr:col>15</xdr:col>
      <xdr:colOff>408214</xdr:colOff>
      <xdr:row>66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CD4D704-330B-49BD-A206-3B5B700BE747}"/>
            </a:ext>
          </a:extLst>
        </xdr:cNvPr>
        <xdr:cNvGrpSpPr/>
      </xdr:nvGrpSpPr>
      <xdr:grpSpPr>
        <a:xfrm>
          <a:off x="8123464" y="10559143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B55D49-10AC-9839-A664-468074CD80E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DE102500-1F9A-4719-742B-DFAF4B53472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CB0C1FF3-58DE-57BB-8135-7265106E80F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971EAD8-861A-BF84-1AEE-57559F89F43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F92F7146-2CE6-A264-85C6-66880C6947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7916065-EEBE-0737-6B6E-5F5B01E7AC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8BC2E686-124E-EC5E-BBA8-9D96ABC755E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73C6CCB-9641-1839-E712-94D47C2D7D5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4445D92F-9DD2-19A8-FF22-B0042FD22DF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3A1A68E-21A1-4B6D-FA4B-1F081453DC9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20376CD-2EDB-6886-D506-07E4FCED6A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67316DF7-8CAA-5597-3625-D216AE8E40F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775EF65-7718-2459-B83A-D3BBFC2256F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AB763C80-4791-6842-6169-C61D3D3E1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C5CAD243-CD9F-90B9-2850-44836547B3E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A8CB-6C79-4BEF-8333-9A89724CE6FA}">
  <dimension ref="A1:T75"/>
  <sheetViews>
    <sheetView topLeftCell="A14" zoomScale="70" zoomScaleNormal="70" workbookViewId="0">
      <selection activeCell="S35" sqref="S35"/>
    </sheetView>
  </sheetViews>
  <sheetFormatPr defaultRowHeight="16.5" x14ac:dyDescent="0.3"/>
  <cols>
    <col min="3" max="3" width="13.5" bestFit="1" customWidth="1"/>
    <col min="4" max="4" width="23" bestFit="1" customWidth="1"/>
    <col min="5" max="5" width="8.375" bestFit="1" customWidth="1"/>
    <col min="8" max="8" width="11.25" bestFit="1" customWidth="1"/>
  </cols>
  <sheetData>
    <row r="1" spans="1:20" ht="24.75" thickBot="1" x14ac:dyDescent="0.35">
      <c r="A1" s="44" t="s">
        <v>0</v>
      </c>
      <c r="B1" s="45"/>
      <c r="C1" s="45"/>
      <c r="D1" s="46"/>
      <c r="E1" s="44" t="s">
        <v>59</v>
      </c>
      <c r="F1" s="45"/>
      <c r="G1" s="45"/>
      <c r="H1" s="46"/>
    </row>
    <row r="2" spans="1:20" ht="18" thickBot="1" x14ac:dyDescent="0.35">
      <c r="A2" s="1" t="s">
        <v>60</v>
      </c>
      <c r="B2" s="1" t="s">
        <v>1</v>
      </c>
      <c r="C2" s="2" t="s">
        <v>252</v>
      </c>
      <c r="D2" s="2" t="s">
        <v>2</v>
      </c>
      <c r="E2" s="3" t="s">
        <v>3</v>
      </c>
      <c r="F2" s="3" t="s">
        <v>4</v>
      </c>
      <c r="G2" s="3" t="s">
        <v>4</v>
      </c>
      <c r="H2" s="3" t="s">
        <v>4</v>
      </c>
      <c r="I2" s="3" t="s">
        <v>5</v>
      </c>
    </row>
    <row r="3" spans="1:20" ht="17.25" x14ac:dyDescent="0.3">
      <c r="A3" s="15">
        <v>1</v>
      </c>
      <c r="B3" s="15" t="s">
        <v>64</v>
      </c>
      <c r="C3" s="16" t="s">
        <v>253</v>
      </c>
      <c r="D3" s="16" t="s">
        <v>173</v>
      </c>
      <c r="E3" s="6">
        <v>3.8</v>
      </c>
      <c r="F3" s="6">
        <v>18.899999999999999</v>
      </c>
      <c r="G3" s="6"/>
      <c r="H3" s="17"/>
      <c r="S3" t="s">
        <v>246</v>
      </c>
      <c r="T3" t="s">
        <v>247</v>
      </c>
    </row>
    <row r="4" spans="1:20" ht="17.25" x14ac:dyDescent="0.3">
      <c r="A4" s="15">
        <v>2</v>
      </c>
      <c r="B4" s="15"/>
      <c r="C4" s="16"/>
      <c r="D4" s="16" t="s">
        <v>174</v>
      </c>
      <c r="E4" s="6">
        <v>5.3</v>
      </c>
      <c r="F4" s="6">
        <v>16.5</v>
      </c>
      <c r="G4" s="6"/>
      <c r="H4" s="17"/>
      <c r="S4" t="s">
        <v>248</v>
      </c>
      <c r="T4" t="s">
        <v>249</v>
      </c>
    </row>
    <row r="5" spans="1:20" ht="17.25" x14ac:dyDescent="0.3">
      <c r="A5" s="15">
        <v>3</v>
      </c>
      <c r="B5" s="15"/>
      <c r="C5" s="16"/>
      <c r="D5" s="16" t="s">
        <v>175</v>
      </c>
      <c r="E5" s="6">
        <v>6.2</v>
      </c>
      <c r="F5" s="6">
        <v>17.600000000000001</v>
      </c>
      <c r="G5" s="6"/>
      <c r="H5" s="17"/>
      <c r="S5" t="s">
        <v>250</v>
      </c>
      <c r="T5" t="s">
        <v>251</v>
      </c>
    </row>
    <row r="6" spans="1:20" ht="17.25" x14ac:dyDescent="0.3">
      <c r="A6" s="15">
        <v>4</v>
      </c>
      <c r="B6" s="15"/>
      <c r="C6" s="16"/>
      <c r="D6" s="16" t="s">
        <v>176</v>
      </c>
      <c r="E6" s="6">
        <v>3.9</v>
      </c>
      <c r="F6" s="6">
        <v>17.3</v>
      </c>
      <c r="G6" s="6"/>
      <c r="H6" s="17"/>
    </row>
    <row r="7" spans="1:20" ht="17.25" x14ac:dyDescent="0.3">
      <c r="A7" s="15">
        <v>5</v>
      </c>
      <c r="B7" s="15"/>
      <c r="C7" s="16"/>
      <c r="D7" s="16" t="s">
        <v>177</v>
      </c>
      <c r="E7" s="6">
        <v>5.6</v>
      </c>
      <c r="F7" s="6">
        <v>21.7</v>
      </c>
      <c r="G7" s="6"/>
      <c r="H7" s="17"/>
    </row>
    <row r="8" spans="1:20" ht="17.25" x14ac:dyDescent="0.3">
      <c r="A8" s="15">
        <v>6</v>
      </c>
      <c r="B8" s="15"/>
      <c r="C8" s="16"/>
      <c r="D8" s="16" t="s">
        <v>178</v>
      </c>
      <c r="E8" s="6">
        <v>4.7</v>
      </c>
      <c r="F8" s="6">
        <v>19</v>
      </c>
      <c r="G8" s="6"/>
      <c r="H8" s="17"/>
    </row>
    <row r="9" spans="1:20" ht="17.25" x14ac:dyDescent="0.3">
      <c r="A9" s="15">
        <v>7</v>
      </c>
      <c r="B9" s="15"/>
      <c r="C9" s="16"/>
      <c r="D9" s="16" t="s">
        <v>179</v>
      </c>
      <c r="E9" s="6">
        <v>0.5</v>
      </c>
      <c r="F9" s="6">
        <v>22.7</v>
      </c>
      <c r="G9" s="6"/>
      <c r="H9" s="17"/>
    </row>
    <row r="10" spans="1:20" ht="17.25" x14ac:dyDescent="0.3">
      <c r="A10" s="15">
        <v>8</v>
      </c>
      <c r="B10" s="15"/>
      <c r="C10" s="16"/>
      <c r="D10" s="16" t="s">
        <v>180</v>
      </c>
      <c r="E10" s="6">
        <v>0.9</v>
      </c>
      <c r="F10" s="6">
        <v>21.8</v>
      </c>
      <c r="G10" s="6"/>
      <c r="H10" s="17"/>
    </row>
    <row r="11" spans="1:20" ht="17.25" x14ac:dyDescent="0.3">
      <c r="A11" s="15">
        <v>9</v>
      </c>
      <c r="B11" s="15"/>
      <c r="C11" s="16"/>
      <c r="D11" s="16" t="s">
        <v>181</v>
      </c>
      <c r="E11" s="6">
        <v>1.7</v>
      </c>
      <c r="F11" s="6">
        <v>22.6</v>
      </c>
      <c r="G11" s="6"/>
      <c r="H11" s="17"/>
    </row>
    <row r="12" spans="1:20" ht="17.25" x14ac:dyDescent="0.3">
      <c r="A12" s="15">
        <v>10</v>
      </c>
      <c r="B12" s="15"/>
      <c r="C12" s="16"/>
      <c r="D12" s="16" t="s">
        <v>182</v>
      </c>
      <c r="E12" s="6">
        <v>0.4</v>
      </c>
      <c r="F12" s="6">
        <v>21.9</v>
      </c>
      <c r="G12" s="6"/>
      <c r="H12" s="17"/>
    </row>
    <row r="13" spans="1:20" ht="17.25" x14ac:dyDescent="0.3">
      <c r="A13" s="15">
        <v>11</v>
      </c>
      <c r="B13" s="15"/>
      <c r="C13" s="16"/>
      <c r="D13" s="16" t="s">
        <v>183</v>
      </c>
      <c r="E13" s="6">
        <v>1</v>
      </c>
      <c r="F13" s="6">
        <v>19</v>
      </c>
      <c r="G13" s="6"/>
      <c r="H13" s="17"/>
    </row>
    <row r="14" spans="1:20" ht="17.25" x14ac:dyDescent="0.3">
      <c r="A14" s="15">
        <v>12</v>
      </c>
      <c r="B14" s="15"/>
      <c r="C14" s="16"/>
      <c r="D14" s="16" t="s">
        <v>184</v>
      </c>
      <c r="E14" s="6">
        <v>3</v>
      </c>
      <c r="F14" s="6">
        <v>20.9</v>
      </c>
      <c r="G14" s="6"/>
      <c r="H14" s="17"/>
    </row>
    <row r="15" spans="1:20" ht="17.25" x14ac:dyDescent="0.3">
      <c r="A15" s="15">
        <v>13</v>
      </c>
      <c r="B15" s="15"/>
      <c r="C15" s="16"/>
      <c r="D15" s="16" t="s">
        <v>185</v>
      </c>
      <c r="E15" s="6">
        <v>2</v>
      </c>
      <c r="F15" s="6">
        <v>20.399999999999999</v>
      </c>
      <c r="G15" s="6"/>
      <c r="H15" s="17"/>
    </row>
    <row r="16" spans="1:20" ht="17.25" x14ac:dyDescent="0.3">
      <c r="A16" s="15">
        <v>14</v>
      </c>
      <c r="B16" s="15"/>
      <c r="C16" s="16"/>
      <c r="D16" s="16" t="s">
        <v>186</v>
      </c>
      <c r="E16" s="6">
        <v>-0.9</v>
      </c>
      <c r="F16" s="6">
        <v>15.1</v>
      </c>
      <c r="G16" s="6"/>
      <c r="H16" s="17"/>
    </row>
    <row r="17" spans="1:8" ht="17.25" x14ac:dyDescent="0.3">
      <c r="A17" s="15">
        <v>15</v>
      </c>
      <c r="B17" s="15"/>
      <c r="C17" s="16"/>
      <c r="D17" s="16" t="s">
        <v>187</v>
      </c>
      <c r="E17" s="6">
        <v>1</v>
      </c>
      <c r="F17" s="6">
        <v>22.5</v>
      </c>
      <c r="G17" s="6"/>
      <c r="H17" s="17"/>
    </row>
    <row r="18" spans="1:8" ht="17.25" x14ac:dyDescent="0.3">
      <c r="A18" s="15">
        <v>16</v>
      </c>
      <c r="B18" s="15"/>
      <c r="C18" s="16"/>
      <c r="D18" s="16" t="s">
        <v>188</v>
      </c>
      <c r="E18" s="6">
        <v>3.8</v>
      </c>
      <c r="F18" s="6">
        <v>16.5</v>
      </c>
      <c r="G18" s="6"/>
      <c r="H18" s="17"/>
    </row>
    <row r="19" spans="1:8" ht="17.25" x14ac:dyDescent="0.3">
      <c r="A19" s="15">
        <v>17</v>
      </c>
      <c r="B19" s="15"/>
      <c r="C19" s="16"/>
      <c r="D19" s="16" t="s">
        <v>189</v>
      </c>
      <c r="E19" s="6">
        <v>-0.4</v>
      </c>
      <c r="F19" s="6">
        <v>18.899999999999999</v>
      </c>
      <c r="G19" s="6"/>
      <c r="H19" s="17"/>
    </row>
    <row r="20" spans="1:8" ht="17.25" x14ac:dyDescent="0.3">
      <c r="A20" s="15">
        <v>18</v>
      </c>
      <c r="B20" s="15"/>
      <c r="C20" s="16"/>
      <c r="D20" s="16" t="s">
        <v>190</v>
      </c>
      <c r="E20" s="6">
        <v>-1.1000000000000001</v>
      </c>
      <c r="F20" s="6">
        <v>14.1</v>
      </c>
      <c r="G20" s="6"/>
      <c r="H20" s="17"/>
    </row>
    <row r="21" spans="1:8" ht="17.25" x14ac:dyDescent="0.3">
      <c r="A21" s="15">
        <v>19</v>
      </c>
      <c r="B21" s="15"/>
      <c r="C21" s="16"/>
      <c r="D21" s="16" t="s">
        <v>191</v>
      </c>
      <c r="E21" s="6">
        <v>7.6</v>
      </c>
      <c r="F21" s="6">
        <v>19.7</v>
      </c>
      <c r="G21" s="6"/>
      <c r="H21" s="17"/>
    </row>
    <row r="22" spans="1:8" ht="17.25" x14ac:dyDescent="0.3">
      <c r="A22" s="15">
        <v>20</v>
      </c>
      <c r="B22" s="15"/>
      <c r="C22" s="16" t="s">
        <v>254</v>
      </c>
      <c r="D22" s="16" t="s">
        <v>192</v>
      </c>
      <c r="E22" s="6">
        <v>20.399999999999999</v>
      </c>
      <c r="G22" s="6">
        <v>7.4</v>
      </c>
      <c r="H22" s="17"/>
    </row>
    <row r="23" spans="1:8" ht="17.25" x14ac:dyDescent="0.3">
      <c r="A23" s="15">
        <v>21</v>
      </c>
      <c r="B23" s="15"/>
      <c r="C23" s="16"/>
      <c r="D23" s="16" t="s">
        <v>193</v>
      </c>
      <c r="E23" s="6">
        <v>-0.6</v>
      </c>
      <c r="G23" s="6">
        <v>8</v>
      </c>
      <c r="H23" s="17"/>
    </row>
    <row r="24" spans="1:8" ht="17.25" x14ac:dyDescent="0.3">
      <c r="A24" s="15">
        <v>22</v>
      </c>
      <c r="B24" s="15"/>
      <c r="C24" s="16"/>
      <c r="D24" s="16" t="s">
        <v>194</v>
      </c>
      <c r="E24" s="6">
        <v>21.7</v>
      </c>
      <c r="G24" s="6">
        <v>7.4</v>
      </c>
      <c r="H24" s="17"/>
    </row>
    <row r="25" spans="1:8" ht="17.25" x14ac:dyDescent="0.3">
      <c r="A25" s="15">
        <v>23</v>
      </c>
      <c r="B25" s="15"/>
      <c r="C25" s="16"/>
      <c r="D25" s="16" t="s">
        <v>195</v>
      </c>
      <c r="E25" s="6">
        <v>18.8</v>
      </c>
      <c r="G25" s="6">
        <v>8.8000000000000007</v>
      </c>
      <c r="H25" s="17"/>
    </row>
    <row r="26" spans="1:8" ht="17.25" x14ac:dyDescent="0.3">
      <c r="A26" s="15">
        <v>24</v>
      </c>
      <c r="B26" s="15"/>
      <c r="C26" s="16"/>
      <c r="D26" s="16" t="s">
        <v>196</v>
      </c>
      <c r="E26" s="6">
        <v>15</v>
      </c>
      <c r="G26" s="6">
        <v>11</v>
      </c>
      <c r="H26" s="17"/>
    </row>
    <row r="27" spans="1:8" ht="17.25" x14ac:dyDescent="0.3">
      <c r="A27" s="15">
        <v>25</v>
      </c>
      <c r="B27" s="15"/>
      <c r="C27" s="16"/>
      <c r="D27" s="16" t="s">
        <v>197</v>
      </c>
      <c r="E27" s="6">
        <v>15.7</v>
      </c>
      <c r="G27" s="6">
        <v>7.1</v>
      </c>
      <c r="H27" s="17"/>
    </row>
    <row r="28" spans="1:8" ht="17.25" x14ac:dyDescent="0.3">
      <c r="A28" s="15">
        <v>26</v>
      </c>
      <c r="B28" s="15"/>
      <c r="C28" s="16"/>
      <c r="D28" s="16" t="s">
        <v>198</v>
      </c>
      <c r="E28" s="6">
        <v>10.9</v>
      </c>
      <c r="G28" s="6">
        <v>1.6</v>
      </c>
      <c r="H28" s="17"/>
    </row>
    <row r="29" spans="1:8" ht="17.25" x14ac:dyDescent="0.3">
      <c r="A29" s="15">
        <v>27</v>
      </c>
      <c r="B29" s="15"/>
      <c r="C29" s="16"/>
      <c r="D29" s="16" t="s">
        <v>199</v>
      </c>
      <c r="E29" s="6">
        <v>17.2</v>
      </c>
      <c r="G29" s="6">
        <v>1</v>
      </c>
      <c r="H29" s="17"/>
    </row>
    <row r="30" spans="1:8" ht="17.25" x14ac:dyDescent="0.3">
      <c r="A30" s="15">
        <v>28</v>
      </c>
      <c r="B30" s="15"/>
      <c r="C30" s="16"/>
      <c r="D30" s="16" t="s">
        <v>200</v>
      </c>
      <c r="E30" s="6">
        <v>23.2</v>
      </c>
      <c r="G30" s="6">
        <v>14.4</v>
      </c>
      <c r="H30" s="17"/>
    </row>
    <row r="31" spans="1:8" ht="17.25" x14ac:dyDescent="0.3">
      <c r="A31" s="15">
        <v>29</v>
      </c>
      <c r="B31" s="15"/>
      <c r="C31" s="16"/>
      <c r="D31" s="16" t="s">
        <v>201</v>
      </c>
      <c r="E31" s="6">
        <v>21.7</v>
      </c>
      <c r="G31" s="6">
        <v>3.5</v>
      </c>
      <c r="H31" s="17"/>
    </row>
    <row r="32" spans="1:8" ht="17.25" x14ac:dyDescent="0.3">
      <c r="A32" s="15">
        <v>30</v>
      </c>
      <c r="B32" s="15"/>
      <c r="C32" s="16"/>
      <c r="D32" s="16" t="s">
        <v>202</v>
      </c>
      <c r="E32" s="6">
        <v>2.1</v>
      </c>
      <c r="G32" s="6">
        <v>4.4000000000000004</v>
      </c>
      <c r="H32" s="17"/>
    </row>
    <row r="33" spans="1:8" ht="17.25" x14ac:dyDescent="0.3">
      <c r="A33" s="15">
        <v>31</v>
      </c>
      <c r="B33" s="15"/>
      <c r="C33" s="16"/>
      <c r="D33" s="16" t="s">
        <v>203</v>
      </c>
      <c r="E33" s="6">
        <v>7.5</v>
      </c>
      <c r="G33" s="6">
        <v>-4</v>
      </c>
      <c r="H33" s="17"/>
    </row>
    <row r="34" spans="1:8" ht="17.25" x14ac:dyDescent="0.3">
      <c r="A34" s="15">
        <v>32</v>
      </c>
      <c r="B34" s="15"/>
      <c r="C34" s="16"/>
      <c r="D34" s="16" t="s">
        <v>204</v>
      </c>
      <c r="E34" s="6">
        <v>24.4</v>
      </c>
      <c r="G34" s="6">
        <v>10.5</v>
      </c>
      <c r="H34" s="17"/>
    </row>
    <row r="35" spans="1:8" ht="17.25" x14ac:dyDescent="0.3">
      <c r="A35" s="15">
        <v>33</v>
      </c>
      <c r="B35" s="15"/>
      <c r="C35" s="16"/>
      <c r="D35" s="16" t="s">
        <v>205</v>
      </c>
      <c r="E35" s="6">
        <v>11.5</v>
      </c>
      <c r="G35" s="6">
        <v>14.1</v>
      </c>
      <c r="H35" s="17"/>
    </row>
    <row r="36" spans="1:8" ht="17.25" x14ac:dyDescent="0.3">
      <c r="A36" s="15">
        <v>34</v>
      </c>
      <c r="B36" s="15"/>
      <c r="C36" s="16"/>
      <c r="D36" s="16" t="s">
        <v>206</v>
      </c>
      <c r="E36" s="6">
        <v>24</v>
      </c>
      <c r="G36" s="6">
        <v>7.6</v>
      </c>
      <c r="H36" s="17"/>
    </row>
    <row r="37" spans="1:8" ht="17.25" x14ac:dyDescent="0.3">
      <c r="A37" s="15">
        <v>35</v>
      </c>
      <c r="B37" s="15"/>
      <c r="C37" s="16"/>
      <c r="D37" s="16" t="s">
        <v>207</v>
      </c>
      <c r="E37" s="6">
        <v>-1.2</v>
      </c>
      <c r="G37" s="6">
        <v>4.4000000000000004</v>
      </c>
      <c r="H37" s="17"/>
    </row>
    <row r="38" spans="1:8" ht="17.25" x14ac:dyDescent="0.3">
      <c r="A38" s="15">
        <v>36</v>
      </c>
      <c r="B38" s="15"/>
      <c r="C38" s="16"/>
      <c r="D38" s="16" t="s">
        <v>208</v>
      </c>
      <c r="E38" s="6">
        <v>12.2</v>
      </c>
      <c r="G38" s="6">
        <v>5.4</v>
      </c>
      <c r="H38" s="17"/>
    </row>
    <row r="39" spans="1:8" ht="17.25" x14ac:dyDescent="0.3">
      <c r="A39" s="15">
        <v>37</v>
      </c>
      <c r="B39" s="15"/>
      <c r="C39" s="16"/>
      <c r="D39" s="16" t="s">
        <v>209</v>
      </c>
      <c r="E39" s="6">
        <v>22.6</v>
      </c>
      <c r="G39" s="6">
        <v>12.5</v>
      </c>
      <c r="H39" s="17"/>
    </row>
    <row r="40" spans="1:8" ht="17.25" x14ac:dyDescent="0.3">
      <c r="A40" s="15">
        <v>38</v>
      </c>
      <c r="B40" s="15"/>
      <c r="C40" s="16"/>
      <c r="D40" s="16" t="s">
        <v>210</v>
      </c>
      <c r="E40" s="6">
        <v>17.7</v>
      </c>
      <c r="G40" s="6">
        <v>5.8</v>
      </c>
      <c r="H40" s="17"/>
    </row>
    <row r="41" spans="1:8" ht="17.25" x14ac:dyDescent="0.3">
      <c r="A41" s="15">
        <v>39</v>
      </c>
      <c r="B41" s="15"/>
      <c r="C41" s="16"/>
      <c r="D41" s="16" t="s">
        <v>211</v>
      </c>
      <c r="E41" s="6">
        <v>-1</v>
      </c>
      <c r="G41" s="6">
        <v>-2.8</v>
      </c>
      <c r="H41" s="17"/>
    </row>
    <row r="42" spans="1:8" ht="17.25" x14ac:dyDescent="0.3">
      <c r="A42" s="15">
        <v>40</v>
      </c>
      <c r="B42" s="15"/>
      <c r="C42" s="16"/>
      <c r="D42" s="16" t="s">
        <v>212</v>
      </c>
      <c r="E42" s="6">
        <v>13</v>
      </c>
      <c r="G42" s="6">
        <v>9.3000000000000007</v>
      </c>
      <c r="H42" s="17"/>
    </row>
    <row r="43" spans="1:8" ht="17.25" x14ac:dyDescent="0.3">
      <c r="A43" s="15">
        <v>41</v>
      </c>
      <c r="B43" s="15"/>
      <c r="C43" s="16"/>
      <c r="D43" s="16" t="s">
        <v>213</v>
      </c>
      <c r="E43" s="6">
        <v>9.4</v>
      </c>
      <c r="G43" s="6">
        <v>-4.5</v>
      </c>
      <c r="H43" s="17"/>
    </row>
    <row r="44" spans="1:8" ht="17.25" x14ac:dyDescent="0.3">
      <c r="A44" s="15">
        <v>42</v>
      </c>
      <c r="B44" s="15"/>
      <c r="C44" s="16"/>
      <c r="D44" s="16" t="s">
        <v>214</v>
      </c>
      <c r="E44" s="6">
        <v>13.2</v>
      </c>
      <c r="G44" s="6">
        <v>10</v>
      </c>
      <c r="H44" s="17"/>
    </row>
    <row r="45" spans="1:8" ht="17.25" x14ac:dyDescent="0.3">
      <c r="A45" s="15">
        <v>43</v>
      </c>
      <c r="B45" s="15"/>
      <c r="C45" s="16"/>
      <c r="D45" s="16" t="s">
        <v>215</v>
      </c>
      <c r="E45" s="6">
        <v>26.2</v>
      </c>
      <c r="G45" s="6">
        <v>10.7</v>
      </c>
      <c r="H45" s="17"/>
    </row>
    <row r="46" spans="1:8" ht="17.25" x14ac:dyDescent="0.3">
      <c r="A46" s="15">
        <v>44</v>
      </c>
      <c r="B46" s="15"/>
      <c r="C46" s="16"/>
      <c r="D46" s="16" t="s">
        <v>216</v>
      </c>
      <c r="E46" s="6">
        <v>17.100000000000001</v>
      </c>
      <c r="G46" s="6">
        <v>2.6</v>
      </c>
      <c r="H46" s="17"/>
    </row>
    <row r="47" spans="1:8" ht="17.25" x14ac:dyDescent="0.3">
      <c r="A47" s="15">
        <v>45</v>
      </c>
      <c r="B47" s="15"/>
      <c r="C47" s="16"/>
      <c r="D47" s="16" t="s">
        <v>217</v>
      </c>
      <c r="E47" s="6">
        <v>13.2</v>
      </c>
      <c r="G47" s="6">
        <v>3</v>
      </c>
      <c r="H47" s="17"/>
    </row>
    <row r="48" spans="1:8" ht="17.25" x14ac:dyDescent="0.3">
      <c r="A48" s="15">
        <v>46</v>
      </c>
      <c r="B48" s="15"/>
      <c r="C48" s="16"/>
      <c r="D48" s="16" t="s">
        <v>218</v>
      </c>
      <c r="E48" s="6">
        <v>15.4</v>
      </c>
      <c r="G48" s="6">
        <v>1</v>
      </c>
      <c r="H48" s="17"/>
    </row>
    <row r="49" spans="1:8" ht="17.25" x14ac:dyDescent="0.3">
      <c r="A49" s="15">
        <v>47</v>
      </c>
      <c r="B49" s="15"/>
      <c r="C49" s="16"/>
      <c r="D49" s="16" t="s">
        <v>219</v>
      </c>
      <c r="E49" s="6">
        <v>22.9</v>
      </c>
      <c r="G49" s="6">
        <v>6</v>
      </c>
      <c r="H49" s="17"/>
    </row>
    <row r="50" spans="1:8" ht="17.25" x14ac:dyDescent="0.3">
      <c r="A50" s="15">
        <v>48</v>
      </c>
      <c r="B50" s="15"/>
      <c r="C50" s="16"/>
      <c r="D50" s="16" t="s">
        <v>220</v>
      </c>
      <c r="E50" s="6">
        <v>14.8</v>
      </c>
      <c r="G50" s="6">
        <v>7</v>
      </c>
      <c r="H50" s="17"/>
    </row>
    <row r="51" spans="1:8" ht="17.25" x14ac:dyDescent="0.3">
      <c r="A51" s="15">
        <v>49</v>
      </c>
      <c r="B51" s="15"/>
      <c r="C51" s="16"/>
      <c r="D51" s="16" t="s">
        <v>221</v>
      </c>
      <c r="E51" s="6">
        <v>12.1</v>
      </c>
      <c r="G51" s="6">
        <v>4.5</v>
      </c>
      <c r="H51" s="17"/>
    </row>
    <row r="52" spans="1:8" ht="17.25" x14ac:dyDescent="0.3">
      <c r="A52" s="15">
        <v>50</v>
      </c>
      <c r="B52" s="15"/>
      <c r="C52" s="16" t="s">
        <v>255</v>
      </c>
      <c r="D52" s="16" t="s">
        <v>222</v>
      </c>
      <c r="E52" s="6">
        <v>8</v>
      </c>
      <c r="G52" s="6"/>
      <c r="H52" s="6">
        <v>19.399999999999999</v>
      </c>
    </row>
    <row r="53" spans="1:8" ht="17.25" x14ac:dyDescent="0.3">
      <c r="A53" s="15">
        <v>51</v>
      </c>
      <c r="B53" s="15"/>
      <c r="C53" s="16"/>
      <c r="D53" s="16" t="s">
        <v>223</v>
      </c>
      <c r="E53" s="6">
        <v>10.199999999999999</v>
      </c>
      <c r="G53" s="6"/>
      <c r="H53" s="6">
        <v>11.7</v>
      </c>
    </row>
    <row r="54" spans="1:8" ht="17.25" x14ac:dyDescent="0.3">
      <c r="A54" s="15">
        <v>52</v>
      </c>
      <c r="B54" s="15"/>
      <c r="C54" s="16"/>
      <c r="D54" s="16" t="s">
        <v>224</v>
      </c>
      <c r="E54" s="6">
        <v>2</v>
      </c>
      <c r="G54" s="6"/>
      <c r="H54" s="6">
        <v>19.399999999999999</v>
      </c>
    </row>
    <row r="55" spans="1:8" ht="17.25" x14ac:dyDescent="0.3">
      <c r="A55" s="15">
        <v>53</v>
      </c>
      <c r="B55" s="15"/>
      <c r="C55" s="16"/>
      <c r="D55" s="16" t="s">
        <v>225</v>
      </c>
      <c r="E55" s="6">
        <v>14.6</v>
      </c>
      <c r="G55" s="6"/>
      <c r="H55" s="6">
        <v>9.4</v>
      </c>
    </row>
    <row r="56" spans="1:8" ht="17.25" x14ac:dyDescent="0.3">
      <c r="A56" s="15">
        <v>54</v>
      </c>
      <c r="B56" s="15"/>
      <c r="C56" s="16"/>
      <c r="D56" s="16" t="s">
        <v>226</v>
      </c>
      <c r="E56" s="6">
        <v>17.8</v>
      </c>
      <c r="G56" s="6"/>
      <c r="H56" s="6">
        <v>17.7</v>
      </c>
    </row>
    <row r="57" spans="1:8" ht="17.25" x14ac:dyDescent="0.3">
      <c r="A57" s="15">
        <v>55</v>
      </c>
      <c r="B57" s="15"/>
      <c r="C57" s="16"/>
      <c r="D57" s="16" t="s">
        <v>227</v>
      </c>
      <c r="E57" s="6">
        <v>15.4</v>
      </c>
      <c r="G57" s="6"/>
      <c r="H57" s="6">
        <v>11</v>
      </c>
    </row>
    <row r="58" spans="1:8" ht="17.25" x14ac:dyDescent="0.3">
      <c r="A58" s="15">
        <v>56</v>
      </c>
      <c r="B58" s="15"/>
      <c r="C58" s="16"/>
      <c r="D58" s="16" t="s">
        <v>228</v>
      </c>
      <c r="E58" s="6">
        <v>13.2</v>
      </c>
      <c r="G58" s="6"/>
      <c r="H58" s="6">
        <v>18.3</v>
      </c>
    </row>
    <row r="59" spans="1:8" ht="17.25" x14ac:dyDescent="0.3">
      <c r="A59" s="15">
        <v>57</v>
      </c>
      <c r="B59" s="15"/>
      <c r="C59" s="16"/>
      <c r="D59" s="16" t="s">
        <v>229</v>
      </c>
      <c r="E59" s="6">
        <v>7.6</v>
      </c>
      <c r="G59" s="6"/>
      <c r="H59" s="6">
        <v>19.600000000000001</v>
      </c>
    </row>
    <row r="60" spans="1:8" ht="17.25" x14ac:dyDescent="0.3">
      <c r="A60" s="15">
        <v>58</v>
      </c>
      <c r="B60" s="15"/>
      <c r="C60" s="16"/>
      <c r="D60" s="16" t="s">
        <v>230</v>
      </c>
      <c r="E60" s="6">
        <v>0.7</v>
      </c>
      <c r="G60" s="6"/>
      <c r="H60" s="6">
        <v>10.6</v>
      </c>
    </row>
    <row r="61" spans="1:8" ht="17.25" x14ac:dyDescent="0.3">
      <c r="A61" s="15">
        <v>59</v>
      </c>
      <c r="B61" s="15"/>
      <c r="C61" s="16"/>
      <c r="D61" s="16" t="s">
        <v>231</v>
      </c>
      <c r="E61" s="6">
        <v>15.3</v>
      </c>
      <c r="G61" s="6"/>
      <c r="H61" s="6">
        <v>12.3</v>
      </c>
    </row>
    <row r="62" spans="1:8" ht="17.25" x14ac:dyDescent="0.3">
      <c r="A62" s="15">
        <v>60</v>
      </c>
      <c r="B62" s="15"/>
      <c r="C62" s="16"/>
      <c r="D62" s="16" t="s">
        <v>232</v>
      </c>
      <c r="E62" s="6">
        <v>8.6999999999999993</v>
      </c>
      <c r="G62" s="6"/>
      <c r="H62" s="6">
        <v>12.7</v>
      </c>
    </row>
    <row r="63" spans="1:8" ht="17.25" x14ac:dyDescent="0.3">
      <c r="A63" s="15">
        <v>61</v>
      </c>
      <c r="B63" s="15"/>
      <c r="C63" s="16"/>
      <c r="D63" s="16" t="s">
        <v>233</v>
      </c>
      <c r="E63" s="6">
        <v>12.5</v>
      </c>
      <c r="G63" s="6"/>
      <c r="H63" s="6">
        <v>13.8</v>
      </c>
    </row>
    <row r="64" spans="1:8" ht="17.25" x14ac:dyDescent="0.3">
      <c r="A64" s="15">
        <v>62</v>
      </c>
      <c r="B64" s="15"/>
      <c r="C64" s="16"/>
      <c r="D64" s="16" t="s">
        <v>234</v>
      </c>
      <c r="E64" s="6">
        <v>21.6</v>
      </c>
      <c r="G64" s="6"/>
      <c r="H64" s="6">
        <v>12.4</v>
      </c>
    </row>
    <row r="65" spans="1:8" ht="17.25" x14ac:dyDescent="0.3">
      <c r="A65" s="15">
        <v>63</v>
      </c>
      <c r="B65" s="15"/>
      <c r="C65" s="16"/>
      <c r="D65" s="16" t="s">
        <v>235</v>
      </c>
      <c r="E65" s="6">
        <v>12</v>
      </c>
      <c r="G65" s="6"/>
      <c r="H65" s="6">
        <v>31</v>
      </c>
    </row>
    <row r="66" spans="1:8" ht="17.25" x14ac:dyDescent="0.3">
      <c r="A66" s="15">
        <v>64</v>
      </c>
      <c r="B66" s="15"/>
      <c r="C66" s="16"/>
      <c r="D66" s="16" t="s">
        <v>236</v>
      </c>
      <c r="E66" s="6">
        <v>15.4</v>
      </c>
      <c r="G66" s="6"/>
      <c r="H66" s="6">
        <v>1.8</v>
      </c>
    </row>
    <row r="67" spans="1:8" ht="17.25" x14ac:dyDescent="0.3">
      <c r="A67" s="15">
        <v>65</v>
      </c>
      <c r="B67" s="15"/>
      <c r="C67" s="16"/>
      <c r="D67" s="16" t="s">
        <v>237</v>
      </c>
      <c r="E67" s="6">
        <v>6.8</v>
      </c>
      <c r="G67" s="6"/>
      <c r="H67" s="6">
        <v>24.8</v>
      </c>
    </row>
    <row r="68" spans="1:8" ht="17.25" x14ac:dyDescent="0.3">
      <c r="A68" s="15">
        <v>66</v>
      </c>
      <c r="B68" s="15"/>
      <c r="C68" s="16"/>
      <c r="D68" s="16" t="s">
        <v>238</v>
      </c>
      <c r="E68" s="6">
        <v>1.8</v>
      </c>
      <c r="G68" s="6"/>
      <c r="H68" s="6">
        <v>21.1</v>
      </c>
    </row>
    <row r="69" spans="1:8" ht="17.25" x14ac:dyDescent="0.3">
      <c r="A69" s="15">
        <v>67</v>
      </c>
      <c r="B69" s="15"/>
      <c r="C69" s="16"/>
      <c r="D69" s="16" t="s">
        <v>239</v>
      </c>
      <c r="E69" s="6">
        <v>15.5</v>
      </c>
      <c r="G69" s="6"/>
      <c r="H69" s="6">
        <v>17.3</v>
      </c>
    </row>
    <row r="70" spans="1:8" ht="17.25" x14ac:dyDescent="0.3">
      <c r="A70" s="15">
        <v>68</v>
      </c>
      <c r="B70" s="15"/>
      <c r="C70" s="16"/>
      <c r="D70" s="16" t="s">
        <v>240</v>
      </c>
      <c r="E70" s="6">
        <v>15.8</v>
      </c>
      <c r="G70" s="6"/>
      <c r="H70" s="6">
        <v>15</v>
      </c>
    </row>
    <row r="71" spans="1:8" ht="17.25" x14ac:dyDescent="0.3">
      <c r="A71" s="15">
        <v>69</v>
      </c>
      <c r="B71" s="15"/>
      <c r="C71" s="16"/>
      <c r="D71" s="16" t="s">
        <v>241</v>
      </c>
      <c r="E71" s="6">
        <v>4.7</v>
      </c>
      <c r="G71" s="6"/>
      <c r="H71" s="6">
        <v>22.6</v>
      </c>
    </row>
    <row r="72" spans="1:8" ht="17.25" x14ac:dyDescent="0.3">
      <c r="A72" s="15">
        <v>70</v>
      </c>
      <c r="B72" s="15"/>
      <c r="C72" s="16"/>
      <c r="D72" s="16" t="s">
        <v>242</v>
      </c>
      <c r="E72" s="6">
        <v>6</v>
      </c>
      <c r="G72" s="6"/>
      <c r="H72" s="6">
        <v>18.600000000000001</v>
      </c>
    </row>
    <row r="73" spans="1:8" ht="17.25" x14ac:dyDescent="0.3">
      <c r="A73" s="15">
        <v>71</v>
      </c>
      <c r="B73" s="15"/>
      <c r="C73" s="16"/>
      <c r="D73" s="16" t="s">
        <v>243</v>
      </c>
      <c r="E73" s="6">
        <v>-1</v>
      </c>
      <c r="G73" s="6"/>
      <c r="H73" s="6">
        <v>20.3</v>
      </c>
    </row>
    <row r="74" spans="1:8" ht="17.25" x14ac:dyDescent="0.3">
      <c r="A74" s="15">
        <v>72</v>
      </c>
      <c r="B74" s="15"/>
      <c r="C74" s="16"/>
      <c r="D74" s="16" t="s">
        <v>244</v>
      </c>
      <c r="E74" s="6">
        <v>12.2</v>
      </c>
      <c r="G74" s="6"/>
      <c r="H74" s="6">
        <v>10.199999999999999</v>
      </c>
    </row>
    <row r="75" spans="1:8" ht="17.25" x14ac:dyDescent="0.3">
      <c r="A75" s="15">
        <v>73</v>
      </c>
      <c r="B75" s="15"/>
      <c r="C75" s="16"/>
      <c r="D75" s="16" t="s">
        <v>245</v>
      </c>
      <c r="E75" s="6">
        <v>25.5</v>
      </c>
      <c r="G75" s="6"/>
      <c r="H75" s="6">
        <v>12.9</v>
      </c>
    </row>
  </sheetData>
  <mergeCells count="2">
    <mergeCell ref="A1:D1"/>
    <mergeCell ref="E1:H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F246-CC92-4C67-A3BE-EDAC7E61BD8B}">
  <dimension ref="A1:U60"/>
  <sheetViews>
    <sheetView zoomScale="70" zoomScaleNormal="70" workbookViewId="0">
      <selection activeCell="D42" sqref="D42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1" ht="24.75" thickBot="1" x14ac:dyDescent="0.35">
      <c r="A1" s="44" t="s">
        <v>0</v>
      </c>
      <c r="B1" s="45"/>
      <c r="C1" s="45"/>
      <c r="D1" s="46"/>
      <c r="E1" s="44" t="s">
        <v>59</v>
      </c>
      <c r="F1" s="45"/>
      <c r="G1" s="46"/>
    </row>
    <row r="2" spans="1:21" ht="18" thickBot="1" x14ac:dyDescent="0.35">
      <c r="A2" s="1" t="s">
        <v>60</v>
      </c>
      <c r="B2" s="1" t="s">
        <v>1</v>
      </c>
      <c r="C2" s="2" t="s">
        <v>256</v>
      </c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J2" s="4" t="s">
        <v>65</v>
      </c>
      <c r="U2" s="9" t="s">
        <v>61</v>
      </c>
    </row>
    <row r="3" spans="1:21" ht="17.25" x14ac:dyDescent="0.3">
      <c r="A3" s="4">
        <v>1</v>
      </c>
      <c r="B3" s="4" t="s">
        <v>65</v>
      </c>
      <c r="C3" s="23" t="s">
        <v>262</v>
      </c>
      <c r="D3" s="23" t="s">
        <v>71</v>
      </c>
      <c r="E3" s="24">
        <v>4.0999999999999996</v>
      </c>
      <c r="F3" s="25">
        <v>9.6</v>
      </c>
      <c r="G3" s="20"/>
    </row>
    <row r="4" spans="1:21" ht="17.25" x14ac:dyDescent="0.3">
      <c r="A4" s="56" t="s">
        <v>263</v>
      </c>
      <c r="B4" s="57"/>
      <c r="C4" s="57"/>
      <c r="D4" s="58"/>
      <c r="E4" s="31">
        <f>AVERAGE(E3)</f>
        <v>4.0999999999999996</v>
      </c>
      <c r="G4" s="31">
        <f>AVERAGE(F3)</f>
        <v>9.6</v>
      </c>
    </row>
    <row r="5" spans="1:21" ht="17.25" x14ac:dyDescent="0.3">
      <c r="A5" s="9">
        <v>2</v>
      </c>
      <c r="B5" s="9" t="s">
        <v>61</v>
      </c>
      <c r="C5" s="10"/>
      <c r="D5" s="10" t="s">
        <v>79</v>
      </c>
      <c r="E5" s="6">
        <v>-1.5</v>
      </c>
      <c r="F5" s="6">
        <v>54.8</v>
      </c>
      <c r="G5" s="20"/>
    </row>
    <row r="6" spans="1:21" ht="17.25" x14ac:dyDescent="0.3">
      <c r="A6" s="9">
        <v>3</v>
      </c>
      <c r="B6" s="9"/>
      <c r="C6" s="10"/>
      <c r="D6" s="10" t="s">
        <v>80</v>
      </c>
      <c r="E6" s="6">
        <v>0.2</v>
      </c>
      <c r="F6" s="6">
        <v>49.3</v>
      </c>
      <c r="G6" s="20"/>
    </row>
    <row r="7" spans="1:21" ht="17.25" x14ac:dyDescent="0.3">
      <c r="A7" s="9">
        <v>4</v>
      </c>
      <c r="B7" s="9"/>
      <c r="C7" s="10"/>
      <c r="D7" s="10" t="s">
        <v>81</v>
      </c>
      <c r="E7" s="6">
        <v>-7.2</v>
      </c>
      <c r="F7" s="6">
        <v>51.1</v>
      </c>
      <c r="G7" s="17"/>
    </row>
    <row r="8" spans="1:21" ht="17.25" x14ac:dyDescent="0.3">
      <c r="A8" s="59" t="s">
        <v>263</v>
      </c>
      <c r="B8" s="60"/>
      <c r="C8" s="60"/>
      <c r="D8" s="61"/>
      <c r="E8" s="31">
        <f>AVERAGE(E5:E7)</f>
        <v>-2.8333333333333335</v>
      </c>
      <c r="G8" s="31">
        <f>AVERAGE(F5:F7)</f>
        <v>51.733333333333327</v>
      </c>
    </row>
    <row r="9" spans="1:21" ht="17.25" x14ac:dyDescent="0.3">
      <c r="A9" s="11">
        <v>5</v>
      </c>
      <c r="B9" s="11" t="s">
        <v>62</v>
      </c>
      <c r="C9" s="12"/>
      <c r="D9" s="12" t="s">
        <v>82</v>
      </c>
      <c r="E9" s="6">
        <v>21.9</v>
      </c>
      <c r="F9" s="6">
        <v>13.2</v>
      </c>
      <c r="G9" s="20"/>
    </row>
    <row r="10" spans="1:21" ht="17.25" x14ac:dyDescent="0.3">
      <c r="A10" s="11">
        <v>6</v>
      </c>
      <c r="B10" s="11"/>
      <c r="C10" s="12"/>
      <c r="D10" s="12" t="s">
        <v>88</v>
      </c>
      <c r="E10" s="6">
        <v>14.4</v>
      </c>
      <c r="F10" s="6">
        <v>9.1999999999999993</v>
      </c>
      <c r="G10" s="20"/>
    </row>
    <row r="11" spans="1:21" ht="17.25" x14ac:dyDescent="0.3">
      <c r="A11" s="11">
        <v>7</v>
      </c>
      <c r="B11" s="11"/>
      <c r="C11" s="12"/>
      <c r="D11" s="12" t="s">
        <v>85</v>
      </c>
      <c r="E11" s="6">
        <v>4.2</v>
      </c>
      <c r="F11" s="6">
        <v>11.2</v>
      </c>
      <c r="G11" s="20"/>
    </row>
    <row r="12" spans="1:21" ht="17.25" x14ac:dyDescent="0.3">
      <c r="A12" s="11">
        <v>8</v>
      </c>
      <c r="B12" s="11"/>
      <c r="C12" s="12"/>
      <c r="D12" s="12" t="s">
        <v>87</v>
      </c>
      <c r="E12" s="6">
        <v>11.5</v>
      </c>
      <c r="F12" s="6">
        <v>11.2</v>
      </c>
      <c r="G12" s="20"/>
    </row>
    <row r="13" spans="1:21" ht="17.25" x14ac:dyDescent="0.3">
      <c r="A13" s="11">
        <v>9</v>
      </c>
      <c r="B13" s="11"/>
      <c r="C13" s="12"/>
      <c r="D13" s="12" t="s">
        <v>84</v>
      </c>
      <c r="E13" s="6">
        <v>6.3</v>
      </c>
      <c r="F13" s="6">
        <v>9.3000000000000007</v>
      </c>
      <c r="G13" s="19"/>
    </row>
    <row r="14" spans="1:21" ht="17.25" x14ac:dyDescent="0.3">
      <c r="A14" s="11">
        <v>10</v>
      </c>
      <c r="B14" s="11"/>
      <c r="C14" s="12"/>
      <c r="D14" s="12" t="s">
        <v>89</v>
      </c>
      <c r="E14" s="6">
        <v>15.4</v>
      </c>
      <c r="F14" s="6">
        <v>9.8000000000000007</v>
      </c>
      <c r="G14" s="19"/>
    </row>
    <row r="15" spans="1:21" ht="17.25" x14ac:dyDescent="0.3">
      <c r="A15" s="11">
        <v>11</v>
      </c>
      <c r="B15" s="11"/>
      <c r="C15" s="12"/>
      <c r="D15" s="12" t="s">
        <v>86</v>
      </c>
      <c r="E15" s="6">
        <v>10.7</v>
      </c>
      <c r="F15" s="6">
        <v>8</v>
      </c>
      <c r="G15" s="17"/>
    </row>
    <row r="16" spans="1:21" ht="17.25" x14ac:dyDescent="0.3">
      <c r="A16" s="11">
        <v>12</v>
      </c>
      <c r="B16" s="11"/>
      <c r="C16" s="12"/>
      <c r="D16" s="12" t="s">
        <v>83</v>
      </c>
      <c r="E16" s="6">
        <v>14.3</v>
      </c>
      <c r="F16" s="6">
        <v>10.6</v>
      </c>
      <c r="G16" s="17"/>
    </row>
    <row r="17" spans="1:21" ht="17.25" x14ac:dyDescent="0.3">
      <c r="A17" s="11">
        <v>13</v>
      </c>
      <c r="B17" s="11"/>
      <c r="C17" s="12"/>
      <c r="D17" s="12" t="s">
        <v>90</v>
      </c>
      <c r="E17" s="6">
        <v>8.1</v>
      </c>
      <c r="F17" s="6">
        <v>3.7</v>
      </c>
      <c r="G17" s="17"/>
    </row>
    <row r="18" spans="1:21" ht="17.25" x14ac:dyDescent="0.3">
      <c r="A18" s="11">
        <v>14</v>
      </c>
      <c r="B18" s="11"/>
      <c r="C18" s="12"/>
      <c r="D18" s="12" t="s">
        <v>91</v>
      </c>
      <c r="E18" s="6">
        <v>14</v>
      </c>
      <c r="F18" s="6">
        <v>5.9</v>
      </c>
      <c r="G18" s="17"/>
    </row>
    <row r="19" spans="1:21" ht="17.25" x14ac:dyDescent="0.3">
      <c r="A19" s="11">
        <v>15</v>
      </c>
      <c r="B19" s="11"/>
      <c r="C19" s="12"/>
      <c r="D19" s="12" t="s">
        <v>92</v>
      </c>
      <c r="E19" s="6">
        <v>11.5</v>
      </c>
      <c r="F19" s="6">
        <v>7.6</v>
      </c>
      <c r="G19" s="17"/>
    </row>
    <row r="20" spans="1:21" ht="17.25" x14ac:dyDescent="0.3">
      <c r="A20" s="11">
        <v>16</v>
      </c>
      <c r="B20" s="11"/>
      <c r="C20" s="12"/>
      <c r="D20" s="12" t="s">
        <v>93</v>
      </c>
      <c r="E20" s="6">
        <v>14.4</v>
      </c>
      <c r="F20" s="6">
        <v>5</v>
      </c>
      <c r="G20" s="17"/>
    </row>
    <row r="21" spans="1:21" ht="17.25" x14ac:dyDescent="0.3">
      <c r="A21" s="11">
        <v>17</v>
      </c>
      <c r="B21" s="11"/>
      <c r="C21" s="12"/>
      <c r="D21" s="12" t="s">
        <v>94</v>
      </c>
      <c r="E21" s="6">
        <v>16.3</v>
      </c>
      <c r="F21" s="6">
        <v>3.9</v>
      </c>
      <c r="G21" s="17"/>
    </row>
    <row r="22" spans="1:21" ht="17.25" x14ac:dyDescent="0.3">
      <c r="A22" s="11">
        <v>18</v>
      </c>
      <c r="B22" s="11"/>
      <c r="C22" s="12"/>
      <c r="D22" s="12" t="s">
        <v>95</v>
      </c>
      <c r="E22" s="6">
        <v>11.2</v>
      </c>
      <c r="F22" s="6">
        <v>3</v>
      </c>
      <c r="G22" s="17"/>
    </row>
    <row r="23" spans="1:21" ht="17.25" x14ac:dyDescent="0.3">
      <c r="A23" s="11">
        <v>19</v>
      </c>
      <c r="B23" s="11"/>
      <c r="C23" s="12"/>
      <c r="D23" s="12" t="s">
        <v>96</v>
      </c>
      <c r="E23" s="6">
        <v>13.6</v>
      </c>
      <c r="F23" s="6">
        <v>4.5</v>
      </c>
      <c r="G23" s="17"/>
    </row>
    <row r="24" spans="1:21" ht="17.25" x14ac:dyDescent="0.3">
      <c r="A24" s="11">
        <v>20</v>
      </c>
      <c r="B24" s="11"/>
      <c r="C24" s="12"/>
      <c r="D24" s="12" t="s">
        <v>97</v>
      </c>
      <c r="E24" s="6">
        <v>10.1</v>
      </c>
      <c r="F24" s="6">
        <v>5.0999999999999996</v>
      </c>
      <c r="G24" s="6"/>
    </row>
    <row r="25" spans="1:21" ht="17.25" x14ac:dyDescent="0.3">
      <c r="A25" s="11">
        <v>21</v>
      </c>
      <c r="B25" s="11"/>
      <c r="C25" s="12"/>
      <c r="D25" s="12" t="s">
        <v>98</v>
      </c>
      <c r="E25" s="6">
        <v>20.399999999999999</v>
      </c>
      <c r="F25" s="6">
        <v>9.3000000000000007</v>
      </c>
      <c r="G25" s="17"/>
    </row>
    <row r="26" spans="1:21" ht="17.25" x14ac:dyDescent="0.3">
      <c r="A26" s="11">
        <v>22</v>
      </c>
      <c r="B26" s="11"/>
      <c r="C26" s="12"/>
      <c r="D26" s="12" t="s">
        <v>99</v>
      </c>
      <c r="E26" s="6">
        <v>12.7</v>
      </c>
      <c r="F26" s="6">
        <v>14.7</v>
      </c>
      <c r="G26" s="20"/>
      <c r="J26" s="11" t="s">
        <v>62</v>
      </c>
      <c r="U26" s="13" t="s">
        <v>63</v>
      </c>
    </row>
    <row r="27" spans="1:21" ht="17.25" x14ac:dyDescent="0.3">
      <c r="A27" s="47" t="s">
        <v>263</v>
      </c>
      <c r="B27" s="48"/>
      <c r="C27" s="48"/>
      <c r="D27" s="49"/>
      <c r="E27" s="31">
        <f>AVERAGE(E9:E26)</f>
        <v>12.833333333333334</v>
      </c>
      <c r="G27" s="31">
        <f>AVERAGE(F9:F26)</f>
        <v>8.0666666666666664</v>
      </c>
      <c r="J27" s="28"/>
      <c r="U27" s="28"/>
    </row>
    <row r="28" spans="1:21" ht="17.25" x14ac:dyDescent="0.3">
      <c r="A28" s="13">
        <v>23</v>
      </c>
      <c r="B28" s="13" t="s">
        <v>63</v>
      </c>
      <c r="C28" s="14" t="s">
        <v>260</v>
      </c>
      <c r="D28" s="14" t="s">
        <v>72</v>
      </c>
      <c r="E28" s="6">
        <v>17.8</v>
      </c>
      <c r="F28" s="6">
        <v>17.8</v>
      </c>
      <c r="G28" s="6"/>
    </row>
    <row r="29" spans="1:21" ht="17.25" x14ac:dyDescent="0.3">
      <c r="A29" s="13">
        <v>24</v>
      </c>
      <c r="B29" s="13"/>
      <c r="C29" s="14" t="s">
        <v>257</v>
      </c>
      <c r="D29" s="14" t="s">
        <v>73</v>
      </c>
      <c r="E29" s="6">
        <v>15.2</v>
      </c>
      <c r="F29" s="6">
        <v>8</v>
      </c>
      <c r="G29" s="17"/>
    </row>
    <row r="30" spans="1:21" ht="17.25" x14ac:dyDescent="0.3">
      <c r="A30" s="13">
        <v>25</v>
      </c>
      <c r="B30" s="13"/>
      <c r="C30" s="14"/>
      <c r="D30" s="14" t="s">
        <v>74</v>
      </c>
      <c r="E30" s="6">
        <v>21.6</v>
      </c>
      <c r="F30" s="6">
        <v>10.4</v>
      </c>
      <c r="G30" s="17"/>
    </row>
    <row r="31" spans="1:21" ht="17.25" x14ac:dyDescent="0.3">
      <c r="A31" s="13">
        <v>26</v>
      </c>
      <c r="B31" s="13"/>
      <c r="C31" s="14"/>
      <c r="D31" s="14" t="s">
        <v>75</v>
      </c>
      <c r="E31" s="6">
        <v>14.3</v>
      </c>
      <c r="F31" s="6">
        <v>9.6999999999999993</v>
      </c>
      <c r="G31" s="17"/>
    </row>
    <row r="32" spans="1:21" ht="17.25" x14ac:dyDescent="0.3">
      <c r="A32" s="13">
        <v>27</v>
      </c>
      <c r="B32" s="13"/>
      <c r="C32" s="14"/>
      <c r="D32" s="14" t="s">
        <v>76</v>
      </c>
      <c r="E32" s="6">
        <v>12.5</v>
      </c>
      <c r="F32" s="6">
        <v>10.3</v>
      </c>
      <c r="G32" s="17"/>
    </row>
    <row r="33" spans="1:7" ht="17.25" x14ac:dyDescent="0.3">
      <c r="A33" s="13">
        <v>28</v>
      </c>
      <c r="B33" s="13"/>
      <c r="C33" s="14" t="s">
        <v>258</v>
      </c>
      <c r="D33" s="14" t="s">
        <v>77</v>
      </c>
      <c r="E33" s="6">
        <v>20.8</v>
      </c>
      <c r="F33" s="6">
        <v>10.9</v>
      </c>
      <c r="G33" s="17"/>
    </row>
    <row r="34" spans="1:7" ht="17.25" x14ac:dyDescent="0.3">
      <c r="A34" s="13">
        <v>29</v>
      </c>
      <c r="B34" s="13"/>
      <c r="C34" s="14" t="s">
        <v>259</v>
      </c>
      <c r="D34" s="14" t="s">
        <v>78</v>
      </c>
      <c r="E34" s="6">
        <v>12.9</v>
      </c>
      <c r="F34" s="6">
        <v>15.3</v>
      </c>
      <c r="G34" s="17"/>
    </row>
    <row r="35" spans="1:7" ht="17.25" x14ac:dyDescent="0.3">
      <c r="A35" s="50" t="s">
        <v>263</v>
      </c>
      <c r="B35" s="51"/>
      <c r="C35" s="51"/>
      <c r="D35" s="52"/>
      <c r="E35" s="31">
        <f>AVERAGE(E28:E34)</f>
        <v>16.442857142857143</v>
      </c>
      <c r="G35" s="31">
        <f>AVERAGE(F28:F34)</f>
        <v>11.771428571428572</v>
      </c>
    </row>
    <row r="36" spans="1:7" ht="17.25" x14ac:dyDescent="0.3">
      <c r="A36" s="15">
        <v>30</v>
      </c>
      <c r="B36" s="15" t="s">
        <v>64</v>
      </c>
      <c r="C36" s="16" t="s">
        <v>164</v>
      </c>
      <c r="D36" s="16" t="s">
        <v>58</v>
      </c>
      <c r="E36" s="6">
        <v>2</v>
      </c>
      <c r="F36" s="6">
        <v>18</v>
      </c>
      <c r="G36" s="17"/>
    </row>
    <row r="37" spans="1:7" ht="17.25" x14ac:dyDescent="0.3">
      <c r="A37" s="15">
        <v>31</v>
      </c>
      <c r="B37" s="15"/>
      <c r="C37" s="16"/>
      <c r="D37" s="16" t="s">
        <v>55</v>
      </c>
      <c r="E37" s="6">
        <v>4.3</v>
      </c>
      <c r="F37" s="6">
        <v>19.5</v>
      </c>
      <c r="G37" s="6"/>
    </row>
    <row r="38" spans="1:7" ht="17.25" x14ac:dyDescent="0.3">
      <c r="A38" s="15">
        <v>32</v>
      </c>
      <c r="B38" s="15"/>
      <c r="C38" s="16"/>
      <c r="D38" s="16" t="s">
        <v>56</v>
      </c>
      <c r="E38" s="6">
        <v>-0.3</v>
      </c>
      <c r="F38" s="6">
        <v>13.9</v>
      </c>
      <c r="G38" s="17"/>
    </row>
    <row r="39" spans="1:7" ht="17.25" x14ac:dyDescent="0.3">
      <c r="A39" s="15">
        <v>33</v>
      </c>
      <c r="B39" s="15"/>
      <c r="C39" s="16"/>
      <c r="D39" s="16" t="s">
        <v>57</v>
      </c>
      <c r="E39" s="6">
        <v>4.5</v>
      </c>
      <c r="F39" s="6">
        <v>15.5</v>
      </c>
      <c r="G39" s="20"/>
    </row>
    <row r="40" spans="1:7" ht="17.25" x14ac:dyDescent="0.3">
      <c r="A40" s="15">
        <v>34</v>
      </c>
      <c r="B40" s="15"/>
      <c r="C40" s="16"/>
      <c r="D40" s="16" t="s">
        <v>66</v>
      </c>
      <c r="E40" s="6">
        <v>2.2999999999999998</v>
      </c>
      <c r="F40" s="6">
        <v>11.4</v>
      </c>
    </row>
    <row r="41" spans="1:7" ht="17.25" x14ac:dyDescent="0.3">
      <c r="A41" s="15">
        <v>35</v>
      </c>
      <c r="B41" s="15"/>
      <c r="C41" s="16"/>
      <c r="D41" s="16" t="s">
        <v>67</v>
      </c>
      <c r="E41" s="6">
        <v>4</v>
      </c>
      <c r="F41" s="6">
        <v>13.4</v>
      </c>
      <c r="G41" s="20"/>
    </row>
    <row r="42" spans="1:7" ht="17.25" x14ac:dyDescent="0.3">
      <c r="A42" s="15">
        <v>36</v>
      </c>
      <c r="B42" s="15"/>
      <c r="C42" s="16"/>
      <c r="D42" s="16" t="s">
        <v>68</v>
      </c>
      <c r="E42" s="6">
        <v>-2.5</v>
      </c>
      <c r="F42" s="6">
        <v>13.7</v>
      </c>
      <c r="G42" s="17"/>
    </row>
    <row r="43" spans="1:7" ht="17.25" x14ac:dyDescent="0.3">
      <c r="A43" s="15">
        <v>37</v>
      </c>
      <c r="B43" s="15"/>
      <c r="C43" s="16"/>
      <c r="D43" s="16" t="s">
        <v>69</v>
      </c>
      <c r="E43" s="6">
        <v>4.0999999999999996</v>
      </c>
      <c r="F43" s="6">
        <v>10.3</v>
      </c>
      <c r="G43" s="17"/>
    </row>
    <row r="44" spans="1:7" ht="17.25" x14ac:dyDescent="0.3">
      <c r="A44" s="15">
        <v>38</v>
      </c>
      <c r="B44" s="26"/>
      <c r="C44" s="27"/>
      <c r="D44" s="27" t="s">
        <v>70</v>
      </c>
      <c r="E44" s="6">
        <v>-2.6</v>
      </c>
      <c r="F44" s="6">
        <v>11.2</v>
      </c>
      <c r="G44" s="17"/>
    </row>
    <row r="45" spans="1:7" ht="17.25" x14ac:dyDescent="0.3">
      <c r="A45" s="53" t="s">
        <v>263</v>
      </c>
      <c r="B45" s="54"/>
      <c r="C45" s="54"/>
      <c r="D45" s="55"/>
      <c r="E45" s="31">
        <f>AVERAGE(E36:E44)</f>
        <v>1.7555555555555555</v>
      </c>
      <c r="G45" s="31">
        <f>AVERAGE(F36:F44)</f>
        <v>14.100000000000001</v>
      </c>
    </row>
    <row r="46" spans="1:7" ht="17.25" x14ac:dyDescent="0.3">
      <c r="A46" s="28"/>
      <c r="B46" s="28"/>
      <c r="C46" s="28"/>
      <c r="D46" s="28"/>
      <c r="E46" s="29"/>
      <c r="F46" s="6"/>
      <c r="G46" s="17"/>
    </row>
    <row r="47" spans="1:7" ht="17.25" x14ac:dyDescent="0.3">
      <c r="A47" s="28"/>
      <c r="B47" s="28"/>
      <c r="C47" s="28"/>
      <c r="D47" s="28"/>
      <c r="E47" s="29"/>
      <c r="F47" s="6"/>
      <c r="G47" s="17"/>
    </row>
    <row r="48" spans="1:7" ht="17.25" x14ac:dyDescent="0.3">
      <c r="A48" s="28"/>
      <c r="B48" s="28"/>
      <c r="C48" s="28"/>
      <c r="D48" s="28"/>
      <c r="E48" s="29"/>
      <c r="F48" s="6"/>
      <c r="G48" s="17"/>
    </row>
    <row r="49" spans="1:10" ht="17.25" x14ac:dyDescent="0.3">
      <c r="A49" s="28"/>
      <c r="B49" s="28"/>
      <c r="C49" s="28"/>
      <c r="D49" s="28"/>
      <c r="E49" s="29"/>
      <c r="F49" s="6"/>
      <c r="G49" s="17"/>
    </row>
    <row r="50" spans="1:10" ht="17.25" x14ac:dyDescent="0.3">
      <c r="A50" s="28"/>
      <c r="B50" s="28"/>
      <c r="C50" s="28"/>
      <c r="D50" s="28"/>
      <c r="E50" s="29"/>
      <c r="F50" s="6"/>
      <c r="G50" s="17"/>
    </row>
    <row r="51" spans="1:10" ht="17.25" x14ac:dyDescent="0.3">
      <c r="A51" s="28"/>
      <c r="B51" s="28"/>
      <c r="C51" s="28"/>
      <c r="D51" s="28"/>
      <c r="E51" s="29"/>
      <c r="F51" s="6"/>
      <c r="G51" s="17"/>
      <c r="J51" s="15" t="s">
        <v>64</v>
      </c>
    </row>
    <row r="52" spans="1:10" ht="17.25" x14ac:dyDescent="0.3">
      <c r="A52" s="28"/>
      <c r="B52" s="28"/>
      <c r="C52" s="28"/>
      <c r="D52" s="28"/>
      <c r="E52" s="29"/>
      <c r="F52" s="6"/>
      <c r="G52" s="17"/>
    </row>
    <row r="53" spans="1:10" ht="17.25" x14ac:dyDescent="0.3">
      <c r="A53" s="28"/>
      <c r="B53" s="28"/>
      <c r="C53" s="28"/>
      <c r="D53" s="28"/>
      <c r="E53" s="29"/>
      <c r="F53" s="6"/>
      <c r="G53" s="17"/>
    </row>
    <row r="54" spans="1:10" ht="17.25" x14ac:dyDescent="0.3">
      <c r="A54" s="28"/>
      <c r="B54" s="28"/>
      <c r="C54" s="28"/>
      <c r="D54" s="28"/>
      <c r="E54" s="29"/>
      <c r="F54" s="6"/>
      <c r="G54" s="20"/>
    </row>
    <row r="55" spans="1:10" ht="17.25" x14ac:dyDescent="0.3">
      <c r="A55" s="28"/>
      <c r="B55" s="28"/>
      <c r="C55" s="28"/>
      <c r="D55" s="28"/>
      <c r="E55" s="29"/>
      <c r="F55" s="6"/>
      <c r="G55" s="17"/>
    </row>
    <row r="56" spans="1:10" ht="17.25" x14ac:dyDescent="0.3">
      <c r="A56" s="28"/>
      <c r="B56" s="28"/>
      <c r="C56" s="28"/>
      <c r="D56" s="28"/>
      <c r="E56" s="29"/>
      <c r="F56" s="6"/>
      <c r="G56" s="6"/>
    </row>
    <row r="57" spans="1:10" ht="17.25" x14ac:dyDescent="0.3">
      <c r="A57" s="28"/>
      <c r="B57" s="28"/>
      <c r="C57" s="28"/>
      <c r="D57" s="28"/>
      <c r="E57" s="29"/>
      <c r="F57" s="6"/>
      <c r="G57" s="17"/>
    </row>
    <row r="58" spans="1:10" ht="17.25" x14ac:dyDescent="0.3">
      <c r="A58" s="28"/>
      <c r="B58" s="28"/>
      <c r="C58" s="28"/>
      <c r="D58" s="28"/>
      <c r="E58" s="29"/>
      <c r="F58" s="6"/>
      <c r="G58" s="6"/>
    </row>
    <row r="59" spans="1:10" ht="17.25" x14ac:dyDescent="0.3">
      <c r="A59" s="28"/>
      <c r="B59" s="28"/>
      <c r="C59" s="28"/>
      <c r="D59" s="28"/>
      <c r="E59" s="29"/>
      <c r="F59" s="6"/>
      <c r="G59" s="17"/>
    </row>
    <row r="60" spans="1:10" x14ac:dyDescent="0.3">
      <c r="A60" s="30"/>
      <c r="B60" s="30"/>
      <c r="C60" s="30"/>
      <c r="D60" s="30"/>
      <c r="E60" s="30"/>
    </row>
  </sheetData>
  <mergeCells count="7">
    <mergeCell ref="A27:D27"/>
    <mergeCell ref="A35:D35"/>
    <mergeCell ref="A45:D45"/>
    <mergeCell ref="A1:D1"/>
    <mergeCell ref="E1:G1"/>
    <mergeCell ref="A4:D4"/>
    <mergeCell ref="A8:D8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D098-D32E-4935-B7EB-52CA5033F58B}">
  <dimension ref="A1:U53"/>
  <sheetViews>
    <sheetView zoomScale="70" zoomScaleNormal="70" workbookViewId="0">
      <selection activeCell="A41" sqref="A41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0" ht="24.75" thickBot="1" x14ac:dyDescent="0.35">
      <c r="A1" s="44" t="s">
        <v>0</v>
      </c>
      <c r="B1" s="45"/>
      <c r="C1" s="45"/>
      <c r="D1" s="46"/>
      <c r="E1" s="44" t="s">
        <v>59</v>
      </c>
      <c r="F1" s="45"/>
      <c r="G1" s="46"/>
    </row>
    <row r="2" spans="1:20" ht="18" thickBot="1" x14ac:dyDescent="0.35">
      <c r="A2" s="1" t="s">
        <v>60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</row>
    <row r="3" spans="1:20" ht="17.25" x14ac:dyDescent="0.3">
      <c r="A3" s="4">
        <v>1</v>
      </c>
      <c r="B3" s="32" t="s">
        <v>65</v>
      </c>
      <c r="C3" s="23"/>
      <c r="D3" s="33" t="s">
        <v>6</v>
      </c>
      <c r="E3" s="24">
        <v>1.9466701420226717</v>
      </c>
      <c r="F3" s="24">
        <v>4.105580764011548</v>
      </c>
      <c r="G3" s="24"/>
      <c r="H3" s="24"/>
    </row>
    <row r="4" spans="1:20" ht="17.25" x14ac:dyDescent="0.3">
      <c r="A4" s="56" t="s">
        <v>264</v>
      </c>
      <c r="B4" s="57"/>
      <c r="C4" s="57"/>
      <c r="D4" s="58"/>
      <c r="E4" s="31">
        <f>AVERAGE(E3)</f>
        <v>1.9466701420226717</v>
      </c>
      <c r="G4" s="31">
        <f>AVERAGE(F3)</f>
        <v>4.105580764011548</v>
      </c>
      <c r="H4" s="24"/>
    </row>
    <row r="5" spans="1:20" ht="17.25" x14ac:dyDescent="0.3">
      <c r="A5" s="9">
        <v>2</v>
      </c>
      <c r="B5" s="34" t="s">
        <v>61</v>
      </c>
      <c r="C5" s="35"/>
      <c r="D5" s="35" t="s">
        <v>7</v>
      </c>
      <c r="E5" s="24">
        <v>-2.1906342431913202</v>
      </c>
      <c r="F5" s="24">
        <v>52.36685460008141</v>
      </c>
      <c r="G5" s="24"/>
      <c r="H5" s="24"/>
      <c r="L5" s="4" t="s">
        <v>65</v>
      </c>
      <c r="T5" s="9" t="s">
        <v>61</v>
      </c>
    </row>
    <row r="6" spans="1:20" ht="17.25" x14ac:dyDescent="0.3">
      <c r="A6" s="9">
        <v>3</v>
      </c>
      <c r="B6" s="34"/>
      <c r="C6" s="35"/>
      <c r="D6" s="35" t="s">
        <v>8</v>
      </c>
      <c r="E6" s="24">
        <v>-2.1000992226540895</v>
      </c>
      <c r="F6" s="24">
        <v>51.496754689599946</v>
      </c>
      <c r="G6" s="38"/>
      <c r="H6" s="24"/>
    </row>
    <row r="7" spans="1:20" ht="17.25" x14ac:dyDescent="0.3">
      <c r="A7" s="59" t="s">
        <v>264</v>
      </c>
      <c r="B7" s="60"/>
      <c r="C7" s="60"/>
      <c r="D7" s="61"/>
      <c r="E7" s="31">
        <f>AVERAGE(E5:E6)</f>
        <v>-2.1453667329227049</v>
      </c>
      <c r="G7" s="31">
        <f>AVERAGE(F5:F6)</f>
        <v>51.931804644840682</v>
      </c>
      <c r="H7" s="24"/>
    </row>
    <row r="8" spans="1:20" ht="17.25" x14ac:dyDescent="0.3">
      <c r="A8" s="11">
        <v>4</v>
      </c>
      <c r="B8" s="36" t="s">
        <v>62</v>
      </c>
      <c r="C8" s="37"/>
      <c r="D8" s="37" t="s">
        <v>9</v>
      </c>
      <c r="E8" s="24">
        <v>12.218462072026702</v>
      </c>
      <c r="F8" s="38">
        <v>4.6161567726977362</v>
      </c>
      <c r="G8" s="24"/>
      <c r="H8" s="24"/>
    </row>
    <row r="9" spans="1:20" ht="17.25" x14ac:dyDescent="0.3">
      <c r="A9" s="11">
        <v>5</v>
      </c>
      <c r="B9" s="36"/>
      <c r="C9" s="37"/>
      <c r="D9" s="37" t="s">
        <v>10</v>
      </c>
      <c r="E9" s="24">
        <v>14.78891342503031</v>
      </c>
      <c r="F9" s="24">
        <v>11.616775720527523</v>
      </c>
      <c r="G9" s="24"/>
      <c r="H9" s="24"/>
    </row>
    <row r="10" spans="1:20" ht="17.25" x14ac:dyDescent="0.3">
      <c r="A10" s="11">
        <v>6</v>
      </c>
      <c r="B10" s="36"/>
      <c r="C10" s="37"/>
      <c r="D10" s="37" t="s">
        <v>11</v>
      </c>
      <c r="E10" s="24">
        <v>12.848166457361947</v>
      </c>
      <c r="F10" s="24">
        <v>4.5206416090944304</v>
      </c>
      <c r="G10" s="24"/>
      <c r="H10" s="24"/>
    </row>
    <row r="11" spans="1:20" ht="17.25" x14ac:dyDescent="0.3">
      <c r="A11" s="11">
        <v>7</v>
      </c>
      <c r="B11" s="36"/>
      <c r="C11" s="37"/>
      <c r="D11" s="37" t="s">
        <v>12</v>
      </c>
      <c r="E11" s="24">
        <v>14.291101992415776</v>
      </c>
      <c r="F11" s="24">
        <v>6.4526056541933103</v>
      </c>
      <c r="G11" s="24"/>
      <c r="H11" s="24">
        <v>11.1</v>
      </c>
    </row>
    <row r="12" spans="1:20" ht="17.25" x14ac:dyDescent="0.3">
      <c r="A12" s="11">
        <v>8</v>
      </c>
      <c r="B12" s="36"/>
      <c r="C12" s="37"/>
      <c r="D12" s="37" t="s">
        <v>13</v>
      </c>
      <c r="E12" s="24">
        <v>6.3128616755733837</v>
      </c>
      <c r="F12" s="24">
        <v>8.5544386963620624</v>
      </c>
      <c r="G12" s="24"/>
      <c r="H12" s="24"/>
    </row>
    <row r="13" spans="1:20" ht="17.25" x14ac:dyDescent="0.3">
      <c r="A13" s="11">
        <v>9</v>
      </c>
      <c r="B13" s="36"/>
      <c r="C13" s="37"/>
      <c r="D13" s="37" t="s">
        <v>14</v>
      </c>
      <c r="E13" s="24">
        <v>13.290318660938917</v>
      </c>
      <c r="F13" s="24">
        <v>2.4737785448468368</v>
      </c>
      <c r="G13" s="24"/>
      <c r="H13" s="24"/>
    </row>
    <row r="14" spans="1:20" ht="17.25" x14ac:dyDescent="0.3">
      <c r="A14" s="11">
        <v>10</v>
      </c>
      <c r="B14" s="36"/>
      <c r="C14" s="37"/>
      <c r="D14" s="37" t="s">
        <v>10</v>
      </c>
      <c r="E14" s="24">
        <v>14.78891342503031</v>
      </c>
      <c r="F14" s="24">
        <v>11.616775720527523</v>
      </c>
      <c r="G14" s="24"/>
      <c r="H14" s="24"/>
    </row>
    <row r="15" spans="1:20" ht="17.25" x14ac:dyDescent="0.3">
      <c r="A15" s="11">
        <v>11</v>
      </c>
      <c r="B15" s="36"/>
      <c r="C15" s="37"/>
      <c r="D15" s="37" t="s">
        <v>11</v>
      </c>
      <c r="E15" s="24">
        <v>12.848166457361947</v>
      </c>
      <c r="F15" s="24">
        <v>4.5206416090944304</v>
      </c>
      <c r="G15" s="24"/>
      <c r="H15" s="24"/>
    </row>
    <row r="16" spans="1:20" ht="17.25" x14ac:dyDescent="0.3">
      <c r="A16" s="11">
        <v>12</v>
      </c>
      <c r="B16" s="36"/>
      <c r="C16" s="37"/>
      <c r="D16" s="37" t="s">
        <v>15</v>
      </c>
      <c r="E16" s="24">
        <v>21.679354866396391</v>
      </c>
      <c r="F16" s="24">
        <v>6.8759712281099743</v>
      </c>
      <c r="G16" s="24"/>
      <c r="H16" s="24"/>
    </row>
    <row r="17" spans="1:21" ht="17.25" x14ac:dyDescent="0.3">
      <c r="A17" s="11">
        <v>13</v>
      </c>
      <c r="B17" s="36"/>
      <c r="C17" s="37"/>
      <c r="D17" s="37" t="s">
        <v>16</v>
      </c>
      <c r="E17" s="24">
        <v>19.486216356157239</v>
      </c>
      <c r="F17" s="38">
        <v>6.8365328367653957</v>
      </c>
      <c r="G17" s="24"/>
      <c r="H17" s="24"/>
    </row>
    <row r="18" spans="1:21" ht="17.25" x14ac:dyDescent="0.3">
      <c r="A18" s="11">
        <v>14</v>
      </c>
      <c r="B18" s="36"/>
      <c r="C18" s="37"/>
      <c r="D18" s="37" t="s">
        <v>17</v>
      </c>
      <c r="E18" s="24">
        <v>12.522788482871908</v>
      </c>
      <c r="F18" s="38">
        <v>1.3275827318054605</v>
      </c>
      <c r="G18" s="24"/>
      <c r="H18" s="24"/>
    </row>
    <row r="19" spans="1:21" ht="17.25" x14ac:dyDescent="0.3">
      <c r="A19" s="11">
        <v>15</v>
      </c>
      <c r="B19" s="36"/>
      <c r="C19" s="37"/>
      <c r="D19" s="37" t="s">
        <v>18</v>
      </c>
      <c r="E19" s="24">
        <v>20.519795733187507</v>
      </c>
      <c r="F19" s="24">
        <v>6.4965928362269034</v>
      </c>
      <c r="G19" s="24"/>
      <c r="H19" s="24">
        <v>13.5</v>
      </c>
    </row>
    <row r="20" spans="1:21" ht="17.25" x14ac:dyDescent="0.3">
      <c r="A20" s="47" t="s">
        <v>264</v>
      </c>
      <c r="B20" s="48"/>
      <c r="C20" s="48"/>
      <c r="D20" s="49"/>
      <c r="E20" s="31">
        <f>AVERAGE(E8:E19)</f>
        <v>14.632921633696029</v>
      </c>
      <c r="G20" s="31">
        <f>AVERAGE(F8:F19)</f>
        <v>6.325707830020967</v>
      </c>
      <c r="H20" s="24"/>
    </row>
    <row r="21" spans="1:21" ht="17.25" x14ac:dyDescent="0.3">
      <c r="A21" s="13">
        <v>16</v>
      </c>
      <c r="B21" s="13" t="s">
        <v>63</v>
      </c>
      <c r="C21" s="14"/>
      <c r="D21" s="14" t="s">
        <v>19</v>
      </c>
      <c r="E21" s="6">
        <v>4.3138712560427326</v>
      </c>
      <c r="F21" s="6">
        <v>8.1908345594673317</v>
      </c>
      <c r="G21" s="17"/>
      <c r="H21" s="17"/>
    </row>
    <row r="22" spans="1:21" ht="17.25" x14ac:dyDescent="0.3">
      <c r="A22" s="13">
        <v>17</v>
      </c>
      <c r="B22" s="13"/>
      <c r="C22" s="14"/>
      <c r="D22" s="14" t="s">
        <v>100</v>
      </c>
      <c r="E22" s="6">
        <v>20.917227710134416</v>
      </c>
      <c r="F22" s="6">
        <v>-8.2193429496473964</v>
      </c>
      <c r="G22" s="17"/>
      <c r="H22" s="17"/>
    </row>
    <row r="23" spans="1:21" ht="17.25" x14ac:dyDescent="0.3">
      <c r="A23" s="13">
        <v>18</v>
      </c>
      <c r="B23" s="13"/>
      <c r="C23" s="14"/>
      <c r="D23" s="14" t="s">
        <v>101</v>
      </c>
      <c r="E23" s="6">
        <v>21.674129868049789</v>
      </c>
      <c r="F23" s="6">
        <v>6.2339539005223292</v>
      </c>
      <c r="G23" s="17"/>
      <c r="H23" s="17">
        <v>10.7</v>
      </c>
    </row>
    <row r="24" spans="1:21" ht="17.25" x14ac:dyDescent="0.3">
      <c r="A24" s="13">
        <v>19</v>
      </c>
      <c r="B24" s="13"/>
      <c r="C24" s="14"/>
      <c r="D24" s="14" t="s">
        <v>20</v>
      </c>
      <c r="E24" s="6">
        <v>12.172380443523039</v>
      </c>
      <c r="F24" s="6">
        <v>9.6395253606876974</v>
      </c>
      <c r="G24" s="6"/>
      <c r="H24" s="6">
        <v>4.4000000000000004</v>
      </c>
    </row>
    <row r="25" spans="1:21" ht="17.25" x14ac:dyDescent="0.3">
      <c r="A25" s="13">
        <v>20</v>
      </c>
      <c r="B25" s="13"/>
      <c r="C25" s="14"/>
      <c r="D25" s="14" t="s">
        <v>21</v>
      </c>
      <c r="E25" s="6">
        <v>25.946216339937127</v>
      </c>
      <c r="F25" s="6">
        <v>13.156273919309676</v>
      </c>
      <c r="G25" s="17"/>
      <c r="H25" s="17"/>
    </row>
    <row r="26" spans="1:21" ht="17.25" x14ac:dyDescent="0.3">
      <c r="A26" s="13">
        <v>21</v>
      </c>
      <c r="B26" s="13"/>
      <c r="C26" s="14"/>
      <c r="D26" s="14" t="s">
        <v>22</v>
      </c>
      <c r="E26" s="6">
        <v>17.723203364241439</v>
      </c>
      <c r="F26" s="6">
        <v>8.8196253753158071</v>
      </c>
      <c r="G26" s="6"/>
      <c r="H26" s="6">
        <v>9.6</v>
      </c>
    </row>
    <row r="27" spans="1:21" ht="17.25" x14ac:dyDescent="0.3">
      <c r="A27" s="50" t="s">
        <v>264</v>
      </c>
      <c r="B27" s="51"/>
      <c r="C27" s="51"/>
      <c r="D27" s="52"/>
      <c r="E27" s="31">
        <f>AVERAGE(E21:E26)</f>
        <v>17.124504830321424</v>
      </c>
      <c r="G27" s="31">
        <f>AVERAGE(F21:F26)</f>
        <v>6.3034783609425737</v>
      </c>
      <c r="H27" s="6"/>
    </row>
    <row r="28" spans="1:21" ht="17.25" x14ac:dyDescent="0.3">
      <c r="A28" s="15">
        <v>22</v>
      </c>
      <c r="B28" s="15" t="s">
        <v>64</v>
      </c>
      <c r="C28" s="16" t="s">
        <v>261</v>
      </c>
      <c r="D28" s="16" t="s">
        <v>23</v>
      </c>
      <c r="E28" s="6">
        <v>12.246179607502782</v>
      </c>
      <c r="F28" s="6">
        <v>7.7851903953275325</v>
      </c>
      <c r="G28" s="17"/>
      <c r="H28" s="17"/>
    </row>
    <row r="29" spans="1:21" ht="17.25" x14ac:dyDescent="0.3">
      <c r="A29" s="15">
        <v>23</v>
      </c>
      <c r="B29" s="15"/>
      <c r="C29" s="16"/>
      <c r="D29" s="16" t="s">
        <v>24</v>
      </c>
      <c r="E29" s="6">
        <v>-0.44046699597942207</v>
      </c>
      <c r="F29" s="6">
        <v>1.2621611769878713</v>
      </c>
      <c r="G29" s="17"/>
      <c r="H29" s="17"/>
    </row>
    <row r="30" spans="1:21" ht="17.25" x14ac:dyDescent="0.3">
      <c r="A30" s="15">
        <v>24</v>
      </c>
      <c r="B30" s="15"/>
      <c r="C30" s="16"/>
      <c r="D30" s="16" t="s">
        <v>25</v>
      </c>
      <c r="E30" s="6">
        <v>4.9527934180088877</v>
      </c>
      <c r="F30" s="6">
        <v>4.3403837916024059</v>
      </c>
      <c r="G30" s="17"/>
      <c r="H30" s="17"/>
      <c r="L30" s="11" t="s">
        <v>62</v>
      </c>
      <c r="U30" s="13" t="s">
        <v>63</v>
      </c>
    </row>
    <row r="31" spans="1:21" ht="17.25" x14ac:dyDescent="0.3">
      <c r="A31" s="15">
        <v>25</v>
      </c>
      <c r="B31" s="15"/>
      <c r="C31" s="16"/>
      <c r="D31" s="16" t="s">
        <v>26</v>
      </c>
      <c r="E31" s="6">
        <v>2.9342632192306701</v>
      </c>
      <c r="F31" s="6">
        <v>3.5147800448743887</v>
      </c>
      <c r="G31" s="17"/>
      <c r="H31" s="17"/>
    </row>
    <row r="32" spans="1:21" ht="17.25" x14ac:dyDescent="0.3">
      <c r="A32" s="15">
        <v>26</v>
      </c>
      <c r="B32" s="15"/>
      <c r="C32" s="16"/>
      <c r="D32" s="16" t="s">
        <v>27</v>
      </c>
      <c r="E32" s="6">
        <v>1.9306977116883886</v>
      </c>
      <c r="F32" s="6">
        <v>7.1591581974903669</v>
      </c>
      <c r="G32" s="17"/>
      <c r="H32" s="17"/>
    </row>
    <row r="33" spans="1:8" ht="17.25" x14ac:dyDescent="0.3">
      <c r="A33" s="15">
        <v>27</v>
      </c>
      <c r="B33" s="15"/>
      <c r="C33" s="16"/>
      <c r="D33" s="16" t="s">
        <v>28</v>
      </c>
      <c r="E33" s="6">
        <v>6.436224273739696</v>
      </c>
      <c r="F33" s="6">
        <v>-1.6792761600932493</v>
      </c>
      <c r="G33" s="6"/>
      <c r="H33" s="6">
        <v>4.5</v>
      </c>
    </row>
    <row r="34" spans="1:8" ht="17.25" x14ac:dyDescent="0.3">
      <c r="A34" s="15">
        <v>28</v>
      </c>
      <c r="B34" s="15"/>
      <c r="C34" s="16"/>
      <c r="D34" s="16" t="s">
        <v>29</v>
      </c>
      <c r="E34" s="6">
        <v>4.1788296430679628</v>
      </c>
      <c r="F34" s="6">
        <v>2.5659948110103463</v>
      </c>
      <c r="G34" s="17"/>
      <c r="H34" s="17"/>
    </row>
    <row r="35" spans="1:8" ht="17.25" x14ac:dyDescent="0.3">
      <c r="A35" s="15">
        <v>29</v>
      </c>
      <c r="B35" s="15"/>
      <c r="C35" s="16"/>
      <c r="D35" s="16" t="s">
        <v>30</v>
      </c>
      <c r="E35" s="6">
        <v>8.3077133936470364</v>
      </c>
      <c r="F35" s="6">
        <v>-1.922751197824758</v>
      </c>
      <c r="G35" s="6"/>
      <c r="H35" s="6">
        <v>-1.6</v>
      </c>
    </row>
    <row r="36" spans="1:8" ht="17.25" x14ac:dyDescent="0.3">
      <c r="A36" s="15">
        <v>30</v>
      </c>
      <c r="B36" s="15"/>
      <c r="C36" s="16"/>
      <c r="D36" s="16" t="s">
        <v>31</v>
      </c>
      <c r="E36" s="6">
        <v>-2.8436590653693261</v>
      </c>
      <c r="F36" s="6">
        <v>20.304265334571912</v>
      </c>
      <c r="H36" s="6">
        <v>-2</v>
      </c>
    </row>
    <row r="37" spans="1:8" ht="17.25" x14ac:dyDescent="0.3">
      <c r="A37" s="15">
        <v>31</v>
      </c>
      <c r="B37" s="26"/>
      <c r="C37" s="27"/>
      <c r="D37" s="27" t="s">
        <v>31</v>
      </c>
      <c r="E37" s="6">
        <v>6.8232321245322494</v>
      </c>
      <c r="F37" s="6">
        <v>15.195319251497333</v>
      </c>
      <c r="H37" s="6">
        <v>-2.8</v>
      </c>
    </row>
    <row r="38" spans="1:8" ht="17.25" x14ac:dyDescent="0.3">
      <c r="A38" s="62" t="s">
        <v>264</v>
      </c>
      <c r="B38" s="62"/>
      <c r="C38" s="62"/>
      <c r="D38" s="62"/>
      <c r="E38" s="31">
        <f>AVERAGE(E28:E37)</f>
        <v>4.4525807330068918</v>
      </c>
      <c r="G38" s="31">
        <f>AVERAGE(F28:F37)</f>
        <v>5.8525225645444143</v>
      </c>
      <c r="H38" s="6"/>
    </row>
    <row r="39" spans="1:8" ht="17.25" x14ac:dyDescent="0.3">
      <c r="A39" s="28"/>
      <c r="B39" s="28"/>
      <c r="C39" s="28"/>
      <c r="D39" s="28"/>
      <c r="E39" s="29"/>
      <c r="F39" s="29"/>
      <c r="G39" s="29"/>
      <c r="H39" s="29"/>
    </row>
    <row r="40" spans="1:8" ht="17.25" x14ac:dyDescent="0.3">
      <c r="A40" s="28"/>
      <c r="B40" s="28"/>
      <c r="C40" s="28"/>
      <c r="D40" s="28"/>
      <c r="E40" s="29"/>
      <c r="F40" s="29"/>
      <c r="G40" s="39"/>
      <c r="H40" s="39"/>
    </row>
    <row r="41" spans="1:8" ht="17.25" x14ac:dyDescent="0.3">
      <c r="A41" s="28"/>
      <c r="B41" s="28"/>
      <c r="C41" s="28"/>
      <c r="D41" s="28"/>
      <c r="E41" s="29"/>
      <c r="F41" s="29"/>
      <c r="G41" s="39"/>
      <c r="H41" s="39"/>
    </row>
    <row r="42" spans="1:8" ht="17.25" x14ac:dyDescent="0.3">
      <c r="A42" s="28"/>
      <c r="B42" s="28"/>
      <c r="C42" s="28"/>
      <c r="D42" s="28"/>
      <c r="E42" s="29"/>
      <c r="F42" s="29"/>
      <c r="G42" s="39"/>
      <c r="H42" s="39"/>
    </row>
    <row r="43" spans="1:8" ht="17.25" x14ac:dyDescent="0.3">
      <c r="A43" s="28"/>
      <c r="B43" s="28"/>
      <c r="C43" s="28"/>
      <c r="D43" s="28"/>
      <c r="E43" s="29"/>
      <c r="F43" s="29"/>
      <c r="G43" s="39"/>
      <c r="H43" s="39"/>
    </row>
    <row r="44" spans="1:8" ht="17.25" x14ac:dyDescent="0.3">
      <c r="A44" s="28"/>
      <c r="B44" s="28"/>
      <c r="C44" s="28"/>
      <c r="D44" s="28"/>
      <c r="E44" s="29"/>
      <c r="F44" s="29"/>
      <c r="G44" s="39"/>
      <c r="H44" s="39"/>
    </row>
    <row r="45" spans="1:8" ht="17.25" x14ac:dyDescent="0.3">
      <c r="A45" s="28"/>
      <c r="B45" s="28"/>
      <c r="C45" s="28"/>
      <c r="D45" s="28"/>
      <c r="E45" s="29"/>
      <c r="F45" s="29"/>
      <c r="G45" s="29"/>
      <c r="H45" s="29"/>
    </row>
    <row r="46" spans="1:8" ht="17.25" x14ac:dyDescent="0.3">
      <c r="A46" s="28"/>
      <c r="B46" s="28"/>
      <c r="C46" s="28"/>
      <c r="D46" s="28"/>
      <c r="E46" s="29"/>
      <c r="F46" s="29"/>
      <c r="G46" s="39"/>
      <c r="H46" s="39"/>
    </row>
    <row r="47" spans="1:8" ht="17.25" x14ac:dyDescent="0.3">
      <c r="A47" s="28"/>
      <c r="B47" s="28"/>
      <c r="C47" s="28"/>
      <c r="D47" s="28"/>
      <c r="E47" s="29"/>
      <c r="F47" s="29"/>
      <c r="G47" s="29"/>
      <c r="H47" s="29"/>
    </row>
    <row r="48" spans="1:8" ht="17.25" x14ac:dyDescent="0.3">
      <c r="A48" s="28"/>
      <c r="B48" s="28"/>
      <c r="C48" s="28"/>
      <c r="D48" s="28"/>
      <c r="E48" s="29"/>
      <c r="F48" s="29"/>
      <c r="G48" s="30"/>
      <c r="H48" s="29"/>
    </row>
    <row r="49" spans="1:12" ht="17.25" x14ac:dyDescent="0.3">
      <c r="A49" s="28"/>
      <c r="B49" s="28"/>
      <c r="C49" s="28"/>
      <c r="D49" s="28"/>
      <c r="E49" s="29"/>
      <c r="F49" s="29"/>
      <c r="G49" s="30"/>
      <c r="H49" s="29"/>
    </row>
    <row r="50" spans="1:12" ht="17.25" x14ac:dyDescent="0.3">
      <c r="A50" s="28"/>
      <c r="B50" s="28"/>
      <c r="C50" s="28"/>
      <c r="D50" s="40"/>
      <c r="E50" s="41"/>
      <c r="F50" s="42"/>
      <c r="G50" s="41"/>
      <c r="H50" s="39"/>
    </row>
    <row r="51" spans="1:12" ht="17.25" x14ac:dyDescent="0.3">
      <c r="A51" s="28"/>
      <c r="B51" s="28"/>
      <c r="C51" s="28"/>
      <c r="D51" s="28"/>
      <c r="E51" s="29"/>
      <c r="F51" s="29"/>
      <c r="G51" s="30"/>
      <c r="H51" s="29"/>
    </row>
    <row r="52" spans="1:12" ht="17.25" x14ac:dyDescent="0.3">
      <c r="A52" s="28"/>
      <c r="B52" s="28"/>
      <c r="C52" s="28"/>
      <c r="D52" s="28"/>
      <c r="E52" s="29"/>
      <c r="F52" s="29"/>
      <c r="G52" s="30"/>
      <c r="H52" s="29"/>
      <c r="L52" s="15" t="s">
        <v>64</v>
      </c>
    </row>
    <row r="53" spans="1:12" ht="17.25" x14ac:dyDescent="0.3">
      <c r="A53" s="28"/>
      <c r="B53" s="28"/>
      <c r="C53" s="28"/>
      <c r="D53" s="40"/>
      <c r="E53" s="41"/>
      <c r="F53" s="42"/>
      <c r="G53" s="41"/>
      <c r="H53" s="39"/>
    </row>
  </sheetData>
  <mergeCells count="7">
    <mergeCell ref="A27:D27"/>
    <mergeCell ref="A38:D38"/>
    <mergeCell ref="A1:D1"/>
    <mergeCell ref="E1:G1"/>
    <mergeCell ref="A4:D4"/>
    <mergeCell ref="A7:D7"/>
    <mergeCell ref="A20:D20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56F7-CA07-4B60-BD80-F29A9545D4A1}">
  <dimension ref="A1:S50"/>
  <sheetViews>
    <sheetView zoomScale="70" zoomScaleNormal="70" workbookViewId="0">
      <selection activeCell="F28" sqref="F28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19" ht="24.75" thickBot="1" x14ac:dyDescent="0.35">
      <c r="A1" s="44" t="s">
        <v>0</v>
      </c>
      <c r="B1" s="45"/>
      <c r="C1" s="45"/>
      <c r="D1" s="46"/>
      <c r="E1" s="44" t="s">
        <v>59</v>
      </c>
      <c r="F1" s="45"/>
      <c r="G1" s="46"/>
    </row>
    <row r="2" spans="1:19" ht="18" thickBot="1" x14ac:dyDescent="0.35">
      <c r="A2" s="1" t="s">
        <v>60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K2" s="4" t="s">
        <v>65</v>
      </c>
      <c r="S2" s="9" t="s">
        <v>61</v>
      </c>
    </row>
    <row r="3" spans="1:19" ht="17.25" x14ac:dyDescent="0.3">
      <c r="A3" s="4">
        <v>1</v>
      </c>
      <c r="B3" s="4" t="s">
        <v>65</v>
      </c>
      <c r="C3" s="5"/>
      <c r="D3" s="5" t="s">
        <v>33</v>
      </c>
      <c r="E3" s="18">
        <v>1.75</v>
      </c>
      <c r="F3" s="18">
        <v>7.65</v>
      </c>
      <c r="G3" s="18"/>
      <c r="H3" s="18"/>
    </row>
    <row r="4" spans="1:19" ht="17.25" x14ac:dyDescent="0.3">
      <c r="A4" s="7">
        <v>2</v>
      </c>
      <c r="B4" s="7"/>
      <c r="C4" s="8"/>
      <c r="D4" s="8" t="s">
        <v>38</v>
      </c>
      <c r="E4" s="18">
        <v>4.34</v>
      </c>
      <c r="F4" s="18">
        <v>0.88</v>
      </c>
      <c r="G4" s="18"/>
      <c r="H4" s="18">
        <v>20.03403710446716</v>
      </c>
    </row>
    <row r="5" spans="1:19" ht="17.25" x14ac:dyDescent="0.3">
      <c r="A5" s="7">
        <v>3</v>
      </c>
      <c r="B5" s="7"/>
      <c r="C5" s="8"/>
      <c r="D5" s="8" t="s">
        <v>42</v>
      </c>
      <c r="E5" s="18">
        <v>3.76</v>
      </c>
      <c r="F5" s="18">
        <v>8.43</v>
      </c>
      <c r="G5" s="18"/>
      <c r="H5" s="18"/>
    </row>
    <row r="6" spans="1:19" ht="17.25" x14ac:dyDescent="0.3">
      <c r="A6" s="7">
        <v>4</v>
      </c>
      <c r="B6" s="7"/>
      <c r="C6" s="8"/>
      <c r="D6" s="8" t="s">
        <v>47</v>
      </c>
      <c r="E6" s="18">
        <v>-0.08</v>
      </c>
      <c r="F6" s="18">
        <v>4.125</v>
      </c>
      <c r="G6" s="18"/>
      <c r="H6" s="18"/>
    </row>
    <row r="7" spans="1:19" ht="17.25" x14ac:dyDescent="0.3">
      <c r="A7" s="56" t="s">
        <v>264</v>
      </c>
      <c r="B7" s="57"/>
      <c r="C7" s="57"/>
      <c r="D7" s="58"/>
      <c r="E7" s="43">
        <f>AVERAGE(E3:E6)</f>
        <v>2.4424999999999999</v>
      </c>
      <c r="G7" s="43">
        <f>AVERAGE(F3:F6)</f>
        <v>5.2712500000000002</v>
      </c>
      <c r="H7" s="18"/>
    </row>
    <row r="8" spans="1:19" ht="17.25" x14ac:dyDescent="0.3">
      <c r="A8" s="9">
        <v>7</v>
      </c>
      <c r="B8" s="9" t="s">
        <v>61</v>
      </c>
      <c r="C8" s="10"/>
      <c r="D8" s="10" t="s">
        <v>103</v>
      </c>
      <c r="E8" s="18">
        <v>3.25</v>
      </c>
      <c r="F8" s="18">
        <v>40.020000000000003</v>
      </c>
      <c r="G8" s="18"/>
      <c r="H8" s="18">
        <v>3.8826383092454009</v>
      </c>
    </row>
    <row r="9" spans="1:19" ht="17.25" x14ac:dyDescent="0.3">
      <c r="A9" s="66" t="s">
        <v>264</v>
      </c>
      <c r="B9" s="67"/>
      <c r="C9" s="67"/>
      <c r="D9" s="68"/>
      <c r="E9" s="43">
        <f>AVERAGE(E8)</f>
        <v>3.25</v>
      </c>
      <c r="G9" s="43">
        <f>AVERAGE(F8)</f>
        <v>40.020000000000003</v>
      </c>
      <c r="H9" s="18"/>
    </row>
    <row r="10" spans="1:19" ht="17.25" x14ac:dyDescent="0.3">
      <c r="A10" s="11">
        <v>8</v>
      </c>
      <c r="B10" s="11" t="s">
        <v>62</v>
      </c>
      <c r="C10" s="12"/>
      <c r="D10" s="12" t="s">
        <v>35</v>
      </c>
      <c r="E10" s="18">
        <v>10.89</v>
      </c>
      <c r="F10" s="18">
        <v>1.05</v>
      </c>
      <c r="G10" s="18"/>
      <c r="H10" s="18">
        <v>4.5</v>
      </c>
    </row>
    <row r="11" spans="1:19" ht="17.25" x14ac:dyDescent="0.3">
      <c r="A11" s="11">
        <v>9</v>
      </c>
      <c r="B11" s="11"/>
      <c r="C11" s="12"/>
      <c r="D11" s="12" t="s">
        <v>36</v>
      </c>
      <c r="E11" s="18">
        <v>19.190000000000001</v>
      </c>
      <c r="F11" s="18">
        <v>4</v>
      </c>
      <c r="G11" s="18"/>
      <c r="H11" s="18">
        <v>10.391083798093447</v>
      </c>
    </row>
    <row r="12" spans="1:19" ht="17.25" x14ac:dyDescent="0.3">
      <c r="A12" s="11">
        <v>10</v>
      </c>
      <c r="B12" s="11"/>
      <c r="C12" s="12"/>
      <c r="D12" s="12" t="s">
        <v>37</v>
      </c>
      <c r="E12" s="18">
        <v>15.92</v>
      </c>
      <c r="F12" s="18">
        <v>-0.37</v>
      </c>
      <c r="G12" s="18"/>
      <c r="H12" s="18"/>
    </row>
    <row r="13" spans="1:19" ht="17.25" x14ac:dyDescent="0.3">
      <c r="A13" s="11">
        <v>11</v>
      </c>
      <c r="B13" s="11"/>
      <c r="C13" s="12"/>
      <c r="D13" s="12" t="s">
        <v>102</v>
      </c>
      <c r="E13" s="18">
        <v>13.38</v>
      </c>
      <c r="F13" s="18">
        <v>4.66</v>
      </c>
      <c r="G13" s="18"/>
      <c r="H13" s="18">
        <v>8.551335460234899</v>
      </c>
    </row>
    <row r="14" spans="1:19" ht="17.25" x14ac:dyDescent="0.3">
      <c r="A14" s="11">
        <v>12</v>
      </c>
      <c r="B14" s="11"/>
      <c r="C14" s="12"/>
      <c r="D14" s="12" t="s">
        <v>39</v>
      </c>
      <c r="E14" s="18">
        <v>7.56</v>
      </c>
      <c r="F14" s="18">
        <v>-0.25</v>
      </c>
      <c r="G14" s="18"/>
      <c r="H14" s="18">
        <v>11.505115843404578</v>
      </c>
    </row>
    <row r="15" spans="1:19" ht="17.25" x14ac:dyDescent="0.3">
      <c r="A15" s="11">
        <v>13</v>
      </c>
      <c r="B15" s="11"/>
      <c r="C15" s="12"/>
      <c r="D15" s="12" t="s">
        <v>104</v>
      </c>
      <c r="E15" s="18">
        <v>20.5</v>
      </c>
      <c r="F15" s="18">
        <v>5.45</v>
      </c>
      <c r="G15" s="18"/>
      <c r="H15" s="18">
        <v>11.444205772609905</v>
      </c>
    </row>
    <row r="16" spans="1:19" ht="17.25" x14ac:dyDescent="0.3">
      <c r="A16" s="11">
        <v>14</v>
      </c>
      <c r="B16" s="11"/>
      <c r="C16" s="12"/>
      <c r="D16" s="12" t="s">
        <v>105</v>
      </c>
      <c r="E16" s="18">
        <v>23.7</v>
      </c>
      <c r="F16" s="18">
        <v>6.6</v>
      </c>
      <c r="G16" s="18"/>
      <c r="H16" s="18">
        <v>8.0567342265422397</v>
      </c>
    </row>
    <row r="17" spans="1:19" ht="17.25" x14ac:dyDescent="0.3">
      <c r="A17" s="11">
        <v>15</v>
      </c>
      <c r="B17" s="11"/>
      <c r="C17" s="12"/>
      <c r="D17" s="12" t="s">
        <v>104</v>
      </c>
      <c r="E17" s="18">
        <v>12.15</v>
      </c>
      <c r="F17" s="18">
        <v>-0.53</v>
      </c>
      <c r="G17" s="18"/>
      <c r="H17" s="18">
        <v>14.229183727330952</v>
      </c>
    </row>
    <row r="18" spans="1:19" ht="17.25" x14ac:dyDescent="0.3">
      <c r="A18" s="47" t="s">
        <v>264</v>
      </c>
      <c r="B18" s="48"/>
      <c r="C18" s="48"/>
      <c r="D18" s="49"/>
      <c r="E18" s="43">
        <f>AVERAGE(E10:E17)</f>
        <v>15.411250000000001</v>
      </c>
      <c r="G18" s="43">
        <f>AVERAGE(F10:F17)</f>
        <v>2.5762499999999999</v>
      </c>
      <c r="H18" s="18"/>
    </row>
    <row r="19" spans="1:19" ht="17.25" x14ac:dyDescent="0.3">
      <c r="A19" s="13">
        <v>16</v>
      </c>
      <c r="B19" s="13" t="s">
        <v>63</v>
      </c>
      <c r="C19" s="14"/>
      <c r="D19" s="14" t="s">
        <v>32</v>
      </c>
      <c r="E19" s="18">
        <v>17.66</v>
      </c>
      <c r="F19" s="18">
        <v>10.89</v>
      </c>
      <c r="G19" s="18"/>
      <c r="H19" s="18">
        <v>15.918844027700219</v>
      </c>
    </row>
    <row r="20" spans="1:19" ht="17.25" x14ac:dyDescent="0.3">
      <c r="A20" s="13">
        <v>17</v>
      </c>
      <c r="B20" s="13"/>
      <c r="C20" s="14"/>
      <c r="D20" s="14" t="s">
        <v>32</v>
      </c>
      <c r="E20" s="18">
        <v>18.170000000000002</v>
      </c>
      <c r="F20" s="18">
        <v>9.27</v>
      </c>
      <c r="G20" s="18"/>
      <c r="H20" s="18">
        <v>16.238542992521808</v>
      </c>
    </row>
    <row r="21" spans="1:19" ht="17.25" x14ac:dyDescent="0.3">
      <c r="A21" s="13">
        <v>19</v>
      </c>
      <c r="B21" s="13"/>
      <c r="C21" s="14"/>
      <c r="D21" s="14" t="s">
        <v>41</v>
      </c>
      <c r="E21" s="18">
        <v>18.195</v>
      </c>
      <c r="F21" s="18">
        <v>4.7449999999999992</v>
      </c>
      <c r="G21" s="18"/>
      <c r="H21" s="18">
        <v>14.9</v>
      </c>
    </row>
    <row r="22" spans="1:19" ht="17.25" x14ac:dyDescent="0.3">
      <c r="A22" s="13">
        <v>20</v>
      </c>
      <c r="B22" s="13"/>
      <c r="C22" s="14"/>
      <c r="D22" s="14" t="s">
        <v>45</v>
      </c>
      <c r="E22" s="18">
        <v>15.309999999999999</v>
      </c>
      <c r="F22" s="18">
        <v>3.085</v>
      </c>
      <c r="G22" s="18"/>
      <c r="H22" s="18">
        <v>7.7</v>
      </c>
    </row>
    <row r="23" spans="1:19" ht="17.25" x14ac:dyDescent="0.3">
      <c r="A23" s="13">
        <v>21</v>
      </c>
      <c r="B23" s="13"/>
      <c r="C23" s="14"/>
      <c r="D23" s="14" t="s">
        <v>48</v>
      </c>
      <c r="E23" s="18">
        <v>19.239999999999998</v>
      </c>
      <c r="F23" s="18">
        <v>8.4600000000000009</v>
      </c>
      <c r="G23" s="18"/>
      <c r="H23" s="18">
        <v>8.0539732374656516</v>
      </c>
    </row>
    <row r="24" spans="1:19" ht="17.25" x14ac:dyDescent="0.3">
      <c r="A24" s="13">
        <v>22</v>
      </c>
      <c r="B24" s="13"/>
      <c r="C24" s="14"/>
      <c r="D24" s="14" t="s">
        <v>54</v>
      </c>
      <c r="E24" s="18">
        <v>24.47</v>
      </c>
      <c r="F24" s="18">
        <v>-0.67</v>
      </c>
      <c r="G24" s="18"/>
      <c r="H24" s="18">
        <v>6.0370027031409474</v>
      </c>
    </row>
    <row r="25" spans="1:19" ht="17.25" x14ac:dyDescent="0.3">
      <c r="A25" s="13">
        <v>23</v>
      </c>
      <c r="B25" s="13"/>
      <c r="C25" s="14"/>
      <c r="D25" s="14" t="s">
        <v>50</v>
      </c>
      <c r="E25" s="18">
        <v>4.09</v>
      </c>
      <c r="F25" s="18">
        <v>16.754999999999999</v>
      </c>
      <c r="G25" s="18"/>
      <c r="H25" s="18"/>
    </row>
    <row r="26" spans="1:19" ht="17.25" x14ac:dyDescent="0.3">
      <c r="A26" s="13">
        <v>24</v>
      </c>
      <c r="B26" s="13"/>
      <c r="C26" s="14"/>
      <c r="D26" s="14" t="s">
        <v>51</v>
      </c>
      <c r="E26" s="18">
        <v>20.925000000000001</v>
      </c>
      <c r="F26" s="18">
        <v>5.27</v>
      </c>
      <c r="G26" s="18"/>
      <c r="H26" s="18">
        <v>13.624076260447705</v>
      </c>
      <c r="K26" s="11" t="s">
        <v>62</v>
      </c>
      <c r="S26" s="13" t="s">
        <v>63</v>
      </c>
    </row>
    <row r="27" spans="1:19" ht="17.25" x14ac:dyDescent="0.3">
      <c r="A27" s="13">
        <v>25</v>
      </c>
      <c r="B27" s="13"/>
      <c r="C27" s="14"/>
      <c r="D27" s="14" t="s">
        <v>52</v>
      </c>
      <c r="E27" s="18">
        <v>24.39</v>
      </c>
      <c r="F27" s="18">
        <v>1.3149999999999999</v>
      </c>
      <c r="G27" s="18"/>
      <c r="H27" s="18">
        <v>8.5612709111236303</v>
      </c>
    </row>
    <row r="28" spans="1:19" ht="17.25" x14ac:dyDescent="0.3">
      <c r="A28" s="50" t="s">
        <v>264</v>
      </c>
      <c r="B28" s="51"/>
      <c r="C28" s="51"/>
      <c r="D28" s="52"/>
      <c r="E28" s="43">
        <f>AVERAGE(E19:E27)</f>
        <v>18.049999999999997</v>
      </c>
      <c r="G28" s="43">
        <f>AVERAGE(F19:F27)</f>
        <v>6.5688888888888881</v>
      </c>
      <c r="H28" s="18"/>
    </row>
    <row r="29" spans="1:19" ht="17.25" x14ac:dyDescent="0.3">
      <c r="A29" s="15">
        <v>26</v>
      </c>
      <c r="B29" s="15" t="s">
        <v>64</v>
      </c>
      <c r="C29" s="16" t="s">
        <v>261</v>
      </c>
      <c r="D29" s="16" t="s">
        <v>34</v>
      </c>
      <c r="E29" s="18">
        <v>9.6</v>
      </c>
      <c r="F29" s="18">
        <v>5.88</v>
      </c>
      <c r="G29" s="18"/>
      <c r="H29" s="18"/>
    </row>
    <row r="30" spans="1:19" ht="17.25" x14ac:dyDescent="0.3">
      <c r="A30" s="15">
        <v>27</v>
      </c>
      <c r="B30" s="15"/>
      <c r="C30" s="16"/>
      <c r="D30" s="16" t="s">
        <v>40</v>
      </c>
      <c r="E30" s="18">
        <v>1.665</v>
      </c>
      <c r="F30" s="18">
        <v>4.1099999999999994</v>
      </c>
      <c r="G30" s="18"/>
      <c r="H30" s="18"/>
    </row>
    <row r="31" spans="1:19" ht="17.25" x14ac:dyDescent="0.3">
      <c r="A31" s="15">
        <v>28</v>
      </c>
      <c r="B31" s="15"/>
      <c r="C31" s="16"/>
      <c r="D31" s="16" t="s">
        <v>43</v>
      </c>
      <c r="E31" s="18">
        <v>8.6150000000000002</v>
      </c>
      <c r="F31" s="18">
        <v>11.465</v>
      </c>
      <c r="G31" s="18"/>
      <c r="H31" s="18"/>
    </row>
    <row r="32" spans="1:19" ht="17.25" x14ac:dyDescent="0.3">
      <c r="A32" s="15">
        <v>29</v>
      </c>
      <c r="B32" s="15"/>
      <c r="C32" s="16"/>
      <c r="D32" s="16" t="s">
        <v>44</v>
      </c>
      <c r="E32" s="18">
        <v>1.4100000000000001</v>
      </c>
      <c r="F32" s="18">
        <v>8.9700000000000006</v>
      </c>
      <c r="G32" s="18"/>
      <c r="H32" s="18">
        <v>1</v>
      </c>
    </row>
    <row r="33" spans="1:8" ht="17.25" x14ac:dyDescent="0.3">
      <c r="A33" s="15">
        <v>30</v>
      </c>
      <c r="B33" s="15"/>
      <c r="C33" s="16"/>
      <c r="D33" s="16" t="s">
        <v>46</v>
      </c>
      <c r="E33" s="18">
        <v>0.53</v>
      </c>
      <c r="F33" s="18">
        <v>7.29</v>
      </c>
      <c r="G33" s="18"/>
      <c r="H33" s="18"/>
    </row>
    <row r="34" spans="1:8" ht="17.25" x14ac:dyDescent="0.3">
      <c r="A34" s="15">
        <v>31</v>
      </c>
      <c r="B34" s="15"/>
      <c r="C34" s="16"/>
      <c r="D34" s="16" t="s">
        <v>49</v>
      </c>
      <c r="E34" s="18">
        <v>17.560000000000002</v>
      </c>
      <c r="F34" s="18">
        <v>8.84</v>
      </c>
      <c r="G34" s="18"/>
      <c r="H34" s="18"/>
    </row>
    <row r="35" spans="1:8" ht="17.25" x14ac:dyDescent="0.3">
      <c r="A35" s="15">
        <v>33</v>
      </c>
      <c r="B35" s="15"/>
      <c r="C35" s="16"/>
      <c r="D35" s="16" t="s">
        <v>53</v>
      </c>
      <c r="E35" s="18">
        <v>0.33999999999999997</v>
      </c>
      <c r="F35" s="18">
        <v>24.655000000000001</v>
      </c>
      <c r="G35" s="22"/>
      <c r="H35" s="18"/>
    </row>
    <row r="36" spans="1:8" ht="17.25" x14ac:dyDescent="0.3">
      <c r="A36" s="63" t="s">
        <v>264</v>
      </c>
      <c r="B36" s="64"/>
      <c r="C36" s="64"/>
      <c r="D36" s="65"/>
      <c r="E36" s="43">
        <f>AVERAGE(E29:E35)</f>
        <v>5.6742857142857162</v>
      </c>
      <c r="G36" s="43">
        <f>AVERAGE(F29:F35)</f>
        <v>10.172857142857142</v>
      </c>
      <c r="H36" s="18"/>
    </row>
    <row r="37" spans="1:8" x14ac:dyDescent="0.3">
      <c r="E37" s="22"/>
      <c r="F37" s="21"/>
      <c r="G37" s="22"/>
      <c r="H37" s="18"/>
    </row>
    <row r="38" spans="1:8" x14ac:dyDescent="0.3">
      <c r="E38" s="6"/>
      <c r="F38" s="6"/>
      <c r="G38" s="17"/>
    </row>
    <row r="39" spans="1:8" x14ac:dyDescent="0.3">
      <c r="E39" s="6"/>
      <c r="F39" s="6"/>
      <c r="G39" s="6"/>
    </row>
    <row r="40" spans="1:8" x14ac:dyDescent="0.3">
      <c r="E40" s="6"/>
      <c r="F40" s="6"/>
      <c r="G40" s="17"/>
    </row>
    <row r="41" spans="1:8" x14ac:dyDescent="0.3">
      <c r="E41" s="6"/>
      <c r="F41" s="6"/>
      <c r="G41" s="6"/>
    </row>
    <row r="42" spans="1:8" x14ac:dyDescent="0.3">
      <c r="E42" s="6"/>
      <c r="F42" s="6"/>
      <c r="G42" s="17"/>
    </row>
    <row r="43" spans="1:8" x14ac:dyDescent="0.3">
      <c r="E43" s="6"/>
      <c r="F43" s="6"/>
      <c r="G43" s="17"/>
    </row>
    <row r="44" spans="1:8" x14ac:dyDescent="0.3">
      <c r="E44" s="6"/>
      <c r="F44" s="6"/>
      <c r="G44" s="6"/>
    </row>
    <row r="45" spans="1:8" x14ac:dyDescent="0.3">
      <c r="E45" s="6"/>
      <c r="F45" s="6"/>
      <c r="G45" s="6"/>
    </row>
    <row r="46" spans="1:8" x14ac:dyDescent="0.3">
      <c r="E46" s="6"/>
      <c r="F46" s="6"/>
      <c r="G46" s="17"/>
    </row>
    <row r="50" spans="11:11" ht="17.25" x14ac:dyDescent="0.3">
      <c r="K50" s="15" t="s">
        <v>64</v>
      </c>
    </row>
  </sheetData>
  <mergeCells count="7">
    <mergeCell ref="A28:D28"/>
    <mergeCell ref="A36:D36"/>
    <mergeCell ref="A1:D1"/>
    <mergeCell ref="E1:G1"/>
    <mergeCell ref="A7:D7"/>
    <mergeCell ref="A9:D9"/>
    <mergeCell ref="A18:D18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0158-AB9E-468F-9734-16E04FDAA4BB}">
  <dimension ref="A1:U72"/>
  <sheetViews>
    <sheetView topLeftCell="A3" zoomScale="70" zoomScaleNormal="70" workbookViewId="0">
      <selection activeCell="J80" sqref="J80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1" ht="24.75" thickBot="1" x14ac:dyDescent="0.35">
      <c r="A1" s="44" t="s">
        <v>0</v>
      </c>
      <c r="B1" s="45"/>
      <c r="C1" s="45"/>
      <c r="D1" s="46"/>
      <c r="E1" s="44" t="s">
        <v>59</v>
      </c>
      <c r="F1" s="45"/>
      <c r="G1" s="46"/>
    </row>
    <row r="2" spans="1:21" ht="18" thickBot="1" x14ac:dyDescent="0.35">
      <c r="A2" s="1" t="s">
        <v>60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5</v>
      </c>
      <c r="H2" s="3" t="s">
        <v>5</v>
      </c>
      <c r="L2" s="4" t="s">
        <v>65</v>
      </c>
      <c r="U2" s="9" t="s">
        <v>61</v>
      </c>
    </row>
    <row r="3" spans="1:21" ht="17.25" x14ac:dyDescent="0.3">
      <c r="A3" s="4">
        <v>1</v>
      </c>
      <c r="B3" s="4" t="s">
        <v>65</v>
      </c>
      <c r="C3" s="5"/>
      <c r="D3" s="5" t="s">
        <v>115</v>
      </c>
      <c r="E3" s="18">
        <v>2.36</v>
      </c>
      <c r="F3" s="18">
        <v>-0.6</v>
      </c>
      <c r="G3" s="18"/>
      <c r="H3" s="18"/>
    </row>
    <row r="4" spans="1:21" ht="17.25" x14ac:dyDescent="0.3">
      <c r="A4" s="4">
        <v>2</v>
      </c>
      <c r="B4" s="4"/>
      <c r="C4" s="5"/>
      <c r="D4" s="5" t="s">
        <v>116</v>
      </c>
      <c r="E4" s="18">
        <v>1.86</v>
      </c>
      <c r="F4" s="18">
        <v>-1.83</v>
      </c>
      <c r="G4" s="18"/>
      <c r="H4" s="18"/>
    </row>
    <row r="5" spans="1:21" ht="17.25" x14ac:dyDescent="0.3">
      <c r="A5" s="4">
        <v>3</v>
      </c>
      <c r="B5" s="4"/>
      <c r="C5" s="5"/>
      <c r="D5" s="5" t="s">
        <v>117</v>
      </c>
      <c r="E5" s="18">
        <v>7.77</v>
      </c>
      <c r="F5" s="18">
        <v>2.4</v>
      </c>
      <c r="G5" s="18"/>
      <c r="H5" s="18"/>
    </row>
    <row r="6" spans="1:21" ht="17.25" x14ac:dyDescent="0.3">
      <c r="A6" s="4">
        <v>4</v>
      </c>
      <c r="B6" s="4"/>
      <c r="C6" s="5"/>
      <c r="D6" s="5" t="s">
        <v>118</v>
      </c>
      <c r="E6" s="18">
        <v>0.92</v>
      </c>
      <c r="F6" s="18">
        <v>0.08</v>
      </c>
      <c r="G6" s="18"/>
      <c r="H6" s="18"/>
    </row>
    <row r="7" spans="1:21" ht="17.25" x14ac:dyDescent="0.3">
      <c r="A7" s="4">
        <v>5</v>
      </c>
      <c r="B7" s="4"/>
      <c r="C7" s="5"/>
      <c r="D7" s="5" t="s">
        <v>119</v>
      </c>
      <c r="E7" s="18">
        <v>2.98</v>
      </c>
      <c r="F7" s="18">
        <v>0.23</v>
      </c>
      <c r="G7" s="18"/>
      <c r="H7" s="18"/>
    </row>
    <row r="8" spans="1:21" ht="17.25" x14ac:dyDescent="0.3">
      <c r="A8" s="56" t="s">
        <v>264</v>
      </c>
      <c r="B8" s="57"/>
      <c r="C8" s="57"/>
      <c r="D8" s="58"/>
      <c r="E8" s="43">
        <f>AVERAGE(E3:E7)</f>
        <v>3.1779999999999999</v>
      </c>
      <c r="G8" s="43">
        <f>AVERAGE(F3:F7)</f>
        <v>5.5999999999999953E-2</v>
      </c>
      <c r="H8" s="18"/>
    </row>
    <row r="9" spans="1:21" ht="17.25" x14ac:dyDescent="0.3">
      <c r="A9" s="9">
        <v>6</v>
      </c>
      <c r="B9" s="9" t="s">
        <v>61</v>
      </c>
      <c r="C9" s="10"/>
      <c r="D9" s="10" t="s">
        <v>113</v>
      </c>
      <c r="E9" s="18">
        <v>1.75</v>
      </c>
      <c r="F9" s="18">
        <v>45.94</v>
      </c>
      <c r="G9" s="18"/>
      <c r="H9" s="18"/>
    </row>
    <row r="10" spans="1:21" ht="17.25" x14ac:dyDescent="0.3">
      <c r="A10" s="9">
        <v>7</v>
      </c>
      <c r="B10" s="9"/>
      <c r="C10" s="10"/>
      <c r="D10" s="10" t="s">
        <v>113</v>
      </c>
      <c r="E10" s="18">
        <v>0.13</v>
      </c>
      <c r="F10" s="18">
        <v>51.47</v>
      </c>
      <c r="G10" s="18"/>
      <c r="H10" s="18"/>
    </row>
    <row r="11" spans="1:21" ht="17.25" x14ac:dyDescent="0.3">
      <c r="A11" s="59" t="s">
        <v>264</v>
      </c>
      <c r="B11" s="60"/>
      <c r="C11" s="60"/>
      <c r="D11" s="61"/>
      <c r="E11" s="43">
        <f>AVERAGE(E9:E10)</f>
        <v>0.94</v>
      </c>
      <c r="G11" s="43">
        <f>AVERAGE(F9:F10)</f>
        <v>48.704999999999998</v>
      </c>
      <c r="H11" s="18"/>
    </row>
    <row r="12" spans="1:21" ht="17.25" x14ac:dyDescent="0.3">
      <c r="A12" s="11">
        <v>8</v>
      </c>
      <c r="B12" s="11" t="s">
        <v>62</v>
      </c>
      <c r="C12" s="12"/>
      <c r="D12" s="12" t="s">
        <v>106</v>
      </c>
      <c r="E12" s="18">
        <v>4.57</v>
      </c>
      <c r="F12" s="18">
        <v>0.2</v>
      </c>
      <c r="G12" s="18"/>
      <c r="H12" s="18"/>
    </row>
    <row r="13" spans="1:21" ht="17.25" x14ac:dyDescent="0.3">
      <c r="A13" s="11">
        <v>9</v>
      </c>
      <c r="B13" s="11"/>
      <c r="C13" s="12"/>
      <c r="D13" s="12" t="s">
        <v>107</v>
      </c>
      <c r="E13" s="18">
        <v>7.66</v>
      </c>
      <c r="F13" s="18">
        <v>1.41</v>
      </c>
      <c r="G13" s="18"/>
      <c r="H13" s="18"/>
    </row>
    <row r="14" spans="1:21" ht="17.25" x14ac:dyDescent="0.3">
      <c r="A14" s="11">
        <v>10</v>
      </c>
      <c r="B14" s="11"/>
      <c r="C14" s="12"/>
      <c r="D14" s="12" t="s">
        <v>107</v>
      </c>
      <c r="E14" s="18">
        <v>9.57</v>
      </c>
      <c r="F14" s="18">
        <v>3.31</v>
      </c>
      <c r="G14" s="18"/>
      <c r="H14" s="18">
        <v>9.0626238386558029</v>
      </c>
    </row>
    <row r="15" spans="1:21" ht="17.25" x14ac:dyDescent="0.3">
      <c r="A15" s="11">
        <v>11</v>
      </c>
      <c r="B15" s="11"/>
      <c r="C15" s="12"/>
      <c r="D15" s="12" t="s">
        <v>108</v>
      </c>
      <c r="E15" s="18">
        <v>9.9499999999999993</v>
      </c>
      <c r="F15" s="18">
        <v>2.1</v>
      </c>
      <c r="G15" s="18"/>
      <c r="H15" s="18">
        <v>12.573072375451911</v>
      </c>
    </row>
    <row r="16" spans="1:21" ht="17.25" x14ac:dyDescent="0.3">
      <c r="A16" s="11">
        <v>12</v>
      </c>
      <c r="B16" s="11"/>
      <c r="C16" s="12"/>
      <c r="D16" s="12" t="s">
        <v>108</v>
      </c>
      <c r="E16" s="18">
        <v>19.28</v>
      </c>
      <c r="F16" s="18">
        <v>-3.13</v>
      </c>
      <c r="G16" s="18"/>
      <c r="H16" s="18">
        <v>14.920809121688139</v>
      </c>
    </row>
    <row r="17" spans="1:21" ht="17.25" x14ac:dyDescent="0.3">
      <c r="A17" s="11">
        <v>13</v>
      </c>
      <c r="B17" s="11"/>
      <c r="C17" s="12"/>
      <c r="D17" s="12" t="s">
        <v>121</v>
      </c>
      <c r="E17" s="18">
        <v>11.04</v>
      </c>
      <c r="F17" s="18">
        <v>-3.61</v>
      </c>
      <c r="G17" s="18"/>
      <c r="H17" s="18"/>
    </row>
    <row r="18" spans="1:21" ht="17.25" x14ac:dyDescent="0.3">
      <c r="A18" s="11">
        <v>14</v>
      </c>
      <c r="B18" s="11"/>
      <c r="C18" s="12"/>
      <c r="D18" s="12" t="s">
        <v>122</v>
      </c>
      <c r="E18" s="18">
        <v>10.83</v>
      </c>
      <c r="F18" s="18">
        <v>-4.8499999999999996</v>
      </c>
      <c r="G18" s="18"/>
      <c r="H18" s="18">
        <v>5.0693126871009797</v>
      </c>
    </row>
    <row r="19" spans="1:21" ht="17.25" x14ac:dyDescent="0.3">
      <c r="A19" s="11">
        <v>15</v>
      </c>
      <c r="B19" s="11"/>
      <c r="C19" s="12"/>
      <c r="D19" s="12" t="s">
        <v>123</v>
      </c>
      <c r="E19" s="18">
        <v>6.49</v>
      </c>
      <c r="F19" s="18">
        <v>-4.55</v>
      </c>
      <c r="G19" s="18"/>
      <c r="H19" s="18">
        <v>9.873980894915535</v>
      </c>
    </row>
    <row r="20" spans="1:21" ht="17.25" x14ac:dyDescent="0.3">
      <c r="A20" s="47" t="s">
        <v>264</v>
      </c>
      <c r="B20" s="48"/>
      <c r="C20" s="48"/>
      <c r="D20" s="49"/>
      <c r="E20" s="43">
        <f>AVERAGE(E12:E19)</f>
        <v>9.9237500000000001</v>
      </c>
      <c r="G20" s="43">
        <f>AVERAGE(F12:F19)</f>
        <v>-1.1400000000000001</v>
      </c>
      <c r="H20" s="18"/>
    </row>
    <row r="21" spans="1:21" ht="17.25" x14ac:dyDescent="0.3">
      <c r="A21" s="13">
        <v>18</v>
      </c>
      <c r="B21" s="13" t="s">
        <v>63</v>
      </c>
      <c r="C21" s="14"/>
      <c r="D21" s="14" t="s">
        <v>111</v>
      </c>
      <c r="E21" s="18">
        <v>6.32</v>
      </c>
      <c r="F21" s="18">
        <v>-0.06</v>
      </c>
      <c r="G21" s="18"/>
      <c r="H21" s="18">
        <v>-7.8561793379525735</v>
      </c>
    </row>
    <row r="22" spans="1:21" ht="17.25" x14ac:dyDescent="0.3">
      <c r="A22" s="13">
        <v>19</v>
      </c>
      <c r="B22" s="13"/>
      <c r="C22" s="14"/>
      <c r="D22" s="14" t="s">
        <v>111</v>
      </c>
      <c r="E22" s="18">
        <v>15.57</v>
      </c>
      <c r="F22" s="18">
        <v>2.06</v>
      </c>
      <c r="G22" s="18"/>
      <c r="H22" s="18">
        <v>8.7874539914680199</v>
      </c>
    </row>
    <row r="23" spans="1:21" ht="17.25" x14ac:dyDescent="0.3">
      <c r="A23" s="13">
        <v>20</v>
      </c>
      <c r="B23" s="13"/>
      <c r="C23" s="14"/>
      <c r="D23" s="14" t="s">
        <v>130</v>
      </c>
      <c r="E23" s="18">
        <v>9.18</v>
      </c>
      <c r="F23" s="18">
        <v>-0.3</v>
      </c>
      <c r="G23" s="18"/>
      <c r="H23" s="18">
        <v>4.7220225139597005</v>
      </c>
      <c r="L23" s="11" t="s">
        <v>62</v>
      </c>
      <c r="U23" s="13" t="s">
        <v>63</v>
      </c>
    </row>
    <row r="24" spans="1:21" ht="17.25" x14ac:dyDescent="0.3">
      <c r="A24" s="50" t="s">
        <v>264</v>
      </c>
      <c r="B24" s="51"/>
      <c r="C24" s="51"/>
      <c r="D24" s="52"/>
      <c r="E24" s="43">
        <f>AVERAGE(E21:E23)</f>
        <v>10.356666666666667</v>
      </c>
      <c r="G24" s="43">
        <f>AVERAGE(F21:F23)</f>
        <v>0.56666666666666665</v>
      </c>
      <c r="H24" s="18"/>
    </row>
    <row r="25" spans="1:21" ht="17.25" x14ac:dyDescent="0.3">
      <c r="A25" s="15">
        <v>28</v>
      </c>
      <c r="B25" s="15" t="s">
        <v>64</v>
      </c>
      <c r="C25" s="16"/>
      <c r="D25" s="16" t="s">
        <v>109</v>
      </c>
      <c r="E25" s="18">
        <v>9.1199999999999992</v>
      </c>
      <c r="F25" s="18">
        <v>6.12</v>
      </c>
      <c r="G25" s="18"/>
      <c r="H25" s="18"/>
    </row>
    <row r="26" spans="1:21" ht="17.25" x14ac:dyDescent="0.3">
      <c r="A26" s="15">
        <v>29</v>
      </c>
      <c r="B26" s="15"/>
      <c r="C26" s="16"/>
      <c r="D26" s="16" t="s">
        <v>110</v>
      </c>
      <c r="E26" s="18">
        <v>2.6</v>
      </c>
      <c r="F26" s="18">
        <v>-0.02</v>
      </c>
      <c r="G26" s="18"/>
      <c r="H26" s="18"/>
    </row>
    <row r="27" spans="1:21" ht="17.25" x14ac:dyDescent="0.3">
      <c r="A27" s="15">
        <v>30</v>
      </c>
      <c r="B27" s="15"/>
      <c r="C27" s="16"/>
      <c r="D27" s="16" t="s">
        <v>110</v>
      </c>
      <c r="E27" s="18">
        <v>1.49</v>
      </c>
      <c r="F27" s="18">
        <v>1.82</v>
      </c>
      <c r="G27" s="22"/>
      <c r="H27" s="18"/>
    </row>
    <row r="28" spans="1:21" ht="17.25" x14ac:dyDescent="0.3">
      <c r="A28" s="15">
        <v>31</v>
      </c>
      <c r="B28" s="15"/>
      <c r="C28" s="16"/>
      <c r="D28" s="16" t="s">
        <v>112</v>
      </c>
      <c r="E28" s="18">
        <v>-8.4600000000000009</v>
      </c>
      <c r="F28" s="18">
        <v>-0.63</v>
      </c>
      <c r="G28" s="18"/>
      <c r="H28" s="18"/>
    </row>
    <row r="29" spans="1:21" ht="17.25" x14ac:dyDescent="0.3">
      <c r="A29" s="15">
        <v>32</v>
      </c>
      <c r="B29" s="15"/>
      <c r="C29" s="16"/>
      <c r="D29" s="16" t="s">
        <v>112</v>
      </c>
      <c r="E29" s="18">
        <v>-8.98</v>
      </c>
      <c r="F29" s="18">
        <v>-2.64</v>
      </c>
      <c r="G29" s="18"/>
      <c r="H29" s="18"/>
    </row>
    <row r="30" spans="1:21" ht="17.25" x14ac:dyDescent="0.3">
      <c r="A30" s="15">
        <v>33</v>
      </c>
      <c r="B30" s="15"/>
      <c r="C30" s="16"/>
      <c r="D30" s="16" t="s">
        <v>110</v>
      </c>
      <c r="E30" s="18">
        <v>-9.3800000000000008</v>
      </c>
      <c r="F30" s="18">
        <v>-1.64</v>
      </c>
      <c r="G30" s="18"/>
      <c r="H30" s="18"/>
    </row>
    <row r="31" spans="1:21" ht="17.25" x14ac:dyDescent="0.3">
      <c r="A31" s="15">
        <v>34</v>
      </c>
      <c r="B31" s="15"/>
      <c r="C31" s="16"/>
      <c r="D31" s="16" t="s">
        <v>112</v>
      </c>
      <c r="E31" s="18">
        <v>1.37</v>
      </c>
      <c r="F31" s="18">
        <v>4.26</v>
      </c>
      <c r="G31" s="18"/>
      <c r="H31" s="18"/>
    </row>
    <row r="32" spans="1:21" ht="17.25" x14ac:dyDescent="0.3">
      <c r="A32" s="15">
        <v>35</v>
      </c>
      <c r="B32" s="15"/>
      <c r="C32" s="16"/>
      <c r="D32" s="16" t="s">
        <v>110</v>
      </c>
      <c r="E32" s="18">
        <v>4.07</v>
      </c>
      <c r="F32" s="18">
        <v>1.58</v>
      </c>
      <c r="G32" s="18"/>
      <c r="H32" s="18"/>
    </row>
    <row r="33" spans="1:12" ht="17.25" x14ac:dyDescent="0.3">
      <c r="A33" s="15">
        <v>36</v>
      </c>
      <c r="B33" s="15"/>
      <c r="C33" s="16"/>
      <c r="D33" s="16" t="s">
        <v>114</v>
      </c>
      <c r="E33" s="18">
        <v>6.17</v>
      </c>
      <c r="F33" s="18">
        <v>1.68</v>
      </c>
      <c r="G33" s="18"/>
      <c r="H33" s="18"/>
    </row>
    <row r="34" spans="1:12" ht="17.25" x14ac:dyDescent="0.3">
      <c r="A34" s="15">
        <v>37</v>
      </c>
      <c r="B34" s="15"/>
      <c r="C34" s="16"/>
      <c r="D34" s="16" t="s">
        <v>112</v>
      </c>
      <c r="E34" s="18">
        <v>3.11</v>
      </c>
      <c r="F34" s="18">
        <v>-12.58</v>
      </c>
      <c r="G34" s="18"/>
      <c r="H34" s="18"/>
    </row>
    <row r="35" spans="1:12" ht="17.25" x14ac:dyDescent="0.3">
      <c r="A35" s="15">
        <v>38</v>
      </c>
      <c r="B35" s="15"/>
      <c r="C35" s="16"/>
      <c r="D35" s="16" t="s">
        <v>112</v>
      </c>
      <c r="E35" s="18">
        <v>10.37</v>
      </c>
      <c r="F35" s="18">
        <v>4.37</v>
      </c>
      <c r="G35" s="18"/>
      <c r="H35" s="18"/>
    </row>
    <row r="36" spans="1:12" ht="17.25" x14ac:dyDescent="0.3">
      <c r="A36" s="15">
        <v>39</v>
      </c>
      <c r="B36" s="15"/>
      <c r="C36" s="16"/>
      <c r="D36" s="16" t="s">
        <v>120</v>
      </c>
      <c r="E36" s="18">
        <v>7.91</v>
      </c>
      <c r="F36" s="18">
        <v>-0.2</v>
      </c>
      <c r="G36" s="18"/>
      <c r="H36" s="18"/>
    </row>
    <row r="37" spans="1:12" ht="17.25" x14ac:dyDescent="0.3">
      <c r="A37" s="15">
        <v>40</v>
      </c>
      <c r="B37" s="15"/>
      <c r="C37" s="16"/>
      <c r="D37" s="16" t="s">
        <v>112</v>
      </c>
      <c r="E37" s="18">
        <v>7.82</v>
      </c>
      <c r="F37" s="18">
        <v>3.13</v>
      </c>
      <c r="G37" s="18"/>
      <c r="H37" s="18"/>
    </row>
    <row r="38" spans="1:12" ht="17.25" x14ac:dyDescent="0.3">
      <c r="A38" s="15">
        <v>41</v>
      </c>
      <c r="B38" s="15"/>
      <c r="C38" s="16"/>
      <c r="D38" s="16" t="s">
        <v>124</v>
      </c>
      <c r="E38" s="18">
        <v>5.39</v>
      </c>
      <c r="F38" s="18">
        <v>1.02</v>
      </c>
      <c r="G38" s="18"/>
      <c r="H38" s="18"/>
    </row>
    <row r="39" spans="1:12" ht="17.25" x14ac:dyDescent="0.3">
      <c r="A39" s="15">
        <v>42</v>
      </c>
      <c r="B39" s="15"/>
      <c r="C39" s="16"/>
      <c r="D39" s="16" t="s">
        <v>112</v>
      </c>
      <c r="E39" s="18">
        <v>7.15</v>
      </c>
      <c r="F39" s="18">
        <v>0.47</v>
      </c>
      <c r="G39" s="18"/>
      <c r="H39" s="18"/>
    </row>
    <row r="40" spans="1:12" ht="17.25" x14ac:dyDescent="0.3">
      <c r="A40" s="15">
        <v>43</v>
      </c>
      <c r="B40" s="15"/>
      <c r="C40" s="16"/>
      <c r="D40" s="16" t="s">
        <v>125</v>
      </c>
      <c r="E40" s="18">
        <v>-4.8</v>
      </c>
      <c r="F40" s="18">
        <v>0.87</v>
      </c>
      <c r="G40" s="18"/>
      <c r="H40" s="18"/>
    </row>
    <row r="41" spans="1:12" ht="17.25" x14ac:dyDescent="0.3">
      <c r="A41" s="15">
        <v>44</v>
      </c>
      <c r="B41" s="15"/>
      <c r="C41" s="16"/>
      <c r="D41" s="16" t="s">
        <v>125</v>
      </c>
      <c r="E41" s="18">
        <v>3.03</v>
      </c>
      <c r="F41" s="18">
        <v>8.1999999999999993</v>
      </c>
      <c r="G41" s="22"/>
      <c r="H41" s="18"/>
    </row>
    <row r="42" spans="1:12" ht="17.25" x14ac:dyDescent="0.3">
      <c r="A42" s="15">
        <v>45</v>
      </c>
      <c r="B42" s="15"/>
      <c r="C42" s="16"/>
      <c r="D42" s="16" t="s">
        <v>126</v>
      </c>
      <c r="E42" s="18">
        <v>6.24</v>
      </c>
      <c r="F42" s="18">
        <v>-0.86</v>
      </c>
    </row>
    <row r="43" spans="1:12" ht="17.25" x14ac:dyDescent="0.3">
      <c r="A43" s="15">
        <v>46</v>
      </c>
      <c r="B43" s="15"/>
      <c r="C43" s="16"/>
      <c r="D43" s="16" t="s">
        <v>127</v>
      </c>
      <c r="E43" s="18">
        <v>9.9600000000000009</v>
      </c>
      <c r="F43" s="18">
        <v>1.73</v>
      </c>
      <c r="G43" s="22"/>
      <c r="H43" s="18"/>
    </row>
    <row r="44" spans="1:12" ht="17.25" x14ac:dyDescent="0.3">
      <c r="A44" s="15">
        <v>47</v>
      </c>
      <c r="B44" s="15"/>
      <c r="C44" s="16"/>
      <c r="D44" s="16" t="s">
        <v>129</v>
      </c>
      <c r="E44" s="18">
        <v>0.63</v>
      </c>
      <c r="F44" s="18">
        <v>10.72</v>
      </c>
      <c r="H44" s="18">
        <v>3.1807745506961527</v>
      </c>
    </row>
    <row r="45" spans="1:12" ht="17.25" x14ac:dyDescent="0.3">
      <c r="A45" s="15">
        <v>48</v>
      </c>
      <c r="B45" s="15"/>
      <c r="C45" s="16"/>
      <c r="D45" s="16" t="s">
        <v>128</v>
      </c>
      <c r="E45" s="18">
        <v>1.1000000000000001</v>
      </c>
      <c r="F45" s="18">
        <v>18.05</v>
      </c>
      <c r="H45" s="18">
        <v>-11.110744599254097</v>
      </c>
      <c r="L45" s="15" t="s">
        <v>64</v>
      </c>
    </row>
    <row r="46" spans="1:12" ht="17.25" x14ac:dyDescent="0.3">
      <c r="A46" s="15">
        <v>49</v>
      </c>
      <c r="B46" s="15"/>
      <c r="C46" s="16"/>
      <c r="D46" s="16" t="s">
        <v>110</v>
      </c>
      <c r="E46" s="18">
        <v>6.11</v>
      </c>
      <c r="F46" s="18">
        <v>-2.46</v>
      </c>
      <c r="G46" s="18"/>
      <c r="H46" s="18"/>
    </row>
    <row r="47" spans="1:12" ht="17.25" x14ac:dyDescent="0.3">
      <c r="A47" s="15">
        <v>50</v>
      </c>
      <c r="B47" s="15"/>
      <c r="C47" s="16"/>
      <c r="D47" s="16" t="s">
        <v>110</v>
      </c>
      <c r="E47" s="18">
        <v>3.42</v>
      </c>
      <c r="F47" s="18">
        <v>-1.89</v>
      </c>
      <c r="G47" s="18"/>
      <c r="H47" s="18"/>
    </row>
    <row r="48" spans="1:12" ht="17.25" x14ac:dyDescent="0.3">
      <c r="A48" s="15">
        <v>51</v>
      </c>
      <c r="B48" s="15"/>
      <c r="C48" s="16"/>
      <c r="D48" s="16" t="s">
        <v>110</v>
      </c>
      <c r="E48" s="18">
        <v>9.8800000000000008</v>
      </c>
      <c r="F48" s="18">
        <v>-1.32</v>
      </c>
      <c r="G48" s="18"/>
      <c r="H48" s="18"/>
    </row>
    <row r="49" spans="1:8" ht="17.25" x14ac:dyDescent="0.3">
      <c r="A49" s="15">
        <v>52</v>
      </c>
      <c r="B49" s="15"/>
      <c r="C49" s="16"/>
      <c r="D49" s="16" t="s">
        <v>110</v>
      </c>
      <c r="E49" s="18">
        <v>9.18</v>
      </c>
      <c r="F49" s="18">
        <v>-0.33</v>
      </c>
      <c r="G49" s="18"/>
      <c r="H49" s="18"/>
    </row>
    <row r="50" spans="1:8" ht="17.25" x14ac:dyDescent="0.3">
      <c r="A50" s="15">
        <v>53</v>
      </c>
      <c r="B50" s="15"/>
      <c r="C50" s="16"/>
      <c r="D50" s="16" t="s">
        <v>110</v>
      </c>
      <c r="E50" s="18">
        <v>18.7</v>
      </c>
      <c r="F50" s="18">
        <v>-1.07</v>
      </c>
      <c r="G50" s="18"/>
      <c r="H50" s="18"/>
    </row>
    <row r="51" spans="1:8" ht="17.25" x14ac:dyDescent="0.3">
      <c r="A51" s="15">
        <v>54</v>
      </c>
      <c r="B51" s="15"/>
      <c r="C51" s="16"/>
      <c r="D51" s="16" t="s">
        <v>110</v>
      </c>
      <c r="E51" s="18">
        <v>4.5999999999999996</v>
      </c>
      <c r="F51" s="18">
        <v>-2.17</v>
      </c>
      <c r="G51" s="18"/>
      <c r="H51" s="18"/>
    </row>
    <row r="52" spans="1:8" ht="17.25" x14ac:dyDescent="0.3">
      <c r="A52" s="15">
        <v>55</v>
      </c>
      <c r="B52" s="15"/>
      <c r="C52" s="16"/>
      <c r="D52" s="16" t="s">
        <v>110</v>
      </c>
      <c r="E52" s="18">
        <v>7.71</v>
      </c>
      <c r="F52" s="18">
        <v>-1.6</v>
      </c>
      <c r="G52" s="18"/>
      <c r="H52" s="18"/>
    </row>
    <row r="53" spans="1:8" ht="17.25" x14ac:dyDescent="0.3">
      <c r="A53" s="15">
        <v>56</v>
      </c>
      <c r="B53" s="15"/>
      <c r="C53" s="16"/>
      <c r="D53" s="16" t="s">
        <v>125</v>
      </c>
      <c r="E53" s="18">
        <v>-2.78</v>
      </c>
      <c r="F53" s="18">
        <v>-3.8</v>
      </c>
      <c r="G53" s="18"/>
      <c r="H53" s="18"/>
    </row>
    <row r="54" spans="1:8" ht="17.25" x14ac:dyDescent="0.3">
      <c r="A54" s="15">
        <v>57</v>
      </c>
      <c r="B54" s="15"/>
      <c r="C54" s="16"/>
      <c r="D54" s="16" t="s">
        <v>125</v>
      </c>
      <c r="E54" s="18">
        <v>4.4400000000000004</v>
      </c>
      <c r="F54" s="18">
        <v>0.91</v>
      </c>
      <c r="G54" s="18"/>
      <c r="H54" s="18"/>
    </row>
    <row r="55" spans="1:8" ht="17.25" x14ac:dyDescent="0.3">
      <c r="A55" s="15">
        <v>58</v>
      </c>
      <c r="B55" s="15"/>
      <c r="C55" s="16"/>
      <c r="D55" s="16" t="s">
        <v>125</v>
      </c>
      <c r="E55" s="18">
        <v>1.83</v>
      </c>
      <c r="F55" s="18">
        <v>-3.68</v>
      </c>
      <c r="G55" s="18"/>
      <c r="H55" s="18"/>
    </row>
    <row r="56" spans="1:8" ht="17.25" x14ac:dyDescent="0.3">
      <c r="A56" s="15">
        <v>59</v>
      </c>
      <c r="B56" s="15"/>
      <c r="C56" s="16"/>
      <c r="D56" s="16" t="s">
        <v>125</v>
      </c>
      <c r="E56" s="18">
        <v>4.32</v>
      </c>
      <c r="F56" s="18">
        <v>-4.53</v>
      </c>
      <c r="G56" s="18"/>
      <c r="H56" s="18"/>
    </row>
    <row r="57" spans="1:8" ht="17.25" x14ac:dyDescent="0.3">
      <c r="A57" s="15">
        <v>60</v>
      </c>
      <c r="B57" s="15"/>
      <c r="C57" s="16"/>
      <c r="D57" s="16" t="s">
        <v>125</v>
      </c>
      <c r="E57" s="18">
        <v>2.83</v>
      </c>
      <c r="F57" s="18">
        <v>-1.1000000000000001</v>
      </c>
      <c r="G57" s="18"/>
      <c r="H57" s="18"/>
    </row>
    <row r="58" spans="1:8" ht="17.25" x14ac:dyDescent="0.3">
      <c r="A58" s="15">
        <v>61</v>
      </c>
      <c r="B58" s="15"/>
      <c r="C58" s="16"/>
      <c r="D58" s="16" t="s">
        <v>125</v>
      </c>
      <c r="E58" s="18">
        <v>1.06</v>
      </c>
      <c r="F58" s="18">
        <v>-4.8</v>
      </c>
      <c r="G58" s="18"/>
      <c r="H58" s="18"/>
    </row>
    <row r="59" spans="1:8" ht="17.25" x14ac:dyDescent="0.3">
      <c r="A59" s="15">
        <v>62</v>
      </c>
      <c r="B59" s="15"/>
      <c r="C59" s="16"/>
      <c r="D59" s="16" t="s">
        <v>126</v>
      </c>
      <c r="E59" s="18">
        <v>3.17</v>
      </c>
      <c r="F59" s="18">
        <v>0.38</v>
      </c>
      <c r="G59" s="18"/>
      <c r="H59" s="18"/>
    </row>
    <row r="60" spans="1:8" ht="17.25" x14ac:dyDescent="0.3">
      <c r="A60" s="15">
        <v>63</v>
      </c>
      <c r="B60" s="15"/>
      <c r="C60" s="16"/>
      <c r="D60" s="16" t="s">
        <v>126</v>
      </c>
      <c r="E60" s="18">
        <v>3.41</v>
      </c>
      <c r="F60" s="18">
        <v>1.41</v>
      </c>
      <c r="G60" s="18"/>
      <c r="H60" s="18"/>
    </row>
    <row r="61" spans="1:8" ht="17.25" x14ac:dyDescent="0.3">
      <c r="A61" s="15">
        <v>64</v>
      </c>
      <c r="B61" s="15"/>
      <c r="C61" s="16"/>
      <c r="D61" s="16" t="s">
        <v>126</v>
      </c>
      <c r="E61" s="18">
        <v>4.72</v>
      </c>
      <c r="F61" s="18">
        <v>3.96</v>
      </c>
      <c r="G61" s="18"/>
      <c r="H61" s="18"/>
    </row>
    <row r="62" spans="1:8" ht="17.25" x14ac:dyDescent="0.3">
      <c r="A62" s="15">
        <v>65</v>
      </c>
      <c r="B62" s="15"/>
      <c r="C62" s="16"/>
      <c r="D62" s="16" t="s">
        <v>126</v>
      </c>
      <c r="E62" s="18">
        <v>8.2200000000000006</v>
      </c>
      <c r="F62" s="18">
        <v>5.43</v>
      </c>
      <c r="G62" s="18"/>
      <c r="H62" s="18"/>
    </row>
    <row r="63" spans="1:8" ht="17.25" x14ac:dyDescent="0.3">
      <c r="A63" s="15">
        <v>66</v>
      </c>
      <c r="B63" s="15"/>
      <c r="C63" s="16"/>
      <c r="D63" s="16" t="s">
        <v>131</v>
      </c>
      <c r="E63" s="18">
        <v>12.8</v>
      </c>
      <c r="F63" s="18">
        <v>-1.1599999999999999</v>
      </c>
      <c r="G63" s="18"/>
      <c r="H63" s="18">
        <v>5.4716352761793319</v>
      </c>
    </row>
    <row r="64" spans="1:8" ht="17.25" x14ac:dyDescent="0.3">
      <c r="A64" s="69" t="s">
        <v>264</v>
      </c>
      <c r="B64" s="70"/>
      <c r="C64" s="70"/>
      <c r="D64" s="71"/>
      <c r="E64" s="43">
        <f>AVERAGE(E25:E63)</f>
        <v>4.0905128205128207</v>
      </c>
      <c r="G64" s="43">
        <f>AVERAGE(F25:F63)</f>
        <v>0.70846153846153836</v>
      </c>
    </row>
    <row r="67" spans="1:8" x14ac:dyDescent="0.3">
      <c r="A67" s="30"/>
      <c r="B67" s="30"/>
      <c r="C67" s="30"/>
      <c r="D67" s="30"/>
    </row>
    <row r="68" spans="1:8" x14ac:dyDescent="0.3">
      <c r="A68" s="30"/>
      <c r="B68" s="30"/>
      <c r="C68" s="30"/>
      <c r="D68" s="30"/>
    </row>
    <row r="69" spans="1:8" ht="17.25" x14ac:dyDescent="0.3">
      <c r="A69" s="72"/>
      <c r="B69" s="72"/>
      <c r="C69" s="72"/>
      <c r="D69" s="72"/>
      <c r="E69" s="18"/>
      <c r="F69" s="18"/>
      <c r="G69" s="18"/>
      <c r="H69" s="18"/>
    </row>
    <row r="70" spans="1:8" x14ac:dyDescent="0.3">
      <c r="A70" s="30"/>
      <c r="B70" s="30"/>
      <c r="C70" s="30"/>
      <c r="D70" s="30"/>
    </row>
    <row r="71" spans="1:8" x14ac:dyDescent="0.3">
      <c r="A71" s="30"/>
      <c r="B71" s="30"/>
      <c r="C71" s="30"/>
      <c r="D71" s="30"/>
    </row>
    <row r="72" spans="1:8" x14ac:dyDescent="0.3">
      <c r="A72" s="30"/>
      <c r="B72" s="30"/>
      <c r="C72" s="30"/>
      <c r="D72" s="30"/>
    </row>
  </sheetData>
  <mergeCells count="8">
    <mergeCell ref="A1:D1"/>
    <mergeCell ref="E1:G1"/>
    <mergeCell ref="A69:D69"/>
    <mergeCell ref="A8:D8"/>
    <mergeCell ref="A11:D11"/>
    <mergeCell ref="A20:D20"/>
    <mergeCell ref="A24:D24"/>
    <mergeCell ref="A64:D64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E004-0E5B-4097-9486-631C184980CC}">
  <dimension ref="A1:T117"/>
  <sheetViews>
    <sheetView tabSelected="1" zoomScale="70" zoomScaleNormal="70" workbookViewId="0">
      <selection activeCell="I9" sqref="I9"/>
    </sheetView>
  </sheetViews>
  <sheetFormatPr defaultRowHeight="16.5" x14ac:dyDescent="0.3"/>
  <cols>
    <col min="4" max="4" width="33.375" bestFit="1" customWidth="1"/>
    <col min="5" max="5" width="8.375" bestFit="1" customWidth="1"/>
    <col min="7" max="7" width="11.25" bestFit="1" customWidth="1"/>
  </cols>
  <sheetData>
    <row r="1" spans="1:19" ht="24.75" thickBot="1" x14ac:dyDescent="0.35">
      <c r="A1" s="44" t="s">
        <v>0</v>
      </c>
      <c r="B1" s="45"/>
      <c r="C1" s="45"/>
      <c r="D1" s="46"/>
      <c r="E1" s="44" t="s">
        <v>59</v>
      </c>
      <c r="F1" s="45"/>
      <c r="G1" s="46"/>
    </row>
    <row r="2" spans="1:19" ht="18" thickBot="1" x14ac:dyDescent="0.35">
      <c r="A2" s="1" t="s">
        <v>60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K2" s="4" t="s">
        <v>65</v>
      </c>
      <c r="S2" s="9" t="s">
        <v>61</v>
      </c>
    </row>
    <row r="3" spans="1:19" ht="17.25" x14ac:dyDescent="0.3">
      <c r="A3" s="4">
        <v>1</v>
      </c>
      <c r="B3" s="4" t="s">
        <v>65</v>
      </c>
      <c r="C3" s="5"/>
      <c r="D3" s="5" t="s">
        <v>141</v>
      </c>
      <c r="E3" s="18">
        <v>5.15</v>
      </c>
      <c r="F3" s="18">
        <v>1.73</v>
      </c>
      <c r="G3" s="22"/>
    </row>
    <row r="4" spans="1:19" ht="17.25" x14ac:dyDescent="0.3">
      <c r="A4" s="56" t="s">
        <v>264</v>
      </c>
      <c r="B4" s="57"/>
      <c r="C4" s="57"/>
      <c r="D4" s="58"/>
      <c r="E4" s="43">
        <f>AVERAGE(E3)</f>
        <v>5.15</v>
      </c>
      <c r="F4" s="73"/>
      <c r="G4" s="43">
        <f>AVERAGE(F3)</f>
        <v>1.73</v>
      </c>
    </row>
    <row r="5" spans="1:19" ht="17.25" x14ac:dyDescent="0.3">
      <c r="A5" s="9">
        <v>4</v>
      </c>
      <c r="B5" s="9" t="s">
        <v>61</v>
      </c>
      <c r="C5" s="10"/>
      <c r="D5" s="10" t="s">
        <v>171</v>
      </c>
      <c r="E5" s="18">
        <v>-0.28024448861513651</v>
      </c>
      <c r="F5" s="18">
        <v>47.367869763227127</v>
      </c>
      <c r="G5" s="22"/>
    </row>
    <row r="6" spans="1:19" ht="17.25" x14ac:dyDescent="0.3">
      <c r="A6" s="9">
        <v>5</v>
      </c>
      <c r="B6" s="9"/>
      <c r="C6" s="10"/>
      <c r="D6" s="10"/>
      <c r="E6" s="18">
        <v>1.75</v>
      </c>
      <c r="F6" s="18">
        <v>45.94</v>
      </c>
      <c r="G6" s="18"/>
    </row>
    <row r="7" spans="1:19" ht="17.25" x14ac:dyDescent="0.3">
      <c r="A7" s="9">
        <v>6</v>
      </c>
      <c r="B7" s="9"/>
      <c r="C7" s="10"/>
      <c r="D7" s="10"/>
      <c r="E7" s="18">
        <v>0.13</v>
      </c>
      <c r="F7" s="18">
        <v>51.47</v>
      </c>
      <c r="G7" s="18"/>
    </row>
    <row r="8" spans="1:19" ht="17.25" x14ac:dyDescent="0.3">
      <c r="A8" s="59" t="s">
        <v>264</v>
      </c>
      <c r="B8" s="60"/>
      <c r="C8" s="60"/>
      <c r="D8" s="61"/>
      <c r="E8" s="43">
        <f>AVERAGE(E5:E7)</f>
        <v>0.53325183712828783</v>
      </c>
      <c r="F8" s="73"/>
      <c r="G8" s="43">
        <f>AVERAGE(F5:F7)</f>
        <v>48.259289921075712</v>
      </c>
    </row>
    <row r="9" spans="1:19" ht="17.25" x14ac:dyDescent="0.3">
      <c r="A9" s="11">
        <v>7</v>
      </c>
      <c r="B9" s="11" t="s">
        <v>62</v>
      </c>
      <c r="C9" s="12"/>
      <c r="D9" s="12" t="s">
        <v>165</v>
      </c>
      <c r="E9" s="18">
        <v>9.77</v>
      </c>
      <c r="F9" s="18">
        <v>-1.17</v>
      </c>
      <c r="G9" s="18"/>
    </row>
    <row r="10" spans="1:19" ht="17.25" x14ac:dyDescent="0.3">
      <c r="A10" s="11">
        <v>8</v>
      </c>
      <c r="B10" s="11"/>
      <c r="C10" s="12"/>
      <c r="D10" s="12" t="s">
        <v>165</v>
      </c>
      <c r="E10" s="18">
        <v>11.48</v>
      </c>
      <c r="F10" s="18">
        <v>0.36</v>
      </c>
      <c r="G10" s="18"/>
    </row>
    <row r="11" spans="1:19" ht="17.25" x14ac:dyDescent="0.3">
      <c r="A11" s="11">
        <v>9</v>
      </c>
      <c r="B11" s="11"/>
      <c r="C11" s="12"/>
      <c r="D11" s="12" t="s">
        <v>165</v>
      </c>
      <c r="E11" s="18">
        <v>9.83</v>
      </c>
      <c r="F11" s="18">
        <v>-1.54</v>
      </c>
      <c r="G11" s="18"/>
    </row>
    <row r="12" spans="1:19" ht="17.25" x14ac:dyDescent="0.3">
      <c r="A12" s="11">
        <v>10</v>
      </c>
      <c r="B12" s="11"/>
      <c r="C12" s="12"/>
      <c r="D12" s="12" t="s">
        <v>165</v>
      </c>
      <c r="E12" s="18">
        <v>8.1199999999999992</v>
      </c>
      <c r="F12" s="18">
        <v>-0.73</v>
      </c>
      <c r="G12" s="18"/>
    </row>
    <row r="13" spans="1:19" ht="17.25" x14ac:dyDescent="0.3">
      <c r="A13" s="11">
        <v>11</v>
      </c>
      <c r="B13" s="11"/>
      <c r="C13" s="12"/>
      <c r="D13" s="12" t="s">
        <v>165</v>
      </c>
      <c r="E13" s="18">
        <v>8.98</v>
      </c>
      <c r="F13" s="18">
        <v>-0.69</v>
      </c>
      <c r="G13" s="18"/>
    </row>
    <row r="14" spans="1:19" ht="17.25" x14ac:dyDescent="0.3">
      <c r="A14" s="11">
        <v>12</v>
      </c>
      <c r="B14" s="11"/>
      <c r="C14" s="12"/>
      <c r="D14" s="12" t="s">
        <v>165</v>
      </c>
      <c r="E14" s="18">
        <v>11.7</v>
      </c>
      <c r="F14" s="18">
        <v>0.36</v>
      </c>
      <c r="G14" s="18"/>
    </row>
    <row r="15" spans="1:19" ht="17.25" x14ac:dyDescent="0.3">
      <c r="A15" s="11">
        <v>13</v>
      </c>
      <c r="B15" s="11"/>
      <c r="C15" s="12"/>
      <c r="D15" s="12" t="s">
        <v>165</v>
      </c>
      <c r="E15" s="18">
        <v>12.29</v>
      </c>
      <c r="F15" s="18">
        <v>2.3199999999999998</v>
      </c>
      <c r="G15" s="18"/>
    </row>
    <row r="16" spans="1:19" ht="17.25" x14ac:dyDescent="0.3">
      <c r="A16" s="11">
        <v>14</v>
      </c>
      <c r="B16" s="11"/>
      <c r="C16" s="12"/>
      <c r="D16" s="12" t="s">
        <v>165</v>
      </c>
      <c r="E16" s="18">
        <v>12.98</v>
      </c>
      <c r="F16" s="18">
        <v>2.63</v>
      </c>
      <c r="G16" s="18"/>
    </row>
    <row r="17" spans="1:19" ht="17.25" x14ac:dyDescent="0.3">
      <c r="A17" s="11">
        <v>15</v>
      </c>
      <c r="B17" s="11"/>
      <c r="C17" s="12"/>
      <c r="D17" s="12" t="s">
        <v>165</v>
      </c>
      <c r="E17" s="18">
        <v>20.5</v>
      </c>
      <c r="F17" s="18">
        <v>5.45</v>
      </c>
      <c r="G17" s="18"/>
    </row>
    <row r="18" spans="1:19" ht="17.25" x14ac:dyDescent="0.3">
      <c r="A18" s="11">
        <v>16</v>
      </c>
      <c r="B18" s="11"/>
      <c r="C18" s="12"/>
      <c r="D18" s="12" t="s">
        <v>165</v>
      </c>
      <c r="E18" s="18">
        <v>10.89</v>
      </c>
      <c r="F18" s="18">
        <v>0.19</v>
      </c>
      <c r="G18" s="18"/>
    </row>
    <row r="19" spans="1:19" ht="17.25" x14ac:dyDescent="0.3">
      <c r="A19" s="11">
        <v>17</v>
      </c>
      <c r="B19" s="11"/>
      <c r="C19" s="12"/>
      <c r="D19" s="12" t="s">
        <v>165</v>
      </c>
      <c r="E19" s="18">
        <v>10.95</v>
      </c>
      <c r="F19" s="18">
        <v>-2.96</v>
      </c>
      <c r="G19" s="18"/>
    </row>
    <row r="20" spans="1:19" ht="17.25" x14ac:dyDescent="0.3">
      <c r="A20" s="11">
        <v>18</v>
      </c>
      <c r="B20" s="11"/>
      <c r="C20" s="12"/>
      <c r="D20" s="12" t="s">
        <v>166</v>
      </c>
      <c r="E20" s="18">
        <v>21.7</v>
      </c>
      <c r="F20" s="18">
        <v>4.57</v>
      </c>
      <c r="G20" s="18"/>
    </row>
    <row r="21" spans="1:19" ht="17.25" x14ac:dyDescent="0.3">
      <c r="A21" s="11">
        <v>19</v>
      </c>
      <c r="B21" s="11"/>
      <c r="C21" s="12"/>
      <c r="D21" s="12" t="s">
        <v>166</v>
      </c>
      <c r="E21" s="18">
        <v>20.47</v>
      </c>
      <c r="F21" s="18">
        <v>1.22</v>
      </c>
      <c r="G21" s="18"/>
    </row>
    <row r="22" spans="1:19" ht="17.25" x14ac:dyDescent="0.3">
      <c r="A22" s="11">
        <v>20</v>
      </c>
      <c r="B22" s="11"/>
      <c r="C22" s="12"/>
      <c r="D22" s="12" t="s">
        <v>167</v>
      </c>
      <c r="E22" s="18">
        <v>13.38</v>
      </c>
      <c r="F22" s="18">
        <v>4.66</v>
      </c>
      <c r="G22" s="18"/>
    </row>
    <row r="23" spans="1:19" ht="17.25" x14ac:dyDescent="0.3">
      <c r="A23" s="11">
        <v>21</v>
      </c>
      <c r="B23" s="11"/>
      <c r="C23" s="12"/>
      <c r="D23" s="12" t="s">
        <v>168</v>
      </c>
      <c r="E23" s="18">
        <v>2.16</v>
      </c>
      <c r="F23" s="18">
        <v>-3.58</v>
      </c>
      <c r="G23" s="18"/>
    </row>
    <row r="24" spans="1:19" ht="17.25" x14ac:dyDescent="0.3">
      <c r="A24" s="11">
        <v>22</v>
      </c>
      <c r="B24" s="11"/>
      <c r="C24" s="12"/>
      <c r="D24" s="12" t="s">
        <v>168</v>
      </c>
      <c r="E24" s="18">
        <v>20.62</v>
      </c>
      <c r="F24" s="18">
        <v>0.06</v>
      </c>
      <c r="G24" s="18"/>
      <c r="K24" s="11" t="s">
        <v>62</v>
      </c>
      <c r="S24" s="13" t="s">
        <v>63</v>
      </c>
    </row>
    <row r="25" spans="1:19" ht="17.25" x14ac:dyDescent="0.3">
      <c r="A25" s="11">
        <v>23</v>
      </c>
      <c r="B25" s="11"/>
      <c r="C25" s="12"/>
      <c r="D25" s="12" t="s">
        <v>168</v>
      </c>
      <c r="E25" s="18">
        <v>12.28</v>
      </c>
      <c r="F25" s="18">
        <v>-1.7</v>
      </c>
      <c r="G25" s="18"/>
    </row>
    <row r="26" spans="1:19" ht="17.25" x14ac:dyDescent="0.3">
      <c r="A26" s="11">
        <v>24</v>
      </c>
      <c r="B26" s="11"/>
      <c r="C26" s="12"/>
      <c r="D26" s="12" t="s">
        <v>168</v>
      </c>
      <c r="E26" s="18">
        <v>18.02</v>
      </c>
      <c r="F26" s="18">
        <v>0.77</v>
      </c>
      <c r="G26" s="18"/>
    </row>
    <row r="27" spans="1:19" ht="17.25" x14ac:dyDescent="0.3">
      <c r="A27" s="11">
        <v>25</v>
      </c>
      <c r="B27" s="11"/>
      <c r="C27" s="12"/>
      <c r="D27" s="12" t="s">
        <v>168</v>
      </c>
      <c r="E27" s="18">
        <v>23.7</v>
      </c>
      <c r="F27" s="18">
        <v>6.6</v>
      </c>
      <c r="G27" s="18"/>
    </row>
    <row r="28" spans="1:19" ht="17.25" x14ac:dyDescent="0.3">
      <c r="A28" s="11">
        <v>26</v>
      </c>
      <c r="B28" s="11"/>
      <c r="C28" s="12"/>
      <c r="D28" s="12" t="s">
        <v>169</v>
      </c>
      <c r="E28" s="18">
        <v>11.37</v>
      </c>
      <c r="F28" s="18">
        <v>1.92</v>
      </c>
      <c r="G28" s="18"/>
    </row>
    <row r="29" spans="1:19" ht="17.25" x14ac:dyDescent="0.3">
      <c r="A29" s="11">
        <v>27</v>
      </c>
      <c r="B29" s="11"/>
      <c r="C29" s="12"/>
      <c r="D29" s="12" t="s">
        <v>169</v>
      </c>
      <c r="E29" s="18">
        <v>11.83</v>
      </c>
      <c r="F29" s="18">
        <v>0.92</v>
      </c>
      <c r="G29" s="18"/>
    </row>
    <row r="30" spans="1:19" ht="17.25" x14ac:dyDescent="0.3">
      <c r="A30" s="11">
        <v>28</v>
      </c>
      <c r="B30" s="11"/>
      <c r="C30" s="12"/>
      <c r="D30" s="12" t="s">
        <v>170</v>
      </c>
      <c r="E30" s="18">
        <v>2.12</v>
      </c>
      <c r="F30" s="18">
        <v>7.97</v>
      </c>
      <c r="G30" s="18"/>
    </row>
    <row r="31" spans="1:19" ht="17.25" x14ac:dyDescent="0.3">
      <c r="A31" s="11">
        <v>29</v>
      </c>
      <c r="B31" s="11"/>
      <c r="C31" s="12"/>
      <c r="D31" s="12" t="s">
        <v>169</v>
      </c>
      <c r="E31" s="18">
        <v>11.83</v>
      </c>
      <c r="F31" s="18">
        <v>0.92</v>
      </c>
      <c r="G31" s="18"/>
    </row>
    <row r="32" spans="1:19" ht="17.25" x14ac:dyDescent="0.3">
      <c r="A32" s="47" t="s">
        <v>264</v>
      </c>
      <c r="B32" s="48"/>
      <c r="C32" s="48"/>
      <c r="D32" s="49"/>
      <c r="E32" s="43">
        <f>AVERAGE(E9:E31)</f>
        <v>12.911739130434782</v>
      </c>
      <c r="F32" s="73"/>
      <c r="G32" s="43">
        <f>AVERAGE(F9:F31)</f>
        <v>1.2413043478260872</v>
      </c>
    </row>
    <row r="33" spans="1:20" ht="17.25" x14ac:dyDescent="0.3">
      <c r="A33" s="13">
        <v>31</v>
      </c>
      <c r="B33" s="13" t="s">
        <v>63</v>
      </c>
      <c r="C33" s="14"/>
      <c r="D33" s="14" t="s">
        <v>111</v>
      </c>
      <c r="E33" s="18">
        <v>15.93</v>
      </c>
      <c r="F33" s="18">
        <v>15.78</v>
      </c>
      <c r="G33" s="18"/>
    </row>
    <row r="34" spans="1:20" ht="17.25" x14ac:dyDescent="0.3">
      <c r="A34" s="13">
        <v>32</v>
      </c>
      <c r="B34" s="13"/>
      <c r="C34" s="14"/>
      <c r="D34" s="14" t="s">
        <v>111</v>
      </c>
      <c r="E34" s="18">
        <v>18.760000000000002</v>
      </c>
      <c r="F34" s="18">
        <v>3.97</v>
      </c>
      <c r="G34" s="18"/>
    </row>
    <row r="35" spans="1:20" ht="17.25" x14ac:dyDescent="0.3">
      <c r="A35" s="13">
        <v>33</v>
      </c>
      <c r="B35" s="13"/>
      <c r="C35" s="14"/>
      <c r="D35" s="14" t="s">
        <v>111</v>
      </c>
      <c r="E35" s="18">
        <v>15.11</v>
      </c>
      <c r="F35" s="18">
        <v>9.7200000000000006</v>
      </c>
      <c r="G35" s="18"/>
    </row>
    <row r="36" spans="1:20" ht="17.25" x14ac:dyDescent="0.3">
      <c r="A36" s="13">
        <v>34</v>
      </c>
      <c r="B36" s="13"/>
      <c r="C36" s="14"/>
      <c r="D36" s="14" t="s">
        <v>132</v>
      </c>
      <c r="E36" s="18">
        <v>19.260000000000002</v>
      </c>
      <c r="F36" s="18">
        <v>3</v>
      </c>
      <c r="G36" s="18"/>
    </row>
    <row r="37" spans="1:20" ht="17.25" x14ac:dyDescent="0.3">
      <c r="A37" s="13">
        <v>35</v>
      </c>
      <c r="B37" s="13"/>
      <c r="C37" s="14"/>
      <c r="D37" s="14" t="s">
        <v>133</v>
      </c>
      <c r="E37" s="18">
        <v>15.97</v>
      </c>
      <c r="F37" s="18">
        <v>2.65</v>
      </c>
      <c r="G37" s="18"/>
    </row>
    <row r="38" spans="1:20" ht="17.25" x14ac:dyDescent="0.3">
      <c r="A38" s="13">
        <v>36</v>
      </c>
      <c r="B38" s="13"/>
      <c r="C38" s="14"/>
      <c r="D38" s="14" t="s">
        <v>134</v>
      </c>
      <c r="E38" s="18">
        <v>19.62</v>
      </c>
      <c r="F38" s="18">
        <v>7.36</v>
      </c>
      <c r="G38" s="18"/>
    </row>
    <row r="39" spans="1:20" ht="17.25" x14ac:dyDescent="0.3">
      <c r="A39" s="13">
        <v>37</v>
      </c>
      <c r="B39" s="13"/>
      <c r="C39" s="14"/>
      <c r="D39" s="14" t="s">
        <v>135</v>
      </c>
      <c r="E39" s="18">
        <v>21.09</v>
      </c>
      <c r="F39" s="18">
        <v>4.13</v>
      </c>
      <c r="G39" s="18"/>
    </row>
    <row r="40" spans="1:20" ht="17.25" x14ac:dyDescent="0.3">
      <c r="A40" s="13">
        <v>38</v>
      </c>
      <c r="B40" s="13"/>
      <c r="C40" s="14"/>
      <c r="D40" s="14" t="s">
        <v>136</v>
      </c>
      <c r="E40" s="18">
        <v>24.48</v>
      </c>
      <c r="F40" s="18">
        <v>1.67</v>
      </c>
      <c r="G40" s="18"/>
    </row>
    <row r="41" spans="1:20" ht="17.25" x14ac:dyDescent="0.3">
      <c r="A41" s="13">
        <v>39</v>
      </c>
      <c r="B41" s="13"/>
      <c r="C41" s="14"/>
      <c r="D41" s="14" t="s">
        <v>50</v>
      </c>
      <c r="E41" s="18">
        <v>17.723203364241439</v>
      </c>
      <c r="F41" s="18">
        <v>8.8196253753158071</v>
      </c>
      <c r="G41" s="18"/>
    </row>
    <row r="42" spans="1:20" ht="17.25" x14ac:dyDescent="0.3">
      <c r="A42" s="13">
        <v>40</v>
      </c>
      <c r="B42" s="13"/>
      <c r="C42" s="14"/>
      <c r="D42" s="14" t="s">
        <v>172</v>
      </c>
      <c r="E42" s="18">
        <v>17.66</v>
      </c>
      <c r="F42" s="18">
        <v>10.89</v>
      </c>
      <c r="G42" s="18"/>
    </row>
    <row r="43" spans="1:20" ht="17.25" x14ac:dyDescent="0.3">
      <c r="A43" s="13">
        <v>41</v>
      </c>
      <c r="B43" s="13"/>
      <c r="C43" s="14"/>
      <c r="D43" s="14" t="s">
        <v>172</v>
      </c>
      <c r="E43" s="18">
        <v>18.170000000000002</v>
      </c>
      <c r="F43" s="18">
        <v>9.27</v>
      </c>
      <c r="G43" s="18"/>
    </row>
    <row r="44" spans="1:20" ht="17.25" x14ac:dyDescent="0.3">
      <c r="A44" s="50" t="s">
        <v>264</v>
      </c>
      <c r="B44" s="51"/>
      <c r="C44" s="51"/>
      <c r="D44" s="52"/>
      <c r="E44" s="43">
        <f>AVERAGE(E33:E43)</f>
        <v>18.524836669476496</v>
      </c>
      <c r="F44" s="73"/>
      <c r="G44" s="43">
        <f>AVERAGE(F33:F43)</f>
        <v>7.0236023068468914</v>
      </c>
    </row>
    <row r="45" spans="1:20" ht="17.25" x14ac:dyDescent="0.3">
      <c r="A45" s="15">
        <v>42</v>
      </c>
      <c r="B45" s="15" t="s">
        <v>64</v>
      </c>
      <c r="C45" s="16" t="s">
        <v>261</v>
      </c>
      <c r="D45" s="16" t="s">
        <v>137</v>
      </c>
      <c r="E45" s="18">
        <v>8.07</v>
      </c>
      <c r="F45" s="18">
        <v>5.95</v>
      </c>
      <c r="G45" s="18"/>
    </row>
    <row r="46" spans="1:20" ht="17.25" x14ac:dyDescent="0.3">
      <c r="A46" s="15">
        <v>43</v>
      </c>
      <c r="B46" s="15"/>
      <c r="C46" s="16"/>
      <c r="D46" s="16" t="s">
        <v>138</v>
      </c>
      <c r="E46" s="18">
        <v>20.350000000000001</v>
      </c>
      <c r="F46" s="18">
        <v>-4.0199999999999996</v>
      </c>
      <c r="G46" s="22"/>
    </row>
    <row r="47" spans="1:20" ht="17.25" x14ac:dyDescent="0.3">
      <c r="A47" s="15">
        <v>44</v>
      </c>
      <c r="B47" s="15"/>
      <c r="C47" s="16"/>
      <c r="D47" s="16" t="s">
        <v>139</v>
      </c>
      <c r="E47" s="18">
        <v>7.09</v>
      </c>
      <c r="F47" s="18">
        <v>2.76</v>
      </c>
      <c r="G47" s="18"/>
    </row>
    <row r="48" spans="1:20" ht="17.25" x14ac:dyDescent="0.3">
      <c r="A48" s="15">
        <v>45</v>
      </c>
      <c r="B48" s="15"/>
      <c r="C48" s="16"/>
      <c r="D48" s="16" t="s">
        <v>140</v>
      </c>
      <c r="E48" s="18">
        <v>0.17</v>
      </c>
      <c r="F48" s="18">
        <v>4.79</v>
      </c>
      <c r="G48" s="18"/>
      <c r="K48" s="15" t="s">
        <v>64</v>
      </c>
      <c r="T48" s="28"/>
    </row>
    <row r="49" spans="1:7" ht="17.25" x14ac:dyDescent="0.3">
      <c r="A49" s="15">
        <v>46</v>
      </c>
      <c r="B49" s="15"/>
      <c r="C49" s="16"/>
      <c r="D49" s="16" t="s">
        <v>138</v>
      </c>
      <c r="E49" s="18">
        <v>11.45</v>
      </c>
      <c r="F49" s="18">
        <v>-2.44</v>
      </c>
      <c r="G49" s="18"/>
    </row>
    <row r="50" spans="1:7" ht="17.25" x14ac:dyDescent="0.3">
      <c r="A50" s="15">
        <v>47</v>
      </c>
      <c r="B50" s="15"/>
      <c r="C50" s="16"/>
      <c r="D50" s="16" t="s">
        <v>138</v>
      </c>
      <c r="E50" s="18">
        <v>8.6199999999999992</v>
      </c>
      <c r="F50" s="18">
        <v>1.91</v>
      </c>
      <c r="G50" s="18"/>
    </row>
    <row r="51" spans="1:7" ht="17.25" x14ac:dyDescent="0.3">
      <c r="A51" s="15">
        <v>48</v>
      </c>
      <c r="B51" s="15"/>
      <c r="C51" s="16"/>
      <c r="D51" s="16" t="s">
        <v>139</v>
      </c>
      <c r="E51" s="18">
        <v>5.65</v>
      </c>
      <c r="F51" s="18">
        <v>-0.27</v>
      </c>
      <c r="G51" s="18"/>
    </row>
    <row r="52" spans="1:7" ht="17.25" x14ac:dyDescent="0.3">
      <c r="A52" s="15">
        <v>49</v>
      </c>
      <c r="B52" s="15"/>
      <c r="C52" s="16"/>
      <c r="D52" s="16" t="s">
        <v>140</v>
      </c>
      <c r="E52" s="18">
        <v>1.77</v>
      </c>
      <c r="F52" s="18">
        <v>-0.12</v>
      </c>
      <c r="G52" s="18"/>
    </row>
    <row r="53" spans="1:7" ht="17.25" x14ac:dyDescent="0.3">
      <c r="A53" s="15">
        <v>50</v>
      </c>
      <c r="B53" s="15"/>
      <c r="C53" s="16"/>
      <c r="D53" s="16" t="s">
        <v>138</v>
      </c>
      <c r="E53" s="18">
        <v>10.31</v>
      </c>
      <c r="F53" s="18">
        <v>3.08</v>
      </c>
      <c r="G53" s="18"/>
    </row>
    <row r="54" spans="1:7" ht="17.25" x14ac:dyDescent="0.3">
      <c r="A54" s="15">
        <v>51</v>
      </c>
      <c r="B54" s="15"/>
      <c r="C54" s="16"/>
      <c r="D54" s="16" t="s">
        <v>138</v>
      </c>
      <c r="E54" s="18">
        <v>1.67</v>
      </c>
      <c r="F54" s="18">
        <v>-1.53</v>
      </c>
      <c r="G54" s="18"/>
    </row>
    <row r="55" spans="1:7" ht="17.25" x14ac:dyDescent="0.3">
      <c r="A55" s="15">
        <v>52</v>
      </c>
      <c r="B55" s="15"/>
      <c r="C55" s="16"/>
      <c r="D55" s="16" t="s">
        <v>138</v>
      </c>
      <c r="E55" s="18">
        <v>5.82</v>
      </c>
      <c r="F55" s="18">
        <v>-2.3199999999999998</v>
      </c>
      <c r="G55" s="18"/>
    </row>
    <row r="56" spans="1:7" ht="17.25" x14ac:dyDescent="0.3">
      <c r="A56" s="15">
        <v>53</v>
      </c>
      <c r="B56" s="15"/>
      <c r="C56" s="16"/>
      <c r="D56" s="16" t="s">
        <v>137</v>
      </c>
      <c r="E56" s="18">
        <v>-7.66</v>
      </c>
      <c r="F56" s="18">
        <v>8.66</v>
      </c>
      <c r="G56" s="18"/>
    </row>
    <row r="57" spans="1:7" ht="17.25" x14ac:dyDescent="0.3">
      <c r="A57" s="15">
        <v>54</v>
      </c>
      <c r="B57" s="15"/>
      <c r="C57" s="16"/>
      <c r="D57" s="16" t="s">
        <v>137</v>
      </c>
      <c r="E57" s="18">
        <v>0.76</v>
      </c>
      <c r="F57" s="18">
        <v>10.93</v>
      </c>
      <c r="G57" s="18"/>
    </row>
    <row r="58" spans="1:7" ht="17.25" x14ac:dyDescent="0.3">
      <c r="A58" s="15">
        <v>55</v>
      </c>
      <c r="B58" s="15"/>
      <c r="C58" s="16"/>
      <c r="D58" s="16" t="s">
        <v>142</v>
      </c>
      <c r="E58" s="18">
        <v>3.07</v>
      </c>
      <c r="F58" s="18">
        <v>10.94</v>
      </c>
      <c r="G58" s="18"/>
    </row>
    <row r="59" spans="1:7" ht="17.25" x14ac:dyDescent="0.3">
      <c r="A59" s="15">
        <v>56</v>
      </c>
      <c r="B59" s="15"/>
      <c r="C59" s="16"/>
      <c r="D59" s="16" t="s">
        <v>140</v>
      </c>
      <c r="E59" s="18">
        <v>1.44</v>
      </c>
      <c r="F59" s="18">
        <v>6.68</v>
      </c>
      <c r="G59" s="18"/>
    </row>
    <row r="60" spans="1:7" ht="17.25" x14ac:dyDescent="0.3">
      <c r="A60" s="15">
        <v>57</v>
      </c>
      <c r="B60" s="15"/>
      <c r="C60" s="16"/>
      <c r="D60" s="16" t="s">
        <v>143</v>
      </c>
      <c r="E60" s="18">
        <v>-0.97</v>
      </c>
      <c r="F60" s="18">
        <v>4.4400000000000004</v>
      </c>
      <c r="G60" s="18"/>
    </row>
    <row r="61" spans="1:7" ht="17.25" x14ac:dyDescent="0.3">
      <c r="A61" s="15">
        <v>58</v>
      </c>
      <c r="B61" s="15"/>
      <c r="C61" s="16"/>
      <c r="D61" s="16" t="s">
        <v>139</v>
      </c>
      <c r="E61" s="18">
        <v>9.17</v>
      </c>
      <c r="F61" s="18">
        <v>6.08</v>
      </c>
      <c r="G61" s="18"/>
    </row>
    <row r="62" spans="1:7" ht="17.25" x14ac:dyDescent="0.3">
      <c r="A62" s="15">
        <v>59</v>
      </c>
      <c r="B62" s="15"/>
      <c r="C62" s="16"/>
      <c r="D62" s="16" t="s">
        <v>139</v>
      </c>
      <c r="E62" s="18">
        <v>5.66</v>
      </c>
      <c r="F62" s="18">
        <v>5.47</v>
      </c>
      <c r="G62" s="18"/>
    </row>
    <row r="63" spans="1:7" ht="17.25" x14ac:dyDescent="0.3">
      <c r="A63" s="15">
        <v>60</v>
      </c>
      <c r="B63" s="15"/>
      <c r="C63" s="16"/>
      <c r="D63" s="16" t="s">
        <v>139</v>
      </c>
      <c r="E63" s="18">
        <v>9.56</v>
      </c>
      <c r="F63" s="18">
        <v>1.69</v>
      </c>
      <c r="G63" s="18"/>
    </row>
    <row r="64" spans="1:7" ht="17.25" x14ac:dyDescent="0.3">
      <c r="A64" s="15">
        <v>61</v>
      </c>
      <c r="B64" s="15"/>
      <c r="C64" s="16"/>
      <c r="D64" s="16" t="s">
        <v>144</v>
      </c>
      <c r="E64" s="18">
        <v>8.01</v>
      </c>
      <c r="F64" s="18">
        <v>10.42</v>
      </c>
      <c r="G64" s="18"/>
    </row>
    <row r="65" spans="1:7" ht="17.25" x14ac:dyDescent="0.3">
      <c r="A65" s="15">
        <v>62</v>
      </c>
      <c r="B65" s="15"/>
      <c r="C65" s="16"/>
      <c r="D65" s="16" t="s">
        <v>137</v>
      </c>
      <c r="E65" s="18">
        <v>8.61</v>
      </c>
      <c r="F65" s="18">
        <v>1.57</v>
      </c>
      <c r="G65" s="18"/>
    </row>
    <row r="66" spans="1:7" ht="17.25" x14ac:dyDescent="0.3">
      <c r="A66" s="15">
        <v>63</v>
      </c>
      <c r="B66" s="15"/>
      <c r="C66" s="16"/>
      <c r="D66" s="16" t="s">
        <v>145</v>
      </c>
      <c r="E66" s="18">
        <v>8.19</v>
      </c>
      <c r="F66" s="18">
        <v>-0.4</v>
      </c>
      <c r="G66" s="18"/>
    </row>
    <row r="67" spans="1:7" ht="17.25" x14ac:dyDescent="0.3">
      <c r="A67" s="15">
        <v>64</v>
      </c>
      <c r="B67" s="15"/>
      <c r="C67" s="16"/>
      <c r="D67" s="16" t="s">
        <v>138</v>
      </c>
      <c r="E67" s="18">
        <v>-0.66</v>
      </c>
      <c r="F67" s="18">
        <v>-5.07</v>
      </c>
      <c r="G67" s="18"/>
    </row>
    <row r="68" spans="1:7" ht="17.25" x14ac:dyDescent="0.3">
      <c r="A68" s="15">
        <v>65</v>
      </c>
      <c r="B68" s="15"/>
      <c r="C68" s="16"/>
      <c r="D68" s="16" t="s">
        <v>138</v>
      </c>
      <c r="E68" s="18">
        <v>4.79</v>
      </c>
      <c r="F68" s="18">
        <v>2.92</v>
      </c>
      <c r="G68" s="18"/>
    </row>
    <row r="69" spans="1:7" ht="17.25" x14ac:dyDescent="0.3">
      <c r="A69" s="15">
        <v>66</v>
      </c>
      <c r="B69" s="15"/>
      <c r="C69" s="16"/>
      <c r="D69" s="16" t="s">
        <v>137</v>
      </c>
      <c r="E69" s="18">
        <v>7.38</v>
      </c>
      <c r="F69" s="18">
        <v>7.32</v>
      </c>
      <c r="G69" s="18"/>
    </row>
    <row r="70" spans="1:7" ht="17.25" x14ac:dyDescent="0.3">
      <c r="A70" s="15">
        <v>67</v>
      </c>
      <c r="B70" s="15"/>
      <c r="C70" s="16"/>
      <c r="D70" s="16" t="s">
        <v>137</v>
      </c>
      <c r="E70" s="18">
        <v>-0.78</v>
      </c>
      <c r="F70" s="18">
        <v>7.39</v>
      </c>
      <c r="G70" s="18"/>
    </row>
    <row r="71" spans="1:7" ht="17.25" x14ac:dyDescent="0.3">
      <c r="A71" s="15">
        <v>68</v>
      </c>
      <c r="B71" s="15"/>
      <c r="C71" s="16"/>
      <c r="D71" s="16" t="s">
        <v>146</v>
      </c>
      <c r="E71" s="18">
        <v>12.06</v>
      </c>
      <c r="F71" s="18">
        <v>1.55</v>
      </c>
      <c r="G71" s="18"/>
    </row>
    <row r="72" spans="1:7" ht="17.25" x14ac:dyDescent="0.3">
      <c r="A72" s="15">
        <v>69</v>
      </c>
      <c r="B72" s="15"/>
      <c r="C72" s="16"/>
      <c r="D72" s="16" t="s">
        <v>137</v>
      </c>
      <c r="E72" s="18">
        <v>3.35</v>
      </c>
      <c r="F72" s="18">
        <v>6.93</v>
      </c>
      <c r="G72" s="18"/>
    </row>
    <row r="73" spans="1:7" ht="17.25" x14ac:dyDescent="0.3">
      <c r="A73" s="15">
        <v>70</v>
      </c>
      <c r="B73" s="15"/>
      <c r="C73" s="16"/>
      <c r="D73" s="16" t="s">
        <v>137</v>
      </c>
      <c r="E73" s="18">
        <v>10.210000000000001</v>
      </c>
      <c r="F73" s="18">
        <v>10.56</v>
      </c>
      <c r="G73" s="18"/>
    </row>
    <row r="74" spans="1:7" ht="17.25" x14ac:dyDescent="0.3">
      <c r="A74" s="15">
        <v>71</v>
      </c>
      <c r="B74" s="15"/>
      <c r="C74" s="16"/>
      <c r="D74" s="16" t="s">
        <v>137</v>
      </c>
      <c r="E74" s="18">
        <v>2.5299999999999998</v>
      </c>
      <c r="F74" s="18">
        <v>10.61</v>
      </c>
      <c r="G74" s="18"/>
    </row>
    <row r="75" spans="1:7" ht="17.25" x14ac:dyDescent="0.3">
      <c r="A75" s="15">
        <v>72</v>
      </c>
      <c r="B75" s="15"/>
      <c r="C75" s="16"/>
      <c r="D75" s="16" t="s">
        <v>138</v>
      </c>
      <c r="E75" s="18">
        <v>11.41</v>
      </c>
      <c r="F75" s="18">
        <v>4.5999999999999996</v>
      </c>
      <c r="G75" s="18"/>
    </row>
    <row r="76" spans="1:7" ht="17.25" x14ac:dyDescent="0.3">
      <c r="A76" s="15">
        <v>73</v>
      </c>
      <c r="B76" s="15"/>
      <c r="C76" s="16"/>
      <c r="D76" s="16" t="s">
        <v>147</v>
      </c>
      <c r="E76" s="18">
        <v>10.77</v>
      </c>
      <c r="F76" s="18">
        <v>3.93</v>
      </c>
      <c r="G76" s="18"/>
    </row>
    <row r="77" spans="1:7" ht="17.25" x14ac:dyDescent="0.3">
      <c r="A77" s="15">
        <v>74</v>
      </c>
      <c r="B77" s="15"/>
      <c r="C77" s="16"/>
      <c r="D77" s="16" t="s">
        <v>137</v>
      </c>
      <c r="E77" s="18">
        <v>0.91</v>
      </c>
      <c r="F77" s="18">
        <v>10.36</v>
      </c>
      <c r="G77" s="18"/>
    </row>
    <row r="78" spans="1:7" ht="17.25" x14ac:dyDescent="0.3">
      <c r="A78" s="15">
        <v>75</v>
      </c>
      <c r="B78" s="15"/>
      <c r="C78" s="16"/>
      <c r="D78" s="16" t="s">
        <v>141</v>
      </c>
      <c r="E78" s="18">
        <v>-6.16</v>
      </c>
      <c r="F78" s="18">
        <v>1.42</v>
      </c>
      <c r="G78" s="18"/>
    </row>
    <row r="79" spans="1:7" ht="17.25" x14ac:dyDescent="0.3">
      <c r="A79" s="15">
        <v>76</v>
      </c>
      <c r="B79" s="15"/>
      <c r="C79" s="16"/>
      <c r="D79" s="16" t="s">
        <v>138</v>
      </c>
      <c r="E79" s="18">
        <v>8.6</v>
      </c>
      <c r="F79" s="18">
        <v>7.99</v>
      </c>
      <c r="G79" s="18"/>
    </row>
    <row r="80" spans="1:7" ht="17.25" x14ac:dyDescent="0.3">
      <c r="A80" s="15">
        <v>77</v>
      </c>
      <c r="B80" s="15"/>
      <c r="C80" s="16"/>
      <c r="D80" s="16" t="s">
        <v>141</v>
      </c>
      <c r="E80" s="18">
        <v>-2.21</v>
      </c>
      <c r="F80" s="18">
        <v>-2.04</v>
      </c>
      <c r="G80" s="18"/>
    </row>
    <row r="81" spans="1:7" ht="17.25" x14ac:dyDescent="0.3">
      <c r="A81" s="15">
        <v>78</v>
      </c>
      <c r="B81" s="15"/>
      <c r="C81" s="16"/>
      <c r="D81" s="16" t="s">
        <v>141</v>
      </c>
      <c r="E81" s="18">
        <v>0.98</v>
      </c>
      <c r="F81" s="18">
        <v>4.29</v>
      </c>
      <c r="G81" s="18"/>
    </row>
    <row r="82" spans="1:7" ht="17.25" x14ac:dyDescent="0.3">
      <c r="A82" s="15">
        <v>79</v>
      </c>
      <c r="B82" s="15"/>
      <c r="C82" s="16"/>
      <c r="D82" s="16" t="s">
        <v>148</v>
      </c>
      <c r="E82" s="18">
        <v>8.3699999999999992</v>
      </c>
      <c r="F82" s="18">
        <v>2.1800000000000002</v>
      </c>
      <c r="G82" s="18"/>
    </row>
    <row r="83" spans="1:7" ht="17.25" x14ac:dyDescent="0.3">
      <c r="A83" s="15">
        <v>80</v>
      </c>
      <c r="B83" s="15"/>
      <c r="C83" s="16"/>
      <c r="D83" s="16" t="s">
        <v>149</v>
      </c>
      <c r="E83" s="18">
        <v>-1.26</v>
      </c>
      <c r="F83" s="18">
        <v>2.93</v>
      </c>
      <c r="G83" s="18"/>
    </row>
    <row r="84" spans="1:7" ht="17.25" x14ac:dyDescent="0.3">
      <c r="A84" s="15">
        <v>81</v>
      </c>
      <c r="B84" s="15"/>
      <c r="C84" s="16"/>
      <c r="D84" s="16" t="s">
        <v>150</v>
      </c>
      <c r="E84" s="18">
        <v>2.46</v>
      </c>
      <c r="F84" s="18">
        <v>4.5599999999999996</v>
      </c>
    </row>
    <row r="85" spans="1:7" ht="17.25" x14ac:dyDescent="0.3">
      <c r="A85" s="15">
        <v>82</v>
      </c>
      <c r="B85" s="15"/>
      <c r="C85" s="16"/>
      <c r="D85" s="16" t="s">
        <v>151</v>
      </c>
      <c r="E85" s="18">
        <v>5.83</v>
      </c>
      <c r="F85" s="18">
        <v>2.36</v>
      </c>
    </row>
    <row r="86" spans="1:7" ht="17.25" x14ac:dyDescent="0.3">
      <c r="A86" s="15">
        <v>83</v>
      </c>
      <c r="B86" s="15"/>
      <c r="C86" s="16"/>
      <c r="D86" s="16" t="s">
        <v>152</v>
      </c>
      <c r="E86" s="18">
        <v>9.32</v>
      </c>
      <c r="F86" s="18">
        <v>3.43</v>
      </c>
    </row>
    <row r="87" spans="1:7" ht="17.25" x14ac:dyDescent="0.3">
      <c r="A87" s="15">
        <v>84</v>
      </c>
      <c r="B87" s="15"/>
      <c r="C87" s="16"/>
      <c r="D87" s="16" t="s">
        <v>153</v>
      </c>
      <c r="E87" s="18">
        <v>9.2899999999999991</v>
      </c>
      <c r="F87" s="18">
        <v>0.41</v>
      </c>
    </row>
    <row r="88" spans="1:7" ht="17.25" x14ac:dyDescent="0.3">
      <c r="A88" s="15">
        <v>85</v>
      </c>
      <c r="B88" s="15"/>
      <c r="C88" s="16"/>
      <c r="D88" s="16" t="s">
        <v>154</v>
      </c>
      <c r="E88" s="18">
        <v>9.3800000000000008</v>
      </c>
      <c r="F88" s="18">
        <v>-0.66</v>
      </c>
    </row>
    <row r="89" spans="1:7" ht="17.25" x14ac:dyDescent="0.3">
      <c r="A89" s="15">
        <v>86</v>
      </c>
      <c r="B89" s="15"/>
      <c r="C89" s="16"/>
      <c r="D89" s="16" t="s">
        <v>153</v>
      </c>
      <c r="E89" s="18">
        <v>0.98</v>
      </c>
      <c r="F89" s="18">
        <v>5.25</v>
      </c>
    </row>
    <row r="90" spans="1:7" ht="17.25" x14ac:dyDescent="0.3">
      <c r="A90" s="15">
        <v>87</v>
      </c>
      <c r="B90" s="15"/>
      <c r="C90" s="16"/>
      <c r="D90" s="16" t="s">
        <v>155</v>
      </c>
      <c r="E90" s="18">
        <v>6.82</v>
      </c>
      <c r="F90" s="18">
        <v>2.08</v>
      </c>
    </row>
    <row r="91" spans="1:7" ht="17.25" x14ac:dyDescent="0.3">
      <c r="A91" s="15">
        <v>88</v>
      </c>
      <c r="B91" s="15"/>
      <c r="C91" s="16"/>
      <c r="D91" s="16" t="s">
        <v>154</v>
      </c>
      <c r="E91" s="18">
        <v>1.56</v>
      </c>
      <c r="F91" s="18">
        <v>1.42</v>
      </c>
    </row>
    <row r="92" spans="1:7" ht="17.25" x14ac:dyDescent="0.3">
      <c r="A92" s="15">
        <v>89</v>
      </c>
      <c r="B92" s="15"/>
      <c r="C92" s="16"/>
      <c r="D92" s="16" t="s">
        <v>156</v>
      </c>
      <c r="E92" s="18">
        <v>8.42</v>
      </c>
      <c r="F92" s="18">
        <v>1.95</v>
      </c>
    </row>
    <row r="93" spans="1:7" ht="17.25" x14ac:dyDescent="0.3">
      <c r="A93" s="15">
        <v>90</v>
      </c>
      <c r="B93" s="15"/>
      <c r="C93" s="16"/>
      <c r="D93" s="16" t="s">
        <v>157</v>
      </c>
      <c r="E93" s="18">
        <v>14.34</v>
      </c>
      <c r="F93" s="18">
        <v>3.59</v>
      </c>
    </row>
    <row r="94" spans="1:7" ht="17.25" x14ac:dyDescent="0.3">
      <c r="A94" s="15">
        <v>91</v>
      </c>
      <c r="B94" s="15"/>
      <c r="C94" s="16"/>
      <c r="D94" s="16" t="s">
        <v>158</v>
      </c>
      <c r="E94" s="18">
        <v>6.83</v>
      </c>
      <c r="F94" s="18">
        <v>3.8</v>
      </c>
    </row>
    <row r="95" spans="1:7" ht="17.25" x14ac:dyDescent="0.3">
      <c r="A95" s="15">
        <v>92</v>
      </c>
      <c r="B95" s="15"/>
      <c r="C95" s="16"/>
      <c r="D95" s="16" t="s">
        <v>159</v>
      </c>
      <c r="E95" s="18">
        <v>5.1100000000000003</v>
      </c>
      <c r="F95" s="18">
        <v>4.53</v>
      </c>
    </row>
    <row r="96" spans="1:7" ht="17.25" x14ac:dyDescent="0.3">
      <c r="A96" s="15">
        <v>93</v>
      </c>
      <c r="B96" s="15"/>
      <c r="C96" s="16"/>
      <c r="D96" s="16" t="s">
        <v>160</v>
      </c>
      <c r="E96" s="18">
        <v>6.91</v>
      </c>
      <c r="F96" s="18">
        <v>5.44</v>
      </c>
    </row>
    <row r="97" spans="1:7" ht="17.25" x14ac:dyDescent="0.3">
      <c r="A97" s="15">
        <v>94</v>
      </c>
      <c r="B97" s="15"/>
      <c r="C97" s="16"/>
      <c r="D97" s="16" t="s">
        <v>160</v>
      </c>
      <c r="E97" s="18">
        <v>8.9600000000000009</v>
      </c>
      <c r="F97" s="18">
        <v>8.98</v>
      </c>
    </row>
    <row r="98" spans="1:7" ht="17.25" x14ac:dyDescent="0.3">
      <c r="A98" s="15">
        <v>95</v>
      </c>
      <c r="B98" s="15"/>
      <c r="C98" s="16"/>
      <c r="D98" s="16" t="s">
        <v>160</v>
      </c>
      <c r="E98" s="18">
        <v>6.09</v>
      </c>
      <c r="F98" s="18">
        <v>2.36</v>
      </c>
    </row>
    <row r="99" spans="1:7" ht="17.25" x14ac:dyDescent="0.3">
      <c r="A99" s="15">
        <v>96</v>
      </c>
      <c r="B99" s="15"/>
      <c r="C99" s="16"/>
      <c r="D99" s="16" t="s">
        <v>161</v>
      </c>
      <c r="E99" s="18">
        <v>10.34</v>
      </c>
      <c r="F99" s="18">
        <v>3.36</v>
      </c>
    </row>
    <row r="100" spans="1:7" ht="17.25" x14ac:dyDescent="0.3">
      <c r="A100" s="15">
        <v>97</v>
      </c>
      <c r="B100" s="15"/>
      <c r="C100" s="16"/>
      <c r="D100" s="16" t="s">
        <v>162</v>
      </c>
      <c r="E100" s="18">
        <v>6.05</v>
      </c>
      <c r="F100" s="18">
        <v>1.94</v>
      </c>
    </row>
    <row r="101" spans="1:7" ht="17.25" x14ac:dyDescent="0.3">
      <c r="A101" s="15">
        <v>98</v>
      </c>
      <c r="B101" s="15"/>
      <c r="C101" s="16"/>
      <c r="D101" s="16" t="s">
        <v>163</v>
      </c>
      <c r="E101" s="18">
        <v>8.77</v>
      </c>
      <c r="F101" s="18">
        <v>4.9800000000000004</v>
      </c>
    </row>
    <row r="102" spans="1:7" ht="17.25" x14ac:dyDescent="0.3">
      <c r="A102" s="15">
        <v>99</v>
      </c>
      <c r="B102" s="15"/>
      <c r="C102" s="16"/>
      <c r="D102" s="16" t="s">
        <v>164</v>
      </c>
      <c r="E102" s="18">
        <v>-7.9</v>
      </c>
      <c r="F102" s="18">
        <v>18.2</v>
      </c>
    </row>
    <row r="103" spans="1:7" ht="17.25" x14ac:dyDescent="0.3">
      <c r="A103" s="15">
        <v>100</v>
      </c>
      <c r="B103" s="15"/>
      <c r="C103" s="16"/>
      <c r="D103" s="16" t="s">
        <v>164</v>
      </c>
      <c r="E103" s="18">
        <v>1</v>
      </c>
      <c r="F103" s="18">
        <v>16.600000000000001</v>
      </c>
      <c r="G103" s="22"/>
    </row>
    <row r="104" spans="1:7" ht="17.25" x14ac:dyDescent="0.3">
      <c r="A104" s="15">
        <v>101</v>
      </c>
      <c r="B104" s="15"/>
      <c r="C104" s="16"/>
      <c r="D104" s="16" t="s">
        <v>53</v>
      </c>
      <c r="E104" s="18">
        <v>0.54</v>
      </c>
      <c r="F104" s="18">
        <v>20.49</v>
      </c>
    </row>
    <row r="105" spans="1:7" ht="17.25" x14ac:dyDescent="0.3">
      <c r="A105" s="15">
        <v>102</v>
      </c>
      <c r="B105" s="15"/>
      <c r="C105" s="16"/>
      <c r="D105" s="16" t="s">
        <v>164</v>
      </c>
      <c r="E105" s="18">
        <v>-2.8436590653693261</v>
      </c>
      <c r="F105" s="18">
        <v>20.304265334571912</v>
      </c>
    </row>
    <row r="106" spans="1:7" ht="17.25" x14ac:dyDescent="0.3">
      <c r="A106" s="53" t="s">
        <v>264</v>
      </c>
      <c r="B106" s="54"/>
      <c r="C106" s="54"/>
      <c r="D106" s="55"/>
      <c r="E106" s="43">
        <f>AVERAGE(E45:E105)</f>
        <v>5.1697760808955842</v>
      </c>
      <c r="F106" s="73"/>
      <c r="G106" s="43">
        <f>AVERAGE(F45:F105)</f>
        <v>4.7133486120421635</v>
      </c>
    </row>
    <row r="107" spans="1:7" ht="17.25" x14ac:dyDescent="0.3">
      <c r="A107" s="28"/>
      <c r="B107" s="28"/>
      <c r="C107" s="28"/>
      <c r="D107" s="40"/>
      <c r="E107" s="74"/>
      <c r="F107" s="42"/>
      <c r="G107" s="74"/>
    </row>
    <row r="108" spans="1:7" ht="17.25" x14ac:dyDescent="0.3">
      <c r="A108" s="28"/>
      <c r="B108" s="28"/>
      <c r="C108" s="28"/>
      <c r="D108" s="30"/>
      <c r="E108" s="30"/>
      <c r="F108" s="30"/>
      <c r="G108" s="30"/>
    </row>
    <row r="109" spans="1:7" ht="17.25" x14ac:dyDescent="0.3">
      <c r="A109" s="28"/>
      <c r="B109" s="28"/>
      <c r="C109" s="28"/>
      <c r="D109" s="40"/>
      <c r="E109" s="74"/>
      <c r="F109" s="42"/>
      <c r="G109" s="74"/>
    </row>
    <row r="110" spans="1:7" ht="17.25" x14ac:dyDescent="0.3">
      <c r="A110" s="28"/>
      <c r="B110" s="28"/>
      <c r="C110" s="28"/>
      <c r="D110" s="30"/>
      <c r="E110" s="30"/>
      <c r="F110" s="30"/>
      <c r="G110" s="30"/>
    </row>
    <row r="111" spans="1:7" ht="17.25" x14ac:dyDescent="0.3">
      <c r="A111" s="28"/>
      <c r="B111" s="28"/>
      <c r="C111" s="28"/>
      <c r="D111" s="28"/>
      <c r="E111" s="75"/>
      <c r="F111" s="75"/>
      <c r="G111" s="30"/>
    </row>
    <row r="112" spans="1:7" ht="17.25" x14ac:dyDescent="0.3">
      <c r="A112" s="28"/>
      <c r="B112" s="28"/>
      <c r="C112" s="28"/>
      <c r="D112" s="28"/>
      <c r="E112" s="75"/>
      <c r="F112" s="75"/>
      <c r="G112" s="30"/>
    </row>
    <row r="113" spans="1:7" ht="17.25" x14ac:dyDescent="0.3">
      <c r="A113" s="28"/>
      <c r="B113" s="28"/>
      <c r="C113" s="28"/>
      <c r="D113" s="28"/>
      <c r="E113" s="75"/>
      <c r="F113" s="75"/>
      <c r="G113" s="30"/>
    </row>
    <row r="114" spans="1:7" ht="17.25" x14ac:dyDescent="0.3">
      <c r="A114" s="28"/>
      <c r="B114" s="28"/>
      <c r="C114" s="28"/>
      <c r="D114" s="28"/>
      <c r="E114" s="75"/>
      <c r="F114" s="75"/>
      <c r="G114" s="30"/>
    </row>
    <row r="115" spans="1:7" ht="17.25" x14ac:dyDescent="0.3">
      <c r="A115" s="28"/>
      <c r="B115" s="28"/>
      <c r="C115" s="28"/>
      <c r="D115" s="28"/>
      <c r="E115" s="75"/>
      <c r="F115" s="75"/>
      <c r="G115" s="30"/>
    </row>
    <row r="116" spans="1:7" x14ac:dyDescent="0.3">
      <c r="A116" s="30"/>
      <c r="B116" s="30"/>
      <c r="C116" s="30"/>
      <c r="D116" s="30"/>
      <c r="E116" s="30"/>
      <c r="F116" s="30"/>
      <c r="G116" s="30"/>
    </row>
    <row r="117" spans="1:7" x14ac:dyDescent="0.3">
      <c r="A117" s="30"/>
      <c r="B117" s="30"/>
      <c r="C117" s="30"/>
      <c r="D117" s="30"/>
      <c r="E117" s="30"/>
      <c r="F117" s="30"/>
      <c r="G117" s="30"/>
    </row>
  </sheetData>
  <mergeCells count="7">
    <mergeCell ref="A44:D44"/>
    <mergeCell ref="A106:D106"/>
    <mergeCell ref="A1:D1"/>
    <mergeCell ref="E1:G1"/>
    <mergeCell ref="A4:D4"/>
    <mergeCell ref="A8:D8"/>
    <mergeCell ref="A32:D32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19년 문헌(Shin et al)</vt:lpstr>
      <vt:lpstr>19년 연구사업(류)</vt:lpstr>
      <vt:lpstr>23 연구사업</vt:lpstr>
      <vt:lpstr>24 연구사업</vt:lpstr>
      <vt:lpstr>25 연구사업</vt:lpstr>
      <vt:lpstr>24~25환기조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2026-07-22T08:29:16Z</dcterms:created>
  <dcterms:modified xsi:type="dcterms:W3CDTF">2026-08-10T04:22:01Z</dcterms:modified>
</cp:coreProperties>
</file>