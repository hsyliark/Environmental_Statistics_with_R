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조사 데이터\`24~`25 환기조 사업 관련 자료\"/>
    </mc:Choice>
  </mc:AlternateContent>
  <xr:revisionPtr revIDLastSave="0" documentId="13_ncr:1_{DB21F2F7-3549-442E-8F31-15CC2BB560DE}" xr6:coauthVersionLast="47" xr6:coauthVersionMax="47" xr10:uidLastSave="{00000000-0000-0000-0000-000000000000}"/>
  <bookViews>
    <workbookView xWindow="28680" yWindow="-120" windowWidth="29040" windowHeight="15720" firstSheet="6" activeTab="14" xr2:uid="{00000000-000D-0000-FFFF-FFFF00000000}"/>
  </bookViews>
  <sheets>
    <sheet name="1회차(0402)" sheetId="1" r:id="rId1"/>
    <sheet name="2회차(0416)" sheetId="3" r:id="rId2"/>
    <sheet name="3회차(0508)" sheetId="4" r:id="rId3"/>
    <sheet name="4회차(0528)" sheetId="5" r:id="rId4"/>
    <sheet name="5회차(0611-0612)" sheetId="6" r:id="rId5"/>
    <sheet name="6회차(0625)" sheetId="7" r:id="rId6"/>
    <sheet name="7회차(0709)" sheetId="8" r:id="rId7"/>
    <sheet name="8회차(0723)" sheetId="9" r:id="rId8"/>
    <sheet name="9회차(0807)" sheetId="10" r:id="rId9"/>
    <sheet name="10회차(0827)" sheetId="11" r:id="rId10"/>
    <sheet name="11회차(0910)" sheetId="12" r:id="rId11"/>
    <sheet name="12회차(0924)" sheetId="13" r:id="rId12"/>
    <sheet name="13회차(1015)" sheetId="14" r:id="rId13"/>
    <sheet name="14회차(1112)" sheetId="15" r:id="rId14"/>
    <sheet name="총정리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545" i="16" l="1"/>
  <c r="AO545" i="16"/>
  <c r="AL545" i="16"/>
  <c r="AI545" i="16"/>
  <c r="AF545" i="16"/>
  <c r="AC545" i="16"/>
  <c r="Z545" i="16"/>
  <c r="W545" i="16"/>
  <c r="T545" i="16"/>
  <c r="Q545" i="16"/>
  <c r="N545" i="16"/>
  <c r="AR544" i="16"/>
  <c r="AO544" i="16"/>
  <c r="AL544" i="16"/>
  <c r="AI544" i="16"/>
  <c r="AF544" i="16"/>
  <c r="AC544" i="16"/>
  <c r="Z544" i="16"/>
  <c r="W544" i="16"/>
  <c r="T544" i="16"/>
  <c r="Q544" i="16"/>
  <c r="N544" i="16"/>
  <c r="AR543" i="16"/>
  <c r="AO543" i="16"/>
  <c r="AL543" i="16"/>
  <c r="AI543" i="16"/>
  <c r="AF543" i="16"/>
  <c r="AC543" i="16"/>
  <c r="Z543" i="16"/>
  <c r="W543" i="16"/>
  <c r="T543" i="16"/>
  <c r="Q543" i="16"/>
  <c r="N543" i="16"/>
  <c r="AR542" i="16"/>
  <c r="AO542" i="16"/>
  <c r="AL542" i="16"/>
  <c r="AI542" i="16"/>
  <c r="AF542" i="16"/>
  <c r="AC542" i="16"/>
  <c r="Z542" i="16"/>
  <c r="W542" i="16"/>
  <c r="T542" i="16"/>
  <c r="Q542" i="16"/>
  <c r="N542" i="16"/>
  <c r="AR541" i="16"/>
  <c r="AO541" i="16"/>
  <c r="AL541" i="16"/>
  <c r="AI541" i="16"/>
  <c r="AF541" i="16"/>
  <c r="AC541" i="16"/>
  <c r="Z541" i="16"/>
  <c r="W541" i="16"/>
  <c r="T541" i="16"/>
  <c r="Q541" i="16"/>
  <c r="N541" i="16"/>
  <c r="AR540" i="16"/>
  <c r="AO540" i="16"/>
  <c r="AL540" i="16"/>
  <c r="AI540" i="16"/>
  <c r="AF540" i="16"/>
  <c r="AC540" i="16"/>
  <c r="Z540" i="16"/>
  <c r="W540" i="16"/>
  <c r="T540" i="16"/>
  <c r="Q540" i="16"/>
  <c r="N540" i="16"/>
  <c r="AR539" i="16"/>
  <c r="AO539" i="16"/>
  <c r="AL539" i="16"/>
  <c r="AI539" i="16"/>
  <c r="AF539" i="16"/>
  <c r="AC539" i="16"/>
  <c r="Z539" i="16"/>
  <c r="W539" i="16"/>
  <c r="T539" i="16"/>
  <c r="Q539" i="16"/>
  <c r="N539" i="16"/>
  <c r="AR538" i="16"/>
  <c r="AO538" i="16"/>
  <c r="AL538" i="16"/>
  <c r="AI538" i="16"/>
  <c r="AF538" i="16"/>
  <c r="AC538" i="16"/>
  <c r="Z538" i="16"/>
  <c r="W538" i="16"/>
  <c r="T538" i="16"/>
  <c r="Q538" i="16"/>
  <c r="N538" i="16"/>
  <c r="AR537" i="16"/>
  <c r="AO537" i="16"/>
  <c r="AL537" i="16"/>
  <c r="AI537" i="16"/>
  <c r="AF537" i="16"/>
  <c r="AC537" i="16"/>
  <c r="Z537" i="16"/>
  <c r="W537" i="16"/>
  <c r="T537" i="16"/>
  <c r="Q537" i="16"/>
  <c r="N537" i="16"/>
  <c r="AR536" i="16"/>
  <c r="AO536" i="16"/>
  <c r="AL536" i="16"/>
  <c r="AI536" i="16"/>
  <c r="AF536" i="16"/>
  <c r="AC536" i="16"/>
  <c r="Z536" i="16"/>
  <c r="W536" i="16"/>
  <c r="T536" i="16"/>
  <c r="Q536" i="16"/>
  <c r="N536" i="16"/>
  <c r="AR535" i="16"/>
  <c r="AO535" i="16"/>
  <c r="AL535" i="16"/>
  <c r="AI535" i="16"/>
  <c r="AF535" i="16"/>
  <c r="AC535" i="16"/>
  <c r="Z535" i="16"/>
  <c r="W535" i="16"/>
  <c r="T535" i="16"/>
  <c r="Q535" i="16"/>
  <c r="N535" i="16"/>
  <c r="AR534" i="16"/>
  <c r="AO534" i="16"/>
  <c r="AL534" i="16"/>
  <c r="AI534" i="16"/>
  <c r="AF534" i="16"/>
  <c r="AC534" i="16"/>
  <c r="Z534" i="16"/>
  <c r="W534" i="16"/>
  <c r="T534" i="16"/>
  <c r="Q534" i="16"/>
  <c r="N534" i="16"/>
  <c r="AR533" i="16"/>
  <c r="AO533" i="16"/>
  <c r="AL533" i="16"/>
  <c r="AI533" i="16"/>
  <c r="AF533" i="16"/>
  <c r="AC533" i="16"/>
  <c r="Z533" i="16"/>
  <c r="W533" i="16"/>
  <c r="T533" i="16"/>
  <c r="Q533" i="16"/>
  <c r="N533" i="16"/>
  <c r="AR532" i="16"/>
  <c r="AO532" i="16"/>
  <c r="AL532" i="16"/>
  <c r="AI532" i="16"/>
  <c r="AF532" i="16"/>
  <c r="AC532" i="16"/>
  <c r="Z532" i="16"/>
  <c r="W532" i="16"/>
  <c r="T532" i="16"/>
  <c r="Q532" i="16"/>
  <c r="N532" i="16"/>
  <c r="AR531" i="16"/>
  <c r="AO531" i="16"/>
  <c r="AL531" i="16"/>
  <c r="AI531" i="16"/>
  <c r="AF531" i="16"/>
  <c r="AC531" i="16"/>
  <c r="Z531" i="16"/>
  <c r="W531" i="16"/>
  <c r="T531" i="16"/>
  <c r="Q531" i="16"/>
  <c r="N531" i="16"/>
  <c r="AR530" i="16"/>
  <c r="AO530" i="16"/>
  <c r="AL530" i="16"/>
  <c r="AI530" i="16"/>
  <c r="AF530" i="16"/>
  <c r="AC530" i="16"/>
  <c r="Z530" i="16"/>
  <c r="W530" i="16"/>
  <c r="T530" i="16"/>
  <c r="Q530" i="16"/>
  <c r="N530" i="16"/>
  <c r="AR529" i="16"/>
  <c r="AO529" i="16"/>
  <c r="AL529" i="16"/>
  <c r="AI529" i="16"/>
  <c r="AF529" i="16"/>
  <c r="AC529" i="16"/>
  <c r="Z529" i="16"/>
  <c r="W529" i="16"/>
  <c r="T529" i="16"/>
  <c r="Q529" i="16"/>
  <c r="N529" i="16"/>
  <c r="AR528" i="16"/>
  <c r="AO528" i="16"/>
  <c r="AL528" i="16"/>
  <c r="AI528" i="16"/>
  <c r="AF528" i="16"/>
  <c r="AC528" i="16"/>
  <c r="Z528" i="16"/>
  <c r="W528" i="16"/>
  <c r="T528" i="16"/>
  <c r="Q528" i="16"/>
  <c r="N528" i="16"/>
  <c r="AR527" i="16"/>
  <c r="AO527" i="16"/>
  <c r="AL527" i="16"/>
  <c r="AI527" i="16"/>
  <c r="AF527" i="16"/>
  <c r="AC527" i="16"/>
  <c r="Z527" i="16"/>
  <c r="W527" i="16"/>
  <c r="T527" i="16"/>
  <c r="Q527" i="16"/>
  <c r="N527" i="16"/>
  <c r="AR526" i="16"/>
  <c r="AO526" i="16"/>
  <c r="AL526" i="16"/>
  <c r="AI526" i="16"/>
  <c r="AF526" i="16"/>
  <c r="AC526" i="16"/>
  <c r="Z526" i="16"/>
  <c r="W526" i="16"/>
  <c r="T526" i="16"/>
  <c r="Q526" i="16"/>
  <c r="N526" i="16"/>
  <c r="AR525" i="16"/>
  <c r="AO525" i="16"/>
  <c r="AL525" i="16"/>
  <c r="AI525" i="16"/>
  <c r="AF525" i="16"/>
  <c r="AC525" i="16"/>
  <c r="Z525" i="16"/>
  <c r="W525" i="16"/>
  <c r="T525" i="16"/>
  <c r="Q525" i="16"/>
  <c r="N525" i="16"/>
  <c r="AR524" i="16"/>
  <c r="AO524" i="16"/>
  <c r="AL524" i="16"/>
  <c r="AI524" i="16"/>
  <c r="AF524" i="16"/>
  <c r="AC524" i="16"/>
  <c r="Z524" i="16"/>
  <c r="W524" i="16"/>
  <c r="T524" i="16"/>
  <c r="Q524" i="16"/>
  <c r="N524" i="16"/>
  <c r="AR523" i="16"/>
  <c r="AO523" i="16"/>
  <c r="AL523" i="16"/>
  <c r="AI523" i="16"/>
  <c r="AF523" i="16"/>
  <c r="AC523" i="16"/>
  <c r="Z523" i="16"/>
  <c r="W523" i="16"/>
  <c r="T523" i="16"/>
  <c r="Q523" i="16"/>
  <c r="N523" i="16"/>
  <c r="AR522" i="16"/>
  <c r="AO522" i="16"/>
  <c r="AL522" i="16"/>
  <c r="AI522" i="16"/>
  <c r="AF522" i="16"/>
  <c r="AC522" i="16"/>
  <c r="Z522" i="16"/>
  <c r="W522" i="16"/>
  <c r="T522" i="16"/>
  <c r="Q522" i="16"/>
  <c r="N522" i="16"/>
  <c r="AR521" i="16"/>
  <c r="AO521" i="16"/>
  <c r="AL521" i="16"/>
  <c r="AI521" i="16"/>
  <c r="AF521" i="16"/>
  <c r="AC521" i="16"/>
  <c r="Z521" i="16"/>
  <c r="W521" i="16"/>
  <c r="T521" i="16"/>
  <c r="Q521" i="16"/>
  <c r="N521" i="16"/>
  <c r="AR520" i="16"/>
  <c r="AO520" i="16"/>
  <c r="AL520" i="16"/>
  <c r="AI520" i="16"/>
  <c r="AF520" i="16"/>
  <c r="AC520" i="16"/>
  <c r="Z520" i="16"/>
  <c r="W520" i="16"/>
  <c r="T520" i="16"/>
  <c r="Q520" i="16"/>
  <c r="N520" i="16"/>
  <c r="AR519" i="16"/>
  <c r="AO519" i="16"/>
  <c r="AL519" i="16"/>
  <c r="AI519" i="16"/>
  <c r="AF519" i="16"/>
  <c r="AC519" i="16"/>
  <c r="Z519" i="16"/>
  <c r="W519" i="16"/>
  <c r="T519" i="16"/>
  <c r="Q519" i="16"/>
  <c r="N519" i="16"/>
  <c r="AR518" i="16"/>
  <c r="AO518" i="16"/>
  <c r="AL518" i="16"/>
  <c r="AI518" i="16"/>
  <c r="AF518" i="16"/>
  <c r="AC518" i="16"/>
  <c r="Z518" i="16"/>
  <c r="W518" i="16"/>
  <c r="T518" i="16"/>
  <c r="Q518" i="16"/>
  <c r="N518" i="16"/>
  <c r="AR517" i="16"/>
  <c r="AO517" i="16"/>
  <c r="AL517" i="16"/>
  <c r="AI517" i="16"/>
  <c r="AF517" i="16"/>
  <c r="AC517" i="16"/>
  <c r="Z517" i="16"/>
  <c r="W517" i="16"/>
  <c r="T517" i="16"/>
  <c r="Q517" i="16"/>
  <c r="N517" i="16"/>
  <c r="AR516" i="16"/>
  <c r="AO516" i="16"/>
  <c r="AL516" i="16"/>
  <c r="AI516" i="16"/>
  <c r="AF516" i="16"/>
  <c r="AC516" i="16"/>
  <c r="Z516" i="16"/>
  <c r="W516" i="16"/>
  <c r="T516" i="16"/>
  <c r="Q516" i="16"/>
  <c r="N516" i="16"/>
  <c r="AR515" i="16"/>
  <c r="AO515" i="16"/>
  <c r="AL515" i="16"/>
  <c r="AI515" i="16"/>
  <c r="AF515" i="16"/>
  <c r="AC515" i="16"/>
  <c r="Z515" i="16"/>
  <c r="W515" i="16"/>
  <c r="T515" i="16"/>
  <c r="Q515" i="16"/>
  <c r="N515" i="16"/>
  <c r="AR514" i="16"/>
  <c r="AO514" i="16"/>
  <c r="AL514" i="16"/>
  <c r="AI514" i="16"/>
  <c r="AF514" i="16"/>
  <c r="AC514" i="16"/>
  <c r="Z514" i="16"/>
  <c r="W514" i="16"/>
  <c r="T514" i="16"/>
  <c r="Q514" i="16"/>
  <c r="N514" i="16"/>
  <c r="AR513" i="16"/>
  <c r="AO513" i="16"/>
  <c r="AL513" i="16"/>
  <c r="AI513" i="16"/>
  <c r="AF513" i="16"/>
  <c r="AC513" i="16"/>
  <c r="Z513" i="16"/>
  <c r="W513" i="16"/>
  <c r="T513" i="16"/>
  <c r="Q513" i="16"/>
  <c r="N513" i="16"/>
  <c r="AR512" i="16"/>
  <c r="AO512" i="16"/>
  <c r="AL512" i="16"/>
  <c r="AI512" i="16"/>
  <c r="AF512" i="16"/>
  <c r="AC512" i="16"/>
  <c r="Z512" i="16"/>
  <c r="W512" i="16"/>
  <c r="T512" i="16"/>
  <c r="Q512" i="16"/>
  <c r="N512" i="16"/>
  <c r="AR511" i="16"/>
  <c r="AO511" i="16"/>
  <c r="AL511" i="16"/>
  <c r="AI511" i="16"/>
  <c r="AF511" i="16"/>
  <c r="AC511" i="16"/>
  <c r="Z511" i="16"/>
  <c r="W511" i="16"/>
  <c r="T511" i="16"/>
  <c r="Q511" i="16"/>
  <c r="N511" i="16"/>
  <c r="AR510" i="16"/>
  <c r="AO510" i="16"/>
  <c r="AL510" i="16"/>
  <c r="AI510" i="16"/>
  <c r="AF510" i="16"/>
  <c r="AC510" i="16"/>
  <c r="Z510" i="16"/>
  <c r="W510" i="16"/>
  <c r="T510" i="16"/>
  <c r="Q510" i="16"/>
  <c r="N510" i="16"/>
  <c r="AR509" i="16"/>
  <c r="AO509" i="16"/>
  <c r="AL509" i="16"/>
  <c r="AI509" i="16"/>
  <c r="AF509" i="16"/>
  <c r="AC509" i="16"/>
  <c r="Z509" i="16"/>
  <c r="W509" i="16"/>
  <c r="T509" i="16"/>
  <c r="Q509" i="16"/>
  <c r="N509" i="16"/>
  <c r="AT506" i="16"/>
  <c r="AQ506" i="16"/>
  <c r="AN506" i="16"/>
  <c r="AK506" i="16"/>
  <c r="AH506" i="16"/>
  <c r="AE506" i="16"/>
  <c r="AB506" i="16"/>
  <c r="Y506" i="16"/>
  <c r="V506" i="16"/>
  <c r="S506" i="16"/>
  <c r="N506" i="16"/>
  <c r="AT505" i="16"/>
  <c r="AQ505" i="16"/>
  <c r="AN505" i="16"/>
  <c r="AK505" i="16"/>
  <c r="AH505" i="16"/>
  <c r="AE505" i="16"/>
  <c r="AB505" i="16"/>
  <c r="Y505" i="16"/>
  <c r="V505" i="16"/>
  <c r="S505" i="16"/>
  <c r="N505" i="16"/>
  <c r="AT504" i="16"/>
  <c r="AQ504" i="16"/>
  <c r="AN504" i="16"/>
  <c r="AK504" i="16"/>
  <c r="AH504" i="16"/>
  <c r="AE504" i="16"/>
  <c r="AB504" i="16"/>
  <c r="Y504" i="16"/>
  <c r="V504" i="16"/>
  <c r="S504" i="16"/>
  <c r="N504" i="16"/>
  <c r="AT503" i="16"/>
  <c r="AQ503" i="16"/>
  <c r="AN503" i="16"/>
  <c r="AK503" i="16"/>
  <c r="AH503" i="16"/>
  <c r="AE503" i="16"/>
  <c r="AB503" i="16"/>
  <c r="Y503" i="16"/>
  <c r="V503" i="16"/>
  <c r="S503" i="16"/>
  <c r="N503" i="16"/>
  <c r="AT502" i="16"/>
  <c r="AQ502" i="16"/>
  <c r="AN502" i="16"/>
  <c r="AK502" i="16"/>
  <c r="AH502" i="16"/>
  <c r="AE502" i="16"/>
  <c r="AB502" i="16"/>
  <c r="Y502" i="16"/>
  <c r="V502" i="16"/>
  <c r="S502" i="16"/>
  <c r="N502" i="16"/>
  <c r="AT501" i="16"/>
  <c r="AQ501" i="16"/>
  <c r="AN501" i="16"/>
  <c r="AK501" i="16"/>
  <c r="AH501" i="16"/>
  <c r="AE501" i="16"/>
  <c r="AB501" i="16"/>
  <c r="Y501" i="16"/>
  <c r="V501" i="16"/>
  <c r="S501" i="16"/>
  <c r="N501" i="16"/>
  <c r="AT500" i="16"/>
  <c r="AQ500" i="16"/>
  <c r="AN500" i="16"/>
  <c r="AK500" i="16"/>
  <c r="AH500" i="16"/>
  <c r="AE500" i="16"/>
  <c r="AB500" i="16"/>
  <c r="Y500" i="16"/>
  <c r="V500" i="16"/>
  <c r="S500" i="16"/>
  <c r="N500" i="16"/>
  <c r="AT499" i="16"/>
  <c r="AQ499" i="16"/>
  <c r="AN499" i="16"/>
  <c r="AK499" i="16"/>
  <c r="AH499" i="16"/>
  <c r="AE499" i="16"/>
  <c r="AB499" i="16"/>
  <c r="Y499" i="16"/>
  <c r="V499" i="16"/>
  <c r="S499" i="16"/>
  <c r="N499" i="16"/>
  <c r="AT498" i="16"/>
  <c r="AQ498" i="16"/>
  <c r="AN498" i="16"/>
  <c r="AK498" i="16"/>
  <c r="AH498" i="16"/>
  <c r="AE498" i="16"/>
  <c r="AB498" i="16"/>
  <c r="Y498" i="16"/>
  <c r="V498" i="16"/>
  <c r="S498" i="16"/>
  <c r="N498" i="16"/>
  <c r="AT497" i="16"/>
  <c r="AQ497" i="16"/>
  <c r="AN497" i="16"/>
  <c r="AK497" i="16"/>
  <c r="AH497" i="16"/>
  <c r="AE497" i="16"/>
  <c r="AB497" i="16"/>
  <c r="Y497" i="16"/>
  <c r="V497" i="16"/>
  <c r="S497" i="16"/>
  <c r="N497" i="16"/>
  <c r="AT496" i="16"/>
  <c r="AQ496" i="16"/>
  <c r="AN496" i="16"/>
  <c r="AK496" i="16"/>
  <c r="AH496" i="16"/>
  <c r="AE496" i="16"/>
  <c r="AB496" i="16"/>
  <c r="Y496" i="16"/>
  <c r="V496" i="16"/>
  <c r="S496" i="16"/>
  <c r="N496" i="16"/>
  <c r="AT495" i="16"/>
  <c r="AQ495" i="16"/>
  <c r="AN495" i="16"/>
  <c r="AK495" i="16"/>
  <c r="AH495" i="16"/>
  <c r="AE495" i="16"/>
  <c r="AB495" i="16"/>
  <c r="Y495" i="16"/>
  <c r="V495" i="16"/>
  <c r="S495" i="16"/>
  <c r="N495" i="16"/>
  <c r="AT494" i="16"/>
  <c r="AQ494" i="16"/>
  <c r="AN494" i="16"/>
  <c r="AK494" i="16"/>
  <c r="AH494" i="16"/>
  <c r="AE494" i="16"/>
  <c r="AB494" i="16"/>
  <c r="Y494" i="16"/>
  <c r="V494" i="16"/>
  <c r="S494" i="16"/>
  <c r="N494" i="16"/>
  <c r="AT493" i="16"/>
  <c r="AQ493" i="16"/>
  <c r="AN493" i="16"/>
  <c r="AK493" i="16"/>
  <c r="AH493" i="16"/>
  <c r="AE493" i="16"/>
  <c r="AB493" i="16"/>
  <c r="Y493" i="16"/>
  <c r="V493" i="16"/>
  <c r="S493" i="16"/>
  <c r="N493" i="16"/>
  <c r="AT492" i="16"/>
  <c r="AQ492" i="16"/>
  <c r="AN492" i="16"/>
  <c r="AK492" i="16"/>
  <c r="AH492" i="16"/>
  <c r="AE492" i="16"/>
  <c r="AB492" i="16"/>
  <c r="Y492" i="16"/>
  <c r="V492" i="16"/>
  <c r="S492" i="16"/>
  <c r="N492" i="16"/>
  <c r="AT491" i="16"/>
  <c r="AQ491" i="16"/>
  <c r="AN491" i="16"/>
  <c r="AK491" i="16"/>
  <c r="AH491" i="16"/>
  <c r="AE491" i="16"/>
  <c r="AB491" i="16"/>
  <c r="Y491" i="16"/>
  <c r="V491" i="16"/>
  <c r="S491" i="16"/>
  <c r="N491" i="16"/>
  <c r="AT490" i="16"/>
  <c r="AQ490" i="16"/>
  <c r="AN490" i="16"/>
  <c r="AK490" i="16"/>
  <c r="AH490" i="16"/>
  <c r="AE490" i="16"/>
  <c r="AB490" i="16"/>
  <c r="Y490" i="16"/>
  <c r="V490" i="16"/>
  <c r="S490" i="16"/>
  <c r="N490" i="16"/>
  <c r="AT489" i="16"/>
  <c r="AQ489" i="16"/>
  <c r="AN489" i="16"/>
  <c r="AK489" i="16"/>
  <c r="AH489" i="16"/>
  <c r="AE489" i="16"/>
  <c r="AB489" i="16"/>
  <c r="Y489" i="16"/>
  <c r="V489" i="16"/>
  <c r="S489" i="16"/>
  <c r="N489" i="16"/>
  <c r="AT488" i="16"/>
  <c r="AQ488" i="16"/>
  <c r="AN488" i="16"/>
  <c r="AK488" i="16"/>
  <c r="AH488" i="16"/>
  <c r="AE488" i="16"/>
  <c r="AB488" i="16"/>
  <c r="Y488" i="16"/>
  <c r="V488" i="16"/>
  <c r="S488" i="16"/>
  <c r="N488" i="16"/>
  <c r="AT487" i="16"/>
  <c r="AQ487" i="16"/>
  <c r="AN487" i="16"/>
  <c r="AK487" i="16"/>
  <c r="AH487" i="16"/>
  <c r="AE487" i="16"/>
  <c r="AB487" i="16"/>
  <c r="Y487" i="16"/>
  <c r="V487" i="16"/>
  <c r="S487" i="16"/>
  <c r="N487" i="16"/>
  <c r="AT486" i="16"/>
  <c r="AQ486" i="16"/>
  <c r="AN486" i="16"/>
  <c r="AK486" i="16"/>
  <c r="AH486" i="16"/>
  <c r="AE486" i="16"/>
  <c r="AB486" i="16"/>
  <c r="Y486" i="16"/>
  <c r="V486" i="16"/>
  <c r="S486" i="16"/>
  <c r="N486" i="16"/>
  <c r="AT485" i="16"/>
  <c r="AQ485" i="16"/>
  <c r="AN485" i="16"/>
  <c r="AK485" i="16"/>
  <c r="AH485" i="16"/>
  <c r="AE485" i="16"/>
  <c r="AB485" i="16"/>
  <c r="Y485" i="16"/>
  <c r="V485" i="16"/>
  <c r="S485" i="16"/>
  <c r="N485" i="16"/>
  <c r="AT484" i="16"/>
  <c r="AQ484" i="16"/>
  <c r="AN484" i="16"/>
  <c r="AK484" i="16"/>
  <c r="AH484" i="16"/>
  <c r="AE484" i="16"/>
  <c r="AB484" i="16"/>
  <c r="Y484" i="16"/>
  <c r="V484" i="16"/>
  <c r="S484" i="16"/>
  <c r="N484" i="16"/>
  <c r="AT483" i="16"/>
  <c r="AQ483" i="16"/>
  <c r="AN483" i="16"/>
  <c r="AK483" i="16"/>
  <c r="AH483" i="16"/>
  <c r="AE483" i="16"/>
  <c r="AB483" i="16"/>
  <c r="Y483" i="16"/>
  <c r="V483" i="16"/>
  <c r="S483" i="16"/>
  <c r="N483" i="16"/>
  <c r="AT482" i="16"/>
  <c r="AQ482" i="16"/>
  <c r="AN482" i="16"/>
  <c r="AK482" i="16"/>
  <c r="AH482" i="16"/>
  <c r="AE482" i="16"/>
  <c r="AB482" i="16"/>
  <c r="Y482" i="16"/>
  <c r="V482" i="16"/>
  <c r="S482" i="16"/>
  <c r="N482" i="16"/>
  <c r="AT481" i="16"/>
  <c r="AQ481" i="16"/>
  <c r="AN481" i="16"/>
  <c r="AK481" i="16"/>
  <c r="AH481" i="16"/>
  <c r="AE481" i="16"/>
  <c r="AB481" i="16"/>
  <c r="Y481" i="16"/>
  <c r="V481" i="16"/>
  <c r="S481" i="16"/>
  <c r="N481" i="16"/>
  <c r="AT480" i="16"/>
  <c r="AQ480" i="16"/>
  <c r="AN480" i="16"/>
  <c r="AK480" i="16"/>
  <c r="AH480" i="16"/>
  <c r="AE480" i="16"/>
  <c r="AB480" i="16"/>
  <c r="Y480" i="16"/>
  <c r="V480" i="16"/>
  <c r="S480" i="16"/>
  <c r="N480" i="16"/>
  <c r="AT479" i="16"/>
  <c r="AQ479" i="16"/>
  <c r="AN479" i="16"/>
  <c r="AK479" i="16"/>
  <c r="AH479" i="16"/>
  <c r="AE479" i="16"/>
  <c r="AB479" i="16"/>
  <c r="Y479" i="16"/>
  <c r="V479" i="16"/>
  <c r="S479" i="16"/>
  <c r="N479" i="16"/>
  <c r="AT478" i="16"/>
  <c r="AQ478" i="16"/>
  <c r="AN478" i="16"/>
  <c r="AK478" i="16"/>
  <c r="AH478" i="16"/>
  <c r="AE478" i="16"/>
  <c r="AB478" i="16"/>
  <c r="Y478" i="16"/>
  <c r="V478" i="16"/>
  <c r="S478" i="16"/>
  <c r="N478" i="16"/>
  <c r="AT477" i="16"/>
  <c r="AQ477" i="16"/>
  <c r="AN477" i="16"/>
  <c r="AK477" i="16"/>
  <c r="AH477" i="16"/>
  <c r="AE477" i="16"/>
  <c r="AB477" i="16"/>
  <c r="Y477" i="16"/>
  <c r="V477" i="16"/>
  <c r="S477" i="16"/>
  <c r="N477" i="16"/>
  <c r="AT476" i="16"/>
  <c r="AQ476" i="16"/>
  <c r="AN476" i="16"/>
  <c r="AK476" i="16"/>
  <c r="AH476" i="16"/>
  <c r="AE476" i="16"/>
  <c r="AB476" i="16"/>
  <c r="Y476" i="16"/>
  <c r="V476" i="16"/>
  <c r="S476" i="16"/>
  <c r="N476" i="16"/>
  <c r="AT475" i="16"/>
  <c r="AQ475" i="16"/>
  <c r="AN475" i="16"/>
  <c r="AK475" i="16"/>
  <c r="AH475" i="16"/>
  <c r="AE475" i="16"/>
  <c r="AB475" i="16"/>
  <c r="Y475" i="16"/>
  <c r="V475" i="16"/>
  <c r="S475" i="16"/>
  <c r="N475" i="16"/>
  <c r="AT474" i="16"/>
  <c r="AQ474" i="16"/>
  <c r="AN474" i="16"/>
  <c r="AK474" i="16"/>
  <c r="AH474" i="16"/>
  <c r="AE474" i="16"/>
  <c r="AB474" i="16"/>
  <c r="Y474" i="16"/>
  <c r="V474" i="16"/>
  <c r="S474" i="16"/>
  <c r="N474" i="16"/>
  <c r="AT473" i="16"/>
  <c r="AQ473" i="16"/>
  <c r="AN473" i="16"/>
  <c r="AK473" i="16"/>
  <c r="AH473" i="16"/>
  <c r="AE473" i="16"/>
  <c r="AB473" i="16"/>
  <c r="Y473" i="16"/>
  <c r="V473" i="16"/>
  <c r="S473" i="16"/>
  <c r="N473" i="16"/>
  <c r="AT472" i="16"/>
  <c r="AQ472" i="16"/>
  <c r="AN472" i="16"/>
  <c r="AK472" i="16"/>
  <c r="AH472" i="16"/>
  <c r="AE472" i="16"/>
  <c r="AB472" i="16"/>
  <c r="Y472" i="16"/>
  <c r="V472" i="16"/>
  <c r="S472" i="16"/>
  <c r="N472" i="16"/>
  <c r="AT471" i="16"/>
  <c r="AQ471" i="16"/>
  <c r="AN471" i="16"/>
  <c r="AK471" i="16"/>
  <c r="AH471" i="16"/>
  <c r="AE471" i="16"/>
  <c r="AB471" i="16"/>
  <c r="Y471" i="16"/>
  <c r="V471" i="16"/>
  <c r="S471" i="16"/>
  <c r="N471" i="16"/>
  <c r="AT470" i="16"/>
  <c r="AQ470" i="16"/>
  <c r="AN470" i="16"/>
  <c r="AK470" i="16"/>
  <c r="AH470" i="16"/>
  <c r="AE470" i="16"/>
  <c r="AB470" i="16"/>
  <c r="Y470" i="16"/>
  <c r="V470" i="16"/>
  <c r="S470" i="16"/>
  <c r="N470" i="16"/>
  <c r="AR467" i="16"/>
  <c r="AO467" i="16"/>
  <c r="AL467" i="16"/>
  <c r="AI467" i="16"/>
  <c r="AF467" i="16"/>
  <c r="AC467" i="16"/>
  <c r="Z467" i="16"/>
  <c r="W467" i="16"/>
  <c r="T467" i="16"/>
  <c r="Q467" i="16"/>
  <c r="N467" i="16"/>
  <c r="AR466" i="16"/>
  <c r="AO466" i="16"/>
  <c r="AL466" i="16"/>
  <c r="AI466" i="16"/>
  <c r="AF466" i="16"/>
  <c r="AC466" i="16"/>
  <c r="Z466" i="16"/>
  <c r="W466" i="16"/>
  <c r="T466" i="16"/>
  <c r="Q466" i="16"/>
  <c r="N466" i="16"/>
  <c r="AR465" i="16"/>
  <c r="AO465" i="16"/>
  <c r="AL465" i="16"/>
  <c r="AI465" i="16"/>
  <c r="AF465" i="16"/>
  <c r="AC465" i="16"/>
  <c r="Z465" i="16"/>
  <c r="W465" i="16"/>
  <c r="T465" i="16"/>
  <c r="Q465" i="16"/>
  <c r="N465" i="16"/>
  <c r="AR464" i="16"/>
  <c r="AO464" i="16"/>
  <c r="AL464" i="16"/>
  <c r="AI464" i="16"/>
  <c r="AF464" i="16"/>
  <c r="AC464" i="16"/>
  <c r="Z464" i="16"/>
  <c r="W464" i="16"/>
  <c r="T464" i="16"/>
  <c r="Q464" i="16"/>
  <c r="N464" i="16"/>
  <c r="AR463" i="16"/>
  <c r="AO463" i="16"/>
  <c r="AL463" i="16"/>
  <c r="AI463" i="16"/>
  <c r="AF463" i="16"/>
  <c r="AC463" i="16"/>
  <c r="Z463" i="16"/>
  <c r="W463" i="16"/>
  <c r="T463" i="16"/>
  <c r="Q463" i="16"/>
  <c r="N463" i="16"/>
  <c r="AR462" i="16"/>
  <c r="AO462" i="16"/>
  <c r="AL462" i="16"/>
  <c r="AI462" i="16"/>
  <c r="AF462" i="16"/>
  <c r="AC462" i="16"/>
  <c r="Z462" i="16"/>
  <c r="W462" i="16"/>
  <c r="T462" i="16"/>
  <c r="Q462" i="16"/>
  <c r="N462" i="16"/>
  <c r="AR461" i="16"/>
  <c r="AO461" i="16"/>
  <c r="AL461" i="16"/>
  <c r="AI461" i="16"/>
  <c r="AF461" i="16"/>
  <c r="AC461" i="16"/>
  <c r="Z461" i="16"/>
  <c r="W461" i="16"/>
  <c r="T461" i="16"/>
  <c r="Q461" i="16"/>
  <c r="N461" i="16"/>
  <c r="AR460" i="16"/>
  <c r="AO460" i="16"/>
  <c r="AL460" i="16"/>
  <c r="AI460" i="16"/>
  <c r="AF460" i="16"/>
  <c r="AC460" i="16"/>
  <c r="Z460" i="16"/>
  <c r="W460" i="16"/>
  <c r="T460" i="16"/>
  <c r="Q460" i="16"/>
  <c r="N460" i="16"/>
  <c r="AR459" i="16"/>
  <c r="AO459" i="16"/>
  <c r="AL459" i="16"/>
  <c r="AI459" i="16"/>
  <c r="AF459" i="16"/>
  <c r="AC459" i="16"/>
  <c r="Z459" i="16"/>
  <c r="W459" i="16"/>
  <c r="T459" i="16"/>
  <c r="Q459" i="16"/>
  <c r="N459" i="16"/>
  <c r="AR458" i="16"/>
  <c r="AO458" i="16"/>
  <c r="AL458" i="16"/>
  <c r="AI458" i="16"/>
  <c r="AF458" i="16"/>
  <c r="AC458" i="16"/>
  <c r="Z458" i="16"/>
  <c r="W458" i="16"/>
  <c r="T458" i="16"/>
  <c r="Q458" i="16"/>
  <c r="N458" i="16"/>
  <c r="AR457" i="16"/>
  <c r="AO457" i="16"/>
  <c r="AL457" i="16"/>
  <c r="AI457" i="16"/>
  <c r="AF457" i="16"/>
  <c r="AC457" i="16"/>
  <c r="Z457" i="16"/>
  <c r="W457" i="16"/>
  <c r="T457" i="16"/>
  <c r="Q457" i="16"/>
  <c r="N457" i="16"/>
  <c r="AR456" i="16"/>
  <c r="AO456" i="16"/>
  <c r="AL456" i="16"/>
  <c r="AI456" i="16"/>
  <c r="AF456" i="16"/>
  <c r="AC456" i="16"/>
  <c r="Z456" i="16"/>
  <c r="W456" i="16"/>
  <c r="T456" i="16"/>
  <c r="Q456" i="16"/>
  <c r="N456" i="16"/>
  <c r="AR455" i="16"/>
  <c r="AO455" i="16"/>
  <c r="AL455" i="16"/>
  <c r="AI455" i="16"/>
  <c r="AF455" i="16"/>
  <c r="AC455" i="16"/>
  <c r="Z455" i="16"/>
  <c r="W455" i="16"/>
  <c r="T455" i="16"/>
  <c r="Q455" i="16"/>
  <c r="N455" i="16"/>
  <c r="AR454" i="16"/>
  <c r="AO454" i="16"/>
  <c r="AL454" i="16"/>
  <c r="AI454" i="16"/>
  <c r="AF454" i="16"/>
  <c r="AC454" i="16"/>
  <c r="Z454" i="16"/>
  <c r="W454" i="16"/>
  <c r="T454" i="16"/>
  <c r="Q454" i="16"/>
  <c r="N454" i="16"/>
  <c r="AR453" i="16"/>
  <c r="AO453" i="16"/>
  <c r="AL453" i="16"/>
  <c r="AI453" i="16"/>
  <c r="AF453" i="16"/>
  <c r="AC453" i="16"/>
  <c r="Z453" i="16"/>
  <c r="W453" i="16"/>
  <c r="T453" i="16"/>
  <c r="Q453" i="16"/>
  <c r="N453" i="16"/>
  <c r="AR452" i="16"/>
  <c r="AO452" i="16"/>
  <c r="AL452" i="16"/>
  <c r="AI452" i="16"/>
  <c r="AF452" i="16"/>
  <c r="AC452" i="16"/>
  <c r="Z452" i="16"/>
  <c r="W452" i="16"/>
  <c r="T452" i="16"/>
  <c r="Q452" i="16"/>
  <c r="N452" i="16"/>
  <c r="AR451" i="16"/>
  <c r="AO451" i="16"/>
  <c r="AL451" i="16"/>
  <c r="AI451" i="16"/>
  <c r="AF451" i="16"/>
  <c r="AC451" i="16"/>
  <c r="Z451" i="16"/>
  <c r="W451" i="16"/>
  <c r="T451" i="16"/>
  <c r="Q451" i="16"/>
  <c r="N451" i="16"/>
  <c r="AR450" i="16"/>
  <c r="AO450" i="16"/>
  <c r="AL450" i="16"/>
  <c r="AI450" i="16"/>
  <c r="AF450" i="16"/>
  <c r="AC450" i="16"/>
  <c r="Z450" i="16"/>
  <c r="W450" i="16"/>
  <c r="T450" i="16"/>
  <c r="Q450" i="16"/>
  <c r="N450" i="16"/>
  <c r="AR449" i="16"/>
  <c r="AO449" i="16"/>
  <c r="AL449" i="16"/>
  <c r="AI449" i="16"/>
  <c r="AF449" i="16"/>
  <c r="AC449" i="16"/>
  <c r="Z449" i="16"/>
  <c r="W449" i="16"/>
  <c r="T449" i="16"/>
  <c r="Q449" i="16"/>
  <c r="N449" i="16"/>
  <c r="AR448" i="16"/>
  <c r="AO448" i="16"/>
  <c r="AL448" i="16"/>
  <c r="AI448" i="16"/>
  <c r="AF448" i="16"/>
  <c r="AC448" i="16"/>
  <c r="Z448" i="16"/>
  <c r="W448" i="16"/>
  <c r="T448" i="16"/>
  <c r="Q448" i="16"/>
  <c r="N448" i="16"/>
  <c r="AR447" i="16"/>
  <c r="AO447" i="16"/>
  <c r="AL447" i="16"/>
  <c r="AI447" i="16"/>
  <c r="AF447" i="16"/>
  <c r="AC447" i="16"/>
  <c r="Z447" i="16"/>
  <c r="W447" i="16"/>
  <c r="T447" i="16"/>
  <c r="Q447" i="16"/>
  <c r="N447" i="16"/>
  <c r="AR446" i="16"/>
  <c r="AO446" i="16"/>
  <c r="AL446" i="16"/>
  <c r="AI446" i="16"/>
  <c r="AF446" i="16"/>
  <c r="AC446" i="16"/>
  <c r="Z446" i="16"/>
  <c r="W446" i="16"/>
  <c r="T446" i="16"/>
  <c r="Q446" i="16"/>
  <c r="N446" i="16"/>
  <c r="AR445" i="16"/>
  <c r="AO445" i="16"/>
  <c r="AL445" i="16"/>
  <c r="AI445" i="16"/>
  <c r="AF445" i="16"/>
  <c r="AC445" i="16"/>
  <c r="Z445" i="16"/>
  <c r="W445" i="16"/>
  <c r="T445" i="16"/>
  <c r="Q445" i="16"/>
  <c r="N445" i="16"/>
  <c r="AR444" i="16"/>
  <c r="AO444" i="16"/>
  <c r="AL444" i="16"/>
  <c r="AI444" i="16"/>
  <c r="AF444" i="16"/>
  <c r="AC444" i="16"/>
  <c r="Z444" i="16"/>
  <c r="W444" i="16"/>
  <c r="T444" i="16"/>
  <c r="Q444" i="16"/>
  <c r="N444" i="16"/>
  <c r="AR443" i="16"/>
  <c r="AO443" i="16"/>
  <c r="AL443" i="16"/>
  <c r="AI443" i="16"/>
  <c r="AF443" i="16"/>
  <c r="AC443" i="16"/>
  <c r="Z443" i="16"/>
  <c r="W443" i="16"/>
  <c r="T443" i="16"/>
  <c r="Q443" i="16"/>
  <c r="N443" i="16"/>
  <c r="AR442" i="16"/>
  <c r="AO442" i="16"/>
  <c r="AL442" i="16"/>
  <c r="AI442" i="16"/>
  <c r="AF442" i="16"/>
  <c r="AC442" i="16"/>
  <c r="Z442" i="16"/>
  <c r="W442" i="16"/>
  <c r="T442" i="16"/>
  <c r="Q442" i="16"/>
  <c r="N442" i="16"/>
  <c r="AR441" i="16"/>
  <c r="AO441" i="16"/>
  <c r="AL441" i="16"/>
  <c r="AI441" i="16"/>
  <c r="AF441" i="16"/>
  <c r="AC441" i="16"/>
  <c r="Z441" i="16"/>
  <c r="W441" i="16"/>
  <c r="T441" i="16"/>
  <c r="Q441" i="16"/>
  <c r="N441" i="16"/>
  <c r="AR440" i="16"/>
  <c r="AO440" i="16"/>
  <c r="AL440" i="16"/>
  <c r="AI440" i="16"/>
  <c r="AF440" i="16"/>
  <c r="AC440" i="16"/>
  <c r="Z440" i="16"/>
  <c r="W440" i="16"/>
  <c r="T440" i="16"/>
  <c r="Q440" i="16"/>
  <c r="N440" i="16"/>
  <c r="AR439" i="16"/>
  <c r="AO439" i="16"/>
  <c r="AL439" i="16"/>
  <c r="AI439" i="16"/>
  <c r="AF439" i="16"/>
  <c r="AC439" i="16"/>
  <c r="Z439" i="16"/>
  <c r="W439" i="16"/>
  <c r="T439" i="16"/>
  <c r="Q439" i="16"/>
  <c r="N439" i="16"/>
  <c r="AR438" i="16"/>
  <c r="AO438" i="16"/>
  <c r="AL438" i="16"/>
  <c r="AI438" i="16"/>
  <c r="AF438" i="16"/>
  <c r="AC438" i="16"/>
  <c r="Z438" i="16"/>
  <c r="W438" i="16"/>
  <c r="T438" i="16"/>
  <c r="Q438" i="16"/>
  <c r="N438" i="16"/>
  <c r="AR437" i="16"/>
  <c r="AO437" i="16"/>
  <c r="AL437" i="16"/>
  <c r="AI437" i="16"/>
  <c r="AF437" i="16"/>
  <c r="AC437" i="16"/>
  <c r="Z437" i="16"/>
  <c r="W437" i="16"/>
  <c r="T437" i="16"/>
  <c r="Q437" i="16"/>
  <c r="N437" i="16"/>
  <c r="AR436" i="16"/>
  <c r="AO436" i="16"/>
  <c r="AL436" i="16"/>
  <c r="AI436" i="16"/>
  <c r="AF436" i="16"/>
  <c r="AC436" i="16"/>
  <c r="Z436" i="16"/>
  <c r="W436" i="16"/>
  <c r="T436" i="16"/>
  <c r="Q436" i="16"/>
  <c r="N436" i="16"/>
  <c r="AR435" i="16"/>
  <c r="AO435" i="16"/>
  <c r="AL435" i="16"/>
  <c r="AI435" i="16"/>
  <c r="AF435" i="16"/>
  <c r="AC435" i="16"/>
  <c r="Z435" i="16"/>
  <c r="W435" i="16"/>
  <c r="T435" i="16"/>
  <c r="Q435" i="16"/>
  <c r="N435" i="16"/>
  <c r="AR434" i="16"/>
  <c r="AO434" i="16"/>
  <c r="AL434" i="16"/>
  <c r="AI434" i="16"/>
  <c r="AF434" i="16"/>
  <c r="AC434" i="16"/>
  <c r="Z434" i="16"/>
  <c r="W434" i="16"/>
  <c r="T434" i="16"/>
  <c r="Q434" i="16"/>
  <c r="N434" i="16"/>
  <c r="AR433" i="16"/>
  <c r="AO433" i="16"/>
  <c r="AL433" i="16"/>
  <c r="AI433" i="16"/>
  <c r="AF433" i="16"/>
  <c r="AC433" i="16"/>
  <c r="Z433" i="16"/>
  <c r="W433" i="16"/>
  <c r="T433" i="16"/>
  <c r="Q433" i="16"/>
  <c r="N433" i="16"/>
  <c r="AR432" i="16"/>
  <c r="AO432" i="16"/>
  <c r="AL432" i="16"/>
  <c r="AI432" i="16"/>
  <c r="AF432" i="16"/>
  <c r="AC432" i="16"/>
  <c r="Z432" i="16"/>
  <c r="W432" i="16"/>
  <c r="T432" i="16"/>
  <c r="Q432" i="16"/>
  <c r="N432" i="16"/>
  <c r="AR431" i="16"/>
  <c r="AO431" i="16"/>
  <c r="AL431" i="16"/>
  <c r="AI431" i="16"/>
  <c r="AF431" i="16"/>
  <c r="AC431" i="16"/>
  <c r="Z431" i="16"/>
  <c r="W431" i="16"/>
  <c r="T431" i="16"/>
  <c r="Q431" i="16"/>
  <c r="N431" i="16"/>
  <c r="AR430" i="16"/>
  <c r="AO430" i="16"/>
  <c r="AL430" i="16"/>
  <c r="AI430" i="16"/>
  <c r="AF430" i="16"/>
  <c r="AC430" i="16"/>
  <c r="Z430" i="16"/>
  <c r="W430" i="16"/>
  <c r="T430" i="16"/>
  <c r="Q430" i="16"/>
  <c r="N430" i="16"/>
  <c r="AR429" i="16"/>
  <c r="AO429" i="16"/>
  <c r="AL429" i="16"/>
  <c r="AI429" i="16"/>
  <c r="AF429" i="16"/>
  <c r="AC429" i="16"/>
  <c r="Z429" i="16"/>
  <c r="W429" i="16"/>
  <c r="T429" i="16"/>
  <c r="Q429" i="16"/>
  <c r="N429" i="16"/>
  <c r="AR428" i="16"/>
  <c r="AO428" i="16"/>
  <c r="AL428" i="16"/>
  <c r="AI428" i="16"/>
  <c r="AF428" i="16"/>
  <c r="AC428" i="16"/>
  <c r="Z428" i="16"/>
  <c r="W428" i="16"/>
  <c r="T428" i="16"/>
  <c r="Q428" i="16"/>
  <c r="N428" i="16"/>
  <c r="AR427" i="16"/>
  <c r="AO427" i="16"/>
  <c r="AL427" i="16"/>
  <c r="AI427" i="16"/>
  <c r="AF427" i="16"/>
  <c r="AC427" i="16"/>
  <c r="Z427" i="16"/>
  <c r="W427" i="16"/>
  <c r="T427" i="16"/>
  <c r="Q427" i="16"/>
  <c r="N427" i="16"/>
  <c r="AR426" i="16"/>
  <c r="AO426" i="16"/>
  <c r="AL426" i="16"/>
  <c r="AI426" i="16"/>
  <c r="AF426" i="16"/>
  <c r="AC426" i="16"/>
  <c r="Z426" i="16"/>
  <c r="W426" i="16"/>
  <c r="T426" i="16"/>
  <c r="Q426" i="16"/>
  <c r="N426" i="16"/>
  <c r="AR425" i="16"/>
  <c r="AO425" i="16"/>
  <c r="AL425" i="16"/>
  <c r="AI425" i="16"/>
  <c r="AF425" i="16"/>
  <c r="AC425" i="16"/>
  <c r="Z425" i="16"/>
  <c r="W425" i="16"/>
  <c r="T425" i="16"/>
  <c r="Q425" i="16"/>
  <c r="N425" i="16"/>
  <c r="AR424" i="16"/>
  <c r="AO424" i="16"/>
  <c r="AL424" i="16"/>
  <c r="AI424" i="16"/>
  <c r="AF424" i="16"/>
  <c r="AC424" i="16"/>
  <c r="Z424" i="16"/>
  <c r="W424" i="16"/>
  <c r="T424" i="16"/>
  <c r="Q424" i="16"/>
  <c r="N424" i="16"/>
  <c r="AR423" i="16"/>
  <c r="AO423" i="16"/>
  <c r="AL423" i="16"/>
  <c r="AI423" i="16"/>
  <c r="AF423" i="16"/>
  <c r="AC423" i="16"/>
  <c r="Z423" i="16"/>
  <c r="W423" i="16"/>
  <c r="T423" i="16"/>
  <c r="Q423" i="16"/>
  <c r="N423" i="16"/>
  <c r="AR422" i="16"/>
  <c r="AO422" i="16"/>
  <c r="AL422" i="16"/>
  <c r="AI422" i="16"/>
  <c r="AF422" i="16"/>
  <c r="AC422" i="16"/>
  <c r="Z422" i="16"/>
  <c r="W422" i="16"/>
  <c r="T422" i="16"/>
  <c r="Q422" i="16"/>
  <c r="N422" i="16"/>
  <c r="AR421" i="16"/>
  <c r="AO421" i="16"/>
  <c r="AL421" i="16"/>
  <c r="AI421" i="16"/>
  <c r="AF421" i="16"/>
  <c r="AC421" i="16"/>
  <c r="Z421" i="16"/>
  <c r="W421" i="16"/>
  <c r="T421" i="16"/>
  <c r="Q421" i="16"/>
  <c r="N421" i="16"/>
  <c r="AR420" i="16"/>
  <c r="AO420" i="16"/>
  <c r="AL420" i="16"/>
  <c r="AI420" i="16"/>
  <c r="AF420" i="16"/>
  <c r="AC420" i="16"/>
  <c r="Z420" i="16"/>
  <c r="W420" i="16"/>
  <c r="T420" i="16"/>
  <c r="Q420" i="16"/>
  <c r="N420" i="16"/>
  <c r="AR419" i="16"/>
  <c r="AO419" i="16"/>
  <c r="AL419" i="16"/>
  <c r="AI419" i="16"/>
  <c r="AF419" i="16"/>
  <c r="AC419" i="16"/>
  <c r="Z419" i="16"/>
  <c r="W419" i="16"/>
  <c r="T419" i="16"/>
  <c r="Q419" i="16"/>
  <c r="N419" i="16"/>
  <c r="AR418" i="16"/>
  <c r="AO418" i="16"/>
  <c r="AL418" i="16"/>
  <c r="AI418" i="16"/>
  <c r="AF418" i="16"/>
  <c r="AC418" i="16"/>
  <c r="Z418" i="16"/>
  <c r="W418" i="16"/>
  <c r="T418" i="16"/>
  <c r="Q418" i="16"/>
  <c r="N418" i="16"/>
  <c r="AR417" i="16"/>
  <c r="AO417" i="16"/>
  <c r="AL417" i="16"/>
  <c r="AI417" i="16"/>
  <c r="AF417" i="16"/>
  <c r="AC417" i="16"/>
  <c r="Z417" i="16"/>
  <c r="W417" i="16"/>
  <c r="T417" i="16"/>
  <c r="Q417" i="16"/>
  <c r="N417" i="16"/>
  <c r="AR416" i="16"/>
  <c r="AO416" i="16"/>
  <c r="AL416" i="16"/>
  <c r="AI416" i="16"/>
  <c r="AF416" i="16"/>
  <c r="AC416" i="16"/>
  <c r="Z416" i="16"/>
  <c r="W416" i="16"/>
  <c r="T416" i="16"/>
  <c r="Q416" i="16"/>
  <c r="N416" i="16"/>
  <c r="AR415" i="16"/>
  <c r="AO415" i="16"/>
  <c r="AL415" i="16"/>
  <c r="AI415" i="16"/>
  <c r="AF415" i="16"/>
  <c r="AC415" i="16"/>
  <c r="Z415" i="16"/>
  <c r="W415" i="16"/>
  <c r="T415" i="16"/>
  <c r="Q415" i="16"/>
  <c r="N415" i="16"/>
  <c r="AR414" i="16"/>
  <c r="AO414" i="16"/>
  <c r="AL414" i="16"/>
  <c r="AI414" i="16"/>
  <c r="AF414" i="16"/>
  <c r="AC414" i="16"/>
  <c r="Z414" i="16"/>
  <c r="W414" i="16"/>
  <c r="T414" i="16"/>
  <c r="Q414" i="16"/>
  <c r="N414" i="16"/>
  <c r="AR413" i="16"/>
  <c r="AO413" i="16"/>
  <c r="AL413" i="16"/>
  <c r="AI413" i="16"/>
  <c r="AF413" i="16"/>
  <c r="AC413" i="16"/>
  <c r="Z413" i="16"/>
  <c r="W413" i="16"/>
  <c r="T413" i="16"/>
  <c r="Q413" i="16"/>
  <c r="N413" i="16"/>
  <c r="AR412" i="16"/>
  <c r="AO412" i="16"/>
  <c r="AL412" i="16"/>
  <c r="AI412" i="16"/>
  <c r="AF412" i="16"/>
  <c r="AC412" i="16"/>
  <c r="Z412" i="16"/>
  <c r="W412" i="16"/>
  <c r="T412" i="16"/>
  <c r="Q412" i="16"/>
  <c r="N412" i="16"/>
  <c r="AR411" i="16"/>
  <c r="AO411" i="16"/>
  <c r="AL411" i="16"/>
  <c r="AI411" i="16"/>
  <c r="AF411" i="16"/>
  <c r="AC411" i="16"/>
  <c r="Z411" i="16"/>
  <c r="W411" i="16"/>
  <c r="T411" i="16"/>
  <c r="Q411" i="16"/>
  <c r="N411" i="16"/>
  <c r="AR410" i="16"/>
  <c r="AO410" i="16"/>
  <c r="AL410" i="16"/>
  <c r="AI410" i="16"/>
  <c r="AF410" i="16"/>
  <c r="AC410" i="16"/>
  <c r="Z410" i="16"/>
  <c r="W410" i="16"/>
  <c r="T410" i="16"/>
  <c r="Q410" i="16"/>
  <c r="N410" i="16"/>
  <c r="AR409" i="16"/>
  <c r="AO409" i="16"/>
  <c r="AL409" i="16"/>
  <c r="AI409" i="16"/>
  <c r="AF409" i="16"/>
  <c r="AC409" i="16"/>
  <c r="Z409" i="16"/>
  <c r="W409" i="16"/>
  <c r="T409" i="16"/>
  <c r="Q409" i="16"/>
  <c r="N409" i="16"/>
  <c r="AR408" i="16"/>
  <c r="AO408" i="16"/>
  <c r="AL408" i="16"/>
  <c r="AI408" i="16"/>
  <c r="AF408" i="16"/>
  <c r="AC408" i="16"/>
  <c r="Z408" i="16"/>
  <c r="W408" i="16"/>
  <c r="T408" i="16"/>
  <c r="Q408" i="16"/>
  <c r="N408" i="16"/>
  <c r="AR407" i="16"/>
  <c r="AO407" i="16"/>
  <c r="AL407" i="16"/>
  <c r="AI407" i="16"/>
  <c r="AF407" i="16"/>
  <c r="AC407" i="16"/>
  <c r="Z407" i="16"/>
  <c r="W407" i="16"/>
  <c r="T407" i="16"/>
  <c r="Q407" i="16"/>
  <c r="N407" i="16"/>
  <c r="AR406" i="16"/>
  <c r="AO406" i="16"/>
  <c r="AL406" i="16"/>
  <c r="AI406" i="16"/>
  <c r="AF406" i="16"/>
  <c r="AC406" i="16"/>
  <c r="Z406" i="16"/>
  <c r="W406" i="16"/>
  <c r="T406" i="16"/>
  <c r="Q406" i="16"/>
  <c r="N406" i="16"/>
  <c r="AR405" i="16"/>
  <c r="AO405" i="16"/>
  <c r="AL405" i="16"/>
  <c r="AI405" i="16"/>
  <c r="AF405" i="16"/>
  <c r="AC405" i="16"/>
  <c r="Z405" i="16"/>
  <c r="W405" i="16"/>
  <c r="T405" i="16"/>
  <c r="Q405" i="16"/>
  <c r="N405" i="16"/>
  <c r="AR404" i="16"/>
  <c r="AO404" i="16"/>
  <c r="AL404" i="16"/>
  <c r="AI404" i="16"/>
  <c r="AF404" i="16"/>
  <c r="AC404" i="16"/>
  <c r="Z404" i="16"/>
  <c r="W404" i="16"/>
  <c r="T404" i="16"/>
  <c r="Q404" i="16"/>
  <c r="N404" i="16"/>
  <c r="AR403" i="16"/>
  <c r="AO403" i="16"/>
  <c r="AL403" i="16"/>
  <c r="AI403" i="16"/>
  <c r="AF403" i="16"/>
  <c r="AC403" i="16"/>
  <c r="Z403" i="16"/>
  <c r="W403" i="16"/>
  <c r="T403" i="16"/>
  <c r="Q403" i="16"/>
  <c r="N403" i="16"/>
  <c r="AR402" i="16"/>
  <c r="AO402" i="16"/>
  <c r="AL402" i="16"/>
  <c r="AI402" i="16"/>
  <c r="AF402" i="16"/>
  <c r="AC402" i="16"/>
  <c r="Z402" i="16"/>
  <c r="W402" i="16"/>
  <c r="T402" i="16"/>
  <c r="Q402" i="16"/>
  <c r="N402" i="16"/>
  <c r="AR401" i="16"/>
  <c r="AO401" i="16"/>
  <c r="AL401" i="16"/>
  <c r="AI401" i="16"/>
  <c r="AF401" i="16"/>
  <c r="AC401" i="16"/>
  <c r="Z401" i="16"/>
  <c r="W401" i="16"/>
  <c r="T401" i="16"/>
  <c r="Q401" i="16"/>
  <c r="N401" i="16"/>
  <c r="AR400" i="16"/>
  <c r="AO400" i="16"/>
  <c r="AL400" i="16"/>
  <c r="AI400" i="16"/>
  <c r="AF400" i="16"/>
  <c r="AC400" i="16"/>
  <c r="Z400" i="16"/>
  <c r="W400" i="16"/>
  <c r="T400" i="16"/>
  <c r="Q400" i="16"/>
  <c r="N400" i="16"/>
  <c r="AR399" i="16"/>
  <c r="AO399" i="16"/>
  <c r="AL399" i="16"/>
  <c r="AI399" i="16"/>
  <c r="AF399" i="16"/>
  <c r="AC399" i="16"/>
  <c r="Z399" i="16"/>
  <c r="W399" i="16"/>
  <c r="T399" i="16"/>
  <c r="Q399" i="16"/>
  <c r="N399" i="16"/>
  <c r="AR398" i="16"/>
  <c r="AO398" i="16"/>
  <c r="AL398" i="16"/>
  <c r="AI398" i="16"/>
  <c r="AF398" i="16"/>
  <c r="AC398" i="16"/>
  <c r="Z398" i="16"/>
  <c r="W398" i="16"/>
  <c r="T398" i="16"/>
  <c r="Q398" i="16"/>
  <c r="N398" i="16"/>
  <c r="AR397" i="16"/>
  <c r="AO397" i="16"/>
  <c r="AL397" i="16"/>
  <c r="AI397" i="16"/>
  <c r="AF397" i="16"/>
  <c r="AC397" i="16"/>
  <c r="Z397" i="16"/>
  <c r="W397" i="16"/>
  <c r="T397" i="16"/>
  <c r="Q397" i="16"/>
  <c r="N397" i="16"/>
  <c r="AR396" i="16"/>
  <c r="AO396" i="16"/>
  <c r="AL396" i="16"/>
  <c r="AI396" i="16"/>
  <c r="AF396" i="16"/>
  <c r="AC396" i="16"/>
  <c r="Z396" i="16"/>
  <c r="W396" i="16"/>
  <c r="T396" i="16"/>
  <c r="Q396" i="16"/>
  <c r="N396" i="16"/>
  <c r="AR395" i="16"/>
  <c r="AO395" i="16"/>
  <c r="AL395" i="16"/>
  <c r="AI395" i="16"/>
  <c r="AF395" i="16"/>
  <c r="AC395" i="16"/>
  <c r="Z395" i="16"/>
  <c r="W395" i="16"/>
  <c r="T395" i="16"/>
  <c r="Q395" i="16"/>
  <c r="N395" i="16"/>
  <c r="AR394" i="16"/>
  <c r="AO394" i="16"/>
  <c r="AL394" i="16"/>
  <c r="AI394" i="16"/>
  <c r="AF394" i="16"/>
  <c r="AC394" i="16"/>
  <c r="Z394" i="16"/>
  <c r="W394" i="16"/>
  <c r="T394" i="16"/>
  <c r="Q394" i="16"/>
  <c r="N394" i="16"/>
  <c r="AR393" i="16"/>
  <c r="AO393" i="16"/>
  <c r="AL393" i="16"/>
  <c r="AI393" i="16"/>
  <c r="AF393" i="16"/>
  <c r="AC393" i="16"/>
  <c r="Z393" i="16"/>
  <c r="W393" i="16"/>
  <c r="T393" i="16"/>
  <c r="Q393" i="16"/>
  <c r="N393" i="16"/>
  <c r="AR392" i="16"/>
  <c r="AO392" i="16"/>
  <c r="AL392" i="16"/>
  <c r="AI392" i="16"/>
  <c r="AF392" i="16"/>
  <c r="AC392" i="16"/>
  <c r="Z392" i="16"/>
  <c r="W392" i="16"/>
  <c r="T392" i="16"/>
  <c r="Q392" i="16"/>
  <c r="N392" i="16"/>
  <c r="AR391" i="16"/>
  <c r="AO391" i="16"/>
  <c r="AL391" i="16"/>
  <c r="AI391" i="16"/>
  <c r="AF391" i="16"/>
  <c r="AC391" i="16"/>
  <c r="Z391" i="16"/>
  <c r="W391" i="16"/>
  <c r="T391" i="16"/>
  <c r="Q391" i="16"/>
  <c r="N391" i="16"/>
  <c r="AR390" i="16"/>
  <c r="AO390" i="16"/>
  <c r="AL390" i="16"/>
  <c r="AI390" i="16"/>
  <c r="AF390" i="16"/>
  <c r="AC390" i="16"/>
  <c r="Z390" i="16"/>
  <c r="W390" i="16"/>
  <c r="T390" i="16"/>
  <c r="Q390" i="16"/>
  <c r="N390" i="16"/>
  <c r="AR389" i="16"/>
  <c r="AO389" i="16"/>
  <c r="AL389" i="16"/>
  <c r="AI389" i="16"/>
  <c r="AF389" i="16"/>
  <c r="AC389" i="16"/>
  <c r="Z389" i="16"/>
  <c r="W389" i="16"/>
  <c r="T389" i="16"/>
  <c r="Q389" i="16"/>
  <c r="N389" i="16"/>
  <c r="AR388" i="16"/>
  <c r="AO388" i="16"/>
  <c r="AL388" i="16"/>
  <c r="AI388" i="16"/>
  <c r="AF388" i="16"/>
  <c r="AC388" i="16"/>
  <c r="Z388" i="16"/>
  <c r="W388" i="16"/>
  <c r="T388" i="16"/>
  <c r="Q388" i="16"/>
  <c r="N388" i="16"/>
  <c r="AR387" i="16"/>
  <c r="AO387" i="16"/>
  <c r="AL387" i="16"/>
  <c r="AI387" i="16"/>
  <c r="AF387" i="16"/>
  <c r="AC387" i="16"/>
  <c r="Z387" i="16"/>
  <c r="W387" i="16"/>
  <c r="T387" i="16"/>
  <c r="Q387" i="16"/>
  <c r="N387" i="16"/>
  <c r="AR386" i="16"/>
  <c r="AO386" i="16"/>
  <c r="AL386" i="16"/>
  <c r="AI386" i="16"/>
  <c r="AF386" i="16"/>
  <c r="AC386" i="16"/>
  <c r="Z386" i="16"/>
  <c r="W386" i="16"/>
  <c r="T386" i="16"/>
  <c r="Q386" i="16"/>
  <c r="N386" i="16"/>
  <c r="AR385" i="16"/>
  <c r="AO385" i="16"/>
  <c r="AL385" i="16"/>
  <c r="AI385" i="16"/>
  <c r="AF385" i="16"/>
  <c r="AC385" i="16"/>
  <c r="Z385" i="16"/>
  <c r="W385" i="16"/>
  <c r="T385" i="16"/>
  <c r="Q385" i="16"/>
  <c r="N385" i="16"/>
  <c r="AR384" i="16"/>
  <c r="AO384" i="16"/>
  <c r="AL384" i="16"/>
  <c r="AI384" i="16"/>
  <c r="AF384" i="16"/>
  <c r="AC384" i="16"/>
  <c r="Z384" i="16"/>
  <c r="W384" i="16"/>
  <c r="T384" i="16"/>
  <c r="Q384" i="16"/>
  <c r="N384" i="16"/>
  <c r="AR383" i="16"/>
  <c r="AO383" i="16"/>
  <c r="AL383" i="16"/>
  <c r="AI383" i="16"/>
  <c r="AF383" i="16"/>
  <c r="AC383" i="16"/>
  <c r="Z383" i="16"/>
  <c r="W383" i="16"/>
  <c r="T383" i="16"/>
  <c r="Q383" i="16"/>
  <c r="N383" i="16"/>
  <c r="AR382" i="16"/>
  <c r="AO382" i="16"/>
  <c r="AL382" i="16"/>
  <c r="AI382" i="16"/>
  <c r="AF382" i="16"/>
  <c r="AC382" i="16"/>
  <c r="Z382" i="16"/>
  <c r="W382" i="16"/>
  <c r="T382" i="16"/>
  <c r="Q382" i="16"/>
  <c r="N382" i="16"/>
  <c r="AR381" i="16"/>
  <c r="AO381" i="16"/>
  <c r="AL381" i="16"/>
  <c r="AI381" i="16"/>
  <c r="AF381" i="16"/>
  <c r="AC381" i="16"/>
  <c r="Z381" i="16"/>
  <c r="W381" i="16"/>
  <c r="T381" i="16"/>
  <c r="Q381" i="16"/>
  <c r="N381" i="16"/>
  <c r="AR380" i="16"/>
  <c r="AO380" i="16"/>
  <c r="AL380" i="16"/>
  <c r="AI380" i="16"/>
  <c r="AF380" i="16"/>
  <c r="AC380" i="16"/>
  <c r="Z380" i="16"/>
  <c r="W380" i="16"/>
  <c r="T380" i="16"/>
  <c r="Q380" i="16"/>
  <c r="N380" i="16"/>
  <c r="AR379" i="16"/>
  <c r="AO379" i="16"/>
  <c r="AL379" i="16"/>
  <c r="AI379" i="16"/>
  <c r="AF379" i="16"/>
  <c r="AC379" i="16"/>
  <c r="Z379" i="16"/>
  <c r="W379" i="16"/>
  <c r="T379" i="16"/>
  <c r="Q379" i="16"/>
  <c r="N379" i="16"/>
  <c r="AR378" i="16"/>
  <c r="AO378" i="16"/>
  <c r="AL378" i="16"/>
  <c r="AI378" i="16"/>
  <c r="AF378" i="16"/>
  <c r="AC378" i="16"/>
  <c r="Z378" i="16"/>
  <c r="W378" i="16"/>
  <c r="T378" i="16"/>
  <c r="Q378" i="16"/>
  <c r="N378" i="16"/>
  <c r="AR377" i="16"/>
  <c r="AO377" i="16"/>
  <c r="AL377" i="16"/>
  <c r="AI377" i="16"/>
  <c r="AF377" i="16"/>
  <c r="AC377" i="16"/>
  <c r="Z377" i="16"/>
  <c r="W377" i="16"/>
  <c r="T377" i="16"/>
  <c r="Q377" i="16"/>
  <c r="N377" i="16"/>
  <c r="AR376" i="16"/>
  <c r="AO376" i="16"/>
  <c r="AL376" i="16"/>
  <c r="AI376" i="16"/>
  <c r="AF376" i="16"/>
  <c r="AC376" i="16"/>
  <c r="Z376" i="16"/>
  <c r="W376" i="16"/>
  <c r="T376" i="16"/>
  <c r="Q376" i="16"/>
  <c r="N376" i="16"/>
  <c r="AR375" i="16"/>
  <c r="AO375" i="16"/>
  <c r="AL375" i="16"/>
  <c r="AI375" i="16"/>
  <c r="AF375" i="16"/>
  <c r="AC375" i="16"/>
  <c r="Z375" i="16"/>
  <c r="W375" i="16"/>
  <c r="T375" i="16"/>
  <c r="Q375" i="16"/>
  <c r="N375" i="16"/>
  <c r="AR374" i="16"/>
  <c r="AO374" i="16"/>
  <c r="AL374" i="16"/>
  <c r="AI374" i="16"/>
  <c r="AF374" i="16"/>
  <c r="AC374" i="16"/>
  <c r="Z374" i="16"/>
  <c r="W374" i="16"/>
  <c r="T374" i="16"/>
  <c r="Q374" i="16"/>
  <c r="N374" i="16"/>
  <c r="AR373" i="16"/>
  <c r="AO373" i="16"/>
  <c r="AL373" i="16"/>
  <c r="AI373" i="16"/>
  <c r="AF373" i="16"/>
  <c r="AC373" i="16"/>
  <c r="Z373" i="16"/>
  <c r="W373" i="16"/>
  <c r="T373" i="16"/>
  <c r="Q373" i="16"/>
  <c r="N373" i="16"/>
  <c r="AR372" i="16"/>
  <c r="AO372" i="16"/>
  <c r="AL372" i="16"/>
  <c r="AI372" i="16"/>
  <c r="AF372" i="16"/>
  <c r="AC372" i="16"/>
  <c r="Z372" i="16"/>
  <c r="W372" i="16"/>
  <c r="T372" i="16"/>
  <c r="Q372" i="16"/>
  <c r="N372" i="16"/>
  <c r="AR371" i="16"/>
  <c r="AO371" i="16"/>
  <c r="AL371" i="16"/>
  <c r="AI371" i="16"/>
  <c r="AF371" i="16"/>
  <c r="AC371" i="16"/>
  <c r="Z371" i="16"/>
  <c r="W371" i="16"/>
  <c r="T371" i="16"/>
  <c r="Q371" i="16"/>
  <c r="N371" i="16"/>
  <c r="AR370" i="16"/>
  <c r="AO370" i="16"/>
  <c r="AL370" i="16"/>
  <c r="AI370" i="16"/>
  <c r="AF370" i="16"/>
  <c r="AC370" i="16"/>
  <c r="Z370" i="16"/>
  <c r="W370" i="16"/>
  <c r="T370" i="16"/>
  <c r="Q370" i="16"/>
  <c r="N370" i="16"/>
  <c r="AR369" i="16"/>
  <c r="AO369" i="16"/>
  <c r="AL369" i="16"/>
  <c r="AI369" i="16"/>
  <c r="AF369" i="16"/>
  <c r="AC369" i="16"/>
  <c r="Z369" i="16"/>
  <c r="W369" i="16"/>
  <c r="T369" i="16"/>
  <c r="Q369" i="16"/>
  <c r="N369" i="16"/>
  <c r="AR368" i="16"/>
  <c r="AO368" i="16"/>
  <c r="AL368" i="16"/>
  <c r="AI368" i="16"/>
  <c r="AF368" i="16"/>
  <c r="AC368" i="16"/>
  <c r="Z368" i="16"/>
  <c r="W368" i="16"/>
  <c r="T368" i="16"/>
  <c r="Q368" i="16"/>
  <c r="N368" i="16"/>
  <c r="AR367" i="16"/>
  <c r="AO367" i="16"/>
  <c r="AL367" i="16"/>
  <c r="AI367" i="16"/>
  <c r="AF367" i="16"/>
  <c r="AC367" i="16"/>
  <c r="Z367" i="16"/>
  <c r="W367" i="16"/>
  <c r="T367" i="16"/>
  <c r="Q367" i="16"/>
  <c r="N367" i="16"/>
  <c r="AR366" i="16"/>
  <c r="AO366" i="16"/>
  <c r="AL366" i="16"/>
  <c r="AI366" i="16"/>
  <c r="AF366" i="16"/>
  <c r="AC366" i="16"/>
  <c r="Z366" i="16"/>
  <c r="W366" i="16"/>
  <c r="T366" i="16"/>
  <c r="Q366" i="16"/>
  <c r="N366" i="16"/>
  <c r="AR365" i="16"/>
  <c r="AO365" i="16"/>
  <c r="AL365" i="16"/>
  <c r="AI365" i="16"/>
  <c r="AF365" i="16"/>
  <c r="AC365" i="16"/>
  <c r="Z365" i="16"/>
  <c r="W365" i="16"/>
  <c r="T365" i="16"/>
  <c r="Q365" i="16"/>
  <c r="N365" i="16"/>
  <c r="AR364" i="16"/>
  <c r="AO364" i="16"/>
  <c r="AL364" i="16"/>
  <c r="AI364" i="16"/>
  <c r="AF364" i="16"/>
  <c r="AC364" i="16"/>
  <c r="Z364" i="16"/>
  <c r="W364" i="16"/>
  <c r="T364" i="16"/>
  <c r="Q364" i="16"/>
  <c r="N364" i="16"/>
  <c r="AR363" i="16"/>
  <c r="AO363" i="16"/>
  <c r="AL363" i="16"/>
  <c r="AI363" i="16"/>
  <c r="AF363" i="16"/>
  <c r="AC363" i="16"/>
  <c r="Z363" i="16"/>
  <c r="W363" i="16"/>
  <c r="T363" i="16"/>
  <c r="Q363" i="16"/>
  <c r="N363" i="16"/>
  <c r="AR362" i="16"/>
  <c r="AO362" i="16"/>
  <c r="AL362" i="16"/>
  <c r="AI362" i="16"/>
  <c r="AF362" i="16"/>
  <c r="AC362" i="16"/>
  <c r="Z362" i="16"/>
  <c r="W362" i="16"/>
  <c r="T362" i="16"/>
  <c r="Q362" i="16"/>
  <c r="N362" i="16"/>
  <c r="AR361" i="16"/>
  <c r="AO361" i="16"/>
  <c r="AL361" i="16"/>
  <c r="AI361" i="16"/>
  <c r="AF361" i="16"/>
  <c r="AC361" i="16"/>
  <c r="Z361" i="16"/>
  <c r="W361" i="16"/>
  <c r="T361" i="16"/>
  <c r="Q361" i="16"/>
  <c r="N361" i="16"/>
  <c r="AR360" i="16"/>
  <c r="AO360" i="16"/>
  <c r="AL360" i="16"/>
  <c r="AI360" i="16"/>
  <c r="AF360" i="16"/>
  <c r="AC360" i="16"/>
  <c r="Z360" i="16"/>
  <c r="W360" i="16"/>
  <c r="T360" i="16"/>
  <c r="Q360" i="16"/>
  <c r="N360" i="16"/>
  <c r="AR359" i="16"/>
  <c r="AO359" i="16"/>
  <c r="AL359" i="16"/>
  <c r="AI359" i="16"/>
  <c r="AF359" i="16"/>
  <c r="AC359" i="16"/>
  <c r="Z359" i="16"/>
  <c r="W359" i="16"/>
  <c r="T359" i="16"/>
  <c r="Q359" i="16"/>
  <c r="N359" i="16"/>
  <c r="AR358" i="16"/>
  <c r="AO358" i="16"/>
  <c r="AL358" i="16"/>
  <c r="AI358" i="16"/>
  <c r="AF358" i="16"/>
  <c r="AC358" i="16"/>
  <c r="Z358" i="16"/>
  <c r="W358" i="16"/>
  <c r="T358" i="16"/>
  <c r="Q358" i="16"/>
  <c r="N358" i="16"/>
  <c r="AR357" i="16"/>
  <c r="AO357" i="16"/>
  <c r="AL357" i="16"/>
  <c r="AI357" i="16"/>
  <c r="AF357" i="16"/>
  <c r="AC357" i="16"/>
  <c r="Z357" i="16"/>
  <c r="W357" i="16"/>
  <c r="T357" i="16"/>
  <c r="Q357" i="16"/>
  <c r="N357" i="16"/>
  <c r="AR356" i="16"/>
  <c r="AO356" i="16"/>
  <c r="AL356" i="16"/>
  <c r="AI356" i="16"/>
  <c r="AF356" i="16"/>
  <c r="AC356" i="16"/>
  <c r="Z356" i="16"/>
  <c r="W356" i="16"/>
  <c r="T356" i="16"/>
  <c r="Q356" i="16"/>
  <c r="N356" i="16"/>
  <c r="AR355" i="16"/>
  <c r="AO355" i="16"/>
  <c r="AL355" i="16"/>
  <c r="AI355" i="16"/>
  <c r="AF355" i="16"/>
  <c r="AC355" i="16"/>
  <c r="Z355" i="16"/>
  <c r="W355" i="16"/>
  <c r="T355" i="16"/>
  <c r="Q355" i="16"/>
  <c r="N355" i="16"/>
  <c r="AR354" i="16"/>
  <c r="AO354" i="16"/>
  <c r="AL354" i="16"/>
  <c r="AI354" i="16"/>
  <c r="AF354" i="16"/>
  <c r="AC354" i="16"/>
  <c r="Z354" i="16"/>
  <c r="W354" i="16"/>
  <c r="T354" i="16"/>
  <c r="Q354" i="16"/>
  <c r="N354" i="16"/>
  <c r="AQ351" i="16"/>
  <c r="AN351" i="16"/>
  <c r="AK351" i="16"/>
  <c r="AH351" i="16"/>
  <c r="AE351" i="16"/>
  <c r="AB351" i="16"/>
  <c r="Y351" i="16"/>
  <c r="V351" i="16"/>
  <c r="S351" i="16"/>
  <c r="P351" i="16"/>
  <c r="M351" i="16"/>
  <c r="AQ350" i="16"/>
  <c r="AN350" i="16"/>
  <c r="AK350" i="16"/>
  <c r="AH350" i="16"/>
  <c r="AE350" i="16"/>
  <c r="AB350" i="16"/>
  <c r="Y350" i="16"/>
  <c r="V350" i="16"/>
  <c r="S350" i="16"/>
  <c r="P350" i="16"/>
  <c r="M350" i="16"/>
  <c r="AQ349" i="16"/>
  <c r="AN349" i="16"/>
  <c r="AK349" i="16"/>
  <c r="AH349" i="16"/>
  <c r="AE349" i="16"/>
  <c r="AB349" i="16"/>
  <c r="Y349" i="16"/>
  <c r="V349" i="16"/>
  <c r="S349" i="16"/>
  <c r="P349" i="16"/>
  <c r="M349" i="16"/>
  <c r="AQ348" i="16"/>
  <c r="AN348" i="16"/>
  <c r="AK348" i="16"/>
  <c r="AH348" i="16"/>
  <c r="AE348" i="16"/>
  <c r="AB348" i="16"/>
  <c r="Y348" i="16"/>
  <c r="V348" i="16"/>
  <c r="S348" i="16"/>
  <c r="P348" i="16"/>
  <c r="M348" i="16"/>
  <c r="AQ347" i="16"/>
  <c r="AN347" i="16"/>
  <c r="AK347" i="16"/>
  <c r="AH347" i="16"/>
  <c r="AE347" i="16"/>
  <c r="AB347" i="16"/>
  <c r="Y347" i="16"/>
  <c r="V347" i="16"/>
  <c r="S347" i="16"/>
  <c r="P347" i="16"/>
  <c r="M347" i="16"/>
  <c r="AQ346" i="16"/>
  <c r="AN346" i="16"/>
  <c r="AK346" i="16"/>
  <c r="AH346" i="16"/>
  <c r="AE346" i="16"/>
  <c r="AB346" i="16"/>
  <c r="Y346" i="16"/>
  <c r="V346" i="16"/>
  <c r="S346" i="16"/>
  <c r="P346" i="16"/>
  <c r="M346" i="16"/>
  <c r="AQ345" i="16"/>
  <c r="AN345" i="16"/>
  <c r="AK345" i="16"/>
  <c r="AH345" i="16"/>
  <c r="AE345" i="16"/>
  <c r="AB345" i="16"/>
  <c r="Y345" i="16"/>
  <c r="V345" i="16"/>
  <c r="S345" i="16"/>
  <c r="P345" i="16"/>
  <c r="M345" i="16"/>
  <c r="AQ344" i="16"/>
  <c r="AN344" i="16"/>
  <c r="AK344" i="16"/>
  <c r="AH344" i="16"/>
  <c r="AE344" i="16"/>
  <c r="AB344" i="16"/>
  <c r="Y344" i="16"/>
  <c r="V344" i="16"/>
  <c r="S344" i="16"/>
  <c r="P344" i="16"/>
  <c r="M344" i="16"/>
  <c r="AQ343" i="16"/>
  <c r="AN343" i="16"/>
  <c r="AK343" i="16"/>
  <c r="AH343" i="16"/>
  <c r="AE343" i="16"/>
  <c r="AB343" i="16"/>
  <c r="Y343" i="16"/>
  <c r="V343" i="16"/>
  <c r="S343" i="16"/>
  <c r="P343" i="16"/>
  <c r="M343" i="16"/>
  <c r="AQ342" i="16"/>
  <c r="AN342" i="16"/>
  <c r="AK342" i="16"/>
  <c r="AH342" i="16"/>
  <c r="AE342" i="16"/>
  <c r="AB342" i="16"/>
  <c r="Y342" i="16"/>
  <c r="V342" i="16"/>
  <c r="S342" i="16"/>
  <c r="P342" i="16"/>
  <c r="M342" i="16"/>
  <c r="AQ341" i="16"/>
  <c r="AN341" i="16"/>
  <c r="AK341" i="16"/>
  <c r="AH341" i="16"/>
  <c r="AE341" i="16"/>
  <c r="AB341" i="16"/>
  <c r="Y341" i="16"/>
  <c r="V341" i="16"/>
  <c r="S341" i="16"/>
  <c r="P341" i="16"/>
  <c r="M341" i="16"/>
  <c r="AQ340" i="16"/>
  <c r="AN340" i="16"/>
  <c r="AK340" i="16"/>
  <c r="AH340" i="16"/>
  <c r="AE340" i="16"/>
  <c r="AB340" i="16"/>
  <c r="Y340" i="16"/>
  <c r="V340" i="16"/>
  <c r="S340" i="16"/>
  <c r="P340" i="16"/>
  <c r="M340" i="16"/>
  <c r="AQ339" i="16"/>
  <c r="AN339" i="16"/>
  <c r="AK339" i="16"/>
  <c r="AH339" i="16"/>
  <c r="AE339" i="16"/>
  <c r="AB339" i="16"/>
  <c r="Y339" i="16"/>
  <c r="V339" i="16"/>
  <c r="S339" i="16"/>
  <c r="P339" i="16"/>
  <c r="M339" i="16"/>
  <c r="AQ338" i="16"/>
  <c r="AN338" i="16"/>
  <c r="AK338" i="16"/>
  <c r="AH338" i="16"/>
  <c r="AE338" i="16"/>
  <c r="AB338" i="16"/>
  <c r="Y338" i="16"/>
  <c r="V338" i="16"/>
  <c r="S338" i="16"/>
  <c r="P338" i="16"/>
  <c r="M338" i="16"/>
  <c r="AQ337" i="16"/>
  <c r="AN337" i="16"/>
  <c r="AK337" i="16"/>
  <c r="AH337" i="16"/>
  <c r="AE337" i="16"/>
  <c r="AB337" i="16"/>
  <c r="Y337" i="16"/>
  <c r="V337" i="16"/>
  <c r="S337" i="16"/>
  <c r="P337" i="16"/>
  <c r="M337" i="16"/>
  <c r="AQ336" i="16"/>
  <c r="AN336" i="16"/>
  <c r="AK336" i="16"/>
  <c r="AH336" i="16"/>
  <c r="AE336" i="16"/>
  <c r="AB336" i="16"/>
  <c r="Y336" i="16"/>
  <c r="V336" i="16"/>
  <c r="S336" i="16"/>
  <c r="P336" i="16"/>
  <c r="M336" i="16"/>
  <c r="AQ335" i="16"/>
  <c r="AN335" i="16"/>
  <c r="AK335" i="16"/>
  <c r="AH335" i="16"/>
  <c r="AE335" i="16"/>
  <c r="AB335" i="16"/>
  <c r="Y335" i="16"/>
  <c r="V335" i="16"/>
  <c r="S335" i="16"/>
  <c r="P335" i="16"/>
  <c r="M335" i="16"/>
  <c r="AQ334" i="16"/>
  <c r="AN334" i="16"/>
  <c r="AK334" i="16"/>
  <c r="AH334" i="16"/>
  <c r="AE334" i="16"/>
  <c r="AB334" i="16"/>
  <c r="Y334" i="16"/>
  <c r="V334" i="16"/>
  <c r="S334" i="16"/>
  <c r="P334" i="16"/>
  <c r="M334" i="16"/>
  <c r="AQ333" i="16"/>
  <c r="AN333" i="16"/>
  <c r="AK333" i="16"/>
  <c r="AH333" i="16"/>
  <c r="AE333" i="16"/>
  <c r="AB333" i="16"/>
  <c r="Y333" i="16"/>
  <c r="V333" i="16"/>
  <c r="S333" i="16"/>
  <c r="P333" i="16"/>
  <c r="M333" i="16"/>
  <c r="AQ332" i="16"/>
  <c r="AN332" i="16"/>
  <c r="AK332" i="16"/>
  <c r="AH332" i="16"/>
  <c r="AE332" i="16"/>
  <c r="AB332" i="16"/>
  <c r="Y332" i="16"/>
  <c r="V332" i="16"/>
  <c r="S332" i="16"/>
  <c r="P332" i="16"/>
  <c r="M332" i="16"/>
  <c r="AQ331" i="16"/>
  <c r="AN331" i="16"/>
  <c r="AK331" i="16"/>
  <c r="AH331" i="16"/>
  <c r="AE331" i="16"/>
  <c r="AB331" i="16"/>
  <c r="Y331" i="16"/>
  <c r="V331" i="16"/>
  <c r="S331" i="16"/>
  <c r="P331" i="16"/>
  <c r="M331" i="16"/>
  <c r="AQ330" i="16"/>
  <c r="AN330" i="16"/>
  <c r="AK330" i="16"/>
  <c r="AH330" i="16"/>
  <c r="AE330" i="16"/>
  <c r="AB330" i="16"/>
  <c r="Y330" i="16"/>
  <c r="V330" i="16"/>
  <c r="S330" i="16"/>
  <c r="P330" i="16"/>
  <c r="M330" i="16"/>
  <c r="AQ329" i="16"/>
  <c r="AN329" i="16"/>
  <c r="AK329" i="16"/>
  <c r="AH329" i="16"/>
  <c r="AE329" i="16"/>
  <c r="AB329" i="16"/>
  <c r="Y329" i="16"/>
  <c r="V329" i="16"/>
  <c r="S329" i="16"/>
  <c r="P329" i="16"/>
  <c r="M329" i="16"/>
  <c r="AQ328" i="16"/>
  <c r="AN328" i="16"/>
  <c r="AK328" i="16"/>
  <c r="AH328" i="16"/>
  <c r="AE328" i="16"/>
  <c r="AB328" i="16"/>
  <c r="Y328" i="16"/>
  <c r="V328" i="16"/>
  <c r="S328" i="16"/>
  <c r="P328" i="16"/>
  <c r="M328" i="16"/>
  <c r="AQ327" i="16"/>
  <c r="AN327" i="16"/>
  <c r="AK327" i="16"/>
  <c r="AH327" i="16"/>
  <c r="AE327" i="16"/>
  <c r="AB327" i="16"/>
  <c r="Y327" i="16"/>
  <c r="V327" i="16"/>
  <c r="S327" i="16"/>
  <c r="P327" i="16"/>
  <c r="M327" i="16"/>
  <c r="AQ326" i="16"/>
  <c r="AN326" i="16"/>
  <c r="AK326" i="16"/>
  <c r="AH326" i="16"/>
  <c r="AE326" i="16"/>
  <c r="AB326" i="16"/>
  <c r="Y326" i="16"/>
  <c r="V326" i="16"/>
  <c r="S326" i="16"/>
  <c r="P326" i="16"/>
  <c r="M326" i="16"/>
  <c r="AQ325" i="16"/>
  <c r="AN325" i="16"/>
  <c r="AK325" i="16"/>
  <c r="AH325" i="16"/>
  <c r="AE325" i="16"/>
  <c r="AB325" i="16"/>
  <c r="Y325" i="16"/>
  <c r="V325" i="16"/>
  <c r="S325" i="16"/>
  <c r="P325" i="16"/>
  <c r="M325" i="16"/>
  <c r="AQ324" i="16"/>
  <c r="AN324" i="16"/>
  <c r="AK324" i="16"/>
  <c r="AH324" i="16"/>
  <c r="AE324" i="16"/>
  <c r="AB324" i="16"/>
  <c r="Y324" i="16"/>
  <c r="V324" i="16"/>
  <c r="S324" i="16"/>
  <c r="P324" i="16"/>
  <c r="M324" i="16"/>
  <c r="AQ323" i="16"/>
  <c r="AN323" i="16"/>
  <c r="AK323" i="16"/>
  <c r="AH323" i="16"/>
  <c r="AE323" i="16"/>
  <c r="AB323" i="16"/>
  <c r="Y323" i="16"/>
  <c r="V323" i="16"/>
  <c r="S323" i="16"/>
  <c r="P323" i="16"/>
  <c r="M323" i="16"/>
  <c r="AQ322" i="16"/>
  <c r="AN322" i="16"/>
  <c r="AK322" i="16"/>
  <c r="AH322" i="16"/>
  <c r="AE322" i="16"/>
  <c r="AB322" i="16"/>
  <c r="Y322" i="16"/>
  <c r="V322" i="16"/>
  <c r="S322" i="16"/>
  <c r="P322" i="16"/>
  <c r="M322" i="16"/>
  <c r="AQ321" i="16"/>
  <c r="AN321" i="16"/>
  <c r="AK321" i="16"/>
  <c r="AH321" i="16"/>
  <c r="AE321" i="16"/>
  <c r="AB321" i="16"/>
  <c r="Y321" i="16"/>
  <c r="V321" i="16"/>
  <c r="S321" i="16"/>
  <c r="P321" i="16"/>
  <c r="M321" i="16"/>
  <c r="AQ320" i="16"/>
  <c r="AN320" i="16"/>
  <c r="AK320" i="16"/>
  <c r="AH320" i="16"/>
  <c r="AE320" i="16"/>
  <c r="AB320" i="16"/>
  <c r="Y320" i="16"/>
  <c r="V320" i="16"/>
  <c r="S320" i="16"/>
  <c r="P320" i="16"/>
  <c r="M320" i="16"/>
  <c r="AQ319" i="16"/>
  <c r="AN319" i="16"/>
  <c r="AK319" i="16"/>
  <c r="AH319" i="16"/>
  <c r="AE319" i="16"/>
  <c r="AB319" i="16"/>
  <c r="Y319" i="16"/>
  <c r="V319" i="16"/>
  <c r="S319" i="16"/>
  <c r="P319" i="16"/>
  <c r="M319" i="16"/>
  <c r="AQ318" i="16"/>
  <c r="AN318" i="16"/>
  <c r="AK318" i="16"/>
  <c r="AH318" i="16"/>
  <c r="AE318" i="16"/>
  <c r="AB318" i="16"/>
  <c r="Y318" i="16"/>
  <c r="V318" i="16"/>
  <c r="S318" i="16"/>
  <c r="P318" i="16"/>
  <c r="M318" i="16"/>
  <c r="AQ317" i="16"/>
  <c r="AN317" i="16"/>
  <c r="AK317" i="16"/>
  <c r="AH317" i="16"/>
  <c r="AE317" i="16"/>
  <c r="AB317" i="16"/>
  <c r="Y317" i="16"/>
  <c r="V317" i="16"/>
  <c r="S317" i="16"/>
  <c r="P317" i="16"/>
  <c r="M317" i="16"/>
  <c r="AQ316" i="16"/>
  <c r="AN316" i="16"/>
  <c r="AK316" i="16"/>
  <c r="AH316" i="16"/>
  <c r="AE316" i="16"/>
  <c r="AB316" i="16"/>
  <c r="Y316" i="16"/>
  <c r="V316" i="16"/>
  <c r="S316" i="16"/>
  <c r="P316" i="16"/>
  <c r="M316" i="16"/>
  <c r="AQ315" i="16"/>
  <c r="AN315" i="16"/>
  <c r="AK315" i="16"/>
  <c r="AH315" i="16"/>
  <c r="AE315" i="16"/>
  <c r="AB315" i="16"/>
  <c r="Y315" i="16"/>
  <c r="V315" i="16"/>
  <c r="S315" i="16"/>
  <c r="P315" i="16"/>
  <c r="M315" i="16"/>
  <c r="AQ314" i="16"/>
  <c r="AN314" i="16"/>
  <c r="AK314" i="16"/>
  <c r="AH314" i="16"/>
  <c r="AE314" i="16"/>
  <c r="AB314" i="16"/>
  <c r="Y314" i="16"/>
  <c r="V314" i="16"/>
  <c r="S314" i="16"/>
  <c r="P314" i="16"/>
  <c r="M314" i="16"/>
  <c r="AR311" i="16"/>
  <c r="AO311" i="16"/>
  <c r="AL311" i="16"/>
  <c r="AI311" i="16"/>
  <c r="AC311" i="16"/>
  <c r="W311" i="16"/>
  <c r="Q311" i="16"/>
  <c r="AR310" i="16"/>
  <c r="AO310" i="16"/>
  <c r="AL310" i="16"/>
  <c r="AI310" i="16"/>
  <c r="AF310" i="16"/>
  <c r="AC310" i="16"/>
  <c r="Z310" i="16"/>
  <c r="W310" i="16"/>
  <c r="T310" i="16"/>
  <c r="Q310" i="16"/>
  <c r="N310" i="16"/>
  <c r="AR309" i="16"/>
  <c r="AO309" i="16"/>
  <c r="AL309" i="16"/>
  <c r="AI309" i="16"/>
  <c r="AF309" i="16"/>
  <c r="AC309" i="16"/>
  <c r="Z309" i="16"/>
  <c r="W309" i="16"/>
  <c r="T309" i="16"/>
  <c r="Q309" i="16"/>
  <c r="N309" i="16"/>
  <c r="AR308" i="16"/>
  <c r="AO308" i="16"/>
  <c r="AL308" i="16"/>
  <c r="AI308" i="16"/>
  <c r="AF308" i="16"/>
  <c r="AC308" i="16"/>
  <c r="Z308" i="16"/>
  <c r="W308" i="16"/>
  <c r="T308" i="16"/>
  <c r="Q308" i="16"/>
  <c r="N308" i="16"/>
  <c r="AR307" i="16"/>
  <c r="AO307" i="16"/>
  <c r="AL307" i="16"/>
  <c r="AI307" i="16"/>
  <c r="AF307" i="16"/>
  <c r="AC307" i="16"/>
  <c r="Z307" i="16"/>
  <c r="W307" i="16"/>
  <c r="T307" i="16"/>
  <c r="Q307" i="16"/>
  <c r="N307" i="16"/>
  <c r="AR306" i="16"/>
  <c r="AO306" i="16"/>
  <c r="AL306" i="16"/>
  <c r="AI306" i="16"/>
  <c r="AF306" i="16"/>
  <c r="AC306" i="16"/>
  <c r="Z306" i="16"/>
  <c r="W306" i="16"/>
  <c r="T306" i="16"/>
  <c r="Q306" i="16"/>
  <c r="N306" i="16"/>
  <c r="AR305" i="16"/>
  <c r="AO305" i="16"/>
  <c r="AL305" i="16"/>
  <c r="AI305" i="16"/>
  <c r="AF305" i="16"/>
  <c r="AC305" i="16"/>
  <c r="Z305" i="16"/>
  <c r="W305" i="16"/>
  <c r="T305" i="16"/>
  <c r="Q305" i="16"/>
  <c r="N305" i="16"/>
  <c r="AR304" i="16"/>
  <c r="AO304" i="16"/>
  <c r="AL304" i="16"/>
  <c r="AI304" i="16"/>
  <c r="AF304" i="16"/>
  <c r="AC304" i="16"/>
  <c r="Z304" i="16"/>
  <c r="W304" i="16"/>
  <c r="T304" i="16"/>
  <c r="Q304" i="16"/>
  <c r="N304" i="16"/>
  <c r="AR303" i="16"/>
  <c r="AO303" i="16"/>
  <c r="AL303" i="16"/>
  <c r="AI303" i="16"/>
  <c r="AF303" i="16"/>
  <c r="AC303" i="16"/>
  <c r="Z303" i="16"/>
  <c r="W303" i="16"/>
  <c r="T303" i="16"/>
  <c r="Q303" i="16"/>
  <c r="N303" i="16"/>
  <c r="AR302" i="16"/>
  <c r="AO302" i="16"/>
  <c r="AL302" i="16"/>
  <c r="AI302" i="16"/>
  <c r="AF302" i="16"/>
  <c r="AC302" i="16"/>
  <c r="Z302" i="16"/>
  <c r="W302" i="16"/>
  <c r="T302" i="16"/>
  <c r="Q302" i="16"/>
  <c r="N302" i="16"/>
  <c r="AR301" i="16"/>
  <c r="AO301" i="16"/>
  <c r="AL301" i="16"/>
  <c r="AI301" i="16"/>
  <c r="AF301" i="16"/>
  <c r="AC301" i="16"/>
  <c r="Z301" i="16"/>
  <c r="W301" i="16"/>
  <c r="T301" i="16"/>
  <c r="Q301" i="16"/>
  <c r="N301" i="16"/>
  <c r="AR300" i="16"/>
  <c r="AO300" i="16"/>
  <c r="AL300" i="16"/>
  <c r="AI300" i="16"/>
  <c r="AF300" i="16"/>
  <c r="AC300" i="16"/>
  <c r="Z300" i="16"/>
  <c r="W300" i="16"/>
  <c r="T300" i="16"/>
  <c r="Q300" i="16"/>
  <c r="N300" i="16"/>
  <c r="AR299" i="16"/>
  <c r="AO299" i="16"/>
  <c r="AL299" i="16"/>
  <c r="AI299" i="16"/>
  <c r="AF299" i="16"/>
  <c r="AC299" i="16"/>
  <c r="Z299" i="16"/>
  <c r="W299" i="16"/>
  <c r="T299" i="16"/>
  <c r="Q299" i="16"/>
  <c r="N299" i="16"/>
  <c r="AR298" i="16"/>
  <c r="AO298" i="16"/>
  <c r="AL298" i="16"/>
  <c r="AI298" i="16"/>
  <c r="AF298" i="16"/>
  <c r="AC298" i="16"/>
  <c r="Z298" i="16"/>
  <c r="W298" i="16"/>
  <c r="T298" i="16"/>
  <c r="Q298" i="16"/>
  <c r="N298" i="16"/>
  <c r="AR297" i="16"/>
  <c r="AO297" i="16"/>
  <c r="AL297" i="16"/>
  <c r="AI297" i="16"/>
  <c r="AF297" i="16"/>
  <c r="AC297" i="16"/>
  <c r="Z297" i="16"/>
  <c r="W297" i="16"/>
  <c r="T297" i="16"/>
  <c r="Q297" i="16"/>
  <c r="N297" i="16"/>
  <c r="AR296" i="16"/>
  <c r="AO296" i="16"/>
  <c r="AL296" i="16"/>
  <c r="AI296" i="16"/>
  <c r="AF296" i="16"/>
  <c r="AC296" i="16"/>
  <c r="Z296" i="16"/>
  <c r="W296" i="16"/>
  <c r="T296" i="16"/>
  <c r="Q296" i="16"/>
  <c r="N296" i="16"/>
  <c r="AR295" i="16"/>
  <c r="AO295" i="16"/>
  <c r="AL295" i="16"/>
  <c r="AI295" i="16"/>
  <c r="AF295" i="16"/>
  <c r="AC295" i="16"/>
  <c r="Z295" i="16"/>
  <c r="W295" i="16"/>
  <c r="T295" i="16"/>
  <c r="Q295" i="16"/>
  <c r="N295" i="16"/>
  <c r="AR294" i="16"/>
  <c r="AO294" i="16"/>
  <c r="AL294" i="16"/>
  <c r="AI294" i="16"/>
  <c r="AF294" i="16"/>
  <c r="AC294" i="16"/>
  <c r="Z294" i="16"/>
  <c r="W294" i="16"/>
  <c r="T294" i="16"/>
  <c r="Q294" i="16"/>
  <c r="N294" i="16"/>
  <c r="AR293" i="16"/>
  <c r="AO293" i="16"/>
  <c r="AL293" i="16"/>
  <c r="AI293" i="16"/>
  <c r="AF293" i="16"/>
  <c r="AC293" i="16"/>
  <c r="Z293" i="16"/>
  <c r="W293" i="16"/>
  <c r="T293" i="16"/>
  <c r="Q293" i="16"/>
  <c r="N293" i="16"/>
  <c r="AR292" i="16"/>
  <c r="AO292" i="16"/>
  <c r="AL292" i="16"/>
  <c r="AI292" i="16"/>
  <c r="AF292" i="16"/>
  <c r="AC292" i="16"/>
  <c r="Z292" i="16"/>
  <c r="W292" i="16"/>
  <c r="T292" i="16"/>
  <c r="Q292" i="16"/>
  <c r="N292" i="16"/>
  <c r="AR291" i="16"/>
  <c r="AO291" i="16"/>
  <c r="AL291" i="16"/>
  <c r="AI291" i="16"/>
  <c r="AF291" i="16"/>
  <c r="AC291" i="16"/>
  <c r="Z291" i="16"/>
  <c r="W291" i="16"/>
  <c r="T291" i="16"/>
  <c r="Q291" i="16"/>
  <c r="N291" i="16"/>
  <c r="AR290" i="16"/>
  <c r="AO290" i="16"/>
  <c r="AL290" i="16"/>
  <c r="AI290" i="16"/>
  <c r="AF290" i="16"/>
  <c r="AC290" i="16"/>
  <c r="Z290" i="16"/>
  <c r="W290" i="16"/>
  <c r="T290" i="16"/>
  <c r="Q290" i="16"/>
  <c r="N290" i="16"/>
  <c r="AR289" i="16"/>
  <c r="AO289" i="16"/>
  <c r="AL289" i="16"/>
  <c r="AI289" i="16"/>
  <c r="AF289" i="16"/>
  <c r="AC289" i="16"/>
  <c r="Z289" i="16"/>
  <c r="W289" i="16"/>
  <c r="T289" i="16"/>
  <c r="Q289" i="16"/>
  <c r="N289" i="16"/>
  <c r="AR288" i="16"/>
  <c r="AO288" i="16"/>
  <c r="AL288" i="16"/>
  <c r="AI288" i="16"/>
  <c r="AF288" i="16"/>
  <c r="AC288" i="16"/>
  <c r="Z288" i="16"/>
  <c r="W288" i="16"/>
  <c r="T288" i="16"/>
  <c r="Q288" i="16"/>
  <c r="N288" i="16"/>
  <c r="AR287" i="16"/>
  <c r="AO287" i="16"/>
  <c r="AL287" i="16"/>
  <c r="AI287" i="16"/>
  <c r="AF287" i="16"/>
  <c r="AC287" i="16"/>
  <c r="Z287" i="16"/>
  <c r="W287" i="16"/>
  <c r="T287" i="16"/>
  <c r="Q287" i="16"/>
  <c r="N287" i="16"/>
  <c r="AR286" i="16"/>
  <c r="AO286" i="16"/>
  <c r="AL286" i="16"/>
  <c r="AI286" i="16"/>
  <c r="AF286" i="16"/>
  <c r="AC286" i="16"/>
  <c r="Z286" i="16"/>
  <c r="W286" i="16"/>
  <c r="T286" i="16"/>
  <c r="Q286" i="16"/>
  <c r="N286" i="16"/>
  <c r="AR285" i="16"/>
  <c r="AO285" i="16"/>
  <c r="AL285" i="16"/>
  <c r="AI285" i="16"/>
  <c r="AF285" i="16"/>
  <c r="AC285" i="16"/>
  <c r="Z285" i="16"/>
  <c r="W285" i="16"/>
  <c r="T285" i="16"/>
  <c r="Q285" i="16"/>
  <c r="N285" i="16"/>
  <c r="AR284" i="16"/>
  <c r="AO284" i="16"/>
  <c r="AL284" i="16"/>
  <c r="AI284" i="16"/>
  <c r="AF284" i="16"/>
  <c r="AC284" i="16"/>
  <c r="Z284" i="16"/>
  <c r="W284" i="16"/>
  <c r="T284" i="16"/>
  <c r="Q284" i="16"/>
  <c r="N284" i="16"/>
  <c r="AR283" i="16"/>
  <c r="AO283" i="16"/>
  <c r="AL283" i="16"/>
  <c r="AI283" i="16"/>
  <c r="AF283" i="16"/>
  <c r="AC283" i="16"/>
  <c r="Z283" i="16"/>
  <c r="W283" i="16"/>
  <c r="T283" i="16"/>
  <c r="Q283" i="16"/>
  <c r="N283" i="16"/>
  <c r="AR282" i="16"/>
  <c r="AO282" i="16"/>
  <c r="AL282" i="16"/>
  <c r="AI282" i="16"/>
  <c r="AF282" i="16"/>
  <c r="AC282" i="16"/>
  <c r="Z282" i="16"/>
  <c r="W282" i="16"/>
  <c r="T282" i="16"/>
  <c r="Q282" i="16"/>
  <c r="N282" i="16"/>
  <c r="AR281" i="16"/>
  <c r="AO281" i="16"/>
  <c r="AL281" i="16"/>
  <c r="AI281" i="16"/>
  <c r="AF281" i="16"/>
  <c r="AC281" i="16"/>
  <c r="Z281" i="16"/>
  <c r="W281" i="16"/>
  <c r="T281" i="16"/>
  <c r="Q281" i="16"/>
  <c r="N281" i="16"/>
  <c r="AR280" i="16"/>
  <c r="AO280" i="16"/>
  <c r="AL280" i="16"/>
  <c r="AI280" i="16"/>
  <c r="AF280" i="16"/>
  <c r="AC280" i="16"/>
  <c r="Z280" i="16"/>
  <c r="W280" i="16"/>
  <c r="T280" i="16"/>
  <c r="Q280" i="16"/>
  <c r="N280" i="16"/>
  <c r="AR279" i="16"/>
  <c r="AO279" i="16"/>
  <c r="AL279" i="16"/>
  <c r="AI279" i="16"/>
  <c r="AF279" i="16"/>
  <c r="AC279" i="16"/>
  <c r="Z279" i="16"/>
  <c r="W279" i="16"/>
  <c r="T279" i="16"/>
  <c r="Q279" i="16"/>
  <c r="N279" i="16"/>
  <c r="AR278" i="16"/>
  <c r="AO278" i="16"/>
  <c r="AL278" i="16"/>
  <c r="AI278" i="16"/>
  <c r="AF278" i="16"/>
  <c r="AC278" i="16"/>
  <c r="Z278" i="16"/>
  <c r="W278" i="16"/>
  <c r="T278" i="16"/>
  <c r="Q278" i="16"/>
  <c r="N278" i="16"/>
  <c r="AR277" i="16"/>
  <c r="AO277" i="16"/>
  <c r="AL277" i="16"/>
  <c r="AI277" i="16"/>
  <c r="AF277" i="16"/>
  <c r="AC277" i="16"/>
  <c r="Z277" i="16"/>
  <c r="W277" i="16"/>
  <c r="T277" i="16"/>
  <c r="Q277" i="16"/>
  <c r="N277" i="16"/>
  <c r="AR276" i="16"/>
  <c r="AO276" i="16"/>
  <c r="AL276" i="16"/>
  <c r="AI276" i="16"/>
  <c r="AF276" i="16"/>
  <c r="AC276" i="16"/>
  <c r="Z276" i="16"/>
  <c r="W276" i="16"/>
  <c r="T276" i="16"/>
  <c r="Q276" i="16"/>
  <c r="N276" i="16"/>
  <c r="AR275" i="16"/>
  <c r="AO275" i="16"/>
  <c r="AL275" i="16"/>
  <c r="AI275" i="16"/>
  <c r="AF275" i="16"/>
  <c r="AC275" i="16"/>
  <c r="Z275" i="16"/>
  <c r="W275" i="16"/>
  <c r="T275" i="16"/>
  <c r="Q275" i="16"/>
  <c r="N275" i="16"/>
  <c r="AR274" i="16"/>
  <c r="AO274" i="16"/>
  <c r="AL274" i="16"/>
  <c r="AI274" i="16"/>
  <c r="AF274" i="16"/>
  <c r="AC274" i="16"/>
  <c r="Z274" i="16"/>
  <c r="W274" i="16"/>
  <c r="T274" i="16"/>
  <c r="Q274" i="16"/>
  <c r="N274" i="16"/>
  <c r="AR273" i="16"/>
  <c r="AO273" i="16"/>
  <c r="AL273" i="16"/>
  <c r="AI273" i="16"/>
  <c r="AF273" i="16"/>
  <c r="AC273" i="16"/>
  <c r="Z273" i="16"/>
  <c r="W273" i="16"/>
  <c r="T273" i="16"/>
  <c r="Q273" i="16"/>
  <c r="N273" i="16"/>
  <c r="AR272" i="16"/>
  <c r="AO272" i="16"/>
  <c r="AL272" i="16"/>
  <c r="AI272" i="16"/>
  <c r="AF272" i="16"/>
  <c r="AC272" i="16"/>
  <c r="Z272" i="16"/>
  <c r="W272" i="16"/>
  <c r="T272" i="16"/>
  <c r="Q272" i="16"/>
  <c r="N272" i="16"/>
  <c r="AR271" i="16"/>
  <c r="AO271" i="16"/>
  <c r="AL271" i="16"/>
  <c r="AI271" i="16"/>
  <c r="AF271" i="16"/>
  <c r="AC271" i="16"/>
  <c r="Z271" i="16"/>
  <c r="W271" i="16"/>
  <c r="T271" i="16"/>
  <c r="Q271" i="16"/>
  <c r="N271" i="16"/>
  <c r="AR270" i="16"/>
  <c r="AO270" i="16"/>
  <c r="AL270" i="16"/>
  <c r="AI270" i="16"/>
  <c r="AF270" i="16"/>
  <c r="AC270" i="16"/>
  <c r="Z270" i="16"/>
  <c r="W270" i="16"/>
  <c r="T270" i="16"/>
  <c r="Q270" i="16"/>
  <c r="N270" i="16"/>
  <c r="AR269" i="16"/>
  <c r="AO269" i="16"/>
  <c r="AL269" i="16"/>
  <c r="AI269" i="16"/>
  <c r="AF269" i="16"/>
  <c r="AC269" i="16"/>
  <c r="Z269" i="16"/>
  <c r="W269" i="16"/>
  <c r="T269" i="16"/>
  <c r="Q269" i="16"/>
  <c r="N269" i="16"/>
  <c r="AR268" i="16"/>
  <c r="AO268" i="16"/>
  <c r="AL268" i="16"/>
  <c r="AI268" i="16"/>
  <c r="AF268" i="16"/>
  <c r="AC268" i="16"/>
  <c r="Z268" i="16"/>
  <c r="W268" i="16"/>
  <c r="T268" i="16"/>
  <c r="Q268" i="16"/>
  <c r="N268" i="16"/>
  <c r="AR267" i="16"/>
  <c r="AO267" i="16"/>
  <c r="AL267" i="16"/>
  <c r="AI267" i="16"/>
  <c r="AF267" i="16"/>
  <c r="AC267" i="16"/>
  <c r="Z267" i="16"/>
  <c r="W267" i="16"/>
  <c r="T267" i="16"/>
  <c r="Q267" i="16"/>
  <c r="N267" i="16"/>
  <c r="AR266" i="16"/>
  <c r="AO266" i="16"/>
  <c r="AL266" i="16"/>
  <c r="AI266" i="16"/>
  <c r="AF266" i="16"/>
  <c r="AC266" i="16"/>
  <c r="Z266" i="16"/>
  <c r="W266" i="16"/>
  <c r="T266" i="16"/>
  <c r="Q266" i="16"/>
  <c r="N266" i="16"/>
  <c r="AR265" i="16"/>
  <c r="AO265" i="16"/>
  <c r="AL265" i="16"/>
  <c r="AI265" i="16"/>
  <c r="AF265" i="16"/>
  <c r="AC265" i="16"/>
  <c r="Z265" i="16"/>
  <c r="W265" i="16"/>
  <c r="T265" i="16"/>
  <c r="Q265" i="16"/>
  <c r="N265" i="16"/>
  <c r="AR264" i="16"/>
  <c r="AO264" i="16"/>
  <c r="AL264" i="16"/>
  <c r="AI264" i="16"/>
  <c r="AF264" i="16"/>
  <c r="AC264" i="16"/>
  <c r="Z264" i="16"/>
  <c r="W264" i="16"/>
  <c r="T264" i="16"/>
  <c r="Q264" i="16"/>
  <c r="N264" i="16"/>
  <c r="AR263" i="16"/>
  <c r="AO263" i="16"/>
  <c r="AL263" i="16"/>
  <c r="AI263" i="16"/>
  <c r="AF263" i="16"/>
  <c r="AC263" i="16"/>
  <c r="Z263" i="16"/>
  <c r="W263" i="16"/>
  <c r="T263" i="16"/>
  <c r="Q263" i="16"/>
  <c r="N263" i="16"/>
  <c r="AR262" i="16"/>
  <c r="AO262" i="16"/>
  <c r="AL262" i="16"/>
  <c r="AI262" i="16"/>
  <c r="AF262" i="16"/>
  <c r="AC262" i="16"/>
  <c r="Z262" i="16"/>
  <c r="W262" i="16"/>
  <c r="T262" i="16"/>
  <c r="Q262" i="16"/>
  <c r="N262" i="16"/>
  <c r="AR261" i="16"/>
  <c r="AO261" i="16"/>
  <c r="AL261" i="16"/>
  <c r="AI261" i="16"/>
  <c r="AF261" i="16"/>
  <c r="AC261" i="16"/>
  <c r="Z261" i="16"/>
  <c r="W261" i="16"/>
  <c r="T261" i="16"/>
  <c r="Q261" i="16"/>
  <c r="N261" i="16"/>
  <c r="AR260" i="16"/>
  <c r="AO260" i="16"/>
  <c r="AL260" i="16"/>
  <c r="AI260" i="16"/>
  <c r="AF260" i="16"/>
  <c r="AC260" i="16"/>
  <c r="Z260" i="16"/>
  <c r="W260" i="16"/>
  <c r="T260" i="16"/>
  <c r="Q260" i="16"/>
  <c r="N260" i="16"/>
  <c r="AR259" i="16"/>
  <c r="AO259" i="16"/>
  <c r="AL259" i="16"/>
  <c r="AI259" i="16"/>
  <c r="AF259" i="16"/>
  <c r="AC259" i="16"/>
  <c r="Z259" i="16"/>
  <c r="W259" i="16"/>
  <c r="T259" i="16"/>
  <c r="Q259" i="16"/>
  <c r="N259" i="16"/>
  <c r="AR258" i="16"/>
  <c r="AO258" i="16"/>
  <c r="AL258" i="16"/>
  <c r="AI258" i="16"/>
  <c r="AF258" i="16"/>
  <c r="AC258" i="16"/>
  <c r="Z258" i="16"/>
  <c r="W258" i="16"/>
  <c r="T258" i="16"/>
  <c r="Q258" i="16"/>
  <c r="N258" i="16"/>
  <c r="AR257" i="16"/>
  <c r="AO257" i="16"/>
  <c r="AL257" i="16"/>
  <c r="AI257" i="16"/>
  <c r="AF257" i="16"/>
  <c r="AC257" i="16"/>
  <c r="Z257" i="16"/>
  <c r="W257" i="16"/>
  <c r="T257" i="16"/>
  <c r="Q257" i="16"/>
  <c r="N257" i="16"/>
  <c r="AR256" i="16"/>
  <c r="AO256" i="16"/>
  <c r="AL256" i="16"/>
  <c r="AI256" i="16"/>
  <c r="AF256" i="16"/>
  <c r="AC256" i="16"/>
  <c r="Z256" i="16"/>
  <c r="W256" i="16"/>
  <c r="T256" i="16"/>
  <c r="Q256" i="16"/>
  <c r="N256" i="16"/>
  <c r="AR255" i="16"/>
  <c r="AO255" i="16"/>
  <c r="AL255" i="16"/>
  <c r="AI255" i="16"/>
  <c r="AF255" i="16"/>
  <c r="AC255" i="16"/>
  <c r="Z255" i="16"/>
  <c r="W255" i="16"/>
  <c r="T255" i="16"/>
  <c r="Q255" i="16"/>
  <c r="N255" i="16"/>
  <c r="AR254" i="16"/>
  <c r="AO254" i="16"/>
  <c r="AL254" i="16"/>
  <c r="AI254" i="16"/>
  <c r="AF254" i="16"/>
  <c r="AC254" i="16"/>
  <c r="Z254" i="16"/>
  <c r="W254" i="16"/>
  <c r="T254" i="16"/>
  <c r="Q254" i="16"/>
  <c r="N254" i="16"/>
  <c r="AR253" i="16"/>
  <c r="AO253" i="16"/>
  <c r="AL253" i="16"/>
  <c r="AI253" i="16"/>
  <c r="AF253" i="16"/>
  <c r="AC253" i="16"/>
  <c r="Z253" i="16"/>
  <c r="W253" i="16"/>
  <c r="T253" i="16"/>
  <c r="Q253" i="16"/>
  <c r="N253" i="16"/>
  <c r="AR252" i="16"/>
  <c r="AO252" i="16"/>
  <c r="AL252" i="16"/>
  <c r="AI252" i="16"/>
  <c r="AF252" i="16"/>
  <c r="AC252" i="16"/>
  <c r="Z252" i="16"/>
  <c r="W252" i="16"/>
  <c r="T252" i="16"/>
  <c r="Q252" i="16"/>
  <c r="N252" i="16"/>
  <c r="AR251" i="16"/>
  <c r="AO251" i="16"/>
  <c r="AL251" i="16"/>
  <c r="AI251" i="16"/>
  <c r="AF251" i="16"/>
  <c r="AC251" i="16"/>
  <c r="Z251" i="16"/>
  <c r="W251" i="16"/>
  <c r="T251" i="16"/>
  <c r="Q251" i="16"/>
  <c r="N251" i="16"/>
  <c r="AR250" i="16"/>
  <c r="AO250" i="16"/>
  <c r="AL250" i="16"/>
  <c r="AI250" i="16"/>
  <c r="AF250" i="16"/>
  <c r="AC250" i="16"/>
  <c r="Z250" i="16"/>
  <c r="W250" i="16"/>
  <c r="T250" i="16"/>
  <c r="Q250" i="16"/>
  <c r="N250" i="16"/>
  <c r="AR249" i="16"/>
  <c r="AO249" i="16"/>
  <c r="AL249" i="16"/>
  <c r="AI249" i="16"/>
  <c r="AF249" i="16"/>
  <c r="AC249" i="16"/>
  <c r="Z249" i="16"/>
  <c r="W249" i="16"/>
  <c r="T249" i="16"/>
  <c r="Q249" i="16"/>
  <c r="N249" i="16"/>
  <c r="AR248" i="16"/>
  <c r="AO248" i="16"/>
  <c r="AL248" i="16"/>
  <c r="AI248" i="16"/>
  <c r="AF248" i="16"/>
  <c r="AC248" i="16"/>
  <c r="Z248" i="16"/>
  <c r="W248" i="16"/>
  <c r="T248" i="16"/>
  <c r="Q248" i="16"/>
  <c r="N248" i="16"/>
  <c r="AR247" i="16"/>
  <c r="AO247" i="16"/>
  <c r="AL247" i="16"/>
  <c r="AI247" i="16"/>
  <c r="AF247" i="16"/>
  <c r="AC247" i="16"/>
  <c r="Z247" i="16"/>
  <c r="W247" i="16"/>
  <c r="T247" i="16"/>
  <c r="Q247" i="16"/>
  <c r="N247" i="16"/>
  <c r="AR246" i="16"/>
  <c r="AO246" i="16"/>
  <c r="AL246" i="16"/>
  <c r="AI246" i="16"/>
  <c r="AF246" i="16"/>
  <c r="AC246" i="16"/>
  <c r="Z246" i="16"/>
  <c r="W246" i="16"/>
  <c r="T246" i="16"/>
  <c r="Q246" i="16"/>
  <c r="N246" i="16"/>
  <c r="AR245" i="16"/>
  <c r="AO245" i="16"/>
  <c r="AL245" i="16"/>
  <c r="AI245" i="16"/>
  <c r="AF245" i="16"/>
  <c r="AC245" i="16"/>
  <c r="Z245" i="16"/>
  <c r="W245" i="16"/>
  <c r="T245" i="16"/>
  <c r="Q245" i="16"/>
  <c r="N245" i="16"/>
  <c r="AR244" i="16"/>
  <c r="AO244" i="16"/>
  <c r="AL244" i="16"/>
  <c r="AI244" i="16"/>
  <c r="AF244" i="16"/>
  <c r="AC244" i="16"/>
  <c r="Z244" i="16"/>
  <c r="W244" i="16"/>
  <c r="T244" i="16"/>
  <c r="Q244" i="16"/>
  <c r="N244" i="16"/>
  <c r="AR243" i="16"/>
  <c r="AO243" i="16"/>
  <c r="AL243" i="16"/>
  <c r="AI243" i="16"/>
  <c r="AF243" i="16"/>
  <c r="AC243" i="16"/>
  <c r="Z243" i="16"/>
  <c r="W243" i="16"/>
  <c r="T243" i="16"/>
  <c r="Q243" i="16"/>
  <c r="N243" i="16"/>
  <c r="AR242" i="16"/>
  <c r="AO242" i="16"/>
  <c r="AL242" i="16"/>
  <c r="AI242" i="16"/>
  <c r="AF242" i="16"/>
  <c r="AC242" i="16"/>
  <c r="Z242" i="16"/>
  <c r="W242" i="16"/>
  <c r="T242" i="16"/>
  <c r="Q242" i="16"/>
  <c r="N242" i="16"/>
  <c r="AR241" i="16"/>
  <c r="AO241" i="16"/>
  <c r="AL241" i="16"/>
  <c r="AI241" i="16"/>
  <c r="AF241" i="16"/>
  <c r="AC241" i="16"/>
  <c r="Z241" i="16"/>
  <c r="W241" i="16"/>
  <c r="T241" i="16"/>
  <c r="Q241" i="16"/>
  <c r="N241" i="16"/>
  <c r="AR240" i="16"/>
  <c r="AO240" i="16"/>
  <c r="AL240" i="16"/>
  <c r="AI240" i="16"/>
  <c r="AF240" i="16"/>
  <c r="AC240" i="16"/>
  <c r="Z240" i="16"/>
  <c r="W240" i="16"/>
  <c r="T240" i="16"/>
  <c r="Q240" i="16"/>
  <c r="N240" i="16"/>
  <c r="AR239" i="16"/>
  <c r="AO239" i="16"/>
  <c r="AL239" i="16"/>
  <c r="AI239" i="16"/>
  <c r="AF239" i="16"/>
  <c r="AC239" i="16"/>
  <c r="Z239" i="16"/>
  <c r="W239" i="16"/>
  <c r="T239" i="16"/>
  <c r="Q239" i="16"/>
  <c r="N239" i="16"/>
  <c r="AR238" i="16"/>
  <c r="AO238" i="16"/>
  <c r="AL238" i="16"/>
  <c r="AI238" i="16"/>
  <c r="AF238" i="16"/>
  <c r="AC238" i="16"/>
  <c r="Z238" i="16"/>
  <c r="W238" i="16"/>
  <c r="T238" i="16"/>
  <c r="Q238" i="16"/>
  <c r="N238" i="16"/>
  <c r="AR237" i="16"/>
  <c r="AO237" i="16"/>
  <c r="AL237" i="16"/>
  <c r="AI237" i="16"/>
  <c r="AF237" i="16"/>
  <c r="AC237" i="16"/>
  <c r="Z237" i="16"/>
  <c r="W237" i="16"/>
  <c r="T237" i="16"/>
  <c r="Q237" i="16"/>
  <c r="N237" i="16"/>
  <c r="AR236" i="16"/>
  <c r="AO236" i="16"/>
  <c r="AL236" i="16"/>
  <c r="AI236" i="16"/>
  <c r="AF236" i="16"/>
  <c r="AC236" i="16"/>
  <c r="Z236" i="16"/>
  <c r="W236" i="16"/>
  <c r="T236" i="16"/>
  <c r="Q236" i="16"/>
  <c r="N236" i="16"/>
  <c r="AR235" i="16"/>
  <c r="AO235" i="16"/>
  <c r="AL235" i="16"/>
  <c r="AI235" i="16"/>
  <c r="AF235" i="16"/>
  <c r="AC235" i="16"/>
  <c r="Z235" i="16"/>
  <c r="W235" i="16"/>
  <c r="T235" i="16"/>
  <c r="Q235" i="16"/>
  <c r="N235" i="16"/>
  <c r="AR234" i="16"/>
  <c r="AO234" i="16"/>
  <c r="AL234" i="16"/>
  <c r="AI234" i="16"/>
  <c r="AF234" i="16"/>
  <c r="AC234" i="16"/>
  <c r="Z234" i="16"/>
  <c r="W234" i="16"/>
  <c r="T234" i="16"/>
  <c r="Q234" i="16"/>
  <c r="N234" i="16"/>
  <c r="AR233" i="16"/>
  <c r="AO233" i="16"/>
  <c r="AL233" i="16"/>
  <c r="AI233" i="16"/>
  <c r="AF233" i="16"/>
  <c r="AC233" i="16"/>
  <c r="Z233" i="16"/>
  <c r="W233" i="16"/>
  <c r="T233" i="16"/>
  <c r="Q233" i="16"/>
  <c r="N233" i="16"/>
  <c r="AR232" i="16"/>
  <c r="AO232" i="16"/>
  <c r="AL232" i="16"/>
  <c r="AI232" i="16"/>
  <c r="AF232" i="16"/>
  <c r="AC232" i="16"/>
  <c r="Z232" i="16"/>
  <c r="W232" i="16"/>
  <c r="T232" i="16"/>
  <c r="Q232" i="16"/>
  <c r="N232" i="16"/>
  <c r="AR231" i="16"/>
  <c r="AO231" i="16"/>
  <c r="AL231" i="16"/>
  <c r="AI231" i="16"/>
  <c r="AF231" i="16"/>
  <c r="AC231" i="16"/>
  <c r="Z231" i="16"/>
  <c r="W231" i="16"/>
  <c r="T231" i="16"/>
  <c r="Q231" i="16"/>
  <c r="N231" i="16"/>
  <c r="AR230" i="16"/>
  <c r="AO230" i="16"/>
  <c r="AL230" i="16"/>
  <c r="AI230" i="16"/>
  <c r="AF230" i="16"/>
  <c r="AC230" i="16"/>
  <c r="Z230" i="16"/>
  <c r="W230" i="16"/>
  <c r="T230" i="16"/>
  <c r="Q230" i="16"/>
  <c r="N230" i="16"/>
  <c r="AR229" i="16"/>
  <c r="AO229" i="16"/>
  <c r="AL229" i="16"/>
  <c r="AI229" i="16"/>
  <c r="AF229" i="16"/>
  <c r="AC229" i="16"/>
  <c r="Z229" i="16"/>
  <c r="W229" i="16"/>
  <c r="T229" i="16"/>
  <c r="Q229" i="16"/>
  <c r="N229" i="16"/>
  <c r="AR228" i="16"/>
  <c r="AO228" i="16"/>
  <c r="AL228" i="16"/>
  <c r="AI228" i="16"/>
  <c r="AF228" i="16"/>
  <c r="AC228" i="16"/>
  <c r="Z228" i="16"/>
  <c r="W228" i="16"/>
  <c r="T228" i="16"/>
  <c r="Q228" i="16"/>
  <c r="N228" i="16"/>
  <c r="AR227" i="16"/>
  <c r="AO227" i="16"/>
  <c r="AL227" i="16"/>
  <c r="AI227" i="16"/>
  <c r="AF227" i="16"/>
  <c r="AC227" i="16"/>
  <c r="Z227" i="16"/>
  <c r="W227" i="16"/>
  <c r="T227" i="16"/>
  <c r="Q227" i="16"/>
  <c r="N227" i="16"/>
  <c r="AR226" i="16"/>
  <c r="AO226" i="16"/>
  <c r="AL226" i="16"/>
  <c r="AI226" i="16"/>
  <c r="AF226" i="16"/>
  <c r="AC226" i="16"/>
  <c r="Z226" i="16"/>
  <c r="W226" i="16"/>
  <c r="T226" i="16"/>
  <c r="Q226" i="16"/>
  <c r="N226" i="16"/>
  <c r="AR225" i="16"/>
  <c r="AO225" i="16"/>
  <c r="AL225" i="16"/>
  <c r="AI225" i="16"/>
  <c r="AF225" i="16"/>
  <c r="AC225" i="16"/>
  <c r="Z225" i="16"/>
  <c r="W225" i="16"/>
  <c r="T225" i="16"/>
  <c r="Q225" i="16"/>
  <c r="N225" i="16"/>
  <c r="AR224" i="16"/>
  <c r="AO224" i="16"/>
  <c r="AL224" i="16"/>
  <c r="AI224" i="16"/>
  <c r="AF224" i="16"/>
  <c r="AC224" i="16"/>
  <c r="Z224" i="16"/>
  <c r="W224" i="16"/>
  <c r="T224" i="16"/>
  <c r="Q224" i="16"/>
  <c r="N224" i="16"/>
  <c r="AR223" i="16"/>
  <c r="AO223" i="16"/>
  <c r="AL223" i="16"/>
  <c r="AI223" i="16"/>
  <c r="AF223" i="16"/>
  <c r="AC223" i="16"/>
  <c r="Z223" i="16"/>
  <c r="W223" i="16"/>
  <c r="T223" i="16"/>
  <c r="Q223" i="16"/>
  <c r="N223" i="16"/>
  <c r="AR222" i="16"/>
  <c r="AO222" i="16"/>
  <c r="AL222" i="16"/>
  <c r="AI222" i="16"/>
  <c r="AF222" i="16"/>
  <c r="AC222" i="16"/>
  <c r="Z222" i="16"/>
  <c r="W222" i="16"/>
  <c r="T222" i="16"/>
  <c r="Q222" i="16"/>
  <c r="N222" i="16"/>
  <c r="AR221" i="16"/>
  <c r="AO221" i="16"/>
  <c r="AL221" i="16"/>
  <c r="AI221" i="16"/>
  <c r="AF221" i="16"/>
  <c r="AC221" i="16"/>
  <c r="Z221" i="16"/>
  <c r="W221" i="16"/>
  <c r="T221" i="16"/>
  <c r="Q221" i="16"/>
  <c r="N221" i="16"/>
  <c r="AR220" i="16"/>
  <c r="AO220" i="16"/>
  <c r="AL220" i="16"/>
  <c r="AI220" i="16"/>
  <c r="AF220" i="16"/>
  <c r="AC220" i="16"/>
  <c r="Z220" i="16"/>
  <c r="W220" i="16"/>
  <c r="T220" i="16"/>
  <c r="Q220" i="16"/>
  <c r="N220" i="16"/>
  <c r="AR219" i="16"/>
  <c r="AO219" i="16"/>
  <c r="AL219" i="16"/>
  <c r="AI219" i="16"/>
  <c r="AF219" i="16"/>
  <c r="AC219" i="16"/>
  <c r="Z219" i="16"/>
  <c r="W219" i="16"/>
  <c r="T219" i="16"/>
  <c r="Q219" i="16"/>
  <c r="N219" i="16"/>
  <c r="AR218" i="16"/>
  <c r="AO218" i="16"/>
  <c r="AL218" i="16"/>
  <c r="AI218" i="16"/>
  <c r="AF218" i="16"/>
  <c r="AC218" i="16"/>
  <c r="Z218" i="16"/>
  <c r="W218" i="16"/>
  <c r="T218" i="16"/>
  <c r="Q218" i="16"/>
  <c r="N218" i="16"/>
  <c r="AR217" i="16"/>
  <c r="AO217" i="16"/>
  <c r="AL217" i="16"/>
  <c r="AI217" i="16"/>
  <c r="AF217" i="16"/>
  <c r="AC217" i="16"/>
  <c r="Z217" i="16"/>
  <c r="W217" i="16"/>
  <c r="T217" i="16"/>
  <c r="Q217" i="16"/>
  <c r="N217" i="16"/>
  <c r="AR216" i="16"/>
  <c r="AO216" i="16"/>
  <c r="AL216" i="16"/>
  <c r="AI216" i="16"/>
  <c r="AF216" i="16"/>
  <c r="AC216" i="16"/>
  <c r="Z216" i="16"/>
  <c r="W216" i="16"/>
  <c r="T216" i="16"/>
  <c r="Q216" i="16"/>
  <c r="N216" i="16"/>
  <c r="AR215" i="16"/>
  <c r="AO215" i="16"/>
  <c r="AL215" i="16"/>
  <c r="AI215" i="16"/>
  <c r="AF215" i="16"/>
  <c r="AC215" i="16"/>
  <c r="Z215" i="16"/>
  <c r="W215" i="16"/>
  <c r="T215" i="16"/>
  <c r="Q215" i="16"/>
  <c r="N215" i="16"/>
  <c r="AR214" i="16"/>
  <c r="AO214" i="16"/>
  <c r="AL214" i="16"/>
  <c r="AI214" i="16"/>
  <c r="AF214" i="16"/>
  <c r="AC214" i="16"/>
  <c r="Z214" i="16"/>
  <c r="W214" i="16"/>
  <c r="T214" i="16"/>
  <c r="Q214" i="16"/>
  <c r="N214" i="16"/>
  <c r="AR213" i="16"/>
  <c r="AO213" i="16"/>
  <c r="AL213" i="16"/>
  <c r="AI213" i="16"/>
  <c r="AF213" i="16"/>
  <c r="AC213" i="16"/>
  <c r="Z213" i="16"/>
  <c r="W213" i="16"/>
  <c r="T213" i="16"/>
  <c r="Q213" i="16"/>
  <c r="N213" i="16"/>
  <c r="AR212" i="16"/>
  <c r="AO212" i="16"/>
  <c r="AL212" i="16"/>
  <c r="AI212" i="16"/>
  <c r="AF212" i="16"/>
  <c r="AC212" i="16"/>
  <c r="Z212" i="16"/>
  <c r="W212" i="16"/>
  <c r="T212" i="16"/>
  <c r="Q212" i="16"/>
  <c r="N212" i="16"/>
  <c r="AR211" i="16"/>
  <c r="AO211" i="16"/>
  <c r="AL211" i="16"/>
  <c r="AI211" i="16"/>
  <c r="AF211" i="16"/>
  <c r="AC211" i="16"/>
  <c r="Z211" i="16"/>
  <c r="W211" i="16"/>
  <c r="T211" i="16"/>
  <c r="Q211" i="16"/>
  <c r="N211" i="16"/>
  <c r="AR210" i="16"/>
  <c r="AO210" i="16"/>
  <c r="AL210" i="16"/>
  <c r="AI210" i="16"/>
  <c r="AF210" i="16"/>
  <c r="AC210" i="16"/>
  <c r="Z210" i="16"/>
  <c r="W210" i="16"/>
  <c r="T210" i="16"/>
  <c r="Q210" i="16"/>
  <c r="N210" i="16"/>
  <c r="AR209" i="16"/>
  <c r="AO209" i="16"/>
  <c r="AL209" i="16"/>
  <c r="AI209" i="16"/>
  <c r="AF209" i="16"/>
  <c r="AC209" i="16"/>
  <c r="Z209" i="16"/>
  <c r="W209" i="16"/>
  <c r="T209" i="16"/>
  <c r="Q209" i="16"/>
  <c r="N209" i="16"/>
  <c r="AR208" i="16"/>
  <c r="AO208" i="16"/>
  <c r="AL208" i="16"/>
  <c r="AI208" i="16"/>
  <c r="AF208" i="16"/>
  <c r="AC208" i="16"/>
  <c r="Z208" i="16"/>
  <c r="W208" i="16"/>
  <c r="T208" i="16"/>
  <c r="Q208" i="16"/>
  <c r="N208" i="16"/>
  <c r="AR207" i="16"/>
  <c r="AO207" i="16"/>
  <c r="AL207" i="16"/>
  <c r="AI207" i="16"/>
  <c r="AF207" i="16"/>
  <c r="AC207" i="16"/>
  <c r="Z207" i="16"/>
  <c r="W207" i="16"/>
  <c r="T207" i="16"/>
  <c r="Q207" i="16"/>
  <c r="N207" i="16"/>
  <c r="AR206" i="16"/>
  <c r="AO206" i="16"/>
  <c r="AL206" i="16"/>
  <c r="AI206" i="16"/>
  <c r="AF206" i="16"/>
  <c r="AC206" i="16"/>
  <c r="Z206" i="16"/>
  <c r="W206" i="16"/>
  <c r="T206" i="16"/>
  <c r="Q206" i="16"/>
  <c r="N206" i="16"/>
  <c r="AR205" i="16"/>
  <c r="AO205" i="16"/>
  <c r="AL205" i="16"/>
  <c r="AI205" i="16"/>
  <c r="AF205" i="16"/>
  <c r="AC205" i="16"/>
  <c r="Z205" i="16"/>
  <c r="W205" i="16"/>
  <c r="T205" i="16"/>
  <c r="Q205" i="16"/>
  <c r="N205" i="16"/>
  <c r="AR204" i="16"/>
  <c r="AO204" i="16"/>
  <c r="AL204" i="16"/>
  <c r="AI204" i="16"/>
  <c r="AF204" i="16"/>
  <c r="AC204" i="16"/>
  <c r="Z204" i="16"/>
  <c r="W204" i="16"/>
  <c r="T204" i="16"/>
  <c r="Q204" i="16"/>
  <c r="N204" i="16"/>
  <c r="AR203" i="16"/>
  <c r="AO203" i="16"/>
  <c r="AL203" i="16"/>
  <c r="AI203" i="16"/>
  <c r="AF203" i="16"/>
  <c r="AC203" i="16"/>
  <c r="Z203" i="16"/>
  <c r="W203" i="16"/>
  <c r="T203" i="16"/>
  <c r="Q203" i="16"/>
  <c r="N203" i="16"/>
  <c r="AR202" i="16"/>
  <c r="AO202" i="16"/>
  <c r="AL202" i="16"/>
  <c r="AI202" i="16"/>
  <c r="AF202" i="16"/>
  <c r="AC202" i="16"/>
  <c r="Z202" i="16"/>
  <c r="W202" i="16"/>
  <c r="T202" i="16"/>
  <c r="Q202" i="16"/>
  <c r="N202" i="16"/>
  <c r="AR201" i="16"/>
  <c r="AO201" i="16"/>
  <c r="AL201" i="16"/>
  <c r="AI201" i="16"/>
  <c r="AF201" i="16"/>
  <c r="AC201" i="16"/>
  <c r="Z201" i="16"/>
  <c r="W201" i="16"/>
  <c r="T201" i="16"/>
  <c r="Q201" i="16"/>
  <c r="N201" i="16"/>
  <c r="AR200" i="16"/>
  <c r="AO200" i="16"/>
  <c r="AL200" i="16"/>
  <c r="AI200" i="16"/>
  <c r="AF200" i="16"/>
  <c r="AC200" i="16"/>
  <c r="Z200" i="16"/>
  <c r="W200" i="16"/>
  <c r="T200" i="16"/>
  <c r="Q200" i="16"/>
  <c r="N200" i="16"/>
  <c r="AR199" i="16"/>
  <c r="AO199" i="16"/>
  <c r="AL199" i="16"/>
  <c r="AI199" i="16"/>
  <c r="AF199" i="16"/>
  <c r="AC199" i="16"/>
  <c r="Z199" i="16"/>
  <c r="W199" i="16"/>
  <c r="T199" i="16"/>
  <c r="Q199" i="16"/>
  <c r="N199" i="16"/>
  <c r="AR198" i="16"/>
  <c r="AO198" i="16"/>
  <c r="AL198" i="16"/>
  <c r="AI198" i="16"/>
  <c r="AF198" i="16"/>
  <c r="AC198" i="16"/>
  <c r="Z198" i="16"/>
  <c r="W198" i="16"/>
  <c r="T198" i="16"/>
  <c r="Q198" i="16"/>
  <c r="N198" i="16"/>
  <c r="AR197" i="16"/>
  <c r="AL197" i="16"/>
  <c r="AI197" i="16"/>
  <c r="W197" i="16"/>
  <c r="Q197" i="16"/>
  <c r="AR196" i="16"/>
  <c r="AO196" i="16"/>
  <c r="AL196" i="16"/>
  <c r="AI196" i="16"/>
  <c r="AC196" i="16"/>
  <c r="W196" i="16"/>
  <c r="Q196" i="16"/>
  <c r="AR195" i="16"/>
  <c r="AO195" i="16"/>
  <c r="AL195" i="16"/>
  <c r="AI195" i="16"/>
  <c r="AF195" i="16"/>
  <c r="AC195" i="16"/>
  <c r="Z195" i="16"/>
  <c r="W195" i="16"/>
  <c r="T195" i="16"/>
  <c r="Q195" i="16"/>
  <c r="N195" i="16"/>
  <c r="AR194" i="16"/>
  <c r="AO194" i="16"/>
  <c r="AL194" i="16"/>
  <c r="AI194" i="16"/>
  <c r="AC194" i="16"/>
  <c r="W194" i="16"/>
  <c r="Q194" i="16"/>
  <c r="AR193" i="16"/>
  <c r="AO193" i="16"/>
  <c r="AL193" i="16"/>
  <c r="AI193" i="16"/>
  <c r="AF193" i="16"/>
  <c r="AC193" i="16"/>
  <c r="Z193" i="16"/>
  <c r="W193" i="16"/>
  <c r="T193" i="16"/>
  <c r="Q193" i="16"/>
  <c r="N193" i="16"/>
  <c r="AR192" i="16"/>
  <c r="AO192" i="16"/>
  <c r="AL192" i="16"/>
  <c r="AI192" i="16"/>
  <c r="AF192" i="16"/>
  <c r="AC192" i="16"/>
  <c r="Z192" i="16"/>
  <c r="W192" i="16"/>
  <c r="T192" i="16"/>
  <c r="Q192" i="16"/>
  <c r="N192" i="16"/>
  <c r="AR191" i="16"/>
  <c r="AO191" i="16"/>
  <c r="AL191" i="16"/>
  <c r="AI191" i="16"/>
  <c r="AF191" i="16"/>
  <c r="AC191" i="16"/>
  <c r="Z191" i="16"/>
  <c r="W191" i="16"/>
  <c r="T191" i="16"/>
  <c r="Q191" i="16"/>
  <c r="N191" i="16"/>
  <c r="AR190" i="16"/>
  <c r="AO190" i="16"/>
  <c r="AL190" i="16"/>
  <c r="AI190" i="16"/>
  <c r="AF190" i="16"/>
  <c r="AC190" i="16"/>
  <c r="Z190" i="16"/>
  <c r="W190" i="16"/>
  <c r="T190" i="16"/>
  <c r="Q190" i="16"/>
  <c r="N190" i="16"/>
  <c r="AR189" i="16"/>
  <c r="AO189" i="16"/>
  <c r="AL189" i="16"/>
  <c r="AI189" i="16"/>
  <c r="AF189" i="16"/>
  <c r="AC189" i="16"/>
  <c r="Z189" i="16"/>
  <c r="W189" i="16"/>
  <c r="T189" i="16"/>
  <c r="Q189" i="16"/>
  <c r="N189" i="16"/>
  <c r="AR188" i="16"/>
  <c r="AO188" i="16"/>
  <c r="AL188" i="16"/>
  <c r="AI188" i="16"/>
  <c r="AF188" i="16"/>
  <c r="AC188" i="16"/>
  <c r="Z188" i="16"/>
  <c r="W188" i="16"/>
  <c r="T188" i="16"/>
  <c r="Q188" i="16"/>
  <c r="N188" i="16"/>
  <c r="AR187" i="16"/>
  <c r="AO187" i="16"/>
  <c r="AL187" i="16"/>
  <c r="AI187" i="16"/>
  <c r="AF187" i="16"/>
  <c r="AC187" i="16"/>
  <c r="Z187" i="16"/>
  <c r="W187" i="16"/>
  <c r="T187" i="16"/>
  <c r="Q187" i="16"/>
  <c r="N187" i="16"/>
  <c r="AR186" i="16"/>
  <c r="AO186" i="16"/>
  <c r="AL186" i="16"/>
  <c r="AI186" i="16"/>
  <c r="AF186" i="16"/>
  <c r="AC186" i="16"/>
  <c r="Z186" i="16"/>
  <c r="W186" i="16"/>
  <c r="T186" i="16"/>
  <c r="Q186" i="16"/>
  <c r="N186" i="16"/>
  <c r="AR185" i="16"/>
  <c r="AO185" i="16"/>
  <c r="AL185" i="16"/>
  <c r="AI185" i="16"/>
  <c r="AF185" i="16"/>
  <c r="AC185" i="16"/>
  <c r="Z185" i="16"/>
  <c r="W185" i="16"/>
  <c r="T185" i="16"/>
  <c r="Q185" i="16"/>
  <c r="N185" i="16"/>
  <c r="AR184" i="16"/>
  <c r="AO184" i="16"/>
  <c r="AL184" i="16"/>
  <c r="AI184" i="16"/>
  <c r="AF184" i="16"/>
  <c r="AC184" i="16"/>
  <c r="Z184" i="16"/>
  <c r="W184" i="16"/>
  <c r="T184" i="16"/>
  <c r="Q184" i="16"/>
  <c r="N184" i="16"/>
  <c r="AR183" i="16"/>
  <c r="AO183" i="16"/>
  <c r="AL183" i="16"/>
  <c r="AI183" i="16"/>
  <c r="AF183" i="16"/>
  <c r="AC183" i="16"/>
  <c r="Z183" i="16"/>
  <c r="W183" i="16"/>
  <c r="T183" i="16"/>
  <c r="Q183" i="16"/>
  <c r="N183" i="16"/>
  <c r="AR182" i="16"/>
  <c r="AO182" i="16"/>
  <c r="AL182" i="16"/>
  <c r="AI182" i="16"/>
  <c r="AF182" i="16"/>
  <c r="AC182" i="16"/>
  <c r="Z182" i="16"/>
  <c r="W182" i="16"/>
  <c r="T182" i="16"/>
  <c r="Q182" i="16"/>
  <c r="N182" i="16"/>
  <c r="AR181" i="16"/>
  <c r="AO181" i="16"/>
  <c r="AL181" i="16"/>
  <c r="AI181" i="16"/>
  <c r="AF181" i="16"/>
  <c r="AC181" i="16"/>
  <c r="Z181" i="16"/>
  <c r="W181" i="16"/>
  <c r="T181" i="16"/>
  <c r="Q181" i="16"/>
  <c r="N181" i="16"/>
  <c r="AR180" i="16"/>
  <c r="AO180" i="16"/>
  <c r="AL180" i="16"/>
  <c r="AI180" i="16"/>
  <c r="AF180" i="16"/>
  <c r="AC180" i="16"/>
  <c r="Z180" i="16"/>
  <c r="W180" i="16"/>
  <c r="T180" i="16"/>
  <c r="Q180" i="16"/>
  <c r="N180" i="16"/>
  <c r="AR179" i="16"/>
  <c r="AO179" i="16"/>
  <c r="AL179" i="16"/>
  <c r="AI179" i="16"/>
  <c r="AF179" i="16"/>
  <c r="AC179" i="16"/>
  <c r="Z179" i="16"/>
  <c r="W179" i="16"/>
  <c r="T179" i="16"/>
  <c r="Q179" i="16"/>
  <c r="N179" i="16"/>
  <c r="AR178" i="16"/>
  <c r="AO178" i="16"/>
  <c r="AL178" i="16"/>
  <c r="AI178" i="16"/>
  <c r="AF178" i="16"/>
  <c r="AC178" i="16"/>
  <c r="Z178" i="16"/>
  <c r="W178" i="16"/>
  <c r="T178" i="16"/>
  <c r="Q178" i="16"/>
  <c r="N178" i="16"/>
  <c r="AR177" i="16"/>
  <c r="AO177" i="16"/>
  <c r="AL177" i="16"/>
  <c r="AI177" i="16"/>
  <c r="AF177" i="16"/>
  <c r="AC177" i="16"/>
  <c r="Z177" i="16"/>
  <c r="W177" i="16"/>
  <c r="T177" i="16"/>
  <c r="Q177" i="16"/>
  <c r="N177" i="16"/>
  <c r="AR176" i="16"/>
  <c r="AO176" i="16"/>
  <c r="AL176" i="16"/>
  <c r="AI176" i="16"/>
  <c r="AF176" i="16"/>
  <c r="AC176" i="16"/>
  <c r="Z176" i="16"/>
  <c r="W176" i="16"/>
  <c r="T176" i="16"/>
  <c r="Q176" i="16"/>
  <c r="N176" i="16"/>
  <c r="AR175" i="16"/>
  <c r="AO175" i="16"/>
  <c r="AL175" i="16"/>
  <c r="AI175" i="16"/>
  <c r="AF175" i="16"/>
  <c r="AC175" i="16"/>
  <c r="Z175" i="16"/>
  <c r="W175" i="16"/>
  <c r="T175" i="16"/>
  <c r="Q175" i="16"/>
  <c r="N175" i="16"/>
  <c r="AR174" i="16"/>
  <c r="AO174" i="16"/>
  <c r="AL174" i="16"/>
  <c r="AI174" i="16"/>
  <c r="AF174" i="16"/>
  <c r="AC174" i="16"/>
  <c r="Z174" i="16"/>
  <c r="W174" i="16"/>
  <c r="T174" i="16"/>
  <c r="Q174" i="16"/>
  <c r="N174" i="16"/>
  <c r="AR173" i="16"/>
  <c r="AO173" i="16"/>
  <c r="AL173" i="16"/>
  <c r="AI173" i="16"/>
  <c r="AF173" i="16"/>
  <c r="AC173" i="16"/>
  <c r="Z173" i="16"/>
  <c r="W173" i="16"/>
  <c r="T173" i="16"/>
  <c r="Q173" i="16"/>
  <c r="N173" i="16"/>
  <c r="AR172" i="16"/>
  <c r="AO172" i="16"/>
  <c r="AL172" i="16"/>
  <c r="AI172" i="16"/>
  <c r="AF172" i="16"/>
  <c r="AC172" i="16"/>
  <c r="Z172" i="16"/>
  <c r="W172" i="16"/>
  <c r="T172" i="16"/>
  <c r="Q172" i="16"/>
  <c r="N172" i="16"/>
  <c r="AR171" i="16"/>
  <c r="AO171" i="16"/>
  <c r="AL171" i="16"/>
  <c r="AI171" i="16"/>
  <c r="AF171" i="16"/>
  <c r="AC171" i="16"/>
  <c r="Z171" i="16"/>
  <c r="W171" i="16"/>
  <c r="T171" i="16"/>
  <c r="Q171" i="16"/>
  <c r="N171" i="16"/>
  <c r="AR170" i="16"/>
  <c r="AO170" i="16"/>
  <c r="AL170" i="16"/>
  <c r="AI170" i="16"/>
  <c r="AF170" i="16"/>
  <c r="AC170" i="16"/>
  <c r="Z170" i="16"/>
  <c r="W170" i="16"/>
  <c r="T170" i="16"/>
  <c r="Q170" i="16"/>
  <c r="N170" i="16"/>
  <c r="AR169" i="16"/>
  <c r="AO169" i="16"/>
  <c r="AL169" i="16"/>
  <c r="AI169" i="16"/>
  <c r="AF169" i="16"/>
  <c r="AC169" i="16"/>
  <c r="Z169" i="16"/>
  <c r="W169" i="16"/>
  <c r="T169" i="16"/>
  <c r="Q169" i="16"/>
  <c r="N169" i="16"/>
  <c r="AR168" i="16"/>
  <c r="AO168" i="16"/>
  <c r="AL168" i="16"/>
  <c r="AI168" i="16"/>
  <c r="AF168" i="16"/>
  <c r="AC168" i="16"/>
  <c r="Z168" i="16"/>
  <c r="W168" i="16"/>
  <c r="T168" i="16"/>
  <c r="Q168" i="16"/>
  <c r="N168" i="16"/>
  <c r="AR167" i="16"/>
  <c r="AO167" i="16"/>
  <c r="AL167" i="16"/>
  <c r="AI167" i="16"/>
  <c r="AF167" i="16"/>
  <c r="AC167" i="16"/>
  <c r="Z167" i="16"/>
  <c r="W167" i="16"/>
  <c r="T167" i="16"/>
  <c r="Q167" i="16"/>
  <c r="N167" i="16"/>
  <c r="AR166" i="16"/>
  <c r="AO166" i="16"/>
  <c r="AL166" i="16"/>
  <c r="AI166" i="16"/>
  <c r="AF166" i="16"/>
  <c r="AC166" i="16"/>
  <c r="Z166" i="16"/>
  <c r="W166" i="16"/>
  <c r="T166" i="16"/>
  <c r="Q166" i="16"/>
  <c r="N166" i="16"/>
  <c r="AR165" i="16"/>
  <c r="AO165" i="16"/>
  <c r="AL165" i="16"/>
  <c r="AI165" i="16"/>
  <c r="AF165" i="16"/>
  <c r="AC165" i="16"/>
  <c r="Z165" i="16"/>
  <c r="W165" i="16"/>
  <c r="T165" i="16"/>
  <c r="Q165" i="16"/>
  <c r="N165" i="16"/>
  <c r="AR164" i="16"/>
  <c r="AO164" i="16"/>
  <c r="AL164" i="16"/>
  <c r="AI164" i="16"/>
  <c r="AF164" i="16"/>
  <c r="AC164" i="16"/>
  <c r="Z164" i="16"/>
  <c r="W164" i="16"/>
  <c r="T164" i="16"/>
  <c r="Q164" i="16"/>
  <c r="N164" i="16"/>
  <c r="AR163" i="16"/>
  <c r="AO163" i="16"/>
  <c r="AL163" i="16"/>
  <c r="AI163" i="16"/>
  <c r="AF163" i="16"/>
  <c r="AC163" i="16"/>
  <c r="Z163" i="16"/>
  <c r="W163" i="16"/>
  <c r="T163" i="16"/>
  <c r="Q163" i="16"/>
  <c r="N163" i="16"/>
  <c r="AR162" i="16"/>
  <c r="AO162" i="16"/>
  <c r="AL162" i="16"/>
  <c r="AI162" i="16"/>
  <c r="AF162" i="16"/>
  <c r="AC162" i="16"/>
  <c r="Z162" i="16"/>
  <c r="W162" i="16"/>
  <c r="T162" i="16"/>
  <c r="Q162" i="16"/>
  <c r="N162" i="16"/>
  <c r="AR161" i="16"/>
  <c r="AO161" i="16"/>
  <c r="AL161" i="16"/>
  <c r="AI161" i="16"/>
  <c r="AF161" i="16"/>
  <c r="AC161" i="16"/>
  <c r="Z161" i="16"/>
  <c r="W161" i="16"/>
  <c r="T161" i="16"/>
  <c r="Q161" i="16"/>
  <c r="N161" i="16"/>
  <c r="AR160" i="16"/>
  <c r="AO160" i="16"/>
  <c r="AL160" i="16"/>
  <c r="AI160" i="16"/>
  <c r="AF160" i="16"/>
  <c r="AC160" i="16"/>
  <c r="Z160" i="16"/>
  <c r="W160" i="16"/>
  <c r="T160" i="16"/>
  <c r="Q160" i="16"/>
  <c r="N160" i="16"/>
  <c r="AR159" i="16"/>
  <c r="AO159" i="16"/>
  <c r="AL159" i="16"/>
  <c r="AI159" i="16"/>
  <c r="AF159" i="16"/>
  <c r="AC159" i="16"/>
  <c r="Z159" i="16"/>
  <c r="W159" i="16"/>
  <c r="T159" i="16"/>
  <c r="Q159" i="16"/>
  <c r="N159" i="16"/>
  <c r="AR158" i="16"/>
  <c r="AO158" i="16"/>
  <c r="AL158" i="16"/>
  <c r="AI158" i="16"/>
  <c r="AF158" i="16"/>
  <c r="AC158" i="16"/>
  <c r="Z158" i="16"/>
  <c r="W158" i="16"/>
  <c r="T158" i="16"/>
  <c r="Q158" i="16"/>
  <c r="N158" i="16"/>
  <c r="AR157" i="16"/>
  <c r="AO157" i="16"/>
  <c r="AL157" i="16"/>
  <c r="AI157" i="16"/>
  <c r="AF157" i="16"/>
  <c r="AC157" i="16"/>
  <c r="Z157" i="16"/>
  <c r="W157" i="16"/>
  <c r="T157" i="16"/>
  <c r="Q157" i="16"/>
  <c r="N157" i="16"/>
  <c r="AR156" i="16"/>
  <c r="AO156" i="16"/>
  <c r="AL156" i="16"/>
  <c r="AI156" i="16"/>
  <c r="AF156" i="16"/>
  <c r="AC156" i="16"/>
  <c r="Z156" i="16"/>
  <c r="W156" i="16"/>
  <c r="T156" i="16"/>
  <c r="Q156" i="16"/>
  <c r="N156" i="16"/>
  <c r="AR155" i="16"/>
  <c r="AO155" i="16"/>
  <c r="AL155" i="16"/>
  <c r="AI155" i="16"/>
  <c r="AC155" i="16"/>
  <c r="W155" i="16"/>
  <c r="Q155" i="16"/>
  <c r="AR154" i="16"/>
  <c r="AO154" i="16"/>
  <c r="AL154" i="16"/>
  <c r="AI154" i="16"/>
  <c r="AF154" i="16"/>
  <c r="AC154" i="16"/>
  <c r="Z154" i="16"/>
  <c r="W154" i="16"/>
  <c r="T154" i="16"/>
  <c r="Q154" i="16"/>
  <c r="N154" i="16"/>
  <c r="AR153" i="16"/>
  <c r="AO153" i="16"/>
  <c r="AL153" i="16"/>
  <c r="AI153" i="16"/>
  <c r="AC153" i="16"/>
  <c r="W153" i="16"/>
  <c r="Q153" i="16"/>
  <c r="AR152" i="16"/>
  <c r="AO152" i="16"/>
  <c r="AL152" i="16"/>
  <c r="AI152" i="16"/>
  <c r="AC152" i="16"/>
  <c r="W152" i="16"/>
  <c r="Q152" i="16"/>
  <c r="AR151" i="16"/>
  <c r="AO151" i="16"/>
  <c r="AL151" i="16"/>
  <c r="AI151" i="16"/>
  <c r="AF151" i="16"/>
  <c r="AC151" i="16"/>
  <c r="Z151" i="16"/>
  <c r="W151" i="16"/>
  <c r="T151" i="16"/>
  <c r="Q151" i="16"/>
  <c r="N151" i="16"/>
  <c r="AR150" i="16"/>
  <c r="AO150" i="16"/>
  <c r="AL150" i="16"/>
  <c r="AI150" i="16"/>
  <c r="AF150" i="16"/>
  <c r="AC150" i="16"/>
  <c r="Z150" i="16"/>
  <c r="W150" i="16"/>
  <c r="T150" i="16"/>
  <c r="Q150" i="16"/>
  <c r="N150" i="16"/>
  <c r="AR149" i="16"/>
  <c r="AO149" i="16"/>
  <c r="AL149" i="16"/>
  <c r="AI149" i="16"/>
  <c r="AF149" i="16"/>
  <c r="AC149" i="16"/>
  <c r="Z149" i="16"/>
  <c r="W149" i="16"/>
  <c r="T149" i="16"/>
  <c r="Q149" i="16"/>
  <c r="N149" i="16"/>
  <c r="AR148" i="16"/>
  <c r="AO148" i="16"/>
  <c r="AL148" i="16"/>
  <c r="AI148" i="16"/>
  <c r="AF148" i="16"/>
  <c r="AC148" i="16"/>
  <c r="Z148" i="16"/>
  <c r="W148" i="16"/>
  <c r="T148" i="16"/>
  <c r="Q148" i="16"/>
  <c r="N148" i="16"/>
  <c r="AR147" i="16"/>
  <c r="AO147" i="16"/>
  <c r="AL147" i="16"/>
  <c r="AI147" i="16"/>
  <c r="AF147" i="16"/>
  <c r="AC147" i="16"/>
  <c r="Z147" i="16"/>
  <c r="W147" i="16"/>
  <c r="T147" i="16"/>
  <c r="Q147" i="16"/>
  <c r="N147" i="16"/>
  <c r="AR146" i="16"/>
  <c r="AO146" i="16"/>
  <c r="AL146" i="16"/>
  <c r="AI146" i="16"/>
  <c r="AF146" i="16"/>
  <c r="AC146" i="16"/>
  <c r="Z146" i="16"/>
  <c r="W146" i="16"/>
  <c r="T146" i="16"/>
  <c r="Q146" i="16"/>
  <c r="N146" i="16"/>
  <c r="AR145" i="16"/>
  <c r="AO145" i="16"/>
  <c r="AL145" i="16"/>
  <c r="AI145" i="16"/>
  <c r="AF145" i="16"/>
  <c r="AC145" i="16"/>
  <c r="Z145" i="16"/>
  <c r="W145" i="16"/>
  <c r="T145" i="16"/>
  <c r="Q145" i="16"/>
  <c r="N145" i="16"/>
  <c r="AR144" i="16"/>
  <c r="AO144" i="16"/>
  <c r="AL144" i="16"/>
  <c r="AI144" i="16"/>
  <c r="AF144" i="16"/>
  <c r="AC144" i="16"/>
  <c r="Z144" i="16"/>
  <c r="W144" i="16"/>
  <c r="T144" i="16"/>
  <c r="Q144" i="16"/>
  <c r="N144" i="16"/>
  <c r="AR143" i="16"/>
  <c r="AO143" i="16"/>
  <c r="AL143" i="16"/>
  <c r="AI143" i="16"/>
  <c r="AF143" i="16"/>
  <c r="AC143" i="16"/>
  <c r="Z143" i="16"/>
  <c r="W143" i="16"/>
  <c r="T143" i="16"/>
  <c r="Q143" i="16"/>
  <c r="N143" i="16"/>
  <c r="AR142" i="16"/>
  <c r="AO142" i="16"/>
  <c r="AL142" i="16"/>
  <c r="AI142" i="16"/>
  <c r="AF142" i="16"/>
  <c r="AC142" i="16"/>
  <c r="Z142" i="16"/>
  <c r="W142" i="16"/>
  <c r="T142" i="16"/>
  <c r="Q142" i="16"/>
  <c r="N142" i="16"/>
  <c r="AR141" i="16"/>
  <c r="AO141" i="16"/>
  <c r="AL141" i="16"/>
  <c r="AI141" i="16"/>
  <c r="AF141" i="16"/>
  <c r="AC141" i="16"/>
  <c r="Z141" i="16"/>
  <c r="W141" i="16"/>
  <c r="T141" i="16"/>
  <c r="Q141" i="16"/>
  <c r="N141" i="16"/>
  <c r="AR140" i="16"/>
  <c r="AO140" i="16"/>
  <c r="AL140" i="16"/>
  <c r="AI140" i="16"/>
  <c r="AF140" i="16"/>
  <c r="AC140" i="16"/>
  <c r="Z140" i="16"/>
  <c r="W140" i="16"/>
  <c r="T140" i="16"/>
  <c r="Q140" i="16"/>
  <c r="N140" i="16"/>
  <c r="AR139" i="16"/>
  <c r="AO139" i="16"/>
  <c r="AL139" i="16"/>
  <c r="AI139" i="16"/>
  <c r="AF139" i="16"/>
  <c r="AC139" i="16"/>
  <c r="Z139" i="16"/>
  <c r="W139" i="16"/>
  <c r="T139" i="16"/>
  <c r="Q139" i="16"/>
  <c r="N139" i="16"/>
  <c r="AR138" i="16"/>
  <c r="AO138" i="16"/>
  <c r="AL138" i="16"/>
  <c r="AI138" i="16"/>
  <c r="AF138" i="16"/>
  <c r="AC138" i="16"/>
  <c r="Z138" i="16"/>
  <c r="W138" i="16"/>
  <c r="T138" i="16"/>
  <c r="Q138" i="16"/>
  <c r="N138" i="16"/>
  <c r="AR137" i="16"/>
  <c r="AO137" i="16"/>
  <c r="AL137" i="16"/>
  <c r="AI137" i="16"/>
  <c r="AF137" i="16"/>
  <c r="AC137" i="16"/>
  <c r="Z137" i="16"/>
  <c r="W137" i="16"/>
  <c r="T137" i="16"/>
  <c r="Q137" i="16"/>
  <c r="N137" i="16"/>
  <c r="AR136" i="16"/>
  <c r="AO136" i="16"/>
  <c r="AL136" i="16"/>
  <c r="AI136" i="16"/>
  <c r="AF136" i="16"/>
  <c r="AC136" i="16"/>
  <c r="Z136" i="16"/>
  <c r="W136" i="16"/>
  <c r="T136" i="16"/>
  <c r="Q136" i="16"/>
  <c r="N136" i="16"/>
  <c r="AR135" i="16"/>
  <c r="AO135" i="16"/>
  <c r="AL135" i="16"/>
  <c r="AI135" i="16"/>
  <c r="AF135" i="16"/>
  <c r="AC135" i="16"/>
  <c r="Z135" i="16"/>
  <c r="W135" i="16"/>
  <c r="T135" i="16"/>
  <c r="Q135" i="16"/>
  <c r="N135" i="16"/>
  <c r="AR134" i="16"/>
  <c r="AO134" i="16"/>
  <c r="AL134" i="16"/>
  <c r="AI134" i="16"/>
  <c r="AF134" i="16"/>
  <c r="AC134" i="16"/>
  <c r="Z134" i="16"/>
  <c r="W134" i="16"/>
  <c r="T134" i="16"/>
  <c r="Q134" i="16"/>
  <c r="N134" i="16"/>
  <c r="AR133" i="16"/>
  <c r="AO133" i="16"/>
  <c r="AL133" i="16"/>
  <c r="AI133" i="16"/>
  <c r="AF133" i="16"/>
  <c r="AC133" i="16"/>
  <c r="Z133" i="16"/>
  <c r="W133" i="16"/>
  <c r="T133" i="16"/>
  <c r="Q133" i="16"/>
  <c r="N133" i="16"/>
  <c r="AR132" i="16"/>
  <c r="AO132" i="16"/>
  <c r="AL132" i="16"/>
  <c r="AI132" i="16"/>
  <c r="AF132" i="16"/>
  <c r="AC132" i="16"/>
  <c r="Z132" i="16"/>
  <c r="W132" i="16"/>
  <c r="T132" i="16"/>
  <c r="Q132" i="16"/>
  <c r="N132" i="16"/>
  <c r="AR131" i="16"/>
  <c r="AO131" i="16"/>
  <c r="AL131" i="16"/>
  <c r="AI131" i="16"/>
  <c r="AF131" i="16"/>
  <c r="AC131" i="16"/>
  <c r="Z131" i="16"/>
  <c r="W131" i="16"/>
  <c r="T131" i="16"/>
  <c r="Q131" i="16"/>
  <c r="N131" i="16"/>
  <c r="AR130" i="16"/>
  <c r="AO130" i="16"/>
  <c r="AL130" i="16"/>
  <c r="AI130" i="16"/>
  <c r="AF130" i="16"/>
  <c r="AC130" i="16"/>
  <c r="Z130" i="16"/>
  <c r="W130" i="16"/>
  <c r="T130" i="16"/>
  <c r="Q130" i="16"/>
  <c r="N130" i="16"/>
  <c r="AR129" i="16"/>
  <c r="AO129" i="16"/>
  <c r="AL129" i="16"/>
  <c r="AI129" i="16"/>
  <c r="AF129" i="16"/>
  <c r="AC129" i="16"/>
  <c r="Z129" i="16"/>
  <c r="W129" i="16"/>
  <c r="T129" i="16"/>
  <c r="Q129" i="16"/>
  <c r="N129" i="16"/>
  <c r="AR128" i="16"/>
  <c r="AO128" i="16"/>
  <c r="AL128" i="16"/>
  <c r="AI128" i="16"/>
  <c r="AF128" i="16"/>
  <c r="AC128" i="16"/>
  <c r="Z128" i="16"/>
  <c r="W128" i="16"/>
  <c r="T128" i="16"/>
  <c r="Q128" i="16"/>
  <c r="N128" i="16"/>
  <c r="AR127" i="16"/>
  <c r="AO127" i="16"/>
  <c r="AL127" i="16"/>
  <c r="AI127" i="16"/>
  <c r="AF127" i="16"/>
  <c r="AC127" i="16"/>
  <c r="Z127" i="16"/>
  <c r="W127" i="16"/>
  <c r="T127" i="16"/>
  <c r="Q127" i="16"/>
  <c r="N127" i="16"/>
  <c r="AR126" i="16"/>
  <c r="AO126" i="16"/>
  <c r="AL126" i="16"/>
  <c r="AI126" i="16"/>
  <c r="AF126" i="16"/>
  <c r="AC126" i="16"/>
  <c r="Z126" i="16"/>
  <c r="W126" i="16"/>
  <c r="T126" i="16"/>
  <c r="Q126" i="16"/>
  <c r="N126" i="16"/>
  <c r="AR125" i="16"/>
  <c r="AO125" i="16"/>
  <c r="AL125" i="16"/>
  <c r="AI125" i="16"/>
  <c r="AF125" i="16"/>
  <c r="AC125" i="16"/>
  <c r="Z125" i="16"/>
  <c r="W125" i="16"/>
  <c r="T125" i="16"/>
  <c r="Q125" i="16"/>
  <c r="N125" i="16"/>
  <c r="AR124" i="16"/>
  <c r="AO124" i="16"/>
  <c r="AL124" i="16"/>
  <c r="AI124" i="16"/>
  <c r="AF124" i="16"/>
  <c r="AC124" i="16"/>
  <c r="Z124" i="16"/>
  <c r="W124" i="16"/>
  <c r="T124" i="16"/>
  <c r="Q124" i="16"/>
  <c r="N124" i="16"/>
  <c r="AR123" i="16"/>
  <c r="AO123" i="16"/>
  <c r="AL123" i="16"/>
  <c r="AI123" i="16"/>
  <c r="AF123" i="16"/>
  <c r="AC123" i="16"/>
  <c r="Z123" i="16"/>
  <c r="W123" i="16"/>
  <c r="T123" i="16"/>
  <c r="Q123" i="16"/>
  <c r="N123" i="16"/>
  <c r="AR122" i="16"/>
  <c r="AO122" i="16"/>
  <c r="AL122" i="16"/>
  <c r="AI122" i="16"/>
  <c r="AF122" i="16"/>
  <c r="AC122" i="16"/>
  <c r="Z122" i="16"/>
  <c r="W122" i="16"/>
  <c r="T122" i="16"/>
  <c r="Q122" i="16"/>
  <c r="N122" i="16"/>
  <c r="AR121" i="16"/>
  <c r="AO121" i="16"/>
  <c r="AL121" i="16"/>
  <c r="AI121" i="16"/>
  <c r="AF121" i="16"/>
  <c r="AC121" i="16"/>
  <c r="Z121" i="16"/>
  <c r="W121" i="16"/>
  <c r="T121" i="16"/>
  <c r="Q121" i="16"/>
  <c r="N121" i="16"/>
  <c r="AR120" i="16"/>
  <c r="AO120" i="16"/>
  <c r="AL120" i="16"/>
  <c r="AI120" i="16"/>
  <c r="AF120" i="16"/>
  <c r="AC120" i="16"/>
  <c r="Z120" i="16"/>
  <c r="W120" i="16"/>
  <c r="T120" i="16"/>
  <c r="Q120" i="16"/>
  <c r="N120" i="16"/>
  <c r="AR119" i="16"/>
  <c r="AO119" i="16"/>
  <c r="AL119" i="16"/>
  <c r="AI119" i="16"/>
  <c r="AF119" i="16"/>
  <c r="AC119" i="16"/>
  <c r="Z119" i="16"/>
  <c r="W119" i="16"/>
  <c r="T119" i="16"/>
  <c r="Q119" i="16"/>
  <c r="N119" i="16"/>
  <c r="AR118" i="16"/>
  <c r="AO118" i="16"/>
  <c r="AL118" i="16"/>
  <c r="AI118" i="16"/>
  <c r="AF118" i="16"/>
  <c r="AC118" i="16"/>
  <c r="Z118" i="16"/>
  <c r="W118" i="16"/>
  <c r="T118" i="16"/>
  <c r="Q118" i="16"/>
  <c r="N118" i="16"/>
  <c r="AR117" i="16"/>
  <c r="AO117" i="16"/>
  <c r="AL117" i="16"/>
  <c r="AI117" i="16"/>
  <c r="AF117" i="16"/>
  <c r="AC117" i="16"/>
  <c r="Z117" i="16"/>
  <c r="W117" i="16"/>
  <c r="T117" i="16"/>
  <c r="Q117" i="16"/>
  <c r="N117" i="16"/>
  <c r="AR116" i="16"/>
  <c r="AO116" i="16"/>
  <c r="AL116" i="16"/>
  <c r="AI116" i="16"/>
  <c r="AF116" i="16"/>
  <c r="AC116" i="16"/>
  <c r="Z116" i="16"/>
  <c r="W116" i="16"/>
  <c r="T116" i="16"/>
  <c r="Q116" i="16"/>
  <c r="N116" i="16"/>
  <c r="AR115" i="16"/>
  <c r="AO115" i="16"/>
  <c r="AL115" i="16"/>
  <c r="AI115" i="16"/>
  <c r="AF115" i="16"/>
  <c r="AC115" i="16"/>
  <c r="Z115" i="16"/>
  <c r="W115" i="16"/>
  <c r="T115" i="16"/>
  <c r="Q115" i="16"/>
  <c r="N115" i="16"/>
  <c r="AR114" i="16"/>
  <c r="AO114" i="16"/>
  <c r="AL114" i="16"/>
  <c r="AI114" i="16"/>
  <c r="AF114" i="16"/>
  <c r="AC114" i="16"/>
  <c r="Z114" i="16"/>
  <c r="W114" i="16"/>
  <c r="T114" i="16"/>
  <c r="Q114" i="16"/>
  <c r="N114" i="16"/>
  <c r="AR113" i="16"/>
  <c r="AO113" i="16"/>
  <c r="AL113" i="16"/>
  <c r="AI113" i="16"/>
  <c r="AF113" i="16"/>
  <c r="AC113" i="16"/>
  <c r="Z113" i="16"/>
  <c r="W113" i="16"/>
  <c r="T113" i="16"/>
  <c r="Q113" i="16"/>
  <c r="N113" i="16"/>
  <c r="AR112" i="16"/>
  <c r="AO112" i="16"/>
  <c r="AL112" i="16"/>
  <c r="AI112" i="16"/>
  <c r="AF112" i="16"/>
  <c r="AC112" i="16"/>
  <c r="Z112" i="16"/>
  <c r="W112" i="16"/>
  <c r="T112" i="16"/>
  <c r="Q112" i="16"/>
  <c r="N112" i="16"/>
  <c r="AR111" i="16"/>
  <c r="AO111" i="16"/>
  <c r="AL111" i="16"/>
  <c r="AI111" i="16"/>
  <c r="AF111" i="16"/>
  <c r="AC111" i="16"/>
  <c r="Z111" i="16"/>
  <c r="W111" i="16"/>
  <c r="T111" i="16"/>
  <c r="Q111" i="16"/>
  <c r="N111" i="16"/>
  <c r="AR110" i="16"/>
  <c r="AO110" i="16"/>
  <c r="AL110" i="16"/>
  <c r="AI110" i="16"/>
  <c r="AF110" i="16"/>
  <c r="AC110" i="16"/>
  <c r="Z110" i="16"/>
  <c r="W110" i="16"/>
  <c r="T110" i="16"/>
  <c r="Q110" i="16"/>
  <c r="N110" i="16"/>
  <c r="AR109" i="16"/>
  <c r="AO109" i="16"/>
  <c r="AL109" i="16"/>
  <c r="AI109" i="16"/>
  <c r="AF109" i="16"/>
  <c r="AC109" i="16"/>
  <c r="Z109" i="16"/>
  <c r="W109" i="16"/>
  <c r="T109" i="16"/>
  <c r="Q109" i="16"/>
  <c r="N109" i="16"/>
  <c r="AR108" i="16"/>
  <c r="AO108" i="16"/>
  <c r="AL108" i="16"/>
  <c r="AI108" i="16"/>
  <c r="AF108" i="16"/>
  <c r="AC108" i="16"/>
  <c r="Z108" i="16"/>
  <c r="W108" i="16"/>
  <c r="T108" i="16"/>
  <c r="Q108" i="16"/>
  <c r="N108" i="16"/>
  <c r="AR107" i="16"/>
  <c r="AO107" i="16"/>
  <c r="AL107" i="16"/>
  <c r="AI107" i="16"/>
  <c r="AF107" i="16"/>
  <c r="AC107" i="16"/>
  <c r="Z107" i="16"/>
  <c r="W107" i="16"/>
  <c r="T107" i="16"/>
  <c r="Q107" i="16"/>
  <c r="N107" i="16"/>
  <c r="AR106" i="16"/>
  <c r="AO106" i="16"/>
  <c r="AL106" i="16"/>
  <c r="AI106" i="16"/>
  <c r="AF106" i="16"/>
  <c r="AC106" i="16"/>
  <c r="Z106" i="16"/>
  <c r="W106" i="16"/>
  <c r="T106" i="16"/>
  <c r="Q106" i="16"/>
  <c r="N106" i="16"/>
  <c r="AR105" i="16"/>
  <c r="AO105" i="16"/>
  <c r="AL105" i="16"/>
  <c r="AI105" i="16"/>
  <c r="AF105" i="16"/>
  <c r="AC105" i="16"/>
  <c r="Z105" i="16"/>
  <c r="W105" i="16"/>
  <c r="T105" i="16"/>
  <c r="Q105" i="16"/>
  <c r="N105" i="16"/>
  <c r="AR104" i="16"/>
  <c r="AO104" i="16"/>
  <c r="AL104" i="16"/>
  <c r="AI104" i="16"/>
  <c r="AF104" i="16"/>
  <c r="AC104" i="16"/>
  <c r="Z104" i="16"/>
  <c r="W104" i="16"/>
  <c r="T104" i="16"/>
  <c r="Q104" i="16"/>
  <c r="N104" i="16"/>
  <c r="AR103" i="16"/>
  <c r="AO103" i="16"/>
  <c r="AL103" i="16"/>
  <c r="AI103" i="16"/>
  <c r="AF103" i="16"/>
  <c r="AC103" i="16"/>
  <c r="Z103" i="16"/>
  <c r="W103" i="16"/>
  <c r="T103" i="16"/>
  <c r="Q103" i="16"/>
  <c r="N103" i="16"/>
  <c r="AR102" i="16"/>
  <c r="AO102" i="16"/>
  <c r="AL102" i="16"/>
  <c r="AI102" i="16"/>
  <c r="AF102" i="16"/>
  <c r="AC102" i="16"/>
  <c r="Z102" i="16"/>
  <c r="W102" i="16"/>
  <c r="T102" i="16"/>
  <c r="Q102" i="16"/>
  <c r="N102" i="16"/>
  <c r="AR101" i="16"/>
  <c r="AO101" i="16"/>
  <c r="AL101" i="16"/>
  <c r="AI101" i="16"/>
  <c r="AF101" i="16"/>
  <c r="AC101" i="16"/>
  <c r="Z101" i="16"/>
  <c r="W101" i="16"/>
  <c r="T101" i="16"/>
  <c r="Q101" i="16"/>
  <c r="N101" i="16"/>
  <c r="AR100" i="16"/>
  <c r="AO100" i="16"/>
  <c r="AL100" i="16"/>
  <c r="AI100" i="16"/>
  <c r="AF100" i="16"/>
  <c r="AC100" i="16"/>
  <c r="Z100" i="16"/>
  <c r="W100" i="16"/>
  <c r="T100" i="16"/>
  <c r="Q100" i="16"/>
  <c r="N100" i="16"/>
  <c r="AR99" i="16"/>
  <c r="AO99" i="16"/>
  <c r="AL99" i="16"/>
  <c r="AI99" i="16"/>
  <c r="AF99" i="16"/>
  <c r="AC99" i="16"/>
  <c r="Z99" i="16"/>
  <c r="W99" i="16"/>
  <c r="T99" i="16"/>
  <c r="Q99" i="16"/>
  <c r="N99" i="16"/>
  <c r="AR98" i="16"/>
  <c r="AO98" i="16"/>
  <c r="AL98" i="16"/>
  <c r="AI98" i="16"/>
  <c r="AF98" i="16"/>
  <c r="AC98" i="16"/>
  <c r="Z98" i="16"/>
  <c r="W98" i="16"/>
  <c r="T98" i="16"/>
  <c r="Q98" i="16"/>
  <c r="N98" i="16"/>
  <c r="AR97" i="16"/>
  <c r="AO97" i="16"/>
  <c r="AL97" i="16"/>
  <c r="AI97" i="16"/>
  <c r="AF97" i="16"/>
  <c r="AC97" i="16"/>
  <c r="Z97" i="16"/>
  <c r="W97" i="16"/>
  <c r="T97" i="16"/>
  <c r="Q97" i="16"/>
  <c r="N97" i="16"/>
  <c r="AR96" i="16"/>
  <c r="AO96" i="16"/>
  <c r="AL96" i="16"/>
  <c r="AI96" i="16"/>
  <c r="AF96" i="16"/>
  <c r="AC96" i="16"/>
  <c r="Z96" i="16"/>
  <c r="W96" i="16"/>
  <c r="T96" i="16"/>
  <c r="Q96" i="16"/>
  <c r="N96" i="16"/>
  <c r="AR95" i="16"/>
  <c r="AO95" i="16"/>
  <c r="AL95" i="16"/>
  <c r="AI95" i="16"/>
  <c r="AF95" i="16"/>
  <c r="AC95" i="16"/>
  <c r="Z95" i="16"/>
  <c r="W95" i="16"/>
  <c r="T95" i="16"/>
  <c r="Q95" i="16"/>
  <c r="N95" i="16"/>
  <c r="AR94" i="16"/>
  <c r="AO94" i="16"/>
  <c r="AL94" i="16"/>
  <c r="AI94" i="16"/>
  <c r="AF94" i="16"/>
  <c r="AC94" i="16"/>
  <c r="Z94" i="16"/>
  <c r="W94" i="16"/>
  <c r="T94" i="16"/>
  <c r="Q94" i="16"/>
  <c r="N94" i="16"/>
  <c r="AR93" i="16"/>
  <c r="AO93" i="16"/>
  <c r="AL93" i="16"/>
  <c r="AI93" i="16"/>
  <c r="AF93" i="16"/>
  <c r="AC93" i="16"/>
  <c r="Z93" i="16"/>
  <c r="W93" i="16"/>
  <c r="T93" i="16"/>
  <c r="Q93" i="16"/>
  <c r="N93" i="16"/>
  <c r="AR92" i="16"/>
  <c r="AO92" i="16"/>
  <c r="AL92" i="16"/>
  <c r="AI92" i="16"/>
  <c r="AF92" i="16"/>
  <c r="AC92" i="16"/>
  <c r="Z92" i="16"/>
  <c r="W92" i="16"/>
  <c r="T92" i="16"/>
  <c r="Q92" i="16"/>
  <c r="N92" i="16"/>
  <c r="AR91" i="16"/>
  <c r="AO91" i="16"/>
  <c r="AL91" i="16"/>
  <c r="AI91" i="16"/>
  <c r="AF91" i="16"/>
  <c r="AC91" i="16"/>
  <c r="Z91" i="16"/>
  <c r="W91" i="16"/>
  <c r="T91" i="16"/>
  <c r="Q91" i="16"/>
  <c r="N91" i="16"/>
  <c r="AR90" i="16"/>
  <c r="AO90" i="16"/>
  <c r="AL90" i="16"/>
  <c r="AI90" i="16"/>
  <c r="AF90" i="16"/>
  <c r="AC90" i="16"/>
  <c r="Z90" i="16"/>
  <c r="W90" i="16"/>
  <c r="T90" i="16"/>
  <c r="Q90" i="16"/>
  <c r="N90" i="16"/>
  <c r="AR89" i="16"/>
  <c r="AO89" i="16"/>
  <c r="AL89" i="16"/>
  <c r="AI89" i="16"/>
  <c r="AF89" i="16"/>
  <c r="AC89" i="16"/>
  <c r="Z89" i="16"/>
  <c r="W89" i="16"/>
  <c r="T89" i="16"/>
  <c r="Q89" i="16"/>
  <c r="N89" i="16"/>
  <c r="AR88" i="16"/>
  <c r="AO88" i="16"/>
  <c r="AL88" i="16"/>
  <c r="AI88" i="16"/>
  <c r="AF88" i="16"/>
  <c r="AC88" i="16"/>
  <c r="Z88" i="16"/>
  <c r="W88" i="16"/>
  <c r="T88" i="16"/>
  <c r="Q88" i="16"/>
  <c r="N88" i="16"/>
  <c r="AR87" i="16"/>
  <c r="AO87" i="16"/>
  <c r="AL87" i="16"/>
  <c r="AI87" i="16"/>
  <c r="AF87" i="16"/>
  <c r="AC87" i="16"/>
  <c r="Z87" i="16"/>
  <c r="W87" i="16"/>
  <c r="T87" i="16"/>
  <c r="Q87" i="16"/>
  <c r="N87" i="16"/>
  <c r="AR86" i="16"/>
  <c r="AO86" i="16"/>
  <c r="AL86" i="16"/>
  <c r="AI86" i="16"/>
  <c r="AF86" i="16"/>
  <c r="AC86" i="16"/>
  <c r="Z86" i="16"/>
  <c r="W86" i="16"/>
  <c r="T86" i="16"/>
  <c r="Q86" i="16"/>
  <c r="N86" i="16"/>
  <c r="AR85" i="16"/>
  <c r="AO85" i="16"/>
  <c r="AL85" i="16"/>
  <c r="AI85" i="16"/>
  <c r="AF85" i="16"/>
  <c r="AC85" i="16"/>
  <c r="Z85" i="16"/>
  <c r="W85" i="16"/>
  <c r="T85" i="16"/>
  <c r="Q85" i="16"/>
  <c r="N85" i="16"/>
  <c r="AR84" i="16"/>
  <c r="AO84" i="16"/>
  <c r="AL84" i="16"/>
  <c r="AI84" i="16"/>
  <c r="AF84" i="16"/>
  <c r="AC84" i="16"/>
  <c r="Z84" i="16"/>
  <c r="W84" i="16"/>
  <c r="T84" i="16"/>
  <c r="Q84" i="16"/>
  <c r="N84" i="16"/>
  <c r="AR83" i="16"/>
  <c r="AO83" i="16"/>
  <c r="AL83" i="16"/>
  <c r="AI83" i="16"/>
  <c r="AF83" i="16"/>
  <c r="AC83" i="16"/>
  <c r="Z83" i="16"/>
  <c r="W83" i="16"/>
  <c r="T83" i="16"/>
  <c r="Q83" i="16"/>
  <c r="N83" i="16"/>
  <c r="AR82" i="16"/>
  <c r="AO82" i="16"/>
  <c r="AL82" i="16"/>
  <c r="AI82" i="16"/>
  <c r="AF82" i="16"/>
  <c r="AC82" i="16"/>
  <c r="Z82" i="16"/>
  <c r="W82" i="16"/>
  <c r="T82" i="16"/>
  <c r="Q82" i="16"/>
  <c r="N82" i="16"/>
  <c r="AR81" i="16"/>
  <c r="AO81" i="16"/>
  <c r="AL81" i="16"/>
  <c r="AI81" i="16"/>
  <c r="AF81" i="16"/>
  <c r="AC81" i="16"/>
  <c r="Z81" i="16"/>
  <c r="W81" i="16"/>
  <c r="T81" i="16"/>
  <c r="Q81" i="16"/>
  <c r="N81" i="16"/>
  <c r="AR80" i="16"/>
  <c r="AO80" i="16"/>
  <c r="AL80" i="16"/>
  <c r="AI80" i="16"/>
  <c r="AF80" i="16"/>
  <c r="AC80" i="16"/>
  <c r="Z80" i="16"/>
  <c r="W80" i="16"/>
  <c r="T80" i="16"/>
  <c r="Q80" i="16"/>
  <c r="N80" i="16"/>
  <c r="AR79" i="16"/>
  <c r="AO79" i="16"/>
  <c r="AL79" i="16"/>
  <c r="AI79" i="16"/>
  <c r="AF79" i="16"/>
  <c r="AC79" i="16"/>
  <c r="Z79" i="16"/>
  <c r="W79" i="16"/>
  <c r="T79" i="16"/>
  <c r="Q79" i="16"/>
  <c r="N79" i="16"/>
  <c r="AR78" i="16"/>
  <c r="AO78" i="16"/>
  <c r="AL78" i="16"/>
  <c r="AI78" i="16"/>
  <c r="AF78" i="16"/>
  <c r="AC78" i="16"/>
  <c r="Z78" i="16"/>
  <c r="W78" i="16"/>
  <c r="T78" i="16"/>
  <c r="Q78" i="16"/>
  <c r="N78" i="16"/>
  <c r="AR77" i="16"/>
  <c r="AO77" i="16"/>
  <c r="AL77" i="16"/>
  <c r="AI77" i="16"/>
  <c r="AF77" i="16"/>
  <c r="AC77" i="16"/>
  <c r="Z77" i="16"/>
  <c r="W77" i="16"/>
  <c r="T77" i="16"/>
  <c r="Q77" i="16"/>
  <c r="N77" i="16"/>
  <c r="AR76" i="16"/>
  <c r="AO76" i="16"/>
  <c r="AL76" i="16"/>
  <c r="AI76" i="16"/>
  <c r="AF76" i="16"/>
  <c r="AC76" i="16"/>
  <c r="Z76" i="16"/>
  <c r="W76" i="16"/>
  <c r="T76" i="16"/>
  <c r="Q76" i="16"/>
  <c r="N76" i="16"/>
  <c r="AR75" i="16"/>
  <c r="AO75" i="16"/>
  <c r="AL75" i="16"/>
  <c r="AI75" i="16"/>
  <c r="AF75" i="16"/>
  <c r="AC75" i="16"/>
  <c r="Z75" i="16"/>
  <c r="W75" i="16"/>
  <c r="T75" i="16"/>
  <c r="Q75" i="16"/>
  <c r="N75" i="16"/>
  <c r="AR74" i="16"/>
  <c r="AO74" i="16"/>
  <c r="AL74" i="16"/>
  <c r="AI74" i="16"/>
  <c r="AF74" i="16"/>
  <c r="AC74" i="16"/>
  <c r="Z74" i="16"/>
  <c r="W74" i="16"/>
  <c r="T74" i="16"/>
  <c r="Q74" i="16"/>
  <c r="N74" i="16"/>
  <c r="AR73" i="16"/>
  <c r="AO73" i="16"/>
  <c r="AL73" i="16"/>
  <c r="AI73" i="16"/>
  <c r="AF73" i="16"/>
  <c r="AC73" i="16"/>
  <c r="Z73" i="16"/>
  <c r="W73" i="16"/>
  <c r="T73" i="16"/>
  <c r="Q73" i="16"/>
  <c r="N73" i="16"/>
  <c r="AR72" i="16"/>
  <c r="AO72" i="16"/>
  <c r="AL72" i="16"/>
  <c r="AI72" i="16"/>
  <c r="AF72" i="16"/>
  <c r="AC72" i="16"/>
  <c r="Z72" i="16"/>
  <c r="W72" i="16"/>
  <c r="T72" i="16"/>
  <c r="Q72" i="16"/>
  <c r="N72" i="16"/>
  <c r="AR71" i="16"/>
  <c r="AO71" i="16"/>
  <c r="AL71" i="16"/>
  <c r="AI71" i="16"/>
  <c r="AF71" i="16"/>
  <c r="AC71" i="16"/>
  <c r="Z71" i="16"/>
  <c r="W71" i="16"/>
  <c r="T71" i="16"/>
  <c r="Q71" i="16"/>
  <c r="N71" i="16"/>
  <c r="AR70" i="16"/>
  <c r="AO70" i="16"/>
  <c r="AL70" i="16"/>
  <c r="AI70" i="16"/>
  <c r="AF70" i="16"/>
  <c r="AC70" i="16"/>
  <c r="Z70" i="16"/>
  <c r="W70" i="16"/>
  <c r="T70" i="16"/>
  <c r="Q70" i="16"/>
  <c r="N70" i="16"/>
  <c r="AR69" i="16"/>
  <c r="AO69" i="16"/>
  <c r="AL69" i="16"/>
  <c r="AI69" i="16"/>
  <c r="AF69" i="16"/>
  <c r="AC69" i="16"/>
  <c r="Z69" i="16"/>
  <c r="W69" i="16"/>
  <c r="T69" i="16"/>
  <c r="Q69" i="16"/>
  <c r="N69" i="16"/>
  <c r="AR68" i="16"/>
  <c r="AO68" i="16"/>
  <c r="AL68" i="16"/>
  <c r="AI68" i="16"/>
  <c r="AF68" i="16"/>
  <c r="AC68" i="16"/>
  <c r="Z68" i="16"/>
  <c r="W68" i="16"/>
  <c r="T68" i="16"/>
  <c r="Q68" i="16"/>
  <c r="N68" i="16"/>
  <c r="AR67" i="16"/>
  <c r="AO67" i="16"/>
  <c r="AL67" i="16"/>
  <c r="AI67" i="16"/>
  <c r="AF67" i="16"/>
  <c r="AC67" i="16"/>
  <c r="Z67" i="16"/>
  <c r="W67" i="16"/>
  <c r="T67" i="16"/>
  <c r="Q67" i="16"/>
  <c r="N67" i="16"/>
  <c r="AR66" i="16"/>
  <c r="AO66" i="16"/>
  <c r="AL66" i="16"/>
  <c r="AI66" i="16"/>
  <c r="AF66" i="16"/>
  <c r="AC66" i="16"/>
  <c r="Z66" i="16"/>
  <c r="W66" i="16"/>
  <c r="T66" i="16"/>
  <c r="Q66" i="16"/>
  <c r="N66" i="16"/>
  <c r="AR65" i="16"/>
  <c r="AO65" i="16"/>
  <c r="AL65" i="16"/>
  <c r="AI65" i="16"/>
  <c r="AF65" i="16"/>
  <c r="AC65" i="16"/>
  <c r="Z65" i="16"/>
  <c r="W65" i="16"/>
  <c r="T65" i="16"/>
  <c r="Q65" i="16"/>
  <c r="N65" i="16"/>
  <c r="AR64" i="16"/>
  <c r="AO64" i="16"/>
  <c r="AL64" i="16"/>
  <c r="AI64" i="16"/>
  <c r="AF64" i="16"/>
  <c r="AC64" i="16"/>
  <c r="Z64" i="16"/>
  <c r="W64" i="16"/>
  <c r="T64" i="16"/>
  <c r="Q64" i="16"/>
  <c r="N64" i="16"/>
  <c r="AR63" i="16"/>
  <c r="AO63" i="16"/>
  <c r="AL63" i="16"/>
  <c r="AI63" i="16"/>
  <c r="AF63" i="16"/>
  <c r="AC63" i="16"/>
  <c r="Z63" i="16"/>
  <c r="W63" i="16"/>
  <c r="T63" i="16"/>
  <c r="Q63" i="16"/>
  <c r="N63" i="16"/>
  <c r="AR62" i="16"/>
  <c r="AO62" i="16"/>
  <c r="AL62" i="16"/>
  <c r="AI62" i="16"/>
  <c r="AF62" i="16"/>
  <c r="AC62" i="16"/>
  <c r="Z62" i="16"/>
  <c r="W62" i="16"/>
  <c r="T62" i="16"/>
  <c r="Q62" i="16"/>
  <c r="N62" i="16"/>
  <c r="AR61" i="16"/>
  <c r="AO61" i="16"/>
  <c r="AL61" i="16"/>
  <c r="AI61" i="16"/>
  <c r="AF61" i="16"/>
  <c r="AC61" i="16"/>
  <c r="Z61" i="16"/>
  <c r="W61" i="16"/>
  <c r="T61" i="16"/>
  <c r="Q61" i="16"/>
  <c r="N61" i="16"/>
  <c r="AR60" i="16"/>
  <c r="AO60" i="16"/>
  <c r="AL60" i="16"/>
  <c r="AI60" i="16"/>
  <c r="AF60" i="16"/>
  <c r="AC60" i="16"/>
  <c r="Z60" i="16"/>
  <c r="W60" i="16"/>
  <c r="T60" i="16"/>
  <c r="Q60" i="16"/>
  <c r="N60" i="16"/>
  <c r="AR59" i="16"/>
  <c r="AO59" i="16"/>
  <c r="AL59" i="16"/>
  <c r="AI59" i="16"/>
  <c r="AF59" i="16"/>
  <c r="AC59" i="16"/>
  <c r="Z59" i="16"/>
  <c r="W59" i="16"/>
  <c r="T59" i="16"/>
  <c r="Q59" i="16"/>
  <c r="N59" i="16"/>
  <c r="AR58" i="16"/>
  <c r="AO58" i="16"/>
  <c r="AL58" i="16"/>
  <c r="AI58" i="16"/>
  <c r="AF58" i="16"/>
  <c r="AC58" i="16"/>
  <c r="Z58" i="16"/>
  <c r="W58" i="16"/>
  <c r="T58" i="16"/>
  <c r="Q58" i="16"/>
  <c r="N58" i="16"/>
  <c r="AR57" i="16"/>
  <c r="AO57" i="16"/>
  <c r="AL57" i="16"/>
  <c r="AI57" i="16"/>
  <c r="AF57" i="16"/>
  <c r="AC57" i="16"/>
  <c r="Z57" i="16"/>
  <c r="W57" i="16"/>
  <c r="T57" i="16"/>
  <c r="Q57" i="16"/>
  <c r="N57" i="16"/>
  <c r="AR56" i="16"/>
  <c r="AO56" i="16"/>
  <c r="AL56" i="16"/>
  <c r="AI56" i="16"/>
  <c r="AF56" i="16"/>
  <c r="AC56" i="16"/>
  <c r="Z56" i="16"/>
  <c r="W56" i="16"/>
  <c r="T56" i="16"/>
  <c r="Q56" i="16"/>
  <c r="N56" i="16"/>
  <c r="AR55" i="16"/>
  <c r="AO55" i="16"/>
  <c r="AL55" i="16"/>
  <c r="AI55" i="16"/>
  <c r="AF55" i="16"/>
  <c r="AC55" i="16"/>
  <c r="Z55" i="16"/>
  <c r="W55" i="16"/>
  <c r="T55" i="16"/>
  <c r="Q55" i="16"/>
  <c r="N55" i="16"/>
  <c r="AR54" i="16"/>
  <c r="AO54" i="16"/>
  <c r="AL54" i="16"/>
  <c r="AI54" i="16"/>
  <c r="AF54" i="16"/>
  <c r="AC54" i="16"/>
  <c r="Z54" i="16"/>
  <c r="W54" i="16"/>
  <c r="T54" i="16"/>
  <c r="Q54" i="16"/>
  <c r="N54" i="16"/>
  <c r="AR53" i="16"/>
  <c r="AO53" i="16"/>
  <c r="AL53" i="16"/>
  <c r="AI53" i="16"/>
  <c r="AF53" i="16"/>
  <c r="AC53" i="16"/>
  <c r="Z53" i="16"/>
  <c r="W53" i="16"/>
  <c r="T53" i="16"/>
  <c r="Q53" i="16"/>
  <c r="N53" i="16"/>
  <c r="AR52" i="16"/>
  <c r="AO52" i="16"/>
  <c r="AL52" i="16"/>
  <c r="AI52" i="16"/>
  <c r="AF52" i="16"/>
  <c r="AC52" i="16"/>
  <c r="Z52" i="16"/>
  <c r="W52" i="16"/>
  <c r="T52" i="16"/>
  <c r="Q52" i="16"/>
  <c r="N52" i="16"/>
  <c r="AR51" i="16"/>
  <c r="AO51" i="16"/>
  <c r="AL51" i="16"/>
  <c r="AI51" i="16"/>
  <c r="AF51" i="16"/>
  <c r="AC51" i="16"/>
  <c r="Z51" i="16"/>
  <c r="W51" i="16"/>
  <c r="T51" i="16"/>
  <c r="Q51" i="16"/>
  <c r="N51" i="16"/>
  <c r="AR50" i="16"/>
  <c r="AO50" i="16"/>
  <c r="AL50" i="16"/>
  <c r="AI50" i="16"/>
  <c r="AF50" i="16"/>
  <c r="AC50" i="16"/>
  <c r="Z50" i="16"/>
  <c r="W50" i="16"/>
  <c r="T50" i="16"/>
  <c r="Q50" i="16"/>
  <c r="N50" i="16"/>
  <c r="AR49" i="16"/>
  <c r="AO49" i="16"/>
  <c r="AL49" i="16"/>
  <c r="AI49" i="16"/>
  <c r="AF49" i="16"/>
  <c r="AC49" i="16"/>
  <c r="Z49" i="16"/>
  <c r="W49" i="16"/>
  <c r="T49" i="16"/>
  <c r="Q49" i="16"/>
  <c r="N49" i="16"/>
  <c r="AR48" i="16"/>
  <c r="AO48" i="16"/>
  <c r="AL48" i="16"/>
  <c r="AI48" i="16"/>
  <c r="AF48" i="16"/>
  <c r="AC48" i="16"/>
  <c r="Z48" i="16"/>
  <c r="W48" i="16"/>
  <c r="T48" i="16"/>
  <c r="Q48" i="16"/>
  <c r="N48" i="16"/>
  <c r="AR47" i="16"/>
  <c r="AO47" i="16"/>
  <c r="AL47" i="16"/>
  <c r="AI47" i="16"/>
  <c r="AF47" i="16"/>
  <c r="AC47" i="16"/>
  <c r="Z47" i="16"/>
  <c r="W47" i="16"/>
  <c r="T47" i="16"/>
  <c r="Q47" i="16"/>
  <c r="N47" i="16"/>
  <c r="AR46" i="16"/>
  <c r="AO46" i="16"/>
  <c r="AL46" i="16"/>
  <c r="AI46" i="16"/>
  <c r="AF46" i="16"/>
  <c r="AC46" i="16"/>
  <c r="Z46" i="16"/>
  <c r="W46" i="16"/>
  <c r="T46" i="16"/>
  <c r="Q46" i="16"/>
  <c r="N46" i="16"/>
  <c r="AR45" i="16"/>
  <c r="AO45" i="16"/>
  <c r="AL45" i="16"/>
  <c r="AI45" i="16"/>
  <c r="AF45" i="16"/>
  <c r="AC45" i="16"/>
  <c r="Z45" i="16"/>
  <c r="W45" i="16"/>
  <c r="T45" i="16"/>
  <c r="Q45" i="16"/>
  <c r="N45" i="16"/>
  <c r="AR44" i="16"/>
  <c r="AO44" i="16"/>
  <c r="AL44" i="16"/>
  <c r="AI44" i="16"/>
  <c r="AF44" i="16"/>
  <c r="AC44" i="16"/>
  <c r="Z44" i="16"/>
  <c r="W44" i="16"/>
  <c r="T44" i="16"/>
  <c r="Q44" i="16"/>
  <c r="N44" i="16"/>
  <c r="AR43" i="16"/>
  <c r="AO43" i="16"/>
  <c r="AL43" i="16"/>
  <c r="AI43" i="16"/>
  <c r="AF43" i="16"/>
  <c r="AC43" i="16"/>
  <c r="Z43" i="16"/>
  <c r="W43" i="16"/>
  <c r="T43" i="16"/>
  <c r="Q43" i="16"/>
  <c r="N43" i="16"/>
  <c r="AR42" i="16"/>
  <c r="AO42" i="16"/>
  <c r="AL42" i="16"/>
  <c r="AI42" i="16"/>
  <c r="AF42" i="16"/>
  <c r="AC42" i="16"/>
  <c r="Z42" i="16"/>
  <c r="W42" i="16"/>
  <c r="T42" i="16"/>
  <c r="Q42" i="16"/>
  <c r="N42" i="16"/>
  <c r="AR41" i="16"/>
  <c r="AO41" i="16"/>
  <c r="AL41" i="16"/>
  <c r="AI41" i="16"/>
  <c r="AF41" i="16"/>
  <c r="AC41" i="16"/>
  <c r="Z41" i="16"/>
  <c r="W41" i="16"/>
  <c r="T41" i="16"/>
  <c r="Q41" i="16"/>
  <c r="N41" i="16"/>
  <c r="AF4" i="15"/>
  <c r="AF5" i="15"/>
  <c r="AF6" i="15"/>
  <c r="AF7" i="15"/>
  <c r="AF8" i="15"/>
  <c r="AF9" i="15"/>
  <c r="AF10" i="15"/>
  <c r="AF11" i="15"/>
  <c r="AF12" i="15"/>
  <c r="AF13" i="15"/>
  <c r="AF14" i="15"/>
  <c r="AF15" i="15"/>
  <c r="AF16" i="15"/>
  <c r="AF17" i="15"/>
  <c r="AF18" i="15"/>
  <c r="AF19" i="15"/>
  <c r="AF20" i="15"/>
  <c r="AF21" i="15"/>
  <c r="AF22" i="15"/>
  <c r="AF23" i="15"/>
  <c r="AF24" i="15"/>
  <c r="AF25" i="15"/>
  <c r="AF26" i="15"/>
  <c r="AF27" i="15"/>
  <c r="AF28" i="15"/>
  <c r="AF29" i="15"/>
  <c r="AF30" i="15"/>
  <c r="AF31" i="15"/>
  <c r="AF32" i="15"/>
  <c r="AF33" i="15"/>
  <c r="AF34" i="15"/>
  <c r="AF35" i="15"/>
  <c r="AF36" i="15"/>
  <c r="AF37" i="15"/>
  <c r="AF38" i="15"/>
  <c r="AF39" i="15"/>
  <c r="AF3" i="15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3" i="15"/>
  <c r="Q4" i="15" l="1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3" i="15"/>
  <c r="Z4" i="15" l="1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3" i="15"/>
  <c r="N4" i="15" l="1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3" i="15"/>
  <c r="AR4" i="15" l="1"/>
  <c r="AR5" i="15"/>
  <c r="AR6" i="15"/>
  <c r="AR7" i="15"/>
  <c r="AR8" i="15"/>
  <c r="AR9" i="15"/>
  <c r="AR10" i="15"/>
  <c r="AR11" i="15"/>
  <c r="AR12" i="15"/>
  <c r="AR13" i="15"/>
  <c r="AR14" i="15"/>
  <c r="AR15" i="15"/>
  <c r="AR16" i="15"/>
  <c r="AR17" i="15"/>
  <c r="AR18" i="15"/>
  <c r="AR19" i="15"/>
  <c r="AR20" i="15"/>
  <c r="AR21" i="15"/>
  <c r="AR22" i="15"/>
  <c r="AR23" i="15"/>
  <c r="AR24" i="15"/>
  <c r="AR25" i="15"/>
  <c r="AR26" i="15"/>
  <c r="AR27" i="15"/>
  <c r="AR28" i="15"/>
  <c r="AR29" i="15"/>
  <c r="AR30" i="15"/>
  <c r="AR31" i="15"/>
  <c r="AR32" i="15"/>
  <c r="AR33" i="15"/>
  <c r="AR34" i="15"/>
  <c r="AR35" i="15"/>
  <c r="AR36" i="15"/>
  <c r="AR37" i="15"/>
  <c r="AR38" i="15"/>
  <c r="AR39" i="15"/>
  <c r="AR3" i="15"/>
  <c r="AC4" i="15" l="1"/>
  <c r="AC5" i="15"/>
  <c r="AC6" i="15"/>
  <c r="AC7" i="15"/>
  <c r="AC8" i="15"/>
  <c r="AC9" i="15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3" i="15"/>
  <c r="AO4" i="15"/>
  <c r="AO5" i="15"/>
  <c r="AO6" i="15"/>
  <c r="AO7" i="15"/>
  <c r="AO8" i="15"/>
  <c r="AO9" i="15"/>
  <c r="AO10" i="15"/>
  <c r="AO11" i="15"/>
  <c r="AO12" i="15"/>
  <c r="AO13" i="15"/>
  <c r="AO14" i="15"/>
  <c r="AO15" i="15"/>
  <c r="AO16" i="15"/>
  <c r="AO17" i="15"/>
  <c r="AO18" i="15"/>
  <c r="AO19" i="15"/>
  <c r="AO20" i="15"/>
  <c r="AO21" i="15"/>
  <c r="AO22" i="15"/>
  <c r="AO23" i="15"/>
  <c r="AO24" i="15"/>
  <c r="AO25" i="15"/>
  <c r="AO26" i="15"/>
  <c r="AO27" i="15"/>
  <c r="AO28" i="15"/>
  <c r="AO29" i="15"/>
  <c r="AO30" i="15"/>
  <c r="AO31" i="15"/>
  <c r="AO32" i="15"/>
  <c r="AO33" i="15"/>
  <c r="AO34" i="15"/>
  <c r="AO35" i="15"/>
  <c r="AO36" i="15"/>
  <c r="AO37" i="15"/>
  <c r="AO38" i="15"/>
  <c r="AO39" i="15"/>
  <c r="AO3" i="15"/>
  <c r="AL4" i="15" l="1"/>
  <c r="AL5" i="15"/>
  <c r="AL6" i="15"/>
  <c r="AL7" i="15"/>
  <c r="AL8" i="15"/>
  <c r="AL9" i="15"/>
  <c r="AL10" i="15"/>
  <c r="AL11" i="15"/>
  <c r="AL12" i="15"/>
  <c r="AL13" i="15"/>
  <c r="AL14" i="15"/>
  <c r="AL15" i="15"/>
  <c r="AL16" i="15"/>
  <c r="AL17" i="15"/>
  <c r="AL18" i="15"/>
  <c r="AL19" i="15"/>
  <c r="AL20" i="15"/>
  <c r="AL21" i="15"/>
  <c r="AL22" i="15"/>
  <c r="AL23" i="15"/>
  <c r="AL24" i="15"/>
  <c r="AL25" i="15"/>
  <c r="AL26" i="15"/>
  <c r="AL27" i="15"/>
  <c r="AL28" i="15"/>
  <c r="AL29" i="15"/>
  <c r="AL30" i="15"/>
  <c r="AL31" i="15"/>
  <c r="AL32" i="15"/>
  <c r="AL33" i="15"/>
  <c r="AL34" i="15"/>
  <c r="AL35" i="15"/>
  <c r="AL36" i="15"/>
  <c r="AL37" i="15"/>
  <c r="AL38" i="15"/>
  <c r="AL39" i="15"/>
  <c r="AL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3" i="15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3" i="15"/>
  <c r="AH4" i="14" l="1"/>
  <c r="AH5" i="14"/>
  <c r="AH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3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3" i="14"/>
  <c r="AB4" i="14" l="1"/>
  <c r="AB5" i="14"/>
  <c r="AB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3" i="14"/>
  <c r="S4" i="14" l="1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3" i="14"/>
  <c r="AN4" i="14" l="1"/>
  <c r="AN5" i="14"/>
  <c r="AN6" i="14"/>
  <c r="AN7" i="14"/>
  <c r="AN8" i="14"/>
  <c r="AN9" i="14"/>
  <c r="AN10" i="14"/>
  <c r="AN11" i="14"/>
  <c r="AN12" i="14"/>
  <c r="AN13" i="14"/>
  <c r="AN14" i="14"/>
  <c r="AN15" i="14"/>
  <c r="AN16" i="14"/>
  <c r="AN17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AN31" i="14"/>
  <c r="AN32" i="14"/>
  <c r="AN33" i="14"/>
  <c r="AN34" i="14"/>
  <c r="AN35" i="14"/>
  <c r="AN36" i="14"/>
  <c r="AN37" i="14"/>
  <c r="AN38" i="14"/>
  <c r="AN39" i="14"/>
  <c r="AN3" i="14"/>
  <c r="AK4" i="14"/>
  <c r="AK5" i="14"/>
  <c r="AK6" i="14"/>
  <c r="AK7" i="14"/>
  <c r="AK8" i="14"/>
  <c r="AK9" i="14"/>
  <c r="AK10" i="14"/>
  <c r="AK11" i="14"/>
  <c r="AK12" i="14"/>
  <c r="AK13" i="14"/>
  <c r="AK14" i="14"/>
  <c r="AK15" i="14"/>
  <c r="AK16" i="14"/>
  <c r="AK17" i="14"/>
  <c r="AK18" i="14"/>
  <c r="AK19" i="14"/>
  <c r="AK20" i="14"/>
  <c r="AK21" i="14"/>
  <c r="AK22" i="14"/>
  <c r="AK23" i="14"/>
  <c r="AK24" i="14"/>
  <c r="AK25" i="14"/>
  <c r="AK26" i="14"/>
  <c r="AK27" i="14"/>
  <c r="AK28" i="14"/>
  <c r="AK29" i="14"/>
  <c r="AK30" i="14"/>
  <c r="AK31" i="14"/>
  <c r="AK32" i="14"/>
  <c r="AK33" i="14"/>
  <c r="AK34" i="14"/>
  <c r="AK35" i="14"/>
  <c r="AK36" i="14"/>
  <c r="AK37" i="14"/>
  <c r="AK38" i="14"/>
  <c r="AK39" i="14"/>
  <c r="AK3" i="14"/>
  <c r="Y4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3" i="14"/>
  <c r="AE4" i="14" l="1"/>
  <c r="AE5" i="14"/>
  <c r="AE6" i="14"/>
  <c r="AE7" i="14"/>
  <c r="AE8" i="14"/>
  <c r="AE9" i="14"/>
  <c r="AE10" i="14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E35" i="14"/>
  <c r="AE36" i="14"/>
  <c r="AE37" i="14"/>
  <c r="AE38" i="14"/>
  <c r="AE39" i="14"/>
  <c r="AE3" i="14"/>
  <c r="AQ4" i="14"/>
  <c r="AQ5" i="14"/>
  <c r="AQ6" i="14"/>
  <c r="AQ7" i="14"/>
  <c r="AQ8" i="14"/>
  <c r="AQ9" i="14"/>
  <c r="AQ10" i="14"/>
  <c r="AQ11" i="14"/>
  <c r="AQ12" i="14"/>
  <c r="AQ13" i="14"/>
  <c r="AQ14" i="14"/>
  <c r="AQ15" i="14"/>
  <c r="AQ16" i="14"/>
  <c r="AQ17" i="14"/>
  <c r="AQ18" i="14"/>
  <c r="AQ19" i="14"/>
  <c r="AQ20" i="14"/>
  <c r="AQ21" i="14"/>
  <c r="AQ22" i="14"/>
  <c r="AQ23" i="14"/>
  <c r="AQ24" i="14"/>
  <c r="AQ25" i="14"/>
  <c r="AQ26" i="14"/>
  <c r="AQ27" i="14"/>
  <c r="AQ28" i="14"/>
  <c r="AQ29" i="14"/>
  <c r="AQ30" i="14"/>
  <c r="AQ31" i="14"/>
  <c r="AQ32" i="14"/>
  <c r="AQ33" i="14"/>
  <c r="AQ34" i="14"/>
  <c r="AQ35" i="14"/>
  <c r="AQ36" i="14"/>
  <c r="AQ37" i="14"/>
  <c r="AQ38" i="14"/>
  <c r="AQ39" i="14"/>
  <c r="AQ3" i="14"/>
  <c r="AT4" i="14" l="1"/>
  <c r="AT5" i="14"/>
  <c r="AT6" i="14"/>
  <c r="AT7" i="14"/>
  <c r="AT8" i="14"/>
  <c r="AT9" i="14"/>
  <c r="AT10" i="14"/>
  <c r="AT11" i="14"/>
  <c r="AT12" i="14"/>
  <c r="AT13" i="14"/>
  <c r="AT14" i="14"/>
  <c r="AT15" i="14"/>
  <c r="AT16" i="14"/>
  <c r="AT17" i="14"/>
  <c r="AT18" i="14"/>
  <c r="AT19" i="14"/>
  <c r="AT20" i="14"/>
  <c r="AT21" i="14"/>
  <c r="AT22" i="14"/>
  <c r="AT23" i="14"/>
  <c r="AT24" i="14"/>
  <c r="AT25" i="14"/>
  <c r="AT26" i="14"/>
  <c r="AT27" i="14"/>
  <c r="AT28" i="14"/>
  <c r="AT29" i="14"/>
  <c r="AT30" i="14"/>
  <c r="AT31" i="14"/>
  <c r="AT32" i="14"/>
  <c r="AT33" i="14"/>
  <c r="AT34" i="14"/>
  <c r="AT35" i="14"/>
  <c r="AT36" i="14"/>
  <c r="AT37" i="14"/>
  <c r="AT38" i="14"/>
  <c r="AT39" i="14"/>
  <c r="AT3" i="14"/>
  <c r="N4" i="14" l="1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3" i="14"/>
  <c r="AO4" i="13" l="1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3" i="13"/>
  <c r="Z4" i="13" l="1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3" i="13"/>
  <c r="Q4" i="13" l="1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3" i="13"/>
  <c r="AF4" i="13" l="1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3" i="13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3" i="13"/>
  <c r="AF4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3" i="12"/>
  <c r="N4" i="13" l="1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3" i="13"/>
  <c r="AL4" i="13" l="1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3" i="13"/>
  <c r="AI4" i="13"/>
  <c r="AI5" i="13"/>
  <c r="AI6" i="13"/>
  <c r="AI7" i="13"/>
  <c r="AI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AI33" i="13"/>
  <c r="AI34" i="13"/>
  <c r="AI35" i="13"/>
  <c r="AI36" i="13"/>
  <c r="AI37" i="13"/>
  <c r="AI38" i="13"/>
  <c r="AI39" i="13"/>
  <c r="AI40" i="13"/>
  <c r="AI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3" i="13"/>
  <c r="AO4" i="12" l="1"/>
  <c r="AO5" i="12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3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3" i="12"/>
  <c r="AL4" i="12" l="1"/>
  <c r="AL5" i="12"/>
  <c r="AL6" i="12"/>
  <c r="AL7" i="12"/>
  <c r="AL8" i="12"/>
  <c r="AL9" i="12"/>
  <c r="AL10" i="12"/>
  <c r="AL11" i="12"/>
  <c r="AL12" i="12"/>
  <c r="AL13" i="12"/>
  <c r="AL14" i="12"/>
  <c r="AL15" i="12"/>
  <c r="AL16" i="12"/>
  <c r="AL17" i="12"/>
  <c r="AL18" i="12"/>
  <c r="AL19" i="12"/>
  <c r="AL20" i="12"/>
  <c r="AL21" i="12"/>
  <c r="AL22" i="12"/>
  <c r="AL23" i="12"/>
  <c r="AL24" i="12"/>
  <c r="AL25" i="12"/>
  <c r="AL26" i="12"/>
  <c r="AL27" i="12"/>
  <c r="AL28" i="12"/>
  <c r="AL29" i="12"/>
  <c r="AL30" i="12"/>
  <c r="AL31" i="12"/>
  <c r="AL32" i="12"/>
  <c r="AL33" i="12"/>
  <c r="AL34" i="12"/>
  <c r="AL35" i="12"/>
  <c r="AL36" i="12"/>
  <c r="AL37" i="12"/>
  <c r="AL38" i="12"/>
  <c r="AL39" i="12"/>
  <c r="AL40" i="12"/>
  <c r="AL3" i="12"/>
  <c r="AI4" i="12"/>
  <c r="AI5" i="12"/>
  <c r="AI6" i="12"/>
  <c r="AI7" i="12"/>
  <c r="AI8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3" i="12"/>
  <c r="W4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3" i="12"/>
  <c r="Z4" i="12" l="1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3" i="12"/>
  <c r="AR40" i="9" l="1"/>
  <c r="AR4" i="13"/>
  <c r="AR5" i="13"/>
  <c r="AR6" i="13"/>
  <c r="AR7" i="13"/>
  <c r="AR8" i="13"/>
  <c r="AR9" i="13"/>
  <c r="AR10" i="13"/>
  <c r="AR11" i="13"/>
  <c r="AR12" i="13"/>
  <c r="AR13" i="13"/>
  <c r="AR14" i="13"/>
  <c r="AR15" i="13"/>
  <c r="AR16" i="13"/>
  <c r="AR17" i="13"/>
  <c r="AR18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3" i="13"/>
  <c r="Q4" i="12" l="1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3" i="12"/>
  <c r="AF4" i="11" l="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3" i="11"/>
  <c r="N4" i="12" l="1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3" i="12"/>
  <c r="AR4" i="12" l="1"/>
  <c r="AR5" i="12"/>
  <c r="AR6" i="12"/>
  <c r="AR7" i="12"/>
  <c r="AR8" i="12"/>
  <c r="AR9" i="12"/>
  <c r="AR10" i="12"/>
  <c r="AR11" i="12"/>
  <c r="AR12" i="12"/>
  <c r="AR13" i="12"/>
  <c r="AR14" i="12"/>
  <c r="AR15" i="12"/>
  <c r="AR16" i="12"/>
  <c r="AR17" i="12"/>
  <c r="AR18" i="12"/>
  <c r="AR19" i="12"/>
  <c r="AR20" i="12"/>
  <c r="AR21" i="12"/>
  <c r="AR22" i="12"/>
  <c r="AR23" i="12"/>
  <c r="AR24" i="12"/>
  <c r="AR25" i="12"/>
  <c r="AR26" i="12"/>
  <c r="AR27" i="12"/>
  <c r="AR28" i="12"/>
  <c r="AR29" i="12"/>
  <c r="AR30" i="12"/>
  <c r="AR31" i="12"/>
  <c r="AR32" i="12"/>
  <c r="AR33" i="12"/>
  <c r="AR34" i="12"/>
  <c r="AR35" i="12"/>
  <c r="AR36" i="12"/>
  <c r="AR37" i="12"/>
  <c r="AR38" i="12"/>
  <c r="AR39" i="12"/>
  <c r="AR40" i="12"/>
  <c r="AR3" i="12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33" i="11"/>
  <c r="AR34" i="11"/>
  <c r="AR35" i="11"/>
  <c r="AR36" i="11"/>
  <c r="AR37" i="11"/>
  <c r="AR38" i="11"/>
  <c r="AR39" i="11"/>
  <c r="AR40" i="11"/>
  <c r="AR3" i="11"/>
  <c r="Q4" i="11" l="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3" i="11"/>
  <c r="AC4" i="11" l="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33" i="11"/>
  <c r="AO34" i="11"/>
  <c r="AO35" i="11"/>
  <c r="AO36" i="11"/>
  <c r="AO37" i="11"/>
  <c r="AO38" i="11"/>
  <c r="AO39" i="11"/>
  <c r="AO40" i="11"/>
  <c r="AO3" i="11"/>
  <c r="N4" i="11" l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3" i="11"/>
  <c r="Z4" i="11" l="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3" i="11"/>
  <c r="AL4" i="11" l="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33" i="11"/>
  <c r="AL34" i="11"/>
  <c r="AL35" i="11"/>
  <c r="AL36" i="11"/>
  <c r="AL37" i="11"/>
  <c r="AL38" i="11"/>
  <c r="AL39" i="11"/>
  <c r="AL40" i="11"/>
  <c r="AL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3" i="11"/>
  <c r="AC40" i="9" l="1"/>
  <c r="AO40" i="9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3" i="10"/>
  <c r="AN4" i="10"/>
  <c r="AN5" i="10"/>
  <c r="AN6" i="10"/>
  <c r="AN7" i="10"/>
  <c r="AN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3" i="10"/>
  <c r="Q40" i="9" l="1"/>
  <c r="P4" i="10" l="1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3" i="10"/>
  <c r="Y4" i="10" l="1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3" i="10"/>
  <c r="AK4" i="10" l="1"/>
  <c r="AK5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3" i="10"/>
  <c r="AL40" i="9"/>
  <c r="AI40" i="9"/>
  <c r="W40" i="9"/>
  <c r="AE4" i="10" l="1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3" i="10"/>
  <c r="M4" i="10" l="1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3" i="10"/>
  <c r="AQ4" i="10" l="1"/>
  <c r="AQ5" i="10"/>
  <c r="AQ6" i="10"/>
  <c r="AQ7" i="10"/>
  <c r="AQ8" i="10"/>
  <c r="AQ9" i="10"/>
  <c r="AQ10" i="10"/>
  <c r="AQ11" i="10"/>
  <c r="AQ12" i="10"/>
  <c r="AQ13" i="10"/>
  <c r="AQ14" i="10"/>
  <c r="AQ15" i="10"/>
  <c r="AQ16" i="10"/>
  <c r="AQ17" i="10"/>
  <c r="AQ18" i="10"/>
  <c r="AQ19" i="10"/>
  <c r="AQ20" i="10"/>
  <c r="AQ21" i="10"/>
  <c r="AQ22" i="10"/>
  <c r="AQ23" i="10"/>
  <c r="AQ24" i="10"/>
  <c r="AQ25" i="10"/>
  <c r="AQ26" i="10"/>
  <c r="AQ27" i="10"/>
  <c r="AQ28" i="10"/>
  <c r="AQ29" i="10"/>
  <c r="AQ30" i="10"/>
  <c r="AQ31" i="10"/>
  <c r="AQ32" i="10"/>
  <c r="AQ33" i="10"/>
  <c r="AQ34" i="10"/>
  <c r="AQ35" i="10"/>
  <c r="AQ36" i="10"/>
  <c r="AQ37" i="10"/>
  <c r="AQ38" i="10"/>
  <c r="AQ39" i="10"/>
  <c r="AQ40" i="10"/>
  <c r="AQ3" i="10"/>
  <c r="Z4" i="9" l="1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3" i="9"/>
  <c r="AF4" i="9" l="1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3" i="9"/>
  <c r="AC4" i="9" l="1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3" i="9"/>
  <c r="AO4" i="9"/>
  <c r="AO5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3" i="9"/>
  <c r="AO34" i="9"/>
  <c r="AO35" i="9"/>
  <c r="AO36" i="9"/>
  <c r="AO37" i="9"/>
  <c r="AO38" i="9"/>
  <c r="AO39" i="9"/>
  <c r="AO3" i="9"/>
  <c r="AL4" i="9" l="1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3" i="9"/>
  <c r="AI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3" i="9"/>
  <c r="Q4" i="9" l="1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3" i="9"/>
  <c r="AC4" i="8" l="1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3" i="8"/>
  <c r="AL4" i="8" l="1"/>
  <c r="AL5" i="8"/>
  <c r="AL6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3" i="8"/>
  <c r="AR4" i="9" l="1"/>
  <c r="AR5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3" i="9"/>
  <c r="AR34" i="9"/>
  <c r="AR35" i="9"/>
  <c r="AR36" i="9"/>
  <c r="AR37" i="9"/>
  <c r="AR38" i="9"/>
  <c r="AR39" i="9"/>
  <c r="AR3" i="9"/>
  <c r="N4" i="9" l="1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3" i="9"/>
  <c r="AR4" i="8" l="1"/>
  <c r="AR5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23" i="8"/>
  <c r="AR24" i="8"/>
  <c r="AR25" i="8"/>
  <c r="AR26" i="8"/>
  <c r="AR27" i="8"/>
  <c r="AR28" i="8"/>
  <c r="AR29" i="8"/>
  <c r="AR30" i="8"/>
  <c r="AR31" i="8"/>
  <c r="AR32" i="8"/>
  <c r="AR33" i="8"/>
  <c r="AR34" i="8"/>
  <c r="AR35" i="8"/>
  <c r="AR36" i="8"/>
  <c r="AR37" i="8"/>
  <c r="AR38" i="8"/>
  <c r="AR39" i="8"/>
  <c r="AR40" i="8"/>
  <c r="AR3" i="8"/>
  <c r="AO4" i="7" l="1"/>
  <c r="AO5" i="7"/>
  <c r="AO6" i="7"/>
  <c r="AO7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36" i="7"/>
  <c r="AO37" i="7"/>
  <c r="AO38" i="7"/>
  <c r="AO39" i="7"/>
  <c r="AO40" i="7"/>
  <c r="AO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3" i="7"/>
  <c r="Z4" i="8" l="1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3" i="8"/>
  <c r="Q4" i="8" l="1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3" i="8"/>
  <c r="N4" i="8" l="1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3" i="8"/>
  <c r="AR4" i="7" l="1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3" i="7"/>
  <c r="Z4" i="7" l="1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3" i="7"/>
  <c r="Q4" i="7" l="1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3" i="7"/>
  <c r="N4" i="7" l="1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3" i="7"/>
  <c r="AL43" i="6" l="1"/>
  <c r="AL44" i="6"/>
  <c r="AI43" i="6"/>
  <c r="AI44" i="6"/>
  <c r="W43" i="6"/>
  <c r="W44" i="6"/>
  <c r="AL4" i="7" l="1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3" i="7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3" i="7"/>
  <c r="AF4" i="7" l="1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3" i="7"/>
  <c r="N42" i="6" l="1"/>
  <c r="AR42" i="5" l="1"/>
  <c r="AR4" i="6"/>
  <c r="AR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3" i="6"/>
  <c r="N4" i="6" l="1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3" i="6"/>
  <c r="Q42" i="5" l="1"/>
  <c r="AL42" i="5" l="1"/>
  <c r="AI42" i="5"/>
  <c r="W42" i="5"/>
  <c r="AO4" i="6" l="1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3" i="6"/>
  <c r="AL4" i="6" l="1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3" i="6"/>
  <c r="Z4" i="6" l="1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2" i="6"/>
  <c r="Z3" i="6"/>
  <c r="AF4" i="6" l="1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2" i="6"/>
  <c r="AF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2" i="6"/>
  <c r="T3" i="6"/>
  <c r="AC42" i="5" l="1"/>
  <c r="AO42" i="5"/>
  <c r="AF4" i="5" l="1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41" i="5"/>
  <c r="AF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41" i="5"/>
  <c r="T3" i="5"/>
  <c r="AR4" i="5" l="1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R36" i="5"/>
  <c r="AR37" i="5"/>
  <c r="AR38" i="5"/>
  <c r="AR39" i="5"/>
  <c r="AR40" i="5"/>
  <c r="AR41" i="5"/>
  <c r="AR3" i="5"/>
  <c r="AC4" i="5" l="1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3" i="5"/>
  <c r="AO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3" i="5"/>
  <c r="AL4" i="5" l="1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3" i="5"/>
  <c r="Q41" i="5" l="1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3" i="5"/>
  <c r="N41" i="5" l="1"/>
  <c r="N3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Z4" i="5" l="1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41" i="5"/>
  <c r="Z3" i="5"/>
  <c r="AF39" i="4" l="1"/>
  <c r="T39" i="4" l="1"/>
  <c r="Z39" i="4"/>
  <c r="Q39" i="4" l="1"/>
  <c r="AC39" i="4" l="1"/>
  <c r="AO39" i="4"/>
  <c r="AR39" i="4" l="1"/>
  <c r="AR38" i="4"/>
  <c r="AR37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AR5" i="4"/>
  <c r="AR4" i="4"/>
  <c r="AR3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3" i="4"/>
  <c r="AL4" i="4" l="1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3" i="4"/>
  <c r="Z4" i="3" l="1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AO4" i="3" l="1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T4" i="3" l="1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W40" i="3" l="1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R4" i="3" l="1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3" i="3"/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3" i="3"/>
  <c r="Q4" i="3" l="1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3" i="3"/>
  <c r="Z3" i="3" l="1"/>
  <c r="AO3" i="3" l="1"/>
  <c r="AC3" i="3"/>
  <c r="AF3" i="3" l="1"/>
  <c r="T3" i="3"/>
  <c r="AL3" i="3" l="1"/>
  <c r="AI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3" i="3"/>
  <c r="AO38" i="4" l="1"/>
  <c r="AF38" i="4"/>
  <c r="AC38" i="4"/>
  <c r="Z38" i="4"/>
  <c r="T38" i="4"/>
  <c r="Q38" i="4"/>
  <c r="AO37" i="4"/>
  <c r="AF37" i="4"/>
  <c r="AC37" i="4"/>
  <c r="Z37" i="4"/>
  <c r="T37" i="4"/>
  <c r="Q37" i="4"/>
  <c r="AO36" i="4"/>
  <c r="AF36" i="4"/>
  <c r="AC36" i="4"/>
  <c r="Z36" i="4"/>
  <c r="T36" i="4"/>
  <c r="Q36" i="4"/>
  <c r="AO35" i="4"/>
  <c r="AF35" i="4"/>
  <c r="AC35" i="4"/>
  <c r="Z35" i="4"/>
  <c r="T35" i="4"/>
  <c r="Q35" i="4"/>
  <c r="AO34" i="4"/>
  <c r="AF34" i="4"/>
  <c r="AC34" i="4"/>
  <c r="Z34" i="4"/>
  <c r="T34" i="4"/>
  <c r="Q34" i="4"/>
  <c r="AO33" i="4"/>
  <c r="AF33" i="4"/>
  <c r="AC33" i="4"/>
  <c r="Z33" i="4"/>
  <c r="T33" i="4"/>
  <c r="Q33" i="4"/>
  <c r="AO32" i="4"/>
  <c r="AF32" i="4"/>
  <c r="AC32" i="4"/>
  <c r="Z32" i="4"/>
  <c r="T32" i="4"/>
  <c r="Q32" i="4"/>
  <c r="AO31" i="4"/>
  <c r="AF31" i="4"/>
  <c r="AC31" i="4"/>
  <c r="Z31" i="4"/>
  <c r="T31" i="4"/>
  <c r="Q31" i="4"/>
  <c r="AO30" i="4"/>
  <c r="AF30" i="4"/>
  <c r="AC30" i="4"/>
  <c r="Z30" i="4"/>
  <c r="T30" i="4"/>
  <c r="Q30" i="4"/>
  <c r="AO29" i="4"/>
  <c r="AF29" i="4"/>
  <c r="AC29" i="4"/>
  <c r="Z29" i="4"/>
  <c r="T29" i="4"/>
  <c r="Q29" i="4"/>
  <c r="AO28" i="4"/>
  <c r="AF28" i="4"/>
  <c r="AC28" i="4"/>
  <c r="Z28" i="4"/>
  <c r="T28" i="4"/>
  <c r="Q28" i="4"/>
  <c r="AO27" i="4"/>
  <c r="AF27" i="4"/>
  <c r="AC27" i="4"/>
  <c r="Z27" i="4"/>
  <c r="T27" i="4"/>
  <c r="Q27" i="4"/>
  <c r="AO26" i="4"/>
  <c r="AF26" i="4"/>
  <c r="AC26" i="4"/>
  <c r="Z26" i="4"/>
  <c r="T26" i="4"/>
  <c r="Q26" i="4"/>
  <c r="AO25" i="4"/>
  <c r="AF25" i="4"/>
  <c r="AC25" i="4"/>
  <c r="Z25" i="4"/>
  <c r="T25" i="4"/>
  <c r="Q25" i="4"/>
  <c r="AO24" i="4"/>
  <c r="AF24" i="4"/>
  <c r="AC24" i="4"/>
  <c r="Z24" i="4"/>
  <c r="T24" i="4"/>
  <c r="Q24" i="4"/>
  <c r="AO23" i="4"/>
  <c r="AF23" i="4"/>
  <c r="AC23" i="4"/>
  <c r="Z23" i="4"/>
  <c r="T23" i="4"/>
  <c r="Q23" i="4"/>
  <c r="AO22" i="4"/>
  <c r="AF22" i="4"/>
  <c r="AC22" i="4"/>
  <c r="Z22" i="4"/>
  <c r="T22" i="4"/>
  <c r="Q22" i="4"/>
  <c r="AO21" i="4"/>
  <c r="AF21" i="4"/>
  <c r="AC21" i="4"/>
  <c r="Z21" i="4"/>
  <c r="T21" i="4"/>
  <c r="Q21" i="4"/>
  <c r="AO20" i="4"/>
  <c r="AF20" i="4"/>
  <c r="AC20" i="4"/>
  <c r="Z20" i="4"/>
  <c r="T20" i="4"/>
  <c r="Q20" i="4"/>
  <c r="AO19" i="4"/>
  <c r="AF19" i="4"/>
  <c r="AC19" i="4"/>
  <c r="Z19" i="4"/>
  <c r="T19" i="4"/>
  <c r="Q19" i="4"/>
  <c r="AO18" i="4"/>
  <c r="AF18" i="4"/>
  <c r="AC18" i="4"/>
  <c r="Z18" i="4"/>
  <c r="T18" i="4"/>
  <c r="Q18" i="4"/>
  <c r="AO17" i="4"/>
  <c r="AF17" i="4"/>
  <c r="AC17" i="4"/>
  <c r="Z17" i="4"/>
  <c r="T17" i="4"/>
  <c r="Q17" i="4"/>
  <c r="AO16" i="4"/>
  <c r="AF16" i="4"/>
  <c r="AC16" i="4"/>
  <c r="Z16" i="4"/>
  <c r="T16" i="4"/>
  <c r="Q16" i="4"/>
  <c r="AO15" i="4"/>
  <c r="AF15" i="4"/>
  <c r="AC15" i="4"/>
  <c r="Z15" i="4"/>
  <c r="T15" i="4"/>
  <c r="Q15" i="4"/>
  <c r="AO14" i="4"/>
  <c r="AF14" i="4"/>
  <c r="AC14" i="4"/>
  <c r="Z14" i="4"/>
  <c r="T14" i="4"/>
  <c r="Q14" i="4"/>
  <c r="AO13" i="4"/>
  <c r="AF13" i="4"/>
  <c r="AC13" i="4"/>
  <c r="Z13" i="4"/>
  <c r="T13" i="4"/>
  <c r="Q13" i="4"/>
  <c r="AO12" i="4"/>
  <c r="AF12" i="4"/>
  <c r="AC12" i="4"/>
  <c r="Z12" i="4"/>
  <c r="T12" i="4"/>
  <c r="Q12" i="4"/>
  <c r="AO11" i="4"/>
  <c r="AF11" i="4"/>
  <c r="AC11" i="4"/>
  <c r="Z11" i="4"/>
  <c r="T11" i="4"/>
  <c r="Q11" i="4"/>
  <c r="AO10" i="4"/>
  <c r="AF10" i="4"/>
  <c r="AC10" i="4"/>
  <c r="Z10" i="4"/>
  <c r="T10" i="4"/>
  <c r="Q10" i="4"/>
  <c r="AO9" i="4"/>
  <c r="AF9" i="4"/>
  <c r="AC9" i="4"/>
  <c r="Z9" i="4"/>
  <c r="T9" i="4"/>
  <c r="Q9" i="4"/>
  <c r="AO8" i="4"/>
  <c r="AF8" i="4"/>
  <c r="AC8" i="4"/>
  <c r="Z8" i="4"/>
  <c r="T8" i="4"/>
  <c r="Q8" i="4"/>
  <c r="AO7" i="4"/>
  <c r="AF7" i="4"/>
  <c r="AC7" i="4"/>
  <c r="Z7" i="4"/>
  <c r="T7" i="4"/>
  <c r="Q7" i="4"/>
  <c r="AO6" i="4"/>
  <c r="AF6" i="4"/>
  <c r="AC6" i="4"/>
  <c r="Z6" i="4"/>
  <c r="T6" i="4"/>
  <c r="Q6" i="4"/>
  <c r="AO5" i="4"/>
  <c r="AF5" i="4"/>
  <c r="AC5" i="4"/>
  <c r="Z5" i="4"/>
  <c r="T5" i="4"/>
  <c r="Q5" i="4"/>
  <c r="AO4" i="4"/>
  <c r="AF4" i="4"/>
  <c r="AC4" i="4"/>
  <c r="Z4" i="4"/>
  <c r="T4" i="4"/>
  <c r="Q4" i="4"/>
  <c r="AO3" i="4"/>
  <c r="AF3" i="4"/>
  <c r="AC3" i="4"/>
  <c r="Z3" i="4"/>
  <c r="T3" i="4"/>
  <c r="Q3" i="4"/>
</calcChain>
</file>

<file path=xl/sharedStrings.xml><?xml version="1.0" encoding="utf-8"?>
<sst xmlns="http://schemas.openxmlformats.org/spreadsheetml/2006/main" count="5306" uniqueCount="168">
  <si>
    <t>JS-3</t>
  </si>
  <si>
    <t>JS-4</t>
  </si>
  <si>
    <t>JS-5</t>
  </si>
  <si>
    <t>JS-6</t>
  </si>
  <si>
    <t>JS-7</t>
  </si>
  <si>
    <t>JS-8</t>
  </si>
  <si>
    <t>JS-9</t>
  </si>
  <si>
    <t>JS-10</t>
  </si>
  <si>
    <t>JS-11</t>
  </si>
  <si>
    <t>JS-12</t>
  </si>
  <si>
    <t>JS-13</t>
  </si>
  <si>
    <t>JS-14</t>
  </si>
  <si>
    <t>JS-15</t>
  </si>
  <si>
    <t>JS-16</t>
  </si>
  <si>
    <t>JS-17</t>
  </si>
  <si>
    <t>JS-18</t>
  </si>
  <si>
    <t>JS-19</t>
  </si>
  <si>
    <t>JS-20</t>
  </si>
  <si>
    <t>JS-21</t>
  </si>
  <si>
    <t>JS-22</t>
  </si>
  <si>
    <t>JS-23</t>
  </si>
  <si>
    <t>JS-24</t>
  </si>
  <si>
    <t>JS-25</t>
  </si>
  <si>
    <t>JS-26</t>
  </si>
  <si>
    <t>JS-27</t>
  </si>
  <si>
    <t>JS-28</t>
  </si>
  <si>
    <t>JS-29</t>
  </si>
  <si>
    <t>JS-30</t>
  </si>
  <si>
    <t>JS-31</t>
  </si>
  <si>
    <t>JS-32</t>
  </si>
  <si>
    <t>JS-33</t>
  </si>
  <si>
    <t>JS-34</t>
  </si>
  <si>
    <t>JS-35</t>
  </si>
  <si>
    <t>JS-36</t>
  </si>
  <si>
    <t>전남 화순군 이양면 구례리 817-9</t>
  </si>
  <si>
    <t>구례교</t>
  </si>
  <si>
    <t>지석천</t>
  </si>
  <si>
    <t>JS-2</t>
  </si>
  <si>
    <t>전남 화순군 이양면 매정리 593-94</t>
  </si>
  <si>
    <t>매정교</t>
  </si>
  <si>
    <t>쌍봉사천</t>
  </si>
  <si>
    <t>전남 화순군 이양면 매정리 593-90</t>
  </si>
  <si>
    <t>제방/수변채수</t>
  </si>
  <si>
    <t>전남 화순군 이양면 연화리 733</t>
  </si>
  <si>
    <t>무명교</t>
  </si>
  <si>
    <t>추동천</t>
  </si>
  <si>
    <t>전남 화순군 이양면 송정리 699</t>
  </si>
  <si>
    <t>도림교</t>
  </si>
  <si>
    <t>송정천</t>
  </si>
  <si>
    <t>전남 화순군 이양면 율계리 420-1</t>
  </si>
  <si>
    <t>전남 화순군 청풍면 신리 118-3</t>
  </si>
  <si>
    <t>청풍천</t>
  </si>
  <si>
    <t>전남 화순군 청풍면 세청리 990-4</t>
  </si>
  <si>
    <t>오류교</t>
  </si>
  <si>
    <t>전남 화순군 이양면 품평리 1138-46</t>
  </si>
  <si>
    <t>품평교</t>
  </si>
  <si>
    <t>오류천</t>
  </si>
  <si>
    <t>전남 화순군 이양면 금능리 871-103</t>
  </si>
  <si>
    <t>금능교</t>
  </si>
  <si>
    <t>송석천</t>
  </si>
  <si>
    <t>전남 화순군 춘양면 용두리 415-9</t>
  </si>
  <si>
    <t>용두교</t>
  </si>
  <si>
    <t>가봉교</t>
  </si>
  <si>
    <t>춘양천</t>
  </si>
  <si>
    <t>전남 화순군 춘양면 부곡리 769-47</t>
  </si>
  <si>
    <t>부곡교</t>
  </si>
  <si>
    <t>전남 화순군 춘양면 부곡리 679</t>
  </si>
  <si>
    <t>석정천</t>
  </si>
  <si>
    <t>(구)도산교</t>
  </si>
  <si>
    <t>전남 화순군 한천면 모산리 516-7</t>
  </si>
  <si>
    <t>무명교(모산2교 하류 교량)</t>
  </si>
  <si>
    <t>한천천</t>
  </si>
  <si>
    <t>전남 화순군 능주면 석고리 342</t>
  </si>
  <si>
    <t>무명교(능주교 상류 교량)</t>
  </si>
  <si>
    <t>전남 화순군 도곡면 죽청리 618-1</t>
  </si>
  <si>
    <t>죽청교</t>
  </si>
  <si>
    <t>화순천</t>
  </si>
  <si>
    <t>미곡교</t>
  </si>
  <si>
    <t>전남 화순군 도곡면 천암리 696-229</t>
  </si>
  <si>
    <t>도곡천</t>
  </si>
  <si>
    <t>전남 화순군 도곡면 천암리 212-1</t>
  </si>
  <si>
    <t>(구)천암교</t>
  </si>
  <si>
    <t>전남 화순군 도곡면 평리 539-59</t>
  </si>
  <si>
    <t>유곡천</t>
  </si>
  <si>
    <t>전남 화순군 도곡면 신성리 538-1</t>
  </si>
  <si>
    <t>신성교</t>
  </si>
  <si>
    <t>전남 나주시 남평읍 우산리 513</t>
  </si>
  <si>
    <t>평리교</t>
  </si>
  <si>
    <t>대초천</t>
  </si>
  <si>
    <t>전남 화순군 도곡면 덕곡리 306</t>
  </si>
  <si>
    <t>전남 나주시 남평읍 오계리 1144-24</t>
  </si>
  <si>
    <t>송학천</t>
  </si>
  <si>
    <t>전남 나주시 남평읍 남석리 891-1</t>
  </si>
  <si>
    <t>지석교</t>
  </si>
  <si>
    <t>전남 나주시 남평읍 풍림리 986-3</t>
  </si>
  <si>
    <t>영천교</t>
  </si>
  <si>
    <t>노동천</t>
  </si>
  <si>
    <t>전남 나주시 남평읍 남평리 283</t>
  </si>
  <si>
    <t>남평교</t>
  </si>
  <si>
    <t>전남 나주시 남평읍 평산리 684-8</t>
  </si>
  <si>
    <t>구치천</t>
  </si>
  <si>
    <t>전남 나주시 남평읍 평산리 919-3</t>
  </si>
  <si>
    <t>전남 나주시 산포면 등정리 818</t>
  </si>
  <si>
    <t>덕례교</t>
  </si>
  <si>
    <t>전남 나주시 산포면 내기리 958-1</t>
  </si>
  <si>
    <t>산포천</t>
  </si>
  <si>
    <t>전남 나주시 산포면 내기리 600</t>
  </si>
  <si>
    <t>신가교</t>
  </si>
  <si>
    <t xml:space="preserve">전남 화순군 춘양면 가봉리 974-1 </t>
    <phoneticPr fontId="1" type="noConversion"/>
  </si>
  <si>
    <t>전남 화순군 도곡면 신덕리 673</t>
    <phoneticPr fontId="1" type="noConversion"/>
  </si>
  <si>
    <t>pH</t>
    <phoneticPr fontId="1" type="noConversion"/>
  </si>
  <si>
    <t>수온</t>
    <phoneticPr fontId="1" type="noConversion"/>
  </si>
  <si>
    <t>DO</t>
    <phoneticPr fontId="1" type="noConversion"/>
  </si>
  <si>
    <t>EC</t>
    <phoneticPr fontId="1" type="noConversion"/>
  </si>
  <si>
    <t>평균</t>
    <phoneticPr fontId="1" type="noConversion"/>
  </si>
  <si>
    <t>1회</t>
    <phoneticPr fontId="1" type="noConversion"/>
  </si>
  <si>
    <t>2회</t>
    <phoneticPr fontId="1" type="noConversion"/>
  </si>
  <si>
    <t>3회</t>
    <phoneticPr fontId="1" type="noConversion"/>
  </si>
  <si>
    <t>시료명</t>
    <phoneticPr fontId="1" type="noConversion"/>
  </si>
  <si>
    <t>지점 주소</t>
    <phoneticPr fontId="1" type="noConversion"/>
  </si>
  <si>
    <t>채수위치</t>
    <phoneticPr fontId="1" type="noConversion"/>
  </si>
  <si>
    <t>하천명</t>
    <phoneticPr fontId="1" type="noConversion"/>
  </si>
  <si>
    <t>현장측정항목</t>
    <phoneticPr fontId="1" type="noConversion"/>
  </si>
  <si>
    <t>BOD
(mg/L)</t>
    <phoneticPr fontId="1" type="noConversion"/>
  </si>
  <si>
    <t>TOC(mg/L)</t>
    <phoneticPr fontId="1" type="noConversion"/>
  </si>
  <si>
    <t>DOC(mg/L)</t>
    <phoneticPr fontId="1" type="noConversion"/>
  </si>
  <si>
    <t>DTN(mg/L)</t>
    <phoneticPr fontId="1" type="noConversion"/>
  </si>
  <si>
    <t>NH3-N(mg/L)</t>
    <phoneticPr fontId="1" type="noConversion"/>
  </si>
  <si>
    <t>NO3-N(mg/L)</t>
    <phoneticPr fontId="1" type="noConversion"/>
  </si>
  <si>
    <t>T-P(mg/L)</t>
    <phoneticPr fontId="1" type="noConversion"/>
  </si>
  <si>
    <t>DTP(mg/L)</t>
    <phoneticPr fontId="1" type="noConversion"/>
  </si>
  <si>
    <t>PO4-P(mg/L)</t>
    <phoneticPr fontId="1" type="noConversion"/>
  </si>
  <si>
    <t>Cl-(mg/L)</t>
    <phoneticPr fontId="1" type="noConversion"/>
  </si>
  <si>
    <t>COD
(mg/L)</t>
    <phoneticPr fontId="1" type="noConversion"/>
  </si>
  <si>
    <t>UV254</t>
    <phoneticPr fontId="1" type="noConversion"/>
  </si>
  <si>
    <t>T-N(mg/L)</t>
    <phoneticPr fontId="1" type="noConversion"/>
  </si>
  <si>
    <t>JS-1</t>
    <phoneticPr fontId="1" type="noConversion"/>
  </si>
  <si>
    <t>JS-20B</t>
    <phoneticPr fontId="1" type="noConversion"/>
  </si>
  <si>
    <t>화순하수처리장</t>
    <phoneticPr fontId="1" type="noConversion"/>
  </si>
  <si>
    <t>JS-1</t>
    <phoneticPr fontId="1" type="noConversion"/>
  </si>
  <si>
    <t>JS-27(N)</t>
    <phoneticPr fontId="1" type="noConversion"/>
  </si>
  <si>
    <t>JS-16 지점 부근 상류 채수</t>
    <phoneticPr fontId="1" type="noConversion"/>
  </si>
  <si>
    <t>JS-16 지점 부근 논유출수</t>
    <phoneticPr fontId="1" type="noConversion"/>
  </si>
  <si>
    <t>JS-16U</t>
    <phoneticPr fontId="1" type="noConversion"/>
  </si>
  <si>
    <t>JS-16S</t>
    <phoneticPr fontId="1" type="noConversion"/>
  </si>
  <si>
    <t>JS-22B</t>
    <phoneticPr fontId="1" type="noConversion"/>
  </si>
  <si>
    <t>도곡온천하수처리장 방류수</t>
    <phoneticPr fontId="1" type="noConversion"/>
  </si>
  <si>
    <t>JS-26S</t>
    <phoneticPr fontId="1" type="noConversion"/>
  </si>
  <si>
    <t>화순하수처리장 방류수</t>
    <phoneticPr fontId="1" type="noConversion"/>
  </si>
  <si>
    <t>JS-26 지점 부근 논유출수</t>
    <phoneticPr fontId="1" type="noConversion"/>
  </si>
  <si>
    <t>JS-35B</t>
    <phoneticPr fontId="1" type="noConversion"/>
  </si>
  <si>
    <t>산포하수처리장 방류수(6월 19일)</t>
    <phoneticPr fontId="1" type="noConversion"/>
  </si>
  <si>
    <t>GW-2</t>
    <phoneticPr fontId="1" type="noConversion"/>
  </si>
  <si>
    <t>구치천 지하수(6월 19일)</t>
    <phoneticPr fontId="1" type="noConversion"/>
  </si>
  <si>
    <t>GW-1</t>
    <phoneticPr fontId="1" type="noConversion"/>
  </si>
  <si>
    <t>GW-3</t>
    <phoneticPr fontId="1" type="noConversion"/>
  </si>
  <si>
    <t>구치천 지하수(6월 4일)</t>
    <phoneticPr fontId="1" type="noConversion"/>
  </si>
  <si>
    <t>대촌천 지하수(6월 21일)</t>
    <phoneticPr fontId="1" type="noConversion"/>
  </si>
  <si>
    <t>JS-9B</t>
    <phoneticPr fontId="1" type="noConversion"/>
  </si>
  <si>
    <t>마을하수처리장 방류수</t>
    <phoneticPr fontId="1" type="noConversion"/>
  </si>
  <si>
    <t>대촌천</t>
    <phoneticPr fontId="1" type="noConversion"/>
  </si>
  <si>
    <t>도곡온천하수처리장</t>
    <phoneticPr fontId="1" type="noConversion"/>
  </si>
  <si>
    <t>GW-4</t>
    <phoneticPr fontId="1" type="noConversion"/>
  </si>
  <si>
    <t>구치천 지하수(7월 25일)</t>
    <phoneticPr fontId="1" type="noConversion"/>
  </si>
  <si>
    <t>3회</t>
    <phoneticPr fontId="1" type="noConversion"/>
  </si>
  <si>
    <t>4회</t>
    <phoneticPr fontId="1" type="noConversion"/>
  </si>
  <si>
    <t>15N-NO3</t>
    <phoneticPr fontId="1" type="noConversion"/>
  </si>
  <si>
    <t>18O-NO3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</si>
</sst>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_ "/>
    <numFmt numFmtId="177" formatCode="0.000_ "/>
    <numFmt numFmtId="178" formatCode="0.0000_ "/>
    <numFmt numFmtId="179" formatCode="0.000_);[Red]\(0.000\)"/>
    <numFmt numFmtId="180" formatCode="0.0_);[Red]\(0.0\)"/>
    <numFmt numFmtId="181" formatCode="0_ "/>
    <numFmt numFmtId="182" formatCode="0.0000"/>
    <numFmt numFmtId="183" formatCode="0.0"/>
    <numFmt numFmtId="184" formatCode="0_);[Red]\(0\)"/>
    <numFmt numFmtId="185" formatCode="0.0000_);[Red]\(0.0000\)"/>
    <numFmt numFmtId="186" formatCode="0.00_);[Red]\(0.00\)"/>
    <numFmt numFmtId="187" formatCode="0.00_ 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i/>
      <u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0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6" xfId="0" applyNumberFormat="1" applyBorder="1">
      <alignment vertical="center"/>
    </xf>
    <xf numFmtId="177" fontId="0" fillId="0" borderId="1" xfId="0" applyNumberFormat="1" applyBorder="1">
      <alignment vertical="center"/>
    </xf>
    <xf numFmtId="176" fontId="2" fillId="0" borderId="6" xfId="0" applyNumberFormat="1" applyFont="1" applyBorder="1" applyAlignment="1">
      <alignment horizontal="center" vertical="center"/>
    </xf>
    <xf numFmtId="177" fontId="2" fillId="0" borderId="6" xfId="0" applyNumberFormat="1" applyFont="1" applyBorder="1">
      <alignment vertical="center"/>
    </xf>
    <xf numFmtId="177" fontId="2" fillId="0" borderId="6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0" fillId="0" borderId="6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6" xfId="0" applyNumberFormat="1" applyFont="1" applyBorder="1">
      <alignment vertical="center"/>
    </xf>
    <xf numFmtId="179" fontId="0" fillId="0" borderId="6" xfId="0" applyNumberForma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0" fillId="0" borderId="6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2" fillId="0" borderId="6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6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>
      <alignment vertical="center"/>
    </xf>
    <xf numFmtId="182" fontId="0" fillId="0" borderId="6" xfId="0" applyNumberForma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3" fontId="2" fillId="0" borderId="6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0" fillId="0" borderId="4" xfId="0" applyNumberFormat="1" applyBorder="1">
      <alignment vertical="center"/>
    </xf>
    <xf numFmtId="179" fontId="5" fillId="0" borderId="1" xfId="1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7" fontId="6" fillId="0" borderId="6" xfId="0" applyNumberFormat="1" applyFont="1" applyBorder="1">
      <alignment vertical="center"/>
    </xf>
    <xf numFmtId="177" fontId="8" fillId="0" borderId="1" xfId="0" applyNumberFormat="1" applyFont="1" applyBorder="1">
      <alignment vertical="center"/>
    </xf>
    <xf numFmtId="177" fontId="9" fillId="0" borderId="6" xfId="0" applyNumberFormat="1" applyFont="1" applyBorder="1">
      <alignment vertical="center"/>
    </xf>
    <xf numFmtId="179" fontId="8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184" fontId="2" fillId="0" borderId="6" xfId="0" applyNumberFormat="1" applyFont="1" applyBorder="1" applyAlignment="1">
      <alignment horizontal="center" vertical="center"/>
    </xf>
    <xf numFmtId="184" fontId="2" fillId="0" borderId="1" xfId="0" applyNumberFormat="1" applyFont="1" applyBorder="1" applyAlignment="1">
      <alignment horizontal="center" vertical="center"/>
    </xf>
    <xf numFmtId="185" fontId="0" fillId="0" borderId="6" xfId="0" applyNumberFormat="1" applyBorder="1" applyAlignment="1">
      <alignment horizontal="center" vertical="center"/>
    </xf>
    <xf numFmtId="185" fontId="2" fillId="0" borderId="6" xfId="0" applyNumberFormat="1" applyFont="1" applyBorder="1" applyAlignment="1">
      <alignment horizontal="center" vertical="center"/>
    </xf>
    <xf numFmtId="185" fontId="0" fillId="0" borderId="1" xfId="0" applyNumberFormat="1" applyBorder="1" applyAlignment="1">
      <alignment horizontal="center" vertical="center"/>
    </xf>
    <xf numFmtId="185" fontId="8" fillId="0" borderId="1" xfId="0" applyNumberFormat="1" applyFont="1" applyBorder="1">
      <alignment vertical="center"/>
    </xf>
    <xf numFmtId="185" fontId="9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86" fontId="2" fillId="3" borderId="6" xfId="0" applyNumberFormat="1" applyFont="1" applyFill="1" applyBorder="1" applyAlignment="1">
      <alignment horizontal="center" vertical="center"/>
    </xf>
    <xf numFmtId="186" fontId="2" fillId="3" borderId="1" xfId="0" applyNumberFormat="1" applyFont="1" applyFill="1" applyBorder="1" applyAlignment="1">
      <alignment horizontal="center" vertical="center"/>
    </xf>
    <xf numFmtId="186" fontId="2" fillId="0" borderId="1" xfId="0" applyNumberFormat="1" applyFont="1" applyBorder="1" applyAlignment="1">
      <alignment horizontal="center" vertical="center"/>
    </xf>
    <xf numFmtId="186" fontId="10" fillId="0" borderId="1" xfId="0" applyNumberFormat="1" applyFont="1" applyBorder="1" applyAlignment="1">
      <alignment horizontal="center" vertical="center"/>
    </xf>
    <xf numFmtId="0" fontId="0" fillId="3" borderId="0" xfId="0" applyFill="1">
      <alignment vertical="center"/>
    </xf>
    <xf numFmtId="186" fontId="6" fillId="0" borderId="1" xfId="0" applyNumberFormat="1" applyFont="1" applyBorder="1" applyAlignment="1">
      <alignment horizontal="center" vertical="center"/>
    </xf>
    <xf numFmtId="186" fontId="2" fillId="0" borderId="6" xfId="0" applyNumberFormat="1" applyFont="1" applyBorder="1" applyAlignment="1">
      <alignment horizontal="center" vertical="center"/>
    </xf>
    <xf numFmtId="187" fontId="2" fillId="0" borderId="0" xfId="0" applyNumberFormat="1" applyFont="1" applyAlignment="1">
      <alignment horizontal="center" vertical="center"/>
    </xf>
    <xf numFmtId="187" fontId="2" fillId="0" borderId="1" xfId="0" applyNumberFormat="1" applyFont="1" applyBorder="1" applyAlignment="1">
      <alignment horizontal="center" vertical="center"/>
    </xf>
    <xf numFmtId="187" fontId="2" fillId="0" borderId="6" xfId="0" applyNumberFormat="1" applyFont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7" fontId="11" fillId="0" borderId="6" xfId="0" applyNumberFormat="1" applyFont="1" applyBorder="1" applyAlignment="1">
      <alignment horizontal="center" vertical="center"/>
    </xf>
    <xf numFmtId="187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7" fontId="11" fillId="0" borderId="0" xfId="0" applyNumberFormat="1" applyFont="1" applyAlignment="1">
      <alignment horizontal="center" vertical="center"/>
    </xf>
    <xf numFmtId="187" fontId="6" fillId="0" borderId="0" xfId="0" applyNumberFormat="1" applyFont="1" applyAlignment="1">
      <alignment horizontal="center" vertical="center"/>
    </xf>
    <xf numFmtId="187" fontId="12" fillId="0" borderId="6" xfId="0" applyNumberFormat="1" applyFont="1" applyBorder="1" applyAlignment="1">
      <alignment horizontal="center" vertical="center"/>
    </xf>
    <xf numFmtId="187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표준" xfId="0" builtinId="0"/>
    <cellStyle name="표준 2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8"/>
  <sheetViews>
    <sheetView zoomScale="85" zoomScaleNormal="85" workbookViewId="0">
      <selection activeCell="E1" sqref="A1:XFD38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17" width="9" style="1"/>
    <col min="18" max="18" width="9" style="3"/>
    <col min="19" max="28" width="9" style="1"/>
  </cols>
  <sheetData>
    <row r="1" spans="1:5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7"/>
      <c r="R1" s="78"/>
      <c r="S1" s="76" t="s">
        <v>135</v>
      </c>
      <c r="T1" s="77"/>
      <c r="U1" s="77"/>
      <c r="V1" s="78"/>
      <c r="W1" s="76" t="s">
        <v>126</v>
      </c>
      <c r="X1" s="77"/>
      <c r="Y1" s="77"/>
      <c r="Z1" s="78"/>
      <c r="AA1" s="76" t="s">
        <v>127</v>
      </c>
      <c r="AB1" s="77"/>
      <c r="AC1" s="77"/>
      <c r="AD1" s="78"/>
      <c r="AE1" s="76" t="s">
        <v>128</v>
      </c>
      <c r="AF1" s="77"/>
      <c r="AG1" s="77"/>
      <c r="AH1" s="78"/>
      <c r="AI1" s="76" t="s">
        <v>129</v>
      </c>
      <c r="AJ1" s="77"/>
      <c r="AK1" s="77"/>
      <c r="AL1" s="78"/>
      <c r="AM1" s="76" t="s">
        <v>130</v>
      </c>
      <c r="AN1" s="77"/>
      <c r="AO1" s="77"/>
      <c r="AP1" s="78"/>
      <c r="AQ1" s="76" t="s">
        <v>131</v>
      </c>
      <c r="AR1" s="77"/>
      <c r="AS1" s="77"/>
      <c r="AT1" s="78"/>
      <c r="AU1" s="76" t="s">
        <v>132</v>
      </c>
      <c r="AV1" s="77"/>
      <c r="AW1" s="77"/>
      <c r="AX1" s="78"/>
      <c r="AY1" s="76" t="s">
        <v>134</v>
      </c>
      <c r="AZ1" s="77"/>
      <c r="BA1" s="77"/>
      <c r="BB1" s="78"/>
    </row>
    <row r="2" spans="1:5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112</v>
      </c>
      <c r="H2" s="12" t="s">
        <v>113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3" t="s">
        <v>117</v>
      </c>
      <c r="R2" s="12" t="s">
        <v>114</v>
      </c>
      <c r="S2" s="13" t="s">
        <v>115</v>
      </c>
      <c r="T2" s="13" t="s">
        <v>116</v>
      </c>
      <c r="U2" s="13" t="s">
        <v>117</v>
      </c>
      <c r="V2" s="12" t="s">
        <v>114</v>
      </c>
      <c r="W2" s="13" t="s">
        <v>115</v>
      </c>
      <c r="X2" s="13" t="s">
        <v>116</v>
      </c>
      <c r="Y2" s="13" t="s">
        <v>117</v>
      </c>
      <c r="Z2" s="12" t="s">
        <v>114</v>
      </c>
      <c r="AA2" s="13" t="s">
        <v>115</v>
      </c>
      <c r="AB2" s="13" t="s">
        <v>116</v>
      </c>
      <c r="AC2" s="13" t="s">
        <v>117</v>
      </c>
      <c r="AD2" s="12" t="s">
        <v>114</v>
      </c>
      <c r="AE2" s="13" t="s">
        <v>115</v>
      </c>
      <c r="AF2" s="13" t="s">
        <v>116</v>
      </c>
      <c r="AG2" s="13" t="s">
        <v>117</v>
      </c>
      <c r="AH2" s="12" t="s">
        <v>114</v>
      </c>
      <c r="AI2" s="13" t="s">
        <v>115</v>
      </c>
      <c r="AJ2" s="13" t="s">
        <v>116</v>
      </c>
      <c r="AK2" s="13" t="s">
        <v>117</v>
      </c>
      <c r="AL2" s="12" t="s">
        <v>114</v>
      </c>
      <c r="AM2" s="13" t="s">
        <v>115</v>
      </c>
      <c r="AN2" s="13" t="s">
        <v>116</v>
      </c>
      <c r="AO2" s="13" t="s">
        <v>117</v>
      </c>
      <c r="AP2" s="12" t="s">
        <v>114</v>
      </c>
      <c r="AQ2" s="13" t="s">
        <v>115</v>
      </c>
      <c r="AR2" s="13" t="s">
        <v>116</v>
      </c>
      <c r="AS2" s="13" t="s">
        <v>117</v>
      </c>
      <c r="AT2" s="12" t="s">
        <v>114</v>
      </c>
      <c r="AU2" s="13" t="s">
        <v>115</v>
      </c>
      <c r="AV2" s="13" t="s">
        <v>116</v>
      </c>
      <c r="AW2" s="13" t="s">
        <v>117</v>
      </c>
      <c r="AX2" s="12" t="s">
        <v>114</v>
      </c>
      <c r="AY2" s="13" t="s">
        <v>115</v>
      </c>
      <c r="AZ2" s="13" t="s">
        <v>116</v>
      </c>
      <c r="BA2" s="13" t="s">
        <v>117</v>
      </c>
      <c r="BB2" s="12" t="s">
        <v>114</v>
      </c>
    </row>
    <row r="3" spans="1:54">
      <c r="A3" s="8" t="s">
        <v>139</v>
      </c>
      <c r="B3" s="9" t="s">
        <v>34</v>
      </c>
      <c r="C3" s="10" t="s">
        <v>35</v>
      </c>
      <c r="D3" s="10" t="s">
        <v>36</v>
      </c>
      <c r="E3" s="20">
        <v>11.2</v>
      </c>
      <c r="F3" s="20">
        <v>7.3</v>
      </c>
      <c r="G3" s="20">
        <v>11.8</v>
      </c>
      <c r="H3" s="11">
        <v>101</v>
      </c>
      <c r="I3" s="20">
        <v>1.2</v>
      </c>
      <c r="J3" s="20">
        <v>1.9</v>
      </c>
      <c r="K3" s="14">
        <v>1.3</v>
      </c>
      <c r="L3" s="14">
        <v>1.2</v>
      </c>
      <c r="M3" s="14">
        <v>1.3</v>
      </c>
      <c r="N3" s="20">
        <v>1.3</v>
      </c>
      <c r="O3" s="14">
        <v>1.2</v>
      </c>
      <c r="P3" s="14">
        <v>1.1000000000000001</v>
      </c>
      <c r="Q3" s="14">
        <v>1.1000000000000001</v>
      </c>
      <c r="R3" s="20">
        <v>1.1333333333333333</v>
      </c>
      <c r="S3" s="16">
        <v>1.1439999999999999</v>
      </c>
      <c r="T3" s="16">
        <v>1.1479999999999999</v>
      </c>
      <c r="U3" s="16">
        <v>1.141</v>
      </c>
      <c r="V3" s="22">
        <v>1.1439999999999999</v>
      </c>
      <c r="W3" s="16">
        <v>1.129</v>
      </c>
      <c r="X3" s="16">
        <v>1.123</v>
      </c>
      <c r="Y3" s="16">
        <v>1.1120000000000001</v>
      </c>
      <c r="Z3" s="22">
        <v>1.121</v>
      </c>
      <c r="AA3" s="16">
        <v>1.7999999999999999E-2</v>
      </c>
      <c r="AB3" s="16">
        <v>2.1000000000000001E-2</v>
      </c>
      <c r="AC3" s="18">
        <v>1.7999999999999999E-2</v>
      </c>
      <c r="AD3" s="21">
        <v>1.9E-2</v>
      </c>
      <c r="AE3" s="18">
        <v>0.94799999999999995</v>
      </c>
      <c r="AF3" s="18">
        <v>0.95499999999999996</v>
      </c>
      <c r="AG3" s="18">
        <v>0.97699999999999998</v>
      </c>
      <c r="AH3" s="21">
        <v>0.96</v>
      </c>
      <c r="AI3" s="18">
        <v>2.5000000000000001E-2</v>
      </c>
      <c r="AJ3" s="18">
        <v>2.5000000000000001E-2</v>
      </c>
      <c r="AK3" s="18">
        <v>1.7000000000000001E-2</v>
      </c>
      <c r="AL3" s="21">
        <v>2.1999999999999999E-2</v>
      </c>
      <c r="AM3" s="18">
        <v>8.0000000000000002E-3</v>
      </c>
      <c r="AN3" s="18">
        <v>0.01</v>
      </c>
      <c r="AO3" s="18">
        <v>0.01</v>
      </c>
      <c r="AP3" s="21">
        <v>8.9999999999999993E-3</v>
      </c>
      <c r="AQ3" s="18">
        <v>5.0000000000000001E-3</v>
      </c>
      <c r="AR3" s="18">
        <v>5.0000000000000001E-3</v>
      </c>
      <c r="AS3" s="18">
        <v>3.0000000000000001E-3</v>
      </c>
      <c r="AT3" s="21">
        <v>4.0000000000000001E-3</v>
      </c>
      <c r="AU3" s="18">
        <v>9.4570000000000007</v>
      </c>
      <c r="AV3" s="18">
        <v>9.5690000000000008</v>
      </c>
      <c r="AW3" s="18">
        <v>9.7430000000000003</v>
      </c>
      <c r="AX3" s="21">
        <v>9.5896666666666679</v>
      </c>
      <c r="AY3" s="25">
        <v>4.4999999999999998E-2</v>
      </c>
      <c r="AZ3" s="25">
        <v>4.2999999999999997E-2</v>
      </c>
      <c r="BA3" s="25">
        <v>4.4299999999999999E-2</v>
      </c>
      <c r="BB3" s="26">
        <v>4.41E-2</v>
      </c>
    </row>
    <row r="4" spans="1:54">
      <c r="A4" s="7" t="s">
        <v>37</v>
      </c>
      <c r="B4" s="5" t="s">
        <v>38</v>
      </c>
      <c r="C4" s="6" t="s">
        <v>39</v>
      </c>
      <c r="D4" s="6" t="s">
        <v>40</v>
      </c>
      <c r="E4" s="23">
        <v>12.2</v>
      </c>
      <c r="F4" s="23">
        <v>7.1</v>
      </c>
      <c r="G4" s="23">
        <v>11.9</v>
      </c>
      <c r="H4" s="24">
        <v>72</v>
      </c>
      <c r="I4" s="23">
        <v>1.3</v>
      </c>
      <c r="J4" s="23">
        <v>2.2999999999999998</v>
      </c>
      <c r="K4" s="15">
        <v>1.5</v>
      </c>
      <c r="L4" s="15">
        <v>1.5</v>
      </c>
      <c r="M4" s="15">
        <v>1.5</v>
      </c>
      <c r="N4" s="20">
        <v>1.5</v>
      </c>
      <c r="O4" s="15">
        <v>1.3</v>
      </c>
      <c r="P4" s="15">
        <v>1.2</v>
      </c>
      <c r="Q4" s="15">
        <v>1.3</v>
      </c>
      <c r="R4" s="20">
        <v>1.2666666666666666</v>
      </c>
      <c r="S4" s="17">
        <v>0.98399999999999999</v>
      </c>
      <c r="T4" s="17">
        <v>1.0209999999999999</v>
      </c>
      <c r="U4" s="17">
        <v>0.98599999999999999</v>
      </c>
      <c r="V4" s="22">
        <v>0.997</v>
      </c>
      <c r="W4" s="17">
        <v>0.97899999999999998</v>
      </c>
      <c r="X4" s="17">
        <v>0.96499999999999997</v>
      </c>
      <c r="Y4" s="17">
        <v>0.94299999999999995</v>
      </c>
      <c r="Z4" s="22">
        <v>0.96199999999999997</v>
      </c>
      <c r="AA4" s="17">
        <v>1.7000000000000001E-2</v>
      </c>
      <c r="AB4" s="17">
        <v>1.7999999999999999E-2</v>
      </c>
      <c r="AC4" s="19">
        <v>1.7999999999999999E-2</v>
      </c>
      <c r="AD4" s="21">
        <v>1.7999999999999999E-2</v>
      </c>
      <c r="AE4" s="19">
        <v>0.82099999999999995</v>
      </c>
      <c r="AF4" s="19">
        <v>0.82</v>
      </c>
      <c r="AG4" s="19">
        <v>0.83199999999999996</v>
      </c>
      <c r="AH4" s="21">
        <v>0.82433333333333325</v>
      </c>
      <c r="AI4" s="19">
        <v>2.5000000000000001E-2</v>
      </c>
      <c r="AJ4" s="19">
        <v>2.8000000000000001E-2</v>
      </c>
      <c r="AK4" s="19">
        <v>2.3E-2</v>
      </c>
      <c r="AL4" s="21">
        <v>2.5000000000000001E-2</v>
      </c>
      <c r="AM4" s="19">
        <v>0.01</v>
      </c>
      <c r="AN4" s="19">
        <v>1.0999999999999999E-2</v>
      </c>
      <c r="AO4" s="19">
        <v>1.0999999999999999E-2</v>
      </c>
      <c r="AP4" s="21">
        <v>1.0999999999999999E-2</v>
      </c>
      <c r="AQ4" s="19">
        <v>7.0000000000000001E-3</v>
      </c>
      <c r="AR4" s="19">
        <v>4.0000000000000001E-3</v>
      </c>
      <c r="AS4" s="19">
        <v>5.0000000000000001E-3</v>
      </c>
      <c r="AT4" s="21">
        <v>5.0000000000000001E-3</v>
      </c>
      <c r="AU4" s="19">
        <v>5.0549999999999997</v>
      </c>
      <c r="AV4" s="19">
        <v>5.0640000000000001</v>
      </c>
      <c r="AW4" s="19">
        <v>5.1349999999999998</v>
      </c>
      <c r="AX4" s="21">
        <v>5.0846666666666662</v>
      </c>
      <c r="AY4" s="27">
        <v>4.9500000000000002E-2</v>
      </c>
      <c r="AZ4" s="27">
        <v>5.0200000000000002E-2</v>
      </c>
      <c r="BA4" s="27">
        <v>4.8899999999999999E-2</v>
      </c>
      <c r="BB4" s="28">
        <v>4.9533333333333339E-2</v>
      </c>
    </row>
    <row r="5" spans="1:54">
      <c r="A5" s="7" t="s">
        <v>0</v>
      </c>
      <c r="B5" s="5" t="s">
        <v>41</v>
      </c>
      <c r="C5" s="6" t="s">
        <v>42</v>
      </c>
      <c r="D5" s="6" t="s">
        <v>36</v>
      </c>
      <c r="E5" s="23">
        <v>11.9</v>
      </c>
      <c r="F5" s="23">
        <v>7.2</v>
      </c>
      <c r="G5" s="23">
        <v>12.2</v>
      </c>
      <c r="H5" s="24">
        <v>85</v>
      </c>
      <c r="I5" s="23">
        <v>1.2</v>
      </c>
      <c r="J5" s="23">
        <v>2.2000000000000002</v>
      </c>
      <c r="K5" s="15">
        <v>1.4</v>
      </c>
      <c r="L5" s="15">
        <v>1.4</v>
      </c>
      <c r="M5" s="15">
        <v>1.4</v>
      </c>
      <c r="N5" s="20">
        <v>1.4</v>
      </c>
      <c r="O5" s="15">
        <v>1.3</v>
      </c>
      <c r="P5" s="15">
        <v>1.2</v>
      </c>
      <c r="Q5" s="15">
        <v>1.2</v>
      </c>
      <c r="R5" s="20">
        <v>1.2333333333333334</v>
      </c>
      <c r="S5" s="17">
        <v>1.038</v>
      </c>
      <c r="T5" s="17">
        <v>1.0780000000000001</v>
      </c>
      <c r="U5" s="17">
        <v>1.0449999999999999</v>
      </c>
      <c r="V5" s="22">
        <v>1.054</v>
      </c>
      <c r="W5" s="17">
        <v>1.028</v>
      </c>
      <c r="X5" s="17">
        <v>1.032</v>
      </c>
      <c r="Y5" s="17">
        <v>0.99399999999999999</v>
      </c>
      <c r="Z5" s="22">
        <v>1.018</v>
      </c>
      <c r="AA5" s="17">
        <v>1.4999999999999999E-2</v>
      </c>
      <c r="AB5" s="17">
        <v>2.4E-2</v>
      </c>
      <c r="AC5" s="19">
        <v>0.02</v>
      </c>
      <c r="AD5" s="21">
        <v>0.02</v>
      </c>
      <c r="AE5" s="19">
        <v>0.875</v>
      </c>
      <c r="AF5" s="19">
        <v>0.878</v>
      </c>
      <c r="AG5" s="19">
        <v>0.88800000000000001</v>
      </c>
      <c r="AH5" s="21">
        <v>0.8803333333333333</v>
      </c>
      <c r="AI5" s="19">
        <v>2.1999999999999999E-2</v>
      </c>
      <c r="AJ5" s="19">
        <v>2.4E-2</v>
      </c>
      <c r="AK5" s="19">
        <v>1.9E-2</v>
      </c>
      <c r="AL5" s="21">
        <v>2.1999999999999999E-2</v>
      </c>
      <c r="AM5" s="19">
        <v>8.9999999999999993E-3</v>
      </c>
      <c r="AN5" s="19">
        <v>1.0999999999999999E-2</v>
      </c>
      <c r="AO5" s="19">
        <v>0.01</v>
      </c>
      <c r="AP5" s="21">
        <v>0.01</v>
      </c>
      <c r="AQ5" s="19">
        <v>4.0000000000000001E-3</v>
      </c>
      <c r="AR5" s="19">
        <v>2E-3</v>
      </c>
      <c r="AS5" s="19">
        <v>3.0000000000000001E-3</v>
      </c>
      <c r="AT5" s="21">
        <v>3.0000000000000001E-3</v>
      </c>
      <c r="AU5" s="19">
        <v>6.6929999999999996</v>
      </c>
      <c r="AV5" s="19">
        <v>6.7069999999999999</v>
      </c>
      <c r="AW5" s="19">
        <v>6.7910000000000004</v>
      </c>
      <c r="AX5" s="21">
        <v>6.7303333333333333</v>
      </c>
      <c r="AY5" s="27">
        <v>4.2999999999999997E-2</v>
      </c>
      <c r="AZ5" s="27">
        <v>4.1700000000000001E-2</v>
      </c>
      <c r="BA5" s="27">
        <v>4.2999999999999997E-2</v>
      </c>
      <c r="BB5" s="28">
        <v>4.2566666666666662E-2</v>
      </c>
    </row>
    <row r="6" spans="1:54">
      <c r="A6" s="7" t="s">
        <v>1</v>
      </c>
      <c r="B6" s="5" t="s">
        <v>43</v>
      </c>
      <c r="C6" s="6" t="s">
        <v>44</v>
      </c>
      <c r="D6" s="6" t="s">
        <v>45</v>
      </c>
      <c r="E6" s="23">
        <v>11.6</v>
      </c>
      <c r="F6" s="23">
        <v>7.2</v>
      </c>
      <c r="G6" s="23">
        <v>11.8</v>
      </c>
      <c r="H6" s="24">
        <v>62</v>
      </c>
      <c r="I6" s="23">
        <v>1</v>
      </c>
      <c r="J6" s="23">
        <v>2</v>
      </c>
      <c r="K6" s="15">
        <v>1.2</v>
      </c>
      <c r="L6" s="15">
        <v>1.2</v>
      </c>
      <c r="M6" s="15">
        <v>1.3</v>
      </c>
      <c r="N6" s="20">
        <v>1.2</v>
      </c>
      <c r="O6" s="15">
        <v>1.3</v>
      </c>
      <c r="P6" s="15">
        <v>1.1000000000000001</v>
      </c>
      <c r="Q6" s="15">
        <v>1</v>
      </c>
      <c r="R6" s="20">
        <v>1.1333333333333335</v>
      </c>
      <c r="S6" s="17">
        <v>0.873</v>
      </c>
      <c r="T6" s="17">
        <v>0.89700000000000002</v>
      </c>
      <c r="U6" s="17">
        <v>0.875</v>
      </c>
      <c r="V6" s="22">
        <v>0.88200000000000001</v>
      </c>
      <c r="W6" s="17">
        <v>0.86499999999999999</v>
      </c>
      <c r="X6" s="17">
        <v>0.879</v>
      </c>
      <c r="Y6" s="17">
        <v>0.84599999999999997</v>
      </c>
      <c r="Z6" s="22">
        <v>0.86299999999999999</v>
      </c>
      <c r="AA6" s="17">
        <v>2.1000000000000001E-2</v>
      </c>
      <c r="AB6" s="17">
        <v>1.7999999999999999E-2</v>
      </c>
      <c r="AC6" s="19">
        <v>1.7000000000000001E-2</v>
      </c>
      <c r="AD6" s="21">
        <v>1.9E-2</v>
      </c>
      <c r="AE6" s="19">
        <v>0.73</v>
      </c>
      <c r="AF6" s="19">
        <v>0.73799999999999999</v>
      </c>
      <c r="AG6" s="19">
        <v>0.74</v>
      </c>
      <c r="AH6" s="21">
        <v>0.7360000000000001</v>
      </c>
      <c r="AI6" s="19">
        <v>1.7000000000000001E-2</v>
      </c>
      <c r="AJ6" s="19">
        <v>1.9E-2</v>
      </c>
      <c r="AK6" s="19">
        <v>1.4999999999999999E-2</v>
      </c>
      <c r="AL6" s="21">
        <v>1.7000000000000001E-2</v>
      </c>
      <c r="AM6" s="19">
        <v>6.0000000000000001E-3</v>
      </c>
      <c r="AN6" s="19">
        <v>7.0000000000000001E-3</v>
      </c>
      <c r="AO6" s="19">
        <v>7.0000000000000001E-3</v>
      </c>
      <c r="AP6" s="21">
        <v>7.0000000000000001E-3</v>
      </c>
      <c r="AQ6" s="19">
        <v>1E-3</v>
      </c>
      <c r="AR6" s="19">
        <v>0</v>
      </c>
      <c r="AS6" s="19">
        <v>0</v>
      </c>
      <c r="AT6" s="21">
        <v>0</v>
      </c>
      <c r="AU6" s="19">
        <v>4.5410000000000004</v>
      </c>
      <c r="AV6" s="19">
        <v>4.585</v>
      </c>
      <c r="AW6" s="19">
        <v>4.6260000000000003</v>
      </c>
      <c r="AX6" s="21">
        <v>4.5840000000000005</v>
      </c>
      <c r="AY6" s="27">
        <v>5.0200000000000002E-2</v>
      </c>
      <c r="AZ6" s="27">
        <v>5.0299999999999997E-2</v>
      </c>
      <c r="BA6" s="27">
        <v>4.9000000000000002E-2</v>
      </c>
      <c r="BB6" s="28">
        <v>4.9833333333333341E-2</v>
      </c>
    </row>
    <row r="7" spans="1:54">
      <c r="A7" s="7" t="s">
        <v>2</v>
      </c>
      <c r="B7" s="5" t="s">
        <v>46</v>
      </c>
      <c r="C7" s="6" t="s">
        <v>47</v>
      </c>
      <c r="D7" s="6" t="s">
        <v>36</v>
      </c>
      <c r="E7" s="23">
        <v>13.3</v>
      </c>
      <c r="F7" s="23">
        <v>7</v>
      </c>
      <c r="G7" s="23">
        <v>11.4</v>
      </c>
      <c r="H7" s="24">
        <v>83</v>
      </c>
      <c r="I7" s="23">
        <v>1.5</v>
      </c>
      <c r="J7" s="23">
        <v>2.2999999999999998</v>
      </c>
      <c r="K7" s="15">
        <v>1.5</v>
      </c>
      <c r="L7" s="15">
        <v>1.5</v>
      </c>
      <c r="M7" s="15">
        <v>1.5</v>
      </c>
      <c r="N7" s="20">
        <v>1.5</v>
      </c>
      <c r="O7" s="15">
        <v>1.6</v>
      </c>
      <c r="P7" s="15">
        <v>1.4</v>
      </c>
      <c r="Q7" s="15">
        <v>1.4</v>
      </c>
      <c r="R7" s="20">
        <v>1.4666666666666668</v>
      </c>
      <c r="S7" s="17">
        <v>1.0940000000000001</v>
      </c>
      <c r="T7" s="17">
        <v>1.0760000000000001</v>
      </c>
      <c r="U7" s="17">
        <v>1.071</v>
      </c>
      <c r="V7" s="22">
        <v>1.08</v>
      </c>
      <c r="W7" s="17">
        <v>1.0349999999999999</v>
      </c>
      <c r="X7" s="17">
        <v>1.038</v>
      </c>
      <c r="Y7" s="17">
        <v>1.022</v>
      </c>
      <c r="Z7" s="22">
        <v>1.032</v>
      </c>
      <c r="AA7" s="17">
        <v>4.2999999999999997E-2</v>
      </c>
      <c r="AB7" s="17">
        <v>3.6999999999999998E-2</v>
      </c>
      <c r="AC7" s="19">
        <v>0.04</v>
      </c>
      <c r="AD7" s="21">
        <v>0.04</v>
      </c>
      <c r="AE7" s="19">
        <v>0.84199999999999997</v>
      </c>
      <c r="AF7" s="19">
        <v>0.86799999999999999</v>
      </c>
      <c r="AG7" s="19">
        <v>0.873</v>
      </c>
      <c r="AH7" s="21">
        <v>0.8610000000000001</v>
      </c>
      <c r="AI7" s="19">
        <v>2.3E-2</v>
      </c>
      <c r="AJ7" s="19">
        <v>2.7E-2</v>
      </c>
      <c r="AK7" s="19">
        <v>2.1999999999999999E-2</v>
      </c>
      <c r="AL7" s="21">
        <v>2.4E-2</v>
      </c>
      <c r="AM7" s="19">
        <v>0.01</v>
      </c>
      <c r="AN7" s="19">
        <v>1.0999999999999999E-2</v>
      </c>
      <c r="AO7" s="19">
        <v>1.0999999999999999E-2</v>
      </c>
      <c r="AP7" s="21">
        <v>1.0999999999999999E-2</v>
      </c>
      <c r="AQ7" s="19">
        <v>5.0000000000000001E-3</v>
      </c>
      <c r="AR7" s="19">
        <v>3.0000000000000001E-3</v>
      </c>
      <c r="AS7" s="19">
        <v>4.0000000000000001E-3</v>
      </c>
      <c r="AT7" s="21">
        <v>4.0000000000000001E-3</v>
      </c>
      <c r="AU7" s="19">
        <v>6.3979999999999997</v>
      </c>
      <c r="AV7" s="19">
        <v>6.6139999999999999</v>
      </c>
      <c r="AW7" s="19">
        <v>6.5910000000000002</v>
      </c>
      <c r="AX7" s="21">
        <v>6.5343333333333335</v>
      </c>
      <c r="AY7" s="27">
        <v>4.5600000000000002E-2</v>
      </c>
      <c r="AZ7" s="27">
        <v>4.3700000000000003E-2</v>
      </c>
      <c r="BA7" s="27">
        <v>4.5499999999999999E-2</v>
      </c>
      <c r="BB7" s="28">
        <v>4.4933333333333332E-2</v>
      </c>
    </row>
    <row r="8" spans="1:54">
      <c r="A8" s="7" t="s">
        <v>3</v>
      </c>
      <c r="B8" s="5" t="s">
        <v>46</v>
      </c>
      <c r="C8" s="6" t="s">
        <v>44</v>
      </c>
      <c r="D8" s="6" t="s">
        <v>48</v>
      </c>
      <c r="E8" s="23">
        <v>12.2</v>
      </c>
      <c r="F8" s="23">
        <v>7.2</v>
      </c>
      <c r="G8" s="23">
        <v>11.9</v>
      </c>
      <c r="H8" s="24">
        <v>85</v>
      </c>
      <c r="I8" s="23">
        <v>1.3</v>
      </c>
      <c r="J8" s="23">
        <v>1.8</v>
      </c>
      <c r="K8" s="15">
        <v>1.3</v>
      </c>
      <c r="L8" s="15">
        <v>1.3</v>
      </c>
      <c r="M8" s="15">
        <v>1.3</v>
      </c>
      <c r="N8" s="20">
        <v>1.3</v>
      </c>
      <c r="O8" s="15">
        <v>1.3</v>
      </c>
      <c r="P8" s="15">
        <v>1.2</v>
      </c>
      <c r="Q8" s="15">
        <v>1.2</v>
      </c>
      <c r="R8" s="20">
        <v>1.2333333333333334</v>
      </c>
      <c r="S8" s="17">
        <v>1.1910000000000001</v>
      </c>
      <c r="T8" s="17">
        <v>1.1759999999999999</v>
      </c>
      <c r="U8" s="17">
        <v>1.2130000000000001</v>
      </c>
      <c r="V8" s="22">
        <v>1.1930000000000001</v>
      </c>
      <c r="W8" s="17">
        <v>1.1599999999999999</v>
      </c>
      <c r="X8" s="17">
        <v>1.163</v>
      </c>
      <c r="Y8" s="17">
        <v>1.165</v>
      </c>
      <c r="Z8" s="22">
        <v>1.163</v>
      </c>
      <c r="AA8" s="17">
        <v>2.7E-2</v>
      </c>
      <c r="AB8" s="17">
        <v>2.3E-2</v>
      </c>
      <c r="AC8" s="19">
        <v>2.9000000000000001E-2</v>
      </c>
      <c r="AD8" s="21">
        <v>2.5999999999999999E-2</v>
      </c>
      <c r="AE8" s="19">
        <v>1.012</v>
      </c>
      <c r="AF8" s="19">
        <v>1.0369999999999999</v>
      </c>
      <c r="AG8" s="19">
        <v>1.0329999999999999</v>
      </c>
      <c r="AH8" s="21">
        <v>1.0273333333333332</v>
      </c>
      <c r="AI8" s="19">
        <v>2.8000000000000001E-2</v>
      </c>
      <c r="AJ8" s="19">
        <v>2.9000000000000001E-2</v>
      </c>
      <c r="AK8" s="19">
        <v>2.5000000000000001E-2</v>
      </c>
      <c r="AL8" s="21">
        <v>2.7E-2</v>
      </c>
      <c r="AM8" s="19">
        <v>1.2999999999999999E-2</v>
      </c>
      <c r="AN8" s="19">
        <v>1.4E-2</v>
      </c>
      <c r="AO8" s="19">
        <v>1.4E-2</v>
      </c>
      <c r="AP8" s="21">
        <v>1.4E-2</v>
      </c>
      <c r="AQ8" s="19">
        <v>8.9999999999999993E-3</v>
      </c>
      <c r="AR8" s="19">
        <v>7.0000000000000001E-3</v>
      </c>
      <c r="AS8" s="19">
        <v>8.0000000000000002E-3</v>
      </c>
      <c r="AT8" s="21">
        <v>8.0000000000000002E-3</v>
      </c>
      <c r="AU8" s="19">
        <v>5.9850000000000003</v>
      </c>
      <c r="AV8" s="19">
        <v>6.1289999999999996</v>
      </c>
      <c r="AW8" s="19">
        <v>6.1150000000000002</v>
      </c>
      <c r="AX8" s="21">
        <v>6.0763333333333334</v>
      </c>
      <c r="AY8" s="27">
        <v>4.48E-2</v>
      </c>
      <c r="AZ8" s="27">
        <v>4.58E-2</v>
      </c>
      <c r="BA8" s="27">
        <v>4.4499999999999998E-2</v>
      </c>
      <c r="BB8" s="28">
        <v>4.5033333333333335E-2</v>
      </c>
    </row>
    <row r="9" spans="1:54">
      <c r="A9" s="7" t="s">
        <v>4</v>
      </c>
      <c r="B9" s="5" t="s">
        <v>49</v>
      </c>
      <c r="C9" s="6" t="s">
        <v>44</v>
      </c>
      <c r="D9" s="6" t="s">
        <v>36</v>
      </c>
      <c r="E9" s="23">
        <v>13.2</v>
      </c>
      <c r="F9" s="23">
        <v>7</v>
      </c>
      <c r="G9" s="23">
        <v>11.4</v>
      </c>
      <c r="H9" s="24">
        <v>83</v>
      </c>
      <c r="I9" s="23">
        <v>1</v>
      </c>
      <c r="J9" s="23">
        <v>2.2000000000000002</v>
      </c>
      <c r="K9" s="15">
        <v>1.4</v>
      </c>
      <c r="L9" s="15">
        <v>1.4</v>
      </c>
      <c r="M9" s="15">
        <v>1.5</v>
      </c>
      <c r="N9" s="20">
        <v>1.4</v>
      </c>
      <c r="O9" s="15">
        <v>1.4</v>
      </c>
      <c r="P9" s="15">
        <v>1.3</v>
      </c>
      <c r="Q9" s="15">
        <v>1.3</v>
      </c>
      <c r="R9" s="20">
        <v>1.3333333333333333</v>
      </c>
      <c r="S9" s="17">
        <v>1.115</v>
      </c>
      <c r="T9" s="17">
        <v>1.1759999999999999</v>
      </c>
      <c r="U9" s="17">
        <v>1.1000000000000001</v>
      </c>
      <c r="V9" s="22">
        <v>1.1299999999999999</v>
      </c>
      <c r="W9" s="17">
        <v>1.089</v>
      </c>
      <c r="X9" s="17">
        <v>1.1120000000000001</v>
      </c>
      <c r="Y9" s="17">
        <v>1.1040000000000001</v>
      </c>
      <c r="Z9" s="22">
        <v>1.1020000000000001</v>
      </c>
      <c r="AA9" s="17">
        <v>0.04</v>
      </c>
      <c r="AB9" s="17">
        <v>3.1E-2</v>
      </c>
      <c r="AC9" s="19">
        <v>2.9000000000000001E-2</v>
      </c>
      <c r="AD9" s="21">
        <v>3.3000000000000002E-2</v>
      </c>
      <c r="AE9" s="19">
        <v>0.94199999999999995</v>
      </c>
      <c r="AF9" s="19">
        <v>0.94399999999999995</v>
      </c>
      <c r="AG9" s="19">
        <v>0.93899999999999995</v>
      </c>
      <c r="AH9" s="21">
        <v>0.94166666666666654</v>
      </c>
      <c r="AI9" s="19">
        <v>2.7E-2</v>
      </c>
      <c r="AJ9" s="19">
        <v>0.03</v>
      </c>
      <c r="AK9" s="19">
        <v>2.5000000000000001E-2</v>
      </c>
      <c r="AL9" s="21">
        <v>2.7E-2</v>
      </c>
      <c r="AM9" s="19">
        <v>1.2E-2</v>
      </c>
      <c r="AN9" s="19">
        <v>1.2999999999999999E-2</v>
      </c>
      <c r="AO9" s="19">
        <v>1.4E-2</v>
      </c>
      <c r="AP9" s="21">
        <v>1.2999999999999999E-2</v>
      </c>
      <c r="AQ9" s="19">
        <v>7.0000000000000001E-3</v>
      </c>
      <c r="AR9" s="19">
        <v>6.0000000000000001E-3</v>
      </c>
      <c r="AS9" s="19">
        <v>6.0000000000000001E-3</v>
      </c>
      <c r="AT9" s="21">
        <v>6.0000000000000001E-3</v>
      </c>
      <c r="AU9" s="19">
        <v>6.5339999999999998</v>
      </c>
      <c r="AV9" s="19">
        <v>6.5609999999999999</v>
      </c>
      <c r="AW9" s="19">
        <v>6.5170000000000003</v>
      </c>
      <c r="AX9" s="21">
        <v>6.5373333333333328</v>
      </c>
      <c r="AY9" s="27">
        <v>4.41E-2</v>
      </c>
      <c r="AZ9" s="27">
        <v>4.2299999999999997E-2</v>
      </c>
      <c r="BA9" s="27">
        <v>4.3400000000000001E-2</v>
      </c>
      <c r="BB9" s="28">
        <v>4.3266666666666669E-2</v>
      </c>
    </row>
    <row r="10" spans="1:54">
      <c r="A10" s="7" t="s">
        <v>5</v>
      </c>
      <c r="B10" s="5" t="s">
        <v>50</v>
      </c>
      <c r="C10" s="6" t="s">
        <v>42</v>
      </c>
      <c r="D10" s="6" t="s">
        <v>51</v>
      </c>
      <c r="E10" s="23">
        <v>14</v>
      </c>
      <c r="F10" s="23">
        <v>9.4</v>
      </c>
      <c r="G10" s="23">
        <v>11.9</v>
      </c>
      <c r="H10" s="24">
        <v>85</v>
      </c>
      <c r="I10" s="23">
        <v>0.5</v>
      </c>
      <c r="J10" s="23">
        <v>1.6</v>
      </c>
      <c r="K10" s="15">
        <v>1</v>
      </c>
      <c r="L10" s="15">
        <v>1</v>
      </c>
      <c r="M10" s="15">
        <v>1.1000000000000001</v>
      </c>
      <c r="N10" s="20">
        <v>1</v>
      </c>
      <c r="O10" s="15">
        <v>1</v>
      </c>
      <c r="P10" s="15">
        <v>0.9</v>
      </c>
      <c r="Q10" s="15">
        <v>0.8</v>
      </c>
      <c r="R10" s="20">
        <v>0.9</v>
      </c>
      <c r="S10" s="17">
        <v>2.1850000000000001</v>
      </c>
      <c r="T10" s="17">
        <v>2.2770000000000001</v>
      </c>
      <c r="U10" s="17">
        <v>2.2429999999999999</v>
      </c>
      <c r="V10" s="22">
        <v>2.2349999999999999</v>
      </c>
      <c r="W10" s="17">
        <v>2.1379999999999999</v>
      </c>
      <c r="X10" s="17">
        <v>2.1309999999999998</v>
      </c>
      <c r="Y10" s="17">
        <v>2.105</v>
      </c>
      <c r="Z10" s="22">
        <v>2.125</v>
      </c>
      <c r="AA10" s="17">
        <v>0.02</v>
      </c>
      <c r="AB10" s="17">
        <v>2.1999999999999999E-2</v>
      </c>
      <c r="AC10" s="19">
        <v>3.4000000000000002E-2</v>
      </c>
      <c r="AD10" s="21">
        <v>2.5000000000000001E-2</v>
      </c>
      <c r="AE10" s="19">
        <v>2.0289999999999999</v>
      </c>
      <c r="AF10" s="19">
        <v>2.0710000000000002</v>
      </c>
      <c r="AG10" s="19">
        <v>2.0630000000000002</v>
      </c>
      <c r="AH10" s="21">
        <v>2.0543333333333336</v>
      </c>
      <c r="AI10" s="19">
        <v>0.13800000000000001</v>
      </c>
      <c r="AJ10" s="19">
        <v>0.14000000000000001</v>
      </c>
      <c r="AK10" s="19">
        <v>0.13500000000000001</v>
      </c>
      <c r="AL10" s="21">
        <v>0.13800000000000001</v>
      </c>
      <c r="AM10" s="19">
        <v>0.114</v>
      </c>
      <c r="AN10" s="19">
        <v>0.115</v>
      </c>
      <c r="AO10" s="19">
        <v>0.11700000000000001</v>
      </c>
      <c r="AP10" s="21">
        <v>0.115</v>
      </c>
      <c r="AQ10" s="19">
        <v>0.112</v>
      </c>
      <c r="AR10" s="19">
        <v>0.112</v>
      </c>
      <c r="AS10" s="19">
        <v>0.113</v>
      </c>
      <c r="AT10" s="21">
        <v>0.112</v>
      </c>
      <c r="AU10" s="19">
        <v>6.31</v>
      </c>
      <c r="AV10" s="19">
        <v>6.4459999999999997</v>
      </c>
      <c r="AW10" s="19">
        <v>6.399</v>
      </c>
      <c r="AX10" s="21">
        <v>6.3850000000000007</v>
      </c>
      <c r="AY10" s="27">
        <v>3.7900000000000003E-2</v>
      </c>
      <c r="AZ10" s="27">
        <v>3.8699999999999998E-2</v>
      </c>
      <c r="BA10" s="27">
        <v>3.7400000000000003E-2</v>
      </c>
      <c r="BB10" s="28">
        <v>3.7999999999999999E-2</v>
      </c>
    </row>
    <row r="11" spans="1:54">
      <c r="A11" s="7" t="s">
        <v>6</v>
      </c>
      <c r="B11" s="5" t="s">
        <v>52</v>
      </c>
      <c r="C11" s="6" t="s">
        <v>53</v>
      </c>
      <c r="D11" s="6" t="s">
        <v>36</v>
      </c>
      <c r="E11" s="23">
        <v>15.4</v>
      </c>
      <c r="F11" s="23">
        <v>9</v>
      </c>
      <c r="G11" s="23">
        <v>10.5</v>
      </c>
      <c r="H11" s="24">
        <v>89</v>
      </c>
      <c r="I11" s="23">
        <v>0.7</v>
      </c>
      <c r="J11" s="23">
        <v>2.2999999999999998</v>
      </c>
      <c r="K11" s="15">
        <v>1.6</v>
      </c>
      <c r="L11" s="15">
        <v>1.6</v>
      </c>
      <c r="M11" s="15">
        <v>1.8</v>
      </c>
      <c r="N11" s="20">
        <v>1.7</v>
      </c>
      <c r="O11" s="15">
        <v>1.5</v>
      </c>
      <c r="P11" s="15">
        <v>1.3</v>
      </c>
      <c r="Q11" s="15">
        <v>1.3</v>
      </c>
      <c r="R11" s="20">
        <v>1.3666666666666665</v>
      </c>
      <c r="S11" s="17">
        <v>1.7130000000000001</v>
      </c>
      <c r="T11" s="17">
        <v>1.722</v>
      </c>
      <c r="U11" s="17">
        <v>1.6220000000000001</v>
      </c>
      <c r="V11" s="22">
        <v>1.6859999999999999</v>
      </c>
      <c r="W11" s="17">
        <v>1.651</v>
      </c>
      <c r="X11" s="17">
        <v>1.6759999999999999</v>
      </c>
      <c r="Y11" s="17">
        <v>1.6020000000000001</v>
      </c>
      <c r="Z11" s="22">
        <v>1.643</v>
      </c>
      <c r="AA11" s="17">
        <v>3.3000000000000002E-2</v>
      </c>
      <c r="AB11" s="17">
        <v>3.6999999999999998E-2</v>
      </c>
      <c r="AC11" s="19">
        <v>4.4999999999999998E-2</v>
      </c>
      <c r="AD11" s="21">
        <v>3.7999999999999999E-2</v>
      </c>
      <c r="AE11" s="19">
        <v>1.454</v>
      </c>
      <c r="AF11" s="19">
        <v>1.472</v>
      </c>
      <c r="AG11" s="19">
        <v>1.478</v>
      </c>
      <c r="AH11" s="21">
        <v>1.468</v>
      </c>
      <c r="AI11" s="19">
        <v>7.8E-2</v>
      </c>
      <c r="AJ11" s="19">
        <v>0.08</v>
      </c>
      <c r="AK11" s="19">
        <v>7.3999999999999996E-2</v>
      </c>
      <c r="AL11" s="21">
        <v>7.6999999999999999E-2</v>
      </c>
      <c r="AM11" s="19">
        <v>0.05</v>
      </c>
      <c r="AN11" s="19">
        <v>5.1999999999999998E-2</v>
      </c>
      <c r="AO11" s="19">
        <v>0.05</v>
      </c>
      <c r="AP11" s="21">
        <v>5.0999999999999997E-2</v>
      </c>
      <c r="AQ11" s="19">
        <v>4.8000000000000001E-2</v>
      </c>
      <c r="AR11" s="19">
        <v>4.5999999999999999E-2</v>
      </c>
      <c r="AS11" s="19">
        <v>4.5999999999999999E-2</v>
      </c>
      <c r="AT11" s="21">
        <v>4.7E-2</v>
      </c>
      <c r="AU11" s="19">
        <v>6.67</v>
      </c>
      <c r="AV11" s="19">
        <v>6.7619999999999996</v>
      </c>
      <c r="AW11" s="19">
        <v>6.7930000000000001</v>
      </c>
      <c r="AX11" s="21">
        <v>6.7416666666666663</v>
      </c>
      <c r="AY11" s="27">
        <v>4.2999999999999997E-2</v>
      </c>
      <c r="AZ11" s="27">
        <v>4.1599999999999998E-2</v>
      </c>
      <c r="BA11" s="27">
        <v>4.24E-2</v>
      </c>
      <c r="BB11" s="28">
        <v>4.2333333333333334E-2</v>
      </c>
    </row>
    <row r="12" spans="1:54">
      <c r="A12" s="7" t="s">
        <v>7</v>
      </c>
      <c r="B12" s="5" t="s">
        <v>54</v>
      </c>
      <c r="C12" s="6" t="s">
        <v>55</v>
      </c>
      <c r="D12" s="6" t="s">
        <v>56</v>
      </c>
      <c r="E12" s="23">
        <v>14.2</v>
      </c>
      <c r="F12" s="23">
        <v>10.5</v>
      </c>
      <c r="G12" s="23">
        <v>13.4</v>
      </c>
      <c r="H12" s="24">
        <v>100</v>
      </c>
      <c r="I12" s="23">
        <v>1.4</v>
      </c>
      <c r="J12" s="23">
        <v>2</v>
      </c>
      <c r="K12" s="15">
        <v>1.5</v>
      </c>
      <c r="L12" s="15">
        <v>1.5</v>
      </c>
      <c r="M12" s="15">
        <v>1.4</v>
      </c>
      <c r="N12" s="20">
        <v>1.5</v>
      </c>
      <c r="O12" s="15">
        <v>1.4</v>
      </c>
      <c r="P12" s="15">
        <v>1.4</v>
      </c>
      <c r="Q12" s="15">
        <v>1.5</v>
      </c>
      <c r="R12" s="20">
        <v>1.4333333333333333</v>
      </c>
      <c r="S12" s="17">
        <v>1.179</v>
      </c>
      <c r="T12" s="17">
        <v>1.2130000000000001</v>
      </c>
      <c r="U12" s="17">
        <v>1.194</v>
      </c>
      <c r="V12" s="22">
        <v>1.1950000000000001</v>
      </c>
      <c r="W12" s="17">
        <v>1.1539999999999999</v>
      </c>
      <c r="X12" s="17">
        <v>1.1519999999999999</v>
      </c>
      <c r="Y12" s="17">
        <v>1.1399999999999999</v>
      </c>
      <c r="Z12" s="22">
        <v>1.149</v>
      </c>
      <c r="AA12" s="17">
        <v>3.1E-2</v>
      </c>
      <c r="AB12" s="17">
        <v>2.9000000000000001E-2</v>
      </c>
      <c r="AC12" s="19">
        <v>2.5999999999999999E-2</v>
      </c>
      <c r="AD12" s="21">
        <v>2.9000000000000001E-2</v>
      </c>
      <c r="AE12" s="19">
        <v>1.0009999999999999</v>
      </c>
      <c r="AF12" s="19">
        <v>0.995</v>
      </c>
      <c r="AG12" s="19">
        <v>0.996</v>
      </c>
      <c r="AH12" s="21">
        <v>0.99733333333333329</v>
      </c>
      <c r="AI12" s="19">
        <v>5.1999999999999998E-2</v>
      </c>
      <c r="AJ12" s="19">
        <v>5.1999999999999998E-2</v>
      </c>
      <c r="AK12" s="19">
        <v>0.05</v>
      </c>
      <c r="AL12" s="21">
        <v>5.0999999999999997E-2</v>
      </c>
      <c r="AM12" s="19">
        <v>3.6999999999999998E-2</v>
      </c>
      <c r="AN12" s="19">
        <v>3.7999999999999999E-2</v>
      </c>
      <c r="AO12" s="19">
        <v>3.5999999999999997E-2</v>
      </c>
      <c r="AP12" s="21">
        <v>3.6999999999999998E-2</v>
      </c>
      <c r="AQ12" s="19">
        <v>3.4000000000000002E-2</v>
      </c>
      <c r="AR12" s="19">
        <v>3.2000000000000001E-2</v>
      </c>
      <c r="AS12" s="19">
        <v>3.4000000000000002E-2</v>
      </c>
      <c r="AT12" s="21">
        <v>3.3000000000000002E-2</v>
      </c>
      <c r="AU12" s="19">
        <v>11.339</v>
      </c>
      <c r="AV12" s="19">
        <v>11.285</v>
      </c>
      <c r="AW12" s="19">
        <v>11.269</v>
      </c>
      <c r="AX12" s="21">
        <v>11.297666666666666</v>
      </c>
      <c r="AY12" s="27">
        <v>4.2700000000000002E-2</v>
      </c>
      <c r="AZ12" s="27">
        <v>4.2999999999999997E-2</v>
      </c>
      <c r="BA12" s="27">
        <v>4.19E-2</v>
      </c>
      <c r="BB12" s="28">
        <v>4.2533333333333333E-2</v>
      </c>
    </row>
    <row r="13" spans="1:54">
      <c r="A13" s="7" t="s">
        <v>8</v>
      </c>
      <c r="B13" s="5" t="s">
        <v>54</v>
      </c>
      <c r="C13" s="6" t="s">
        <v>44</v>
      </c>
      <c r="D13" s="6" t="s">
        <v>36</v>
      </c>
      <c r="E13" s="23">
        <v>15.6</v>
      </c>
      <c r="F13" s="23">
        <v>8.1999999999999993</v>
      </c>
      <c r="G13" s="23">
        <v>10.6</v>
      </c>
      <c r="H13" s="24">
        <v>104</v>
      </c>
      <c r="I13" s="23">
        <v>1.3</v>
      </c>
      <c r="J13" s="23">
        <v>2.9</v>
      </c>
      <c r="K13" s="15">
        <v>1.6</v>
      </c>
      <c r="L13" s="15">
        <v>1.7</v>
      </c>
      <c r="M13" s="15">
        <v>1.7</v>
      </c>
      <c r="N13" s="20">
        <v>1.7</v>
      </c>
      <c r="O13" s="15">
        <v>1.6</v>
      </c>
      <c r="P13" s="15">
        <v>1.6</v>
      </c>
      <c r="Q13" s="15">
        <v>1.4</v>
      </c>
      <c r="R13" s="20">
        <v>1.5333333333333332</v>
      </c>
      <c r="S13" s="17">
        <v>2.2519999999999998</v>
      </c>
      <c r="T13" s="17">
        <v>2.2149999999999999</v>
      </c>
      <c r="U13" s="17">
        <v>2.2309999999999999</v>
      </c>
      <c r="V13" s="22">
        <v>2.2330000000000001</v>
      </c>
      <c r="W13" s="17">
        <v>2.0790000000000002</v>
      </c>
      <c r="X13" s="17">
        <v>2.0960000000000001</v>
      </c>
      <c r="Y13" s="17">
        <v>2.0710000000000002</v>
      </c>
      <c r="Z13" s="22">
        <v>2.0819999999999999</v>
      </c>
      <c r="AA13" s="17">
        <v>7.0999999999999994E-2</v>
      </c>
      <c r="AB13" s="17">
        <v>6.5000000000000002E-2</v>
      </c>
      <c r="AC13" s="19">
        <v>6.8000000000000005E-2</v>
      </c>
      <c r="AD13" s="21">
        <v>6.8000000000000005E-2</v>
      </c>
      <c r="AE13" s="19">
        <v>1.8160000000000001</v>
      </c>
      <c r="AF13" s="19">
        <v>1.841</v>
      </c>
      <c r="AG13" s="19">
        <v>1.8740000000000001</v>
      </c>
      <c r="AH13" s="21">
        <v>1.8436666666666668</v>
      </c>
      <c r="AI13" s="19">
        <v>0.16800000000000001</v>
      </c>
      <c r="AJ13" s="19">
        <v>0.17</v>
      </c>
      <c r="AK13" s="19">
        <v>0.16400000000000001</v>
      </c>
      <c r="AL13" s="21">
        <v>0.16700000000000001</v>
      </c>
      <c r="AM13" s="19">
        <v>0.11</v>
      </c>
      <c r="AN13" s="19">
        <v>0.11</v>
      </c>
      <c r="AO13" s="19">
        <v>0.11</v>
      </c>
      <c r="AP13" s="21">
        <v>0.11</v>
      </c>
      <c r="AQ13" s="19">
        <v>0.108</v>
      </c>
      <c r="AR13" s="19">
        <v>0.108</v>
      </c>
      <c r="AS13" s="19">
        <v>0.109</v>
      </c>
      <c r="AT13" s="21">
        <v>0.108</v>
      </c>
      <c r="AU13" s="19">
        <v>7.4039999999999999</v>
      </c>
      <c r="AV13" s="19">
        <v>7.4909999999999997</v>
      </c>
      <c r="AW13" s="19">
        <v>7.6070000000000002</v>
      </c>
      <c r="AX13" s="21">
        <v>7.5006666666666666</v>
      </c>
      <c r="AY13" s="27">
        <v>4.4499999999999998E-2</v>
      </c>
      <c r="AZ13" s="27">
        <v>4.2200000000000001E-2</v>
      </c>
      <c r="BA13" s="27">
        <v>4.2999999999999997E-2</v>
      </c>
      <c r="BB13" s="28">
        <v>4.3233333333333325E-2</v>
      </c>
    </row>
    <row r="14" spans="1:54">
      <c r="A14" s="7" t="s">
        <v>9</v>
      </c>
      <c r="B14" s="5" t="s">
        <v>57</v>
      </c>
      <c r="C14" s="6" t="s">
        <v>58</v>
      </c>
      <c r="D14" s="6" t="s">
        <v>59</v>
      </c>
      <c r="E14" s="23">
        <v>12.5</v>
      </c>
      <c r="F14" s="23">
        <v>7.6</v>
      </c>
      <c r="G14" s="23">
        <v>11.1</v>
      </c>
      <c r="H14" s="24">
        <v>103</v>
      </c>
      <c r="I14" s="23">
        <v>0.5</v>
      </c>
      <c r="J14" s="23">
        <v>1.8</v>
      </c>
      <c r="K14" s="15">
        <v>1.3</v>
      </c>
      <c r="L14" s="15">
        <v>1.3</v>
      </c>
      <c r="M14" s="15">
        <v>1.2</v>
      </c>
      <c r="N14" s="20">
        <v>1.3</v>
      </c>
      <c r="O14" s="15">
        <v>1.3</v>
      </c>
      <c r="P14" s="15">
        <v>1.1000000000000001</v>
      </c>
      <c r="Q14" s="15">
        <v>1.1000000000000001</v>
      </c>
      <c r="R14" s="20">
        <v>1.1666666666666667</v>
      </c>
      <c r="S14" s="17">
        <v>1.6890000000000001</v>
      </c>
      <c r="T14" s="17">
        <v>1.7030000000000001</v>
      </c>
      <c r="U14" s="17">
        <v>1.6890000000000001</v>
      </c>
      <c r="V14" s="22">
        <v>1.694</v>
      </c>
      <c r="W14" s="17">
        <v>1.635</v>
      </c>
      <c r="X14" s="17">
        <v>1.66</v>
      </c>
      <c r="Y14" s="17">
        <v>1.6240000000000001</v>
      </c>
      <c r="Z14" s="22">
        <v>1.64</v>
      </c>
      <c r="AA14" s="17">
        <v>2.3E-2</v>
      </c>
      <c r="AB14" s="17">
        <v>1.0999999999999999E-2</v>
      </c>
      <c r="AC14" s="19">
        <v>1.2E-2</v>
      </c>
      <c r="AD14" s="21">
        <v>1.4999999999999999E-2</v>
      </c>
      <c r="AE14" s="19">
        <v>1.4890000000000001</v>
      </c>
      <c r="AF14" s="19">
        <v>1.5109999999999999</v>
      </c>
      <c r="AG14" s="19">
        <v>1.5269999999999999</v>
      </c>
      <c r="AH14" s="21">
        <v>1.5090000000000001</v>
      </c>
      <c r="AI14" s="19">
        <v>0.02</v>
      </c>
      <c r="AJ14" s="19">
        <v>0.02</v>
      </c>
      <c r="AK14" s="19">
        <v>1.7999999999999999E-2</v>
      </c>
      <c r="AL14" s="21">
        <v>1.9E-2</v>
      </c>
      <c r="AM14" s="19">
        <v>6.0000000000000001E-3</v>
      </c>
      <c r="AN14" s="19">
        <v>7.0000000000000001E-3</v>
      </c>
      <c r="AO14" s="19">
        <v>5.0000000000000001E-3</v>
      </c>
      <c r="AP14" s="21">
        <v>6.0000000000000001E-3</v>
      </c>
      <c r="AQ14" s="19">
        <v>2E-3</v>
      </c>
      <c r="AR14" s="19">
        <v>1E-3</v>
      </c>
      <c r="AS14" s="19">
        <v>1E-3</v>
      </c>
      <c r="AT14" s="21">
        <v>1E-3</v>
      </c>
      <c r="AU14" s="19">
        <v>5.8289999999999997</v>
      </c>
      <c r="AV14" s="19">
        <v>5.9139999999999997</v>
      </c>
      <c r="AW14" s="19">
        <v>5.9770000000000003</v>
      </c>
      <c r="AX14" s="21">
        <v>5.9066666666666663</v>
      </c>
      <c r="AY14" s="27">
        <v>3.8600000000000002E-2</v>
      </c>
      <c r="AZ14" s="27">
        <v>3.8899999999999997E-2</v>
      </c>
      <c r="BA14" s="27">
        <v>3.78E-2</v>
      </c>
      <c r="BB14" s="28">
        <v>3.8433333333333333E-2</v>
      </c>
    </row>
    <row r="15" spans="1:54">
      <c r="A15" s="7" t="s">
        <v>10</v>
      </c>
      <c r="B15" s="5" t="s">
        <v>60</v>
      </c>
      <c r="C15" s="6" t="s">
        <v>61</v>
      </c>
      <c r="D15" s="6" t="s">
        <v>36</v>
      </c>
      <c r="E15" s="23">
        <v>14.5</v>
      </c>
      <c r="F15" s="23">
        <v>8.5</v>
      </c>
      <c r="G15" s="23">
        <v>10.7</v>
      </c>
      <c r="H15" s="24">
        <v>103</v>
      </c>
      <c r="I15" s="23">
        <v>1.1000000000000001</v>
      </c>
      <c r="J15" s="23">
        <v>2.6</v>
      </c>
      <c r="K15" s="15">
        <v>1.8</v>
      </c>
      <c r="L15" s="15">
        <v>1.7</v>
      </c>
      <c r="M15" s="15">
        <v>1.8</v>
      </c>
      <c r="N15" s="20">
        <v>1.8</v>
      </c>
      <c r="O15" s="15">
        <v>1.5</v>
      </c>
      <c r="P15" s="15">
        <v>1.4</v>
      </c>
      <c r="Q15" s="15">
        <v>1.4</v>
      </c>
      <c r="R15" s="20">
        <v>1.4333333333333333</v>
      </c>
      <c r="S15" s="17">
        <v>1.9610000000000001</v>
      </c>
      <c r="T15" s="17">
        <v>2.0150000000000001</v>
      </c>
      <c r="U15" s="17">
        <v>1.9550000000000001</v>
      </c>
      <c r="V15" s="22">
        <v>1.9770000000000001</v>
      </c>
      <c r="W15" s="17">
        <v>1.9259999999999999</v>
      </c>
      <c r="X15" s="17">
        <v>1.923</v>
      </c>
      <c r="Y15" s="17">
        <v>1.923</v>
      </c>
      <c r="Z15" s="22">
        <v>1.9239999999999999</v>
      </c>
      <c r="AA15" s="17">
        <v>3.9E-2</v>
      </c>
      <c r="AB15" s="17">
        <v>3.5999999999999997E-2</v>
      </c>
      <c r="AC15" s="19">
        <v>3.6999999999999998E-2</v>
      </c>
      <c r="AD15" s="21">
        <v>3.6999999999999998E-2</v>
      </c>
      <c r="AE15" s="19">
        <v>1.704</v>
      </c>
      <c r="AF15" s="19">
        <v>1.7130000000000001</v>
      </c>
      <c r="AG15" s="19">
        <v>1.7110000000000001</v>
      </c>
      <c r="AH15" s="21">
        <v>1.7093333333333334</v>
      </c>
      <c r="AI15" s="19">
        <v>0.115</v>
      </c>
      <c r="AJ15" s="19">
        <v>0.11700000000000001</v>
      </c>
      <c r="AK15" s="19">
        <v>0.114</v>
      </c>
      <c r="AL15" s="21">
        <v>0.115</v>
      </c>
      <c r="AM15" s="19">
        <v>8.1000000000000003E-2</v>
      </c>
      <c r="AN15" s="19">
        <v>8.3000000000000004E-2</v>
      </c>
      <c r="AO15" s="19">
        <v>8.5999999999999993E-2</v>
      </c>
      <c r="AP15" s="21">
        <v>8.3000000000000004E-2</v>
      </c>
      <c r="AQ15" s="19">
        <v>7.9000000000000001E-2</v>
      </c>
      <c r="AR15" s="19">
        <v>0.08</v>
      </c>
      <c r="AS15" s="19">
        <v>8.1000000000000003E-2</v>
      </c>
      <c r="AT15" s="21">
        <v>0.08</v>
      </c>
      <c r="AU15" s="19">
        <v>7.25</v>
      </c>
      <c r="AV15" s="19">
        <v>7.28</v>
      </c>
      <c r="AW15" s="19">
        <v>7.3019999999999996</v>
      </c>
      <c r="AX15" s="21">
        <v>7.2773333333333339</v>
      </c>
      <c r="AY15" s="27">
        <v>4.4200000000000003E-2</v>
      </c>
      <c r="AZ15" s="27">
        <v>4.1500000000000002E-2</v>
      </c>
      <c r="BA15" s="27">
        <v>4.2900000000000001E-2</v>
      </c>
      <c r="BB15" s="28">
        <v>4.2866666666666664E-2</v>
      </c>
    </row>
    <row r="16" spans="1:54">
      <c r="A16" s="7" t="s">
        <v>11</v>
      </c>
      <c r="B16" s="5" t="s">
        <v>108</v>
      </c>
      <c r="C16" s="6" t="s">
        <v>62</v>
      </c>
      <c r="D16" s="6" t="s">
        <v>63</v>
      </c>
      <c r="E16" s="23">
        <v>13.7</v>
      </c>
      <c r="F16" s="23">
        <v>9.1</v>
      </c>
      <c r="G16" s="23">
        <v>11.3</v>
      </c>
      <c r="H16" s="24">
        <v>125</v>
      </c>
      <c r="I16" s="23">
        <v>1.4</v>
      </c>
      <c r="J16" s="23">
        <v>3</v>
      </c>
      <c r="K16" s="15">
        <v>2.4</v>
      </c>
      <c r="L16" s="15">
        <v>2.2999999999999998</v>
      </c>
      <c r="M16" s="15">
        <v>2.4</v>
      </c>
      <c r="N16" s="20">
        <v>2.4</v>
      </c>
      <c r="O16" s="15">
        <v>2.2000000000000002</v>
      </c>
      <c r="P16" s="15">
        <v>2.1</v>
      </c>
      <c r="Q16" s="15">
        <v>2</v>
      </c>
      <c r="R16" s="20">
        <v>2.1</v>
      </c>
      <c r="S16" s="17">
        <v>1.861</v>
      </c>
      <c r="T16" s="17">
        <v>1.899</v>
      </c>
      <c r="U16" s="17">
        <v>1.867</v>
      </c>
      <c r="V16" s="22">
        <v>1.8759999999999999</v>
      </c>
      <c r="W16" s="17">
        <v>1.8360000000000001</v>
      </c>
      <c r="X16" s="17">
        <v>1.8120000000000001</v>
      </c>
      <c r="Y16" s="17">
        <v>1.8120000000000001</v>
      </c>
      <c r="Z16" s="22">
        <v>1.82</v>
      </c>
      <c r="AA16" s="17">
        <v>0.04</v>
      </c>
      <c r="AB16" s="17">
        <v>3.9E-2</v>
      </c>
      <c r="AC16" s="19">
        <v>0.04</v>
      </c>
      <c r="AD16" s="21">
        <v>0.04</v>
      </c>
      <c r="AE16" s="19">
        <v>1.522</v>
      </c>
      <c r="AF16" s="19">
        <v>1.6439999999999999</v>
      </c>
      <c r="AG16" s="19">
        <v>1.5569999999999999</v>
      </c>
      <c r="AH16" s="21">
        <v>1.5743333333333334</v>
      </c>
      <c r="AI16" s="19">
        <v>5.2999999999999999E-2</v>
      </c>
      <c r="AJ16" s="19">
        <v>5.2999999999999999E-2</v>
      </c>
      <c r="AK16" s="19">
        <v>0.05</v>
      </c>
      <c r="AL16" s="21">
        <v>5.1999999999999998E-2</v>
      </c>
      <c r="AM16" s="19">
        <v>3.1E-2</v>
      </c>
      <c r="AN16" s="19">
        <v>3.1E-2</v>
      </c>
      <c r="AO16" s="19">
        <v>2.9000000000000001E-2</v>
      </c>
      <c r="AP16" s="21">
        <v>0.03</v>
      </c>
      <c r="AQ16" s="19">
        <v>2.5000000000000001E-2</v>
      </c>
      <c r="AR16" s="19">
        <v>2.3E-2</v>
      </c>
      <c r="AS16" s="19">
        <v>2.4E-2</v>
      </c>
      <c r="AT16" s="21">
        <v>2.4E-2</v>
      </c>
      <c r="AU16" s="19">
        <v>8.9429999999999996</v>
      </c>
      <c r="AV16" s="19">
        <v>9.0670000000000002</v>
      </c>
      <c r="AW16" s="19">
        <v>9.1720000000000006</v>
      </c>
      <c r="AX16" s="21">
        <v>9.0606666666666662</v>
      </c>
      <c r="AY16" s="27">
        <v>5.6099999999999997E-2</v>
      </c>
      <c r="AZ16" s="27">
        <v>5.7599999999999998E-2</v>
      </c>
      <c r="BA16" s="27">
        <v>5.5300000000000002E-2</v>
      </c>
      <c r="BB16" s="28">
        <v>5.6333333333333326E-2</v>
      </c>
    </row>
    <row r="17" spans="1:54">
      <c r="A17" s="7" t="s">
        <v>12</v>
      </c>
      <c r="B17" s="5" t="s">
        <v>64</v>
      </c>
      <c r="C17" s="6" t="s">
        <v>65</v>
      </c>
      <c r="D17" s="6" t="s">
        <v>36</v>
      </c>
      <c r="E17" s="23">
        <v>14.3</v>
      </c>
      <c r="F17" s="23">
        <v>7.2</v>
      </c>
      <c r="G17" s="23">
        <v>10.1</v>
      </c>
      <c r="H17" s="24">
        <v>104</v>
      </c>
      <c r="I17" s="23">
        <v>1.3</v>
      </c>
      <c r="J17" s="23">
        <v>2.9</v>
      </c>
      <c r="K17" s="15">
        <v>1.9</v>
      </c>
      <c r="L17" s="15">
        <v>1.9</v>
      </c>
      <c r="M17" s="15">
        <v>2</v>
      </c>
      <c r="N17" s="20">
        <v>1.9</v>
      </c>
      <c r="O17" s="15">
        <v>1.7</v>
      </c>
      <c r="P17" s="15">
        <v>1.6</v>
      </c>
      <c r="Q17" s="15">
        <v>1.6</v>
      </c>
      <c r="R17" s="20">
        <v>1.6333333333333335</v>
      </c>
      <c r="S17" s="17">
        <v>1.7390000000000001</v>
      </c>
      <c r="T17" s="17">
        <v>1.7529999999999999</v>
      </c>
      <c r="U17" s="17">
        <v>1.728</v>
      </c>
      <c r="V17" s="22">
        <v>1.74</v>
      </c>
      <c r="W17" s="17">
        <v>1.6910000000000001</v>
      </c>
      <c r="X17" s="17">
        <v>1.6830000000000001</v>
      </c>
      <c r="Y17" s="17">
        <v>1.639</v>
      </c>
      <c r="Z17" s="22">
        <v>1.671</v>
      </c>
      <c r="AA17" s="17">
        <v>2.5000000000000001E-2</v>
      </c>
      <c r="AB17" s="17">
        <v>2.3E-2</v>
      </c>
      <c r="AC17" s="19">
        <v>2.3E-2</v>
      </c>
      <c r="AD17" s="21">
        <v>2.4E-2</v>
      </c>
      <c r="AE17" s="19">
        <v>1.4359999999999999</v>
      </c>
      <c r="AF17" s="19">
        <v>1.448</v>
      </c>
      <c r="AG17" s="19">
        <v>1.4530000000000001</v>
      </c>
      <c r="AH17" s="21">
        <v>1.4456666666666667</v>
      </c>
      <c r="AI17" s="19">
        <v>8.1000000000000003E-2</v>
      </c>
      <c r="AJ17" s="19">
        <v>7.9000000000000001E-2</v>
      </c>
      <c r="AK17" s="19">
        <v>7.8E-2</v>
      </c>
      <c r="AL17" s="21">
        <v>7.9000000000000001E-2</v>
      </c>
      <c r="AM17" s="19">
        <v>5.1999999999999998E-2</v>
      </c>
      <c r="AN17" s="19">
        <v>5.1999999999999998E-2</v>
      </c>
      <c r="AO17" s="19">
        <v>5.1999999999999998E-2</v>
      </c>
      <c r="AP17" s="21">
        <v>5.1999999999999998E-2</v>
      </c>
      <c r="AQ17" s="19">
        <v>4.9000000000000002E-2</v>
      </c>
      <c r="AR17" s="19">
        <v>4.7E-2</v>
      </c>
      <c r="AS17" s="19">
        <v>4.9000000000000002E-2</v>
      </c>
      <c r="AT17" s="21">
        <v>4.8000000000000001E-2</v>
      </c>
      <c r="AU17" s="19">
        <v>7.4550000000000001</v>
      </c>
      <c r="AV17" s="19">
        <v>7.4930000000000003</v>
      </c>
      <c r="AW17" s="19">
        <v>7.5490000000000004</v>
      </c>
      <c r="AX17" s="21">
        <v>7.4989999999999997</v>
      </c>
      <c r="AY17" s="27">
        <v>4.6600000000000003E-2</v>
      </c>
      <c r="AZ17" s="27">
        <v>4.53E-2</v>
      </c>
      <c r="BA17" s="27">
        <v>4.6199999999999998E-2</v>
      </c>
      <c r="BB17" s="28">
        <v>4.6033333333333336E-2</v>
      </c>
    </row>
    <row r="18" spans="1:54">
      <c r="A18" s="7" t="s">
        <v>13</v>
      </c>
      <c r="B18" s="5" t="s">
        <v>66</v>
      </c>
      <c r="C18" s="6" t="s">
        <v>44</v>
      </c>
      <c r="D18" s="6" t="s">
        <v>67</v>
      </c>
      <c r="E18" s="23">
        <v>15</v>
      </c>
      <c r="F18" s="23">
        <v>7.4</v>
      </c>
      <c r="G18" s="23">
        <v>10.8</v>
      </c>
      <c r="H18" s="24">
        <v>163</v>
      </c>
      <c r="I18" s="23">
        <v>1.4</v>
      </c>
      <c r="J18" s="23">
        <v>5.5</v>
      </c>
      <c r="K18" s="15">
        <v>3.8</v>
      </c>
      <c r="L18" s="15">
        <v>3.7</v>
      </c>
      <c r="M18" s="15">
        <v>3.8</v>
      </c>
      <c r="N18" s="20">
        <v>3.8</v>
      </c>
      <c r="O18" s="15">
        <v>2.9</v>
      </c>
      <c r="P18" s="15">
        <v>2.9</v>
      </c>
      <c r="Q18" s="15">
        <v>2.9</v>
      </c>
      <c r="R18" s="20">
        <v>2.9</v>
      </c>
      <c r="S18" s="17">
        <v>2.2749999999999999</v>
      </c>
      <c r="T18" s="17">
        <v>2.3570000000000002</v>
      </c>
      <c r="U18" s="17">
        <v>2.3149999999999999</v>
      </c>
      <c r="V18" s="22">
        <v>2.3159999999999998</v>
      </c>
      <c r="W18" s="17">
        <v>2.2610000000000001</v>
      </c>
      <c r="X18" s="17">
        <v>2.222</v>
      </c>
      <c r="Y18" s="17">
        <v>2.2090000000000001</v>
      </c>
      <c r="Z18" s="22">
        <v>2.2309999999999999</v>
      </c>
      <c r="AA18" s="17">
        <v>3.2000000000000001E-2</v>
      </c>
      <c r="AB18" s="17">
        <v>3.4000000000000002E-2</v>
      </c>
      <c r="AC18" s="19">
        <v>3.2000000000000001E-2</v>
      </c>
      <c r="AD18" s="21">
        <v>3.3000000000000002E-2</v>
      </c>
      <c r="AE18" s="19">
        <v>1.8660000000000001</v>
      </c>
      <c r="AF18" s="19">
        <v>1.8680000000000001</v>
      </c>
      <c r="AG18" s="19">
        <v>1.8919999999999999</v>
      </c>
      <c r="AH18" s="21">
        <v>1.8753333333333331</v>
      </c>
      <c r="AI18" s="19">
        <v>7.8E-2</v>
      </c>
      <c r="AJ18" s="19">
        <v>7.9000000000000001E-2</v>
      </c>
      <c r="AK18" s="19">
        <v>7.8E-2</v>
      </c>
      <c r="AL18" s="21">
        <v>7.8E-2</v>
      </c>
      <c r="AM18" s="19">
        <v>2.8000000000000001E-2</v>
      </c>
      <c r="AN18" s="19">
        <v>2.9000000000000001E-2</v>
      </c>
      <c r="AO18" s="19">
        <v>2.7E-2</v>
      </c>
      <c r="AP18" s="21">
        <v>2.8000000000000001E-2</v>
      </c>
      <c r="AQ18" s="19">
        <v>0.02</v>
      </c>
      <c r="AR18" s="19">
        <v>1.9E-2</v>
      </c>
      <c r="AS18" s="19">
        <v>0.02</v>
      </c>
      <c r="AT18" s="21">
        <v>0.02</v>
      </c>
      <c r="AU18" s="19">
        <v>11.863</v>
      </c>
      <c r="AV18" s="19">
        <v>11.875</v>
      </c>
      <c r="AW18" s="19">
        <v>12.010999999999999</v>
      </c>
      <c r="AX18" s="21">
        <v>11.916333333333332</v>
      </c>
      <c r="AY18" s="27">
        <v>8.0500000000000002E-2</v>
      </c>
      <c r="AZ18" s="27">
        <v>8.1699999999999995E-2</v>
      </c>
      <c r="BA18" s="27">
        <v>7.9600000000000004E-2</v>
      </c>
      <c r="BB18" s="28">
        <v>8.0600000000000005E-2</v>
      </c>
    </row>
    <row r="19" spans="1:54">
      <c r="A19" s="7" t="s">
        <v>14</v>
      </c>
      <c r="B19" s="5" t="s">
        <v>64</v>
      </c>
      <c r="C19" s="6" t="s">
        <v>68</v>
      </c>
      <c r="D19" s="6" t="s">
        <v>36</v>
      </c>
      <c r="E19" s="23">
        <v>14.5</v>
      </c>
      <c r="F19" s="23">
        <v>7.3</v>
      </c>
      <c r="G19" s="23">
        <v>9.9</v>
      </c>
      <c r="H19" s="24">
        <v>107</v>
      </c>
      <c r="I19" s="23">
        <v>1.1000000000000001</v>
      </c>
      <c r="J19" s="23">
        <v>3.1</v>
      </c>
      <c r="K19" s="15">
        <v>2</v>
      </c>
      <c r="L19" s="15">
        <v>2</v>
      </c>
      <c r="M19" s="15">
        <v>2</v>
      </c>
      <c r="N19" s="20">
        <v>2</v>
      </c>
      <c r="O19" s="15">
        <v>1.7</v>
      </c>
      <c r="P19" s="15">
        <v>1.7</v>
      </c>
      <c r="Q19" s="15">
        <v>1.7</v>
      </c>
      <c r="R19" s="20">
        <v>1.7</v>
      </c>
      <c r="S19" s="17">
        <v>1.796</v>
      </c>
      <c r="T19" s="17">
        <v>1.806</v>
      </c>
      <c r="U19" s="17">
        <v>1.756</v>
      </c>
      <c r="V19" s="22">
        <v>1.786</v>
      </c>
      <c r="W19" s="17">
        <v>1.6739999999999999</v>
      </c>
      <c r="X19" s="17">
        <v>1.6910000000000001</v>
      </c>
      <c r="Y19" s="17">
        <v>1.6639999999999999</v>
      </c>
      <c r="Z19" s="22">
        <v>1.6759999999999999</v>
      </c>
      <c r="AA19" s="17">
        <v>1.9E-2</v>
      </c>
      <c r="AB19" s="17">
        <v>0.02</v>
      </c>
      <c r="AC19" s="19">
        <v>1.6E-2</v>
      </c>
      <c r="AD19" s="21">
        <v>1.7999999999999999E-2</v>
      </c>
      <c r="AE19" s="19">
        <v>1.4570000000000001</v>
      </c>
      <c r="AF19" s="19">
        <v>1.4790000000000001</v>
      </c>
      <c r="AG19" s="19">
        <v>1.4950000000000001</v>
      </c>
      <c r="AH19" s="21">
        <v>1.4770000000000001</v>
      </c>
      <c r="AI19" s="19">
        <v>7.0999999999999994E-2</v>
      </c>
      <c r="AJ19" s="19">
        <v>7.0999999999999994E-2</v>
      </c>
      <c r="AK19" s="19">
        <v>6.8000000000000005E-2</v>
      </c>
      <c r="AL19" s="21">
        <v>7.0000000000000007E-2</v>
      </c>
      <c r="AM19" s="19">
        <v>4.5999999999999999E-2</v>
      </c>
      <c r="AN19" s="19">
        <v>4.7E-2</v>
      </c>
      <c r="AO19" s="19">
        <v>4.8000000000000001E-2</v>
      </c>
      <c r="AP19" s="21">
        <v>4.7E-2</v>
      </c>
      <c r="AQ19" s="19">
        <v>4.3999999999999997E-2</v>
      </c>
      <c r="AR19" s="19">
        <v>4.2999999999999997E-2</v>
      </c>
      <c r="AS19" s="19">
        <v>4.3999999999999997E-2</v>
      </c>
      <c r="AT19" s="21">
        <v>4.3999999999999997E-2</v>
      </c>
      <c r="AU19" s="19">
        <v>7.5890000000000004</v>
      </c>
      <c r="AV19" s="19">
        <v>7.6929999999999996</v>
      </c>
      <c r="AW19" s="19">
        <v>7.7640000000000002</v>
      </c>
      <c r="AX19" s="21">
        <v>7.6819999999999995</v>
      </c>
      <c r="AY19" s="27">
        <v>4.7699999999999999E-2</v>
      </c>
      <c r="AZ19" s="27">
        <v>4.5900000000000003E-2</v>
      </c>
      <c r="BA19" s="27">
        <v>4.6800000000000001E-2</v>
      </c>
      <c r="BB19" s="28">
        <v>4.6800000000000001E-2</v>
      </c>
    </row>
    <row r="20" spans="1:54">
      <c r="A20" s="7" t="s">
        <v>15</v>
      </c>
      <c r="B20" s="5" t="s">
        <v>69</v>
      </c>
      <c r="C20" s="6" t="s">
        <v>70</v>
      </c>
      <c r="D20" s="6" t="s">
        <v>71</v>
      </c>
      <c r="E20" s="23">
        <v>14.3</v>
      </c>
      <c r="F20" s="23">
        <v>7.3</v>
      </c>
      <c r="G20" s="23">
        <v>10.4</v>
      </c>
      <c r="H20" s="24">
        <v>192</v>
      </c>
      <c r="I20" s="23">
        <v>0.6</v>
      </c>
      <c r="J20" s="23">
        <v>2.7</v>
      </c>
      <c r="K20" s="15">
        <v>1.8</v>
      </c>
      <c r="L20" s="15">
        <v>1.9</v>
      </c>
      <c r="M20" s="15">
        <v>1.8</v>
      </c>
      <c r="N20" s="20">
        <v>1.8</v>
      </c>
      <c r="O20" s="15">
        <v>1.8</v>
      </c>
      <c r="P20" s="15">
        <v>1.7</v>
      </c>
      <c r="Q20" s="15">
        <v>1.7</v>
      </c>
      <c r="R20" s="20">
        <v>1.7333333333333334</v>
      </c>
      <c r="S20" s="17">
        <v>1.27</v>
      </c>
      <c r="T20" s="17">
        <v>1.292</v>
      </c>
      <c r="U20" s="17">
        <v>1.274</v>
      </c>
      <c r="V20" s="22">
        <v>1.2789999999999999</v>
      </c>
      <c r="W20" s="17">
        <v>1.1910000000000001</v>
      </c>
      <c r="X20" s="17">
        <v>1.202</v>
      </c>
      <c r="Y20" s="17">
        <v>1.181</v>
      </c>
      <c r="Z20" s="22">
        <v>1.1910000000000001</v>
      </c>
      <c r="AA20" s="17">
        <v>2.3E-2</v>
      </c>
      <c r="AB20" s="17">
        <v>2.3E-2</v>
      </c>
      <c r="AC20" s="19">
        <v>2.5999999999999999E-2</v>
      </c>
      <c r="AD20" s="21">
        <v>2.4E-2</v>
      </c>
      <c r="AE20" s="19">
        <v>1.032</v>
      </c>
      <c r="AF20" s="19">
        <v>1.03</v>
      </c>
      <c r="AG20" s="19">
        <v>1.0529999999999999</v>
      </c>
      <c r="AH20" s="21">
        <v>1.0383333333333333</v>
      </c>
      <c r="AI20" s="19">
        <v>0.02</v>
      </c>
      <c r="AJ20" s="19">
        <v>1.7999999999999999E-2</v>
      </c>
      <c r="AK20" s="19">
        <v>1.7999999999999999E-2</v>
      </c>
      <c r="AL20" s="21">
        <v>1.9E-2</v>
      </c>
      <c r="AM20" s="19">
        <v>6.0000000000000001E-3</v>
      </c>
      <c r="AN20" s="19">
        <v>8.0000000000000002E-3</v>
      </c>
      <c r="AO20" s="19">
        <v>6.0000000000000001E-3</v>
      </c>
      <c r="AP20" s="21">
        <v>7.0000000000000001E-3</v>
      </c>
      <c r="AQ20" s="19">
        <v>2E-3</v>
      </c>
      <c r="AR20" s="19">
        <v>2E-3</v>
      </c>
      <c r="AS20" s="19">
        <v>2E-3</v>
      </c>
      <c r="AT20" s="21">
        <v>2E-3</v>
      </c>
      <c r="AU20" s="19">
        <v>7.077</v>
      </c>
      <c r="AV20" s="19">
        <v>7.0419999999999998</v>
      </c>
      <c r="AW20" s="19">
        <v>7.2060000000000004</v>
      </c>
      <c r="AX20" s="21">
        <v>7.1083333333333334</v>
      </c>
      <c r="AY20" s="27">
        <v>5.45E-2</v>
      </c>
      <c r="AZ20" s="27">
        <v>5.3900000000000003E-2</v>
      </c>
      <c r="BA20" s="27">
        <v>5.28E-2</v>
      </c>
      <c r="BB20" s="28">
        <v>5.3733333333333334E-2</v>
      </c>
    </row>
    <row r="21" spans="1:54">
      <c r="A21" s="7" t="s">
        <v>16</v>
      </c>
      <c r="B21" s="5" t="s">
        <v>72</v>
      </c>
      <c r="C21" s="6" t="s">
        <v>73</v>
      </c>
      <c r="D21" s="6" t="s">
        <v>36</v>
      </c>
      <c r="E21" s="23">
        <v>15.8</v>
      </c>
      <c r="F21" s="23">
        <v>7.5</v>
      </c>
      <c r="G21" s="23">
        <v>10.3</v>
      </c>
      <c r="H21" s="24">
        <v>120</v>
      </c>
      <c r="I21" s="23">
        <v>1.3</v>
      </c>
      <c r="J21" s="23">
        <v>3.3</v>
      </c>
      <c r="K21" s="15">
        <v>2.1</v>
      </c>
      <c r="L21" s="15">
        <v>2.2000000000000002</v>
      </c>
      <c r="M21" s="15">
        <v>2.2999999999999998</v>
      </c>
      <c r="N21" s="20">
        <v>2.2000000000000002</v>
      </c>
      <c r="O21" s="15">
        <v>2</v>
      </c>
      <c r="P21" s="15">
        <v>1.8</v>
      </c>
      <c r="Q21" s="15">
        <v>1.8</v>
      </c>
      <c r="R21" s="20">
        <v>1.8666666666666665</v>
      </c>
      <c r="S21" s="17">
        <v>1.665</v>
      </c>
      <c r="T21" s="17">
        <v>1.7370000000000001</v>
      </c>
      <c r="U21" s="17">
        <v>1.681</v>
      </c>
      <c r="V21" s="22">
        <v>1.694</v>
      </c>
      <c r="W21" s="17">
        <v>1.64</v>
      </c>
      <c r="X21" s="17">
        <v>1.605</v>
      </c>
      <c r="Y21" s="17">
        <v>1.601</v>
      </c>
      <c r="Z21" s="22">
        <v>1.615</v>
      </c>
      <c r="AA21" s="17">
        <v>1.7999999999999999E-2</v>
      </c>
      <c r="AB21" s="17">
        <v>1.4999999999999999E-2</v>
      </c>
      <c r="AC21" s="19">
        <v>1.6E-2</v>
      </c>
      <c r="AD21" s="21">
        <v>1.6E-2</v>
      </c>
      <c r="AE21" s="19">
        <v>1.526</v>
      </c>
      <c r="AF21" s="19">
        <v>1.3859999999999999</v>
      </c>
      <c r="AG21" s="19">
        <v>1.3919999999999999</v>
      </c>
      <c r="AH21" s="21">
        <v>1.4346666666666668</v>
      </c>
      <c r="AI21" s="19">
        <v>7.0999999999999994E-2</v>
      </c>
      <c r="AJ21" s="19">
        <v>7.0000000000000007E-2</v>
      </c>
      <c r="AK21" s="19">
        <v>6.7000000000000004E-2</v>
      </c>
      <c r="AL21" s="21">
        <v>6.9000000000000006E-2</v>
      </c>
      <c r="AM21" s="19">
        <v>4.2999999999999997E-2</v>
      </c>
      <c r="AN21" s="19">
        <v>4.2000000000000003E-2</v>
      </c>
      <c r="AO21" s="19">
        <v>4.4999999999999998E-2</v>
      </c>
      <c r="AP21" s="21">
        <v>4.2999999999999997E-2</v>
      </c>
      <c r="AQ21" s="19">
        <v>0.04</v>
      </c>
      <c r="AR21" s="19">
        <v>3.7999999999999999E-2</v>
      </c>
      <c r="AS21" s="19">
        <v>0.04</v>
      </c>
      <c r="AT21" s="21">
        <v>3.9E-2</v>
      </c>
      <c r="AU21" s="19">
        <v>8.2360000000000007</v>
      </c>
      <c r="AV21" s="19">
        <v>7.6920000000000002</v>
      </c>
      <c r="AW21" s="19">
        <v>7.7329999999999997</v>
      </c>
      <c r="AX21" s="21">
        <v>7.8870000000000005</v>
      </c>
      <c r="AY21" s="27">
        <v>4.9599999999999998E-2</v>
      </c>
      <c r="AZ21" s="27">
        <v>5.0900000000000001E-2</v>
      </c>
      <c r="BA21" s="27">
        <v>4.9299999999999997E-2</v>
      </c>
      <c r="BB21" s="28">
        <v>4.993333333333333E-2</v>
      </c>
    </row>
    <row r="22" spans="1:54">
      <c r="A22" s="7" t="s">
        <v>17</v>
      </c>
      <c r="B22" s="5" t="s">
        <v>74</v>
      </c>
      <c r="C22" s="6" t="s">
        <v>75</v>
      </c>
      <c r="D22" s="6" t="s">
        <v>76</v>
      </c>
      <c r="E22" s="23">
        <v>16</v>
      </c>
      <c r="F22" s="23">
        <v>7.8</v>
      </c>
      <c r="G22" s="23">
        <v>10.7</v>
      </c>
      <c r="H22" s="24">
        <v>181</v>
      </c>
      <c r="I22" s="23">
        <v>1.4</v>
      </c>
      <c r="J22" s="23">
        <v>3</v>
      </c>
      <c r="K22" s="15">
        <v>2</v>
      </c>
      <c r="L22" s="15">
        <v>2</v>
      </c>
      <c r="M22" s="15">
        <v>2</v>
      </c>
      <c r="N22" s="20">
        <v>2</v>
      </c>
      <c r="O22" s="15">
        <v>1.8</v>
      </c>
      <c r="P22" s="15">
        <v>1.7</v>
      </c>
      <c r="Q22" s="15">
        <v>1.7</v>
      </c>
      <c r="R22" s="20">
        <v>1.7333333333333334</v>
      </c>
      <c r="S22" s="17">
        <v>1.9019999999999999</v>
      </c>
      <c r="T22" s="17">
        <v>1.976</v>
      </c>
      <c r="U22" s="17">
        <v>1.91</v>
      </c>
      <c r="V22" s="22">
        <v>1.929</v>
      </c>
      <c r="W22" s="17">
        <v>1.881</v>
      </c>
      <c r="X22" s="17">
        <v>1.87</v>
      </c>
      <c r="Y22" s="17">
        <v>1.847</v>
      </c>
      <c r="Z22" s="22">
        <v>1.8660000000000001</v>
      </c>
      <c r="AA22" s="17">
        <v>1.9E-2</v>
      </c>
      <c r="AB22" s="17">
        <v>1.7999999999999999E-2</v>
      </c>
      <c r="AC22" s="19">
        <v>1.7000000000000001E-2</v>
      </c>
      <c r="AD22" s="21">
        <v>1.7999999999999999E-2</v>
      </c>
      <c r="AE22" s="19">
        <v>1.6180000000000001</v>
      </c>
      <c r="AF22" s="19">
        <v>1.6259999999999999</v>
      </c>
      <c r="AG22" s="19">
        <v>1.6339999999999999</v>
      </c>
      <c r="AH22" s="21">
        <v>1.6260000000000001</v>
      </c>
      <c r="AI22" s="19">
        <v>3.6999999999999998E-2</v>
      </c>
      <c r="AJ22" s="19">
        <v>3.6999999999999998E-2</v>
      </c>
      <c r="AK22" s="19">
        <v>3.5000000000000003E-2</v>
      </c>
      <c r="AL22" s="21">
        <v>3.5999999999999997E-2</v>
      </c>
      <c r="AM22" s="19">
        <v>0.02</v>
      </c>
      <c r="AN22" s="19">
        <v>2.1000000000000001E-2</v>
      </c>
      <c r="AO22" s="19">
        <v>1.9E-2</v>
      </c>
      <c r="AP22" s="21">
        <v>0.02</v>
      </c>
      <c r="AQ22" s="19">
        <v>1.2999999999999999E-2</v>
      </c>
      <c r="AR22" s="19">
        <v>1.2999999999999999E-2</v>
      </c>
      <c r="AS22" s="19">
        <v>1.2999999999999999E-2</v>
      </c>
      <c r="AT22" s="21">
        <v>1.2999999999999999E-2</v>
      </c>
      <c r="AU22" s="19">
        <v>11.52</v>
      </c>
      <c r="AV22" s="19">
        <v>11.586</v>
      </c>
      <c r="AW22" s="19">
        <v>11.608000000000001</v>
      </c>
      <c r="AX22" s="21">
        <v>11.571333333333333</v>
      </c>
      <c r="AY22" s="27">
        <v>4.8099999999999997E-2</v>
      </c>
      <c r="AZ22" s="27">
        <v>4.6300000000000001E-2</v>
      </c>
      <c r="BA22" s="27">
        <v>4.7199999999999999E-2</v>
      </c>
      <c r="BB22" s="28">
        <v>4.7199999999999999E-2</v>
      </c>
    </row>
    <row r="23" spans="1:54">
      <c r="A23" s="7" t="s">
        <v>18</v>
      </c>
      <c r="B23" s="5" t="s">
        <v>109</v>
      </c>
      <c r="C23" s="6" t="s">
        <v>77</v>
      </c>
      <c r="D23" s="6" t="s">
        <v>36</v>
      </c>
      <c r="E23" s="23">
        <v>16.600000000000001</v>
      </c>
      <c r="F23" s="23">
        <v>7.9</v>
      </c>
      <c r="G23" s="23">
        <v>11.1</v>
      </c>
      <c r="H23" s="24">
        <v>152</v>
      </c>
      <c r="I23" s="23">
        <v>1.8</v>
      </c>
      <c r="J23" s="23">
        <v>3.8</v>
      </c>
      <c r="K23" s="15">
        <v>2.5</v>
      </c>
      <c r="L23" s="15">
        <v>2.6</v>
      </c>
      <c r="M23" s="15">
        <v>2.6</v>
      </c>
      <c r="N23" s="20">
        <v>2.6</v>
      </c>
      <c r="O23" s="15">
        <v>2.1</v>
      </c>
      <c r="P23" s="15">
        <v>2</v>
      </c>
      <c r="Q23" s="15">
        <v>1.9</v>
      </c>
      <c r="R23" s="20">
        <v>2</v>
      </c>
      <c r="S23" s="17">
        <v>2.0470000000000002</v>
      </c>
      <c r="T23" s="17">
        <v>2.129</v>
      </c>
      <c r="U23" s="17">
        <v>2.048</v>
      </c>
      <c r="V23" s="22">
        <v>2.0750000000000002</v>
      </c>
      <c r="W23" s="17">
        <v>1.994</v>
      </c>
      <c r="X23" s="17">
        <v>1.9890000000000001</v>
      </c>
      <c r="Y23" s="17">
        <v>1.946</v>
      </c>
      <c r="Z23" s="22">
        <v>1.976</v>
      </c>
      <c r="AA23" s="17">
        <v>7.9000000000000001E-2</v>
      </c>
      <c r="AB23" s="17">
        <v>7.5999999999999998E-2</v>
      </c>
      <c r="AC23" s="19">
        <v>7.8E-2</v>
      </c>
      <c r="AD23" s="21">
        <v>7.8E-2</v>
      </c>
      <c r="AE23" s="19">
        <v>1.6919999999999999</v>
      </c>
      <c r="AF23" s="19">
        <v>1.704</v>
      </c>
      <c r="AG23" s="19">
        <v>1.696</v>
      </c>
      <c r="AH23" s="21">
        <v>1.6973333333333331</v>
      </c>
      <c r="AI23" s="19">
        <v>7.0000000000000007E-2</v>
      </c>
      <c r="AJ23" s="19">
        <v>7.6999999999999999E-2</v>
      </c>
      <c r="AK23" s="19">
        <v>6.6000000000000003E-2</v>
      </c>
      <c r="AL23" s="21">
        <v>7.0999999999999994E-2</v>
      </c>
      <c r="AM23" s="19">
        <v>4.1000000000000002E-2</v>
      </c>
      <c r="AN23" s="19">
        <v>0.04</v>
      </c>
      <c r="AO23" s="19">
        <v>4.2999999999999997E-2</v>
      </c>
      <c r="AP23" s="21">
        <v>4.1000000000000002E-2</v>
      </c>
      <c r="AQ23" s="19">
        <v>3.9E-2</v>
      </c>
      <c r="AR23" s="19">
        <v>3.6999999999999998E-2</v>
      </c>
      <c r="AS23" s="19">
        <v>3.9E-2</v>
      </c>
      <c r="AT23" s="21">
        <v>3.7999999999999999E-2</v>
      </c>
      <c r="AU23" s="19">
        <v>10.853999999999999</v>
      </c>
      <c r="AV23" s="19">
        <v>10.887</v>
      </c>
      <c r="AW23" s="19">
        <v>10.884</v>
      </c>
      <c r="AX23" s="21">
        <v>10.875</v>
      </c>
      <c r="AY23" s="27">
        <v>5.2600000000000001E-2</v>
      </c>
      <c r="AZ23" s="27">
        <v>5.3199999999999997E-2</v>
      </c>
      <c r="BA23" s="27">
        <v>5.1700000000000003E-2</v>
      </c>
      <c r="BB23" s="28">
        <v>5.2499999999999998E-2</v>
      </c>
    </row>
    <row r="24" spans="1:54">
      <c r="A24" s="7" t="s">
        <v>19</v>
      </c>
      <c r="B24" s="5" t="s">
        <v>78</v>
      </c>
      <c r="C24" s="6" t="s">
        <v>44</v>
      </c>
      <c r="D24" s="6" t="s">
        <v>79</v>
      </c>
      <c r="E24" s="23">
        <v>15.4</v>
      </c>
      <c r="F24" s="23">
        <v>8.9</v>
      </c>
      <c r="G24" s="23">
        <v>13</v>
      </c>
      <c r="H24" s="24">
        <v>156</v>
      </c>
      <c r="I24" s="23">
        <v>1</v>
      </c>
      <c r="J24" s="23">
        <v>2.7</v>
      </c>
      <c r="K24" s="15">
        <v>1.8</v>
      </c>
      <c r="L24" s="15">
        <v>1.8</v>
      </c>
      <c r="M24" s="15">
        <v>1.8</v>
      </c>
      <c r="N24" s="20">
        <v>1.8</v>
      </c>
      <c r="O24" s="15">
        <v>1.8</v>
      </c>
      <c r="P24" s="15">
        <v>1.7</v>
      </c>
      <c r="Q24" s="15">
        <v>1.7</v>
      </c>
      <c r="R24" s="20">
        <v>1.7333333333333334</v>
      </c>
      <c r="S24" s="17">
        <v>2.2170000000000001</v>
      </c>
      <c r="T24" s="17">
        <v>2.2309999999999999</v>
      </c>
      <c r="U24" s="17">
        <v>2.2320000000000002</v>
      </c>
      <c r="V24" s="22">
        <v>2.2269999999999999</v>
      </c>
      <c r="W24" s="17">
        <v>2.1800000000000002</v>
      </c>
      <c r="X24" s="17">
        <v>2.173</v>
      </c>
      <c r="Y24" s="17">
        <v>2.1429999999999998</v>
      </c>
      <c r="Z24" s="22">
        <v>2.165</v>
      </c>
      <c r="AA24" s="17">
        <v>1.4E-2</v>
      </c>
      <c r="AB24" s="17">
        <v>1.4E-2</v>
      </c>
      <c r="AC24" s="19">
        <v>1.7000000000000001E-2</v>
      </c>
      <c r="AD24" s="21">
        <v>1.4999999999999999E-2</v>
      </c>
      <c r="AE24" s="19">
        <v>1.958</v>
      </c>
      <c r="AF24" s="19">
        <v>1.9610000000000001</v>
      </c>
      <c r="AG24" s="19">
        <v>1.984</v>
      </c>
      <c r="AH24" s="21">
        <v>1.9676666666666669</v>
      </c>
      <c r="AI24" s="19">
        <v>2.9000000000000001E-2</v>
      </c>
      <c r="AJ24" s="19">
        <v>2.5999999999999999E-2</v>
      </c>
      <c r="AK24" s="19">
        <v>2.4E-2</v>
      </c>
      <c r="AL24" s="21">
        <v>2.5999999999999999E-2</v>
      </c>
      <c r="AM24" s="19">
        <v>1.2999999999999999E-2</v>
      </c>
      <c r="AN24" s="19">
        <v>1.4999999999999999E-2</v>
      </c>
      <c r="AO24" s="19">
        <v>1.2999999999999999E-2</v>
      </c>
      <c r="AP24" s="21">
        <v>1.4E-2</v>
      </c>
      <c r="AQ24" s="19">
        <v>1.0999999999999999E-2</v>
      </c>
      <c r="AR24" s="19">
        <v>8.9999999999999993E-3</v>
      </c>
      <c r="AS24" s="19">
        <v>8.9999999999999993E-3</v>
      </c>
      <c r="AT24" s="21">
        <v>0.01</v>
      </c>
      <c r="AU24" s="19">
        <v>14.67</v>
      </c>
      <c r="AV24" s="19">
        <v>14.682</v>
      </c>
      <c r="AW24" s="19">
        <v>14.807</v>
      </c>
      <c r="AX24" s="21">
        <v>14.719666666666667</v>
      </c>
      <c r="AY24" s="27">
        <v>5.6399999999999999E-2</v>
      </c>
      <c r="AZ24" s="27">
        <v>5.4100000000000002E-2</v>
      </c>
      <c r="BA24" s="27">
        <v>5.57E-2</v>
      </c>
      <c r="BB24" s="28">
        <v>5.5400000000000005E-2</v>
      </c>
    </row>
    <row r="25" spans="1:54">
      <c r="A25" s="7" t="s">
        <v>20</v>
      </c>
      <c r="B25" s="5" t="s">
        <v>80</v>
      </c>
      <c r="C25" s="6" t="s">
        <v>81</v>
      </c>
      <c r="D25" s="6" t="s">
        <v>36</v>
      </c>
      <c r="E25" s="23">
        <v>16</v>
      </c>
      <c r="F25" s="23">
        <v>8.1999999999999993</v>
      </c>
      <c r="G25" s="23">
        <v>10.7</v>
      </c>
      <c r="H25" s="24">
        <v>182</v>
      </c>
      <c r="I25" s="23">
        <v>2</v>
      </c>
      <c r="J25" s="23">
        <v>4.4000000000000004</v>
      </c>
      <c r="K25" s="15">
        <v>2.9</v>
      </c>
      <c r="L25" s="15">
        <v>3</v>
      </c>
      <c r="M25" s="15">
        <v>2.9</v>
      </c>
      <c r="N25" s="20">
        <v>2.9</v>
      </c>
      <c r="O25" s="15">
        <v>2.4</v>
      </c>
      <c r="P25" s="15">
        <v>2.2999999999999998</v>
      </c>
      <c r="Q25" s="15">
        <v>2.2000000000000002</v>
      </c>
      <c r="R25" s="20">
        <v>2.2999999999999998</v>
      </c>
      <c r="S25" s="17">
        <v>3.569</v>
      </c>
      <c r="T25" s="17">
        <v>3.61</v>
      </c>
      <c r="U25" s="17">
        <v>3.532</v>
      </c>
      <c r="V25" s="22">
        <v>3.57</v>
      </c>
      <c r="W25" s="17">
        <v>3.5019999999999998</v>
      </c>
      <c r="X25" s="17">
        <v>3.5190000000000001</v>
      </c>
      <c r="Y25" s="17">
        <v>3.52</v>
      </c>
      <c r="Z25" s="22">
        <v>3.5139999999999998</v>
      </c>
      <c r="AA25" s="17">
        <v>0.11899999999999999</v>
      </c>
      <c r="AB25" s="17">
        <v>0.11600000000000001</v>
      </c>
      <c r="AC25" s="19">
        <v>0.114</v>
      </c>
      <c r="AD25" s="21">
        <v>0.11600000000000001</v>
      </c>
      <c r="AE25" s="19">
        <v>3.109</v>
      </c>
      <c r="AF25" s="19">
        <v>3.0880000000000001</v>
      </c>
      <c r="AG25" s="19">
        <v>3.1139999999999999</v>
      </c>
      <c r="AH25" s="21">
        <v>3.1036666666666668</v>
      </c>
      <c r="AI25" s="19">
        <v>0.20399999999999999</v>
      </c>
      <c r="AJ25" s="19">
        <v>0.20599999999999999</v>
      </c>
      <c r="AK25" s="19">
        <v>0.20100000000000001</v>
      </c>
      <c r="AL25" s="21">
        <v>0.20399999999999999</v>
      </c>
      <c r="AM25" s="19">
        <v>0.155</v>
      </c>
      <c r="AN25" s="19">
        <v>0.158</v>
      </c>
      <c r="AO25" s="19">
        <v>0.161</v>
      </c>
      <c r="AP25" s="21">
        <v>0.158</v>
      </c>
      <c r="AQ25" s="19">
        <v>0.153</v>
      </c>
      <c r="AR25" s="19">
        <v>0.155</v>
      </c>
      <c r="AS25" s="19">
        <v>0.158</v>
      </c>
      <c r="AT25" s="21">
        <v>0.155</v>
      </c>
      <c r="AU25" s="19">
        <v>12.068</v>
      </c>
      <c r="AV25" s="19">
        <v>11.98</v>
      </c>
      <c r="AW25" s="19">
        <v>12.09</v>
      </c>
      <c r="AX25" s="21">
        <v>12.046000000000001</v>
      </c>
      <c r="AY25" s="27">
        <v>0.06</v>
      </c>
      <c r="AZ25" s="27">
        <v>6.0999999999999999E-2</v>
      </c>
      <c r="BA25" s="27">
        <v>5.8999999999999997E-2</v>
      </c>
      <c r="BB25" s="28">
        <v>0.06</v>
      </c>
    </row>
    <row r="26" spans="1:54">
      <c r="A26" s="7" t="s">
        <v>21</v>
      </c>
      <c r="B26" s="5" t="s">
        <v>82</v>
      </c>
      <c r="C26" s="6" t="s">
        <v>44</v>
      </c>
      <c r="D26" s="6" t="s">
        <v>83</v>
      </c>
      <c r="E26" s="23">
        <v>15.2</v>
      </c>
      <c r="F26" s="23">
        <v>8.9</v>
      </c>
      <c r="G26" s="23">
        <v>13.8</v>
      </c>
      <c r="H26" s="24">
        <v>162</v>
      </c>
      <c r="I26" s="23">
        <v>1.8</v>
      </c>
      <c r="J26" s="23">
        <v>4.9000000000000004</v>
      </c>
      <c r="K26" s="15">
        <v>3.5</v>
      </c>
      <c r="L26" s="15">
        <v>3.5</v>
      </c>
      <c r="M26" s="15">
        <v>3.5</v>
      </c>
      <c r="N26" s="20">
        <v>3.5</v>
      </c>
      <c r="O26" s="15">
        <v>2.9</v>
      </c>
      <c r="P26" s="15">
        <v>2.8</v>
      </c>
      <c r="Q26" s="15">
        <v>2.8</v>
      </c>
      <c r="R26" s="20">
        <v>2.8333333333333335</v>
      </c>
      <c r="S26" s="17">
        <v>2.2999999999999998</v>
      </c>
      <c r="T26" s="17">
        <v>2.3660000000000001</v>
      </c>
      <c r="U26" s="17">
        <v>2.3370000000000002</v>
      </c>
      <c r="V26" s="22">
        <v>2.3340000000000001</v>
      </c>
      <c r="W26" s="17">
        <v>2.2759999999999998</v>
      </c>
      <c r="X26" s="17">
        <v>2.2250000000000001</v>
      </c>
      <c r="Y26" s="17">
        <v>2.2240000000000002</v>
      </c>
      <c r="Z26" s="22">
        <v>2.242</v>
      </c>
      <c r="AA26" s="17">
        <v>3.5999999999999997E-2</v>
      </c>
      <c r="AB26" s="17">
        <v>3.5999999999999997E-2</v>
      </c>
      <c r="AC26" s="19">
        <v>3.6999999999999998E-2</v>
      </c>
      <c r="AD26" s="21">
        <v>3.5999999999999997E-2</v>
      </c>
      <c r="AE26" s="19">
        <v>1.903</v>
      </c>
      <c r="AF26" s="19">
        <v>1.9470000000000001</v>
      </c>
      <c r="AG26" s="19">
        <v>1.919</v>
      </c>
      <c r="AH26" s="21">
        <v>1.923</v>
      </c>
      <c r="AI26" s="19">
        <v>9.6000000000000002E-2</v>
      </c>
      <c r="AJ26" s="19">
        <v>9.9000000000000005E-2</v>
      </c>
      <c r="AK26" s="19">
        <v>9.5000000000000001E-2</v>
      </c>
      <c r="AL26" s="21">
        <v>9.7000000000000003E-2</v>
      </c>
      <c r="AM26" s="19">
        <v>0.06</v>
      </c>
      <c r="AN26" s="19">
        <v>5.8999999999999997E-2</v>
      </c>
      <c r="AO26" s="19">
        <v>5.8000000000000003E-2</v>
      </c>
      <c r="AP26" s="21">
        <v>5.8999999999999997E-2</v>
      </c>
      <c r="AQ26" s="19">
        <v>5.5E-2</v>
      </c>
      <c r="AR26" s="19">
        <v>5.2999999999999999E-2</v>
      </c>
      <c r="AS26" s="19">
        <v>5.2999999999999999E-2</v>
      </c>
      <c r="AT26" s="21">
        <v>5.3999999999999999E-2</v>
      </c>
      <c r="AU26" s="19">
        <v>10.273</v>
      </c>
      <c r="AV26" s="19">
        <v>10.467000000000001</v>
      </c>
      <c r="AW26" s="19">
        <v>10.385</v>
      </c>
      <c r="AX26" s="21">
        <v>10.375</v>
      </c>
      <c r="AY26" s="27">
        <v>8.1000000000000003E-2</v>
      </c>
      <c r="AZ26" s="27">
        <v>7.8399999999999997E-2</v>
      </c>
      <c r="BA26" s="27">
        <v>7.9399999999999998E-2</v>
      </c>
      <c r="BB26" s="28">
        <v>7.959999999999999E-2</v>
      </c>
    </row>
    <row r="27" spans="1:54">
      <c r="A27" s="7" t="s">
        <v>22</v>
      </c>
      <c r="B27" s="5" t="s">
        <v>84</v>
      </c>
      <c r="C27" s="6" t="s">
        <v>85</v>
      </c>
      <c r="D27" s="6" t="s">
        <v>36</v>
      </c>
      <c r="E27" s="23">
        <v>15.8</v>
      </c>
      <c r="F27" s="23">
        <v>8.4</v>
      </c>
      <c r="G27" s="23">
        <v>12</v>
      </c>
      <c r="H27" s="24">
        <v>158</v>
      </c>
      <c r="I27" s="23">
        <v>1.7</v>
      </c>
      <c r="J27" s="23">
        <v>4.0999999999999996</v>
      </c>
      <c r="K27" s="15">
        <v>2.8</v>
      </c>
      <c r="L27" s="15">
        <v>2.8</v>
      </c>
      <c r="M27" s="15">
        <v>2.8</v>
      </c>
      <c r="N27" s="20">
        <v>2.8</v>
      </c>
      <c r="O27" s="15">
        <v>2.6</v>
      </c>
      <c r="P27" s="15">
        <v>2.4</v>
      </c>
      <c r="Q27" s="15">
        <v>2.4</v>
      </c>
      <c r="R27" s="20">
        <v>2.4666666666666668</v>
      </c>
      <c r="S27" s="17">
        <v>2.2989999999999999</v>
      </c>
      <c r="T27" s="17">
        <v>2.2269999999999999</v>
      </c>
      <c r="U27" s="17">
        <v>2.3079999999999998</v>
      </c>
      <c r="V27" s="22">
        <v>2.278</v>
      </c>
      <c r="W27" s="17">
        <v>2.238</v>
      </c>
      <c r="X27" s="17">
        <v>2.2559999999999998</v>
      </c>
      <c r="Y27" s="17">
        <v>2.2029999999999998</v>
      </c>
      <c r="Z27" s="22">
        <v>2.2320000000000002</v>
      </c>
      <c r="AA27" s="17">
        <v>5.8999999999999997E-2</v>
      </c>
      <c r="AB27" s="17">
        <v>6.5000000000000002E-2</v>
      </c>
      <c r="AC27" s="19">
        <v>0.06</v>
      </c>
      <c r="AD27" s="21">
        <v>6.0999999999999999E-2</v>
      </c>
      <c r="AE27" s="19">
        <v>1.891</v>
      </c>
      <c r="AF27" s="19">
        <v>1.9</v>
      </c>
      <c r="AG27" s="19">
        <v>1.9530000000000001</v>
      </c>
      <c r="AH27" s="21">
        <v>1.9146666666666665</v>
      </c>
      <c r="AI27" s="19">
        <v>8.8999999999999996E-2</v>
      </c>
      <c r="AJ27" s="19">
        <v>9.0999999999999998E-2</v>
      </c>
      <c r="AK27" s="19">
        <v>8.5999999999999993E-2</v>
      </c>
      <c r="AL27" s="21">
        <v>8.8999999999999996E-2</v>
      </c>
      <c r="AM27" s="19">
        <v>5.6000000000000001E-2</v>
      </c>
      <c r="AN27" s="19">
        <v>5.5E-2</v>
      </c>
      <c r="AO27" s="19">
        <v>5.5E-2</v>
      </c>
      <c r="AP27" s="21">
        <v>5.5E-2</v>
      </c>
      <c r="AQ27" s="19">
        <v>5.0999999999999997E-2</v>
      </c>
      <c r="AR27" s="19">
        <v>4.9000000000000002E-2</v>
      </c>
      <c r="AS27" s="19">
        <v>4.8000000000000001E-2</v>
      </c>
      <c r="AT27" s="21">
        <v>4.9000000000000002E-2</v>
      </c>
      <c r="AU27" s="19">
        <v>10.57</v>
      </c>
      <c r="AV27" s="19">
        <v>10.581</v>
      </c>
      <c r="AW27" s="19">
        <v>10.864000000000001</v>
      </c>
      <c r="AX27" s="21">
        <v>10.671666666666667</v>
      </c>
      <c r="AY27" s="27">
        <v>6.4100000000000004E-2</v>
      </c>
      <c r="AZ27" s="27">
        <v>6.4100000000000004E-2</v>
      </c>
      <c r="BA27" s="27">
        <v>6.2399999999999997E-2</v>
      </c>
      <c r="BB27" s="28">
        <v>6.3533333333333331E-2</v>
      </c>
    </row>
    <row r="28" spans="1:54">
      <c r="A28" s="7" t="s">
        <v>23</v>
      </c>
      <c r="B28" s="5" t="s">
        <v>86</v>
      </c>
      <c r="C28" s="6" t="s">
        <v>87</v>
      </c>
      <c r="D28" s="6" t="s">
        <v>88</v>
      </c>
      <c r="E28" s="23">
        <v>14.1</v>
      </c>
      <c r="F28" s="23">
        <v>7.3</v>
      </c>
      <c r="G28" s="23">
        <v>11.7</v>
      </c>
      <c r="H28" s="24">
        <v>155</v>
      </c>
      <c r="I28" s="23">
        <v>1.1000000000000001</v>
      </c>
      <c r="J28" s="23">
        <v>4.2</v>
      </c>
      <c r="K28" s="15">
        <v>2.9</v>
      </c>
      <c r="L28" s="15">
        <v>3</v>
      </c>
      <c r="M28" s="15">
        <v>3</v>
      </c>
      <c r="N28" s="20">
        <v>3</v>
      </c>
      <c r="O28" s="15">
        <v>2.7</v>
      </c>
      <c r="P28" s="15">
        <v>2.6</v>
      </c>
      <c r="Q28" s="15">
        <v>2.6</v>
      </c>
      <c r="R28" s="20">
        <v>2.6333333333333333</v>
      </c>
      <c r="S28" s="17">
        <v>1.486</v>
      </c>
      <c r="T28" s="17">
        <v>1.4890000000000001</v>
      </c>
      <c r="U28" s="17">
        <v>1.502</v>
      </c>
      <c r="V28" s="22">
        <v>1.492</v>
      </c>
      <c r="W28" s="17">
        <v>1.42</v>
      </c>
      <c r="X28" s="17">
        <v>1.43</v>
      </c>
      <c r="Y28" s="17">
        <v>1.431</v>
      </c>
      <c r="Z28" s="22">
        <v>1.427</v>
      </c>
      <c r="AA28" s="17">
        <v>1.2999999999999999E-2</v>
      </c>
      <c r="AB28" s="17">
        <v>1.2999999999999999E-2</v>
      </c>
      <c r="AC28" s="19">
        <v>1.2999999999999999E-2</v>
      </c>
      <c r="AD28" s="21">
        <v>1.2999999999999999E-2</v>
      </c>
      <c r="AE28" s="19">
        <v>1.1399999999999999</v>
      </c>
      <c r="AF28" s="19">
        <v>1.175</v>
      </c>
      <c r="AG28" s="19">
        <v>1.1859999999999999</v>
      </c>
      <c r="AH28" s="21">
        <v>1.167</v>
      </c>
      <c r="AI28" s="19">
        <v>0.04</v>
      </c>
      <c r="AJ28" s="19">
        <v>4.3999999999999997E-2</v>
      </c>
      <c r="AK28" s="19">
        <v>3.6999999999999998E-2</v>
      </c>
      <c r="AL28" s="21">
        <v>0.04</v>
      </c>
      <c r="AM28" s="19">
        <v>1.7999999999999999E-2</v>
      </c>
      <c r="AN28" s="19">
        <v>0.02</v>
      </c>
      <c r="AO28" s="19">
        <v>1.7999999999999999E-2</v>
      </c>
      <c r="AP28" s="21">
        <v>1.9E-2</v>
      </c>
      <c r="AQ28" s="19">
        <v>1.4E-2</v>
      </c>
      <c r="AR28" s="19">
        <v>1.0999999999999999E-2</v>
      </c>
      <c r="AS28" s="19">
        <v>1.0999999999999999E-2</v>
      </c>
      <c r="AT28" s="21">
        <v>1.2E-2</v>
      </c>
      <c r="AU28" s="19">
        <v>10.429</v>
      </c>
      <c r="AV28" s="19">
        <v>10.750999999999999</v>
      </c>
      <c r="AW28" s="19">
        <v>10.901</v>
      </c>
      <c r="AX28" s="21">
        <v>10.693666666666667</v>
      </c>
      <c r="AY28" s="27">
        <v>7.1800000000000003E-2</v>
      </c>
      <c r="AZ28" s="27">
        <v>7.1300000000000002E-2</v>
      </c>
      <c r="BA28" s="27">
        <v>7.1499999999999994E-2</v>
      </c>
      <c r="BB28" s="28">
        <v>7.1533333333333338E-2</v>
      </c>
    </row>
    <row r="29" spans="1:54">
      <c r="A29" s="7" t="s">
        <v>24</v>
      </c>
      <c r="B29" s="5" t="s">
        <v>89</v>
      </c>
      <c r="C29" s="6" t="s">
        <v>42</v>
      </c>
      <c r="D29" s="6" t="s">
        <v>36</v>
      </c>
      <c r="E29" s="23">
        <v>18.2</v>
      </c>
      <c r="F29" s="23">
        <v>9.3000000000000007</v>
      </c>
      <c r="G29" s="23">
        <v>12.3</v>
      </c>
      <c r="H29" s="24">
        <v>155</v>
      </c>
      <c r="I29" s="23">
        <v>1.8</v>
      </c>
      <c r="J29" s="23">
        <v>4.0999999999999996</v>
      </c>
      <c r="K29" s="15">
        <v>2.6</v>
      </c>
      <c r="L29" s="15">
        <v>2.6</v>
      </c>
      <c r="M29" s="15">
        <v>2.6</v>
      </c>
      <c r="N29" s="20">
        <v>2.6</v>
      </c>
      <c r="O29" s="15">
        <v>2.5</v>
      </c>
      <c r="P29" s="15">
        <v>2.2999999999999998</v>
      </c>
      <c r="Q29" s="15">
        <v>2.4</v>
      </c>
      <c r="R29" s="20">
        <v>2.4</v>
      </c>
      <c r="S29" s="17">
        <v>2.4129999999999998</v>
      </c>
      <c r="T29" s="17">
        <v>2.4249999999999998</v>
      </c>
      <c r="U29" s="17">
        <v>2.407</v>
      </c>
      <c r="V29" s="22">
        <v>2.415</v>
      </c>
      <c r="W29" s="17">
        <v>2.3660000000000001</v>
      </c>
      <c r="X29" s="17">
        <v>2.347</v>
      </c>
      <c r="Y29" s="17">
        <v>2.3109999999999999</v>
      </c>
      <c r="Z29" s="22">
        <v>2.3410000000000002</v>
      </c>
      <c r="AA29" s="17">
        <v>4.5999999999999999E-2</v>
      </c>
      <c r="AB29" s="17">
        <v>4.3999999999999997E-2</v>
      </c>
      <c r="AC29" s="19">
        <v>4.4999999999999998E-2</v>
      </c>
      <c r="AD29" s="21">
        <v>4.4999999999999998E-2</v>
      </c>
      <c r="AE29" s="19">
        <v>2.0049999999999999</v>
      </c>
      <c r="AF29" s="19">
        <v>2.0619999999999998</v>
      </c>
      <c r="AG29" s="19">
        <v>2.0539999999999998</v>
      </c>
      <c r="AH29" s="21">
        <v>2.0403333333333333</v>
      </c>
      <c r="AI29" s="19">
        <v>0.187</v>
      </c>
      <c r="AJ29" s="19">
        <v>0.186</v>
      </c>
      <c r="AK29" s="19">
        <v>0.182</v>
      </c>
      <c r="AL29" s="21">
        <v>0.185</v>
      </c>
      <c r="AM29" s="19">
        <v>0.152</v>
      </c>
      <c r="AN29" s="19">
        <v>0.14799999999999999</v>
      </c>
      <c r="AO29" s="19">
        <v>0.14899999999999999</v>
      </c>
      <c r="AP29" s="21">
        <v>0.15</v>
      </c>
      <c r="AQ29" s="19">
        <v>0.14899999999999999</v>
      </c>
      <c r="AR29" s="19">
        <v>0.14699999999999999</v>
      </c>
      <c r="AS29" s="19">
        <v>0.14699999999999999</v>
      </c>
      <c r="AT29" s="21">
        <v>0.14799999999999999</v>
      </c>
      <c r="AU29" s="19">
        <v>10.23</v>
      </c>
      <c r="AV29" s="19">
        <v>10.488</v>
      </c>
      <c r="AW29" s="19">
        <v>10.458</v>
      </c>
      <c r="AX29" s="21">
        <v>10.392000000000001</v>
      </c>
      <c r="AY29" s="27">
        <v>6.88E-2</v>
      </c>
      <c r="AZ29" s="27">
        <v>6.83E-2</v>
      </c>
      <c r="BA29" s="27">
        <v>6.7000000000000004E-2</v>
      </c>
      <c r="BB29" s="28">
        <v>6.8033333333333335E-2</v>
      </c>
    </row>
    <row r="30" spans="1:54">
      <c r="A30" s="7" t="s">
        <v>25</v>
      </c>
      <c r="B30" s="5" t="s">
        <v>90</v>
      </c>
      <c r="C30" s="6" t="s">
        <v>44</v>
      </c>
      <c r="D30" s="6" t="s">
        <v>91</v>
      </c>
      <c r="E30" s="23">
        <v>15.3</v>
      </c>
      <c r="F30" s="23">
        <v>8.6</v>
      </c>
      <c r="G30" s="23">
        <v>14.7</v>
      </c>
      <c r="H30" s="24">
        <v>235</v>
      </c>
      <c r="I30" s="23">
        <v>1</v>
      </c>
      <c r="J30" s="23">
        <v>3.3</v>
      </c>
      <c r="K30" s="15">
        <v>2.2999999999999998</v>
      </c>
      <c r="L30" s="15">
        <v>2.4</v>
      </c>
      <c r="M30" s="15">
        <v>2.2999999999999998</v>
      </c>
      <c r="N30" s="20">
        <v>2.2999999999999998</v>
      </c>
      <c r="O30" s="15">
        <v>2.2999999999999998</v>
      </c>
      <c r="P30" s="15">
        <v>2.2000000000000002</v>
      </c>
      <c r="Q30" s="15">
        <v>2.2000000000000002</v>
      </c>
      <c r="R30" s="20">
        <v>2.2333333333333334</v>
      </c>
      <c r="S30" s="17">
        <v>4.125</v>
      </c>
      <c r="T30" s="17">
        <v>4.0739999999999998</v>
      </c>
      <c r="U30" s="17">
        <v>4.056</v>
      </c>
      <c r="V30" s="22">
        <v>4.085</v>
      </c>
      <c r="W30" s="17">
        <v>4.0570000000000004</v>
      </c>
      <c r="X30" s="17">
        <v>3.984</v>
      </c>
      <c r="Y30" s="17">
        <v>4.0359999999999996</v>
      </c>
      <c r="Z30" s="22">
        <v>4.0259999999999998</v>
      </c>
      <c r="AA30" s="17">
        <v>2.7E-2</v>
      </c>
      <c r="AB30" s="17">
        <v>2.4E-2</v>
      </c>
      <c r="AC30" s="19">
        <v>2.5000000000000001E-2</v>
      </c>
      <c r="AD30" s="21">
        <v>2.5000000000000001E-2</v>
      </c>
      <c r="AE30" s="19">
        <v>3.8719999999999999</v>
      </c>
      <c r="AF30" s="19">
        <v>3.8879999999999999</v>
      </c>
      <c r="AG30" s="19">
        <v>3.8860000000000001</v>
      </c>
      <c r="AH30" s="21">
        <v>3.8820000000000001</v>
      </c>
      <c r="AI30" s="19">
        <v>5.0999999999999997E-2</v>
      </c>
      <c r="AJ30" s="19">
        <v>4.8000000000000001E-2</v>
      </c>
      <c r="AK30" s="19">
        <v>4.5999999999999999E-2</v>
      </c>
      <c r="AL30" s="21">
        <v>4.8000000000000001E-2</v>
      </c>
      <c r="AM30" s="19">
        <v>3.3000000000000002E-2</v>
      </c>
      <c r="AN30" s="19">
        <v>3.4000000000000002E-2</v>
      </c>
      <c r="AO30" s="19">
        <v>3.2000000000000001E-2</v>
      </c>
      <c r="AP30" s="21">
        <v>3.3000000000000002E-2</v>
      </c>
      <c r="AQ30" s="19">
        <v>2.7E-2</v>
      </c>
      <c r="AR30" s="19">
        <v>2.5000000000000001E-2</v>
      </c>
      <c r="AS30" s="19">
        <v>2.5000000000000001E-2</v>
      </c>
      <c r="AT30" s="21">
        <v>2.5999999999999999E-2</v>
      </c>
      <c r="AU30" s="19">
        <v>15.651999999999999</v>
      </c>
      <c r="AV30" s="19">
        <v>15.631</v>
      </c>
      <c r="AW30" s="19">
        <v>15.673</v>
      </c>
      <c r="AX30" s="21">
        <v>15.652000000000001</v>
      </c>
      <c r="AY30" s="27">
        <v>6.3200000000000006E-2</v>
      </c>
      <c r="AZ30" s="27">
        <v>6.0999999999999999E-2</v>
      </c>
      <c r="BA30" s="27">
        <v>6.25E-2</v>
      </c>
      <c r="BB30" s="28">
        <v>6.2233333333333335E-2</v>
      </c>
    </row>
    <row r="31" spans="1:54">
      <c r="A31" s="7" t="s">
        <v>26</v>
      </c>
      <c r="B31" s="5" t="s">
        <v>92</v>
      </c>
      <c r="C31" s="6" t="s">
        <v>93</v>
      </c>
      <c r="D31" s="6" t="s">
        <v>36</v>
      </c>
      <c r="E31" s="23">
        <v>14.7</v>
      </c>
      <c r="F31" s="23">
        <v>7.8</v>
      </c>
      <c r="G31" s="23">
        <v>10.9</v>
      </c>
      <c r="H31" s="24">
        <v>145</v>
      </c>
      <c r="I31" s="23">
        <v>1.9</v>
      </c>
      <c r="J31" s="23">
        <v>4.5</v>
      </c>
      <c r="K31" s="15">
        <v>3.1</v>
      </c>
      <c r="L31" s="15">
        <v>3</v>
      </c>
      <c r="M31" s="15">
        <v>3</v>
      </c>
      <c r="N31" s="20">
        <v>3</v>
      </c>
      <c r="O31" s="15">
        <v>2.5</v>
      </c>
      <c r="P31" s="15">
        <v>2.4</v>
      </c>
      <c r="Q31" s="15">
        <v>2.4</v>
      </c>
      <c r="R31" s="20">
        <v>2.4333333333333336</v>
      </c>
      <c r="S31" s="17">
        <v>2.1539999999999999</v>
      </c>
      <c r="T31" s="17">
        <v>2.1709999999999998</v>
      </c>
      <c r="U31" s="17">
        <v>2.1619999999999999</v>
      </c>
      <c r="V31" s="22">
        <v>2.1619999999999999</v>
      </c>
      <c r="W31" s="17">
        <v>2.1480000000000001</v>
      </c>
      <c r="X31" s="17">
        <v>2.137</v>
      </c>
      <c r="Y31" s="17">
        <v>2.1379999999999999</v>
      </c>
      <c r="Z31" s="22">
        <v>2.141</v>
      </c>
      <c r="AA31" s="17">
        <v>2.8000000000000001E-2</v>
      </c>
      <c r="AB31" s="17">
        <v>3.2000000000000001E-2</v>
      </c>
      <c r="AC31" s="19">
        <v>2.7E-2</v>
      </c>
      <c r="AD31" s="21">
        <v>2.9000000000000001E-2</v>
      </c>
      <c r="AE31" s="19">
        <v>1.8069999999999999</v>
      </c>
      <c r="AF31" s="19">
        <v>1.8149999999999999</v>
      </c>
      <c r="AG31" s="19">
        <v>1.843</v>
      </c>
      <c r="AH31" s="21">
        <v>1.8216666666666665</v>
      </c>
      <c r="AI31" s="19">
        <v>0.08</v>
      </c>
      <c r="AJ31" s="19">
        <v>8.4000000000000005E-2</v>
      </c>
      <c r="AK31" s="19">
        <v>7.6999999999999999E-2</v>
      </c>
      <c r="AL31" s="21">
        <v>0.08</v>
      </c>
      <c r="AM31" s="19">
        <v>4.3999999999999997E-2</v>
      </c>
      <c r="AN31" s="19">
        <v>4.4999999999999998E-2</v>
      </c>
      <c r="AO31" s="19">
        <v>4.3999999999999997E-2</v>
      </c>
      <c r="AP31" s="21">
        <v>4.3999999999999997E-2</v>
      </c>
      <c r="AQ31" s="19">
        <v>3.6999999999999998E-2</v>
      </c>
      <c r="AR31" s="19">
        <v>3.5999999999999997E-2</v>
      </c>
      <c r="AS31" s="19">
        <v>3.5999999999999997E-2</v>
      </c>
      <c r="AT31" s="21">
        <v>3.5999999999999997E-2</v>
      </c>
      <c r="AU31" s="19">
        <v>9.9610000000000003</v>
      </c>
      <c r="AV31" s="19">
        <v>10.031000000000001</v>
      </c>
      <c r="AW31" s="19">
        <v>10.175000000000001</v>
      </c>
      <c r="AX31" s="21">
        <v>10.055666666666667</v>
      </c>
      <c r="AY31" s="27">
        <v>7.2099999999999997E-2</v>
      </c>
      <c r="AZ31" s="27">
        <v>7.2400000000000006E-2</v>
      </c>
      <c r="BA31" s="27">
        <v>7.1599999999999997E-2</v>
      </c>
      <c r="BB31" s="28">
        <v>7.2033333333333338E-2</v>
      </c>
    </row>
    <row r="32" spans="1:54">
      <c r="A32" s="7" t="s">
        <v>27</v>
      </c>
      <c r="B32" s="5" t="s">
        <v>94</v>
      </c>
      <c r="C32" s="6" t="s">
        <v>95</v>
      </c>
      <c r="D32" s="6" t="s">
        <v>96</v>
      </c>
      <c r="E32" s="23">
        <v>12.3</v>
      </c>
      <c r="F32" s="23">
        <v>7.3</v>
      </c>
      <c r="G32" s="23">
        <v>10.4</v>
      </c>
      <c r="H32" s="24">
        <v>152</v>
      </c>
      <c r="I32" s="23">
        <v>0.6</v>
      </c>
      <c r="J32" s="23">
        <v>2.4</v>
      </c>
      <c r="K32" s="15">
        <v>1.5</v>
      </c>
      <c r="L32" s="15">
        <v>1.5</v>
      </c>
      <c r="M32" s="15">
        <v>1.5</v>
      </c>
      <c r="N32" s="20">
        <v>1.5</v>
      </c>
      <c r="O32" s="15">
        <v>1.5</v>
      </c>
      <c r="P32" s="15">
        <v>1.4</v>
      </c>
      <c r="Q32" s="15">
        <v>1.4</v>
      </c>
      <c r="R32" s="20">
        <v>1.4333333333333333</v>
      </c>
      <c r="S32" s="17">
        <v>2.9420000000000002</v>
      </c>
      <c r="T32" s="17">
        <v>2.8279999999999998</v>
      </c>
      <c r="U32" s="17">
        <v>2.891</v>
      </c>
      <c r="V32" s="22">
        <v>2.887</v>
      </c>
      <c r="W32" s="17">
        <v>2.8769999999999998</v>
      </c>
      <c r="X32" s="17">
        <v>2.8959999999999999</v>
      </c>
      <c r="Y32" s="17">
        <v>2.871</v>
      </c>
      <c r="Z32" s="22">
        <v>2.8809999999999998</v>
      </c>
      <c r="AA32" s="17">
        <v>1.0999999999999999E-2</v>
      </c>
      <c r="AB32" s="17">
        <v>1.2E-2</v>
      </c>
      <c r="AC32" s="19">
        <v>1.2999999999999999E-2</v>
      </c>
      <c r="AD32" s="21">
        <v>1.2E-2</v>
      </c>
      <c r="AE32" s="19">
        <v>2.73</v>
      </c>
      <c r="AF32" s="19">
        <v>2.7679999999999998</v>
      </c>
      <c r="AG32" s="19">
        <v>2.8069999999999999</v>
      </c>
      <c r="AH32" s="21">
        <v>2.7683333333333331</v>
      </c>
      <c r="AI32" s="19">
        <v>2.8000000000000001E-2</v>
      </c>
      <c r="AJ32" s="19">
        <v>2.1999999999999999E-2</v>
      </c>
      <c r="AK32" s="19">
        <v>2.4E-2</v>
      </c>
      <c r="AL32" s="21">
        <v>2.5000000000000001E-2</v>
      </c>
      <c r="AM32" s="19">
        <v>1.2999999999999999E-2</v>
      </c>
      <c r="AN32" s="19">
        <v>1.4999999999999999E-2</v>
      </c>
      <c r="AO32" s="19">
        <v>1.4E-2</v>
      </c>
      <c r="AP32" s="21">
        <v>1.4E-2</v>
      </c>
      <c r="AQ32" s="19">
        <v>0.01</v>
      </c>
      <c r="AR32" s="19">
        <v>8.9999999999999993E-3</v>
      </c>
      <c r="AS32" s="19">
        <v>8.9999999999999993E-3</v>
      </c>
      <c r="AT32" s="21">
        <v>8.9999999999999993E-3</v>
      </c>
      <c r="AU32" s="19">
        <v>9.9689999999999994</v>
      </c>
      <c r="AV32" s="19">
        <v>10.099</v>
      </c>
      <c r="AW32" s="19">
        <v>10.215999999999999</v>
      </c>
      <c r="AX32" s="21">
        <v>10.094666666666667</v>
      </c>
      <c r="AY32" s="27">
        <v>5.0799999999999998E-2</v>
      </c>
      <c r="AZ32" s="27">
        <v>4.9200000000000001E-2</v>
      </c>
      <c r="BA32" s="27">
        <v>5.0299999999999997E-2</v>
      </c>
      <c r="BB32" s="28">
        <v>5.0099999999999999E-2</v>
      </c>
    </row>
    <row r="33" spans="1:54">
      <c r="A33" s="7" t="s">
        <v>28</v>
      </c>
      <c r="B33" s="5" t="s">
        <v>97</v>
      </c>
      <c r="C33" s="6" t="s">
        <v>98</v>
      </c>
      <c r="D33" s="6" t="s">
        <v>36</v>
      </c>
      <c r="E33" s="23">
        <v>15.3</v>
      </c>
      <c r="F33" s="23">
        <v>7.4</v>
      </c>
      <c r="G33" s="23">
        <v>10</v>
      </c>
      <c r="H33" s="24">
        <v>156</v>
      </c>
      <c r="I33" s="23">
        <v>1.2</v>
      </c>
      <c r="J33" s="23">
        <v>3.5</v>
      </c>
      <c r="K33" s="15">
        <v>2.4</v>
      </c>
      <c r="L33" s="15">
        <v>2.4</v>
      </c>
      <c r="M33" s="15">
        <v>2.4</v>
      </c>
      <c r="N33" s="20">
        <v>2.4</v>
      </c>
      <c r="O33" s="15">
        <v>2.2000000000000002</v>
      </c>
      <c r="P33" s="15">
        <v>2.2000000000000002</v>
      </c>
      <c r="Q33" s="15">
        <v>2.2000000000000002</v>
      </c>
      <c r="R33" s="20">
        <v>2.2000000000000002</v>
      </c>
      <c r="S33" s="17">
        <v>2.2210000000000001</v>
      </c>
      <c r="T33" s="17">
        <v>2.181</v>
      </c>
      <c r="U33" s="17">
        <v>2.2200000000000002</v>
      </c>
      <c r="V33" s="22">
        <v>2.2069999999999999</v>
      </c>
      <c r="W33" s="17">
        <v>2.1659999999999999</v>
      </c>
      <c r="X33" s="17">
        <v>2.14</v>
      </c>
      <c r="Y33" s="17">
        <v>2.1869999999999998</v>
      </c>
      <c r="Z33" s="22">
        <v>2.1640000000000001</v>
      </c>
      <c r="AA33" s="17">
        <v>2.9000000000000001E-2</v>
      </c>
      <c r="AB33" s="17">
        <v>0.03</v>
      </c>
      <c r="AC33" s="19">
        <v>3.4000000000000002E-2</v>
      </c>
      <c r="AD33" s="21">
        <v>3.1E-2</v>
      </c>
      <c r="AE33" s="19">
        <v>1.8720000000000001</v>
      </c>
      <c r="AF33" s="19">
        <v>1.897</v>
      </c>
      <c r="AG33" s="19">
        <v>1.9259999999999999</v>
      </c>
      <c r="AH33" s="21">
        <v>1.8983333333333334</v>
      </c>
      <c r="AI33" s="19">
        <v>7.9000000000000001E-2</v>
      </c>
      <c r="AJ33" s="19">
        <v>7.0000000000000007E-2</v>
      </c>
      <c r="AK33" s="19">
        <v>7.4999999999999997E-2</v>
      </c>
      <c r="AL33" s="21">
        <v>7.4999999999999997E-2</v>
      </c>
      <c r="AM33" s="19">
        <v>4.8000000000000001E-2</v>
      </c>
      <c r="AN33" s="19">
        <v>4.7E-2</v>
      </c>
      <c r="AO33" s="19">
        <v>5.0999999999999997E-2</v>
      </c>
      <c r="AP33" s="21">
        <v>4.9000000000000002E-2</v>
      </c>
      <c r="AQ33" s="19">
        <v>4.5999999999999999E-2</v>
      </c>
      <c r="AR33" s="19">
        <v>4.3999999999999997E-2</v>
      </c>
      <c r="AS33" s="19">
        <v>4.4999999999999998E-2</v>
      </c>
      <c r="AT33" s="21">
        <v>4.4999999999999998E-2</v>
      </c>
      <c r="AU33" s="19">
        <v>10.222</v>
      </c>
      <c r="AV33" s="19">
        <v>10.333</v>
      </c>
      <c r="AW33" s="19">
        <v>10.488</v>
      </c>
      <c r="AX33" s="21">
        <v>10.347666666666667</v>
      </c>
      <c r="AY33" s="27">
        <v>6.6100000000000006E-2</v>
      </c>
      <c r="AZ33" s="27">
        <v>6.6600000000000006E-2</v>
      </c>
      <c r="BA33" s="27">
        <v>6.5100000000000005E-2</v>
      </c>
      <c r="BB33" s="28">
        <v>6.5933333333333344E-2</v>
      </c>
    </row>
    <row r="34" spans="1:54">
      <c r="A34" s="7" t="s">
        <v>29</v>
      </c>
      <c r="B34" s="5" t="s">
        <v>99</v>
      </c>
      <c r="C34" s="6" t="s">
        <v>44</v>
      </c>
      <c r="D34" s="6" t="s">
        <v>100</v>
      </c>
      <c r="E34" s="23">
        <v>13.7</v>
      </c>
      <c r="F34" s="23">
        <v>7.3</v>
      </c>
      <c r="G34" s="23">
        <v>8.1999999999999993</v>
      </c>
      <c r="H34" s="24">
        <v>196</v>
      </c>
      <c r="I34" s="23">
        <v>1.5</v>
      </c>
      <c r="J34" s="23">
        <v>4.2</v>
      </c>
      <c r="K34" s="15">
        <v>2.8</v>
      </c>
      <c r="L34" s="15">
        <v>2.9</v>
      </c>
      <c r="M34" s="15">
        <v>2.9</v>
      </c>
      <c r="N34" s="20">
        <v>2.9</v>
      </c>
      <c r="O34" s="15">
        <v>2.5</v>
      </c>
      <c r="P34" s="15">
        <v>2.4</v>
      </c>
      <c r="Q34" s="15">
        <v>2.5</v>
      </c>
      <c r="R34" s="20">
        <v>2.4666666666666668</v>
      </c>
      <c r="S34" s="17">
        <v>2.508</v>
      </c>
      <c r="T34" s="17">
        <v>2.4740000000000002</v>
      </c>
      <c r="U34" s="17">
        <v>2.5110000000000001</v>
      </c>
      <c r="V34" s="22">
        <v>2.4980000000000002</v>
      </c>
      <c r="W34" s="17">
        <v>2.4620000000000002</v>
      </c>
      <c r="X34" s="17">
        <v>2.4550000000000001</v>
      </c>
      <c r="Y34" s="17">
        <v>2.4169999999999998</v>
      </c>
      <c r="Z34" s="22">
        <v>2.4449999999999998</v>
      </c>
      <c r="AA34" s="17">
        <v>5.0999999999999997E-2</v>
      </c>
      <c r="AB34" s="17">
        <v>5.0999999999999997E-2</v>
      </c>
      <c r="AC34" s="19">
        <v>0.05</v>
      </c>
      <c r="AD34" s="21">
        <v>5.0999999999999997E-2</v>
      </c>
      <c r="AE34" s="19">
        <v>2.0950000000000002</v>
      </c>
      <c r="AF34" s="19">
        <v>2.1030000000000002</v>
      </c>
      <c r="AG34" s="19">
        <v>2.1760000000000002</v>
      </c>
      <c r="AH34" s="21">
        <v>2.1246666666666667</v>
      </c>
      <c r="AI34" s="19">
        <v>7.8E-2</v>
      </c>
      <c r="AJ34" s="19">
        <v>7.0000000000000007E-2</v>
      </c>
      <c r="AK34" s="19">
        <v>7.4999999999999997E-2</v>
      </c>
      <c r="AL34" s="21">
        <v>7.3999999999999996E-2</v>
      </c>
      <c r="AM34" s="19">
        <v>4.8000000000000001E-2</v>
      </c>
      <c r="AN34" s="19">
        <v>4.7E-2</v>
      </c>
      <c r="AO34" s="19">
        <v>4.7E-2</v>
      </c>
      <c r="AP34" s="21">
        <v>4.7E-2</v>
      </c>
      <c r="AQ34" s="19">
        <v>4.2999999999999997E-2</v>
      </c>
      <c r="AR34" s="19">
        <v>4.1000000000000002E-2</v>
      </c>
      <c r="AS34" s="19">
        <v>4.2000000000000003E-2</v>
      </c>
      <c r="AT34" s="21">
        <v>4.2000000000000003E-2</v>
      </c>
      <c r="AU34" s="19">
        <v>15.255000000000001</v>
      </c>
      <c r="AV34" s="19">
        <v>15.294</v>
      </c>
      <c r="AW34" s="19">
        <v>15.789</v>
      </c>
      <c r="AX34" s="21">
        <v>15.446</v>
      </c>
      <c r="AY34" s="27">
        <v>7.1900000000000006E-2</v>
      </c>
      <c r="AZ34" s="27">
        <v>7.1400000000000005E-2</v>
      </c>
      <c r="BA34" s="27">
        <v>7.0099999999999996E-2</v>
      </c>
      <c r="BB34" s="28">
        <v>7.113333333333334E-2</v>
      </c>
    </row>
    <row r="35" spans="1:54">
      <c r="A35" s="7" t="s">
        <v>30</v>
      </c>
      <c r="B35" s="5" t="s">
        <v>101</v>
      </c>
      <c r="C35" s="6" t="s">
        <v>44</v>
      </c>
      <c r="D35" s="6" t="s">
        <v>160</v>
      </c>
      <c r="E35" s="23">
        <v>15.6</v>
      </c>
      <c r="F35" s="23">
        <v>7.2</v>
      </c>
      <c r="G35" s="23">
        <v>9.6</v>
      </c>
      <c r="H35" s="24">
        <v>271</v>
      </c>
      <c r="I35" s="23">
        <v>3.3</v>
      </c>
      <c r="J35" s="23">
        <v>5.2</v>
      </c>
      <c r="K35" s="15">
        <v>3.4</v>
      </c>
      <c r="L35" s="15">
        <v>3.5</v>
      </c>
      <c r="M35" s="15">
        <v>3.9</v>
      </c>
      <c r="N35" s="20">
        <v>3.6</v>
      </c>
      <c r="O35" s="15">
        <v>2.9</v>
      </c>
      <c r="P35" s="15">
        <v>2.8</v>
      </c>
      <c r="Q35" s="15">
        <v>2.8</v>
      </c>
      <c r="R35" s="20">
        <v>2.8333333333333335</v>
      </c>
      <c r="S35" s="17">
        <v>3.0470000000000002</v>
      </c>
      <c r="T35" s="17">
        <v>3.0609999999999999</v>
      </c>
      <c r="U35" s="17">
        <v>3.0419999999999998</v>
      </c>
      <c r="V35" s="22">
        <v>3.05</v>
      </c>
      <c r="W35" s="17">
        <v>3.0449999999999999</v>
      </c>
      <c r="X35" s="17">
        <v>2.992</v>
      </c>
      <c r="Y35" s="17">
        <v>2.9550000000000001</v>
      </c>
      <c r="Z35" s="22">
        <v>2.9969999999999999</v>
      </c>
      <c r="AA35" s="17">
        <v>0.442</v>
      </c>
      <c r="AB35" s="17">
        <v>0.44900000000000001</v>
      </c>
      <c r="AC35" s="19">
        <v>0.45</v>
      </c>
      <c r="AD35" s="21">
        <v>0.44700000000000001</v>
      </c>
      <c r="AE35" s="19">
        <v>2.1309999999999998</v>
      </c>
      <c r="AF35" s="19">
        <v>2.1549999999999998</v>
      </c>
      <c r="AG35" s="19">
        <v>2.1619999999999999</v>
      </c>
      <c r="AH35" s="21">
        <v>2.1493333333333333</v>
      </c>
      <c r="AI35" s="19">
        <v>0.111</v>
      </c>
      <c r="AJ35" s="19">
        <v>0.13100000000000001</v>
      </c>
      <c r="AK35" s="19">
        <v>0.108</v>
      </c>
      <c r="AL35" s="21">
        <v>0.11700000000000001</v>
      </c>
      <c r="AM35" s="19">
        <v>5.3999999999999999E-2</v>
      </c>
      <c r="AN35" s="19">
        <v>5.1999999999999998E-2</v>
      </c>
      <c r="AO35" s="19">
        <v>5.0999999999999997E-2</v>
      </c>
      <c r="AP35" s="21">
        <v>5.1999999999999998E-2</v>
      </c>
      <c r="AQ35" s="19">
        <v>4.9000000000000002E-2</v>
      </c>
      <c r="AR35" s="19">
        <v>4.5999999999999999E-2</v>
      </c>
      <c r="AS35" s="19">
        <v>4.5999999999999999E-2</v>
      </c>
      <c r="AT35" s="21">
        <v>4.7E-2</v>
      </c>
      <c r="AU35" s="19">
        <v>28.244</v>
      </c>
      <c r="AV35" s="19">
        <v>28.49</v>
      </c>
      <c r="AW35" s="19">
        <v>28.652000000000001</v>
      </c>
      <c r="AX35" s="21">
        <v>28.462</v>
      </c>
      <c r="AY35" s="27">
        <v>7.9000000000000001E-2</v>
      </c>
      <c r="AZ35" s="27">
        <v>7.7200000000000005E-2</v>
      </c>
      <c r="BA35" s="27">
        <v>7.8399999999999997E-2</v>
      </c>
      <c r="BB35" s="28">
        <v>7.8200000000000006E-2</v>
      </c>
    </row>
    <row r="36" spans="1:54">
      <c r="A36" s="7" t="s">
        <v>31</v>
      </c>
      <c r="B36" s="5" t="s">
        <v>102</v>
      </c>
      <c r="C36" s="6" t="s">
        <v>103</v>
      </c>
      <c r="D36" s="6" t="s">
        <v>36</v>
      </c>
      <c r="E36" s="23">
        <v>14.5</v>
      </c>
      <c r="F36" s="23">
        <v>7.8</v>
      </c>
      <c r="G36" s="23">
        <v>9.6999999999999993</v>
      </c>
      <c r="H36" s="24">
        <v>154</v>
      </c>
      <c r="I36" s="23">
        <v>1.5</v>
      </c>
      <c r="J36" s="23">
        <v>3.6</v>
      </c>
      <c r="K36" s="15">
        <v>2.6</v>
      </c>
      <c r="L36" s="15">
        <v>2.6</v>
      </c>
      <c r="M36" s="15">
        <v>2.7</v>
      </c>
      <c r="N36" s="20">
        <v>2.6</v>
      </c>
      <c r="O36" s="15">
        <v>2.2999999999999998</v>
      </c>
      <c r="P36" s="15">
        <v>2.2000000000000002</v>
      </c>
      <c r="Q36" s="15">
        <v>2.2000000000000002</v>
      </c>
      <c r="R36" s="20">
        <v>2.2333333333333334</v>
      </c>
      <c r="S36" s="17">
        <v>2.2370000000000001</v>
      </c>
      <c r="T36" s="17">
        <v>2.2309999999999999</v>
      </c>
      <c r="U36" s="17">
        <v>2.2229999999999999</v>
      </c>
      <c r="V36" s="22">
        <v>2.23</v>
      </c>
      <c r="W36" s="17">
        <v>2.1680000000000001</v>
      </c>
      <c r="X36" s="17">
        <v>2.1520000000000001</v>
      </c>
      <c r="Y36" s="17">
        <v>2.145</v>
      </c>
      <c r="Z36" s="22">
        <v>2.1549999999999998</v>
      </c>
      <c r="AA36" s="17">
        <v>3.5000000000000003E-2</v>
      </c>
      <c r="AB36" s="17">
        <v>3.5000000000000003E-2</v>
      </c>
      <c r="AC36" s="19">
        <v>3.4000000000000002E-2</v>
      </c>
      <c r="AD36" s="21">
        <v>3.5000000000000003E-2</v>
      </c>
      <c r="AE36" s="19">
        <v>1.88</v>
      </c>
      <c r="AF36" s="19">
        <v>1.883</v>
      </c>
      <c r="AG36" s="19">
        <v>1.9059999999999999</v>
      </c>
      <c r="AH36" s="21">
        <v>1.8896666666666666</v>
      </c>
      <c r="AI36" s="19">
        <v>7.0000000000000007E-2</v>
      </c>
      <c r="AJ36" s="19">
        <v>6.8000000000000005E-2</v>
      </c>
      <c r="AK36" s="19">
        <v>6.6000000000000003E-2</v>
      </c>
      <c r="AL36" s="21">
        <v>6.8000000000000005E-2</v>
      </c>
      <c r="AM36" s="19">
        <v>4.1000000000000002E-2</v>
      </c>
      <c r="AN36" s="19">
        <v>4.2000000000000003E-2</v>
      </c>
      <c r="AO36" s="19">
        <v>4.1000000000000002E-2</v>
      </c>
      <c r="AP36" s="21">
        <v>4.1000000000000002E-2</v>
      </c>
      <c r="AQ36" s="19">
        <v>3.5999999999999997E-2</v>
      </c>
      <c r="AR36" s="19">
        <v>3.4000000000000002E-2</v>
      </c>
      <c r="AS36" s="19">
        <v>3.5000000000000003E-2</v>
      </c>
      <c r="AT36" s="21">
        <v>3.5000000000000003E-2</v>
      </c>
      <c r="AU36" s="19">
        <v>10.65</v>
      </c>
      <c r="AV36" s="19">
        <v>10.653</v>
      </c>
      <c r="AW36" s="19">
        <v>10.795999999999999</v>
      </c>
      <c r="AX36" s="21">
        <v>10.699666666666667</v>
      </c>
      <c r="AY36" s="27">
        <v>6.6699999999999995E-2</v>
      </c>
      <c r="AZ36" s="27">
        <v>6.8000000000000005E-2</v>
      </c>
      <c r="BA36" s="27">
        <v>6.6600000000000006E-2</v>
      </c>
      <c r="BB36" s="28">
        <v>6.7099999999999993E-2</v>
      </c>
    </row>
    <row r="37" spans="1:54">
      <c r="A37" s="7" t="s">
        <v>32</v>
      </c>
      <c r="B37" s="5" t="s">
        <v>104</v>
      </c>
      <c r="C37" s="6" t="s">
        <v>44</v>
      </c>
      <c r="D37" s="6" t="s">
        <v>105</v>
      </c>
      <c r="E37" s="23">
        <v>14.2</v>
      </c>
      <c r="F37" s="23">
        <v>7.6</v>
      </c>
      <c r="G37" s="23">
        <v>7.4</v>
      </c>
      <c r="H37" s="24">
        <v>333</v>
      </c>
      <c r="I37" s="23">
        <v>2</v>
      </c>
      <c r="J37" s="23">
        <v>6</v>
      </c>
      <c r="K37" s="15">
        <v>4.9000000000000004</v>
      </c>
      <c r="L37" s="15">
        <v>4.9000000000000004</v>
      </c>
      <c r="M37" s="15">
        <v>5</v>
      </c>
      <c r="N37" s="20">
        <v>4.9000000000000004</v>
      </c>
      <c r="O37" s="15">
        <v>4.4000000000000004</v>
      </c>
      <c r="P37" s="15">
        <v>4.4000000000000004</v>
      </c>
      <c r="Q37" s="15">
        <v>4.5</v>
      </c>
      <c r="R37" s="20">
        <v>4.4333333333333336</v>
      </c>
      <c r="S37" s="17">
        <v>4.3449999999999998</v>
      </c>
      <c r="T37" s="17">
        <v>4.3579999999999997</v>
      </c>
      <c r="U37" s="17">
        <v>4.3769999999999998</v>
      </c>
      <c r="V37" s="22">
        <v>4.3600000000000003</v>
      </c>
      <c r="W37" s="17">
        <v>4.306</v>
      </c>
      <c r="X37" s="17">
        <v>4.3289999999999997</v>
      </c>
      <c r="Y37" s="17">
        <v>4.2670000000000003</v>
      </c>
      <c r="Z37" s="22">
        <v>4.3010000000000002</v>
      </c>
      <c r="AA37" s="17">
        <v>0.09</v>
      </c>
      <c r="AB37" s="17">
        <v>8.5999999999999993E-2</v>
      </c>
      <c r="AC37" s="19">
        <v>8.6999999999999994E-2</v>
      </c>
      <c r="AD37" s="21">
        <v>8.7999999999999995E-2</v>
      </c>
      <c r="AE37" s="19">
        <v>3.6840000000000002</v>
      </c>
      <c r="AF37" s="19">
        <v>3.6970000000000001</v>
      </c>
      <c r="AG37" s="19">
        <v>3.762</v>
      </c>
      <c r="AH37" s="21">
        <v>3.7143333333333337</v>
      </c>
      <c r="AI37" s="19">
        <v>0.15</v>
      </c>
      <c r="AJ37" s="19">
        <v>0.14099999999999999</v>
      </c>
      <c r="AK37" s="19">
        <v>0.14599999999999999</v>
      </c>
      <c r="AL37" s="21">
        <v>0.14599999999999999</v>
      </c>
      <c r="AM37" s="19">
        <v>9.4E-2</v>
      </c>
      <c r="AN37" s="19">
        <v>0.09</v>
      </c>
      <c r="AO37" s="19">
        <v>0.1</v>
      </c>
      <c r="AP37" s="21">
        <v>9.5000000000000001E-2</v>
      </c>
      <c r="AQ37" s="19">
        <v>9.1999999999999998E-2</v>
      </c>
      <c r="AR37" s="19">
        <v>8.8999999999999996E-2</v>
      </c>
      <c r="AS37" s="19">
        <v>0.09</v>
      </c>
      <c r="AT37" s="21">
        <v>0.09</v>
      </c>
      <c r="AU37" s="19">
        <v>26.077000000000002</v>
      </c>
      <c r="AV37" s="19">
        <v>26.158000000000001</v>
      </c>
      <c r="AW37" s="19">
        <v>26.555</v>
      </c>
      <c r="AX37" s="21">
        <v>26.263333333333332</v>
      </c>
      <c r="AY37" s="27">
        <v>0.1101</v>
      </c>
      <c r="AZ37" s="27">
        <v>0.1085</v>
      </c>
      <c r="BA37" s="27">
        <v>0.11020000000000001</v>
      </c>
      <c r="BB37" s="28">
        <v>0.10960000000000002</v>
      </c>
    </row>
    <row r="38" spans="1:54">
      <c r="A38" s="7" t="s">
        <v>33</v>
      </c>
      <c r="B38" s="5" t="s">
        <v>106</v>
      </c>
      <c r="C38" s="6" t="s">
        <v>107</v>
      </c>
      <c r="D38" s="6" t="s">
        <v>36</v>
      </c>
      <c r="E38" s="23">
        <v>15.1</v>
      </c>
      <c r="F38" s="23">
        <v>8.5</v>
      </c>
      <c r="G38" s="23">
        <v>10.8</v>
      </c>
      <c r="H38" s="24">
        <v>240</v>
      </c>
      <c r="I38" s="23">
        <v>1.6</v>
      </c>
      <c r="J38" s="23">
        <v>4.2</v>
      </c>
      <c r="K38" s="15">
        <v>3</v>
      </c>
      <c r="L38" s="15">
        <v>3.1</v>
      </c>
      <c r="M38" s="15">
        <v>2.9</v>
      </c>
      <c r="N38" s="20">
        <v>3</v>
      </c>
      <c r="O38" s="15">
        <v>2.6</v>
      </c>
      <c r="P38" s="15">
        <v>2.4</v>
      </c>
      <c r="Q38" s="15">
        <v>2.4</v>
      </c>
      <c r="R38" s="20">
        <v>2.4666666666666668</v>
      </c>
      <c r="S38" s="17">
        <v>2.456</v>
      </c>
      <c r="T38" s="17">
        <v>2.4260000000000002</v>
      </c>
      <c r="U38" s="17">
        <v>2.4289999999999998</v>
      </c>
      <c r="V38" s="22">
        <v>2.4369999999999998</v>
      </c>
      <c r="W38" s="17">
        <v>2.38</v>
      </c>
      <c r="X38" s="17">
        <v>2.3959999999999999</v>
      </c>
      <c r="Y38" s="17">
        <v>2.3149999999999999</v>
      </c>
      <c r="Z38" s="22">
        <v>2.3639999999999999</v>
      </c>
      <c r="AA38" s="17">
        <v>3.5999999999999997E-2</v>
      </c>
      <c r="AB38" s="17">
        <v>3.3000000000000002E-2</v>
      </c>
      <c r="AC38" s="19">
        <v>3.3000000000000002E-2</v>
      </c>
      <c r="AD38" s="21">
        <v>3.4000000000000002E-2</v>
      </c>
      <c r="AE38" s="19">
        <v>2.0299999999999998</v>
      </c>
      <c r="AF38" s="19">
        <v>2.048</v>
      </c>
      <c r="AG38" s="19">
        <v>2.0569999999999999</v>
      </c>
      <c r="AH38" s="21">
        <v>2.0449999999999999</v>
      </c>
      <c r="AI38" s="19">
        <v>9.6000000000000002E-2</v>
      </c>
      <c r="AJ38" s="19">
        <v>9.2999999999999999E-2</v>
      </c>
      <c r="AK38" s="19">
        <v>9.4E-2</v>
      </c>
      <c r="AL38" s="21">
        <v>9.4E-2</v>
      </c>
      <c r="AM38" s="19">
        <v>5.1999999999999998E-2</v>
      </c>
      <c r="AN38" s="19">
        <v>5.5E-2</v>
      </c>
      <c r="AO38" s="19">
        <v>5.0999999999999997E-2</v>
      </c>
      <c r="AP38" s="21">
        <v>5.2999999999999999E-2</v>
      </c>
      <c r="AQ38" s="19">
        <v>4.5999999999999999E-2</v>
      </c>
      <c r="AR38" s="19">
        <v>4.2999999999999997E-2</v>
      </c>
      <c r="AS38" s="19">
        <v>4.2999999999999997E-2</v>
      </c>
      <c r="AT38" s="21">
        <v>4.3999999999999997E-2</v>
      </c>
      <c r="AU38" s="19">
        <v>12.221</v>
      </c>
      <c r="AV38" s="19">
        <v>12.375</v>
      </c>
      <c r="AW38" s="19">
        <v>12.38</v>
      </c>
      <c r="AX38" s="21">
        <v>12.325333333333333</v>
      </c>
      <c r="AY38" s="27">
        <v>7.1099999999999997E-2</v>
      </c>
      <c r="AZ38" s="27">
        <v>7.1499999999999994E-2</v>
      </c>
      <c r="BA38" s="27">
        <v>6.9800000000000001E-2</v>
      </c>
      <c r="BB38" s="28">
        <v>7.0800000000000002E-2</v>
      </c>
    </row>
  </sheetData>
  <mergeCells count="18">
    <mergeCell ref="AY1:BB1"/>
    <mergeCell ref="AM1:AP1"/>
    <mergeCell ref="AQ1:AT1"/>
    <mergeCell ref="AU1:AX1"/>
    <mergeCell ref="O1:R1"/>
    <mergeCell ref="S1:V1"/>
    <mergeCell ref="W1:Z1"/>
    <mergeCell ref="AA1:AD1"/>
    <mergeCell ref="AE1:AH1"/>
    <mergeCell ref="AI1:AL1"/>
    <mergeCell ref="K1:N1"/>
    <mergeCell ref="A1:A2"/>
    <mergeCell ref="B1:B2"/>
    <mergeCell ref="C1:C2"/>
    <mergeCell ref="D1:D2"/>
    <mergeCell ref="E1:H1"/>
    <mergeCell ref="I1:I2"/>
    <mergeCell ref="J1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0"/>
  <sheetViews>
    <sheetView zoomScale="85" zoomScaleNormal="85" workbookViewId="0">
      <selection activeCell="E1" sqref="A1:XFD2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16" width="9" style="1"/>
    <col min="17" max="17" width="9" style="3"/>
    <col min="18" max="25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6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7"/>
      <c r="U1" s="76" t="s">
        <v>126</v>
      </c>
      <c r="V1" s="77"/>
      <c r="W1" s="77"/>
      <c r="X1" s="76" t="s">
        <v>127</v>
      </c>
      <c r="Y1" s="77"/>
      <c r="Z1" s="77"/>
      <c r="AA1" s="76" t="s">
        <v>128</v>
      </c>
      <c r="AB1" s="77"/>
      <c r="AC1" s="77"/>
      <c r="AD1" s="76" t="s">
        <v>129</v>
      </c>
      <c r="AE1" s="77"/>
      <c r="AF1" s="77"/>
      <c r="AG1" s="76" t="s">
        <v>130</v>
      </c>
      <c r="AH1" s="77"/>
      <c r="AI1" s="77"/>
      <c r="AJ1" s="76" t="s">
        <v>131</v>
      </c>
      <c r="AK1" s="77"/>
      <c r="AL1" s="77"/>
      <c r="AM1" s="76" t="s">
        <v>132</v>
      </c>
      <c r="AN1" s="77"/>
      <c r="AO1" s="77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112</v>
      </c>
      <c r="H2" s="12" t="s">
        <v>113</v>
      </c>
      <c r="I2" s="70"/>
      <c r="J2" s="7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136</v>
      </c>
      <c r="B3" s="9" t="s">
        <v>34</v>
      </c>
      <c r="C3" s="10" t="s">
        <v>35</v>
      </c>
      <c r="D3" s="10" t="s">
        <v>36</v>
      </c>
      <c r="E3" s="20">
        <v>16</v>
      </c>
      <c r="F3" s="20">
        <v>6.6</v>
      </c>
      <c r="G3" s="40">
        <v>105</v>
      </c>
      <c r="H3" s="20">
        <v>10.4</v>
      </c>
      <c r="I3" s="20">
        <v>1.3</v>
      </c>
      <c r="J3" s="20">
        <v>2.4</v>
      </c>
      <c r="K3" s="36">
        <v>1.5</v>
      </c>
      <c r="L3" s="36">
        <v>1.5</v>
      </c>
      <c r="M3" s="36"/>
      <c r="N3" s="38">
        <f>ROUND(AVERAGE(K3:M3),1)</f>
        <v>1.5</v>
      </c>
      <c r="O3" s="14">
        <v>1.4</v>
      </c>
      <c r="P3" s="14">
        <v>1.4</v>
      </c>
      <c r="Q3" s="20">
        <f>ROUND(AVERAGE(O3:P3),1)</f>
        <v>1.4</v>
      </c>
      <c r="R3" s="32">
        <v>0.94199999999999995</v>
      </c>
      <c r="S3" s="32">
        <v>0.94</v>
      </c>
      <c r="T3" s="33">
        <f>ROUND(AVERAGE(R3:S3),3)</f>
        <v>0.94099999999999995</v>
      </c>
      <c r="U3" s="32">
        <v>0.88900000000000001</v>
      </c>
      <c r="V3" s="32">
        <v>0.877</v>
      </c>
      <c r="W3" s="33">
        <f>ROUND(AVERAGE(U3:V3),3)</f>
        <v>0.88300000000000001</v>
      </c>
      <c r="X3" s="16">
        <v>2.1999999999999999E-2</v>
      </c>
      <c r="Y3" s="16">
        <v>2.3E-2</v>
      </c>
      <c r="Z3" s="21">
        <f>ROUND(AVERAGE(X3:Y3),3)</f>
        <v>2.3E-2</v>
      </c>
      <c r="AA3" s="29">
        <v>0.69699999999999995</v>
      </c>
      <c r="AB3" s="29">
        <v>0.72399999999999998</v>
      </c>
      <c r="AC3" s="31">
        <f>ROUND(AVERAGE(AA3:AB3),3)</f>
        <v>0.71099999999999997</v>
      </c>
      <c r="AD3" s="18">
        <v>2.3E-2</v>
      </c>
      <c r="AE3" s="18">
        <v>0.02</v>
      </c>
      <c r="AF3" s="21">
        <f>ROUND(AVERAGE(AD3:AE3),3)</f>
        <v>2.1999999999999999E-2</v>
      </c>
      <c r="AG3" s="29">
        <v>1.6E-2</v>
      </c>
      <c r="AH3" s="29">
        <v>1.2999999999999999E-2</v>
      </c>
      <c r="AI3" s="31">
        <f>ROUND(AVERAGE(AG3:AH3),3)</f>
        <v>1.4999999999999999E-2</v>
      </c>
      <c r="AJ3" s="29">
        <v>4.0000000000000001E-3</v>
      </c>
      <c r="AK3" s="29">
        <v>3.0000000000000001E-3</v>
      </c>
      <c r="AL3" s="31">
        <f>ROUND(AVERAGE(AJ3:AK3),3)</f>
        <v>4.0000000000000001E-3</v>
      </c>
      <c r="AM3" s="18">
        <v>9.0990000000000002</v>
      </c>
      <c r="AN3" s="18">
        <v>9.2100000000000009</v>
      </c>
      <c r="AO3" s="21">
        <f>ROUND(AVERAGE(AM3:AN3),3)</f>
        <v>9.1549999999999994</v>
      </c>
      <c r="AP3" s="25">
        <v>4.5699999999999998E-2</v>
      </c>
      <c r="AQ3" s="25">
        <v>4.6800000000000001E-2</v>
      </c>
      <c r="AR3" s="26">
        <f>ROUND(AVERAGE(AP3:AQ3),4)</f>
        <v>4.6300000000000001E-2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16.7</v>
      </c>
      <c r="F4" s="23">
        <v>6.7</v>
      </c>
      <c r="G4" s="41">
        <v>72</v>
      </c>
      <c r="H4" s="23">
        <v>10.1</v>
      </c>
      <c r="I4" s="23">
        <v>1.3</v>
      </c>
      <c r="J4" s="23">
        <v>2.6</v>
      </c>
      <c r="K4" s="37">
        <v>1.6</v>
      </c>
      <c r="L4" s="37">
        <v>1.6</v>
      </c>
      <c r="M4" s="37"/>
      <c r="N4" s="38">
        <f t="shared" ref="N4:N40" si="0">ROUND(AVERAGE(K4:M4),1)</f>
        <v>1.6</v>
      </c>
      <c r="O4" s="15">
        <v>1.5</v>
      </c>
      <c r="P4" s="15">
        <v>1.5</v>
      </c>
      <c r="Q4" s="20">
        <f t="shared" ref="Q4:Q40" si="1">ROUND(AVERAGE(O4:P4),1)</f>
        <v>1.5</v>
      </c>
      <c r="R4" s="34">
        <v>0.95</v>
      </c>
      <c r="S4" s="34">
        <v>0.94199999999999995</v>
      </c>
      <c r="T4" s="33">
        <f t="shared" ref="T4:T40" si="2">ROUND(AVERAGE(R4:S4),3)</f>
        <v>0.94599999999999995</v>
      </c>
      <c r="U4" s="34">
        <v>0.91200000000000003</v>
      </c>
      <c r="V4" s="34">
        <v>0.91700000000000004</v>
      </c>
      <c r="W4" s="33">
        <f t="shared" ref="W4:W40" si="3">ROUND(AVERAGE(U4:V4),3)</f>
        <v>0.91500000000000004</v>
      </c>
      <c r="X4" s="17">
        <v>2.1000000000000001E-2</v>
      </c>
      <c r="Y4" s="17">
        <v>2.1999999999999999E-2</v>
      </c>
      <c r="Z4" s="21">
        <f t="shared" ref="Z4:Z40" si="4">ROUND(AVERAGE(X4:Y4),3)</f>
        <v>2.1999999999999999E-2</v>
      </c>
      <c r="AA4" s="30">
        <v>0.74099999999999999</v>
      </c>
      <c r="AB4" s="30">
        <v>0.76300000000000001</v>
      </c>
      <c r="AC4" s="31">
        <f t="shared" ref="AC4:AC40" si="5">ROUND(AVERAGE(AA4:AB4),3)</f>
        <v>0.752</v>
      </c>
      <c r="AD4" s="19">
        <v>2.4E-2</v>
      </c>
      <c r="AE4" s="19">
        <v>2.1000000000000001E-2</v>
      </c>
      <c r="AF4" s="21">
        <f t="shared" ref="AF4:AF40" si="6">ROUND(AVERAGE(AD4:AE4),3)</f>
        <v>2.3E-2</v>
      </c>
      <c r="AG4" s="30">
        <v>1.2E-2</v>
      </c>
      <c r="AH4" s="30">
        <v>1.2E-2</v>
      </c>
      <c r="AI4" s="31">
        <f t="shared" ref="AI4:AI40" si="7">ROUND(AVERAGE(AG4:AH4),3)</f>
        <v>1.2E-2</v>
      </c>
      <c r="AJ4" s="30">
        <v>2E-3</v>
      </c>
      <c r="AK4" s="30">
        <v>3.0000000000000001E-3</v>
      </c>
      <c r="AL4" s="31">
        <f t="shared" ref="AL4:AL40" si="8">ROUND(AVERAGE(AJ4:AK4),3)</f>
        <v>3.0000000000000001E-3</v>
      </c>
      <c r="AM4" s="19">
        <v>4.6879999999999997</v>
      </c>
      <c r="AN4" s="19">
        <v>4.7409999999999997</v>
      </c>
      <c r="AO4" s="21">
        <f t="shared" ref="AO4:AO40" si="9">ROUND(AVERAGE(AM4:AN4),3)</f>
        <v>4.7149999999999999</v>
      </c>
      <c r="AP4" s="27">
        <v>4.4600000000000001E-2</v>
      </c>
      <c r="AQ4" s="27">
        <v>4.3400000000000001E-2</v>
      </c>
      <c r="AR4" s="26">
        <f t="shared" ref="AR4:AR40" si="10">ROUND(AVERAGE(AP4:AQ4),4)</f>
        <v>4.3999999999999997E-2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16.399999999999999</v>
      </c>
      <c r="F5" s="23">
        <v>6.2</v>
      </c>
      <c r="G5" s="41">
        <v>87</v>
      </c>
      <c r="H5" s="23">
        <v>10.6</v>
      </c>
      <c r="I5" s="23">
        <v>1.3</v>
      </c>
      <c r="J5" s="23">
        <v>2.5</v>
      </c>
      <c r="K5" s="37">
        <v>1.5</v>
      </c>
      <c r="L5" s="37">
        <v>1.7</v>
      </c>
      <c r="M5" s="37"/>
      <c r="N5" s="38">
        <f t="shared" si="0"/>
        <v>1.6</v>
      </c>
      <c r="O5" s="15">
        <v>1.5</v>
      </c>
      <c r="P5" s="15">
        <v>1.4</v>
      </c>
      <c r="Q5" s="20">
        <f t="shared" si="1"/>
        <v>1.5</v>
      </c>
      <c r="R5" s="34">
        <v>0.99</v>
      </c>
      <c r="S5" s="34">
        <v>0.99</v>
      </c>
      <c r="T5" s="33">
        <f t="shared" si="2"/>
        <v>0.99</v>
      </c>
      <c r="U5" s="34">
        <v>0.92700000000000005</v>
      </c>
      <c r="V5" s="34">
        <v>0.91900000000000004</v>
      </c>
      <c r="W5" s="33">
        <f t="shared" si="3"/>
        <v>0.92300000000000004</v>
      </c>
      <c r="X5" s="17">
        <v>2.7E-2</v>
      </c>
      <c r="Y5" s="17">
        <v>2.8000000000000001E-2</v>
      </c>
      <c r="Z5" s="21">
        <f t="shared" si="4"/>
        <v>2.8000000000000001E-2</v>
      </c>
      <c r="AA5" s="30">
        <v>0.753</v>
      </c>
      <c r="AB5" s="30">
        <v>0.76800000000000002</v>
      </c>
      <c r="AC5" s="31">
        <f t="shared" si="5"/>
        <v>0.76100000000000001</v>
      </c>
      <c r="AD5" s="19">
        <v>2.5000000000000001E-2</v>
      </c>
      <c r="AE5" s="19">
        <v>2.3E-2</v>
      </c>
      <c r="AF5" s="21">
        <f t="shared" si="6"/>
        <v>2.4E-2</v>
      </c>
      <c r="AG5" s="30">
        <v>1.2999999999999999E-2</v>
      </c>
      <c r="AH5" s="30">
        <v>1.2999999999999999E-2</v>
      </c>
      <c r="AI5" s="31">
        <f t="shared" si="7"/>
        <v>1.2999999999999999E-2</v>
      </c>
      <c r="AJ5" s="30">
        <v>3.0000000000000001E-3</v>
      </c>
      <c r="AK5" s="30">
        <v>2E-3</v>
      </c>
      <c r="AL5" s="31">
        <f t="shared" si="8"/>
        <v>3.0000000000000001E-3</v>
      </c>
      <c r="AM5" s="19">
        <v>6.3470000000000004</v>
      </c>
      <c r="AN5" s="19">
        <v>6.4059999999999997</v>
      </c>
      <c r="AO5" s="21">
        <f t="shared" si="9"/>
        <v>6.3769999999999998</v>
      </c>
      <c r="AP5" s="27">
        <v>4.5400000000000003E-2</v>
      </c>
      <c r="AQ5" s="27">
        <v>4.4499999999999998E-2</v>
      </c>
      <c r="AR5" s="26">
        <f t="shared" si="10"/>
        <v>4.4999999999999998E-2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16.399999999999999</v>
      </c>
      <c r="F6" s="23">
        <v>6.5</v>
      </c>
      <c r="G6" s="41">
        <v>63</v>
      </c>
      <c r="H6" s="23">
        <v>10.4</v>
      </c>
      <c r="I6" s="23">
        <v>1.1000000000000001</v>
      </c>
      <c r="J6" s="23">
        <v>2.8</v>
      </c>
      <c r="K6" s="37">
        <v>1.7</v>
      </c>
      <c r="L6" s="37">
        <v>1.8</v>
      </c>
      <c r="M6" s="37"/>
      <c r="N6" s="38">
        <f t="shared" si="0"/>
        <v>1.8</v>
      </c>
      <c r="O6" s="15">
        <v>1.7</v>
      </c>
      <c r="P6" s="15">
        <v>1.6</v>
      </c>
      <c r="Q6" s="20">
        <f t="shared" si="1"/>
        <v>1.7</v>
      </c>
      <c r="R6" s="34">
        <v>0.66200000000000003</v>
      </c>
      <c r="S6" s="34">
        <v>0.68300000000000005</v>
      </c>
      <c r="T6" s="33">
        <f t="shared" si="2"/>
        <v>0.67300000000000004</v>
      </c>
      <c r="U6" s="34">
        <v>0.63200000000000001</v>
      </c>
      <c r="V6" s="34">
        <v>0.64300000000000002</v>
      </c>
      <c r="W6" s="33">
        <f t="shared" si="3"/>
        <v>0.63800000000000001</v>
      </c>
      <c r="X6" s="17">
        <v>3.2000000000000001E-2</v>
      </c>
      <c r="Y6" s="17">
        <v>2.5999999999999999E-2</v>
      </c>
      <c r="Z6" s="21">
        <f t="shared" si="4"/>
        <v>2.9000000000000001E-2</v>
      </c>
      <c r="AA6" s="30">
        <v>0.497</v>
      </c>
      <c r="AB6" s="30">
        <v>0.496</v>
      </c>
      <c r="AC6" s="31">
        <f t="shared" si="5"/>
        <v>0.497</v>
      </c>
      <c r="AD6" s="19">
        <v>2.1000000000000001E-2</v>
      </c>
      <c r="AE6" s="19">
        <v>1.9E-2</v>
      </c>
      <c r="AF6" s="21">
        <f t="shared" si="6"/>
        <v>0.02</v>
      </c>
      <c r="AG6" s="30">
        <v>1.0999999999999999E-2</v>
      </c>
      <c r="AH6" s="30">
        <v>1.2E-2</v>
      </c>
      <c r="AI6" s="31">
        <f t="shared" si="7"/>
        <v>1.2E-2</v>
      </c>
      <c r="AJ6" s="30">
        <v>0</v>
      </c>
      <c r="AK6" s="30">
        <v>0</v>
      </c>
      <c r="AL6" s="31">
        <f t="shared" si="8"/>
        <v>0</v>
      </c>
      <c r="AM6" s="19">
        <v>4.2880000000000003</v>
      </c>
      <c r="AN6" s="19">
        <v>4.22</v>
      </c>
      <c r="AO6" s="21">
        <f t="shared" si="9"/>
        <v>4.2539999999999996</v>
      </c>
      <c r="AP6" s="27">
        <v>6.1899999999999997E-2</v>
      </c>
      <c r="AQ6" s="27">
        <v>6.0299999999999999E-2</v>
      </c>
      <c r="AR6" s="26">
        <f t="shared" si="10"/>
        <v>6.1100000000000002E-2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16.899999999999999</v>
      </c>
      <c r="F7" s="23">
        <v>6.3</v>
      </c>
      <c r="G7" s="41">
        <v>83</v>
      </c>
      <c r="H7" s="23">
        <v>9.8000000000000007</v>
      </c>
      <c r="I7" s="23">
        <v>1.3</v>
      </c>
      <c r="J7" s="23">
        <v>3.1</v>
      </c>
      <c r="K7" s="37">
        <v>1.9</v>
      </c>
      <c r="L7" s="37">
        <v>2</v>
      </c>
      <c r="M7" s="37"/>
      <c r="N7" s="38">
        <f t="shared" si="0"/>
        <v>2</v>
      </c>
      <c r="O7" s="15">
        <v>1.8</v>
      </c>
      <c r="P7" s="15">
        <v>1.7</v>
      </c>
      <c r="Q7" s="20">
        <f t="shared" si="1"/>
        <v>1.8</v>
      </c>
      <c r="R7" s="34">
        <v>0.97699999999999998</v>
      </c>
      <c r="S7" s="34">
        <v>0.98599999999999999</v>
      </c>
      <c r="T7" s="33">
        <f t="shared" si="2"/>
        <v>0.98199999999999998</v>
      </c>
      <c r="U7" s="34">
        <v>0.91</v>
      </c>
      <c r="V7" s="34">
        <v>0.90700000000000003</v>
      </c>
      <c r="W7" s="33">
        <f t="shared" si="3"/>
        <v>0.90900000000000003</v>
      </c>
      <c r="X7" s="17">
        <v>5.0999999999999997E-2</v>
      </c>
      <c r="Y7" s="17">
        <v>5.1999999999999998E-2</v>
      </c>
      <c r="Z7" s="21">
        <f t="shared" si="4"/>
        <v>5.1999999999999998E-2</v>
      </c>
      <c r="AA7" s="30">
        <v>0.71399999999999997</v>
      </c>
      <c r="AB7" s="30">
        <v>0.73</v>
      </c>
      <c r="AC7" s="31">
        <f t="shared" si="5"/>
        <v>0.72199999999999998</v>
      </c>
      <c r="AD7" s="19">
        <v>3.2000000000000001E-2</v>
      </c>
      <c r="AE7" s="19">
        <v>0.03</v>
      </c>
      <c r="AF7" s="21">
        <f t="shared" si="6"/>
        <v>3.1E-2</v>
      </c>
      <c r="AG7" s="30">
        <v>1.7999999999999999E-2</v>
      </c>
      <c r="AH7" s="30">
        <v>1.9E-2</v>
      </c>
      <c r="AI7" s="31">
        <f t="shared" si="7"/>
        <v>1.9E-2</v>
      </c>
      <c r="AJ7" s="30">
        <v>5.0000000000000001E-3</v>
      </c>
      <c r="AK7" s="30">
        <v>5.0000000000000001E-3</v>
      </c>
      <c r="AL7" s="31">
        <f t="shared" si="8"/>
        <v>5.0000000000000001E-3</v>
      </c>
      <c r="AM7" s="19">
        <v>6.093</v>
      </c>
      <c r="AN7" s="19">
        <v>6.1130000000000004</v>
      </c>
      <c r="AO7" s="21">
        <f t="shared" si="9"/>
        <v>6.1029999999999998</v>
      </c>
      <c r="AP7" s="27">
        <v>5.7500000000000002E-2</v>
      </c>
      <c r="AQ7" s="27">
        <v>5.6300000000000003E-2</v>
      </c>
      <c r="AR7" s="26">
        <f t="shared" si="10"/>
        <v>5.6899999999999999E-2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17</v>
      </c>
      <c r="F8" s="23">
        <v>6.5</v>
      </c>
      <c r="G8" s="41">
        <v>90</v>
      </c>
      <c r="H8" s="23">
        <v>10.5</v>
      </c>
      <c r="I8" s="23">
        <v>1.7</v>
      </c>
      <c r="J8" s="23">
        <v>2.9</v>
      </c>
      <c r="K8" s="37">
        <v>1.6</v>
      </c>
      <c r="L8" s="37">
        <v>1.7</v>
      </c>
      <c r="M8" s="37"/>
      <c r="N8" s="38">
        <f t="shared" si="0"/>
        <v>1.7</v>
      </c>
      <c r="O8" s="15">
        <v>1.6</v>
      </c>
      <c r="P8" s="15">
        <v>1.5</v>
      </c>
      <c r="Q8" s="20">
        <f t="shared" si="1"/>
        <v>1.6</v>
      </c>
      <c r="R8" s="34">
        <v>1.052</v>
      </c>
      <c r="S8" s="34">
        <v>1.0509999999999999</v>
      </c>
      <c r="T8" s="33">
        <f t="shared" si="2"/>
        <v>1.052</v>
      </c>
      <c r="U8" s="34">
        <v>1.0009999999999999</v>
      </c>
      <c r="V8" s="34">
        <v>1</v>
      </c>
      <c r="W8" s="33">
        <f t="shared" si="3"/>
        <v>1.0009999999999999</v>
      </c>
      <c r="X8" s="17">
        <v>0.03</v>
      </c>
      <c r="Y8" s="17">
        <v>0.03</v>
      </c>
      <c r="Z8" s="21">
        <f t="shared" si="4"/>
        <v>0.03</v>
      </c>
      <c r="AA8" s="30">
        <v>0.80900000000000005</v>
      </c>
      <c r="AB8" s="30">
        <v>0.82</v>
      </c>
      <c r="AC8" s="31">
        <f t="shared" si="5"/>
        <v>0.81499999999999995</v>
      </c>
      <c r="AD8" s="19">
        <v>0.04</v>
      </c>
      <c r="AE8" s="19">
        <v>3.5000000000000003E-2</v>
      </c>
      <c r="AF8" s="21">
        <f t="shared" si="6"/>
        <v>3.7999999999999999E-2</v>
      </c>
      <c r="AG8" s="30">
        <v>2.4E-2</v>
      </c>
      <c r="AH8" s="30">
        <v>2.5000000000000001E-2</v>
      </c>
      <c r="AI8" s="31">
        <f t="shared" si="7"/>
        <v>2.5000000000000001E-2</v>
      </c>
      <c r="AJ8" s="30">
        <v>1.0999999999999999E-2</v>
      </c>
      <c r="AK8" s="30">
        <v>1.2E-2</v>
      </c>
      <c r="AL8" s="31">
        <f t="shared" si="8"/>
        <v>1.2E-2</v>
      </c>
      <c r="AM8" s="19">
        <v>5.8970000000000002</v>
      </c>
      <c r="AN8" s="19">
        <v>5.9550000000000001</v>
      </c>
      <c r="AO8" s="21">
        <f t="shared" si="9"/>
        <v>5.9260000000000002</v>
      </c>
      <c r="AP8" s="27">
        <v>4.87E-2</v>
      </c>
      <c r="AQ8" s="27">
        <v>4.7199999999999999E-2</v>
      </c>
      <c r="AR8" s="26">
        <f t="shared" si="10"/>
        <v>4.8000000000000001E-2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16.899999999999999</v>
      </c>
      <c r="F9" s="23">
        <v>6.2</v>
      </c>
      <c r="G9" s="41">
        <v>85</v>
      </c>
      <c r="H9" s="23">
        <v>9.5</v>
      </c>
      <c r="I9" s="23">
        <v>1.3</v>
      </c>
      <c r="J9" s="23">
        <v>3.3</v>
      </c>
      <c r="K9" s="37">
        <v>2.2000000000000002</v>
      </c>
      <c r="L9" s="37">
        <v>2.2000000000000002</v>
      </c>
      <c r="M9" s="37"/>
      <c r="N9" s="38">
        <f t="shared" si="0"/>
        <v>2.2000000000000002</v>
      </c>
      <c r="O9" s="15">
        <v>1.9</v>
      </c>
      <c r="P9" s="15">
        <v>1.9</v>
      </c>
      <c r="Q9" s="20">
        <f t="shared" si="1"/>
        <v>1.9</v>
      </c>
      <c r="R9" s="34">
        <v>1.06</v>
      </c>
      <c r="S9" s="34">
        <v>1.0569999999999999</v>
      </c>
      <c r="T9" s="33">
        <f t="shared" si="2"/>
        <v>1.0589999999999999</v>
      </c>
      <c r="U9" s="34">
        <v>0.97799999999999998</v>
      </c>
      <c r="V9" s="34">
        <v>0.98099999999999998</v>
      </c>
      <c r="W9" s="33">
        <f t="shared" si="3"/>
        <v>0.98</v>
      </c>
      <c r="X9" s="17">
        <v>4.3999999999999997E-2</v>
      </c>
      <c r="Y9" s="17">
        <v>4.4999999999999998E-2</v>
      </c>
      <c r="Z9" s="21">
        <f t="shared" si="4"/>
        <v>4.4999999999999998E-2</v>
      </c>
      <c r="AA9" s="30">
        <v>0.77400000000000002</v>
      </c>
      <c r="AB9" s="30">
        <v>0.79</v>
      </c>
      <c r="AC9" s="31">
        <f t="shared" si="5"/>
        <v>0.78200000000000003</v>
      </c>
      <c r="AD9" s="19">
        <v>3.6999999999999998E-2</v>
      </c>
      <c r="AE9" s="19">
        <v>3.4000000000000002E-2</v>
      </c>
      <c r="AF9" s="21">
        <f t="shared" si="6"/>
        <v>3.5999999999999997E-2</v>
      </c>
      <c r="AG9" s="30">
        <v>2.1000000000000001E-2</v>
      </c>
      <c r="AH9" s="30">
        <v>2.1999999999999999E-2</v>
      </c>
      <c r="AI9" s="31">
        <f t="shared" si="7"/>
        <v>2.1999999999999999E-2</v>
      </c>
      <c r="AJ9" s="30">
        <v>6.0000000000000001E-3</v>
      </c>
      <c r="AK9" s="30">
        <v>8.0000000000000002E-3</v>
      </c>
      <c r="AL9" s="31">
        <f t="shared" si="8"/>
        <v>7.0000000000000001E-3</v>
      </c>
      <c r="AM9" s="19">
        <v>6.0759999999999996</v>
      </c>
      <c r="AN9" s="19">
        <v>6.1139999999999999</v>
      </c>
      <c r="AO9" s="21">
        <f t="shared" si="9"/>
        <v>6.0949999999999998</v>
      </c>
      <c r="AP9" s="27">
        <v>6.0600000000000001E-2</v>
      </c>
      <c r="AQ9" s="27">
        <v>5.9200000000000003E-2</v>
      </c>
      <c r="AR9" s="26">
        <f t="shared" si="10"/>
        <v>5.9900000000000002E-2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16.2</v>
      </c>
      <c r="F10" s="23">
        <v>6.8</v>
      </c>
      <c r="G10" s="41">
        <v>95</v>
      </c>
      <c r="H10" s="23">
        <v>8.8000000000000007</v>
      </c>
      <c r="I10" s="23">
        <v>1.3</v>
      </c>
      <c r="J10" s="23">
        <v>2.6</v>
      </c>
      <c r="K10" s="37">
        <v>1.6</v>
      </c>
      <c r="L10" s="37">
        <v>1.6</v>
      </c>
      <c r="M10" s="37"/>
      <c r="N10" s="38">
        <f t="shared" si="0"/>
        <v>1.6</v>
      </c>
      <c r="O10" s="15">
        <v>1.6</v>
      </c>
      <c r="P10" s="15">
        <v>1.4</v>
      </c>
      <c r="Q10" s="20">
        <f t="shared" si="1"/>
        <v>1.5</v>
      </c>
      <c r="R10" s="34">
        <v>2.2320000000000002</v>
      </c>
      <c r="S10" s="34">
        <v>2.2189999999999999</v>
      </c>
      <c r="T10" s="33">
        <f t="shared" si="2"/>
        <v>2.226</v>
      </c>
      <c r="U10" s="34">
        <v>2.1160000000000001</v>
      </c>
      <c r="V10" s="34">
        <v>2.1349999999999998</v>
      </c>
      <c r="W10" s="33">
        <f t="shared" si="3"/>
        <v>2.1259999999999999</v>
      </c>
      <c r="X10" s="17">
        <v>7.5999999999999998E-2</v>
      </c>
      <c r="Y10" s="17">
        <v>7.4999999999999997E-2</v>
      </c>
      <c r="Z10" s="21">
        <f t="shared" si="4"/>
        <v>7.5999999999999998E-2</v>
      </c>
      <c r="AA10" s="30">
        <v>1.7529999999999999</v>
      </c>
      <c r="AB10" s="30">
        <v>1.784</v>
      </c>
      <c r="AC10" s="31">
        <f t="shared" si="5"/>
        <v>1.7689999999999999</v>
      </c>
      <c r="AD10" s="19">
        <v>0.20300000000000001</v>
      </c>
      <c r="AE10" s="19">
        <v>0.19800000000000001</v>
      </c>
      <c r="AF10" s="21">
        <f t="shared" si="6"/>
        <v>0.20100000000000001</v>
      </c>
      <c r="AG10" s="30">
        <v>0.17799999999999999</v>
      </c>
      <c r="AH10" s="30">
        <v>0.187</v>
      </c>
      <c r="AI10" s="31">
        <f t="shared" si="7"/>
        <v>0.183</v>
      </c>
      <c r="AJ10" s="30">
        <v>0.17499999999999999</v>
      </c>
      <c r="AK10" s="30">
        <v>0.18</v>
      </c>
      <c r="AL10" s="31">
        <f t="shared" si="8"/>
        <v>0.17799999999999999</v>
      </c>
      <c r="AM10" s="19">
        <v>6.81</v>
      </c>
      <c r="AN10" s="19">
        <v>6.907</v>
      </c>
      <c r="AO10" s="21">
        <f t="shared" si="9"/>
        <v>6.859</v>
      </c>
      <c r="AP10" s="27">
        <v>4.3400000000000001E-2</v>
      </c>
      <c r="AQ10" s="27">
        <v>4.2200000000000001E-2</v>
      </c>
      <c r="AR10" s="26">
        <f t="shared" si="10"/>
        <v>4.2799999999999998E-2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16.899999999999999</v>
      </c>
      <c r="F11" s="23">
        <v>7.4</v>
      </c>
      <c r="G11" s="41">
        <v>95</v>
      </c>
      <c r="H11" s="23">
        <v>9.6</v>
      </c>
      <c r="I11" s="23">
        <v>1.7</v>
      </c>
      <c r="J11" s="23">
        <v>3.5</v>
      </c>
      <c r="K11" s="37">
        <v>2.1</v>
      </c>
      <c r="L11" s="37">
        <v>2.1</v>
      </c>
      <c r="M11" s="37"/>
      <c r="N11" s="38">
        <f t="shared" si="0"/>
        <v>2.1</v>
      </c>
      <c r="O11" s="15">
        <v>2</v>
      </c>
      <c r="P11" s="15">
        <v>1.7</v>
      </c>
      <c r="Q11" s="20">
        <f t="shared" si="1"/>
        <v>1.9</v>
      </c>
      <c r="R11" s="34">
        <v>1.512</v>
      </c>
      <c r="S11" s="34">
        <v>1.51</v>
      </c>
      <c r="T11" s="33">
        <f t="shared" si="2"/>
        <v>1.5109999999999999</v>
      </c>
      <c r="U11" s="34">
        <v>1.419</v>
      </c>
      <c r="V11" s="34">
        <v>1.409</v>
      </c>
      <c r="W11" s="33">
        <f t="shared" si="3"/>
        <v>1.4139999999999999</v>
      </c>
      <c r="X11" s="17">
        <v>6.0999999999999999E-2</v>
      </c>
      <c r="Y11" s="17">
        <v>6.0999999999999999E-2</v>
      </c>
      <c r="Z11" s="21">
        <f t="shared" si="4"/>
        <v>6.0999999999999999E-2</v>
      </c>
      <c r="AA11" s="30">
        <v>1.1499999999999999</v>
      </c>
      <c r="AB11" s="30">
        <v>1.145</v>
      </c>
      <c r="AC11" s="31">
        <f t="shared" si="5"/>
        <v>1.1479999999999999</v>
      </c>
      <c r="AD11" s="19">
        <v>0.10199999999999999</v>
      </c>
      <c r="AE11" s="19">
        <v>9.9000000000000005E-2</v>
      </c>
      <c r="AF11" s="21">
        <f t="shared" si="6"/>
        <v>0.10100000000000001</v>
      </c>
      <c r="AG11" s="30">
        <v>7.6999999999999999E-2</v>
      </c>
      <c r="AH11" s="30">
        <v>7.4999999999999997E-2</v>
      </c>
      <c r="AI11" s="31">
        <f t="shared" si="7"/>
        <v>7.5999999999999998E-2</v>
      </c>
      <c r="AJ11" s="30">
        <v>6.6000000000000003E-2</v>
      </c>
      <c r="AK11" s="30">
        <v>6.5000000000000002E-2</v>
      </c>
      <c r="AL11" s="31">
        <f t="shared" si="8"/>
        <v>6.6000000000000003E-2</v>
      </c>
      <c r="AM11" s="19">
        <v>6.8929999999999998</v>
      </c>
      <c r="AN11" s="19">
        <v>6.827</v>
      </c>
      <c r="AO11" s="21">
        <f t="shared" si="9"/>
        <v>6.86</v>
      </c>
      <c r="AP11" s="27">
        <v>5.5E-2</v>
      </c>
      <c r="AQ11" s="27">
        <v>5.3100000000000001E-2</v>
      </c>
      <c r="AR11" s="26">
        <f t="shared" si="10"/>
        <v>5.4100000000000002E-2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16.899999999999999</v>
      </c>
      <c r="F12" s="23">
        <v>7.6</v>
      </c>
      <c r="G12" s="41">
        <v>96</v>
      </c>
      <c r="H12" s="23">
        <v>11.4</v>
      </c>
      <c r="I12" s="23">
        <v>1.4</v>
      </c>
      <c r="J12" s="23">
        <v>3</v>
      </c>
      <c r="K12" s="37">
        <v>1.9</v>
      </c>
      <c r="L12" s="37">
        <v>2</v>
      </c>
      <c r="M12" s="37"/>
      <c r="N12" s="38">
        <f t="shared" si="0"/>
        <v>2</v>
      </c>
      <c r="O12" s="15">
        <v>1.7</v>
      </c>
      <c r="P12" s="15">
        <v>1.7</v>
      </c>
      <c r="Q12" s="20">
        <f t="shared" si="1"/>
        <v>1.7</v>
      </c>
      <c r="R12" s="34">
        <v>0.93899999999999995</v>
      </c>
      <c r="S12" s="34">
        <v>0.95099999999999996</v>
      </c>
      <c r="T12" s="33">
        <f t="shared" si="2"/>
        <v>0.94499999999999995</v>
      </c>
      <c r="U12" s="34">
        <v>0.85899999999999999</v>
      </c>
      <c r="V12" s="34">
        <v>0.88500000000000001</v>
      </c>
      <c r="W12" s="33">
        <f t="shared" si="3"/>
        <v>0.872</v>
      </c>
      <c r="X12" s="17">
        <v>3.4000000000000002E-2</v>
      </c>
      <c r="Y12" s="17">
        <v>3.5000000000000003E-2</v>
      </c>
      <c r="Z12" s="21">
        <f t="shared" si="4"/>
        <v>3.5000000000000003E-2</v>
      </c>
      <c r="AA12" s="30">
        <v>0.67</v>
      </c>
      <c r="AB12" s="30">
        <v>0.68200000000000005</v>
      </c>
      <c r="AC12" s="31">
        <f t="shared" si="5"/>
        <v>0.67600000000000005</v>
      </c>
      <c r="AD12" s="19">
        <v>9.6000000000000002E-2</v>
      </c>
      <c r="AE12" s="19">
        <v>9.0999999999999998E-2</v>
      </c>
      <c r="AF12" s="21">
        <f t="shared" si="6"/>
        <v>9.4E-2</v>
      </c>
      <c r="AG12" s="30">
        <v>7.6999999999999999E-2</v>
      </c>
      <c r="AH12" s="30">
        <v>0.08</v>
      </c>
      <c r="AI12" s="31">
        <f t="shared" si="7"/>
        <v>7.9000000000000001E-2</v>
      </c>
      <c r="AJ12" s="30">
        <v>7.2999999999999995E-2</v>
      </c>
      <c r="AK12" s="30">
        <v>7.2999999999999995E-2</v>
      </c>
      <c r="AL12" s="31">
        <f t="shared" si="8"/>
        <v>7.2999999999999995E-2</v>
      </c>
      <c r="AM12" s="19">
        <v>8.7569999999999997</v>
      </c>
      <c r="AN12" s="19">
        <v>8.8460000000000001</v>
      </c>
      <c r="AO12" s="21">
        <f t="shared" si="9"/>
        <v>8.8019999999999996</v>
      </c>
      <c r="AP12" s="27">
        <v>4.99E-2</v>
      </c>
      <c r="AQ12" s="27">
        <v>4.82E-2</v>
      </c>
      <c r="AR12" s="26">
        <f t="shared" si="10"/>
        <v>4.9099999999999998E-2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17.899999999999999</v>
      </c>
      <c r="F13" s="23">
        <v>7.7</v>
      </c>
      <c r="G13" s="41">
        <v>109</v>
      </c>
      <c r="H13" s="23">
        <v>9.9</v>
      </c>
      <c r="I13" s="23">
        <v>2.1</v>
      </c>
      <c r="J13" s="23">
        <v>3.7</v>
      </c>
      <c r="K13" s="37">
        <v>2.4</v>
      </c>
      <c r="L13" s="37">
        <v>2.4</v>
      </c>
      <c r="M13" s="37"/>
      <c r="N13" s="38">
        <f t="shared" si="0"/>
        <v>2.4</v>
      </c>
      <c r="O13" s="15">
        <v>2.1</v>
      </c>
      <c r="P13" s="15">
        <v>2</v>
      </c>
      <c r="Q13" s="20">
        <f t="shared" si="1"/>
        <v>2.1</v>
      </c>
      <c r="R13" s="34">
        <v>2.2959999999999998</v>
      </c>
      <c r="S13" s="34">
        <v>2.2970000000000002</v>
      </c>
      <c r="T13" s="33">
        <f t="shared" si="2"/>
        <v>2.2970000000000002</v>
      </c>
      <c r="U13" s="34">
        <v>2.1800000000000002</v>
      </c>
      <c r="V13" s="34">
        <v>2.2320000000000002</v>
      </c>
      <c r="W13" s="33">
        <f t="shared" si="3"/>
        <v>2.206</v>
      </c>
      <c r="X13" s="17">
        <v>0.14699999999999999</v>
      </c>
      <c r="Y13" s="17">
        <v>0.14699999999999999</v>
      </c>
      <c r="Z13" s="21">
        <f t="shared" si="4"/>
        <v>0.14699999999999999</v>
      </c>
      <c r="AA13" s="30">
        <v>1.718</v>
      </c>
      <c r="AB13" s="30">
        <v>1.708</v>
      </c>
      <c r="AC13" s="31">
        <f t="shared" si="5"/>
        <v>1.7130000000000001</v>
      </c>
      <c r="AD13" s="19">
        <v>0.26800000000000002</v>
      </c>
      <c r="AE13" s="19">
        <v>0.26400000000000001</v>
      </c>
      <c r="AF13" s="21">
        <f t="shared" si="6"/>
        <v>0.26600000000000001</v>
      </c>
      <c r="AG13" s="30">
        <v>0.22900000000000001</v>
      </c>
      <c r="AH13" s="30">
        <v>0.24199999999999999</v>
      </c>
      <c r="AI13" s="31">
        <f t="shared" si="7"/>
        <v>0.23599999999999999</v>
      </c>
      <c r="AJ13" s="30">
        <v>0.22500000000000001</v>
      </c>
      <c r="AK13" s="30">
        <v>0.23499999999999999</v>
      </c>
      <c r="AL13" s="31">
        <f t="shared" si="8"/>
        <v>0.23</v>
      </c>
      <c r="AM13" s="19">
        <v>7.79</v>
      </c>
      <c r="AN13" s="19">
        <v>7.75</v>
      </c>
      <c r="AO13" s="21">
        <f t="shared" si="9"/>
        <v>7.77</v>
      </c>
      <c r="AP13" s="27">
        <v>5.8500000000000003E-2</v>
      </c>
      <c r="AQ13" s="27">
        <v>5.7099999999999998E-2</v>
      </c>
      <c r="AR13" s="26">
        <f t="shared" si="10"/>
        <v>5.7799999999999997E-2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16.899999999999999</v>
      </c>
      <c r="F14" s="23">
        <v>8.1</v>
      </c>
      <c r="G14" s="41">
        <v>116</v>
      </c>
      <c r="H14" s="23">
        <v>9.6999999999999993</v>
      </c>
      <c r="I14" s="23">
        <v>0.9</v>
      </c>
      <c r="J14" s="23">
        <v>2</v>
      </c>
      <c r="K14" s="37">
        <v>1.3</v>
      </c>
      <c r="L14" s="37">
        <v>1.1000000000000001</v>
      </c>
      <c r="M14" s="37"/>
      <c r="N14" s="38">
        <f t="shared" si="0"/>
        <v>1.2</v>
      </c>
      <c r="O14" s="15">
        <v>1.2</v>
      </c>
      <c r="P14" s="15">
        <v>1.2</v>
      </c>
      <c r="Q14" s="20">
        <f t="shared" si="1"/>
        <v>1.2</v>
      </c>
      <c r="R14" s="34">
        <v>1.512</v>
      </c>
      <c r="S14" s="34">
        <v>1.516</v>
      </c>
      <c r="T14" s="33">
        <f t="shared" si="2"/>
        <v>1.514</v>
      </c>
      <c r="U14" s="34">
        <v>1.5109999999999999</v>
      </c>
      <c r="V14" s="34">
        <v>1.51</v>
      </c>
      <c r="W14" s="33">
        <f t="shared" si="3"/>
        <v>1.5109999999999999</v>
      </c>
      <c r="X14" s="17">
        <v>1.2999999999999999E-2</v>
      </c>
      <c r="Y14" s="17">
        <v>1.0999999999999999E-2</v>
      </c>
      <c r="Z14" s="21">
        <f t="shared" si="4"/>
        <v>1.2E-2</v>
      </c>
      <c r="AA14" s="30">
        <v>1.3089999999999999</v>
      </c>
      <c r="AB14" s="30">
        <v>1.3360000000000001</v>
      </c>
      <c r="AC14" s="31">
        <f t="shared" si="5"/>
        <v>1.323</v>
      </c>
      <c r="AD14" s="19">
        <v>1.7000000000000001E-2</v>
      </c>
      <c r="AE14" s="19">
        <v>1.4999999999999999E-2</v>
      </c>
      <c r="AF14" s="21">
        <f t="shared" si="6"/>
        <v>1.6E-2</v>
      </c>
      <c r="AG14" s="30">
        <v>8.9999999999999993E-3</v>
      </c>
      <c r="AH14" s="30">
        <v>8.0000000000000002E-3</v>
      </c>
      <c r="AI14" s="31">
        <f t="shared" si="7"/>
        <v>8.9999999999999993E-3</v>
      </c>
      <c r="AJ14" s="30">
        <v>2E-3</v>
      </c>
      <c r="AK14" s="30">
        <v>1E-3</v>
      </c>
      <c r="AL14" s="31">
        <f t="shared" si="8"/>
        <v>2E-3</v>
      </c>
      <c r="AM14" s="19">
        <v>5.63</v>
      </c>
      <c r="AN14" s="19">
        <v>5.6660000000000004</v>
      </c>
      <c r="AO14" s="21">
        <f t="shared" si="9"/>
        <v>5.6479999999999997</v>
      </c>
      <c r="AP14" s="27">
        <v>2.93E-2</v>
      </c>
      <c r="AQ14" s="27">
        <v>2.7799999999999998E-2</v>
      </c>
      <c r="AR14" s="26">
        <f t="shared" si="10"/>
        <v>2.86E-2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17.600000000000001</v>
      </c>
      <c r="F15" s="23">
        <v>7.9</v>
      </c>
      <c r="G15" s="41">
        <v>119</v>
      </c>
      <c r="H15" s="23">
        <v>9.6999999999999993</v>
      </c>
      <c r="I15" s="23">
        <v>1.2</v>
      </c>
      <c r="J15" s="23">
        <v>3</v>
      </c>
      <c r="K15" s="37">
        <v>2</v>
      </c>
      <c r="L15" s="37">
        <v>2</v>
      </c>
      <c r="M15" s="37"/>
      <c r="N15" s="38">
        <f t="shared" si="0"/>
        <v>2</v>
      </c>
      <c r="O15" s="15">
        <v>1.9</v>
      </c>
      <c r="P15" s="15">
        <v>1.8</v>
      </c>
      <c r="Q15" s="20">
        <f t="shared" si="1"/>
        <v>1.9</v>
      </c>
      <c r="R15" s="34">
        <v>2.234</v>
      </c>
      <c r="S15" s="34">
        <v>2.2069999999999999</v>
      </c>
      <c r="T15" s="33">
        <f t="shared" si="2"/>
        <v>2.2210000000000001</v>
      </c>
      <c r="U15" s="34">
        <v>2.202</v>
      </c>
      <c r="V15" s="34">
        <v>2.2130000000000001</v>
      </c>
      <c r="W15" s="33">
        <f t="shared" si="3"/>
        <v>2.2080000000000002</v>
      </c>
      <c r="X15" s="17">
        <v>0.10199999999999999</v>
      </c>
      <c r="Y15" s="17">
        <v>0.104</v>
      </c>
      <c r="Z15" s="21">
        <f t="shared" si="4"/>
        <v>0.10299999999999999</v>
      </c>
      <c r="AA15" s="30">
        <v>1.798</v>
      </c>
      <c r="AB15" s="30">
        <v>1.7889999999999999</v>
      </c>
      <c r="AC15" s="31">
        <f t="shared" si="5"/>
        <v>1.794</v>
      </c>
      <c r="AD15" s="19">
        <v>0.18</v>
      </c>
      <c r="AE15" s="19">
        <v>0.17399999999999999</v>
      </c>
      <c r="AF15" s="21">
        <f t="shared" si="6"/>
        <v>0.17699999999999999</v>
      </c>
      <c r="AG15" s="30">
        <v>0.15</v>
      </c>
      <c r="AH15" s="30">
        <v>0.155</v>
      </c>
      <c r="AI15" s="31">
        <f t="shared" si="7"/>
        <v>0.153</v>
      </c>
      <c r="AJ15" s="30">
        <v>0.14699999999999999</v>
      </c>
      <c r="AK15" s="30">
        <v>0.14899999999999999</v>
      </c>
      <c r="AL15" s="31">
        <f t="shared" si="8"/>
        <v>0.14799999999999999</v>
      </c>
      <c r="AM15" s="19">
        <v>8.2129999999999992</v>
      </c>
      <c r="AN15" s="19">
        <v>8.1219999999999999</v>
      </c>
      <c r="AO15" s="21">
        <f t="shared" si="9"/>
        <v>8.1679999999999993</v>
      </c>
      <c r="AP15" s="27">
        <v>5.3699999999999998E-2</v>
      </c>
      <c r="AQ15" s="27">
        <v>5.1799999999999999E-2</v>
      </c>
      <c r="AR15" s="26">
        <f t="shared" si="10"/>
        <v>5.28E-2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18</v>
      </c>
      <c r="F16" s="23">
        <v>7.5</v>
      </c>
      <c r="G16" s="41">
        <v>128</v>
      </c>
      <c r="H16" s="23">
        <v>10.1</v>
      </c>
      <c r="I16" s="23">
        <v>1.6</v>
      </c>
      <c r="J16" s="23">
        <v>4.2</v>
      </c>
      <c r="K16" s="37">
        <v>3.1</v>
      </c>
      <c r="L16" s="37">
        <v>3.1</v>
      </c>
      <c r="M16" s="37"/>
      <c r="N16" s="38">
        <f t="shared" si="0"/>
        <v>3.1</v>
      </c>
      <c r="O16" s="15">
        <v>2.8</v>
      </c>
      <c r="P16" s="15">
        <v>2.6</v>
      </c>
      <c r="Q16" s="20">
        <f t="shared" si="1"/>
        <v>2.7</v>
      </c>
      <c r="R16" s="34">
        <v>1.667</v>
      </c>
      <c r="S16" s="34">
        <v>1.63</v>
      </c>
      <c r="T16" s="33">
        <f t="shared" si="2"/>
        <v>1.649</v>
      </c>
      <c r="U16" s="34">
        <v>1.635</v>
      </c>
      <c r="V16" s="34">
        <v>1.627</v>
      </c>
      <c r="W16" s="33">
        <f t="shared" si="3"/>
        <v>1.631</v>
      </c>
      <c r="X16" s="17">
        <v>0.05</v>
      </c>
      <c r="Y16" s="17">
        <v>0.05</v>
      </c>
      <c r="Z16" s="21">
        <f t="shared" si="4"/>
        <v>0.05</v>
      </c>
      <c r="AA16" s="30">
        <v>1.246</v>
      </c>
      <c r="AB16" s="30">
        <v>1.248</v>
      </c>
      <c r="AC16" s="31">
        <f t="shared" si="5"/>
        <v>1.2470000000000001</v>
      </c>
      <c r="AD16" s="19">
        <v>6.5000000000000002E-2</v>
      </c>
      <c r="AE16" s="19">
        <v>0.06</v>
      </c>
      <c r="AF16" s="21">
        <f t="shared" si="6"/>
        <v>6.3E-2</v>
      </c>
      <c r="AG16" s="30">
        <v>4.3999999999999997E-2</v>
      </c>
      <c r="AH16" s="30">
        <v>4.1000000000000002E-2</v>
      </c>
      <c r="AI16" s="31">
        <f t="shared" si="7"/>
        <v>4.2999999999999997E-2</v>
      </c>
      <c r="AJ16" s="30">
        <v>2.8000000000000001E-2</v>
      </c>
      <c r="AK16" s="30">
        <v>2.7E-2</v>
      </c>
      <c r="AL16" s="31">
        <f t="shared" si="8"/>
        <v>2.8000000000000001E-2</v>
      </c>
      <c r="AM16" s="19">
        <v>8.9949999999999992</v>
      </c>
      <c r="AN16" s="19">
        <v>8.8680000000000003</v>
      </c>
      <c r="AO16" s="21">
        <f t="shared" si="9"/>
        <v>8.9320000000000004</v>
      </c>
      <c r="AP16" s="27">
        <v>7.0000000000000007E-2</v>
      </c>
      <c r="AQ16" s="27">
        <v>6.9900000000000004E-2</v>
      </c>
      <c r="AR16" s="26">
        <f t="shared" si="10"/>
        <v>7.0000000000000007E-2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17.2</v>
      </c>
      <c r="F17" s="23">
        <v>6.7</v>
      </c>
      <c r="G17" s="41">
        <v>126</v>
      </c>
      <c r="H17" s="23">
        <v>9</v>
      </c>
      <c r="I17" s="23">
        <v>1.2</v>
      </c>
      <c r="J17" s="23">
        <v>2.9</v>
      </c>
      <c r="K17" s="37">
        <v>2.1</v>
      </c>
      <c r="L17" s="37">
        <v>2.1</v>
      </c>
      <c r="M17" s="37"/>
      <c r="N17" s="38">
        <f t="shared" si="0"/>
        <v>2.1</v>
      </c>
      <c r="O17" s="15">
        <v>2</v>
      </c>
      <c r="P17" s="15">
        <v>1.9</v>
      </c>
      <c r="Q17" s="20">
        <f t="shared" si="1"/>
        <v>2</v>
      </c>
      <c r="R17" s="34">
        <v>2.0219999999999998</v>
      </c>
      <c r="S17" s="34">
        <v>2.0099999999999998</v>
      </c>
      <c r="T17" s="33">
        <f t="shared" si="2"/>
        <v>2.016</v>
      </c>
      <c r="U17" s="34">
        <v>1.994</v>
      </c>
      <c r="V17" s="34">
        <v>1.9830000000000001</v>
      </c>
      <c r="W17" s="33">
        <f t="shared" si="3"/>
        <v>1.9890000000000001</v>
      </c>
      <c r="X17" s="17">
        <v>5.8000000000000003E-2</v>
      </c>
      <c r="Y17" s="17">
        <v>5.8000000000000003E-2</v>
      </c>
      <c r="Z17" s="21">
        <f t="shared" si="4"/>
        <v>5.8000000000000003E-2</v>
      </c>
      <c r="AA17" s="30">
        <v>1.613</v>
      </c>
      <c r="AB17" s="30">
        <v>1.623</v>
      </c>
      <c r="AC17" s="31">
        <f t="shared" si="5"/>
        <v>1.6180000000000001</v>
      </c>
      <c r="AD17" s="19">
        <v>0.14099999999999999</v>
      </c>
      <c r="AE17" s="19">
        <v>0.13400000000000001</v>
      </c>
      <c r="AF17" s="21">
        <f t="shared" si="6"/>
        <v>0.13800000000000001</v>
      </c>
      <c r="AG17" s="30">
        <v>0.109</v>
      </c>
      <c r="AH17" s="30">
        <v>0.114</v>
      </c>
      <c r="AI17" s="31">
        <f t="shared" si="7"/>
        <v>0.112</v>
      </c>
      <c r="AJ17" s="30">
        <v>0.107</v>
      </c>
      <c r="AK17" s="30">
        <v>0.109</v>
      </c>
      <c r="AL17" s="31">
        <f t="shared" si="8"/>
        <v>0.108</v>
      </c>
      <c r="AM17" s="19">
        <v>8.2029999999999994</v>
      </c>
      <c r="AN17" s="19">
        <v>8.2110000000000003</v>
      </c>
      <c r="AO17" s="21">
        <f t="shared" si="9"/>
        <v>8.2070000000000007</v>
      </c>
      <c r="AP17" s="27">
        <v>5.16E-2</v>
      </c>
      <c r="AQ17" s="27">
        <v>5.0500000000000003E-2</v>
      </c>
      <c r="AR17" s="26">
        <f t="shared" si="10"/>
        <v>5.11E-2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17.399999999999999</v>
      </c>
      <c r="F18" s="23">
        <v>7</v>
      </c>
      <c r="G18" s="41">
        <v>198</v>
      </c>
      <c r="H18" s="23">
        <v>9.9</v>
      </c>
      <c r="I18" s="23">
        <v>1.5</v>
      </c>
      <c r="J18" s="23">
        <v>4.5999999999999996</v>
      </c>
      <c r="K18" s="37">
        <v>3.4</v>
      </c>
      <c r="L18" s="37">
        <v>3.5</v>
      </c>
      <c r="M18" s="37"/>
      <c r="N18" s="38">
        <f t="shared" si="0"/>
        <v>3.5</v>
      </c>
      <c r="O18" s="15">
        <v>3.2</v>
      </c>
      <c r="P18" s="15">
        <v>3</v>
      </c>
      <c r="Q18" s="20">
        <f t="shared" si="1"/>
        <v>3.1</v>
      </c>
      <c r="R18" s="34">
        <v>2.3719999999999999</v>
      </c>
      <c r="S18" s="34">
        <v>2.319</v>
      </c>
      <c r="T18" s="33">
        <f t="shared" si="2"/>
        <v>2.3460000000000001</v>
      </c>
      <c r="U18" s="34">
        <v>2.2360000000000002</v>
      </c>
      <c r="V18" s="34">
        <v>2.3140000000000001</v>
      </c>
      <c r="W18" s="33">
        <f t="shared" si="3"/>
        <v>2.2749999999999999</v>
      </c>
      <c r="X18" s="17">
        <v>9.7000000000000003E-2</v>
      </c>
      <c r="Y18" s="17">
        <v>9.5000000000000001E-2</v>
      </c>
      <c r="Z18" s="21">
        <f t="shared" si="4"/>
        <v>9.6000000000000002E-2</v>
      </c>
      <c r="AA18" s="30">
        <v>1.776</v>
      </c>
      <c r="AB18" s="30">
        <v>1.806</v>
      </c>
      <c r="AC18" s="31">
        <f t="shared" si="5"/>
        <v>1.7909999999999999</v>
      </c>
      <c r="AD18" s="19">
        <v>8.5000000000000006E-2</v>
      </c>
      <c r="AE18" s="19">
        <v>8.1000000000000003E-2</v>
      </c>
      <c r="AF18" s="21">
        <f t="shared" si="6"/>
        <v>8.3000000000000004E-2</v>
      </c>
      <c r="AG18" s="30">
        <v>4.9000000000000002E-2</v>
      </c>
      <c r="AH18" s="30">
        <v>5.1999999999999998E-2</v>
      </c>
      <c r="AI18" s="31">
        <f t="shared" si="7"/>
        <v>5.0999999999999997E-2</v>
      </c>
      <c r="AJ18" s="30">
        <v>3.6999999999999998E-2</v>
      </c>
      <c r="AK18" s="30">
        <v>4.1000000000000002E-2</v>
      </c>
      <c r="AL18" s="31">
        <f t="shared" si="8"/>
        <v>3.9E-2</v>
      </c>
      <c r="AM18" s="19">
        <v>13.598000000000001</v>
      </c>
      <c r="AN18" s="19">
        <v>13.756</v>
      </c>
      <c r="AO18" s="21">
        <f t="shared" si="9"/>
        <v>13.677</v>
      </c>
      <c r="AP18" s="27">
        <v>8.5199999999999998E-2</v>
      </c>
      <c r="AQ18" s="27">
        <v>8.3900000000000002E-2</v>
      </c>
      <c r="AR18" s="26">
        <f t="shared" si="10"/>
        <v>8.4599999999999995E-2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17.600000000000001</v>
      </c>
      <c r="F19" s="23">
        <v>7</v>
      </c>
      <c r="G19" s="41">
        <v>131</v>
      </c>
      <c r="H19" s="23">
        <v>8.9</v>
      </c>
      <c r="I19" s="23">
        <v>1.2</v>
      </c>
      <c r="J19" s="23">
        <v>3.2</v>
      </c>
      <c r="K19" s="37">
        <v>2.2000000000000002</v>
      </c>
      <c r="L19" s="37">
        <v>2.2999999999999998</v>
      </c>
      <c r="M19" s="37"/>
      <c r="N19" s="38">
        <f t="shared" si="0"/>
        <v>2.2999999999999998</v>
      </c>
      <c r="O19" s="15">
        <v>2.1</v>
      </c>
      <c r="P19" s="15">
        <v>1.9</v>
      </c>
      <c r="Q19" s="20">
        <f t="shared" si="1"/>
        <v>2</v>
      </c>
      <c r="R19" s="34">
        <v>2.0030000000000001</v>
      </c>
      <c r="S19" s="34">
        <v>2.0009999999999999</v>
      </c>
      <c r="T19" s="33">
        <f t="shared" si="2"/>
        <v>2.0019999999999998</v>
      </c>
      <c r="U19" s="34">
        <v>2.0009999999999999</v>
      </c>
      <c r="V19" s="34">
        <v>1.9990000000000001</v>
      </c>
      <c r="W19" s="33">
        <f t="shared" si="3"/>
        <v>2</v>
      </c>
      <c r="X19" s="17">
        <v>5.8999999999999997E-2</v>
      </c>
      <c r="Y19" s="17">
        <v>5.8999999999999997E-2</v>
      </c>
      <c r="Z19" s="21">
        <f t="shared" si="4"/>
        <v>5.8999999999999997E-2</v>
      </c>
      <c r="AA19" s="30">
        <v>1.583</v>
      </c>
      <c r="AB19" s="30">
        <v>1.609</v>
      </c>
      <c r="AC19" s="31">
        <f t="shared" si="5"/>
        <v>1.5960000000000001</v>
      </c>
      <c r="AD19" s="19">
        <v>0.13100000000000001</v>
      </c>
      <c r="AE19" s="19">
        <v>0.127</v>
      </c>
      <c r="AF19" s="21">
        <f t="shared" si="6"/>
        <v>0.129</v>
      </c>
      <c r="AG19" s="30">
        <v>0.10299999999999999</v>
      </c>
      <c r="AH19" s="30">
        <v>0.105</v>
      </c>
      <c r="AI19" s="31">
        <f t="shared" si="7"/>
        <v>0.104</v>
      </c>
      <c r="AJ19" s="30">
        <v>9.9000000000000005E-2</v>
      </c>
      <c r="AK19" s="30">
        <v>9.9000000000000005E-2</v>
      </c>
      <c r="AL19" s="31">
        <f t="shared" si="8"/>
        <v>9.9000000000000005E-2</v>
      </c>
      <c r="AM19" s="19">
        <v>8.64</v>
      </c>
      <c r="AN19" s="19">
        <v>8.702</v>
      </c>
      <c r="AO19" s="21">
        <f t="shared" si="9"/>
        <v>8.6709999999999994</v>
      </c>
      <c r="AP19" s="27">
        <v>5.3499999999999999E-2</v>
      </c>
      <c r="AQ19" s="27">
        <v>5.2699999999999997E-2</v>
      </c>
      <c r="AR19" s="26">
        <f t="shared" si="10"/>
        <v>5.3100000000000001E-2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15.7</v>
      </c>
      <c r="F20" s="23">
        <v>7.1</v>
      </c>
      <c r="G20" s="41">
        <v>180</v>
      </c>
      <c r="H20" s="23">
        <v>9</v>
      </c>
      <c r="I20" s="23">
        <v>0.7</v>
      </c>
      <c r="J20" s="23">
        <v>2.6</v>
      </c>
      <c r="K20" s="37">
        <v>1.9</v>
      </c>
      <c r="L20" s="37">
        <v>1.9</v>
      </c>
      <c r="M20" s="37"/>
      <c r="N20" s="38">
        <f t="shared" si="0"/>
        <v>1.9</v>
      </c>
      <c r="O20" s="15">
        <v>1.8</v>
      </c>
      <c r="P20" s="15">
        <v>1.7</v>
      </c>
      <c r="Q20" s="20">
        <f t="shared" si="1"/>
        <v>1.8</v>
      </c>
      <c r="R20" s="34">
        <v>1.3420000000000001</v>
      </c>
      <c r="S20" s="34">
        <v>1.3129999999999999</v>
      </c>
      <c r="T20" s="33">
        <f t="shared" si="2"/>
        <v>1.3280000000000001</v>
      </c>
      <c r="U20" s="34">
        <v>1.3109999999999999</v>
      </c>
      <c r="V20" s="34">
        <v>1.3080000000000001</v>
      </c>
      <c r="W20" s="33">
        <f t="shared" si="3"/>
        <v>1.31</v>
      </c>
      <c r="X20" s="17">
        <v>0.02</v>
      </c>
      <c r="Y20" s="17">
        <v>2.3E-2</v>
      </c>
      <c r="Z20" s="21">
        <f t="shared" si="4"/>
        <v>2.1999999999999999E-2</v>
      </c>
      <c r="AA20" s="30">
        <v>1.133</v>
      </c>
      <c r="AB20" s="30">
        <v>1.115</v>
      </c>
      <c r="AC20" s="31">
        <f t="shared" si="5"/>
        <v>1.1240000000000001</v>
      </c>
      <c r="AD20" s="19">
        <v>2.5000000000000001E-2</v>
      </c>
      <c r="AE20" s="19">
        <v>2.3E-2</v>
      </c>
      <c r="AF20" s="21">
        <f t="shared" si="6"/>
        <v>2.4E-2</v>
      </c>
      <c r="AG20" s="30">
        <v>1.6E-2</v>
      </c>
      <c r="AH20" s="30">
        <v>1.2999999999999999E-2</v>
      </c>
      <c r="AI20" s="31">
        <f t="shared" si="7"/>
        <v>1.4999999999999999E-2</v>
      </c>
      <c r="AJ20" s="30">
        <v>8.0000000000000002E-3</v>
      </c>
      <c r="AK20" s="30">
        <v>7.0000000000000001E-3</v>
      </c>
      <c r="AL20" s="31">
        <f t="shared" si="8"/>
        <v>8.0000000000000002E-3</v>
      </c>
      <c r="AM20" s="19">
        <v>6.8659999999999997</v>
      </c>
      <c r="AN20" s="19">
        <v>6.76</v>
      </c>
      <c r="AO20" s="21">
        <f t="shared" si="9"/>
        <v>6.8129999999999997</v>
      </c>
      <c r="AP20" s="27">
        <v>4.4699999999999997E-2</v>
      </c>
      <c r="AQ20" s="27">
        <v>4.2900000000000001E-2</v>
      </c>
      <c r="AR20" s="26">
        <f t="shared" si="10"/>
        <v>4.3799999999999999E-2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17.899999999999999</v>
      </c>
      <c r="F21" s="23">
        <v>7.2</v>
      </c>
      <c r="G21" s="41">
        <v>136</v>
      </c>
      <c r="H21" s="23">
        <v>9.4</v>
      </c>
      <c r="I21" s="23">
        <v>1.4</v>
      </c>
      <c r="J21" s="23">
        <v>3.6</v>
      </c>
      <c r="K21" s="37">
        <v>2.2000000000000002</v>
      </c>
      <c r="L21" s="37">
        <v>2.1</v>
      </c>
      <c r="M21" s="37"/>
      <c r="N21" s="38">
        <f t="shared" si="0"/>
        <v>2.2000000000000002</v>
      </c>
      <c r="O21" s="15">
        <v>1.9</v>
      </c>
      <c r="P21" s="15">
        <v>1.9</v>
      </c>
      <c r="Q21" s="20">
        <f t="shared" si="1"/>
        <v>1.9</v>
      </c>
      <c r="R21" s="34">
        <v>1.746</v>
      </c>
      <c r="S21" s="34">
        <v>1.732</v>
      </c>
      <c r="T21" s="33">
        <f t="shared" si="2"/>
        <v>1.7390000000000001</v>
      </c>
      <c r="U21" s="34">
        <v>1.6859999999999999</v>
      </c>
      <c r="V21" s="34">
        <v>1.7030000000000001</v>
      </c>
      <c r="W21" s="33">
        <f t="shared" si="3"/>
        <v>1.6950000000000001</v>
      </c>
      <c r="X21" s="17">
        <v>4.1000000000000002E-2</v>
      </c>
      <c r="Y21" s="17">
        <v>4.2000000000000003E-2</v>
      </c>
      <c r="Z21" s="21">
        <f t="shared" si="4"/>
        <v>4.2000000000000003E-2</v>
      </c>
      <c r="AA21" s="30">
        <v>1.3520000000000001</v>
      </c>
      <c r="AB21" s="30">
        <v>1.3520000000000001</v>
      </c>
      <c r="AC21" s="31">
        <f t="shared" si="5"/>
        <v>1.3520000000000001</v>
      </c>
      <c r="AD21" s="19">
        <v>9.6000000000000002E-2</v>
      </c>
      <c r="AE21" s="19">
        <v>9.2999999999999999E-2</v>
      </c>
      <c r="AF21" s="21">
        <f t="shared" si="6"/>
        <v>9.5000000000000001E-2</v>
      </c>
      <c r="AG21" s="30">
        <v>6.0999999999999999E-2</v>
      </c>
      <c r="AH21" s="30">
        <v>0.06</v>
      </c>
      <c r="AI21" s="31">
        <f t="shared" si="7"/>
        <v>6.0999999999999999E-2</v>
      </c>
      <c r="AJ21" s="30">
        <v>5.6000000000000001E-2</v>
      </c>
      <c r="AK21" s="30">
        <v>5.6000000000000001E-2</v>
      </c>
      <c r="AL21" s="31">
        <f t="shared" si="8"/>
        <v>5.6000000000000001E-2</v>
      </c>
      <c r="AM21" s="19">
        <v>9.0519999999999996</v>
      </c>
      <c r="AN21" s="19">
        <v>9.016</v>
      </c>
      <c r="AO21" s="21">
        <f t="shared" si="9"/>
        <v>9.0340000000000007</v>
      </c>
      <c r="AP21" s="27">
        <v>5.1200000000000002E-2</v>
      </c>
      <c r="AQ21" s="27">
        <v>5.0099999999999999E-2</v>
      </c>
      <c r="AR21" s="26">
        <f t="shared" si="10"/>
        <v>5.0700000000000002E-2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17.600000000000001</v>
      </c>
      <c r="F22" s="23">
        <v>7.4</v>
      </c>
      <c r="G22" s="41">
        <v>238</v>
      </c>
      <c r="H22" s="23">
        <v>9.5</v>
      </c>
      <c r="I22" s="23">
        <v>1.9</v>
      </c>
      <c r="J22" s="23">
        <v>3.9</v>
      </c>
      <c r="K22" s="37">
        <v>2.7</v>
      </c>
      <c r="L22" s="37">
        <v>2.8</v>
      </c>
      <c r="M22" s="37"/>
      <c r="N22" s="38">
        <f t="shared" si="0"/>
        <v>2.8</v>
      </c>
      <c r="O22" s="15">
        <v>2.4</v>
      </c>
      <c r="P22" s="15">
        <v>2.4</v>
      </c>
      <c r="Q22" s="20">
        <f t="shared" si="1"/>
        <v>2.4</v>
      </c>
      <c r="R22" s="34">
        <v>1.843</v>
      </c>
      <c r="S22" s="34">
        <v>1.8009999999999999</v>
      </c>
      <c r="T22" s="33">
        <f t="shared" si="2"/>
        <v>1.8220000000000001</v>
      </c>
      <c r="U22" s="34">
        <v>1.7789999999999999</v>
      </c>
      <c r="V22" s="34">
        <v>1.8</v>
      </c>
      <c r="W22" s="33">
        <f t="shared" si="3"/>
        <v>1.79</v>
      </c>
      <c r="X22" s="17">
        <v>0.108</v>
      </c>
      <c r="Y22" s="17">
        <v>0.109</v>
      </c>
      <c r="Z22" s="21">
        <f t="shared" si="4"/>
        <v>0.109</v>
      </c>
      <c r="AA22" s="30">
        <v>1.3260000000000001</v>
      </c>
      <c r="AB22" s="30">
        <v>1.34</v>
      </c>
      <c r="AC22" s="31">
        <f t="shared" si="5"/>
        <v>1.333</v>
      </c>
      <c r="AD22" s="19">
        <v>0.05</v>
      </c>
      <c r="AE22" s="19">
        <v>4.7E-2</v>
      </c>
      <c r="AF22" s="21">
        <f t="shared" si="6"/>
        <v>4.9000000000000002E-2</v>
      </c>
      <c r="AG22" s="30">
        <v>3.4000000000000002E-2</v>
      </c>
      <c r="AH22" s="30">
        <v>3.3000000000000002E-2</v>
      </c>
      <c r="AI22" s="31">
        <f t="shared" si="7"/>
        <v>3.4000000000000002E-2</v>
      </c>
      <c r="AJ22" s="30">
        <v>2.1000000000000001E-2</v>
      </c>
      <c r="AK22" s="30">
        <v>2.1000000000000001E-2</v>
      </c>
      <c r="AL22" s="31">
        <f t="shared" si="8"/>
        <v>2.1000000000000001E-2</v>
      </c>
      <c r="AM22" s="19">
        <v>13.279</v>
      </c>
      <c r="AN22" s="19">
        <v>13.403</v>
      </c>
      <c r="AO22" s="21">
        <f t="shared" si="9"/>
        <v>13.340999999999999</v>
      </c>
      <c r="AP22" s="27">
        <v>5.8200000000000002E-2</v>
      </c>
      <c r="AQ22" s="27">
        <v>5.6500000000000002E-2</v>
      </c>
      <c r="AR22" s="26">
        <f t="shared" si="10"/>
        <v>5.74E-2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17.899999999999999</v>
      </c>
      <c r="F23" s="23">
        <v>7.2</v>
      </c>
      <c r="G23" s="41">
        <v>189</v>
      </c>
      <c r="H23" s="23">
        <v>9.5</v>
      </c>
      <c r="I23" s="23">
        <v>2.4</v>
      </c>
      <c r="J23" s="23">
        <v>4</v>
      </c>
      <c r="K23" s="37">
        <v>3.1</v>
      </c>
      <c r="L23" s="37">
        <v>3.1</v>
      </c>
      <c r="M23" s="37"/>
      <c r="N23" s="38">
        <f t="shared" si="0"/>
        <v>3.1</v>
      </c>
      <c r="O23" s="15">
        <v>2.4</v>
      </c>
      <c r="P23" s="15">
        <v>2.4</v>
      </c>
      <c r="Q23" s="20">
        <f t="shared" si="1"/>
        <v>2.4</v>
      </c>
      <c r="R23" s="34">
        <v>2.2120000000000002</v>
      </c>
      <c r="S23" s="34">
        <v>2.202</v>
      </c>
      <c r="T23" s="33">
        <f t="shared" si="2"/>
        <v>2.2069999999999999</v>
      </c>
      <c r="U23" s="34">
        <v>2.1219999999999999</v>
      </c>
      <c r="V23" s="34">
        <v>2.1520000000000001</v>
      </c>
      <c r="W23" s="33">
        <f t="shared" si="3"/>
        <v>2.137</v>
      </c>
      <c r="X23" s="17">
        <v>0.193</v>
      </c>
      <c r="Y23" s="17">
        <v>0.19600000000000001</v>
      </c>
      <c r="Z23" s="21">
        <f t="shared" si="4"/>
        <v>0.19500000000000001</v>
      </c>
      <c r="AA23" s="30">
        <v>1.5780000000000001</v>
      </c>
      <c r="AB23" s="30">
        <v>1.613</v>
      </c>
      <c r="AC23" s="31">
        <f t="shared" si="5"/>
        <v>1.5960000000000001</v>
      </c>
      <c r="AD23" s="19">
        <v>0.10199999999999999</v>
      </c>
      <c r="AE23" s="19">
        <v>9.8000000000000004E-2</v>
      </c>
      <c r="AF23" s="21">
        <f t="shared" si="6"/>
        <v>0.1</v>
      </c>
      <c r="AG23" s="30">
        <v>5.1999999999999998E-2</v>
      </c>
      <c r="AH23" s="30">
        <v>5.7000000000000002E-2</v>
      </c>
      <c r="AI23" s="31">
        <f t="shared" si="7"/>
        <v>5.5E-2</v>
      </c>
      <c r="AJ23" s="30">
        <v>4.4999999999999998E-2</v>
      </c>
      <c r="AK23" s="30">
        <v>4.5999999999999999E-2</v>
      </c>
      <c r="AL23" s="31">
        <f t="shared" si="8"/>
        <v>4.5999999999999999E-2</v>
      </c>
      <c r="AM23" s="19">
        <v>13.054</v>
      </c>
      <c r="AN23" s="19">
        <v>13.257999999999999</v>
      </c>
      <c r="AO23" s="21">
        <f t="shared" si="9"/>
        <v>13.156000000000001</v>
      </c>
      <c r="AP23" s="27">
        <v>5.79E-2</v>
      </c>
      <c r="AQ23" s="27">
        <v>5.7700000000000001E-2</v>
      </c>
      <c r="AR23" s="26">
        <f t="shared" si="10"/>
        <v>5.7799999999999997E-2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17</v>
      </c>
      <c r="F24" s="23">
        <v>7.6</v>
      </c>
      <c r="G24" s="41">
        <v>232</v>
      </c>
      <c r="H24" s="23">
        <v>10.3</v>
      </c>
      <c r="I24" s="23">
        <v>0.9</v>
      </c>
      <c r="J24" s="23">
        <v>3.7</v>
      </c>
      <c r="K24" s="37">
        <v>2.5</v>
      </c>
      <c r="L24" s="37">
        <v>2.5</v>
      </c>
      <c r="M24" s="37"/>
      <c r="N24" s="38">
        <f t="shared" si="0"/>
        <v>2.5</v>
      </c>
      <c r="O24" s="15">
        <v>2.5</v>
      </c>
      <c r="P24" s="15">
        <v>2.5</v>
      </c>
      <c r="Q24" s="20">
        <f t="shared" si="1"/>
        <v>2.5</v>
      </c>
      <c r="R24" s="34">
        <v>1.8440000000000001</v>
      </c>
      <c r="S24" s="34">
        <v>1.823</v>
      </c>
      <c r="T24" s="33">
        <f t="shared" si="2"/>
        <v>1.8340000000000001</v>
      </c>
      <c r="U24" s="34">
        <v>1.754</v>
      </c>
      <c r="V24" s="34">
        <v>1.762</v>
      </c>
      <c r="W24" s="33">
        <f t="shared" si="3"/>
        <v>1.758</v>
      </c>
      <c r="X24" s="17">
        <v>0.14099999999999999</v>
      </c>
      <c r="Y24" s="17">
        <v>0.14199999999999999</v>
      </c>
      <c r="Z24" s="21">
        <f t="shared" si="4"/>
        <v>0.14199999999999999</v>
      </c>
      <c r="AA24" s="30">
        <v>1.2609999999999999</v>
      </c>
      <c r="AB24" s="30">
        <v>1.282</v>
      </c>
      <c r="AC24" s="31">
        <f t="shared" si="5"/>
        <v>1.272</v>
      </c>
      <c r="AD24" s="19">
        <v>3.1E-2</v>
      </c>
      <c r="AE24" s="19">
        <v>2.9000000000000001E-2</v>
      </c>
      <c r="AF24" s="21">
        <f t="shared" si="6"/>
        <v>0.03</v>
      </c>
      <c r="AG24" s="30">
        <v>2.1000000000000001E-2</v>
      </c>
      <c r="AH24" s="30">
        <v>1.9E-2</v>
      </c>
      <c r="AI24" s="31">
        <f t="shared" si="7"/>
        <v>0.02</v>
      </c>
      <c r="AJ24" s="30">
        <v>8.0000000000000002E-3</v>
      </c>
      <c r="AK24" s="30">
        <v>8.0000000000000002E-3</v>
      </c>
      <c r="AL24" s="31">
        <f t="shared" si="8"/>
        <v>8.0000000000000002E-3</v>
      </c>
      <c r="AM24" s="19">
        <v>22.931000000000001</v>
      </c>
      <c r="AN24" s="19">
        <v>23.283000000000001</v>
      </c>
      <c r="AO24" s="21">
        <f t="shared" si="9"/>
        <v>23.106999999999999</v>
      </c>
      <c r="AP24" s="27">
        <v>5.9700000000000003E-2</v>
      </c>
      <c r="AQ24" s="27">
        <v>5.8700000000000002E-2</v>
      </c>
      <c r="AR24" s="26">
        <f t="shared" si="10"/>
        <v>5.9200000000000003E-2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17.5</v>
      </c>
      <c r="F25" s="23">
        <v>7.6</v>
      </c>
      <c r="G25" s="41">
        <v>209</v>
      </c>
      <c r="H25" s="23">
        <v>9.6999999999999993</v>
      </c>
      <c r="I25" s="23">
        <v>2.1</v>
      </c>
      <c r="J25" s="23">
        <v>4.0999999999999996</v>
      </c>
      <c r="K25" s="37">
        <v>3.1</v>
      </c>
      <c r="L25" s="37">
        <v>2.9</v>
      </c>
      <c r="M25" s="37"/>
      <c r="N25" s="38">
        <f t="shared" si="0"/>
        <v>3</v>
      </c>
      <c r="O25" s="15">
        <v>2.5</v>
      </c>
      <c r="P25" s="15">
        <v>2.5</v>
      </c>
      <c r="Q25" s="20">
        <f t="shared" si="1"/>
        <v>2.5</v>
      </c>
      <c r="R25" s="34">
        <v>2.835</v>
      </c>
      <c r="S25" s="34">
        <v>2.786</v>
      </c>
      <c r="T25" s="33">
        <f t="shared" si="2"/>
        <v>2.8109999999999999</v>
      </c>
      <c r="U25" s="34">
        <v>2.7879999999999998</v>
      </c>
      <c r="V25" s="34">
        <v>2.8119999999999998</v>
      </c>
      <c r="W25" s="33">
        <f t="shared" si="3"/>
        <v>2.8</v>
      </c>
      <c r="X25" s="17">
        <v>0.26600000000000001</v>
      </c>
      <c r="Y25" s="17">
        <v>0.26800000000000002</v>
      </c>
      <c r="Z25" s="21">
        <f t="shared" si="4"/>
        <v>0.26700000000000002</v>
      </c>
      <c r="AA25" s="30">
        <v>2.0179999999999998</v>
      </c>
      <c r="AB25" s="30">
        <v>2.0569999999999999</v>
      </c>
      <c r="AC25" s="31">
        <f t="shared" si="5"/>
        <v>2.0379999999999998</v>
      </c>
      <c r="AD25" s="19">
        <v>0.19600000000000001</v>
      </c>
      <c r="AE25" s="19">
        <v>0.191</v>
      </c>
      <c r="AF25" s="21">
        <f t="shared" si="6"/>
        <v>0.19400000000000001</v>
      </c>
      <c r="AG25" s="30">
        <v>0.152</v>
      </c>
      <c r="AH25" s="30">
        <v>0.161</v>
      </c>
      <c r="AI25" s="31">
        <f t="shared" si="7"/>
        <v>0.157</v>
      </c>
      <c r="AJ25" s="30">
        <v>0.15</v>
      </c>
      <c r="AK25" s="30">
        <v>0.159</v>
      </c>
      <c r="AL25" s="31">
        <f t="shared" si="8"/>
        <v>0.155</v>
      </c>
      <c r="AM25" s="19">
        <v>13.186</v>
      </c>
      <c r="AN25" s="19">
        <v>13.395</v>
      </c>
      <c r="AO25" s="21">
        <f t="shared" si="9"/>
        <v>13.291</v>
      </c>
      <c r="AP25" s="27">
        <v>5.9400000000000001E-2</v>
      </c>
      <c r="AQ25" s="27">
        <v>5.8500000000000003E-2</v>
      </c>
      <c r="AR25" s="26">
        <f t="shared" si="10"/>
        <v>5.8999999999999997E-2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17.8</v>
      </c>
      <c r="F26" s="23">
        <v>7.7</v>
      </c>
      <c r="G26" s="41">
        <v>207</v>
      </c>
      <c r="H26" s="23">
        <v>10.4</v>
      </c>
      <c r="I26" s="23">
        <v>2.4</v>
      </c>
      <c r="J26" s="23">
        <v>5.6</v>
      </c>
      <c r="K26" s="37">
        <v>4.0999999999999996</v>
      </c>
      <c r="L26" s="37">
        <v>3.9</v>
      </c>
      <c r="M26" s="37"/>
      <c r="N26" s="38">
        <f t="shared" si="0"/>
        <v>4</v>
      </c>
      <c r="O26" s="15">
        <v>3.6</v>
      </c>
      <c r="P26" s="15">
        <v>3.5</v>
      </c>
      <c r="Q26" s="20">
        <f t="shared" si="1"/>
        <v>3.6</v>
      </c>
      <c r="R26" s="34">
        <v>3.3570000000000002</v>
      </c>
      <c r="S26" s="34">
        <v>3.3450000000000002</v>
      </c>
      <c r="T26" s="33">
        <f t="shared" si="2"/>
        <v>3.351</v>
      </c>
      <c r="U26" s="34">
        <v>3.3250000000000002</v>
      </c>
      <c r="V26" s="34">
        <v>3.327</v>
      </c>
      <c r="W26" s="33">
        <f t="shared" si="3"/>
        <v>3.3260000000000001</v>
      </c>
      <c r="X26" s="17">
        <v>0.189</v>
      </c>
      <c r="Y26" s="17">
        <v>0.17699999999999999</v>
      </c>
      <c r="Z26" s="21">
        <f t="shared" si="4"/>
        <v>0.183</v>
      </c>
      <c r="AA26" s="30">
        <v>2.552</v>
      </c>
      <c r="AB26" s="30">
        <v>2.59</v>
      </c>
      <c r="AC26" s="31">
        <f t="shared" si="5"/>
        <v>2.5710000000000002</v>
      </c>
      <c r="AD26" s="19">
        <v>0.26800000000000002</v>
      </c>
      <c r="AE26" s="19">
        <v>0.26700000000000002</v>
      </c>
      <c r="AF26" s="21">
        <f t="shared" si="6"/>
        <v>0.26800000000000002</v>
      </c>
      <c r="AG26" s="30">
        <v>0.21299999999999999</v>
      </c>
      <c r="AH26" s="30">
        <v>0.217</v>
      </c>
      <c r="AI26" s="31">
        <f t="shared" si="7"/>
        <v>0.215</v>
      </c>
      <c r="AJ26" s="30">
        <v>0.21099999999999999</v>
      </c>
      <c r="AK26" s="30">
        <v>0.214</v>
      </c>
      <c r="AL26" s="31">
        <f t="shared" si="8"/>
        <v>0.21299999999999999</v>
      </c>
      <c r="AM26" s="19">
        <v>11.515000000000001</v>
      </c>
      <c r="AN26" s="19">
        <v>11.669</v>
      </c>
      <c r="AO26" s="21">
        <f t="shared" si="9"/>
        <v>11.592000000000001</v>
      </c>
      <c r="AP26" s="27">
        <v>9.0700000000000003E-2</v>
      </c>
      <c r="AQ26" s="27">
        <v>8.9499999999999996E-2</v>
      </c>
      <c r="AR26" s="26">
        <f t="shared" si="10"/>
        <v>9.01E-2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17.600000000000001</v>
      </c>
      <c r="F27" s="23">
        <v>7.6</v>
      </c>
      <c r="G27" s="41">
        <v>202</v>
      </c>
      <c r="H27" s="23">
        <v>9.6999999999999993</v>
      </c>
      <c r="I27" s="23">
        <v>0.6</v>
      </c>
      <c r="J27" s="23">
        <v>4.4000000000000004</v>
      </c>
      <c r="K27" s="37">
        <v>2.9</v>
      </c>
      <c r="L27" s="37">
        <v>3</v>
      </c>
      <c r="M27" s="37"/>
      <c r="N27" s="38">
        <f t="shared" si="0"/>
        <v>3</v>
      </c>
      <c r="O27" s="15">
        <v>2.5</v>
      </c>
      <c r="P27" s="15">
        <v>2.4</v>
      </c>
      <c r="Q27" s="20">
        <f t="shared" si="1"/>
        <v>2.5</v>
      </c>
      <c r="R27" s="34">
        <v>2.4620000000000002</v>
      </c>
      <c r="S27" s="34">
        <v>2.5299999999999998</v>
      </c>
      <c r="T27" s="33">
        <f t="shared" si="2"/>
        <v>2.496</v>
      </c>
      <c r="U27" s="34">
        <v>2.496</v>
      </c>
      <c r="V27" s="34">
        <v>2.4729999999999999</v>
      </c>
      <c r="W27" s="33">
        <f t="shared" si="3"/>
        <v>2.4849999999999999</v>
      </c>
      <c r="X27" s="17">
        <v>0.19900000000000001</v>
      </c>
      <c r="Y27" s="17">
        <v>0.19700000000000001</v>
      </c>
      <c r="Z27" s="21">
        <f t="shared" si="4"/>
        <v>0.19800000000000001</v>
      </c>
      <c r="AA27" s="30">
        <v>1.843</v>
      </c>
      <c r="AB27" s="30">
        <v>1.871</v>
      </c>
      <c r="AC27" s="31">
        <f t="shared" si="5"/>
        <v>1.857</v>
      </c>
      <c r="AD27" s="19">
        <v>0.128</v>
      </c>
      <c r="AE27" s="19">
        <v>0.13100000000000001</v>
      </c>
      <c r="AF27" s="21">
        <f t="shared" si="6"/>
        <v>0.13</v>
      </c>
      <c r="AG27" s="30">
        <v>9.7000000000000003E-2</v>
      </c>
      <c r="AH27" s="30">
        <v>9.2999999999999999E-2</v>
      </c>
      <c r="AI27" s="31">
        <f t="shared" si="7"/>
        <v>9.5000000000000001E-2</v>
      </c>
      <c r="AJ27" s="30">
        <v>8.7999999999999995E-2</v>
      </c>
      <c r="AK27" s="30">
        <v>8.8999999999999996E-2</v>
      </c>
      <c r="AL27" s="31">
        <f t="shared" si="8"/>
        <v>8.8999999999999996E-2</v>
      </c>
      <c r="AM27" s="19">
        <v>12.51</v>
      </c>
      <c r="AN27" s="19">
        <v>12.627000000000001</v>
      </c>
      <c r="AO27" s="21">
        <f t="shared" si="9"/>
        <v>12.569000000000001</v>
      </c>
      <c r="AP27" s="27">
        <v>5.8799999999999998E-2</v>
      </c>
      <c r="AQ27" s="27">
        <v>5.74E-2</v>
      </c>
      <c r="AR27" s="26">
        <f t="shared" si="10"/>
        <v>5.8099999999999999E-2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17.100000000000001</v>
      </c>
      <c r="F28" s="23">
        <v>7.9</v>
      </c>
      <c r="G28" s="41">
        <v>156</v>
      </c>
      <c r="H28" s="23">
        <v>9.1999999999999993</v>
      </c>
      <c r="I28" s="23">
        <v>0.9</v>
      </c>
      <c r="J28" s="23">
        <v>4.5</v>
      </c>
      <c r="K28" s="37">
        <v>3</v>
      </c>
      <c r="L28" s="37">
        <v>2.9</v>
      </c>
      <c r="M28" s="37"/>
      <c r="N28" s="38">
        <f t="shared" si="0"/>
        <v>3</v>
      </c>
      <c r="O28" s="15">
        <v>2.8</v>
      </c>
      <c r="P28" s="15">
        <v>2.7</v>
      </c>
      <c r="Q28" s="20">
        <f t="shared" si="1"/>
        <v>2.8</v>
      </c>
      <c r="R28" s="34">
        <v>1.4079999999999999</v>
      </c>
      <c r="S28" s="34">
        <v>1.357</v>
      </c>
      <c r="T28" s="33">
        <f t="shared" si="2"/>
        <v>1.383</v>
      </c>
      <c r="U28" s="34">
        <v>1.343</v>
      </c>
      <c r="V28" s="34">
        <v>1.2929999999999999</v>
      </c>
      <c r="W28" s="33">
        <f t="shared" si="3"/>
        <v>1.3180000000000001</v>
      </c>
      <c r="X28" s="17">
        <v>2.1999999999999999E-2</v>
      </c>
      <c r="Y28" s="17">
        <v>2.1999999999999999E-2</v>
      </c>
      <c r="Z28" s="21">
        <f t="shared" si="4"/>
        <v>2.1999999999999999E-2</v>
      </c>
      <c r="AA28" s="30">
        <v>0.99099999999999999</v>
      </c>
      <c r="AB28" s="30">
        <v>1.0069999999999999</v>
      </c>
      <c r="AC28" s="31">
        <f t="shared" si="5"/>
        <v>0.999</v>
      </c>
      <c r="AD28" s="19">
        <v>5.8999999999999997E-2</v>
      </c>
      <c r="AE28" s="19">
        <v>5.5E-2</v>
      </c>
      <c r="AF28" s="21">
        <f t="shared" si="6"/>
        <v>5.7000000000000002E-2</v>
      </c>
      <c r="AG28" s="30">
        <v>3.4000000000000002E-2</v>
      </c>
      <c r="AH28" s="30">
        <v>3.5000000000000003E-2</v>
      </c>
      <c r="AI28" s="31">
        <f t="shared" si="7"/>
        <v>3.5000000000000003E-2</v>
      </c>
      <c r="AJ28" s="30">
        <v>2.4E-2</v>
      </c>
      <c r="AK28" s="30">
        <v>2.3E-2</v>
      </c>
      <c r="AL28" s="31">
        <f t="shared" si="8"/>
        <v>2.4E-2</v>
      </c>
      <c r="AM28" s="19">
        <v>9.7789999999999999</v>
      </c>
      <c r="AN28" s="19">
        <v>9.8710000000000004</v>
      </c>
      <c r="AO28" s="21">
        <f t="shared" si="9"/>
        <v>9.8249999999999993</v>
      </c>
      <c r="AP28" s="27">
        <v>6.6400000000000001E-2</v>
      </c>
      <c r="AQ28" s="27">
        <v>6.5199999999999994E-2</v>
      </c>
      <c r="AR28" s="26">
        <f t="shared" si="10"/>
        <v>6.5799999999999997E-2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16.3</v>
      </c>
      <c r="F29" s="23">
        <v>7.5</v>
      </c>
      <c r="G29" s="41">
        <v>225</v>
      </c>
      <c r="H29" s="23">
        <v>12.4</v>
      </c>
      <c r="I29" s="23">
        <v>0.9</v>
      </c>
      <c r="J29" s="23">
        <v>7.1</v>
      </c>
      <c r="K29" s="37">
        <v>4.5999999999999996</v>
      </c>
      <c r="L29" s="37">
        <v>4.9000000000000004</v>
      </c>
      <c r="M29" s="37"/>
      <c r="N29" s="38">
        <f t="shared" si="0"/>
        <v>4.8</v>
      </c>
      <c r="O29" s="15">
        <v>4.7</v>
      </c>
      <c r="P29" s="15">
        <v>4.7</v>
      </c>
      <c r="Q29" s="20">
        <f t="shared" si="1"/>
        <v>4.7</v>
      </c>
      <c r="R29" s="34">
        <v>4.97</v>
      </c>
      <c r="S29" s="34">
        <v>4.8730000000000002</v>
      </c>
      <c r="T29" s="33">
        <f t="shared" si="2"/>
        <v>4.9219999999999997</v>
      </c>
      <c r="U29" s="34">
        <v>4.8090000000000002</v>
      </c>
      <c r="V29" s="34">
        <v>4.8099999999999996</v>
      </c>
      <c r="W29" s="33">
        <f t="shared" si="3"/>
        <v>4.8099999999999996</v>
      </c>
      <c r="X29" s="17">
        <v>5.7000000000000002E-2</v>
      </c>
      <c r="Y29" s="17">
        <v>5.6000000000000001E-2</v>
      </c>
      <c r="Z29" s="21">
        <f t="shared" si="4"/>
        <v>5.7000000000000002E-2</v>
      </c>
      <c r="AA29" s="30">
        <v>4.2229999999999999</v>
      </c>
      <c r="AB29" s="30">
        <v>4.2389999999999999</v>
      </c>
      <c r="AC29" s="31">
        <f t="shared" si="5"/>
        <v>4.2309999999999999</v>
      </c>
      <c r="AD29" s="19">
        <v>2.157</v>
      </c>
      <c r="AE29" s="19">
        <v>2.1019999999999999</v>
      </c>
      <c r="AF29" s="21">
        <f t="shared" si="6"/>
        <v>2.13</v>
      </c>
      <c r="AG29" s="30">
        <v>2.1120000000000001</v>
      </c>
      <c r="AH29" s="30">
        <v>2.0470000000000002</v>
      </c>
      <c r="AI29" s="31">
        <f t="shared" si="7"/>
        <v>2.08</v>
      </c>
      <c r="AJ29" s="30">
        <v>2.0739999999999998</v>
      </c>
      <c r="AK29" s="30">
        <v>2.028</v>
      </c>
      <c r="AL29" s="31">
        <f t="shared" si="8"/>
        <v>2.0510000000000002</v>
      </c>
      <c r="AM29" s="19">
        <v>10.318</v>
      </c>
      <c r="AN29" s="19">
        <v>10.388</v>
      </c>
      <c r="AO29" s="21">
        <f t="shared" si="9"/>
        <v>10.353</v>
      </c>
      <c r="AP29" s="27">
        <v>0.1114</v>
      </c>
      <c r="AQ29" s="27">
        <v>0.1104</v>
      </c>
      <c r="AR29" s="26">
        <f t="shared" si="10"/>
        <v>0.1109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16.8</v>
      </c>
      <c r="F30" s="23">
        <v>8.4</v>
      </c>
      <c r="G30" s="41">
        <v>268</v>
      </c>
      <c r="H30" s="23">
        <v>10.4</v>
      </c>
      <c r="I30" s="23">
        <v>1</v>
      </c>
      <c r="J30" s="23">
        <v>3.9</v>
      </c>
      <c r="K30" s="37">
        <v>2.6</v>
      </c>
      <c r="L30" s="37">
        <v>2.7</v>
      </c>
      <c r="M30" s="37"/>
      <c r="N30" s="38">
        <f t="shared" si="0"/>
        <v>2.7</v>
      </c>
      <c r="O30" s="15">
        <v>2.6</v>
      </c>
      <c r="P30" s="15">
        <v>2.5</v>
      </c>
      <c r="Q30" s="20">
        <f t="shared" si="1"/>
        <v>2.6</v>
      </c>
      <c r="R30" s="34">
        <v>3.508</v>
      </c>
      <c r="S30" s="34">
        <v>3.496</v>
      </c>
      <c r="T30" s="33">
        <f t="shared" si="2"/>
        <v>3.5019999999999998</v>
      </c>
      <c r="U30" s="34">
        <v>3.4940000000000002</v>
      </c>
      <c r="V30" s="34">
        <v>3.4990000000000001</v>
      </c>
      <c r="W30" s="33">
        <f t="shared" si="3"/>
        <v>3.4969999999999999</v>
      </c>
      <c r="X30" s="17">
        <v>3.5999999999999997E-2</v>
      </c>
      <c r="Y30" s="17">
        <v>3.5999999999999997E-2</v>
      </c>
      <c r="Z30" s="21">
        <f t="shared" si="4"/>
        <v>3.5999999999999997E-2</v>
      </c>
      <c r="AA30" s="30">
        <v>3.0750000000000002</v>
      </c>
      <c r="AB30" s="30">
        <v>3.089</v>
      </c>
      <c r="AC30" s="31">
        <f t="shared" si="5"/>
        <v>3.0819999999999999</v>
      </c>
      <c r="AD30" s="19">
        <v>5.1999999999999998E-2</v>
      </c>
      <c r="AE30" s="19">
        <v>5.1999999999999998E-2</v>
      </c>
      <c r="AF30" s="21">
        <f t="shared" si="6"/>
        <v>5.1999999999999998E-2</v>
      </c>
      <c r="AG30" s="30">
        <v>3.2000000000000001E-2</v>
      </c>
      <c r="AH30" s="30">
        <v>2.8000000000000001E-2</v>
      </c>
      <c r="AI30" s="31">
        <f t="shared" si="7"/>
        <v>0.03</v>
      </c>
      <c r="AJ30" s="30">
        <v>1.9E-2</v>
      </c>
      <c r="AK30" s="30">
        <v>1.7999999999999999E-2</v>
      </c>
      <c r="AL30" s="31">
        <f t="shared" si="8"/>
        <v>1.9E-2</v>
      </c>
      <c r="AM30" s="19">
        <v>16.736999999999998</v>
      </c>
      <c r="AN30" s="19">
        <v>16.808</v>
      </c>
      <c r="AO30" s="21">
        <f t="shared" si="9"/>
        <v>16.773</v>
      </c>
      <c r="AP30" s="27">
        <v>5.7700000000000001E-2</v>
      </c>
      <c r="AQ30" s="27">
        <v>5.7099999999999998E-2</v>
      </c>
      <c r="AR30" s="26">
        <f t="shared" si="10"/>
        <v>5.74E-2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18.100000000000001</v>
      </c>
      <c r="F31" s="23">
        <v>8.6999999999999993</v>
      </c>
      <c r="G31" s="41">
        <v>164</v>
      </c>
      <c r="H31" s="23">
        <v>11.9</v>
      </c>
      <c r="I31" s="23">
        <v>3.7</v>
      </c>
      <c r="J31" s="23">
        <v>6.1</v>
      </c>
      <c r="K31" s="37">
        <v>3.9</v>
      </c>
      <c r="L31" s="37">
        <v>4.0999999999999996</v>
      </c>
      <c r="M31" s="37">
        <v>4</v>
      </c>
      <c r="N31" s="38">
        <f t="shared" si="0"/>
        <v>4</v>
      </c>
      <c r="O31" s="15">
        <v>2.6</v>
      </c>
      <c r="P31" s="15">
        <v>2.5</v>
      </c>
      <c r="Q31" s="20">
        <f t="shared" si="1"/>
        <v>2.6</v>
      </c>
      <c r="R31" s="34">
        <v>1.66</v>
      </c>
      <c r="S31" s="34">
        <v>1.663</v>
      </c>
      <c r="T31" s="33">
        <f t="shared" si="2"/>
        <v>1.6619999999999999</v>
      </c>
      <c r="U31" s="34">
        <v>1.5389999999999999</v>
      </c>
      <c r="V31" s="34">
        <v>1.5409999999999999</v>
      </c>
      <c r="W31" s="33">
        <f t="shared" si="3"/>
        <v>1.54</v>
      </c>
      <c r="X31" s="17">
        <v>4.3999999999999997E-2</v>
      </c>
      <c r="Y31" s="17">
        <v>3.5999999999999997E-2</v>
      </c>
      <c r="Z31" s="21">
        <f t="shared" si="4"/>
        <v>0.04</v>
      </c>
      <c r="AA31" s="30">
        <v>1.157</v>
      </c>
      <c r="AB31" s="30">
        <v>1.169</v>
      </c>
      <c r="AC31" s="31">
        <f t="shared" si="5"/>
        <v>1.163</v>
      </c>
      <c r="AD31" s="19">
        <v>7.2999999999999995E-2</v>
      </c>
      <c r="AE31" s="19">
        <v>7.4999999999999997E-2</v>
      </c>
      <c r="AF31" s="21">
        <f t="shared" si="6"/>
        <v>7.3999999999999996E-2</v>
      </c>
      <c r="AG31" s="30">
        <v>2.4E-2</v>
      </c>
      <c r="AH31" s="30">
        <v>2.3E-2</v>
      </c>
      <c r="AI31" s="31">
        <f t="shared" si="7"/>
        <v>2.4E-2</v>
      </c>
      <c r="AJ31" s="30">
        <v>1.0999999999999999E-2</v>
      </c>
      <c r="AK31" s="30">
        <v>8.9999999999999993E-3</v>
      </c>
      <c r="AL31" s="31">
        <f t="shared" si="8"/>
        <v>0.01</v>
      </c>
      <c r="AM31" s="19">
        <v>10.867000000000001</v>
      </c>
      <c r="AN31" s="19">
        <v>10.92</v>
      </c>
      <c r="AO31" s="21">
        <f t="shared" si="9"/>
        <v>10.894</v>
      </c>
      <c r="AP31" s="27">
        <v>6.0600000000000001E-2</v>
      </c>
      <c r="AQ31" s="27">
        <v>5.96E-2</v>
      </c>
      <c r="AR31" s="26">
        <f t="shared" si="10"/>
        <v>6.0100000000000001E-2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13.9</v>
      </c>
      <c r="F32" s="23">
        <v>5.6</v>
      </c>
      <c r="G32" s="41">
        <v>179</v>
      </c>
      <c r="H32" s="23">
        <v>6.4</v>
      </c>
      <c r="I32" s="23">
        <v>0.4</v>
      </c>
      <c r="J32" s="23">
        <v>2.2000000000000002</v>
      </c>
      <c r="K32" s="37">
        <v>1.5</v>
      </c>
      <c r="L32" s="37">
        <v>1.5</v>
      </c>
      <c r="M32" s="37"/>
      <c r="N32" s="38">
        <f t="shared" si="0"/>
        <v>1.5</v>
      </c>
      <c r="O32" s="15">
        <v>1.4</v>
      </c>
      <c r="P32" s="15">
        <v>1.3</v>
      </c>
      <c r="Q32" s="20">
        <f t="shared" si="1"/>
        <v>1.4</v>
      </c>
      <c r="R32" s="34">
        <v>2.1379999999999999</v>
      </c>
      <c r="S32" s="34">
        <v>2.0379999999999998</v>
      </c>
      <c r="T32" s="33">
        <f t="shared" si="2"/>
        <v>2.0880000000000001</v>
      </c>
      <c r="U32" s="34">
        <v>2.0830000000000002</v>
      </c>
      <c r="V32" s="34">
        <v>2.0840000000000001</v>
      </c>
      <c r="W32" s="33">
        <f t="shared" si="3"/>
        <v>2.0840000000000001</v>
      </c>
      <c r="X32" s="17">
        <v>1.7000000000000001E-2</v>
      </c>
      <c r="Y32" s="17">
        <v>1.7999999999999999E-2</v>
      </c>
      <c r="Z32" s="21">
        <f t="shared" si="4"/>
        <v>1.7999999999999999E-2</v>
      </c>
      <c r="AA32" s="30">
        <v>1.847</v>
      </c>
      <c r="AB32" s="30">
        <v>1.863</v>
      </c>
      <c r="AC32" s="31">
        <f t="shared" si="5"/>
        <v>1.855</v>
      </c>
      <c r="AD32" s="19">
        <v>3.2000000000000001E-2</v>
      </c>
      <c r="AE32" s="19">
        <v>0.03</v>
      </c>
      <c r="AF32" s="21">
        <f t="shared" si="6"/>
        <v>3.1E-2</v>
      </c>
      <c r="AG32" s="30">
        <v>1.7000000000000001E-2</v>
      </c>
      <c r="AH32" s="30">
        <v>1.7000000000000001E-2</v>
      </c>
      <c r="AI32" s="31">
        <f t="shared" si="7"/>
        <v>1.7000000000000001E-2</v>
      </c>
      <c r="AJ32" s="30">
        <v>1.4E-2</v>
      </c>
      <c r="AK32" s="30">
        <v>1.4999999999999999E-2</v>
      </c>
      <c r="AL32" s="31">
        <f t="shared" si="8"/>
        <v>1.4999999999999999E-2</v>
      </c>
      <c r="AM32" s="19">
        <v>10.635</v>
      </c>
      <c r="AN32" s="19">
        <v>10.702</v>
      </c>
      <c r="AO32" s="21">
        <f t="shared" si="9"/>
        <v>10.669</v>
      </c>
      <c r="AP32" s="27">
        <v>3.2800000000000003E-2</v>
      </c>
      <c r="AQ32" s="27">
        <v>3.2300000000000002E-2</v>
      </c>
      <c r="AR32" s="26">
        <f t="shared" si="10"/>
        <v>3.2599999999999997E-2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17.899999999999999</v>
      </c>
      <c r="F33" s="23">
        <v>6.5</v>
      </c>
      <c r="G33" s="41">
        <v>200</v>
      </c>
      <c r="H33" s="23">
        <v>8.6</v>
      </c>
      <c r="I33" s="23">
        <v>1.2</v>
      </c>
      <c r="J33" s="23">
        <v>3.7</v>
      </c>
      <c r="K33" s="37">
        <v>2.5</v>
      </c>
      <c r="L33" s="37">
        <v>2.5</v>
      </c>
      <c r="M33" s="37"/>
      <c r="N33" s="38">
        <f t="shared" si="0"/>
        <v>2.5</v>
      </c>
      <c r="O33" s="15">
        <v>2.2999999999999998</v>
      </c>
      <c r="P33" s="15">
        <v>2.2000000000000002</v>
      </c>
      <c r="Q33" s="20">
        <f t="shared" si="1"/>
        <v>2.2999999999999998</v>
      </c>
      <c r="R33" s="34">
        <v>2.218</v>
      </c>
      <c r="S33" s="34">
        <v>2.2130000000000001</v>
      </c>
      <c r="T33" s="33">
        <f t="shared" si="2"/>
        <v>2.2160000000000002</v>
      </c>
      <c r="U33" s="34">
        <v>2.2080000000000002</v>
      </c>
      <c r="V33" s="34">
        <v>2.1789999999999998</v>
      </c>
      <c r="W33" s="33">
        <f t="shared" si="3"/>
        <v>2.194</v>
      </c>
      <c r="X33" s="17">
        <v>2.7E-2</v>
      </c>
      <c r="Y33" s="17">
        <v>0.03</v>
      </c>
      <c r="Z33" s="21">
        <f t="shared" si="4"/>
        <v>2.9000000000000001E-2</v>
      </c>
      <c r="AA33" s="30">
        <v>1.78</v>
      </c>
      <c r="AB33" s="30">
        <v>1.8169999999999999</v>
      </c>
      <c r="AC33" s="31">
        <f t="shared" si="5"/>
        <v>1.7989999999999999</v>
      </c>
      <c r="AD33" s="19">
        <v>8.6999999999999994E-2</v>
      </c>
      <c r="AE33" s="19">
        <v>8.5999999999999993E-2</v>
      </c>
      <c r="AF33" s="21">
        <f t="shared" si="6"/>
        <v>8.6999999999999994E-2</v>
      </c>
      <c r="AG33" s="30">
        <v>5.6000000000000001E-2</v>
      </c>
      <c r="AH33" s="30">
        <v>5.6000000000000001E-2</v>
      </c>
      <c r="AI33" s="31">
        <f t="shared" si="7"/>
        <v>5.6000000000000001E-2</v>
      </c>
      <c r="AJ33" s="30">
        <v>5.0999999999999997E-2</v>
      </c>
      <c r="AK33" s="30">
        <v>5.2999999999999999E-2</v>
      </c>
      <c r="AL33" s="31">
        <f t="shared" si="8"/>
        <v>5.1999999999999998E-2</v>
      </c>
      <c r="AM33" s="19">
        <v>12.417</v>
      </c>
      <c r="AN33" s="19">
        <v>12.622999999999999</v>
      </c>
      <c r="AO33" s="21">
        <f t="shared" si="9"/>
        <v>12.52</v>
      </c>
      <c r="AP33" s="27">
        <v>5.6000000000000001E-2</v>
      </c>
      <c r="AQ33" s="27">
        <v>5.5100000000000003E-2</v>
      </c>
      <c r="AR33" s="26">
        <f t="shared" si="10"/>
        <v>5.5599999999999997E-2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17.399999999999999</v>
      </c>
      <c r="F34" s="23">
        <v>5.9</v>
      </c>
      <c r="G34" s="41">
        <v>234</v>
      </c>
      <c r="H34" s="23">
        <v>6.2</v>
      </c>
      <c r="I34" s="23">
        <v>4.0999999999999996</v>
      </c>
      <c r="J34" s="23">
        <v>8.6999999999999993</v>
      </c>
      <c r="K34" s="37">
        <v>7.4</v>
      </c>
      <c r="L34" s="37">
        <v>7.4</v>
      </c>
      <c r="M34" s="37"/>
      <c r="N34" s="38">
        <f t="shared" si="0"/>
        <v>7.4</v>
      </c>
      <c r="O34" s="15">
        <v>6.2</v>
      </c>
      <c r="P34" s="15">
        <v>6</v>
      </c>
      <c r="Q34" s="20">
        <f t="shared" si="1"/>
        <v>6.1</v>
      </c>
      <c r="R34" s="34">
        <v>4.2649999999999997</v>
      </c>
      <c r="S34" s="34">
        <v>4.1680000000000001</v>
      </c>
      <c r="T34" s="33">
        <f t="shared" si="2"/>
        <v>4.2169999999999996</v>
      </c>
      <c r="U34" s="34">
        <v>4.2110000000000003</v>
      </c>
      <c r="V34" s="34">
        <v>4.2130000000000001</v>
      </c>
      <c r="W34" s="33">
        <f t="shared" si="3"/>
        <v>4.2119999999999997</v>
      </c>
      <c r="X34" s="17">
        <v>0.63300000000000001</v>
      </c>
      <c r="Y34" s="17">
        <v>0.64400000000000002</v>
      </c>
      <c r="Z34" s="21">
        <f t="shared" si="4"/>
        <v>0.63900000000000001</v>
      </c>
      <c r="AA34" s="30">
        <v>2.7109999999999999</v>
      </c>
      <c r="AB34" s="30">
        <v>2.7349999999999999</v>
      </c>
      <c r="AC34" s="31">
        <f t="shared" si="5"/>
        <v>2.7229999999999999</v>
      </c>
      <c r="AD34" s="19">
        <v>0.31</v>
      </c>
      <c r="AE34" s="19">
        <v>0.29899999999999999</v>
      </c>
      <c r="AF34" s="21">
        <f t="shared" si="6"/>
        <v>0.30499999999999999</v>
      </c>
      <c r="AG34" s="30">
        <v>0.222</v>
      </c>
      <c r="AH34" s="30">
        <v>0.22</v>
      </c>
      <c r="AI34" s="31">
        <f t="shared" si="7"/>
        <v>0.221</v>
      </c>
      <c r="AJ34" s="30">
        <v>0.20499999999999999</v>
      </c>
      <c r="AK34" s="30">
        <v>0.20599999999999999</v>
      </c>
      <c r="AL34" s="31">
        <f t="shared" si="8"/>
        <v>0.20599999999999999</v>
      </c>
      <c r="AM34" s="19">
        <v>17.262</v>
      </c>
      <c r="AN34" s="19">
        <v>17.417999999999999</v>
      </c>
      <c r="AO34" s="21">
        <f t="shared" si="9"/>
        <v>17.34</v>
      </c>
      <c r="AP34" s="27">
        <v>0.15060000000000001</v>
      </c>
      <c r="AQ34" s="27">
        <v>0.14940000000000001</v>
      </c>
      <c r="AR34" s="26">
        <f t="shared" si="10"/>
        <v>0.15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17.7</v>
      </c>
      <c r="F35" s="23">
        <v>6.4</v>
      </c>
      <c r="G35" s="41">
        <v>298</v>
      </c>
      <c r="H35" s="23">
        <v>8.5</v>
      </c>
      <c r="I35" s="23">
        <v>2.6</v>
      </c>
      <c r="J35" s="23">
        <v>5.4</v>
      </c>
      <c r="K35" s="37">
        <v>3.9</v>
      </c>
      <c r="L35" s="37">
        <v>4</v>
      </c>
      <c r="M35" s="37"/>
      <c r="N35" s="38">
        <f t="shared" si="0"/>
        <v>4</v>
      </c>
      <c r="O35" s="15">
        <v>3.4</v>
      </c>
      <c r="P35" s="15">
        <v>3.4</v>
      </c>
      <c r="Q35" s="20">
        <f t="shared" si="1"/>
        <v>3.4</v>
      </c>
      <c r="R35" s="34">
        <v>3.2919999999999998</v>
      </c>
      <c r="S35" s="34">
        <v>3.2250000000000001</v>
      </c>
      <c r="T35" s="33">
        <f t="shared" si="2"/>
        <v>3.2589999999999999</v>
      </c>
      <c r="U35" s="34">
        <v>3.246</v>
      </c>
      <c r="V35" s="34">
        <v>3.2679999999999998</v>
      </c>
      <c r="W35" s="33">
        <f t="shared" si="3"/>
        <v>3.2570000000000001</v>
      </c>
      <c r="X35" s="17">
        <v>0.48</v>
      </c>
      <c r="Y35" s="17">
        <v>0.48199999999999998</v>
      </c>
      <c r="Z35" s="21">
        <f t="shared" si="4"/>
        <v>0.48099999999999998</v>
      </c>
      <c r="AA35" s="30">
        <v>2.0760000000000001</v>
      </c>
      <c r="AB35" s="30">
        <v>2.0920000000000001</v>
      </c>
      <c r="AC35" s="31">
        <f t="shared" si="5"/>
        <v>2.0840000000000001</v>
      </c>
      <c r="AD35" s="19">
        <v>0.14799999999999999</v>
      </c>
      <c r="AE35" s="19">
        <v>0.14699999999999999</v>
      </c>
      <c r="AF35" s="21">
        <f t="shared" si="6"/>
        <v>0.14799999999999999</v>
      </c>
      <c r="AG35" s="30">
        <v>9.1999999999999998E-2</v>
      </c>
      <c r="AH35" s="30">
        <v>9.1999999999999998E-2</v>
      </c>
      <c r="AI35" s="31">
        <f t="shared" si="7"/>
        <v>9.1999999999999998E-2</v>
      </c>
      <c r="AJ35" s="30">
        <v>8.3000000000000004E-2</v>
      </c>
      <c r="AK35" s="30">
        <v>8.4000000000000005E-2</v>
      </c>
      <c r="AL35" s="31">
        <f t="shared" si="8"/>
        <v>8.4000000000000005E-2</v>
      </c>
      <c r="AM35" s="19">
        <v>32.576000000000001</v>
      </c>
      <c r="AN35" s="19">
        <v>32.631</v>
      </c>
      <c r="AO35" s="21">
        <f t="shared" si="9"/>
        <v>32.603999999999999</v>
      </c>
      <c r="AP35" s="27">
        <v>7.9699999999999993E-2</v>
      </c>
      <c r="AQ35" s="27">
        <v>8.0199999999999994E-2</v>
      </c>
      <c r="AR35" s="26">
        <f t="shared" si="10"/>
        <v>0.08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18.399999999999999</v>
      </c>
      <c r="F36" s="23">
        <v>6.7</v>
      </c>
      <c r="G36" s="41">
        <v>199</v>
      </c>
      <c r="H36" s="23">
        <v>8.9</v>
      </c>
      <c r="I36" s="23">
        <v>1</v>
      </c>
      <c r="J36" s="23">
        <v>3.8</v>
      </c>
      <c r="K36" s="37">
        <v>2.7</v>
      </c>
      <c r="L36" s="37">
        <v>2.5</v>
      </c>
      <c r="M36" s="37"/>
      <c r="N36" s="38">
        <f t="shared" si="0"/>
        <v>2.6</v>
      </c>
      <c r="O36" s="15">
        <v>2.2999999999999998</v>
      </c>
      <c r="P36" s="15">
        <v>2.2999999999999998</v>
      </c>
      <c r="Q36" s="20">
        <f t="shared" si="1"/>
        <v>2.2999999999999998</v>
      </c>
      <c r="R36" s="34">
        <v>2.2080000000000002</v>
      </c>
      <c r="S36" s="34">
        <v>2.16</v>
      </c>
      <c r="T36" s="33">
        <f t="shared" si="2"/>
        <v>2.1840000000000002</v>
      </c>
      <c r="U36" s="34">
        <v>2.1800000000000002</v>
      </c>
      <c r="V36" s="34">
        <v>2.1760000000000002</v>
      </c>
      <c r="W36" s="33">
        <f t="shared" si="3"/>
        <v>2.1779999999999999</v>
      </c>
      <c r="X36" s="17">
        <v>2.5000000000000001E-2</v>
      </c>
      <c r="Y36" s="17">
        <v>2.5999999999999999E-2</v>
      </c>
      <c r="Z36" s="21">
        <f t="shared" si="4"/>
        <v>2.5999999999999999E-2</v>
      </c>
      <c r="AA36" s="30">
        <v>1.74</v>
      </c>
      <c r="AB36" s="30">
        <v>1.7529999999999999</v>
      </c>
      <c r="AC36" s="31">
        <f t="shared" si="5"/>
        <v>1.7470000000000001</v>
      </c>
      <c r="AD36" s="19">
        <v>8.4000000000000005E-2</v>
      </c>
      <c r="AE36" s="19">
        <v>8.2000000000000003E-2</v>
      </c>
      <c r="AF36" s="21">
        <f t="shared" si="6"/>
        <v>8.3000000000000004E-2</v>
      </c>
      <c r="AG36" s="30">
        <v>4.9000000000000002E-2</v>
      </c>
      <c r="AH36" s="30">
        <v>4.8000000000000001E-2</v>
      </c>
      <c r="AI36" s="31">
        <f t="shared" si="7"/>
        <v>4.9000000000000002E-2</v>
      </c>
      <c r="AJ36" s="30">
        <v>3.7999999999999999E-2</v>
      </c>
      <c r="AK36" s="30">
        <v>3.7999999999999999E-2</v>
      </c>
      <c r="AL36" s="31">
        <f t="shared" si="8"/>
        <v>3.7999999999999999E-2</v>
      </c>
      <c r="AM36" s="19">
        <v>12.752000000000001</v>
      </c>
      <c r="AN36" s="19">
        <v>12.815</v>
      </c>
      <c r="AO36" s="21">
        <f t="shared" si="9"/>
        <v>12.784000000000001</v>
      </c>
      <c r="AP36" s="27">
        <v>5.6399999999999999E-2</v>
      </c>
      <c r="AQ36" s="27">
        <v>5.5800000000000002E-2</v>
      </c>
      <c r="AR36" s="26">
        <f t="shared" si="10"/>
        <v>5.6099999999999997E-2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19.899999999999999</v>
      </c>
      <c r="F37" s="23">
        <v>6.9</v>
      </c>
      <c r="G37" s="41">
        <v>340</v>
      </c>
      <c r="H37" s="23">
        <v>9.4</v>
      </c>
      <c r="I37" s="23">
        <v>2.4</v>
      </c>
      <c r="J37" s="23">
        <v>8</v>
      </c>
      <c r="K37" s="37">
        <v>6.1</v>
      </c>
      <c r="L37" s="37">
        <v>6.1</v>
      </c>
      <c r="M37" s="37"/>
      <c r="N37" s="38">
        <f t="shared" si="0"/>
        <v>6.1</v>
      </c>
      <c r="O37" s="15">
        <v>5.4</v>
      </c>
      <c r="P37" s="15">
        <v>5.3</v>
      </c>
      <c r="Q37" s="20">
        <f t="shared" si="1"/>
        <v>5.4</v>
      </c>
      <c r="R37" s="34">
        <v>4.7569999999999997</v>
      </c>
      <c r="S37" s="34">
        <v>4.7130000000000001</v>
      </c>
      <c r="T37" s="33">
        <f t="shared" si="2"/>
        <v>4.7350000000000003</v>
      </c>
      <c r="U37" s="34">
        <v>4.7169999999999996</v>
      </c>
      <c r="V37" s="34">
        <v>4.7279999999999998</v>
      </c>
      <c r="W37" s="33">
        <f t="shared" si="3"/>
        <v>4.7229999999999999</v>
      </c>
      <c r="X37" s="17">
        <v>0.15</v>
      </c>
      <c r="Y37" s="17">
        <v>0.153</v>
      </c>
      <c r="Z37" s="21">
        <f t="shared" si="4"/>
        <v>0.152</v>
      </c>
      <c r="AA37" s="30">
        <v>3.673</v>
      </c>
      <c r="AB37" s="30">
        <v>3.698</v>
      </c>
      <c r="AC37" s="31">
        <f t="shared" si="5"/>
        <v>3.6859999999999999</v>
      </c>
      <c r="AD37" s="19">
        <v>0.23599999999999999</v>
      </c>
      <c r="AE37" s="19">
        <v>0.23599999999999999</v>
      </c>
      <c r="AF37" s="21">
        <f t="shared" si="6"/>
        <v>0.23599999999999999</v>
      </c>
      <c r="AG37" s="30">
        <v>0.14099999999999999</v>
      </c>
      <c r="AH37" s="30">
        <v>0.14099999999999999</v>
      </c>
      <c r="AI37" s="31">
        <f t="shared" si="7"/>
        <v>0.14099999999999999</v>
      </c>
      <c r="AJ37" s="30">
        <v>0.127</v>
      </c>
      <c r="AK37" s="30">
        <v>0.127</v>
      </c>
      <c r="AL37" s="31">
        <f t="shared" si="8"/>
        <v>0.127</v>
      </c>
      <c r="AM37" s="19">
        <v>25.785</v>
      </c>
      <c r="AN37" s="19">
        <v>26.004000000000001</v>
      </c>
      <c r="AO37" s="21">
        <f t="shared" si="9"/>
        <v>25.895</v>
      </c>
      <c r="AP37" s="27">
        <v>0.1318</v>
      </c>
      <c r="AQ37" s="27">
        <v>0.13009999999999999</v>
      </c>
      <c r="AR37" s="26">
        <f t="shared" si="10"/>
        <v>0.13100000000000001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20.100000000000001</v>
      </c>
      <c r="F38" s="23">
        <v>7.7</v>
      </c>
      <c r="G38" s="41">
        <v>210</v>
      </c>
      <c r="H38" s="23">
        <v>10.3</v>
      </c>
      <c r="I38" s="23">
        <v>1.6</v>
      </c>
      <c r="J38" s="23">
        <v>4.2</v>
      </c>
      <c r="K38" s="37">
        <v>3</v>
      </c>
      <c r="L38" s="37">
        <v>2.9</v>
      </c>
      <c r="M38" s="37"/>
      <c r="N38" s="38">
        <f t="shared" si="0"/>
        <v>3</v>
      </c>
      <c r="O38" s="15">
        <v>2.5</v>
      </c>
      <c r="P38" s="15">
        <v>2.4</v>
      </c>
      <c r="Q38" s="20">
        <f t="shared" si="1"/>
        <v>2.5</v>
      </c>
      <c r="R38" s="34">
        <v>2.4420000000000002</v>
      </c>
      <c r="S38" s="34">
        <v>2.4020000000000001</v>
      </c>
      <c r="T38" s="33">
        <f t="shared" si="2"/>
        <v>2.4220000000000002</v>
      </c>
      <c r="U38" s="34">
        <v>2.4140000000000001</v>
      </c>
      <c r="V38" s="34">
        <v>2.4060000000000001</v>
      </c>
      <c r="W38" s="33">
        <f t="shared" si="3"/>
        <v>2.41</v>
      </c>
      <c r="X38" s="17">
        <v>2.5999999999999999E-2</v>
      </c>
      <c r="Y38" s="17">
        <v>2.7E-2</v>
      </c>
      <c r="Z38" s="21">
        <f t="shared" si="4"/>
        <v>2.7E-2</v>
      </c>
      <c r="AA38" s="30">
        <v>1.9470000000000001</v>
      </c>
      <c r="AB38" s="30">
        <v>1.9910000000000001</v>
      </c>
      <c r="AC38" s="31">
        <f t="shared" si="5"/>
        <v>1.9690000000000001</v>
      </c>
      <c r="AD38" s="19">
        <v>9.5000000000000001E-2</v>
      </c>
      <c r="AE38" s="19">
        <v>9.1999999999999998E-2</v>
      </c>
      <c r="AF38" s="21">
        <f t="shared" si="6"/>
        <v>9.4E-2</v>
      </c>
      <c r="AG38" s="30">
        <v>5.6000000000000001E-2</v>
      </c>
      <c r="AH38" s="30">
        <v>5.2999999999999999E-2</v>
      </c>
      <c r="AI38" s="31">
        <f t="shared" si="7"/>
        <v>5.5E-2</v>
      </c>
      <c r="AJ38" s="30">
        <v>4.4999999999999998E-2</v>
      </c>
      <c r="AK38" s="30">
        <v>4.4999999999999998E-2</v>
      </c>
      <c r="AL38" s="31">
        <f t="shared" si="8"/>
        <v>4.4999999999999998E-2</v>
      </c>
      <c r="AM38" s="19">
        <v>14.598000000000001</v>
      </c>
      <c r="AN38" s="19">
        <v>14.829000000000001</v>
      </c>
      <c r="AO38" s="21">
        <f t="shared" si="9"/>
        <v>14.714</v>
      </c>
      <c r="AP38" s="27">
        <v>6.3600000000000004E-2</v>
      </c>
      <c r="AQ38" s="27">
        <v>6.0400000000000002E-2</v>
      </c>
      <c r="AR38" s="26">
        <f t="shared" si="10"/>
        <v>6.2E-2</v>
      </c>
    </row>
    <row r="39" spans="1:44">
      <c r="A39" s="7" t="s">
        <v>137</v>
      </c>
      <c r="B39" s="5" t="s">
        <v>138</v>
      </c>
      <c r="C39" s="6"/>
      <c r="D39" s="6"/>
      <c r="E39" s="23">
        <v>18</v>
      </c>
      <c r="F39" s="23">
        <v>7</v>
      </c>
      <c r="G39" s="41">
        <v>350</v>
      </c>
      <c r="H39" s="23">
        <v>8.1999999999999993</v>
      </c>
      <c r="I39" s="23">
        <v>13.3</v>
      </c>
      <c r="J39" s="23">
        <v>13.9</v>
      </c>
      <c r="K39" s="37">
        <v>11.2</v>
      </c>
      <c r="L39" s="37">
        <v>12.1</v>
      </c>
      <c r="M39" s="37">
        <v>11.4</v>
      </c>
      <c r="N39" s="38">
        <f t="shared" si="0"/>
        <v>11.6</v>
      </c>
      <c r="O39" s="15">
        <v>5.7</v>
      </c>
      <c r="P39" s="15">
        <v>5.5</v>
      </c>
      <c r="Q39" s="20">
        <f t="shared" si="1"/>
        <v>5.6</v>
      </c>
      <c r="R39" s="34">
        <v>8.25</v>
      </c>
      <c r="S39" s="34">
        <v>8.2919999999999998</v>
      </c>
      <c r="T39" s="33">
        <f t="shared" si="2"/>
        <v>8.2710000000000008</v>
      </c>
      <c r="U39" s="34">
        <v>7.6559999999999997</v>
      </c>
      <c r="V39" s="34">
        <v>7.6340000000000003</v>
      </c>
      <c r="W39" s="35">
        <f t="shared" si="3"/>
        <v>7.6449999999999996</v>
      </c>
      <c r="X39" s="17">
        <v>2.194</v>
      </c>
      <c r="Y39" s="17">
        <v>2.1629999999999998</v>
      </c>
      <c r="Z39" s="21">
        <f t="shared" si="4"/>
        <v>2.1789999999999998</v>
      </c>
      <c r="AA39" s="30">
        <v>4.0979999999999999</v>
      </c>
      <c r="AB39" s="30">
        <v>4.1219999999999999</v>
      </c>
      <c r="AC39" s="31">
        <f t="shared" si="5"/>
        <v>4.1100000000000003</v>
      </c>
      <c r="AD39" s="19">
        <v>0.28100000000000003</v>
      </c>
      <c r="AE39" s="19">
        <v>0.29699999999999999</v>
      </c>
      <c r="AF39" s="21">
        <f t="shared" si="6"/>
        <v>0.28899999999999998</v>
      </c>
      <c r="AG39" s="30">
        <v>0.1</v>
      </c>
      <c r="AH39" s="30">
        <v>9.8000000000000004E-2</v>
      </c>
      <c r="AI39" s="31">
        <f t="shared" si="7"/>
        <v>9.9000000000000005E-2</v>
      </c>
      <c r="AJ39" s="30">
        <v>6.9000000000000006E-2</v>
      </c>
      <c r="AK39" s="30">
        <v>6.7000000000000004E-2</v>
      </c>
      <c r="AL39" s="31">
        <f t="shared" si="8"/>
        <v>6.8000000000000005E-2</v>
      </c>
      <c r="AM39" s="19">
        <v>42.97</v>
      </c>
      <c r="AN39" s="19">
        <v>43.097000000000001</v>
      </c>
      <c r="AO39" s="21">
        <f t="shared" si="9"/>
        <v>43.033999999999999</v>
      </c>
      <c r="AP39" s="27">
        <v>0.10829999999999999</v>
      </c>
      <c r="AQ39" s="27">
        <v>0.1072</v>
      </c>
      <c r="AR39" s="26">
        <f t="shared" si="10"/>
        <v>0.10780000000000001</v>
      </c>
    </row>
    <row r="40" spans="1:44">
      <c r="A40" s="7" t="s">
        <v>140</v>
      </c>
      <c r="B40" s="5" t="s">
        <v>89</v>
      </c>
      <c r="C40" s="6" t="s">
        <v>42</v>
      </c>
      <c r="D40" s="6" t="s">
        <v>36</v>
      </c>
      <c r="E40" s="23">
        <v>19.5</v>
      </c>
      <c r="F40" s="23">
        <v>7.4</v>
      </c>
      <c r="G40" s="41">
        <v>210</v>
      </c>
      <c r="H40" s="23">
        <v>11.1</v>
      </c>
      <c r="I40" s="23">
        <v>1.9</v>
      </c>
      <c r="J40" s="24">
        <v>4.5</v>
      </c>
      <c r="K40" s="37">
        <v>3.26</v>
      </c>
      <c r="L40" s="37">
        <v>3.28</v>
      </c>
      <c r="M40" s="37"/>
      <c r="N40" s="39">
        <f t="shared" si="0"/>
        <v>3.3</v>
      </c>
      <c r="O40" s="15">
        <v>2.5</v>
      </c>
      <c r="P40" s="15">
        <v>2.6</v>
      </c>
      <c r="Q40" s="23">
        <f t="shared" si="1"/>
        <v>2.6</v>
      </c>
      <c r="R40" s="4">
        <v>2.4140000000000001</v>
      </c>
      <c r="S40" s="4">
        <v>2.444</v>
      </c>
      <c r="T40" s="33">
        <f t="shared" si="2"/>
        <v>2.4289999999999998</v>
      </c>
      <c r="U40" s="4">
        <v>2.4089999999999998</v>
      </c>
      <c r="V40" s="4">
        <v>2.4169999999999998</v>
      </c>
      <c r="W40" s="35">
        <f t="shared" si="3"/>
        <v>2.4129999999999998</v>
      </c>
      <c r="X40" s="4">
        <v>8.8999999999999996E-2</v>
      </c>
      <c r="Y40" s="4">
        <v>8.7999999999999995E-2</v>
      </c>
      <c r="Z40" s="21">
        <f t="shared" si="4"/>
        <v>8.8999999999999996E-2</v>
      </c>
      <c r="AA40" s="30">
        <v>1.92</v>
      </c>
      <c r="AB40" s="30">
        <v>1.9139999999999999</v>
      </c>
      <c r="AC40" s="31">
        <f t="shared" si="5"/>
        <v>1.917</v>
      </c>
      <c r="AD40" s="5">
        <v>0.111</v>
      </c>
      <c r="AE40" s="5">
        <v>0.113</v>
      </c>
      <c r="AF40" s="21">
        <f t="shared" si="6"/>
        <v>0.112</v>
      </c>
      <c r="AG40" s="34">
        <v>0.10299999999999999</v>
      </c>
      <c r="AH40" s="34">
        <v>0.10199999999999999</v>
      </c>
      <c r="AI40" s="31">
        <f t="shared" si="7"/>
        <v>0.10299999999999999</v>
      </c>
      <c r="AJ40" s="34">
        <v>9.0999999999999998E-2</v>
      </c>
      <c r="AK40" s="30">
        <v>9.1999999999999998E-2</v>
      </c>
      <c r="AL40" s="31">
        <f t="shared" si="8"/>
        <v>9.1999999999999998E-2</v>
      </c>
      <c r="AM40" s="5">
        <v>14.103999999999999</v>
      </c>
      <c r="AN40" s="5">
        <v>14.103999999999999</v>
      </c>
      <c r="AO40" s="21">
        <f t="shared" si="9"/>
        <v>14.103999999999999</v>
      </c>
      <c r="AP40" s="27">
        <v>6.2199999999999998E-2</v>
      </c>
      <c r="AQ40" s="27">
        <v>6.1499999999999999E-2</v>
      </c>
      <c r="AR40" s="26">
        <f t="shared" si="10"/>
        <v>6.1899999999999997E-2</v>
      </c>
    </row>
  </sheetData>
  <mergeCells count="18">
    <mergeCell ref="U1:W1"/>
    <mergeCell ref="X1:Z1"/>
    <mergeCell ref="AP1:AR1"/>
    <mergeCell ref="J1:J2"/>
    <mergeCell ref="I1:I2"/>
    <mergeCell ref="AA1:AC1"/>
    <mergeCell ref="AD1:AF1"/>
    <mergeCell ref="AG1:AI1"/>
    <mergeCell ref="AJ1:AL1"/>
    <mergeCell ref="AM1:AO1"/>
    <mergeCell ref="K1:N1"/>
    <mergeCell ref="O1:Q1"/>
    <mergeCell ref="R1:T1"/>
    <mergeCell ref="A1:A2"/>
    <mergeCell ref="B1:B2"/>
    <mergeCell ref="C1:C2"/>
    <mergeCell ref="D1:D2"/>
    <mergeCell ref="E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39"/>
  <sheetViews>
    <sheetView topLeftCell="A3" zoomScale="85" zoomScaleNormal="85" workbookViewId="0">
      <selection activeCell="A3" sqref="A3:XFD39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16" width="9" style="1"/>
    <col min="17" max="17" width="9" style="3"/>
    <col min="18" max="25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8"/>
      <c r="U1" s="76" t="s">
        <v>126</v>
      </c>
      <c r="V1" s="77"/>
      <c r="W1" s="78"/>
      <c r="X1" s="76" t="s">
        <v>127</v>
      </c>
      <c r="Y1" s="77"/>
      <c r="Z1" s="78"/>
      <c r="AA1" s="76" t="s">
        <v>128</v>
      </c>
      <c r="AB1" s="77"/>
      <c r="AC1" s="78"/>
      <c r="AD1" s="76" t="s">
        <v>129</v>
      </c>
      <c r="AE1" s="77"/>
      <c r="AF1" s="78"/>
      <c r="AG1" s="76" t="s">
        <v>130</v>
      </c>
      <c r="AH1" s="77"/>
      <c r="AI1" s="78"/>
      <c r="AJ1" s="76" t="s">
        <v>131</v>
      </c>
      <c r="AK1" s="77"/>
      <c r="AL1" s="78"/>
      <c r="AM1" s="76" t="s">
        <v>132</v>
      </c>
      <c r="AN1" s="77"/>
      <c r="AO1" s="78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112</v>
      </c>
      <c r="H2" s="12" t="s">
        <v>113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139</v>
      </c>
      <c r="B3" s="9" t="s">
        <v>34</v>
      </c>
      <c r="C3" s="10" t="s">
        <v>35</v>
      </c>
      <c r="D3" s="10" t="s">
        <v>36</v>
      </c>
      <c r="E3" s="20">
        <v>14.8</v>
      </c>
      <c r="F3" s="20">
        <v>7.7</v>
      </c>
      <c r="G3" s="48">
        <v>10.1</v>
      </c>
      <c r="H3" s="11">
        <v>96</v>
      </c>
      <c r="I3" s="20">
        <v>1.6</v>
      </c>
      <c r="J3" s="20">
        <v>3.4</v>
      </c>
      <c r="K3" s="14">
        <v>2</v>
      </c>
      <c r="L3" s="14">
        <v>2.1</v>
      </c>
      <c r="M3" s="14"/>
      <c r="N3" s="20">
        <f>AVERAGE(K3:M3)</f>
        <v>2.0499999999999998</v>
      </c>
      <c r="O3" s="36">
        <v>1.9</v>
      </c>
      <c r="P3" s="36">
        <v>1.8</v>
      </c>
      <c r="Q3" s="38">
        <f t="shared" ref="Q3:Q39" si="0">AVERAGE(O3:P3)</f>
        <v>1.85</v>
      </c>
      <c r="R3" s="16">
        <v>1.2170000000000001</v>
      </c>
      <c r="S3" s="16">
        <v>1.2130000000000001</v>
      </c>
      <c r="T3" s="22">
        <f t="shared" ref="T3:T39" si="1">AVERAGE(R3:S3)</f>
        <v>1.2150000000000001</v>
      </c>
      <c r="U3" s="16">
        <v>1.167</v>
      </c>
      <c r="V3" s="16">
        <v>1.171</v>
      </c>
      <c r="W3" s="22">
        <f>AVERAGE(U3:V3)</f>
        <v>1.169</v>
      </c>
      <c r="X3" s="16">
        <v>1.7999999999999999E-2</v>
      </c>
      <c r="Y3" s="16">
        <v>2.1000000000000001E-2</v>
      </c>
      <c r="Z3" s="21">
        <f t="shared" ref="Z3:Z39" si="2">AVERAGE(X3:Y3)</f>
        <v>1.95E-2</v>
      </c>
      <c r="AA3" s="18">
        <v>1.012</v>
      </c>
      <c r="AB3" s="18">
        <v>1.0549999999999999</v>
      </c>
      <c r="AC3" s="21">
        <f t="shared" ref="AC3:AC39" si="3">AVERAGE(AA3:AB3)</f>
        <v>1.0335000000000001</v>
      </c>
      <c r="AD3" s="18">
        <v>4.5999999999999999E-2</v>
      </c>
      <c r="AE3" s="18">
        <v>4.3999999999999997E-2</v>
      </c>
      <c r="AF3" s="21">
        <f t="shared" ref="AF3:AF39" si="4">AVERAGE(AD3:AE3)</f>
        <v>4.4999999999999998E-2</v>
      </c>
      <c r="AG3" s="18">
        <v>2.8000000000000001E-2</v>
      </c>
      <c r="AH3" s="18">
        <v>2.5000000000000001E-2</v>
      </c>
      <c r="AI3" s="21">
        <f>AVERAGE(AG3:AH3)</f>
        <v>2.6500000000000003E-2</v>
      </c>
      <c r="AJ3" s="18">
        <v>1.7999999999999999E-2</v>
      </c>
      <c r="AK3" s="18">
        <v>1.6E-2</v>
      </c>
      <c r="AL3" s="21">
        <f>AVERAGE(AJ3:AK3)</f>
        <v>1.7000000000000001E-2</v>
      </c>
      <c r="AM3" s="18">
        <v>8.0079999999999991</v>
      </c>
      <c r="AN3" s="18">
        <v>8.1319999999999997</v>
      </c>
      <c r="AO3" s="21">
        <f t="shared" ref="AO3:AO39" si="5">AVERAGE(AM3:AN3)</f>
        <v>8.07</v>
      </c>
      <c r="AP3" s="44">
        <v>7.0900000000000005E-2</v>
      </c>
      <c r="AQ3" s="44">
        <v>7.1199999999999999E-2</v>
      </c>
      <c r="AR3" s="45">
        <f t="shared" ref="AR3:AR39" si="6">AVERAGE(AP3:AQ3)</f>
        <v>7.1050000000000002E-2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16.100000000000001</v>
      </c>
      <c r="F4" s="23">
        <v>7.3</v>
      </c>
      <c r="G4" s="49">
        <v>9.6999999999999993</v>
      </c>
      <c r="H4" s="24">
        <v>67</v>
      </c>
      <c r="I4" s="23">
        <v>1.7</v>
      </c>
      <c r="J4" s="23">
        <v>3.6</v>
      </c>
      <c r="K4" s="15">
        <v>2.7</v>
      </c>
      <c r="L4" s="15">
        <v>2.2999999999999998</v>
      </c>
      <c r="M4" s="15"/>
      <c r="N4" s="20">
        <f t="shared" ref="N4:N39" si="7">AVERAGE(K4:M4)</f>
        <v>2.5</v>
      </c>
      <c r="O4" s="37">
        <v>2.1</v>
      </c>
      <c r="P4" s="37">
        <v>1.9</v>
      </c>
      <c r="Q4" s="38">
        <f t="shared" si="0"/>
        <v>2</v>
      </c>
      <c r="R4" s="17">
        <v>1.246</v>
      </c>
      <c r="S4" s="17">
        <v>1.298</v>
      </c>
      <c r="T4" s="22">
        <f t="shared" si="1"/>
        <v>1.272</v>
      </c>
      <c r="U4" s="17">
        <v>1.2050000000000001</v>
      </c>
      <c r="V4" s="17">
        <v>1.216</v>
      </c>
      <c r="W4" s="22">
        <f t="shared" ref="W4:W39" si="8">AVERAGE(U4:V4)</f>
        <v>1.2105000000000001</v>
      </c>
      <c r="X4" s="17">
        <v>2.5999999999999999E-2</v>
      </c>
      <c r="Y4" s="17">
        <v>2.5999999999999999E-2</v>
      </c>
      <c r="Z4" s="21">
        <f t="shared" si="2"/>
        <v>2.5999999999999999E-2</v>
      </c>
      <c r="AA4" s="19">
        <v>1.0209999999999999</v>
      </c>
      <c r="AB4" s="19">
        <v>1.087</v>
      </c>
      <c r="AC4" s="21">
        <f t="shared" si="3"/>
        <v>1.0539999999999998</v>
      </c>
      <c r="AD4" s="19">
        <v>4.2000000000000003E-2</v>
      </c>
      <c r="AE4" s="19">
        <v>0.04</v>
      </c>
      <c r="AF4" s="21">
        <f t="shared" si="4"/>
        <v>4.1000000000000002E-2</v>
      </c>
      <c r="AG4" s="19">
        <v>1.7000000000000001E-2</v>
      </c>
      <c r="AH4" s="19">
        <v>1.6E-2</v>
      </c>
      <c r="AI4" s="21">
        <f t="shared" ref="AI4:AI39" si="9">AVERAGE(AG4:AH4)</f>
        <v>1.6500000000000001E-2</v>
      </c>
      <c r="AJ4" s="19">
        <v>7.0000000000000001E-3</v>
      </c>
      <c r="AK4" s="19">
        <v>6.0000000000000001E-3</v>
      </c>
      <c r="AL4" s="21">
        <f t="shared" ref="AL4:AL39" si="10">AVERAGE(AJ4:AK4)</f>
        <v>6.5000000000000006E-3</v>
      </c>
      <c r="AM4" s="19">
        <v>4.2240000000000002</v>
      </c>
      <c r="AN4" s="19">
        <v>4.4139999999999997</v>
      </c>
      <c r="AO4" s="21">
        <f t="shared" si="5"/>
        <v>4.319</v>
      </c>
      <c r="AP4" s="46">
        <v>7.4999999999999997E-2</v>
      </c>
      <c r="AQ4" s="46">
        <v>7.5499999999999998E-2</v>
      </c>
      <c r="AR4" s="47">
        <f t="shared" si="6"/>
        <v>7.5249999999999997E-2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15.5</v>
      </c>
      <c r="F5" s="23">
        <v>6.9</v>
      </c>
      <c r="G5" s="49">
        <v>10</v>
      </c>
      <c r="H5" s="24">
        <v>75</v>
      </c>
      <c r="I5" s="23">
        <v>1.5</v>
      </c>
      <c r="J5" s="23">
        <v>3.3</v>
      </c>
      <c r="K5" s="15">
        <v>2.4</v>
      </c>
      <c r="L5" s="15">
        <v>2.4</v>
      </c>
      <c r="M5" s="15"/>
      <c r="N5" s="20">
        <f t="shared" si="7"/>
        <v>2.4</v>
      </c>
      <c r="O5" s="37">
        <v>2</v>
      </c>
      <c r="P5" s="37">
        <v>1.8</v>
      </c>
      <c r="Q5" s="38">
        <f t="shared" si="0"/>
        <v>1.9</v>
      </c>
      <c r="R5" s="17">
        <v>1.2549999999999999</v>
      </c>
      <c r="S5" s="17">
        <v>1.2989999999999999</v>
      </c>
      <c r="T5" s="22">
        <f t="shared" si="1"/>
        <v>1.2769999999999999</v>
      </c>
      <c r="U5" s="17">
        <v>1.1870000000000001</v>
      </c>
      <c r="V5" s="17">
        <v>1.1759999999999999</v>
      </c>
      <c r="W5" s="22">
        <f t="shared" si="8"/>
        <v>1.1815</v>
      </c>
      <c r="X5" s="17">
        <v>2.1999999999999999E-2</v>
      </c>
      <c r="Y5" s="17">
        <v>4.3999999999999997E-2</v>
      </c>
      <c r="Z5" s="21">
        <f t="shared" si="2"/>
        <v>3.3000000000000002E-2</v>
      </c>
      <c r="AA5" s="19">
        <v>1.016</v>
      </c>
      <c r="AB5" s="19">
        <v>1.085</v>
      </c>
      <c r="AC5" s="21">
        <f t="shared" si="3"/>
        <v>1.0505</v>
      </c>
      <c r="AD5" s="19">
        <v>4.5999999999999999E-2</v>
      </c>
      <c r="AE5" s="19">
        <v>4.2000000000000003E-2</v>
      </c>
      <c r="AF5" s="21">
        <f t="shared" si="4"/>
        <v>4.3999999999999997E-2</v>
      </c>
      <c r="AG5" s="19">
        <v>1.6E-2</v>
      </c>
      <c r="AH5" s="19">
        <v>1.6E-2</v>
      </c>
      <c r="AI5" s="21">
        <f t="shared" si="9"/>
        <v>1.6E-2</v>
      </c>
      <c r="AJ5" s="19">
        <v>8.0000000000000002E-3</v>
      </c>
      <c r="AK5" s="19">
        <v>8.0000000000000002E-3</v>
      </c>
      <c r="AL5" s="21">
        <f t="shared" si="10"/>
        <v>8.0000000000000002E-3</v>
      </c>
      <c r="AM5" s="19">
        <v>5.3869999999999996</v>
      </c>
      <c r="AN5" s="19">
        <v>5.62</v>
      </c>
      <c r="AO5" s="21">
        <f t="shared" si="5"/>
        <v>5.5034999999999998</v>
      </c>
      <c r="AP5" s="46">
        <v>7.3200000000000001E-2</v>
      </c>
      <c r="AQ5" s="46">
        <v>7.3999999999999996E-2</v>
      </c>
      <c r="AR5" s="47">
        <f t="shared" si="6"/>
        <v>7.3599999999999999E-2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14.3</v>
      </c>
      <c r="F6" s="23">
        <v>7</v>
      </c>
      <c r="G6" s="49">
        <v>10.199999999999999</v>
      </c>
      <c r="H6" s="24">
        <v>56</v>
      </c>
      <c r="I6" s="23">
        <v>1.5</v>
      </c>
      <c r="J6" s="23">
        <v>3.1</v>
      </c>
      <c r="K6" s="15">
        <v>2</v>
      </c>
      <c r="L6" s="15">
        <v>2</v>
      </c>
      <c r="M6" s="15"/>
      <c r="N6" s="20">
        <f t="shared" si="7"/>
        <v>2</v>
      </c>
      <c r="O6" s="37">
        <v>1.9</v>
      </c>
      <c r="P6" s="37">
        <v>1.9</v>
      </c>
      <c r="Q6" s="38">
        <f t="shared" si="0"/>
        <v>1.9</v>
      </c>
      <c r="R6" s="17">
        <v>0.88200000000000001</v>
      </c>
      <c r="S6" s="17">
        <v>0.92200000000000004</v>
      </c>
      <c r="T6" s="22">
        <f t="shared" si="1"/>
        <v>0.90200000000000002</v>
      </c>
      <c r="U6" s="17">
        <v>0.88400000000000001</v>
      </c>
      <c r="V6" s="17">
        <v>0.88500000000000001</v>
      </c>
      <c r="W6" s="22">
        <f t="shared" si="8"/>
        <v>0.88450000000000006</v>
      </c>
      <c r="X6" s="17">
        <v>0.03</v>
      </c>
      <c r="Y6" s="17">
        <v>2.5999999999999999E-2</v>
      </c>
      <c r="Z6" s="21">
        <f t="shared" si="2"/>
        <v>2.7999999999999997E-2</v>
      </c>
      <c r="AA6" s="19">
        <v>0.72299999999999998</v>
      </c>
      <c r="AB6" s="19">
        <v>0.77800000000000002</v>
      </c>
      <c r="AC6" s="21">
        <f t="shared" si="3"/>
        <v>0.75049999999999994</v>
      </c>
      <c r="AD6" s="19">
        <v>3.5999999999999997E-2</v>
      </c>
      <c r="AE6" s="19">
        <v>3.4000000000000002E-2</v>
      </c>
      <c r="AF6" s="21">
        <f t="shared" si="4"/>
        <v>3.5000000000000003E-2</v>
      </c>
      <c r="AG6" s="19">
        <v>1.4999999999999999E-2</v>
      </c>
      <c r="AH6" s="19">
        <v>1.4E-2</v>
      </c>
      <c r="AI6" s="21">
        <f t="shared" si="9"/>
        <v>1.4499999999999999E-2</v>
      </c>
      <c r="AJ6" s="19">
        <v>8.0000000000000002E-3</v>
      </c>
      <c r="AK6" s="19">
        <v>8.0000000000000002E-3</v>
      </c>
      <c r="AL6" s="21">
        <f t="shared" si="10"/>
        <v>8.0000000000000002E-3</v>
      </c>
      <c r="AM6" s="19">
        <v>3.8530000000000002</v>
      </c>
      <c r="AN6" s="19">
        <v>4.03</v>
      </c>
      <c r="AO6" s="21">
        <f t="shared" si="5"/>
        <v>3.9415000000000004</v>
      </c>
      <c r="AP6" s="46">
        <v>7.8399999999999997E-2</v>
      </c>
      <c r="AQ6" s="46">
        <v>7.8899999999999998E-2</v>
      </c>
      <c r="AR6" s="47">
        <f t="shared" si="6"/>
        <v>7.8649999999999998E-2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15</v>
      </c>
      <c r="F7" s="23">
        <v>6.8</v>
      </c>
      <c r="G7" s="49">
        <v>10</v>
      </c>
      <c r="H7" s="24">
        <v>72</v>
      </c>
      <c r="I7" s="23">
        <v>1.6</v>
      </c>
      <c r="J7" s="23">
        <v>3.9</v>
      </c>
      <c r="K7" s="15">
        <v>2.4</v>
      </c>
      <c r="L7" s="15">
        <v>2.4</v>
      </c>
      <c r="M7" s="15"/>
      <c r="N7" s="20">
        <f t="shared" si="7"/>
        <v>2.4</v>
      </c>
      <c r="O7" s="37">
        <v>2.2000000000000002</v>
      </c>
      <c r="P7" s="37">
        <v>2</v>
      </c>
      <c r="Q7" s="38">
        <f t="shared" si="0"/>
        <v>2.1</v>
      </c>
      <c r="R7" s="17">
        <v>1.222</v>
      </c>
      <c r="S7" s="17">
        <v>1.254</v>
      </c>
      <c r="T7" s="22">
        <f t="shared" si="1"/>
        <v>1.238</v>
      </c>
      <c r="U7" s="17">
        <v>1.1479999999999999</v>
      </c>
      <c r="V7" s="17">
        <v>1.1539999999999999</v>
      </c>
      <c r="W7" s="22">
        <f t="shared" si="8"/>
        <v>1.1509999999999998</v>
      </c>
      <c r="X7" s="17">
        <v>2.5999999999999999E-2</v>
      </c>
      <c r="Y7" s="17">
        <v>2.7E-2</v>
      </c>
      <c r="Z7" s="21">
        <f t="shared" si="2"/>
        <v>2.6499999999999999E-2</v>
      </c>
      <c r="AA7" s="19">
        <v>0.98099999999999998</v>
      </c>
      <c r="AB7" s="19">
        <v>1.0449999999999999</v>
      </c>
      <c r="AC7" s="21">
        <f t="shared" si="3"/>
        <v>1.0129999999999999</v>
      </c>
      <c r="AD7" s="19">
        <v>5.6000000000000001E-2</v>
      </c>
      <c r="AE7" s="19">
        <v>5.6000000000000001E-2</v>
      </c>
      <c r="AF7" s="21">
        <f t="shared" si="4"/>
        <v>5.6000000000000001E-2</v>
      </c>
      <c r="AG7" s="19">
        <v>1.7000000000000001E-2</v>
      </c>
      <c r="AH7" s="19">
        <v>1.7000000000000001E-2</v>
      </c>
      <c r="AI7" s="21">
        <f t="shared" si="9"/>
        <v>1.7000000000000001E-2</v>
      </c>
      <c r="AJ7" s="19">
        <v>8.0000000000000002E-3</v>
      </c>
      <c r="AK7" s="19">
        <v>8.0000000000000002E-3</v>
      </c>
      <c r="AL7" s="21">
        <f t="shared" si="10"/>
        <v>8.0000000000000002E-3</v>
      </c>
      <c r="AM7" s="19">
        <v>5.157</v>
      </c>
      <c r="AN7" s="19">
        <v>5.3730000000000002</v>
      </c>
      <c r="AO7" s="21">
        <f t="shared" si="5"/>
        <v>5.2650000000000006</v>
      </c>
      <c r="AP7" s="46">
        <v>7.5300000000000006E-2</v>
      </c>
      <c r="AQ7" s="46">
        <v>7.6300000000000007E-2</v>
      </c>
      <c r="AR7" s="47">
        <f t="shared" si="6"/>
        <v>7.5800000000000006E-2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15.3</v>
      </c>
      <c r="F8" s="23">
        <v>6.9</v>
      </c>
      <c r="G8" s="49">
        <v>10</v>
      </c>
      <c r="H8" s="24">
        <v>82</v>
      </c>
      <c r="I8" s="23">
        <v>1.9</v>
      </c>
      <c r="J8" s="23">
        <v>3.7</v>
      </c>
      <c r="K8" s="15">
        <v>2.7</v>
      </c>
      <c r="L8" s="15">
        <v>2.5</v>
      </c>
      <c r="M8" s="15"/>
      <c r="N8" s="20">
        <f t="shared" si="7"/>
        <v>2.6</v>
      </c>
      <c r="O8" s="37">
        <v>2.5</v>
      </c>
      <c r="P8" s="37">
        <v>2.5</v>
      </c>
      <c r="Q8" s="38">
        <f t="shared" si="0"/>
        <v>2.5</v>
      </c>
      <c r="R8" s="17">
        <v>1.5349999999999999</v>
      </c>
      <c r="S8" s="17">
        <v>1.5409999999999999</v>
      </c>
      <c r="T8" s="22">
        <f t="shared" si="1"/>
        <v>1.5379999999999998</v>
      </c>
      <c r="U8" s="17">
        <v>1.4450000000000001</v>
      </c>
      <c r="V8" s="17">
        <v>1.474</v>
      </c>
      <c r="W8" s="22">
        <f t="shared" si="8"/>
        <v>1.4595</v>
      </c>
      <c r="X8" s="17">
        <v>7.5999999999999998E-2</v>
      </c>
      <c r="Y8" s="17">
        <v>8.1000000000000003E-2</v>
      </c>
      <c r="Z8" s="21">
        <f t="shared" si="2"/>
        <v>7.85E-2</v>
      </c>
      <c r="AA8" s="19">
        <v>1.179</v>
      </c>
      <c r="AB8" s="19">
        <v>1.24</v>
      </c>
      <c r="AC8" s="21">
        <f t="shared" si="3"/>
        <v>1.2095</v>
      </c>
      <c r="AD8" s="19">
        <v>7.1999999999999995E-2</v>
      </c>
      <c r="AE8" s="19">
        <v>7.1999999999999995E-2</v>
      </c>
      <c r="AF8" s="21">
        <f t="shared" si="4"/>
        <v>7.1999999999999995E-2</v>
      </c>
      <c r="AG8" s="19">
        <v>3.5999999999999997E-2</v>
      </c>
      <c r="AH8" s="19">
        <v>3.5000000000000003E-2</v>
      </c>
      <c r="AI8" s="21">
        <f t="shared" si="9"/>
        <v>3.5500000000000004E-2</v>
      </c>
      <c r="AJ8" s="19">
        <v>2.4E-2</v>
      </c>
      <c r="AK8" s="19">
        <v>2.4E-2</v>
      </c>
      <c r="AL8" s="21">
        <f t="shared" si="10"/>
        <v>2.4E-2</v>
      </c>
      <c r="AM8" s="19">
        <v>5.3940000000000001</v>
      </c>
      <c r="AN8" s="19">
        <v>5.6180000000000003</v>
      </c>
      <c r="AO8" s="21">
        <f t="shared" si="5"/>
        <v>5.5060000000000002</v>
      </c>
      <c r="AP8" s="46">
        <v>8.7499999999999994E-2</v>
      </c>
      <c r="AQ8" s="46">
        <v>8.7400000000000005E-2</v>
      </c>
      <c r="AR8" s="47">
        <f t="shared" si="6"/>
        <v>8.745E-2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14.9</v>
      </c>
      <c r="F9" s="23">
        <v>6.7</v>
      </c>
      <c r="G9" s="49">
        <v>10</v>
      </c>
      <c r="H9" s="24">
        <v>75</v>
      </c>
      <c r="I9" s="23">
        <v>1.3</v>
      </c>
      <c r="J9" s="23">
        <v>3.3</v>
      </c>
      <c r="K9" s="15">
        <v>2.2000000000000002</v>
      </c>
      <c r="L9" s="15">
        <v>2.2000000000000002</v>
      </c>
      <c r="M9" s="15"/>
      <c r="N9" s="20">
        <f t="shared" si="7"/>
        <v>2.2000000000000002</v>
      </c>
      <c r="O9" s="37">
        <v>1.9</v>
      </c>
      <c r="P9" s="37">
        <v>1.7</v>
      </c>
      <c r="Q9" s="38">
        <f t="shared" si="0"/>
        <v>1.7999999999999998</v>
      </c>
      <c r="R9" s="17">
        <v>1.272</v>
      </c>
      <c r="S9" s="17">
        <v>1.3180000000000001</v>
      </c>
      <c r="T9" s="22">
        <f t="shared" si="1"/>
        <v>1.2949999999999999</v>
      </c>
      <c r="U9" s="17">
        <v>1.226</v>
      </c>
      <c r="V9" s="17">
        <v>1.2110000000000001</v>
      </c>
      <c r="W9" s="22">
        <f t="shared" si="8"/>
        <v>1.2185000000000001</v>
      </c>
      <c r="X9" s="17">
        <v>2.5999999999999999E-2</v>
      </c>
      <c r="Y9" s="17">
        <v>2.7E-2</v>
      </c>
      <c r="Z9" s="21">
        <f t="shared" si="2"/>
        <v>2.6499999999999999E-2</v>
      </c>
      <c r="AA9" s="19">
        <v>1.0629999999999999</v>
      </c>
      <c r="AB9" s="19">
        <v>1.1180000000000001</v>
      </c>
      <c r="AC9" s="21">
        <f t="shared" si="3"/>
        <v>1.0905</v>
      </c>
      <c r="AD9" s="19">
        <v>4.5999999999999999E-2</v>
      </c>
      <c r="AE9" s="19">
        <v>4.5999999999999999E-2</v>
      </c>
      <c r="AF9" s="21">
        <f t="shared" si="4"/>
        <v>4.5999999999999999E-2</v>
      </c>
      <c r="AG9" s="19">
        <v>2.1000000000000001E-2</v>
      </c>
      <c r="AH9" s="19">
        <v>0.02</v>
      </c>
      <c r="AI9" s="21">
        <f t="shared" si="9"/>
        <v>2.0500000000000001E-2</v>
      </c>
      <c r="AJ9" s="19">
        <v>1.0999999999999999E-2</v>
      </c>
      <c r="AK9" s="19">
        <v>1.0999999999999999E-2</v>
      </c>
      <c r="AL9" s="21">
        <f t="shared" si="10"/>
        <v>1.0999999999999999E-2</v>
      </c>
      <c r="AM9" s="19">
        <v>5.391</v>
      </c>
      <c r="AN9" s="19">
        <v>5.5979999999999999</v>
      </c>
      <c r="AO9" s="21">
        <f t="shared" si="5"/>
        <v>5.4945000000000004</v>
      </c>
      <c r="AP9" s="46">
        <v>7.22E-2</v>
      </c>
      <c r="AQ9" s="46">
        <v>7.2800000000000004E-2</v>
      </c>
      <c r="AR9" s="47">
        <f t="shared" si="6"/>
        <v>7.2500000000000009E-2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15.2</v>
      </c>
      <c r="F10" s="23">
        <v>7.7</v>
      </c>
      <c r="G10" s="49">
        <v>10.199999999999999</v>
      </c>
      <c r="H10" s="24">
        <v>82</v>
      </c>
      <c r="I10" s="23">
        <v>1.1000000000000001</v>
      </c>
      <c r="J10" s="23">
        <v>2.2000000000000002</v>
      </c>
      <c r="K10" s="15">
        <v>1.3</v>
      </c>
      <c r="L10" s="15">
        <v>1.3</v>
      </c>
      <c r="M10" s="15"/>
      <c r="N10" s="20">
        <f t="shared" si="7"/>
        <v>1.3</v>
      </c>
      <c r="O10" s="37">
        <v>1.2</v>
      </c>
      <c r="P10" s="37">
        <v>1.1000000000000001</v>
      </c>
      <c r="Q10" s="38">
        <f t="shared" si="0"/>
        <v>1.1499999999999999</v>
      </c>
      <c r="R10" s="17">
        <v>1.919</v>
      </c>
      <c r="S10" s="17">
        <v>1.927</v>
      </c>
      <c r="T10" s="22">
        <f t="shared" si="1"/>
        <v>1.923</v>
      </c>
      <c r="U10" s="17">
        <v>1.867</v>
      </c>
      <c r="V10" s="17">
        <v>1.88</v>
      </c>
      <c r="W10" s="22">
        <f t="shared" si="8"/>
        <v>1.8734999999999999</v>
      </c>
      <c r="X10" s="17">
        <v>2.8000000000000001E-2</v>
      </c>
      <c r="Y10" s="17">
        <v>2.7E-2</v>
      </c>
      <c r="Z10" s="21">
        <f t="shared" si="2"/>
        <v>2.75E-2</v>
      </c>
      <c r="AA10" s="19">
        <v>1.706</v>
      </c>
      <c r="AB10" s="19">
        <v>1.7889999999999999</v>
      </c>
      <c r="AC10" s="21">
        <f t="shared" si="3"/>
        <v>1.7475000000000001</v>
      </c>
      <c r="AD10" s="19">
        <v>9.6000000000000002E-2</v>
      </c>
      <c r="AE10" s="19">
        <v>9.7000000000000003E-2</v>
      </c>
      <c r="AF10" s="21">
        <f t="shared" si="4"/>
        <v>9.6500000000000002E-2</v>
      </c>
      <c r="AG10" s="19">
        <v>0.08</v>
      </c>
      <c r="AH10" s="19">
        <v>8.2000000000000003E-2</v>
      </c>
      <c r="AI10" s="21">
        <f t="shared" si="9"/>
        <v>8.1000000000000003E-2</v>
      </c>
      <c r="AJ10" s="19">
        <v>7.8E-2</v>
      </c>
      <c r="AK10" s="19">
        <v>0.08</v>
      </c>
      <c r="AL10" s="21">
        <f t="shared" si="10"/>
        <v>7.9000000000000001E-2</v>
      </c>
      <c r="AM10" s="19">
        <v>5.9240000000000004</v>
      </c>
      <c r="AN10" s="19">
        <v>6.1849999999999996</v>
      </c>
      <c r="AO10" s="21">
        <f t="shared" si="5"/>
        <v>6.0545</v>
      </c>
      <c r="AP10" s="46">
        <v>3.9699999999999999E-2</v>
      </c>
      <c r="AQ10" s="46">
        <v>4.2599999999999999E-2</v>
      </c>
      <c r="AR10" s="47">
        <f t="shared" si="6"/>
        <v>4.1149999999999999E-2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15.7</v>
      </c>
      <c r="F11" s="23">
        <v>7.4</v>
      </c>
      <c r="G11" s="49">
        <v>10.199999999999999</v>
      </c>
      <c r="H11" s="24">
        <v>81</v>
      </c>
      <c r="I11" s="23">
        <v>1.5</v>
      </c>
      <c r="J11" s="23">
        <v>2.9</v>
      </c>
      <c r="K11" s="15">
        <v>2.1</v>
      </c>
      <c r="L11" s="15">
        <v>2.1</v>
      </c>
      <c r="M11" s="15"/>
      <c r="N11" s="20">
        <f t="shared" si="7"/>
        <v>2.1</v>
      </c>
      <c r="O11" s="37">
        <v>1.7</v>
      </c>
      <c r="P11" s="37">
        <v>1.6</v>
      </c>
      <c r="Q11" s="38">
        <f t="shared" si="0"/>
        <v>1.65</v>
      </c>
      <c r="R11" s="17">
        <v>1.605</v>
      </c>
      <c r="S11" s="17">
        <v>1.635</v>
      </c>
      <c r="T11" s="22">
        <f t="shared" si="1"/>
        <v>1.62</v>
      </c>
      <c r="U11" s="17">
        <v>1.5029999999999999</v>
      </c>
      <c r="V11" s="17">
        <v>1.4870000000000001</v>
      </c>
      <c r="W11" s="22">
        <f t="shared" si="8"/>
        <v>1.4950000000000001</v>
      </c>
      <c r="X11" s="17">
        <v>3.1E-2</v>
      </c>
      <c r="Y11" s="17">
        <v>3.5000000000000003E-2</v>
      </c>
      <c r="Z11" s="21">
        <f t="shared" si="2"/>
        <v>3.3000000000000002E-2</v>
      </c>
      <c r="AA11" s="19">
        <v>1.323</v>
      </c>
      <c r="AB11" s="19">
        <v>1.3939999999999999</v>
      </c>
      <c r="AC11" s="21">
        <f t="shared" si="3"/>
        <v>1.3584999999999998</v>
      </c>
      <c r="AD11" s="19">
        <v>6.8000000000000005E-2</v>
      </c>
      <c r="AE11" s="19">
        <v>7.0000000000000007E-2</v>
      </c>
      <c r="AF11" s="21">
        <f t="shared" si="4"/>
        <v>6.9000000000000006E-2</v>
      </c>
      <c r="AG11" s="19">
        <v>4.2000000000000003E-2</v>
      </c>
      <c r="AH11" s="19">
        <v>4.1000000000000002E-2</v>
      </c>
      <c r="AI11" s="21">
        <f t="shared" si="9"/>
        <v>4.1500000000000002E-2</v>
      </c>
      <c r="AJ11" s="19">
        <v>3.5999999999999997E-2</v>
      </c>
      <c r="AK11" s="19">
        <v>3.5999999999999997E-2</v>
      </c>
      <c r="AL11" s="21">
        <f t="shared" si="10"/>
        <v>3.5999999999999997E-2</v>
      </c>
      <c r="AM11" s="19">
        <v>5.6509999999999998</v>
      </c>
      <c r="AN11" s="19">
        <v>5.907</v>
      </c>
      <c r="AO11" s="21">
        <f t="shared" si="5"/>
        <v>5.7789999999999999</v>
      </c>
      <c r="AP11" s="46">
        <v>6.54E-2</v>
      </c>
      <c r="AQ11" s="46">
        <v>6.5699999999999995E-2</v>
      </c>
      <c r="AR11" s="47">
        <f t="shared" si="6"/>
        <v>6.5549999999999997E-2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15.9</v>
      </c>
      <c r="F12" s="23">
        <v>7.3</v>
      </c>
      <c r="G12" s="49">
        <v>10.1</v>
      </c>
      <c r="H12" s="24">
        <v>84</v>
      </c>
      <c r="I12" s="23">
        <v>1.7</v>
      </c>
      <c r="J12" s="23">
        <v>3.8</v>
      </c>
      <c r="K12" s="15">
        <v>2.5</v>
      </c>
      <c r="L12" s="15">
        <v>2.2999999999999998</v>
      </c>
      <c r="M12" s="15"/>
      <c r="N12" s="20">
        <f t="shared" si="7"/>
        <v>2.4</v>
      </c>
      <c r="O12" s="37">
        <v>2.2999999999999998</v>
      </c>
      <c r="P12" s="37">
        <v>2.2000000000000002</v>
      </c>
      <c r="Q12" s="38">
        <f t="shared" si="0"/>
        <v>2.25</v>
      </c>
      <c r="R12" s="17">
        <v>1.3169999999999999</v>
      </c>
      <c r="S12" s="17">
        <v>1.327</v>
      </c>
      <c r="T12" s="22">
        <f t="shared" si="1"/>
        <v>1.3220000000000001</v>
      </c>
      <c r="U12" s="17">
        <v>1.25</v>
      </c>
      <c r="V12" s="17">
        <v>1.266</v>
      </c>
      <c r="W12" s="22">
        <f t="shared" si="8"/>
        <v>1.258</v>
      </c>
      <c r="X12" s="17">
        <v>4.2000000000000003E-2</v>
      </c>
      <c r="Y12" s="17">
        <v>4.2000000000000003E-2</v>
      </c>
      <c r="Z12" s="21">
        <f t="shared" si="2"/>
        <v>4.2000000000000003E-2</v>
      </c>
      <c r="AA12" s="19">
        <v>1.03</v>
      </c>
      <c r="AB12" s="19">
        <v>1.0780000000000001</v>
      </c>
      <c r="AC12" s="21">
        <f t="shared" si="3"/>
        <v>1.054</v>
      </c>
      <c r="AD12" s="19">
        <v>0.13200000000000001</v>
      </c>
      <c r="AE12" s="19">
        <v>0.13300000000000001</v>
      </c>
      <c r="AF12" s="21">
        <f t="shared" si="4"/>
        <v>0.13250000000000001</v>
      </c>
      <c r="AG12" s="19">
        <v>0.113</v>
      </c>
      <c r="AH12" s="19">
        <v>0.11600000000000001</v>
      </c>
      <c r="AI12" s="21">
        <f t="shared" si="9"/>
        <v>0.1145</v>
      </c>
      <c r="AJ12" s="19">
        <v>0.108</v>
      </c>
      <c r="AK12" s="19">
        <v>0.107</v>
      </c>
      <c r="AL12" s="21">
        <f t="shared" si="10"/>
        <v>0.1075</v>
      </c>
      <c r="AM12" s="19">
        <v>7.524</v>
      </c>
      <c r="AN12" s="19">
        <v>7.7290000000000001</v>
      </c>
      <c r="AO12" s="21">
        <f t="shared" si="5"/>
        <v>7.6265000000000001</v>
      </c>
      <c r="AP12" s="46">
        <v>7.5700000000000003E-2</v>
      </c>
      <c r="AQ12" s="46">
        <v>7.4999999999999997E-2</v>
      </c>
      <c r="AR12" s="47">
        <f t="shared" si="6"/>
        <v>7.535E-2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16.100000000000001</v>
      </c>
      <c r="F13" s="23">
        <v>7.3</v>
      </c>
      <c r="G13" s="49">
        <v>10</v>
      </c>
      <c r="H13" s="24">
        <v>87</v>
      </c>
      <c r="I13" s="23">
        <v>1.9</v>
      </c>
      <c r="J13" s="23">
        <v>3.3</v>
      </c>
      <c r="K13" s="15">
        <v>2.4</v>
      </c>
      <c r="L13" s="15">
        <v>2.2000000000000002</v>
      </c>
      <c r="M13" s="15"/>
      <c r="N13" s="20">
        <f t="shared" si="7"/>
        <v>2.2999999999999998</v>
      </c>
      <c r="O13" s="37">
        <v>2</v>
      </c>
      <c r="P13" s="37">
        <v>1.9</v>
      </c>
      <c r="Q13" s="38">
        <f t="shared" si="0"/>
        <v>1.95</v>
      </c>
      <c r="R13" s="17">
        <v>1.8540000000000001</v>
      </c>
      <c r="S13" s="17">
        <v>1.903</v>
      </c>
      <c r="T13" s="22">
        <f t="shared" si="1"/>
        <v>1.8785000000000001</v>
      </c>
      <c r="U13" s="17">
        <v>1.724</v>
      </c>
      <c r="V13" s="17">
        <v>1.722</v>
      </c>
      <c r="W13" s="22">
        <f t="shared" si="8"/>
        <v>1.7229999999999999</v>
      </c>
      <c r="X13" s="17">
        <v>0.05</v>
      </c>
      <c r="Y13" s="17">
        <v>5.0999999999999997E-2</v>
      </c>
      <c r="Z13" s="21">
        <f t="shared" si="2"/>
        <v>5.0500000000000003E-2</v>
      </c>
      <c r="AA13" s="19">
        <v>1.5069999999999999</v>
      </c>
      <c r="AB13" s="19">
        <v>1.5960000000000001</v>
      </c>
      <c r="AC13" s="21">
        <f t="shared" si="3"/>
        <v>1.5514999999999999</v>
      </c>
      <c r="AD13" s="19">
        <v>0.13500000000000001</v>
      </c>
      <c r="AE13" s="19">
        <v>0.13800000000000001</v>
      </c>
      <c r="AF13" s="21">
        <f t="shared" si="4"/>
        <v>0.13650000000000001</v>
      </c>
      <c r="AG13" s="19">
        <v>0.10299999999999999</v>
      </c>
      <c r="AH13" s="19">
        <v>0.104</v>
      </c>
      <c r="AI13" s="21">
        <f t="shared" si="9"/>
        <v>0.10349999999999999</v>
      </c>
      <c r="AJ13" s="19">
        <v>0.10100000000000001</v>
      </c>
      <c r="AK13" s="19">
        <v>0.10199999999999999</v>
      </c>
      <c r="AL13" s="21">
        <f t="shared" si="10"/>
        <v>0.10150000000000001</v>
      </c>
      <c r="AM13" s="19">
        <v>5.992</v>
      </c>
      <c r="AN13" s="19">
        <v>6.3109999999999999</v>
      </c>
      <c r="AO13" s="21">
        <f t="shared" si="5"/>
        <v>6.1515000000000004</v>
      </c>
      <c r="AP13" s="46">
        <v>7.2599999999999998E-2</v>
      </c>
      <c r="AQ13" s="46">
        <v>7.3300000000000004E-2</v>
      </c>
      <c r="AR13" s="47">
        <f t="shared" si="6"/>
        <v>7.2950000000000001E-2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16.8</v>
      </c>
      <c r="F14" s="23">
        <v>7.3</v>
      </c>
      <c r="G14" s="49">
        <v>9.6</v>
      </c>
      <c r="H14" s="24">
        <v>94</v>
      </c>
      <c r="I14" s="23">
        <v>1.2</v>
      </c>
      <c r="J14" s="23">
        <v>2.8</v>
      </c>
      <c r="K14" s="15">
        <v>1.9</v>
      </c>
      <c r="L14" s="15">
        <v>1.7</v>
      </c>
      <c r="M14" s="15"/>
      <c r="N14" s="20">
        <f t="shared" si="7"/>
        <v>1.7999999999999998</v>
      </c>
      <c r="O14" s="37">
        <v>1.6</v>
      </c>
      <c r="P14" s="37">
        <v>1.5</v>
      </c>
      <c r="Q14" s="38">
        <f t="shared" si="0"/>
        <v>1.55</v>
      </c>
      <c r="R14" s="17">
        <v>2.0470000000000002</v>
      </c>
      <c r="S14" s="17">
        <v>2.036</v>
      </c>
      <c r="T14" s="22">
        <f t="shared" si="1"/>
        <v>2.0415000000000001</v>
      </c>
      <c r="U14" s="17">
        <v>1.9830000000000001</v>
      </c>
      <c r="V14" s="17">
        <v>1.9670000000000001</v>
      </c>
      <c r="W14" s="22">
        <f t="shared" si="8"/>
        <v>1.9750000000000001</v>
      </c>
      <c r="X14" s="17">
        <v>1.9E-2</v>
      </c>
      <c r="Y14" s="17">
        <v>1.9E-2</v>
      </c>
      <c r="Z14" s="21">
        <f t="shared" si="2"/>
        <v>1.9E-2</v>
      </c>
      <c r="AA14" s="19">
        <v>1.7549999999999999</v>
      </c>
      <c r="AB14" s="19">
        <v>1.8560000000000001</v>
      </c>
      <c r="AC14" s="21">
        <f t="shared" si="3"/>
        <v>1.8054999999999999</v>
      </c>
      <c r="AD14" s="19">
        <v>3.6999999999999998E-2</v>
      </c>
      <c r="AE14" s="19">
        <v>3.5999999999999997E-2</v>
      </c>
      <c r="AF14" s="21">
        <f t="shared" si="4"/>
        <v>3.6499999999999998E-2</v>
      </c>
      <c r="AG14" s="19">
        <v>1.2E-2</v>
      </c>
      <c r="AH14" s="19">
        <v>0.01</v>
      </c>
      <c r="AI14" s="21">
        <f t="shared" si="9"/>
        <v>1.0999999999999999E-2</v>
      </c>
      <c r="AJ14" s="19">
        <v>5.0000000000000001E-3</v>
      </c>
      <c r="AK14" s="19">
        <v>5.0000000000000001E-3</v>
      </c>
      <c r="AL14" s="21">
        <f t="shared" si="10"/>
        <v>5.0000000000000001E-3</v>
      </c>
      <c r="AM14" s="19">
        <v>5.3079999999999998</v>
      </c>
      <c r="AN14" s="19">
        <v>5.58</v>
      </c>
      <c r="AO14" s="21">
        <f t="shared" si="5"/>
        <v>5.444</v>
      </c>
      <c r="AP14" s="46">
        <v>5.2400000000000002E-2</v>
      </c>
      <c r="AQ14" s="46">
        <v>5.3800000000000001E-2</v>
      </c>
      <c r="AR14" s="47">
        <f t="shared" si="6"/>
        <v>5.3100000000000001E-2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16.3</v>
      </c>
      <c r="F15" s="23">
        <v>7.4</v>
      </c>
      <c r="G15" s="49">
        <v>10</v>
      </c>
      <c r="H15" s="24">
        <v>88</v>
      </c>
      <c r="I15" s="23">
        <v>0.8</v>
      </c>
      <c r="J15" s="23">
        <v>3</v>
      </c>
      <c r="K15" s="15">
        <v>2.2000000000000002</v>
      </c>
      <c r="L15" s="15">
        <v>2.1</v>
      </c>
      <c r="M15" s="15"/>
      <c r="N15" s="20">
        <f t="shared" si="7"/>
        <v>2.1500000000000004</v>
      </c>
      <c r="O15" s="37">
        <v>1.7</v>
      </c>
      <c r="P15" s="37">
        <v>1.6</v>
      </c>
      <c r="Q15" s="38">
        <f t="shared" si="0"/>
        <v>1.65</v>
      </c>
      <c r="R15" s="17">
        <v>1.7509999999999999</v>
      </c>
      <c r="S15" s="17">
        <v>1.75</v>
      </c>
      <c r="T15" s="22">
        <f t="shared" si="1"/>
        <v>1.7504999999999999</v>
      </c>
      <c r="U15" s="17">
        <v>1.6879999999999999</v>
      </c>
      <c r="V15" s="17">
        <v>1.6579999999999999</v>
      </c>
      <c r="W15" s="22">
        <f t="shared" si="8"/>
        <v>1.673</v>
      </c>
      <c r="X15" s="17">
        <v>3.7999999999999999E-2</v>
      </c>
      <c r="Y15" s="17">
        <v>3.6999999999999998E-2</v>
      </c>
      <c r="Z15" s="21">
        <f t="shared" si="2"/>
        <v>3.7499999999999999E-2</v>
      </c>
      <c r="AA15" s="19">
        <v>1.4830000000000001</v>
      </c>
      <c r="AB15" s="19">
        <v>1.544</v>
      </c>
      <c r="AC15" s="21">
        <f t="shared" si="3"/>
        <v>1.5135000000000001</v>
      </c>
      <c r="AD15" s="19">
        <v>7.1999999999999995E-2</v>
      </c>
      <c r="AE15" s="19">
        <v>7.0000000000000007E-2</v>
      </c>
      <c r="AF15" s="21">
        <f t="shared" si="4"/>
        <v>7.1000000000000008E-2</v>
      </c>
      <c r="AG15" s="19">
        <v>4.2999999999999997E-2</v>
      </c>
      <c r="AH15" s="19">
        <v>4.3999999999999997E-2</v>
      </c>
      <c r="AI15" s="21">
        <f t="shared" si="9"/>
        <v>4.3499999999999997E-2</v>
      </c>
      <c r="AJ15" s="19">
        <v>3.7999999999999999E-2</v>
      </c>
      <c r="AK15" s="19">
        <v>3.7999999999999999E-2</v>
      </c>
      <c r="AL15" s="21">
        <f t="shared" si="10"/>
        <v>3.7999999999999999E-2</v>
      </c>
      <c r="AM15" s="19">
        <v>5.8739999999999997</v>
      </c>
      <c r="AN15" s="19">
        <v>6.0869999999999997</v>
      </c>
      <c r="AO15" s="21">
        <f t="shared" si="5"/>
        <v>5.9804999999999993</v>
      </c>
      <c r="AP15" s="46">
        <v>6.7100000000000007E-2</v>
      </c>
      <c r="AQ15" s="46">
        <v>6.7000000000000004E-2</v>
      </c>
      <c r="AR15" s="47">
        <f t="shared" si="6"/>
        <v>6.7049999999999998E-2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17</v>
      </c>
      <c r="F16" s="23">
        <v>7.4</v>
      </c>
      <c r="G16" s="49">
        <v>10</v>
      </c>
      <c r="H16" s="24">
        <v>114</v>
      </c>
      <c r="I16" s="23">
        <v>0.9</v>
      </c>
      <c r="J16" s="23">
        <v>4.4000000000000004</v>
      </c>
      <c r="K16" s="15">
        <v>3.1</v>
      </c>
      <c r="L16" s="15">
        <v>2.9</v>
      </c>
      <c r="M16" s="15"/>
      <c r="N16" s="20">
        <f t="shared" si="7"/>
        <v>3</v>
      </c>
      <c r="O16" s="37">
        <v>2.6</v>
      </c>
      <c r="P16" s="37">
        <v>2.4</v>
      </c>
      <c r="Q16" s="38">
        <f t="shared" si="0"/>
        <v>2.5</v>
      </c>
      <c r="R16" s="17">
        <v>2.3340000000000001</v>
      </c>
      <c r="S16" s="17">
        <v>2.3319999999999999</v>
      </c>
      <c r="T16" s="22">
        <f t="shared" si="1"/>
        <v>2.3330000000000002</v>
      </c>
      <c r="U16" s="17">
        <v>2.145</v>
      </c>
      <c r="V16" s="17">
        <v>2.1720000000000002</v>
      </c>
      <c r="W16" s="22">
        <f t="shared" si="8"/>
        <v>2.1585000000000001</v>
      </c>
      <c r="X16" s="17">
        <v>3.5999999999999997E-2</v>
      </c>
      <c r="Y16" s="17">
        <v>3.6999999999999998E-2</v>
      </c>
      <c r="Z16" s="21">
        <f t="shared" si="2"/>
        <v>3.6499999999999998E-2</v>
      </c>
      <c r="AA16" s="19">
        <v>1.9330000000000001</v>
      </c>
      <c r="AB16" s="19">
        <v>2.0299999999999998</v>
      </c>
      <c r="AC16" s="21">
        <f t="shared" si="3"/>
        <v>1.9815</v>
      </c>
      <c r="AD16" s="19">
        <v>7.8E-2</v>
      </c>
      <c r="AE16" s="19">
        <v>8.1000000000000003E-2</v>
      </c>
      <c r="AF16" s="21">
        <f t="shared" si="4"/>
        <v>7.9500000000000001E-2</v>
      </c>
      <c r="AG16" s="19">
        <v>5.6000000000000001E-2</v>
      </c>
      <c r="AH16" s="19">
        <v>5.6000000000000001E-2</v>
      </c>
      <c r="AI16" s="21">
        <f t="shared" si="9"/>
        <v>5.6000000000000001E-2</v>
      </c>
      <c r="AJ16" s="19">
        <v>4.7E-2</v>
      </c>
      <c r="AK16" s="19">
        <v>4.7E-2</v>
      </c>
      <c r="AL16" s="21">
        <f t="shared" si="10"/>
        <v>4.7E-2</v>
      </c>
      <c r="AM16" s="19">
        <v>7.3659999999999997</v>
      </c>
      <c r="AN16" s="19">
        <v>7.6719999999999997</v>
      </c>
      <c r="AO16" s="21">
        <f t="shared" si="5"/>
        <v>7.5190000000000001</v>
      </c>
      <c r="AP16" s="46">
        <v>9.6500000000000002E-2</v>
      </c>
      <c r="AQ16" s="46">
        <v>9.6500000000000002E-2</v>
      </c>
      <c r="AR16" s="47">
        <f t="shared" si="6"/>
        <v>9.6500000000000002E-2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16.100000000000001</v>
      </c>
      <c r="F17" s="23">
        <v>7.1</v>
      </c>
      <c r="G17" s="49">
        <v>9.9</v>
      </c>
      <c r="H17" s="24">
        <v>99</v>
      </c>
      <c r="I17" s="23">
        <v>1</v>
      </c>
      <c r="J17" s="23">
        <v>3.2</v>
      </c>
      <c r="K17" s="15">
        <v>2.2999999999999998</v>
      </c>
      <c r="L17" s="15">
        <v>2.2999999999999998</v>
      </c>
      <c r="M17" s="15"/>
      <c r="N17" s="20">
        <f t="shared" si="7"/>
        <v>2.2999999999999998</v>
      </c>
      <c r="O17" s="37">
        <v>1.9</v>
      </c>
      <c r="P17" s="37">
        <v>1.8</v>
      </c>
      <c r="Q17" s="38">
        <f t="shared" si="0"/>
        <v>1.85</v>
      </c>
      <c r="R17" s="17">
        <v>1.849</v>
      </c>
      <c r="S17" s="17">
        <v>1.907</v>
      </c>
      <c r="T17" s="22">
        <f t="shared" si="1"/>
        <v>1.8780000000000001</v>
      </c>
      <c r="U17" s="17">
        <v>1.756</v>
      </c>
      <c r="V17" s="17">
        <v>1.7410000000000001</v>
      </c>
      <c r="W17" s="22">
        <f t="shared" si="8"/>
        <v>1.7484999999999999</v>
      </c>
      <c r="X17" s="17">
        <v>5.2999999999999999E-2</v>
      </c>
      <c r="Y17" s="17">
        <v>4.3999999999999997E-2</v>
      </c>
      <c r="Z17" s="21">
        <f t="shared" si="2"/>
        <v>4.8500000000000001E-2</v>
      </c>
      <c r="AA17" s="19">
        <v>1.546</v>
      </c>
      <c r="AB17" s="19">
        <v>1.6140000000000001</v>
      </c>
      <c r="AC17" s="21">
        <f t="shared" si="3"/>
        <v>1.58</v>
      </c>
      <c r="AD17" s="19">
        <v>7.2999999999999995E-2</v>
      </c>
      <c r="AE17" s="19">
        <v>7.4999999999999997E-2</v>
      </c>
      <c r="AF17" s="21">
        <f t="shared" si="4"/>
        <v>7.3999999999999996E-2</v>
      </c>
      <c r="AG17" s="19">
        <v>4.7E-2</v>
      </c>
      <c r="AH17" s="19">
        <v>4.7E-2</v>
      </c>
      <c r="AI17" s="21">
        <f t="shared" si="9"/>
        <v>4.7E-2</v>
      </c>
      <c r="AJ17" s="19">
        <v>4.2000000000000003E-2</v>
      </c>
      <c r="AK17" s="19">
        <v>4.2999999999999997E-2</v>
      </c>
      <c r="AL17" s="21">
        <f t="shared" si="10"/>
        <v>4.2499999999999996E-2</v>
      </c>
      <c r="AM17" s="19">
        <v>6.032</v>
      </c>
      <c r="AN17" s="19">
        <v>6.2380000000000004</v>
      </c>
      <c r="AO17" s="21">
        <f t="shared" si="5"/>
        <v>6.1349999999999998</v>
      </c>
      <c r="AP17" s="46">
        <v>6.9500000000000006E-2</v>
      </c>
      <c r="AQ17" s="46">
        <v>7.0099999999999996E-2</v>
      </c>
      <c r="AR17" s="47">
        <f t="shared" si="6"/>
        <v>6.9800000000000001E-2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16.7</v>
      </c>
      <c r="F18" s="23">
        <v>7</v>
      </c>
      <c r="G18" s="49">
        <v>9</v>
      </c>
      <c r="H18" s="24">
        <v>107</v>
      </c>
      <c r="I18" s="23">
        <v>1.3</v>
      </c>
      <c r="J18" s="23">
        <v>6.4</v>
      </c>
      <c r="K18" s="15">
        <v>4.5</v>
      </c>
      <c r="L18" s="15">
        <v>4.5999999999999996</v>
      </c>
      <c r="M18" s="15"/>
      <c r="N18" s="20">
        <f t="shared" si="7"/>
        <v>4.55</v>
      </c>
      <c r="O18" s="37">
        <v>4</v>
      </c>
      <c r="P18" s="37">
        <v>3.8</v>
      </c>
      <c r="Q18" s="38">
        <f t="shared" si="0"/>
        <v>3.9</v>
      </c>
      <c r="R18" s="17">
        <v>2.9079999999999999</v>
      </c>
      <c r="S18" s="17">
        <v>2.9449999999999998</v>
      </c>
      <c r="T18" s="22">
        <f t="shared" si="1"/>
        <v>2.9264999999999999</v>
      </c>
      <c r="U18" s="17">
        <v>2.6909999999999998</v>
      </c>
      <c r="V18" s="17">
        <v>2.7069999999999999</v>
      </c>
      <c r="W18" s="22">
        <f t="shared" si="8"/>
        <v>2.6989999999999998</v>
      </c>
      <c r="X18" s="17">
        <v>3.6999999999999998E-2</v>
      </c>
      <c r="Y18" s="17">
        <v>3.6999999999999998E-2</v>
      </c>
      <c r="Z18" s="21">
        <f t="shared" si="2"/>
        <v>3.6999999999999998E-2</v>
      </c>
      <c r="AA18" s="19">
        <v>2.4260000000000002</v>
      </c>
      <c r="AB18" s="19">
        <v>2.4820000000000002</v>
      </c>
      <c r="AC18" s="21">
        <f t="shared" si="3"/>
        <v>2.4540000000000002</v>
      </c>
      <c r="AD18" s="19">
        <v>9.6000000000000002E-2</v>
      </c>
      <c r="AE18" s="19">
        <v>9.9000000000000005E-2</v>
      </c>
      <c r="AF18" s="21">
        <f t="shared" si="4"/>
        <v>9.7500000000000003E-2</v>
      </c>
      <c r="AG18" s="19">
        <v>6.3E-2</v>
      </c>
      <c r="AH18" s="19">
        <v>6.0999999999999999E-2</v>
      </c>
      <c r="AI18" s="21">
        <f t="shared" si="9"/>
        <v>6.2E-2</v>
      </c>
      <c r="AJ18" s="19">
        <v>0.05</v>
      </c>
      <c r="AK18" s="19">
        <v>4.9000000000000002E-2</v>
      </c>
      <c r="AL18" s="21">
        <f t="shared" si="10"/>
        <v>4.9500000000000002E-2</v>
      </c>
      <c r="AM18" s="19">
        <v>9.202</v>
      </c>
      <c r="AN18" s="19">
        <v>9.4420000000000002</v>
      </c>
      <c r="AO18" s="21">
        <f t="shared" si="5"/>
        <v>9.3219999999999992</v>
      </c>
      <c r="AP18" s="46">
        <v>0.14380000000000001</v>
      </c>
      <c r="AQ18" s="46">
        <v>0.1434</v>
      </c>
      <c r="AR18" s="47">
        <f t="shared" si="6"/>
        <v>0.14360000000000001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16</v>
      </c>
      <c r="F19" s="23">
        <v>7.2</v>
      </c>
      <c r="G19" s="49">
        <v>9.9</v>
      </c>
      <c r="H19" s="24">
        <v>119</v>
      </c>
      <c r="I19" s="23">
        <v>1</v>
      </c>
      <c r="J19" s="23">
        <v>3.9</v>
      </c>
      <c r="K19" s="15">
        <v>2.7</v>
      </c>
      <c r="L19" s="15">
        <v>2.5</v>
      </c>
      <c r="M19" s="15"/>
      <c r="N19" s="20">
        <f t="shared" si="7"/>
        <v>2.6</v>
      </c>
      <c r="O19" s="37">
        <v>2.2000000000000002</v>
      </c>
      <c r="P19" s="37">
        <v>2</v>
      </c>
      <c r="Q19" s="38">
        <f t="shared" si="0"/>
        <v>2.1</v>
      </c>
      <c r="R19" s="17">
        <v>1.9630000000000001</v>
      </c>
      <c r="S19" s="17">
        <v>1.919</v>
      </c>
      <c r="T19" s="22">
        <f t="shared" si="1"/>
        <v>1.9410000000000001</v>
      </c>
      <c r="U19" s="17">
        <v>1.831</v>
      </c>
      <c r="V19" s="17">
        <v>1.831</v>
      </c>
      <c r="W19" s="22">
        <f t="shared" si="8"/>
        <v>1.831</v>
      </c>
      <c r="X19" s="17">
        <v>4.3999999999999997E-2</v>
      </c>
      <c r="Y19" s="17">
        <v>4.1000000000000002E-2</v>
      </c>
      <c r="Z19" s="21">
        <f t="shared" si="2"/>
        <v>4.2499999999999996E-2</v>
      </c>
      <c r="AA19" s="19">
        <v>1.6259999999999999</v>
      </c>
      <c r="AB19" s="19">
        <v>1.7130000000000001</v>
      </c>
      <c r="AC19" s="21">
        <f t="shared" si="3"/>
        <v>1.6695</v>
      </c>
      <c r="AD19" s="19">
        <v>7.8E-2</v>
      </c>
      <c r="AE19" s="19">
        <v>7.4999999999999997E-2</v>
      </c>
      <c r="AF19" s="21">
        <f t="shared" si="4"/>
        <v>7.6499999999999999E-2</v>
      </c>
      <c r="AG19" s="19">
        <v>0.05</v>
      </c>
      <c r="AH19" s="19">
        <v>5.0999999999999997E-2</v>
      </c>
      <c r="AI19" s="21">
        <f t="shared" si="9"/>
        <v>5.0500000000000003E-2</v>
      </c>
      <c r="AJ19" s="19">
        <v>4.4999999999999998E-2</v>
      </c>
      <c r="AK19" s="19">
        <v>4.3999999999999997E-2</v>
      </c>
      <c r="AL19" s="21">
        <f t="shared" si="10"/>
        <v>4.4499999999999998E-2</v>
      </c>
      <c r="AM19" s="19">
        <v>6.282</v>
      </c>
      <c r="AN19" s="19">
        <v>6.5369999999999999</v>
      </c>
      <c r="AO19" s="21">
        <f t="shared" si="5"/>
        <v>6.4094999999999995</v>
      </c>
      <c r="AP19" s="46">
        <v>7.7299999999999994E-2</v>
      </c>
      <c r="AQ19" s="46">
        <v>7.8700000000000006E-2</v>
      </c>
      <c r="AR19" s="47">
        <f t="shared" si="6"/>
        <v>7.8E-2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18</v>
      </c>
      <c r="F20" s="23">
        <v>6.9</v>
      </c>
      <c r="G20" s="49">
        <v>9</v>
      </c>
      <c r="H20" s="24">
        <v>190</v>
      </c>
      <c r="I20" s="23">
        <v>1</v>
      </c>
      <c r="J20" s="23">
        <v>3.3</v>
      </c>
      <c r="K20" s="15">
        <v>2.5</v>
      </c>
      <c r="L20" s="15">
        <v>2.4</v>
      </c>
      <c r="M20" s="15"/>
      <c r="N20" s="20">
        <f t="shared" si="7"/>
        <v>2.4500000000000002</v>
      </c>
      <c r="O20" s="37">
        <v>2.1</v>
      </c>
      <c r="P20" s="37">
        <v>2.1</v>
      </c>
      <c r="Q20" s="38">
        <f t="shared" si="0"/>
        <v>2.1</v>
      </c>
      <c r="R20" s="17">
        <v>1.2250000000000001</v>
      </c>
      <c r="S20" s="17">
        <v>1.2250000000000001</v>
      </c>
      <c r="T20" s="22">
        <f t="shared" si="1"/>
        <v>1.2250000000000001</v>
      </c>
      <c r="U20" s="17">
        <v>1.1240000000000001</v>
      </c>
      <c r="V20" s="17">
        <v>1.1339999999999999</v>
      </c>
      <c r="W20" s="22">
        <f t="shared" si="8"/>
        <v>1.129</v>
      </c>
      <c r="X20" s="17">
        <v>3.4000000000000002E-2</v>
      </c>
      <c r="Y20" s="17">
        <v>3.2000000000000001E-2</v>
      </c>
      <c r="Z20" s="21">
        <f t="shared" si="2"/>
        <v>3.3000000000000002E-2</v>
      </c>
      <c r="AA20" s="19">
        <v>0.97099999999999997</v>
      </c>
      <c r="AB20" s="19">
        <v>1.006</v>
      </c>
      <c r="AC20" s="21">
        <f t="shared" si="3"/>
        <v>0.98849999999999993</v>
      </c>
      <c r="AD20" s="19">
        <v>3.3000000000000002E-2</v>
      </c>
      <c r="AE20" s="19">
        <v>3.2000000000000001E-2</v>
      </c>
      <c r="AF20" s="21">
        <f t="shared" si="4"/>
        <v>3.2500000000000001E-2</v>
      </c>
      <c r="AG20" s="19">
        <v>1.4E-2</v>
      </c>
      <c r="AH20" s="19">
        <v>1.2E-2</v>
      </c>
      <c r="AI20" s="21">
        <f t="shared" si="9"/>
        <v>1.3000000000000001E-2</v>
      </c>
      <c r="AJ20" s="19">
        <v>3.0000000000000001E-3</v>
      </c>
      <c r="AK20" s="19">
        <v>4.0000000000000001E-3</v>
      </c>
      <c r="AL20" s="21">
        <f t="shared" si="10"/>
        <v>3.5000000000000001E-3</v>
      </c>
      <c r="AM20" s="19">
        <v>6.3120000000000003</v>
      </c>
      <c r="AN20" s="19">
        <v>6.4930000000000003</v>
      </c>
      <c r="AO20" s="21">
        <f t="shared" si="5"/>
        <v>6.4024999999999999</v>
      </c>
      <c r="AP20" s="46">
        <v>6.2700000000000006E-2</v>
      </c>
      <c r="AQ20" s="46">
        <v>6.4799999999999996E-2</v>
      </c>
      <c r="AR20" s="47">
        <f t="shared" si="6"/>
        <v>6.3750000000000001E-2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16.100000000000001</v>
      </c>
      <c r="F21" s="23">
        <v>7.1</v>
      </c>
      <c r="G21" s="49">
        <v>9.8000000000000007</v>
      </c>
      <c r="H21" s="24">
        <v>109</v>
      </c>
      <c r="I21" s="23">
        <v>0.9</v>
      </c>
      <c r="J21" s="23">
        <v>3.8</v>
      </c>
      <c r="K21" s="15">
        <v>2.5</v>
      </c>
      <c r="L21" s="15">
        <v>2.5</v>
      </c>
      <c r="M21" s="15"/>
      <c r="N21" s="20">
        <f t="shared" si="7"/>
        <v>2.5</v>
      </c>
      <c r="O21" s="37">
        <v>2.1</v>
      </c>
      <c r="P21" s="37">
        <v>2</v>
      </c>
      <c r="Q21" s="38">
        <f t="shared" si="0"/>
        <v>2.0499999999999998</v>
      </c>
      <c r="R21" s="17">
        <v>1.8420000000000001</v>
      </c>
      <c r="S21" s="17">
        <v>1.833</v>
      </c>
      <c r="T21" s="22">
        <f t="shared" si="1"/>
        <v>1.8374999999999999</v>
      </c>
      <c r="U21" s="17">
        <v>1.7110000000000001</v>
      </c>
      <c r="V21" s="17">
        <v>1.6990000000000001</v>
      </c>
      <c r="W21" s="22">
        <f t="shared" si="8"/>
        <v>1.7050000000000001</v>
      </c>
      <c r="X21" s="17">
        <v>3.9E-2</v>
      </c>
      <c r="Y21" s="17">
        <v>0.04</v>
      </c>
      <c r="Z21" s="21">
        <f t="shared" si="2"/>
        <v>3.95E-2</v>
      </c>
      <c r="AA21" s="19">
        <v>1.52</v>
      </c>
      <c r="AB21" s="19">
        <v>1.57</v>
      </c>
      <c r="AC21" s="21">
        <f t="shared" si="3"/>
        <v>1.5449999999999999</v>
      </c>
      <c r="AD21" s="19">
        <v>7.0999999999999994E-2</v>
      </c>
      <c r="AE21" s="19">
        <v>7.1999999999999995E-2</v>
      </c>
      <c r="AF21" s="21">
        <f t="shared" si="4"/>
        <v>7.1499999999999994E-2</v>
      </c>
      <c r="AG21" s="19">
        <v>4.2000000000000003E-2</v>
      </c>
      <c r="AH21" s="19">
        <v>4.2999999999999997E-2</v>
      </c>
      <c r="AI21" s="21">
        <f t="shared" si="9"/>
        <v>4.2499999999999996E-2</v>
      </c>
      <c r="AJ21" s="19">
        <v>3.7999999999999999E-2</v>
      </c>
      <c r="AK21" s="19">
        <v>3.7999999999999999E-2</v>
      </c>
      <c r="AL21" s="21">
        <f t="shared" si="10"/>
        <v>3.7999999999999999E-2</v>
      </c>
      <c r="AM21" s="19">
        <v>6.1230000000000002</v>
      </c>
      <c r="AN21" s="19">
        <v>6.3259999999999996</v>
      </c>
      <c r="AO21" s="21">
        <f t="shared" si="5"/>
        <v>6.2244999999999999</v>
      </c>
      <c r="AP21" s="46">
        <v>7.2700000000000001E-2</v>
      </c>
      <c r="AQ21" s="46">
        <v>7.4499999999999997E-2</v>
      </c>
      <c r="AR21" s="47">
        <f t="shared" si="6"/>
        <v>7.3599999999999999E-2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16.3</v>
      </c>
      <c r="F22" s="23">
        <v>7.1</v>
      </c>
      <c r="G22" s="49">
        <v>10</v>
      </c>
      <c r="H22" s="24">
        <v>156</v>
      </c>
      <c r="I22" s="23">
        <v>1.2</v>
      </c>
      <c r="J22" s="23">
        <v>4.0999999999999996</v>
      </c>
      <c r="K22" s="15">
        <v>2.9</v>
      </c>
      <c r="L22" s="15">
        <v>3</v>
      </c>
      <c r="M22" s="15"/>
      <c r="N22" s="20">
        <f t="shared" si="7"/>
        <v>2.95</v>
      </c>
      <c r="O22" s="37">
        <v>2.2999999999999998</v>
      </c>
      <c r="P22" s="37">
        <v>2.2999999999999998</v>
      </c>
      <c r="Q22" s="38">
        <f t="shared" si="0"/>
        <v>2.2999999999999998</v>
      </c>
      <c r="R22" s="17">
        <v>2.3159999999999998</v>
      </c>
      <c r="S22" s="17">
        <v>2.2989999999999999</v>
      </c>
      <c r="T22" s="22">
        <f t="shared" si="1"/>
        <v>2.3075000000000001</v>
      </c>
      <c r="U22" s="17">
        <v>2.1419999999999999</v>
      </c>
      <c r="V22" s="17">
        <v>2.1539999999999999</v>
      </c>
      <c r="W22" s="22">
        <f t="shared" si="8"/>
        <v>2.1479999999999997</v>
      </c>
      <c r="X22" s="17">
        <v>6.8000000000000005E-2</v>
      </c>
      <c r="Y22" s="17">
        <v>6.4000000000000001E-2</v>
      </c>
      <c r="Z22" s="21">
        <f t="shared" si="2"/>
        <v>6.6000000000000003E-2</v>
      </c>
      <c r="AA22" s="19">
        <v>1.885</v>
      </c>
      <c r="AB22" s="19">
        <v>1.903</v>
      </c>
      <c r="AC22" s="21">
        <f t="shared" si="3"/>
        <v>1.8940000000000001</v>
      </c>
      <c r="AD22" s="19">
        <v>0.09</v>
      </c>
      <c r="AE22" s="19">
        <v>9.1999999999999998E-2</v>
      </c>
      <c r="AF22" s="21">
        <f t="shared" si="4"/>
        <v>9.0999999999999998E-2</v>
      </c>
      <c r="AG22" s="19">
        <v>5.8999999999999997E-2</v>
      </c>
      <c r="AH22" s="19">
        <v>5.8000000000000003E-2</v>
      </c>
      <c r="AI22" s="21">
        <f t="shared" si="9"/>
        <v>5.8499999999999996E-2</v>
      </c>
      <c r="AJ22" s="19">
        <v>5.0999999999999997E-2</v>
      </c>
      <c r="AK22" s="19">
        <v>5.1999999999999998E-2</v>
      </c>
      <c r="AL22" s="21">
        <f t="shared" si="10"/>
        <v>5.1499999999999997E-2</v>
      </c>
      <c r="AM22" s="19">
        <v>9.0280000000000005</v>
      </c>
      <c r="AN22" s="19">
        <v>9.0790000000000006</v>
      </c>
      <c r="AO22" s="21">
        <f t="shared" si="5"/>
        <v>9.0534999999999997</v>
      </c>
      <c r="AP22" s="46">
        <v>7.8299999999999995E-2</v>
      </c>
      <c r="AQ22" s="46">
        <v>7.9600000000000004E-2</v>
      </c>
      <c r="AR22" s="47">
        <f t="shared" si="6"/>
        <v>7.8949999999999992E-2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16.5</v>
      </c>
      <c r="F23" s="23">
        <v>7.2</v>
      </c>
      <c r="G23" s="49">
        <v>9.6999999999999993</v>
      </c>
      <c r="H23" s="24">
        <v>131</v>
      </c>
      <c r="I23" s="23">
        <v>1.5</v>
      </c>
      <c r="J23" s="23">
        <v>4.3</v>
      </c>
      <c r="K23" s="15">
        <v>2.8</v>
      </c>
      <c r="L23" s="15">
        <v>3.1</v>
      </c>
      <c r="M23" s="15"/>
      <c r="N23" s="20">
        <f t="shared" si="7"/>
        <v>2.95</v>
      </c>
      <c r="O23" s="37">
        <v>2.2000000000000002</v>
      </c>
      <c r="P23" s="37">
        <v>2.2999999999999998</v>
      </c>
      <c r="Q23" s="38">
        <f t="shared" si="0"/>
        <v>2.25</v>
      </c>
      <c r="R23" s="17">
        <v>2.1850000000000001</v>
      </c>
      <c r="S23" s="17">
        <v>2.2120000000000002</v>
      </c>
      <c r="T23" s="22">
        <f t="shared" si="1"/>
        <v>2.1985000000000001</v>
      </c>
      <c r="U23" s="17">
        <v>2.0019999999999998</v>
      </c>
      <c r="V23" s="17">
        <v>1.9970000000000001</v>
      </c>
      <c r="W23" s="22">
        <f t="shared" si="8"/>
        <v>1.9994999999999998</v>
      </c>
      <c r="X23" s="17">
        <v>0.1</v>
      </c>
      <c r="Y23" s="17">
        <v>0.1</v>
      </c>
      <c r="Z23" s="21">
        <f t="shared" si="2"/>
        <v>0.1</v>
      </c>
      <c r="AA23" s="19">
        <v>1.724</v>
      </c>
      <c r="AB23" s="19">
        <v>1.776</v>
      </c>
      <c r="AC23" s="21">
        <f t="shared" si="3"/>
        <v>1.75</v>
      </c>
      <c r="AD23" s="19">
        <v>9.4E-2</v>
      </c>
      <c r="AE23" s="19">
        <v>9.9000000000000005E-2</v>
      </c>
      <c r="AF23" s="21">
        <f t="shared" si="4"/>
        <v>9.6500000000000002E-2</v>
      </c>
      <c r="AG23" s="19">
        <v>5.2999999999999999E-2</v>
      </c>
      <c r="AH23" s="19">
        <v>5.2999999999999999E-2</v>
      </c>
      <c r="AI23" s="21">
        <f t="shared" si="9"/>
        <v>5.2999999999999999E-2</v>
      </c>
      <c r="AJ23" s="19">
        <v>4.4999999999999998E-2</v>
      </c>
      <c r="AK23" s="19">
        <v>4.7E-2</v>
      </c>
      <c r="AL23" s="21">
        <f t="shared" si="10"/>
        <v>4.5999999999999999E-2</v>
      </c>
      <c r="AM23" s="19">
        <v>7.8380000000000001</v>
      </c>
      <c r="AN23" s="19">
        <v>8.0120000000000005</v>
      </c>
      <c r="AO23" s="21">
        <f t="shared" si="5"/>
        <v>7.9250000000000007</v>
      </c>
      <c r="AP23" s="46">
        <v>7.5700000000000003E-2</v>
      </c>
      <c r="AQ23" s="46">
        <v>7.6999999999999999E-2</v>
      </c>
      <c r="AR23" s="47">
        <f t="shared" si="6"/>
        <v>7.6350000000000001E-2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15.9</v>
      </c>
      <c r="F24" s="23">
        <v>7.2</v>
      </c>
      <c r="G24" s="49">
        <v>10.3</v>
      </c>
      <c r="H24" s="24">
        <v>145</v>
      </c>
      <c r="I24" s="23">
        <v>1.6</v>
      </c>
      <c r="J24" s="23">
        <v>3.7</v>
      </c>
      <c r="K24" s="15">
        <v>2.5</v>
      </c>
      <c r="L24" s="15">
        <v>2.2999999999999998</v>
      </c>
      <c r="M24" s="15"/>
      <c r="N24" s="20">
        <f t="shared" si="7"/>
        <v>2.4</v>
      </c>
      <c r="O24" s="37">
        <v>2</v>
      </c>
      <c r="P24" s="37">
        <v>2</v>
      </c>
      <c r="Q24" s="38">
        <f t="shared" si="0"/>
        <v>2</v>
      </c>
      <c r="R24" s="17">
        <v>2.5019999999999998</v>
      </c>
      <c r="S24" s="17">
        <v>2.4889999999999999</v>
      </c>
      <c r="T24" s="22">
        <f t="shared" si="1"/>
        <v>2.4954999999999998</v>
      </c>
      <c r="U24" s="17">
        <v>2.3679999999999999</v>
      </c>
      <c r="V24" s="17">
        <v>2.3519999999999999</v>
      </c>
      <c r="W24" s="22">
        <f t="shared" si="8"/>
        <v>2.36</v>
      </c>
      <c r="X24" s="17">
        <v>1.2999999999999999E-2</v>
      </c>
      <c r="Y24" s="17">
        <v>1.4E-2</v>
      </c>
      <c r="Z24" s="21">
        <f t="shared" si="2"/>
        <v>1.35E-2</v>
      </c>
      <c r="AA24" s="19">
        <v>2.2050000000000001</v>
      </c>
      <c r="AB24" s="19">
        <v>2.2839999999999998</v>
      </c>
      <c r="AC24" s="21">
        <f t="shared" si="3"/>
        <v>2.2444999999999999</v>
      </c>
      <c r="AD24" s="19">
        <v>4.4999999999999998E-2</v>
      </c>
      <c r="AE24" s="19">
        <v>4.5999999999999999E-2</v>
      </c>
      <c r="AF24" s="21">
        <f t="shared" si="4"/>
        <v>4.5499999999999999E-2</v>
      </c>
      <c r="AG24" s="19">
        <v>0.03</v>
      </c>
      <c r="AH24" s="19">
        <v>2.9000000000000001E-2</v>
      </c>
      <c r="AI24" s="21">
        <f t="shared" si="9"/>
        <v>2.9499999999999998E-2</v>
      </c>
      <c r="AJ24" s="19">
        <v>2.4E-2</v>
      </c>
      <c r="AK24" s="19">
        <v>2.5000000000000001E-2</v>
      </c>
      <c r="AL24" s="21">
        <f t="shared" si="10"/>
        <v>2.4500000000000001E-2</v>
      </c>
      <c r="AM24" s="19">
        <v>12.417999999999999</v>
      </c>
      <c r="AN24" s="19">
        <v>12.788</v>
      </c>
      <c r="AO24" s="21">
        <f t="shared" si="5"/>
        <v>12.603</v>
      </c>
      <c r="AP24" s="46">
        <v>6.4600000000000005E-2</v>
      </c>
      <c r="AQ24" s="46">
        <v>6.6199999999999995E-2</v>
      </c>
      <c r="AR24" s="47">
        <f t="shared" si="6"/>
        <v>6.54E-2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16.399999999999999</v>
      </c>
      <c r="F25" s="23">
        <v>7.5</v>
      </c>
      <c r="G25" s="49">
        <v>9.8000000000000007</v>
      </c>
      <c r="H25" s="24">
        <v>118</v>
      </c>
      <c r="I25" s="23">
        <v>1.9</v>
      </c>
      <c r="J25" s="23">
        <v>4</v>
      </c>
      <c r="K25" s="15">
        <v>3.1</v>
      </c>
      <c r="L25" s="15">
        <v>2.9</v>
      </c>
      <c r="M25" s="15"/>
      <c r="N25" s="20">
        <f t="shared" si="7"/>
        <v>3</v>
      </c>
      <c r="O25" s="37">
        <v>2.2999999999999998</v>
      </c>
      <c r="P25" s="37">
        <v>2.2000000000000002</v>
      </c>
      <c r="Q25" s="38">
        <f t="shared" si="0"/>
        <v>2.25</v>
      </c>
      <c r="R25" s="17">
        <v>2.1080000000000001</v>
      </c>
      <c r="S25" s="17">
        <v>2.0760000000000001</v>
      </c>
      <c r="T25" s="22">
        <f t="shared" si="1"/>
        <v>2.0920000000000001</v>
      </c>
      <c r="U25" s="17">
        <v>1.9139999999999999</v>
      </c>
      <c r="V25" s="17">
        <v>1.9179999999999999</v>
      </c>
      <c r="W25" s="22">
        <f t="shared" si="8"/>
        <v>1.9159999999999999</v>
      </c>
      <c r="X25" s="17">
        <v>6.4000000000000001E-2</v>
      </c>
      <c r="Y25" s="17">
        <v>6.3E-2</v>
      </c>
      <c r="Z25" s="21">
        <f t="shared" si="2"/>
        <v>6.3500000000000001E-2</v>
      </c>
      <c r="AA25" s="19">
        <v>1.6859999999999999</v>
      </c>
      <c r="AB25" s="19">
        <v>1.744</v>
      </c>
      <c r="AC25" s="21">
        <f t="shared" si="3"/>
        <v>1.7149999999999999</v>
      </c>
      <c r="AD25" s="19">
        <v>8.5999999999999993E-2</v>
      </c>
      <c r="AE25" s="19">
        <v>0.09</v>
      </c>
      <c r="AF25" s="21">
        <f t="shared" si="4"/>
        <v>8.7999999999999995E-2</v>
      </c>
      <c r="AG25" s="19">
        <v>5.0999999999999997E-2</v>
      </c>
      <c r="AH25" s="19">
        <v>5.1999999999999998E-2</v>
      </c>
      <c r="AI25" s="21">
        <f t="shared" si="9"/>
        <v>5.1499999999999997E-2</v>
      </c>
      <c r="AJ25" s="19">
        <v>4.4999999999999998E-2</v>
      </c>
      <c r="AK25" s="19">
        <v>4.4999999999999998E-2</v>
      </c>
      <c r="AL25" s="21">
        <f t="shared" si="10"/>
        <v>4.4999999999999998E-2</v>
      </c>
      <c r="AM25" s="19">
        <v>7.4039999999999999</v>
      </c>
      <c r="AN25" s="19">
        <v>7.6219999999999999</v>
      </c>
      <c r="AO25" s="21">
        <f t="shared" si="5"/>
        <v>7.5129999999999999</v>
      </c>
      <c r="AP25" s="46">
        <v>7.5499999999999998E-2</v>
      </c>
      <c r="AQ25" s="46">
        <v>7.6799999999999993E-2</v>
      </c>
      <c r="AR25" s="47">
        <f t="shared" si="6"/>
        <v>7.6149999999999995E-2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17.100000000000001</v>
      </c>
      <c r="F26" s="23">
        <v>7.3</v>
      </c>
      <c r="G26" s="49">
        <v>9.8000000000000007</v>
      </c>
      <c r="H26" s="24">
        <v>150</v>
      </c>
      <c r="I26" s="23">
        <v>2.2999999999999998</v>
      </c>
      <c r="J26" s="23">
        <v>5.4</v>
      </c>
      <c r="K26" s="15">
        <v>4.2</v>
      </c>
      <c r="L26" s="15">
        <v>4.0999999999999996</v>
      </c>
      <c r="M26" s="15"/>
      <c r="N26" s="20">
        <f t="shared" si="7"/>
        <v>4.1500000000000004</v>
      </c>
      <c r="O26" s="37">
        <v>3.7</v>
      </c>
      <c r="P26" s="37">
        <v>3.6</v>
      </c>
      <c r="Q26" s="38">
        <f t="shared" si="0"/>
        <v>3.6500000000000004</v>
      </c>
      <c r="R26" s="17">
        <v>2.3820000000000001</v>
      </c>
      <c r="S26" s="17">
        <v>2.371</v>
      </c>
      <c r="T26" s="22">
        <f t="shared" si="1"/>
        <v>2.3765000000000001</v>
      </c>
      <c r="U26" s="17">
        <v>2.1829999999999998</v>
      </c>
      <c r="V26" s="17">
        <v>2.1920000000000002</v>
      </c>
      <c r="W26" s="22">
        <f t="shared" si="8"/>
        <v>2.1875</v>
      </c>
      <c r="X26" s="17">
        <v>0.1</v>
      </c>
      <c r="Y26" s="17">
        <v>9.9000000000000005E-2</v>
      </c>
      <c r="Z26" s="21">
        <f t="shared" si="2"/>
        <v>9.9500000000000005E-2</v>
      </c>
      <c r="AA26" s="19">
        <v>1.827</v>
      </c>
      <c r="AB26" s="19">
        <v>1.869</v>
      </c>
      <c r="AC26" s="21">
        <f t="shared" si="3"/>
        <v>1.8479999999999999</v>
      </c>
      <c r="AD26" s="19">
        <v>0.11700000000000001</v>
      </c>
      <c r="AE26" s="19">
        <v>0.121</v>
      </c>
      <c r="AF26" s="21">
        <f t="shared" si="4"/>
        <v>0.11899999999999999</v>
      </c>
      <c r="AG26" s="19">
        <v>8.4000000000000005E-2</v>
      </c>
      <c r="AH26" s="19">
        <v>8.5999999999999993E-2</v>
      </c>
      <c r="AI26" s="21">
        <f t="shared" si="9"/>
        <v>8.4999999999999992E-2</v>
      </c>
      <c r="AJ26" s="19">
        <v>8.1000000000000003E-2</v>
      </c>
      <c r="AK26" s="19">
        <v>0.08</v>
      </c>
      <c r="AL26" s="21">
        <f t="shared" si="10"/>
        <v>8.0500000000000002E-2</v>
      </c>
      <c r="AM26" s="19">
        <v>8.7959999999999994</v>
      </c>
      <c r="AN26" s="19">
        <v>8.9429999999999996</v>
      </c>
      <c r="AO26" s="21">
        <f t="shared" si="5"/>
        <v>8.8694999999999986</v>
      </c>
      <c r="AP26" s="46">
        <v>0.1128</v>
      </c>
      <c r="AQ26" s="46">
        <v>0.1139</v>
      </c>
      <c r="AR26" s="47">
        <f t="shared" si="6"/>
        <v>0.11335000000000001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16.3</v>
      </c>
      <c r="F27" s="23">
        <v>7.2</v>
      </c>
      <c r="G27" s="49">
        <v>9.6999999999999993</v>
      </c>
      <c r="H27" s="24">
        <v>123</v>
      </c>
      <c r="I27" s="23">
        <v>1.8</v>
      </c>
      <c r="J27" s="23">
        <v>4.0999999999999996</v>
      </c>
      <c r="K27" s="15">
        <v>3.5</v>
      </c>
      <c r="L27" s="15">
        <v>3.1</v>
      </c>
      <c r="M27" s="15"/>
      <c r="N27" s="20">
        <f t="shared" si="7"/>
        <v>3.3</v>
      </c>
      <c r="O27" s="37">
        <v>2.6</v>
      </c>
      <c r="P27" s="37">
        <v>2.4</v>
      </c>
      <c r="Q27" s="38">
        <f t="shared" si="0"/>
        <v>2.5</v>
      </c>
      <c r="R27" s="17">
        <v>2.2290000000000001</v>
      </c>
      <c r="S27" s="17">
        <v>2.194</v>
      </c>
      <c r="T27" s="22">
        <f t="shared" si="1"/>
        <v>2.2115</v>
      </c>
      <c r="U27" s="17">
        <v>2.0289999999999999</v>
      </c>
      <c r="V27" s="17">
        <v>2.052</v>
      </c>
      <c r="W27" s="22">
        <f t="shared" si="8"/>
        <v>2.0404999999999998</v>
      </c>
      <c r="X27" s="17">
        <v>7.5999999999999998E-2</v>
      </c>
      <c r="Y27" s="17">
        <v>7.4999999999999997E-2</v>
      </c>
      <c r="Z27" s="21">
        <f t="shared" si="2"/>
        <v>7.5499999999999998E-2</v>
      </c>
      <c r="AA27" s="19">
        <v>1.7490000000000001</v>
      </c>
      <c r="AB27" s="19">
        <v>1.7989999999999999</v>
      </c>
      <c r="AC27" s="21">
        <f t="shared" si="3"/>
        <v>1.774</v>
      </c>
      <c r="AD27" s="19">
        <v>0.1</v>
      </c>
      <c r="AE27" s="19">
        <v>0.10299999999999999</v>
      </c>
      <c r="AF27" s="21">
        <f t="shared" si="4"/>
        <v>0.10150000000000001</v>
      </c>
      <c r="AG27" s="19">
        <v>6.2E-2</v>
      </c>
      <c r="AH27" s="19">
        <v>6.2E-2</v>
      </c>
      <c r="AI27" s="21">
        <f t="shared" si="9"/>
        <v>6.2E-2</v>
      </c>
      <c r="AJ27" s="19">
        <v>5.2999999999999999E-2</v>
      </c>
      <c r="AK27" s="19">
        <v>5.3999999999999999E-2</v>
      </c>
      <c r="AL27" s="21">
        <f t="shared" si="10"/>
        <v>5.3499999999999999E-2</v>
      </c>
      <c r="AM27" s="19">
        <v>7.7569999999999997</v>
      </c>
      <c r="AN27" s="19">
        <v>7.9450000000000003</v>
      </c>
      <c r="AO27" s="21">
        <f t="shared" si="5"/>
        <v>7.851</v>
      </c>
      <c r="AP27" s="46">
        <v>8.14E-2</v>
      </c>
      <c r="AQ27" s="46">
        <v>8.2400000000000001E-2</v>
      </c>
      <c r="AR27" s="47">
        <f t="shared" si="6"/>
        <v>8.1900000000000001E-2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17</v>
      </c>
      <c r="F28" s="23">
        <v>7.3</v>
      </c>
      <c r="G28" s="49">
        <v>9.4</v>
      </c>
      <c r="H28" s="24">
        <v>148</v>
      </c>
      <c r="I28" s="23">
        <v>2.5</v>
      </c>
      <c r="J28" s="23">
        <v>6.4</v>
      </c>
      <c r="K28" s="15">
        <v>4.5</v>
      </c>
      <c r="L28" s="15">
        <v>4.5999999999999996</v>
      </c>
      <c r="M28" s="15"/>
      <c r="N28" s="20">
        <f t="shared" si="7"/>
        <v>4.55</v>
      </c>
      <c r="O28" s="37">
        <v>3.9</v>
      </c>
      <c r="P28" s="37">
        <v>3.8</v>
      </c>
      <c r="Q28" s="38">
        <f t="shared" si="0"/>
        <v>3.8499999999999996</v>
      </c>
      <c r="R28" s="17">
        <v>2.246</v>
      </c>
      <c r="S28" s="17">
        <v>2.2010000000000001</v>
      </c>
      <c r="T28" s="22">
        <f t="shared" si="1"/>
        <v>2.2235</v>
      </c>
      <c r="U28" s="17">
        <v>1.986</v>
      </c>
      <c r="V28" s="17">
        <v>1.9850000000000001</v>
      </c>
      <c r="W28" s="22">
        <f t="shared" si="8"/>
        <v>1.9855</v>
      </c>
      <c r="X28" s="17">
        <v>2.5000000000000001E-2</v>
      </c>
      <c r="Y28" s="17">
        <v>0.03</v>
      </c>
      <c r="Z28" s="21">
        <f t="shared" si="2"/>
        <v>2.75E-2</v>
      </c>
      <c r="AA28" s="19">
        <v>1.7090000000000001</v>
      </c>
      <c r="AB28" s="19">
        <v>1.764</v>
      </c>
      <c r="AC28" s="21">
        <f t="shared" si="3"/>
        <v>1.7364999999999999</v>
      </c>
      <c r="AD28" s="19">
        <v>8.7999999999999995E-2</v>
      </c>
      <c r="AE28" s="19">
        <v>9.0999999999999998E-2</v>
      </c>
      <c r="AF28" s="21">
        <f t="shared" si="4"/>
        <v>8.9499999999999996E-2</v>
      </c>
      <c r="AG28" s="19">
        <v>4.9000000000000002E-2</v>
      </c>
      <c r="AH28" s="19">
        <v>4.9000000000000002E-2</v>
      </c>
      <c r="AI28" s="21">
        <f t="shared" si="9"/>
        <v>4.9000000000000002E-2</v>
      </c>
      <c r="AJ28" s="19">
        <v>3.5999999999999997E-2</v>
      </c>
      <c r="AK28" s="19">
        <v>3.5000000000000003E-2</v>
      </c>
      <c r="AL28" s="21">
        <f t="shared" si="10"/>
        <v>3.5500000000000004E-2</v>
      </c>
      <c r="AM28" s="19">
        <v>9.3829999999999991</v>
      </c>
      <c r="AN28" s="19">
        <v>9.5839999999999996</v>
      </c>
      <c r="AO28" s="21">
        <f t="shared" si="5"/>
        <v>9.4834999999999994</v>
      </c>
      <c r="AP28" s="46">
        <v>0.13389999999999999</v>
      </c>
      <c r="AQ28" s="46">
        <v>0.13550000000000001</v>
      </c>
      <c r="AR28" s="47">
        <f t="shared" si="6"/>
        <v>0.13469999999999999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18.600000000000001</v>
      </c>
      <c r="F29" s="23">
        <v>7.9</v>
      </c>
      <c r="G29" s="49">
        <v>10.7</v>
      </c>
      <c r="H29" s="24">
        <v>147</v>
      </c>
      <c r="I29" s="23">
        <v>1.8</v>
      </c>
      <c r="J29" s="23">
        <v>6.4</v>
      </c>
      <c r="K29" s="15">
        <v>5.3</v>
      </c>
      <c r="L29" s="15">
        <v>5.2</v>
      </c>
      <c r="M29" s="15"/>
      <c r="N29" s="20">
        <f t="shared" si="7"/>
        <v>5.25</v>
      </c>
      <c r="O29" s="37">
        <v>4.7</v>
      </c>
      <c r="P29" s="37">
        <v>4.7</v>
      </c>
      <c r="Q29" s="38">
        <f t="shared" si="0"/>
        <v>4.7</v>
      </c>
      <c r="R29" s="17">
        <v>3.883</v>
      </c>
      <c r="S29" s="17">
        <v>3.851</v>
      </c>
      <c r="T29" s="22">
        <f t="shared" si="1"/>
        <v>3.867</v>
      </c>
      <c r="U29" s="17">
        <v>3.7149999999999999</v>
      </c>
      <c r="V29" s="17">
        <v>3.73</v>
      </c>
      <c r="W29" s="22">
        <f t="shared" si="8"/>
        <v>3.7225000000000001</v>
      </c>
      <c r="X29" s="17">
        <v>3.7999999999999999E-2</v>
      </c>
      <c r="Y29" s="17">
        <v>0.05</v>
      </c>
      <c r="Z29" s="21">
        <f t="shared" si="2"/>
        <v>4.3999999999999997E-2</v>
      </c>
      <c r="AA29" s="19">
        <v>3.3769999999999998</v>
      </c>
      <c r="AB29" s="19">
        <v>3.4180000000000001</v>
      </c>
      <c r="AC29" s="21">
        <f t="shared" si="3"/>
        <v>3.3975</v>
      </c>
      <c r="AD29" s="19">
        <v>0.30299999999999999</v>
      </c>
      <c r="AE29" s="19">
        <v>0.32100000000000001</v>
      </c>
      <c r="AF29" s="21">
        <f t="shared" si="4"/>
        <v>0.312</v>
      </c>
      <c r="AG29" s="19">
        <v>0.30199999999999999</v>
      </c>
      <c r="AH29" s="19">
        <v>0.30399999999999999</v>
      </c>
      <c r="AI29" s="21">
        <f t="shared" si="9"/>
        <v>0.30299999999999999</v>
      </c>
      <c r="AJ29" s="19">
        <v>0.29399999999999998</v>
      </c>
      <c r="AK29" s="19">
        <v>0.29599999999999999</v>
      </c>
      <c r="AL29" s="21">
        <f t="shared" si="10"/>
        <v>0.29499999999999998</v>
      </c>
      <c r="AM29" s="19">
        <v>9.35</v>
      </c>
      <c r="AN29" s="19">
        <v>9.4670000000000005</v>
      </c>
      <c r="AO29" s="21">
        <f t="shared" si="5"/>
        <v>9.4085000000000001</v>
      </c>
      <c r="AP29" s="46">
        <v>0.13370000000000001</v>
      </c>
      <c r="AQ29" s="46">
        <v>0.1351</v>
      </c>
      <c r="AR29" s="47">
        <f t="shared" si="6"/>
        <v>0.13440000000000002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16.5</v>
      </c>
      <c r="F30" s="23">
        <v>6.9</v>
      </c>
      <c r="G30" s="49">
        <v>10.1</v>
      </c>
      <c r="H30" s="24">
        <v>207</v>
      </c>
      <c r="I30" s="23">
        <v>1.4</v>
      </c>
      <c r="J30" s="23">
        <v>4.3</v>
      </c>
      <c r="K30" s="15">
        <v>3.3</v>
      </c>
      <c r="L30" s="15">
        <v>3.3</v>
      </c>
      <c r="M30" s="15"/>
      <c r="N30" s="20">
        <f t="shared" si="7"/>
        <v>3.3</v>
      </c>
      <c r="O30" s="37">
        <v>3</v>
      </c>
      <c r="P30" s="37">
        <v>2.8</v>
      </c>
      <c r="Q30" s="38">
        <f t="shared" si="0"/>
        <v>2.9</v>
      </c>
      <c r="R30" s="17">
        <v>3.835</v>
      </c>
      <c r="S30" s="17">
        <v>3.7959999999999998</v>
      </c>
      <c r="T30" s="22">
        <f t="shared" si="1"/>
        <v>3.8155000000000001</v>
      </c>
      <c r="U30" s="17">
        <v>3.6429999999999998</v>
      </c>
      <c r="V30" s="17">
        <v>3.6549999999999998</v>
      </c>
      <c r="W30" s="22">
        <f t="shared" si="8"/>
        <v>3.649</v>
      </c>
      <c r="X30" s="17">
        <v>2.8000000000000001E-2</v>
      </c>
      <c r="Y30" s="17">
        <v>2.7E-2</v>
      </c>
      <c r="Z30" s="21">
        <f t="shared" si="2"/>
        <v>2.75E-2</v>
      </c>
      <c r="AA30" s="19">
        <v>3.4380000000000002</v>
      </c>
      <c r="AB30" s="19">
        <v>3.5289999999999999</v>
      </c>
      <c r="AC30" s="21">
        <f t="shared" si="3"/>
        <v>3.4835000000000003</v>
      </c>
      <c r="AD30" s="19">
        <v>9.0999999999999998E-2</v>
      </c>
      <c r="AE30" s="19">
        <v>9.4E-2</v>
      </c>
      <c r="AF30" s="21">
        <f t="shared" si="4"/>
        <v>9.2499999999999999E-2</v>
      </c>
      <c r="AG30" s="19">
        <v>6.7000000000000004E-2</v>
      </c>
      <c r="AH30" s="19">
        <v>6.5000000000000002E-2</v>
      </c>
      <c r="AI30" s="21">
        <f t="shared" si="9"/>
        <v>6.6000000000000003E-2</v>
      </c>
      <c r="AJ30" s="19">
        <v>5.8999999999999997E-2</v>
      </c>
      <c r="AK30" s="19">
        <v>5.7000000000000002E-2</v>
      </c>
      <c r="AL30" s="21">
        <f t="shared" si="10"/>
        <v>5.7999999999999996E-2</v>
      </c>
      <c r="AM30" s="19">
        <v>12.45</v>
      </c>
      <c r="AN30" s="19">
        <v>12.715</v>
      </c>
      <c r="AO30" s="21">
        <f t="shared" si="5"/>
        <v>12.5825</v>
      </c>
      <c r="AP30" s="46">
        <v>8.4900000000000003E-2</v>
      </c>
      <c r="AQ30" s="46">
        <v>8.8400000000000006E-2</v>
      </c>
      <c r="AR30" s="47">
        <f t="shared" si="6"/>
        <v>8.6650000000000005E-2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17.100000000000001</v>
      </c>
      <c r="F31" s="23">
        <v>7</v>
      </c>
      <c r="G31" s="49">
        <v>9</v>
      </c>
      <c r="H31" s="24">
        <v>111</v>
      </c>
      <c r="I31" s="23">
        <v>1.8</v>
      </c>
      <c r="J31" s="23">
        <v>4.0999999999999996</v>
      </c>
      <c r="K31" s="15">
        <v>3.2</v>
      </c>
      <c r="L31" s="15">
        <v>3</v>
      </c>
      <c r="M31" s="15"/>
      <c r="N31" s="20">
        <f t="shared" si="7"/>
        <v>3.1</v>
      </c>
      <c r="O31" s="37">
        <v>2.7</v>
      </c>
      <c r="P31" s="37">
        <v>2.6</v>
      </c>
      <c r="Q31" s="38">
        <f t="shared" si="0"/>
        <v>2.6500000000000004</v>
      </c>
      <c r="R31" s="17">
        <v>2.165</v>
      </c>
      <c r="S31" s="17">
        <v>2.1150000000000002</v>
      </c>
      <c r="T31" s="22">
        <f t="shared" si="1"/>
        <v>2.14</v>
      </c>
      <c r="U31" s="17">
        <v>1.978</v>
      </c>
      <c r="V31" s="17">
        <v>1.9530000000000001</v>
      </c>
      <c r="W31" s="22">
        <f t="shared" si="8"/>
        <v>1.9655</v>
      </c>
      <c r="X31" s="17">
        <v>8.1000000000000003E-2</v>
      </c>
      <c r="Y31" s="17">
        <v>8.4000000000000005E-2</v>
      </c>
      <c r="Z31" s="21">
        <f t="shared" si="2"/>
        <v>8.2500000000000004E-2</v>
      </c>
      <c r="AA31" s="19">
        <v>1.7150000000000001</v>
      </c>
      <c r="AB31" s="19">
        <v>1.7410000000000001</v>
      </c>
      <c r="AC31" s="21">
        <f t="shared" si="3"/>
        <v>1.7280000000000002</v>
      </c>
      <c r="AD31" s="19">
        <v>8.4000000000000005E-2</v>
      </c>
      <c r="AE31" s="19">
        <v>8.6999999999999994E-2</v>
      </c>
      <c r="AF31" s="21">
        <f t="shared" si="4"/>
        <v>8.5499999999999993E-2</v>
      </c>
      <c r="AG31" s="19">
        <v>5.5E-2</v>
      </c>
      <c r="AH31" s="19">
        <v>5.2999999999999999E-2</v>
      </c>
      <c r="AI31" s="21">
        <f t="shared" si="9"/>
        <v>5.3999999999999999E-2</v>
      </c>
      <c r="AJ31" s="19">
        <v>4.5999999999999999E-2</v>
      </c>
      <c r="AK31" s="19">
        <v>4.5999999999999999E-2</v>
      </c>
      <c r="AL31" s="21">
        <f t="shared" si="10"/>
        <v>4.5999999999999999E-2</v>
      </c>
      <c r="AM31" s="19">
        <v>7.2560000000000002</v>
      </c>
      <c r="AN31" s="19">
        <v>7.3819999999999997</v>
      </c>
      <c r="AO31" s="21">
        <f t="shared" si="5"/>
        <v>7.319</v>
      </c>
      <c r="AP31" s="46">
        <v>8.3099999999999993E-2</v>
      </c>
      <c r="AQ31" s="46">
        <v>8.5300000000000001E-2</v>
      </c>
      <c r="AR31" s="47">
        <f t="shared" si="6"/>
        <v>8.4199999999999997E-2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16.100000000000001</v>
      </c>
      <c r="F32" s="23">
        <v>7.3</v>
      </c>
      <c r="G32" s="49">
        <v>9.4</v>
      </c>
      <c r="H32" s="24">
        <v>133</v>
      </c>
      <c r="I32" s="23">
        <v>1.9</v>
      </c>
      <c r="J32" s="23">
        <v>4.2</v>
      </c>
      <c r="K32" s="15">
        <v>3</v>
      </c>
      <c r="L32" s="15">
        <v>3.1</v>
      </c>
      <c r="M32" s="15"/>
      <c r="N32" s="20">
        <f t="shared" si="7"/>
        <v>3.05</v>
      </c>
      <c r="O32" s="37">
        <v>2.5</v>
      </c>
      <c r="P32" s="37">
        <v>2.4</v>
      </c>
      <c r="Q32" s="38">
        <f t="shared" si="0"/>
        <v>2.4500000000000002</v>
      </c>
      <c r="R32" s="17">
        <v>2.9350000000000001</v>
      </c>
      <c r="S32" s="17">
        <v>2.91</v>
      </c>
      <c r="T32" s="22">
        <f t="shared" si="1"/>
        <v>2.9225000000000003</v>
      </c>
      <c r="U32" s="17">
        <v>2.6960000000000002</v>
      </c>
      <c r="V32" s="17">
        <v>2.714</v>
      </c>
      <c r="W32" s="22">
        <f t="shared" si="8"/>
        <v>2.7050000000000001</v>
      </c>
      <c r="X32" s="17">
        <v>2.1000000000000001E-2</v>
      </c>
      <c r="Y32" s="17">
        <v>1.9E-2</v>
      </c>
      <c r="Z32" s="21">
        <f t="shared" si="2"/>
        <v>0.02</v>
      </c>
      <c r="AA32" s="19">
        <v>2.593</v>
      </c>
      <c r="AB32" s="19">
        <v>2.6459999999999999</v>
      </c>
      <c r="AC32" s="21">
        <f t="shared" si="3"/>
        <v>2.6194999999999999</v>
      </c>
      <c r="AD32" s="19">
        <v>6.5000000000000002E-2</v>
      </c>
      <c r="AE32" s="19">
        <v>6.8000000000000005E-2</v>
      </c>
      <c r="AF32" s="21">
        <f t="shared" si="4"/>
        <v>6.6500000000000004E-2</v>
      </c>
      <c r="AG32" s="19">
        <v>4.3999999999999997E-2</v>
      </c>
      <c r="AH32" s="19">
        <v>4.3999999999999997E-2</v>
      </c>
      <c r="AI32" s="21">
        <f t="shared" si="9"/>
        <v>4.3999999999999997E-2</v>
      </c>
      <c r="AJ32" s="19">
        <v>3.9E-2</v>
      </c>
      <c r="AK32" s="19">
        <v>3.7999999999999999E-2</v>
      </c>
      <c r="AL32" s="21">
        <f t="shared" si="10"/>
        <v>3.85E-2</v>
      </c>
      <c r="AM32" s="19">
        <v>7.8579999999999997</v>
      </c>
      <c r="AN32" s="19">
        <v>7.9930000000000003</v>
      </c>
      <c r="AO32" s="21">
        <f t="shared" si="5"/>
        <v>7.9254999999999995</v>
      </c>
      <c r="AP32" s="46">
        <v>8.3500000000000005E-2</v>
      </c>
      <c r="AQ32" s="46">
        <v>8.5900000000000004E-2</v>
      </c>
      <c r="AR32" s="47">
        <f t="shared" si="6"/>
        <v>8.4699999999999998E-2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16.7</v>
      </c>
      <c r="F33" s="23">
        <v>6.7</v>
      </c>
      <c r="G33" s="49">
        <v>9.3000000000000007</v>
      </c>
      <c r="H33" s="24">
        <v>126</v>
      </c>
      <c r="I33" s="23">
        <v>2</v>
      </c>
      <c r="J33" s="23">
        <v>4.3</v>
      </c>
      <c r="K33" s="15">
        <v>3</v>
      </c>
      <c r="L33" s="15">
        <v>3.1</v>
      </c>
      <c r="M33" s="15"/>
      <c r="N33" s="20">
        <f t="shared" si="7"/>
        <v>3.05</v>
      </c>
      <c r="O33" s="37">
        <v>2.6</v>
      </c>
      <c r="P33" s="37">
        <v>2.5</v>
      </c>
      <c r="Q33" s="38">
        <f t="shared" si="0"/>
        <v>2.5499999999999998</v>
      </c>
      <c r="R33" s="17">
        <v>2.2480000000000002</v>
      </c>
      <c r="S33" s="17">
        <v>2.2320000000000002</v>
      </c>
      <c r="T33" s="22">
        <f t="shared" si="1"/>
        <v>2.2400000000000002</v>
      </c>
      <c r="U33" s="17">
        <v>2.012</v>
      </c>
      <c r="V33" s="17">
        <v>2.032</v>
      </c>
      <c r="W33" s="22">
        <f t="shared" si="8"/>
        <v>2.0220000000000002</v>
      </c>
      <c r="X33" s="17">
        <v>6.9000000000000006E-2</v>
      </c>
      <c r="Y33" s="17">
        <v>0.09</v>
      </c>
      <c r="Z33" s="21">
        <f t="shared" si="2"/>
        <v>7.9500000000000001E-2</v>
      </c>
      <c r="AA33" s="19">
        <v>1.825</v>
      </c>
      <c r="AB33" s="19">
        <v>1.8759999999999999</v>
      </c>
      <c r="AC33" s="21">
        <f t="shared" si="3"/>
        <v>1.8504999999999998</v>
      </c>
      <c r="AD33" s="19">
        <v>0.09</v>
      </c>
      <c r="AE33" s="19">
        <v>9.1999999999999998E-2</v>
      </c>
      <c r="AF33" s="21">
        <f t="shared" si="4"/>
        <v>9.0999999999999998E-2</v>
      </c>
      <c r="AG33" s="19">
        <v>5.0999999999999997E-2</v>
      </c>
      <c r="AH33" s="19">
        <v>5.1999999999999998E-2</v>
      </c>
      <c r="AI33" s="21">
        <f t="shared" si="9"/>
        <v>5.1499999999999997E-2</v>
      </c>
      <c r="AJ33" s="19">
        <v>4.7E-2</v>
      </c>
      <c r="AK33" s="19">
        <v>4.5999999999999999E-2</v>
      </c>
      <c r="AL33" s="21">
        <f t="shared" si="10"/>
        <v>4.65E-2</v>
      </c>
      <c r="AM33" s="19">
        <v>7.4809999999999999</v>
      </c>
      <c r="AN33" s="19">
        <v>7.6360000000000001</v>
      </c>
      <c r="AO33" s="21">
        <f t="shared" si="5"/>
        <v>7.5585000000000004</v>
      </c>
      <c r="AP33" s="46">
        <v>8.5000000000000006E-2</v>
      </c>
      <c r="AQ33" s="46">
        <v>8.6099999999999996E-2</v>
      </c>
      <c r="AR33" s="47">
        <f t="shared" si="6"/>
        <v>8.5550000000000001E-2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15.8</v>
      </c>
      <c r="F34" s="23">
        <v>6.5</v>
      </c>
      <c r="G34" s="49">
        <v>8.6999999999999993</v>
      </c>
      <c r="H34" s="24">
        <v>153</v>
      </c>
      <c r="I34" s="23">
        <v>2.4</v>
      </c>
      <c r="J34" s="23">
        <v>4.9000000000000004</v>
      </c>
      <c r="K34" s="15">
        <v>3.9</v>
      </c>
      <c r="L34" s="15">
        <v>3.9</v>
      </c>
      <c r="M34" s="15"/>
      <c r="N34" s="20">
        <f t="shared" si="7"/>
        <v>3.9</v>
      </c>
      <c r="O34" s="37">
        <v>3.3</v>
      </c>
      <c r="P34" s="37">
        <v>3.2</v>
      </c>
      <c r="Q34" s="38">
        <f t="shared" si="0"/>
        <v>3.25</v>
      </c>
      <c r="R34" s="17">
        <v>2.702</v>
      </c>
      <c r="S34" s="17">
        <v>2.6589999999999998</v>
      </c>
      <c r="T34" s="22">
        <f t="shared" si="1"/>
        <v>2.6804999999999999</v>
      </c>
      <c r="U34" s="17">
        <v>2.4809999999999999</v>
      </c>
      <c r="V34" s="17">
        <v>2.4780000000000002</v>
      </c>
      <c r="W34" s="22">
        <f t="shared" si="8"/>
        <v>2.4794999999999998</v>
      </c>
      <c r="X34" s="17">
        <v>0.11600000000000001</v>
      </c>
      <c r="Y34" s="17">
        <v>0.112</v>
      </c>
      <c r="Z34" s="21">
        <f t="shared" si="2"/>
        <v>0.114</v>
      </c>
      <c r="AA34" s="19">
        <v>2.1389999999999998</v>
      </c>
      <c r="AB34" s="19">
        <v>2.19</v>
      </c>
      <c r="AC34" s="21">
        <f t="shared" si="3"/>
        <v>2.1644999999999999</v>
      </c>
      <c r="AD34" s="19">
        <v>0.157</v>
      </c>
      <c r="AE34" s="19">
        <v>0.16300000000000001</v>
      </c>
      <c r="AF34" s="21">
        <f t="shared" si="4"/>
        <v>0.16</v>
      </c>
      <c r="AG34" s="19">
        <v>0.11600000000000001</v>
      </c>
      <c r="AH34" s="19">
        <v>0.11600000000000001</v>
      </c>
      <c r="AI34" s="21">
        <f t="shared" si="9"/>
        <v>0.11600000000000001</v>
      </c>
      <c r="AJ34" s="19">
        <v>0.114</v>
      </c>
      <c r="AK34" s="19">
        <v>0.115</v>
      </c>
      <c r="AL34" s="21">
        <f t="shared" si="10"/>
        <v>0.1145</v>
      </c>
      <c r="AM34" s="19">
        <v>10.157</v>
      </c>
      <c r="AN34" s="19">
        <v>10.331</v>
      </c>
      <c r="AO34" s="21">
        <f t="shared" si="5"/>
        <v>10.244</v>
      </c>
      <c r="AP34" s="46">
        <v>0.10730000000000001</v>
      </c>
      <c r="AQ34" s="46">
        <v>0.1082</v>
      </c>
      <c r="AR34" s="47">
        <f t="shared" si="6"/>
        <v>0.10775000000000001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17.399999999999999</v>
      </c>
      <c r="F35" s="23">
        <v>6.5</v>
      </c>
      <c r="G35" s="49">
        <v>9.4</v>
      </c>
      <c r="H35" s="24">
        <v>215</v>
      </c>
      <c r="I35" s="23">
        <v>2.7</v>
      </c>
      <c r="J35" s="23">
        <v>6.1</v>
      </c>
      <c r="K35" s="15">
        <v>4.5999999999999996</v>
      </c>
      <c r="L35" s="15">
        <v>4.8</v>
      </c>
      <c r="M35" s="15"/>
      <c r="N35" s="20">
        <f t="shared" si="7"/>
        <v>4.6999999999999993</v>
      </c>
      <c r="O35" s="37">
        <v>3.5</v>
      </c>
      <c r="P35" s="37">
        <v>3.4</v>
      </c>
      <c r="Q35" s="38">
        <f t="shared" si="0"/>
        <v>3.45</v>
      </c>
      <c r="R35" s="17">
        <v>2.99</v>
      </c>
      <c r="S35" s="17">
        <v>2.9580000000000002</v>
      </c>
      <c r="T35" s="22">
        <f t="shared" si="1"/>
        <v>2.9740000000000002</v>
      </c>
      <c r="U35" s="17">
        <v>2.6259999999999999</v>
      </c>
      <c r="V35" s="17">
        <v>2.64</v>
      </c>
      <c r="W35" s="22">
        <f t="shared" si="8"/>
        <v>2.633</v>
      </c>
      <c r="X35" s="17">
        <v>0.249</v>
      </c>
      <c r="Y35" s="17">
        <v>0.25</v>
      </c>
      <c r="Z35" s="21">
        <f t="shared" si="2"/>
        <v>0.2495</v>
      </c>
      <c r="AA35" s="19">
        <v>2.0409999999999999</v>
      </c>
      <c r="AB35" s="19">
        <v>2.0840000000000001</v>
      </c>
      <c r="AC35" s="21">
        <f t="shared" si="3"/>
        <v>2.0625</v>
      </c>
      <c r="AD35" s="19">
        <v>0.16500000000000001</v>
      </c>
      <c r="AE35" s="19">
        <v>0.17</v>
      </c>
      <c r="AF35" s="21">
        <f t="shared" si="4"/>
        <v>0.16750000000000001</v>
      </c>
      <c r="AG35" s="19">
        <v>6.9000000000000006E-2</v>
      </c>
      <c r="AH35" s="19">
        <v>6.8000000000000005E-2</v>
      </c>
      <c r="AI35" s="21">
        <f t="shared" si="9"/>
        <v>6.8500000000000005E-2</v>
      </c>
      <c r="AJ35" s="19">
        <v>5.8000000000000003E-2</v>
      </c>
      <c r="AK35" s="19">
        <v>0.06</v>
      </c>
      <c r="AL35" s="21">
        <f t="shared" si="10"/>
        <v>5.8999999999999997E-2</v>
      </c>
      <c r="AM35" s="19">
        <v>18.952999999999999</v>
      </c>
      <c r="AN35" s="19">
        <v>19.11</v>
      </c>
      <c r="AO35" s="21">
        <f t="shared" si="5"/>
        <v>19.031500000000001</v>
      </c>
      <c r="AP35" s="46">
        <v>0.1028</v>
      </c>
      <c r="AQ35" s="46">
        <v>0.1041</v>
      </c>
      <c r="AR35" s="47">
        <f t="shared" si="6"/>
        <v>0.10345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17</v>
      </c>
      <c r="F36" s="23">
        <v>6.5</v>
      </c>
      <c r="G36" s="49">
        <v>9.5</v>
      </c>
      <c r="H36" s="24">
        <v>126</v>
      </c>
      <c r="I36" s="23">
        <v>1.7</v>
      </c>
      <c r="J36" s="23">
        <v>4.4000000000000004</v>
      </c>
      <c r="K36" s="15">
        <v>3.3</v>
      </c>
      <c r="L36" s="15">
        <v>3.2</v>
      </c>
      <c r="M36" s="15"/>
      <c r="N36" s="20">
        <f t="shared" si="7"/>
        <v>3.25</v>
      </c>
      <c r="O36" s="37">
        <v>2.7</v>
      </c>
      <c r="P36" s="37">
        <v>2.6</v>
      </c>
      <c r="Q36" s="38">
        <f t="shared" si="0"/>
        <v>2.6500000000000004</v>
      </c>
      <c r="R36" s="17">
        <v>2.278</v>
      </c>
      <c r="S36" s="17">
        <v>2.2069999999999999</v>
      </c>
      <c r="T36" s="22">
        <f t="shared" si="1"/>
        <v>2.2424999999999997</v>
      </c>
      <c r="U36" s="17">
        <v>2.044</v>
      </c>
      <c r="V36" s="17">
        <v>2.028</v>
      </c>
      <c r="W36" s="22">
        <f t="shared" si="8"/>
        <v>2.036</v>
      </c>
      <c r="X36" s="17">
        <v>7.0000000000000007E-2</v>
      </c>
      <c r="Y36" s="17">
        <v>0.06</v>
      </c>
      <c r="Z36" s="21">
        <f t="shared" si="2"/>
        <v>6.5000000000000002E-2</v>
      </c>
      <c r="AA36" s="19">
        <v>1.831</v>
      </c>
      <c r="AB36" s="19">
        <v>1.863</v>
      </c>
      <c r="AC36" s="21">
        <f t="shared" si="3"/>
        <v>1.847</v>
      </c>
      <c r="AD36" s="19">
        <v>9.0999999999999998E-2</v>
      </c>
      <c r="AE36" s="19">
        <v>9.4E-2</v>
      </c>
      <c r="AF36" s="21">
        <f t="shared" si="4"/>
        <v>9.2499999999999999E-2</v>
      </c>
      <c r="AG36" s="19">
        <v>5.7000000000000002E-2</v>
      </c>
      <c r="AH36" s="19">
        <v>5.5E-2</v>
      </c>
      <c r="AI36" s="21">
        <f t="shared" si="9"/>
        <v>5.6000000000000001E-2</v>
      </c>
      <c r="AJ36" s="19">
        <v>4.8000000000000001E-2</v>
      </c>
      <c r="AK36" s="19">
        <v>4.5999999999999999E-2</v>
      </c>
      <c r="AL36" s="21">
        <f t="shared" si="10"/>
        <v>4.7E-2</v>
      </c>
      <c r="AM36" s="19">
        <v>7.5670000000000002</v>
      </c>
      <c r="AN36" s="19">
        <v>7.7</v>
      </c>
      <c r="AO36" s="21">
        <f t="shared" si="5"/>
        <v>7.6334999999999997</v>
      </c>
      <c r="AP36" s="46">
        <v>8.7499999999999994E-2</v>
      </c>
      <c r="AQ36" s="46">
        <v>8.8999999999999996E-2</v>
      </c>
      <c r="AR36" s="47">
        <f t="shared" si="6"/>
        <v>8.8249999999999995E-2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19.899999999999999</v>
      </c>
      <c r="F37" s="23">
        <v>7.9</v>
      </c>
      <c r="G37" s="49">
        <v>9.6999999999999993</v>
      </c>
      <c r="H37" s="24">
        <v>163</v>
      </c>
      <c r="I37" s="23">
        <v>2.9</v>
      </c>
      <c r="J37" s="23">
        <v>7.5</v>
      </c>
      <c r="K37" s="15">
        <v>5.2</v>
      </c>
      <c r="L37" s="15">
        <v>5.2</v>
      </c>
      <c r="M37" s="15"/>
      <c r="N37" s="20">
        <f t="shared" si="7"/>
        <v>5.2</v>
      </c>
      <c r="O37" s="37">
        <v>4</v>
      </c>
      <c r="P37" s="37">
        <v>3.9</v>
      </c>
      <c r="Q37" s="38">
        <f t="shared" si="0"/>
        <v>3.95</v>
      </c>
      <c r="R37" s="17">
        <v>2.2890000000000001</v>
      </c>
      <c r="S37" s="17">
        <v>2.2349999999999999</v>
      </c>
      <c r="T37" s="22">
        <f t="shared" si="1"/>
        <v>2.262</v>
      </c>
      <c r="U37" s="17">
        <v>1.9870000000000001</v>
      </c>
      <c r="V37" s="17">
        <v>1.9830000000000001</v>
      </c>
      <c r="W37" s="22">
        <f t="shared" si="8"/>
        <v>1.9850000000000001</v>
      </c>
      <c r="X37" s="17">
        <v>7.0000000000000007E-2</v>
      </c>
      <c r="Y37" s="17">
        <v>7.0000000000000007E-2</v>
      </c>
      <c r="Z37" s="21">
        <f t="shared" si="2"/>
        <v>7.0000000000000007E-2</v>
      </c>
      <c r="AA37" s="19">
        <v>1.6060000000000001</v>
      </c>
      <c r="AB37" s="19">
        <v>1.629</v>
      </c>
      <c r="AC37" s="21">
        <f t="shared" si="3"/>
        <v>1.6175000000000002</v>
      </c>
      <c r="AD37" s="19">
        <v>0.186</v>
      </c>
      <c r="AE37" s="19">
        <v>0.19600000000000001</v>
      </c>
      <c r="AF37" s="21">
        <f t="shared" si="4"/>
        <v>0.191</v>
      </c>
      <c r="AG37" s="19">
        <v>0.105</v>
      </c>
      <c r="AH37" s="19">
        <v>0.106</v>
      </c>
      <c r="AI37" s="21">
        <f t="shared" si="9"/>
        <v>0.1055</v>
      </c>
      <c r="AJ37" s="19">
        <v>9.4E-2</v>
      </c>
      <c r="AK37" s="19">
        <v>9.4E-2</v>
      </c>
      <c r="AL37" s="21">
        <f t="shared" si="10"/>
        <v>9.4E-2</v>
      </c>
      <c r="AM37" s="19">
        <v>9.9960000000000004</v>
      </c>
      <c r="AN37" s="19">
        <v>10.087</v>
      </c>
      <c r="AO37" s="21">
        <f t="shared" si="5"/>
        <v>10.041499999999999</v>
      </c>
      <c r="AP37" s="46">
        <v>0.1288</v>
      </c>
      <c r="AQ37" s="46">
        <v>0.12970000000000001</v>
      </c>
      <c r="AR37" s="47">
        <f t="shared" si="6"/>
        <v>0.12925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17.5</v>
      </c>
      <c r="F38" s="23">
        <v>7.1</v>
      </c>
      <c r="G38" s="49">
        <v>9.4</v>
      </c>
      <c r="H38" s="24">
        <v>131</v>
      </c>
      <c r="I38" s="23">
        <v>1.9</v>
      </c>
      <c r="J38" s="23">
        <v>4.5999999999999996</v>
      </c>
      <c r="K38" s="15">
        <v>3.1</v>
      </c>
      <c r="L38" s="15">
        <v>3.5</v>
      </c>
      <c r="M38" s="15"/>
      <c r="N38" s="20">
        <f t="shared" si="7"/>
        <v>3.3</v>
      </c>
      <c r="O38" s="37">
        <v>2.7</v>
      </c>
      <c r="P38" s="37">
        <v>2.5</v>
      </c>
      <c r="Q38" s="38">
        <f t="shared" si="0"/>
        <v>2.6</v>
      </c>
      <c r="R38" s="17">
        <v>2.3410000000000002</v>
      </c>
      <c r="S38" s="17">
        <v>2.2959999999999998</v>
      </c>
      <c r="T38" s="22">
        <f t="shared" si="1"/>
        <v>2.3185000000000002</v>
      </c>
      <c r="U38" s="17">
        <v>2.0790000000000002</v>
      </c>
      <c r="V38" s="17">
        <v>2.0920000000000001</v>
      </c>
      <c r="W38" s="22">
        <f t="shared" si="8"/>
        <v>2.0855000000000001</v>
      </c>
      <c r="X38" s="17">
        <v>8.1000000000000003E-2</v>
      </c>
      <c r="Y38" s="17">
        <v>0.08</v>
      </c>
      <c r="Z38" s="21">
        <f t="shared" si="2"/>
        <v>8.0500000000000002E-2</v>
      </c>
      <c r="AA38" s="19">
        <v>1.8520000000000001</v>
      </c>
      <c r="AB38" s="19">
        <v>1.905</v>
      </c>
      <c r="AC38" s="21">
        <f t="shared" si="3"/>
        <v>1.8785000000000001</v>
      </c>
      <c r="AD38" s="19">
        <v>0.10100000000000001</v>
      </c>
      <c r="AE38" s="19">
        <v>0.106</v>
      </c>
      <c r="AF38" s="21">
        <f t="shared" si="4"/>
        <v>0.10350000000000001</v>
      </c>
      <c r="AG38" s="19">
        <v>5.8000000000000003E-2</v>
      </c>
      <c r="AH38" s="19">
        <v>5.7000000000000002E-2</v>
      </c>
      <c r="AI38" s="21">
        <f t="shared" si="9"/>
        <v>5.7500000000000002E-2</v>
      </c>
      <c r="AJ38" s="19">
        <v>5.1999999999999998E-2</v>
      </c>
      <c r="AK38" s="19">
        <v>5.1999999999999998E-2</v>
      </c>
      <c r="AL38" s="21">
        <f t="shared" si="10"/>
        <v>5.1999999999999998E-2</v>
      </c>
      <c r="AM38" s="19">
        <v>8.0090000000000003</v>
      </c>
      <c r="AN38" s="19">
        <v>8.1999999999999993</v>
      </c>
      <c r="AO38" s="21">
        <f t="shared" si="5"/>
        <v>8.1044999999999998</v>
      </c>
      <c r="AP38" s="46">
        <v>8.6499999999999994E-2</v>
      </c>
      <c r="AQ38" s="46">
        <v>8.7099999999999997E-2</v>
      </c>
      <c r="AR38" s="47">
        <f t="shared" si="6"/>
        <v>8.6799999999999988E-2</v>
      </c>
    </row>
    <row r="39" spans="1:44">
      <c r="A39" s="7" t="s">
        <v>137</v>
      </c>
      <c r="B39" s="5" t="s">
        <v>138</v>
      </c>
      <c r="C39" s="6"/>
      <c r="D39" s="6"/>
      <c r="E39" s="23">
        <v>17.600000000000001</v>
      </c>
      <c r="F39" s="23">
        <v>6.9</v>
      </c>
      <c r="G39" s="49">
        <v>8.5</v>
      </c>
      <c r="H39" s="24">
        <v>313</v>
      </c>
      <c r="I39" s="23">
        <v>12.1</v>
      </c>
      <c r="J39" s="23">
        <v>16.399999999999999</v>
      </c>
      <c r="K39" s="4">
        <v>13.1</v>
      </c>
      <c r="L39" s="4">
        <v>15.2</v>
      </c>
      <c r="M39" s="4">
        <v>14.8</v>
      </c>
      <c r="N39" s="20">
        <f t="shared" si="7"/>
        <v>14.366666666666665</v>
      </c>
      <c r="O39" s="37">
        <v>5.3</v>
      </c>
      <c r="P39" s="37">
        <v>5.2</v>
      </c>
      <c r="Q39" s="38">
        <f t="shared" si="0"/>
        <v>5.25</v>
      </c>
      <c r="R39" s="17">
        <v>9.9</v>
      </c>
      <c r="S39" s="17">
        <v>9.9350000000000005</v>
      </c>
      <c r="T39" s="22">
        <f t="shared" si="1"/>
        <v>9.9175000000000004</v>
      </c>
      <c r="U39" s="4">
        <v>8.0820000000000007</v>
      </c>
      <c r="V39" s="4">
        <v>8.0570000000000004</v>
      </c>
      <c r="W39" s="42">
        <f t="shared" si="8"/>
        <v>8.0695000000000014</v>
      </c>
      <c r="X39" s="17">
        <v>3.61</v>
      </c>
      <c r="Y39" s="17">
        <v>3.5640000000000001</v>
      </c>
      <c r="Z39" s="21">
        <f t="shared" si="2"/>
        <v>3.5869999999999997</v>
      </c>
      <c r="AA39" s="19">
        <v>3.8639999999999999</v>
      </c>
      <c r="AB39" s="19">
        <v>3.992</v>
      </c>
      <c r="AC39" s="21">
        <f t="shared" si="3"/>
        <v>3.9279999999999999</v>
      </c>
      <c r="AD39" s="19">
        <v>0.79800000000000004</v>
      </c>
      <c r="AE39" s="19">
        <v>0.80200000000000005</v>
      </c>
      <c r="AF39" s="21">
        <f t="shared" si="4"/>
        <v>0.8</v>
      </c>
      <c r="AG39" s="5">
        <v>0.28599999999999998</v>
      </c>
      <c r="AH39" s="5">
        <v>0.28499999999999998</v>
      </c>
      <c r="AI39" s="43">
        <f t="shared" si="9"/>
        <v>0.28549999999999998</v>
      </c>
      <c r="AJ39" s="5">
        <v>0.27600000000000002</v>
      </c>
      <c r="AK39" s="5">
        <v>0.26800000000000002</v>
      </c>
      <c r="AL39" s="43">
        <f t="shared" si="10"/>
        <v>0.27200000000000002</v>
      </c>
      <c r="AM39" s="19">
        <v>33.463999999999999</v>
      </c>
      <c r="AN39" s="19">
        <v>34.417000000000002</v>
      </c>
      <c r="AO39" s="21">
        <f t="shared" si="5"/>
        <v>33.9405</v>
      </c>
      <c r="AP39" s="46">
        <v>0.1031</v>
      </c>
      <c r="AQ39" s="46">
        <v>0.1047</v>
      </c>
      <c r="AR39" s="47">
        <f t="shared" si="6"/>
        <v>0.10389999999999999</v>
      </c>
    </row>
  </sheetData>
  <mergeCells count="18">
    <mergeCell ref="AM1:AO1"/>
    <mergeCell ref="AP1:AR1"/>
    <mergeCell ref="X1:Z1"/>
    <mergeCell ref="AA1:AC1"/>
    <mergeCell ref="AD1:AF1"/>
    <mergeCell ref="AG1:AI1"/>
    <mergeCell ref="AJ1:AL1"/>
    <mergeCell ref="K1:N1"/>
    <mergeCell ref="O1:Q1"/>
    <mergeCell ref="R1:T1"/>
    <mergeCell ref="U1:W1"/>
    <mergeCell ref="J1:J2"/>
    <mergeCell ref="I1:I2"/>
    <mergeCell ref="A1:A2"/>
    <mergeCell ref="B1:B2"/>
    <mergeCell ref="C1:C2"/>
    <mergeCell ref="D1:D2"/>
    <mergeCell ref="E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2"/>
  <sheetViews>
    <sheetView topLeftCell="A6" zoomScale="85" zoomScaleNormal="85" workbookViewId="0">
      <selection activeCell="A3" sqref="A3:XFD42"/>
    </sheetView>
  </sheetViews>
  <sheetFormatPr defaultRowHeight="16.5"/>
  <cols>
    <col min="1" max="1" width="13.125" style="1" customWidth="1"/>
    <col min="2" max="2" width="29.875" customWidth="1"/>
    <col min="3" max="3" width="14.75" style="2" customWidth="1"/>
    <col min="4" max="4" width="10.375" style="2" customWidth="1"/>
    <col min="5" max="20" width="9" style="1"/>
    <col min="21" max="21" width="9" style="3"/>
    <col min="22" max="31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8"/>
      <c r="U1" s="76" t="s">
        <v>126</v>
      </c>
      <c r="V1" s="77"/>
      <c r="W1" s="78"/>
      <c r="X1" s="76" t="s">
        <v>127</v>
      </c>
      <c r="Y1" s="77"/>
      <c r="Z1" s="78"/>
      <c r="AA1" s="76" t="s">
        <v>128</v>
      </c>
      <c r="AB1" s="77"/>
      <c r="AC1" s="78"/>
      <c r="AD1" s="76" t="s">
        <v>129</v>
      </c>
      <c r="AE1" s="77"/>
      <c r="AF1" s="78"/>
      <c r="AG1" s="76" t="s">
        <v>130</v>
      </c>
      <c r="AH1" s="77"/>
      <c r="AI1" s="78"/>
      <c r="AJ1" s="76" t="s">
        <v>131</v>
      </c>
      <c r="AK1" s="77"/>
      <c r="AL1" s="78"/>
      <c r="AM1" s="76" t="s">
        <v>132</v>
      </c>
      <c r="AN1" s="77"/>
      <c r="AO1" s="78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54" t="s">
        <v>113</v>
      </c>
      <c r="H2" s="54" t="s">
        <v>112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136</v>
      </c>
      <c r="B3" s="9" t="s">
        <v>34</v>
      </c>
      <c r="C3" s="10" t="s">
        <v>35</v>
      </c>
      <c r="D3" s="10" t="s">
        <v>36</v>
      </c>
      <c r="E3" s="20">
        <v>19</v>
      </c>
      <c r="F3" s="20">
        <v>8.1</v>
      </c>
      <c r="G3" s="40">
        <v>167</v>
      </c>
      <c r="H3" s="20">
        <v>9.3000000000000007</v>
      </c>
      <c r="I3" s="20">
        <v>1.8</v>
      </c>
      <c r="J3" s="20">
        <v>5.3</v>
      </c>
      <c r="K3" s="50">
        <v>3.7</v>
      </c>
      <c r="L3" s="50">
        <v>3.6</v>
      </c>
      <c r="M3" s="50"/>
      <c r="N3" s="49">
        <f>ROUND(AVERAGE(K3:M3),1)</f>
        <v>3.7</v>
      </c>
      <c r="O3" s="36">
        <v>3.4</v>
      </c>
      <c r="P3" s="36">
        <v>3.2</v>
      </c>
      <c r="Q3" s="38">
        <f>ROUND(AVERAGE(O3:P3),1)</f>
        <v>3.3</v>
      </c>
      <c r="R3" s="16">
        <v>1.3049999999999999</v>
      </c>
      <c r="S3" s="16">
        <v>1.3360000000000001</v>
      </c>
      <c r="T3" s="22">
        <f>ROUND(AVERAGE(R3:S3),3)</f>
        <v>1.321</v>
      </c>
      <c r="U3" s="16">
        <v>1.1990000000000001</v>
      </c>
      <c r="V3" s="16">
        <v>1.198</v>
      </c>
      <c r="W3" s="22">
        <f>ROUND(AVERAGE(U3:V3),3)</f>
        <v>1.1990000000000001</v>
      </c>
      <c r="X3" s="16">
        <v>9.0999999999999998E-2</v>
      </c>
      <c r="Y3" s="16">
        <v>8.6999999999999994E-2</v>
      </c>
      <c r="Z3" s="21">
        <f>ROUND(AVERAGE(X3:Y3),3)</f>
        <v>8.8999999999999996E-2</v>
      </c>
      <c r="AA3" s="18">
        <v>0.73977830885771978</v>
      </c>
      <c r="AB3" s="18">
        <v>0.74727116721616127</v>
      </c>
      <c r="AC3" s="21">
        <f>ROUND(AVERAGE(AA3:AB3),3)</f>
        <v>0.74399999999999999</v>
      </c>
      <c r="AD3" s="18">
        <v>7.1999999999999995E-2</v>
      </c>
      <c r="AE3" s="18">
        <v>7.1999999999999995E-2</v>
      </c>
      <c r="AF3" s="21">
        <f>ROUND(AVERAGE(AD3:AE3),3)</f>
        <v>7.1999999999999995E-2</v>
      </c>
      <c r="AG3" s="29">
        <v>0.04</v>
      </c>
      <c r="AH3" s="29">
        <v>3.6999999999999998E-2</v>
      </c>
      <c r="AI3" s="31">
        <f>ROUND(AVERAGE(AG3:AH3),3)</f>
        <v>3.9E-2</v>
      </c>
      <c r="AJ3" s="29">
        <v>2.3E-2</v>
      </c>
      <c r="AK3" s="29">
        <v>2.1000000000000001E-2</v>
      </c>
      <c r="AL3" s="31">
        <f>ROUND(AVERAGE(AJ3:AK3),3)</f>
        <v>2.1999999999999999E-2</v>
      </c>
      <c r="AM3" s="18">
        <v>14.944607250764168</v>
      </c>
      <c r="AN3" s="18">
        <v>14.827837417653619</v>
      </c>
      <c r="AO3" s="21">
        <f>ROUND(AVERAGE(AM3:AN3),3)</f>
        <v>14.885999999999999</v>
      </c>
      <c r="AP3" s="44">
        <v>9.7900000000000001E-2</v>
      </c>
      <c r="AQ3" s="44">
        <v>9.5299999999999996E-2</v>
      </c>
      <c r="AR3" s="45">
        <f>ROUND(AVERAGE(AP3:AQ3),4)</f>
        <v>9.6600000000000005E-2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19.5</v>
      </c>
      <c r="F4" s="23">
        <v>7.7</v>
      </c>
      <c r="G4" s="41">
        <v>92</v>
      </c>
      <c r="H4" s="23">
        <v>8.3000000000000007</v>
      </c>
      <c r="I4" s="23">
        <v>1.8</v>
      </c>
      <c r="J4" s="23">
        <v>4.5999999999999996</v>
      </c>
      <c r="K4" s="50">
        <v>3.4</v>
      </c>
      <c r="L4" s="50">
        <v>3.2</v>
      </c>
      <c r="M4" s="50"/>
      <c r="N4" s="49">
        <f t="shared" ref="N4:N38" si="0">ROUND(AVERAGE(K4:M4),1)</f>
        <v>3.3</v>
      </c>
      <c r="O4" s="37">
        <v>2.8</v>
      </c>
      <c r="P4" s="37">
        <v>2.7</v>
      </c>
      <c r="Q4" s="38">
        <f t="shared" ref="Q4:Q40" si="1">ROUND(AVERAGE(O4:P4),1)</f>
        <v>2.8</v>
      </c>
      <c r="R4" s="17">
        <v>1.0609999999999999</v>
      </c>
      <c r="S4" s="17">
        <v>1.087</v>
      </c>
      <c r="T4" s="22">
        <f t="shared" ref="T4:T41" si="2">ROUND(AVERAGE(R4:S4),3)</f>
        <v>1.0740000000000001</v>
      </c>
      <c r="U4" s="17">
        <v>0.94399999999999995</v>
      </c>
      <c r="V4" s="17">
        <v>0.95</v>
      </c>
      <c r="W4" s="22">
        <f t="shared" ref="W4:W42" si="3">ROUND(AVERAGE(U4:V4),3)</f>
        <v>0.94699999999999995</v>
      </c>
      <c r="X4" s="17">
        <v>6.4000000000000001E-2</v>
      </c>
      <c r="Y4" s="17">
        <v>6.4000000000000001E-2</v>
      </c>
      <c r="Z4" s="21">
        <f t="shared" ref="Z4:Z41" si="4">ROUND(AVERAGE(X4:Y4),3)</f>
        <v>6.4000000000000001E-2</v>
      </c>
      <c r="AA4" s="19">
        <v>0.64390126346597498</v>
      </c>
      <c r="AB4" s="19">
        <v>0.64860174319027231</v>
      </c>
      <c r="AC4" s="21">
        <f t="shared" ref="AC4:AC42" si="5">ROUND(AVERAGE(AA4:AB4),3)</f>
        <v>0.64600000000000002</v>
      </c>
      <c r="AD4" s="19">
        <v>7.1999999999999995E-2</v>
      </c>
      <c r="AE4" s="19">
        <v>7.0000000000000007E-2</v>
      </c>
      <c r="AF4" s="21">
        <f t="shared" ref="AF4:AF41" si="6">ROUND(AVERAGE(AD4:AE4),3)</f>
        <v>7.0999999999999994E-2</v>
      </c>
      <c r="AG4" s="30">
        <v>2.3E-2</v>
      </c>
      <c r="AH4" s="30">
        <v>2.3E-2</v>
      </c>
      <c r="AI4" s="31">
        <f t="shared" ref="AI4:AI42" si="7">ROUND(AVERAGE(AG4:AH4),3)</f>
        <v>2.3E-2</v>
      </c>
      <c r="AJ4" s="30">
        <v>8.9999999999999993E-3</v>
      </c>
      <c r="AK4" s="30">
        <v>0.01</v>
      </c>
      <c r="AL4" s="31">
        <f t="shared" ref="AL4:AL42" si="8">ROUND(AVERAGE(AJ4:AK4),3)</f>
        <v>0.01</v>
      </c>
      <c r="AM4" s="19">
        <v>5.4684932126804853</v>
      </c>
      <c r="AN4" s="19">
        <v>5.4295917887725578</v>
      </c>
      <c r="AO4" s="21">
        <f t="shared" ref="AO4:AO42" si="9">ROUND(AVERAGE(AM4:AN4),3)</f>
        <v>5.4489999999999998</v>
      </c>
      <c r="AP4" s="46">
        <v>9.5500000000000002E-2</v>
      </c>
      <c r="AQ4" s="46">
        <v>9.3600000000000003E-2</v>
      </c>
      <c r="AR4" s="45">
        <f t="shared" ref="AR4:AR42" si="10">ROUND(AVERAGE(AP4:AQ4),4)</f>
        <v>9.4600000000000004E-2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19.8</v>
      </c>
      <c r="F5" s="23">
        <v>7</v>
      </c>
      <c r="G5" s="41">
        <v>114</v>
      </c>
      <c r="H5" s="23">
        <v>9.4</v>
      </c>
      <c r="I5" s="23">
        <v>2.2999999999999998</v>
      </c>
      <c r="J5" s="23">
        <v>6.4</v>
      </c>
      <c r="K5" s="50">
        <v>4.3</v>
      </c>
      <c r="L5" s="50">
        <v>4.0999999999999996</v>
      </c>
      <c r="M5" s="50"/>
      <c r="N5" s="49">
        <f t="shared" si="0"/>
        <v>4.2</v>
      </c>
      <c r="O5" s="37">
        <v>3.4</v>
      </c>
      <c r="P5" s="37">
        <v>3.3</v>
      </c>
      <c r="Q5" s="38">
        <f t="shared" si="1"/>
        <v>3.4</v>
      </c>
      <c r="R5" s="17">
        <v>1.403</v>
      </c>
      <c r="S5" s="17">
        <v>1.385</v>
      </c>
      <c r="T5" s="22">
        <f t="shared" si="2"/>
        <v>1.3939999999999999</v>
      </c>
      <c r="U5" s="17">
        <v>1.1839999999999999</v>
      </c>
      <c r="V5" s="17">
        <v>1.175</v>
      </c>
      <c r="W5" s="22">
        <f t="shared" si="3"/>
        <v>1.18</v>
      </c>
      <c r="X5" s="17">
        <v>8.1000000000000003E-2</v>
      </c>
      <c r="Y5" s="17">
        <v>9.5000000000000001E-2</v>
      </c>
      <c r="Z5" s="21">
        <f t="shared" si="4"/>
        <v>8.7999999999999995E-2</v>
      </c>
      <c r="AA5" s="19">
        <v>0.7148780882871878</v>
      </c>
      <c r="AB5" s="19">
        <v>0.71487983110392572</v>
      </c>
      <c r="AC5" s="21">
        <f t="shared" si="5"/>
        <v>0.71499999999999997</v>
      </c>
      <c r="AD5" s="19">
        <v>0.124</v>
      </c>
      <c r="AE5" s="19">
        <v>0.12</v>
      </c>
      <c r="AF5" s="21">
        <f t="shared" si="6"/>
        <v>0.122</v>
      </c>
      <c r="AG5" s="30">
        <v>4.2000000000000003E-2</v>
      </c>
      <c r="AH5" s="30">
        <v>4.2000000000000003E-2</v>
      </c>
      <c r="AI5" s="31">
        <f t="shared" si="7"/>
        <v>4.2000000000000003E-2</v>
      </c>
      <c r="AJ5" s="30">
        <v>2.5000000000000001E-2</v>
      </c>
      <c r="AK5" s="30">
        <v>2.5000000000000001E-2</v>
      </c>
      <c r="AL5" s="31">
        <f t="shared" si="8"/>
        <v>2.5000000000000001E-2</v>
      </c>
      <c r="AM5" s="19">
        <v>7.9391584356414606</v>
      </c>
      <c r="AN5" s="19">
        <v>7.8867915860679512</v>
      </c>
      <c r="AO5" s="21">
        <f t="shared" si="9"/>
        <v>7.9130000000000003</v>
      </c>
      <c r="AP5" s="46">
        <v>0.12039999999999999</v>
      </c>
      <c r="AQ5" s="46">
        <v>0.1182</v>
      </c>
      <c r="AR5" s="45">
        <f t="shared" si="10"/>
        <v>0.1193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18.8</v>
      </c>
      <c r="F6" s="23">
        <v>7.1</v>
      </c>
      <c r="G6" s="41">
        <v>109</v>
      </c>
      <c r="H6" s="23">
        <v>9.3000000000000007</v>
      </c>
      <c r="I6" s="23">
        <v>2.2000000000000002</v>
      </c>
      <c r="J6" s="23">
        <v>5</v>
      </c>
      <c r="K6" s="50">
        <v>3.5</v>
      </c>
      <c r="L6" s="50">
        <v>3.5</v>
      </c>
      <c r="M6" s="50"/>
      <c r="N6" s="49">
        <f t="shared" si="0"/>
        <v>3.5</v>
      </c>
      <c r="O6" s="37">
        <v>3.3</v>
      </c>
      <c r="P6" s="37">
        <v>3.3</v>
      </c>
      <c r="Q6" s="38">
        <f t="shared" si="1"/>
        <v>3.3</v>
      </c>
      <c r="R6" s="17">
        <v>2.82</v>
      </c>
      <c r="S6" s="17">
        <v>2.802</v>
      </c>
      <c r="T6" s="22">
        <f t="shared" si="2"/>
        <v>2.8109999999999999</v>
      </c>
      <c r="U6" s="17">
        <v>2.74</v>
      </c>
      <c r="V6" s="17">
        <v>2.742</v>
      </c>
      <c r="W6" s="22">
        <f t="shared" si="3"/>
        <v>2.7410000000000001</v>
      </c>
      <c r="X6" s="17">
        <v>1.0109999999999999</v>
      </c>
      <c r="Y6" s="17">
        <v>1.018</v>
      </c>
      <c r="Z6" s="21">
        <f t="shared" si="4"/>
        <v>1.0149999999999999</v>
      </c>
      <c r="AA6" s="19">
        <v>0.70907500967155102</v>
      </c>
      <c r="AB6" s="19">
        <v>0.72309547539046048</v>
      </c>
      <c r="AC6" s="21">
        <f t="shared" si="5"/>
        <v>0.71599999999999997</v>
      </c>
      <c r="AD6" s="19">
        <v>7.3999999999999996E-2</v>
      </c>
      <c r="AE6" s="19">
        <v>6.6000000000000003E-2</v>
      </c>
      <c r="AF6" s="21">
        <f t="shared" si="6"/>
        <v>7.0000000000000007E-2</v>
      </c>
      <c r="AG6" s="30">
        <v>3.6999999999999998E-2</v>
      </c>
      <c r="AH6" s="30">
        <v>3.5999999999999997E-2</v>
      </c>
      <c r="AI6" s="31">
        <f t="shared" si="7"/>
        <v>3.6999999999999998E-2</v>
      </c>
      <c r="AJ6" s="30">
        <v>2.7E-2</v>
      </c>
      <c r="AK6" s="30">
        <v>2.5999999999999999E-2</v>
      </c>
      <c r="AL6" s="31">
        <f t="shared" si="8"/>
        <v>2.7E-2</v>
      </c>
      <c r="AM6" s="19">
        <v>7.2147629392034318</v>
      </c>
      <c r="AN6" s="19">
        <v>7.226007939807408</v>
      </c>
      <c r="AO6" s="21">
        <f t="shared" si="9"/>
        <v>7.22</v>
      </c>
      <c r="AP6" s="46">
        <v>0.10440000000000001</v>
      </c>
      <c r="AQ6" s="46">
        <v>0.1014</v>
      </c>
      <c r="AR6" s="45">
        <f t="shared" si="10"/>
        <v>0.10290000000000001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19.899999999999999</v>
      </c>
      <c r="F7" s="23">
        <v>6.8</v>
      </c>
      <c r="G7" s="41">
        <v>122</v>
      </c>
      <c r="H7" s="23">
        <v>7.9</v>
      </c>
      <c r="I7" s="23">
        <v>2.6</v>
      </c>
      <c r="J7" s="23">
        <v>6.2</v>
      </c>
      <c r="K7" s="50">
        <v>4.3</v>
      </c>
      <c r="L7" s="50">
        <v>4.2</v>
      </c>
      <c r="M7" s="50"/>
      <c r="N7" s="49">
        <f t="shared" si="0"/>
        <v>4.3</v>
      </c>
      <c r="O7" s="37">
        <v>3.7</v>
      </c>
      <c r="P7" s="37">
        <v>3.6</v>
      </c>
      <c r="Q7" s="38">
        <f t="shared" si="1"/>
        <v>3.7</v>
      </c>
      <c r="R7" s="17">
        <v>1.647</v>
      </c>
      <c r="S7" s="17">
        <v>1.627</v>
      </c>
      <c r="T7" s="22">
        <f t="shared" si="2"/>
        <v>1.637</v>
      </c>
      <c r="U7" s="17">
        <v>1.502</v>
      </c>
      <c r="V7" s="17">
        <v>1.4850000000000001</v>
      </c>
      <c r="W7" s="22">
        <f t="shared" si="3"/>
        <v>1.494</v>
      </c>
      <c r="X7" s="17">
        <v>0.247</v>
      </c>
      <c r="Y7" s="17">
        <v>0.24399999999999999</v>
      </c>
      <c r="Z7" s="21">
        <f t="shared" si="4"/>
        <v>0.246</v>
      </c>
      <c r="AA7" s="19">
        <v>0.76737479385504026</v>
      </c>
      <c r="AB7" s="19">
        <v>0.78277916110668533</v>
      </c>
      <c r="AC7" s="21">
        <f t="shared" si="5"/>
        <v>0.77500000000000002</v>
      </c>
      <c r="AD7" s="19">
        <v>0.13</v>
      </c>
      <c r="AE7" s="19">
        <v>0.123</v>
      </c>
      <c r="AF7" s="21">
        <f t="shared" si="6"/>
        <v>0.127</v>
      </c>
      <c r="AG7" s="30">
        <v>5.0999999999999997E-2</v>
      </c>
      <c r="AH7" s="30">
        <v>5.1999999999999998E-2</v>
      </c>
      <c r="AI7" s="31">
        <f t="shared" si="7"/>
        <v>5.1999999999999998E-2</v>
      </c>
      <c r="AJ7" s="30">
        <v>0.04</v>
      </c>
      <c r="AK7" s="30">
        <v>3.9E-2</v>
      </c>
      <c r="AL7" s="31">
        <f t="shared" si="8"/>
        <v>0.04</v>
      </c>
      <c r="AM7" s="19">
        <v>8.7764830508399125</v>
      </c>
      <c r="AN7" s="19">
        <v>8.8764765852196081</v>
      </c>
      <c r="AO7" s="21">
        <f t="shared" si="9"/>
        <v>8.8260000000000005</v>
      </c>
      <c r="AP7" s="46">
        <v>0.1205</v>
      </c>
      <c r="AQ7" s="46">
        <v>0.1177</v>
      </c>
      <c r="AR7" s="45">
        <f t="shared" si="10"/>
        <v>0.1191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19.8</v>
      </c>
      <c r="F8" s="23">
        <v>7.1</v>
      </c>
      <c r="G8" s="41">
        <v>105</v>
      </c>
      <c r="H8" s="23">
        <v>9</v>
      </c>
      <c r="I8" s="23">
        <v>2.8</v>
      </c>
      <c r="J8" s="23">
        <v>6.4</v>
      </c>
      <c r="K8" s="50">
        <v>4.4000000000000004</v>
      </c>
      <c r="L8" s="50">
        <v>4.2</v>
      </c>
      <c r="M8" s="50"/>
      <c r="N8" s="49">
        <f t="shared" si="0"/>
        <v>4.3</v>
      </c>
      <c r="O8" s="37">
        <v>3.6</v>
      </c>
      <c r="P8" s="37">
        <v>3.5</v>
      </c>
      <c r="Q8" s="38">
        <f t="shared" si="1"/>
        <v>3.6</v>
      </c>
      <c r="R8" s="17">
        <v>1.153</v>
      </c>
      <c r="S8" s="17">
        <v>1.194</v>
      </c>
      <c r="T8" s="22">
        <f t="shared" si="2"/>
        <v>1.1739999999999999</v>
      </c>
      <c r="U8" s="17">
        <v>1.0069999999999999</v>
      </c>
      <c r="V8" s="17">
        <v>1.0109999999999999</v>
      </c>
      <c r="W8" s="22">
        <f t="shared" si="3"/>
        <v>1.0089999999999999</v>
      </c>
      <c r="X8" s="17">
        <v>9.4E-2</v>
      </c>
      <c r="Y8" s="17">
        <v>9.5000000000000001E-2</v>
      </c>
      <c r="Z8" s="21">
        <f t="shared" si="4"/>
        <v>9.5000000000000001E-2</v>
      </c>
      <c r="AA8" s="19">
        <v>0.55330241146384052</v>
      </c>
      <c r="AB8" s="19">
        <v>0.57121940793232517</v>
      </c>
      <c r="AC8" s="21">
        <f t="shared" si="5"/>
        <v>0.56200000000000006</v>
      </c>
      <c r="AD8" s="19">
        <v>8.6999999999999994E-2</v>
      </c>
      <c r="AE8" s="19">
        <v>8.4000000000000005E-2</v>
      </c>
      <c r="AF8" s="21">
        <f t="shared" si="6"/>
        <v>8.5999999999999993E-2</v>
      </c>
      <c r="AG8" s="30">
        <v>2.9000000000000001E-2</v>
      </c>
      <c r="AH8" s="30">
        <v>2.8000000000000001E-2</v>
      </c>
      <c r="AI8" s="31">
        <f t="shared" si="7"/>
        <v>2.9000000000000001E-2</v>
      </c>
      <c r="AJ8" s="30">
        <v>1.6E-2</v>
      </c>
      <c r="AK8" s="30">
        <v>1.7000000000000001E-2</v>
      </c>
      <c r="AL8" s="31">
        <f t="shared" si="8"/>
        <v>1.7000000000000001E-2</v>
      </c>
      <c r="AM8" s="19">
        <v>6.450929316107751</v>
      </c>
      <c r="AN8" s="19">
        <v>6.5338495163517454</v>
      </c>
      <c r="AO8" s="21">
        <f t="shared" si="9"/>
        <v>6.492</v>
      </c>
      <c r="AP8" s="46">
        <v>0.1132</v>
      </c>
      <c r="AQ8" s="46">
        <v>0.1116</v>
      </c>
      <c r="AR8" s="45">
        <f t="shared" si="10"/>
        <v>0.1124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19.7</v>
      </c>
      <c r="F9" s="23">
        <v>7.1</v>
      </c>
      <c r="G9" s="41">
        <v>126</v>
      </c>
      <c r="H9" s="23">
        <v>8.1</v>
      </c>
      <c r="I9" s="23">
        <v>2.2000000000000002</v>
      </c>
      <c r="J9" s="23">
        <v>6.5</v>
      </c>
      <c r="K9" s="50">
        <v>4.5</v>
      </c>
      <c r="L9" s="50">
        <v>4.4000000000000004</v>
      </c>
      <c r="M9" s="50"/>
      <c r="N9" s="49">
        <f t="shared" si="0"/>
        <v>4.5</v>
      </c>
      <c r="O9" s="37">
        <v>4</v>
      </c>
      <c r="P9" s="37">
        <v>3.9</v>
      </c>
      <c r="Q9" s="38">
        <f t="shared" si="1"/>
        <v>4</v>
      </c>
      <c r="R9" s="17">
        <v>1.5029999999999999</v>
      </c>
      <c r="S9" s="17">
        <v>1.56</v>
      </c>
      <c r="T9" s="22">
        <f t="shared" si="2"/>
        <v>1.532</v>
      </c>
      <c r="U9" s="17">
        <v>1.36</v>
      </c>
      <c r="V9" s="17">
        <v>1.373</v>
      </c>
      <c r="W9" s="22">
        <f t="shared" si="3"/>
        <v>1.367</v>
      </c>
      <c r="X9" s="17">
        <v>0.17</v>
      </c>
      <c r="Y9" s="17">
        <v>0.17299999999999999</v>
      </c>
      <c r="Z9" s="21">
        <f t="shared" si="4"/>
        <v>0.17199999999999999</v>
      </c>
      <c r="AA9" s="19">
        <v>0.73111395021882841</v>
      </c>
      <c r="AB9" s="19">
        <v>0.72868389687160173</v>
      </c>
      <c r="AC9" s="21">
        <f t="shared" si="5"/>
        <v>0.73</v>
      </c>
      <c r="AD9" s="19">
        <v>8.8999999999999996E-2</v>
      </c>
      <c r="AE9" s="19">
        <v>8.7999999999999995E-2</v>
      </c>
      <c r="AF9" s="21">
        <f t="shared" si="6"/>
        <v>8.8999999999999996E-2</v>
      </c>
      <c r="AG9" s="30">
        <v>3.7999999999999999E-2</v>
      </c>
      <c r="AH9" s="30">
        <v>3.7999999999999999E-2</v>
      </c>
      <c r="AI9" s="31">
        <f t="shared" si="7"/>
        <v>3.7999999999999999E-2</v>
      </c>
      <c r="AJ9" s="30">
        <v>2.3E-2</v>
      </c>
      <c r="AK9" s="30">
        <v>2.4E-2</v>
      </c>
      <c r="AL9" s="31">
        <f t="shared" si="8"/>
        <v>2.4E-2</v>
      </c>
      <c r="AM9" s="19">
        <v>9.0460870182105371</v>
      </c>
      <c r="AN9" s="19">
        <v>8.9174766028121706</v>
      </c>
      <c r="AO9" s="21">
        <f t="shared" si="9"/>
        <v>8.9819999999999993</v>
      </c>
      <c r="AP9" s="46">
        <v>0.123</v>
      </c>
      <c r="AQ9" s="46">
        <v>0.12180000000000001</v>
      </c>
      <c r="AR9" s="45">
        <f t="shared" si="10"/>
        <v>0.12239999999999999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18.8</v>
      </c>
      <c r="F10" s="23">
        <v>7.2</v>
      </c>
      <c r="G10" s="41">
        <v>132</v>
      </c>
      <c r="H10" s="23">
        <v>9.1</v>
      </c>
      <c r="I10" s="23">
        <v>1.8</v>
      </c>
      <c r="J10" s="23">
        <v>5.0999999999999996</v>
      </c>
      <c r="K10" s="50">
        <v>3.8</v>
      </c>
      <c r="L10" s="50">
        <v>3.6</v>
      </c>
      <c r="M10" s="50"/>
      <c r="N10" s="49">
        <f t="shared" si="0"/>
        <v>3.7</v>
      </c>
      <c r="O10" s="37">
        <v>3.4</v>
      </c>
      <c r="P10" s="37">
        <v>3.3</v>
      </c>
      <c r="Q10" s="38">
        <f t="shared" si="1"/>
        <v>3.4</v>
      </c>
      <c r="R10" s="17">
        <v>2.56</v>
      </c>
      <c r="S10" s="17">
        <v>2.516</v>
      </c>
      <c r="T10" s="22">
        <f t="shared" si="2"/>
        <v>2.5379999999999998</v>
      </c>
      <c r="U10" s="17">
        <v>2.4590000000000001</v>
      </c>
      <c r="V10" s="17">
        <v>2.4630000000000001</v>
      </c>
      <c r="W10" s="22">
        <f t="shared" si="3"/>
        <v>2.4609999999999999</v>
      </c>
      <c r="X10" s="17">
        <v>0.115</v>
      </c>
      <c r="Y10" s="17">
        <v>0.113</v>
      </c>
      <c r="Z10" s="21">
        <f t="shared" si="4"/>
        <v>0.114</v>
      </c>
      <c r="AA10" s="19">
        <v>1.7539099130489535</v>
      </c>
      <c r="AB10" s="19">
        <v>1.7741891442577493</v>
      </c>
      <c r="AC10" s="21">
        <f t="shared" si="5"/>
        <v>1.764</v>
      </c>
      <c r="AD10" s="19">
        <v>0.23</v>
      </c>
      <c r="AE10" s="19">
        <v>0.22</v>
      </c>
      <c r="AF10" s="21">
        <f t="shared" si="6"/>
        <v>0.22500000000000001</v>
      </c>
      <c r="AG10" s="30">
        <v>0.17699999999999999</v>
      </c>
      <c r="AH10" s="30">
        <v>0.18</v>
      </c>
      <c r="AI10" s="31">
        <f t="shared" si="7"/>
        <v>0.17899999999999999</v>
      </c>
      <c r="AJ10" s="30">
        <v>0.17599999999999999</v>
      </c>
      <c r="AK10" s="30">
        <v>0.17599999999999999</v>
      </c>
      <c r="AL10" s="31">
        <f t="shared" si="8"/>
        <v>0.17599999999999999</v>
      </c>
      <c r="AM10" s="19">
        <v>9.2355922097683614</v>
      </c>
      <c r="AN10" s="19">
        <v>9.2775786527799617</v>
      </c>
      <c r="AO10" s="21">
        <f t="shared" si="9"/>
        <v>9.2569999999999997</v>
      </c>
      <c r="AP10" s="46">
        <v>0.1013</v>
      </c>
      <c r="AQ10" s="46">
        <v>0.1003</v>
      </c>
      <c r="AR10" s="45">
        <f t="shared" si="10"/>
        <v>0.1008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20.5</v>
      </c>
      <c r="F11" s="23">
        <v>7.5</v>
      </c>
      <c r="G11" s="41">
        <v>125</v>
      </c>
      <c r="H11" s="23">
        <v>8.8000000000000007</v>
      </c>
      <c r="I11" s="23">
        <v>2.4</v>
      </c>
      <c r="J11" s="23">
        <v>5.8</v>
      </c>
      <c r="K11" s="50">
        <v>4.3</v>
      </c>
      <c r="L11" s="50">
        <v>4.0999999999999996</v>
      </c>
      <c r="M11" s="50"/>
      <c r="N11" s="49">
        <f t="shared" si="0"/>
        <v>4.2</v>
      </c>
      <c r="O11" s="37">
        <v>3.7</v>
      </c>
      <c r="P11" s="37">
        <v>3.6</v>
      </c>
      <c r="Q11" s="38">
        <f t="shared" si="1"/>
        <v>3.7</v>
      </c>
      <c r="R11" s="17">
        <v>1.6319999999999999</v>
      </c>
      <c r="S11" s="17">
        <v>1.647</v>
      </c>
      <c r="T11" s="22">
        <f t="shared" si="2"/>
        <v>1.64</v>
      </c>
      <c r="U11" s="17">
        <v>1.512</v>
      </c>
      <c r="V11" s="17">
        <v>1.5029999999999999</v>
      </c>
      <c r="W11" s="22">
        <f t="shared" si="3"/>
        <v>1.508</v>
      </c>
      <c r="X11" s="17">
        <v>0.126</v>
      </c>
      <c r="Y11" s="17">
        <v>0.127</v>
      </c>
      <c r="Z11" s="21">
        <f t="shared" si="4"/>
        <v>0.127</v>
      </c>
      <c r="AA11" s="19">
        <v>0.94188633714892966</v>
      </c>
      <c r="AB11" s="19">
        <v>0.95710857584336018</v>
      </c>
      <c r="AC11" s="21">
        <f t="shared" si="5"/>
        <v>0.94899999999999995</v>
      </c>
      <c r="AD11" s="19">
        <v>0.11600000000000001</v>
      </c>
      <c r="AE11" s="19">
        <v>0.112</v>
      </c>
      <c r="AF11" s="21">
        <f t="shared" si="6"/>
        <v>0.114</v>
      </c>
      <c r="AG11" s="30">
        <v>6.3E-2</v>
      </c>
      <c r="AH11" s="30">
        <v>5.8000000000000003E-2</v>
      </c>
      <c r="AI11" s="31">
        <f t="shared" si="7"/>
        <v>6.0999999999999999E-2</v>
      </c>
      <c r="AJ11" s="30">
        <v>5.0999999999999997E-2</v>
      </c>
      <c r="AK11" s="30">
        <v>5.0999999999999997E-2</v>
      </c>
      <c r="AL11" s="31">
        <f t="shared" si="8"/>
        <v>5.0999999999999997E-2</v>
      </c>
      <c r="AM11" s="19">
        <v>9.4079100196784964</v>
      </c>
      <c r="AN11" s="19">
        <v>9.49768874978189</v>
      </c>
      <c r="AO11" s="21">
        <f t="shared" si="9"/>
        <v>9.4529999999999994</v>
      </c>
      <c r="AP11" s="46">
        <v>0.10390000000000001</v>
      </c>
      <c r="AQ11" s="46">
        <v>0.10290000000000001</v>
      </c>
      <c r="AR11" s="45">
        <f t="shared" si="10"/>
        <v>0.10340000000000001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22.3</v>
      </c>
      <c r="F12" s="23">
        <v>7.2</v>
      </c>
      <c r="G12" s="41">
        <v>197</v>
      </c>
      <c r="H12" s="23">
        <v>11.5</v>
      </c>
      <c r="I12" s="23">
        <v>1.7</v>
      </c>
      <c r="J12" s="23">
        <v>5.8</v>
      </c>
      <c r="K12" s="50">
        <v>4.4000000000000004</v>
      </c>
      <c r="L12" s="50">
        <v>4.3</v>
      </c>
      <c r="M12" s="50"/>
      <c r="N12" s="49">
        <f t="shared" si="0"/>
        <v>4.4000000000000004</v>
      </c>
      <c r="O12" s="37">
        <v>4.0999999999999996</v>
      </c>
      <c r="P12" s="37">
        <v>4</v>
      </c>
      <c r="Q12" s="38">
        <f t="shared" si="1"/>
        <v>4.0999999999999996</v>
      </c>
      <c r="R12" s="17">
        <v>2.165</v>
      </c>
      <c r="S12" s="17">
        <v>2.1720000000000002</v>
      </c>
      <c r="T12" s="22">
        <f t="shared" si="2"/>
        <v>2.169</v>
      </c>
      <c r="U12" s="17">
        <v>2.0369999999999999</v>
      </c>
      <c r="V12" s="17">
        <v>2.0640000000000001</v>
      </c>
      <c r="W12" s="22">
        <f t="shared" si="3"/>
        <v>2.0510000000000002</v>
      </c>
      <c r="X12" s="17">
        <v>9.2999999999999999E-2</v>
      </c>
      <c r="Y12" s="17">
        <v>9.1999999999999998E-2</v>
      </c>
      <c r="Z12" s="21">
        <f t="shared" si="4"/>
        <v>9.2999999999999999E-2</v>
      </c>
      <c r="AA12" s="19">
        <v>1.5094439634856691</v>
      </c>
      <c r="AB12" s="19">
        <v>1.5318440753984228</v>
      </c>
      <c r="AC12" s="21">
        <f t="shared" si="5"/>
        <v>1.5209999999999999</v>
      </c>
      <c r="AD12" s="19">
        <v>0.14000000000000001</v>
      </c>
      <c r="AE12" s="19">
        <v>0.13200000000000001</v>
      </c>
      <c r="AF12" s="21">
        <f t="shared" si="6"/>
        <v>0.13600000000000001</v>
      </c>
      <c r="AG12" s="30">
        <v>8.7999999999999995E-2</v>
      </c>
      <c r="AH12" s="30">
        <v>0.09</v>
      </c>
      <c r="AI12" s="31">
        <f t="shared" si="7"/>
        <v>8.8999999999999996E-2</v>
      </c>
      <c r="AJ12" s="30">
        <v>8.2000000000000003E-2</v>
      </c>
      <c r="AK12" s="30">
        <v>0.08</v>
      </c>
      <c r="AL12" s="31">
        <f t="shared" si="8"/>
        <v>8.1000000000000003E-2</v>
      </c>
      <c r="AM12" s="19">
        <v>17.327154660551241</v>
      </c>
      <c r="AN12" s="19">
        <v>17.498164811086639</v>
      </c>
      <c r="AO12" s="21">
        <f t="shared" si="9"/>
        <v>17.413</v>
      </c>
      <c r="AP12" s="46">
        <v>0.13250000000000001</v>
      </c>
      <c r="AQ12" s="46">
        <v>0.13109999999999999</v>
      </c>
      <c r="AR12" s="45">
        <f t="shared" si="10"/>
        <v>0.1318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21.5</v>
      </c>
      <c r="F13" s="23">
        <v>7.5</v>
      </c>
      <c r="G13" s="41">
        <v>155</v>
      </c>
      <c r="H13" s="23">
        <v>8.4</v>
      </c>
      <c r="I13" s="23">
        <v>2.4</v>
      </c>
      <c r="J13" s="23">
        <v>7.1</v>
      </c>
      <c r="K13" s="50">
        <v>5.0999999999999996</v>
      </c>
      <c r="L13" s="50">
        <v>5.3</v>
      </c>
      <c r="M13" s="50"/>
      <c r="N13" s="49">
        <f t="shared" si="0"/>
        <v>5.2</v>
      </c>
      <c r="O13" s="37">
        <v>4.7</v>
      </c>
      <c r="P13" s="37">
        <v>4.5999999999999996</v>
      </c>
      <c r="Q13" s="38">
        <f t="shared" si="1"/>
        <v>4.7</v>
      </c>
      <c r="R13" s="17">
        <v>2.6219999999999999</v>
      </c>
      <c r="S13" s="17">
        <v>2.6360000000000001</v>
      </c>
      <c r="T13" s="22">
        <f t="shared" si="2"/>
        <v>2.629</v>
      </c>
      <c r="U13" s="17">
        <v>2.4729999999999999</v>
      </c>
      <c r="V13" s="17">
        <v>2.4740000000000002</v>
      </c>
      <c r="W13" s="22">
        <f t="shared" si="3"/>
        <v>2.4740000000000002</v>
      </c>
      <c r="X13" s="17">
        <v>0.28699999999999998</v>
      </c>
      <c r="Y13" s="17">
        <v>0.28799999999999998</v>
      </c>
      <c r="Z13" s="21">
        <f t="shared" si="4"/>
        <v>0.28799999999999998</v>
      </c>
      <c r="AA13" s="19">
        <v>1.49443667657705</v>
      </c>
      <c r="AB13" s="19">
        <v>1.5007506786820244</v>
      </c>
      <c r="AC13" s="21">
        <f t="shared" si="5"/>
        <v>1.498</v>
      </c>
      <c r="AD13" s="19">
        <v>0.22</v>
      </c>
      <c r="AE13" s="19">
        <v>0.21299999999999999</v>
      </c>
      <c r="AF13" s="21">
        <f t="shared" si="6"/>
        <v>0.217</v>
      </c>
      <c r="AG13" s="30">
        <v>0.14199999999999999</v>
      </c>
      <c r="AH13" s="30">
        <v>0.14799999999999999</v>
      </c>
      <c r="AI13" s="31">
        <f t="shared" si="7"/>
        <v>0.14499999999999999</v>
      </c>
      <c r="AJ13" s="30">
        <v>0.14000000000000001</v>
      </c>
      <c r="AK13" s="30">
        <v>0.14599999999999999</v>
      </c>
      <c r="AL13" s="31">
        <f t="shared" si="8"/>
        <v>0.14299999999999999</v>
      </c>
      <c r="AM13" s="19">
        <v>11.31701044730881</v>
      </c>
      <c r="AN13" s="19">
        <v>11.29614136847143</v>
      </c>
      <c r="AO13" s="21">
        <f t="shared" si="9"/>
        <v>11.307</v>
      </c>
      <c r="AP13" s="46">
        <v>0.1507</v>
      </c>
      <c r="AQ13" s="46">
        <v>0.14960000000000001</v>
      </c>
      <c r="AR13" s="45">
        <f t="shared" si="10"/>
        <v>0.1502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21.6</v>
      </c>
      <c r="F14" s="23">
        <v>7.6</v>
      </c>
      <c r="G14" s="41">
        <v>120</v>
      </c>
      <c r="H14" s="23">
        <v>9</v>
      </c>
      <c r="I14" s="23">
        <v>2</v>
      </c>
      <c r="J14" s="23">
        <v>4.8</v>
      </c>
      <c r="K14" s="50">
        <v>3.4</v>
      </c>
      <c r="L14" s="50">
        <v>2.9</v>
      </c>
      <c r="M14" s="50"/>
      <c r="N14" s="49">
        <f t="shared" si="0"/>
        <v>3.2</v>
      </c>
      <c r="O14" s="37">
        <v>2.6</v>
      </c>
      <c r="P14" s="37">
        <v>2.5</v>
      </c>
      <c r="Q14" s="38">
        <f t="shared" si="1"/>
        <v>2.6</v>
      </c>
      <c r="R14" s="17">
        <v>1.673</v>
      </c>
      <c r="S14" s="17">
        <v>1.7</v>
      </c>
      <c r="T14" s="22">
        <f t="shared" si="2"/>
        <v>1.6870000000000001</v>
      </c>
      <c r="U14" s="17">
        <v>1.5</v>
      </c>
      <c r="V14" s="17">
        <v>1.49</v>
      </c>
      <c r="W14" s="22">
        <f t="shared" si="3"/>
        <v>1.4950000000000001</v>
      </c>
      <c r="X14" s="17">
        <v>0.19700000000000001</v>
      </c>
      <c r="Y14" s="17">
        <v>0.20499999999999999</v>
      </c>
      <c r="Z14" s="21">
        <f t="shared" si="4"/>
        <v>0.20100000000000001</v>
      </c>
      <c r="AA14" s="19">
        <v>1.0147598919247256</v>
      </c>
      <c r="AB14" s="19">
        <v>1.0235898143976823</v>
      </c>
      <c r="AC14" s="21">
        <f t="shared" si="5"/>
        <v>1.0189999999999999</v>
      </c>
      <c r="AD14" s="19">
        <v>8.5999999999999993E-2</v>
      </c>
      <c r="AE14" s="19">
        <v>8.1000000000000003E-2</v>
      </c>
      <c r="AF14" s="21">
        <f t="shared" si="6"/>
        <v>8.4000000000000005E-2</v>
      </c>
      <c r="AG14" s="30">
        <v>2.5000000000000001E-2</v>
      </c>
      <c r="AH14" s="30">
        <v>0.02</v>
      </c>
      <c r="AI14" s="31">
        <f t="shared" si="7"/>
        <v>2.3E-2</v>
      </c>
      <c r="AJ14" s="30">
        <v>1.6E-2</v>
      </c>
      <c r="AK14" s="30">
        <v>1.4999999999999999E-2</v>
      </c>
      <c r="AL14" s="31">
        <f t="shared" si="8"/>
        <v>1.6E-2</v>
      </c>
      <c r="AM14" s="19">
        <v>6.6919150814791557</v>
      </c>
      <c r="AN14" s="19">
        <v>6.7123508340597589</v>
      </c>
      <c r="AO14" s="21">
        <f t="shared" si="9"/>
        <v>6.702</v>
      </c>
      <c r="AP14" s="46">
        <v>7.8899999999999998E-2</v>
      </c>
      <c r="AQ14" s="46">
        <v>7.8100000000000003E-2</v>
      </c>
      <c r="AR14" s="45">
        <f t="shared" si="10"/>
        <v>7.85E-2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21.7</v>
      </c>
      <c r="F15" s="23">
        <v>8.1</v>
      </c>
      <c r="G15" s="41">
        <v>141</v>
      </c>
      <c r="H15" s="23">
        <v>10.199999999999999</v>
      </c>
      <c r="I15" s="23">
        <v>1.4</v>
      </c>
      <c r="J15" s="23">
        <v>5.8</v>
      </c>
      <c r="K15" s="50">
        <v>4.2</v>
      </c>
      <c r="L15" s="50">
        <v>4</v>
      </c>
      <c r="M15" s="50"/>
      <c r="N15" s="49">
        <f t="shared" si="0"/>
        <v>4.0999999999999996</v>
      </c>
      <c r="O15" s="37">
        <v>3.8</v>
      </c>
      <c r="P15" s="37">
        <v>3.7</v>
      </c>
      <c r="Q15" s="38">
        <f t="shared" si="1"/>
        <v>3.8</v>
      </c>
      <c r="R15" s="17">
        <v>2.0419999999999998</v>
      </c>
      <c r="S15" s="17">
        <v>2.036</v>
      </c>
      <c r="T15" s="22">
        <f t="shared" si="2"/>
        <v>2.0390000000000001</v>
      </c>
      <c r="U15" s="17">
        <v>1.931</v>
      </c>
      <c r="V15" s="17">
        <v>1.9330000000000001</v>
      </c>
      <c r="W15" s="22">
        <f t="shared" si="3"/>
        <v>1.9319999999999999</v>
      </c>
      <c r="X15" s="17">
        <v>8.5000000000000006E-2</v>
      </c>
      <c r="Y15" s="17">
        <v>8.5999999999999993E-2</v>
      </c>
      <c r="Z15" s="21">
        <f t="shared" si="4"/>
        <v>8.5999999999999993E-2</v>
      </c>
      <c r="AA15" s="19">
        <v>1.3379397729252205</v>
      </c>
      <c r="AB15" s="19">
        <v>1.3697515707777914</v>
      </c>
      <c r="AC15" s="21">
        <f t="shared" si="5"/>
        <v>1.3540000000000001</v>
      </c>
      <c r="AD15" s="19">
        <v>0.13100000000000001</v>
      </c>
      <c r="AE15" s="19">
        <v>0.124</v>
      </c>
      <c r="AF15" s="21">
        <f t="shared" si="6"/>
        <v>0.128</v>
      </c>
      <c r="AG15" s="30">
        <v>8.5000000000000006E-2</v>
      </c>
      <c r="AH15" s="30">
        <v>8.7999999999999995E-2</v>
      </c>
      <c r="AI15" s="31">
        <f t="shared" si="7"/>
        <v>8.6999999999999994E-2</v>
      </c>
      <c r="AJ15" s="30">
        <v>8.5999999999999993E-2</v>
      </c>
      <c r="AK15" s="30">
        <v>8.5000000000000006E-2</v>
      </c>
      <c r="AL15" s="31">
        <f t="shared" si="8"/>
        <v>8.5999999999999993E-2</v>
      </c>
      <c r="AM15" s="19">
        <v>9.4031822363917641</v>
      </c>
      <c r="AN15" s="19">
        <v>9.5348066147455057</v>
      </c>
      <c r="AO15" s="21">
        <f t="shared" si="9"/>
        <v>9.4689999999999994</v>
      </c>
      <c r="AP15" s="46">
        <v>0.12039999999999999</v>
      </c>
      <c r="AQ15" s="46">
        <v>0.1195</v>
      </c>
      <c r="AR15" s="45">
        <f t="shared" si="10"/>
        <v>0.12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21.9</v>
      </c>
      <c r="F16" s="23">
        <v>7.6</v>
      </c>
      <c r="G16" s="41">
        <v>193</v>
      </c>
      <c r="H16" s="23">
        <v>8.5</v>
      </c>
      <c r="I16" s="23">
        <v>2</v>
      </c>
      <c r="J16" s="23">
        <v>7.1</v>
      </c>
      <c r="K16" s="50">
        <v>5</v>
      </c>
      <c r="L16" s="50">
        <v>4.7</v>
      </c>
      <c r="M16" s="50"/>
      <c r="N16" s="49">
        <f t="shared" si="0"/>
        <v>4.9000000000000004</v>
      </c>
      <c r="O16" s="37">
        <v>4.5999999999999996</v>
      </c>
      <c r="P16" s="37">
        <v>4.5</v>
      </c>
      <c r="Q16" s="38">
        <f t="shared" si="1"/>
        <v>4.5999999999999996</v>
      </c>
      <c r="R16" s="17">
        <v>0.98699999999999999</v>
      </c>
      <c r="S16" s="17">
        <v>1.0449999999999999</v>
      </c>
      <c r="T16" s="22">
        <f t="shared" si="2"/>
        <v>1.016</v>
      </c>
      <c r="U16" s="17">
        <v>0.91600000000000004</v>
      </c>
      <c r="V16" s="17">
        <v>0.92</v>
      </c>
      <c r="W16" s="22">
        <f t="shared" si="3"/>
        <v>0.91800000000000004</v>
      </c>
      <c r="X16" s="17">
        <v>0.13500000000000001</v>
      </c>
      <c r="Y16" s="17">
        <v>0.13400000000000001</v>
      </c>
      <c r="Z16" s="21">
        <f t="shared" si="4"/>
        <v>0.13500000000000001</v>
      </c>
      <c r="AA16" s="19">
        <v>0.29143889016977698</v>
      </c>
      <c r="AB16" s="19">
        <v>0.30364691147649325</v>
      </c>
      <c r="AC16" s="21">
        <f t="shared" si="5"/>
        <v>0.29799999999999999</v>
      </c>
      <c r="AD16" s="19">
        <v>0.14299999999999999</v>
      </c>
      <c r="AE16" s="19">
        <v>0.13800000000000001</v>
      </c>
      <c r="AF16" s="21">
        <f t="shared" si="6"/>
        <v>0.14099999999999999</v>
      </c>
      <c r="AG16" s="30">
        <v>0.1</v>
      </c>
      <c r="AH16" s="30">
        <v>0.10299999999999999</v>
      </c>
      <c r="AI16" s="31">
        <f t="shared" si="7"/>
        <v>0.10199999999999999</v>
      </c>
      <c r="AJ16" s="30">
        <v>9.5000000000000001E-2</v>
      </c>
      <c r="AK16" s="30">
        <v>9.7000000000000003E-2</v>
      </c>
      <c r="AL16" s="31">
        <f t="shared" si="8"/>
        <v>9.6000000000000002E-2</v>
      </c>
      <c r="AM16" s="19">
        <v>12.914853409300907</v>
      </c>
      <c r="AN16" s="19">
        <v>12.978015913865113</v>
      </c>
      <c r="AO16" s="21">
        <f t="shared" si="9"/>
        <v>12.946</v>
      </c>
      <c r="AP16" s="46">
        <v>0.12239999999999999</v>
      </c>
      <c r="AQ16" s="46">
        <v>0.12130000000000001</v>
      </c>
      <c r="AR16" s="45">
        <f t="shared" si="10"/>
        <v>0.12189999999999999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21.1</v>
      </c>
      <c r="F17" s="23">
        <v>7.2</v>
      </c>
      <c r="G17" s="41">
        <v>161</v>
      </c>
      <c r="H17" s="23">
        <v>7.7</v>
      </c>
      <c r="I17" s="23">
        <v>1.4</v>
      </c>
      <c r="J17" s="23">
        <v>6.1</v>
      </c>
      <c r="K17" s="50">
        <v>4.5</v>
      </c>
      <c r="L17" s="50">
        <v>4.4000000000000004</v>
      </c>
      <c r="M17" s="50"/>
      <c r="N17" s="49">
        <f t="shared" si="0"/>
        <v>4.5</v>
      </c>
      <c r="O17" s="37">
        <v>4.0999999999999996</v>
      </c>
      <c r="P17" s="37">
        <v>4</v>
      </c>
      <c r="Q17" s="38">
        <f t="shared" si="1"/>
        <v>4.0999999999999996</v>
      </c>
      <c r="R17" s="17">
        <v>1.875</v>
      </c>
      <c r="S17" s="17">
        <v>1.8660000000000001</v>
      </c>
      <c r="T17" s="22">
        <f t="shared" si="2"/>
        <v>1.871</v>
      </c>
      <c r="U17" s="17">
        <v>1.7809999999999999</v>
      </c>
      <c r="V17" s="17">
        <v>1.798</v>
      </c>
      <c r="W17" s="22">
        <f t="shared" si="3"/>
        <v>1.79</v>
      </c>
      <c r="X17" s="17">
        <v>6.6000000000000003E-2</v>
      </c>
      <c r="Y17" s="17">
        <v>6.9000000000000006E-2</v>
      </c>
      <c r="Z17" s="21">
        <f t="shared" si="4"/>
        <v>6.8000000000000005E-2</v>
      </c>
      <c r="AA17" s="19">
        <v>1.2393940410556894</v>
      </c>
      <c r="AB17" s="19">
        <v>1.2401157923669877</v>
      </c>
      <c r="AC17" s="21">
        <f t="shared" si="5"/>
        <v>1.24</v>
      </c>
      <c r="AD17" s="19">
        <v>0.13400000000000001</v>
      </c>
      <c r="AE17" s="19">
        <v>0.126</v>
      </c>
      <c r="AF17" s="21">
        <f t="shared" si="6"/>
        <v>0.13</v>
      </c>
      <c r="AG17" s="30">
        <v>8.7999999999999995E-2</v>
      </c>
      <c r="AH17" s="30">
        <v>9.0999999999999998E-2</v>
      </c>
      <c r="AI17" s="31">
        <f t="shared" si="7"/>
        <v>0.09</v>
      </c>
      <c r="AJ17" s="30">
        <v>8.8999999999999996E-2</v>
      </c>
      <c r="AK17" s="30">
        <v>8.6999999999999994E-2</v>
      </c>
      <c r="AL17" s="31">
        <f t="shared" si="8"/>
        <v>8.7999999999999995E-2</v>
      </c>
      <c r="AM17" s="19">
        <v>10.376800511166948</v>
      </c>
      <c r="AN17" s="19">
        <v>10.407990206398379</v>
      </c>
      <c r="AO17" s="21">
        <f t="shared" si="9"/>
        <v>10.391999999999999</v>
      </c>
      <c r="AP17" s="46">
        <v>0.1211</v>
      </c>
      <c r="AQ17" s="46">
        <v>0.1205</v>
      </c>
      <c r="AR17" s="45">
        <f t="shared" si="10"/>
        <v>0.1208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21.5</v>
      </c>
      <c r="F18" s="23">
        <v>7.1</v>
      </c>
      <c r="G18" s="41">
        <v>215</v>
      </c>
      <c r="H18" s="23">
        <v>6.9</v>
      </c>
      <c r="I18" s="23">
        <v>5.7</v>
      </c>
      <c r="J18" s="23">
        <v>38.1</v>
      </c>
      <c r="K18" s="50">
        <v>37.6</v>
      </c>
      <c r="L18" s="50">
        <v>36.299999999999997</v>
      </c>
      <c r="M18" s="50">
        <v>36.299999999999997</v>
      </c>
      <c r="N18" s="49">
        <f t="shared" si="0"/>
        <v>36.700000000000003</v>
      </c>
      <c r="O18" s="37">
        <v>8.3000000000000007</v>
      </c>
      <c r="P18" s="37">
        <v>8.1</v>
      </c>
      <c r="Q18" s="38">
        <f t="shared" si="1"/>
        <v>8.1999999999999993</v>
      </c>
      <c r="R18" s="17">
        <v>5.8550000000000004</v>
      </c>
      <c r="S18" s="17">
        <v>5.9459999999999997</v>
      </c>
      <c r="T18" s="22">
        <f t="shared" si="2"/>
        <v>5.9009999999999998</v>
      </c>
      <c r="U18" s="17">
        <v>2.29</v>
      </c>
      <c r="V18" s="17">
        <v>2.3010000000000002</v>
      </c>
      <c r="W18" s="22">
        <f t="shared" si="3"/>
        <v>2.2959999999999998</v>
      </c>
      <c r="X18" s="17">
        <v>0.61799999999999999</v>
      </c>
      <c r="Y18" s="17">
        <v>0.61399999999999999</v>
      </c>
      <c r="Z18" s="21">
        <f t="shared" si="4"/>
        <v>0.61599999999999999</v>
      </c>
      <c r="AA18" s="19">
        <v>0.78207035952046866</v>
      </c>
      <c r="AB18" s="19">
        <v>0.79119007499595195</v>
      </c>
      <c r="AC18" s="21">
        <f t="shared" si="5"/>
        <v>0.78700000000000003</v>
      </c>
      <c r="AD18" s="19">
        <v>3.5680000000000001</v>
      </c>
      <c r="AE18" s="19">
        <v>3.702</v>
      </c>
      <c r="AF18" s="21">
        <f t="shared" si="6"/>
        <v>3.6349999999999998</v>
      </c>
      <c r="AG18" s="30">
        <v>0.36399999999999999</v>
      </c>
      <c r="AH18" s="30">
        <v>0.36499999999999999</v>
      </c>
      <c r="AI18" s="31">
        <f t="shared" si="7"/>
        <v>0.36499999999999999</v>
      </c>
      <c r="AJ18" s="30">
        <v>0.32300000000000001</v>
      </c>
      <c r="AK18" s="30">
        <v>0.32400000000000001</v>
      </c>
      <c r="AL18" s="31">
        <f t="shared" si="8"/>
        <v>0.32400000000000001</v>
      </c>
      <c r="AM18" s="19">
        <v>19.036125596453783</v>
      </c>
      <c r="AN18" s="19">
        <v>18.882612581185928</v>
      </c>
      <c r="AO18" s="21">
        <f t="shared" si="9"/>
        <v>18.959</v>
      </c>
      <c r="AP18" s="46">
        <v>0.75149999999999995</v>
      </c>
      <c r="AQ18" s="46">
        <v>0.74909999999999999</v>
      </c>
      <c r="AR18" s="45">
        <f t="shared" si="10"/>
        <v>0.75029999999999997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21.3</v>
      </c>
      <c r="F19" s="23">
        <v>7.1</v>
      </c>
      <c r="G19" s="41">
        <v>171</v>
      </c>
      <c r="H19" s="23">
        <v>7.6</v>
      </c>
      <c r="I19" s="23">
        <v>1.7</v>
      </c>
      <c r="J19" s="23">
        <v>7.1</v>
      </c>
      <c r="K19" s="50">
        <v>5</v>
      </c>
      <c r="L19" s="50">
        <v>4.8</v>
      </c>
      <c r="M19" s="50"/>
      <c r="N19" s="49">
        <f t="shared" si="0"/>
        <v>4.9000000000000004</v>
      </c>
      <c r="O19" s="37">
        <v>4.4000000000000004</v>
      </c>
      <c r="P19" s="37">
        <v>4.3</v>
      </c>
      <c r="Q19" s="38">
        <f t="shared" si="1"/>
        <v>4.4000000000000004</v>
      </c>
      <c r="R19" s="17">
        <v>2.0499999999999998</v>
      </c>
      <c r="S19" s="17">
        <v>2.0579999999999998</v>
      </c>
      <c r="T19" s="22">
        <f t="shared" si="2"/>
        <v>2.0539999999999998</v>
      </c>
      <c r="U19" s="17">
        <v>1.8839999999999999</v>
      </c>
      <c r="V19" s="17">
        <v>1.9259999999999999</v>
      </c>
      <c r="W19" s="22">
        <f t="shared" si="3"/>
        <v>1.905</v>
      </c>
      <c r="X19" s="17">
        <v>0.13400000000000001</v>
      </c>
      <c r="Y19" s="17">
        <v>0.13500000000000001</v>
      </c>
      <c r="Z19" s="21">
        <f t="shared" si="4"/>
        <v>0.13500000000000001</v>
      </c>
      <c r="AA19" s="19">
        <v>1.2675998178868717</v>
      </c>
      <c r="AB19" s="19">
        <v>1.2843614254622346</v>
      </c>
      <c r="AC19" s="21">
        <f t="shared" si="5"/>
        <v>1.276</v>
      </c>
      <c r="AD19" s="19">
        <v>0.19500000000000001</v>
      </c>
      <c r="AE19" s="19">
        <v>0.186</v>
      </c>
      <c r="AF19" s="21">
        <f t="shared" si="6"/>
        <v>0.191</v>
      </c>
      <c r="AG19" s="30">
        <v>0.107</v>
      </c>
      <c r="AH19" s="30">
        <v>0.112</v>
      </c>
      <c r="AI19" s="31">
        <f t="shared" si="7"/>
        <v>0.11</v>
      </c>
      <c r="AJ19" s="30">
        <v>0.105</v>
      </c>
      <c r="AK19" s="30">
        <v>0.108</v>
      </c>
      <c r="AL19" s="31">
        <f t="shared" si="8"/>
        <v>0.107</v>
      </c>
      <c r="AM19" s="19">
        <v>11.326640853921635</v>
      </c>
      <c r="AN19" s="19">
        <v>11.387079245445756</v>
      </c>
      <c r="AO19" s="21">
        <f t="shared" si="9"/>
        <v>11.356999999999999</v>
      </c>
      <c r="AP19" s="46">
        <v>0.13439999999999999</v>
      </c>
      <c r="AQ19" s="46">
        <v>0.13320000000000001</v>
      </c>
      <c r="AR19" s="45">
        <f t="shared" si="10"/>
        <v>0.1338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18.2</v>
      </c>
      <c r="F20" s="23">
        <v>7.2</v>
      </c>
      <c r="G20" s="41">
        <v>237</v>
      </c>
      <c r="H20" s="23">
        <v>7.9</v>
      </c>
      <c r="I20" s="23">
        <v>1</v>
      </c>
      <c r="J20" s="23">
        <v>2.2000000000000002</v>
      </c>
      <c r="K20" s="50">
        <v>1.5</v>
      </c>
      <c r="L20" s="50">
        <v>1.6</v>
      </c>
      <c r="M20" s="50"/>
      <c r="N20" s="49">
        <f t="shared" si="0"/>
        <v>1.6</v>
      </c>
      <c r="O20" s="37">
        <v>1.5</v>
      </c>
      <c r="P20" s="37">
        <v>1.4</v>
      </c>
      <c r="Q20" s="38">
        <f t="shared" si="1"/>
        <v>1.5</v>
      </c>
      <c r="R20" s="17">
        <v>0.94599999999999995</v>
      </c>
      <c r="S20" s="17">
        <v>0.96099999999999997</v>
      </c>
      <c r="T20" s="22">
        <f t="shared" si="2"/>
        <v>0.95399999999999996</v>
      </c>
      <c r="U20" s="17">
        <v>0.90700000000000003</v>
      </c>
      <c r="V20" s="17">
        <v>0.91400000000000003</v>
      </c>
      <c r="W20" s="22">
        <f t="shared" si="3"/>
        <v>0.91100000000000003</v>
      </c>
      <c r="X20" s="17">
        <v>2.5000000000000001E-2</v>
      </c>
      <c r="Y20" s="17">
        <v>2.9000000000000001E-2</v>
      </c>
      <c r="Z20" s="21">
        <f t="shared" si="4"/>
        <v>2.7E-2</v>
      </c>
      <c r="AA20" s="19">
        <v>0.74839307239816832</v>
      </c>
      <c r="AB20" s="19">
        <v>0.75964962077348275</v>
      </c>
      <c r="AC20" s="21">
        <f t="shared" si="5"/>
        <v>0.754</v>
      </c>
      <c r="AD20" s="19">
        <v>3.3000000000000002E-2</v>
      </c>
      <c r="AE20" s="19">
        <v>3.1E-2</v>
      </c>
      <c r="AF20" s="21">
        <f t="shared" si="6"/>
        <v>3.2000000000000001E-2</v>
      </c>
      <c r="AG20" s="30">
        <v>1.2999999999999999E-2</v>
      </c>
      <c r="AH20" s="30">
        <v>1.0999999999999999E-2</v>
      </c>
      <c r="AI20" s="31">
        <f t="shared" si="7"/>
        <v>1.2E-2</v>
      </c>
      <c r="AJ20" s="30">
        <v>1.2E-2</v>
      </c>
      <c r="AK20" s="30">
        <v>0.01</v>
      </c>
      <c r="AL20" s="31">
        <f t="shared" si="8"/>
        <v>1.0999999999999999E-2</v>
      </c>
      <c r="AM20" s="19">
        <v>7.4060438956055341</v>
      </c>
      <c r="AN20" s="19">
        <v>7.4384417052942453</v>
      </c>
      <c r="AO20" s="21">
        <f t="shared" si="9"/>
        <v>7.4219999999999997</v>
      </c>
      <c r="AP20" s="46">
        <v>3.5900000000000001E-2</v>
      </c>
      <c r="AQ20" s="46">
        <v>3.6200000000000003E-2</v>
      </c>
      <c r="AR20" s="45">
        <f t="shared" si="10"/>
        <v>3.61E-2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22.8</v>
      </c>
      <c r="F21" s="23">
        <v>7.9</v>
      </c>
      <c r="G21" s="41">
        <v>184</v>
      </c>
      <c r="H21" s="23">
        <v>10.1</v>
      </c>
      <c r="I21" s="23">
        <v>3.3</v>
      </c>
      <c r="J21" s="23">
        <v>6.9</v>
      </c>
      <c r="K21" s="50">
        <v>4.5999999999999996</v>
      </c>
      <c r="L21" s="50">
        <v>4.2</v>
      </c>
      <c r="M21" s="50"/>
      <c r="N21" s="49">
        <f>ROUND(AVERAGE(K21:M21),1)</f>
        <v>4.4000000000000004</v>
      </c>
      <c r="O21" s="37">
        <v>3.7</v>
      </c>
      <c r="P21" s="37">
        <v>3.7</v>
      </c>
      <c r="Q21" s="38">
        <f t="shared" si="1"/>
        <v>3.7</v>
      </c>
      <c r="R21" s="17">
        <v>1.621</v>
      </c>
      <c r="S21" s="17">
        <v>1.627</v>
      </c>
      <c r="T21" s="22">
        <f t="shared" si="2"/>
        <v>1.6240000000000001</v>
      </c>
      <c r="U21" s="17">
        <v>1.383</v>
      </c>
      <c r="V21" s="17">
        <v>1.4219999999999999</v>
      </c>
      <c r="W21" s="22">
        <f t="shared" si="3"/>
        <v>1.403</v>
      </c>
      <c r="X21" s="17">
        <v>2.3E-2</v>
      </c>
      <c r="Y21" s="17">
        <v>2.9000000000000001E-2</v>
      </c>
      <c r="Z21" s="21">
        <f t="shared" si="4"/>
        <v>2.5999999999999999E-2</v>
      </c>
      <c r="AA21" s="19">
        <v>0.97732843216814425</v>
      </c>
      <c r="AB21" s="19">
        <v>0.97871329295725984</v>
      </c>
      <c r="AC21" s="21">
        <f t="shared" si="5"/>
        <v>0.97799999999999998</v>
      </c>
      <c r="AD21" s="19">
        <v>0.126</v>
      </c>
      <c r="AE21" s="19">
        <v>0.11799999999999999</v>
      </c>
      <c r="AF21" s="21">
        <f t="shared" si="6"/>
        <v>0.122</v>
      </c>
      <c r="AG21" s="30">
        <v>5.6000000000000001E-2</v>
      </c>
      <c r="AH21" s="30">
        <v>5.8999999999999997E-2</v>
      </c>
      <c r="AI21" s="31">
        <f t="shared" si="7"/>
        <v>5.8000000000000003E-2</v>
      </c>
      <c r="AJ21" s="30">
        <v>5.5E-2</v>
      </c>
      <c r="AK21" s="30">
        <v>5.5E-2</v>
      </c>
      <c r="AL21" s="31">
        <f t="shared" si="8"/>
        <v>5.5E-2</v>
      </c>
      <c r="AM21" s="19">
        <v>11.290547770239366</v>
      </c>
      <c r="AN21" s="19">
        <v>11.223629529681121</v>
      </c>
      <c r="AO21" s="21">
        <f t="shared" si="9"/>
        <v>11.257</v>
      </c>
      <c r="AP21" s="46">
        <v>9.7799999999999998E-2</v>
      </c>
      <c r="AQ21" s="46">
        <v>9.6100000000000005E-2</v>
      </c>
      <c r="AR21" s="45">
        <f t="shared" si="10"/>
        <v>9.7000000000000003E-2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23.1</v>
      </c>
      <c r="F22" s="23">
        <v>7.8</v>
      </c>
      <c r="G22" s="41">
        <v>274</v>
      </c>
      <c r="H22" s="23">
        <v>9.4</v>
      </c>
      <c r="I22" s="23">
        <v>4.4000000000000004</v>
      </c>
      <c r="J22" s="23">
        <v>8.6999999999999993</v>
      </c>
      <c r="K22" s="50">
        <v>6.3</v>
      </c>
      <c r="L22" s="50">
        <v>5.8</v>
      </c>
      <c r="M22" s="50"/>
      <c r="N22" s="49">
        <f t="shared" si="0"/>
        <v>6.1</v>
      </c>
      <c r="O22" s="37">
        <v>4.8</v>
      </c>
      <c r="P22" s="37">
        <v>4.8</v>
      </c>
      <c r="Q22" s="38">
        <f t="shared" si="1"/>
        <v>4.8</v>
      </c>
      <c r="R22" s="17">
        <v>2.3940000000000001</v>
      </c>
      <c r="S22" s="17">
        <v>2.419</v>
      </c>
      <c r="T22" s="22">
        <f t="shared" si="2"/>
        <v>2.407</v>
      </c>
      <c r="U22" s="17">
        <v>2.0550000000000002</v>
      </c>
      <c r="V22" s="17">
        <v>2.044</v>
      </c>
      <c r="W22" s="22">
        <f t="shared" si="3"/>
        <v>2.0499999999999998</v>
      </c>
      <c r="X22" s="17">
        <v>0.34599999999999997</v>
      </c>
      <c r="Y22" s="17">
        <v>0.33700000000000002</v>
      </c>
      <c r="Z22" s="21">
        <f t="shared" si="4"/>
        <v>0.34200000000000003</v>
      </c>
      <c r="AA22" s="19">
        <v>0.91992434360033459</v>
      </c>
      <c r="AB22" s="19">
        <v>0.92388360605580999</v>
      </c>
      <c r="AC22" s="21">
        <f t="shared" si="5"/>
        <v>0.92200000000000004</v>
      </c>
      <c r="AD22" s="19">
        <v>0.16200000000000001</v>
      </c>
      <c r="AE22" s="19">
        <v>0.155</v>
      </c>
      <c r="AF22" s="21">
        <f t="shared" si="6"/>
        <v>0.159</v>
      </c>
      <c r="AG22" s="30">
        <v>5.3999999999999999E-2</v>
      </c>
      <c r="AH22" s="30">
        <v>5.5E-2</v>
      </c>
      <c r="AI22" s="31">
        <f t="shared" si="7"/>
        <v>5.5E-2</v>
      </c>
      <c r="AJ22" s="30">
        <v>3.6999999999999998E-2</v>
      </c>
      <c r="AK22" s="30">
        <v>3.9E-2</v>
      </c>
      <c r="AL22" s="31">
        <f t="shared" si="8"/>
        <v>3.7999999999999999E-2</v>
      </c>
      <c r="AM22" s="19">
        <v>19.514435513038805</v>
      </c>
      <c r="AN22" s="19">
        <v>19.242067588425133</v>
      </c>
      <c r="AO22" s="21">
        <f t="shared" si="9"/>
        <v>19.378</v>
      </c>
      <c r="AP22" s="46">
        <v>0.12479999999999999</v>
      </c>
      <c r="AQ22" s="46">
        <v>0.1237</v>
      </c>
      <c r="AR22" s="45">
        <f t="shared" si="10"/>
        <v>0.12429999999999999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22.7</v>
      </c>
      <c r="F23" s="23">
        <v>7.5</v>
      </c>
      <c r="G23" s="41">
        <v>238</v>
      </c>
      <c r="H23" s="23">
        <v>9.5</v>
      </c>
      <c r="I23" s="23">
        <v>3.1</v>
      </c>
      <c r="J23" s="23">
        <v>7.5</v>
      </c>
      <c r="K23" s="50">
        <v>5.5</v>
      </c>
      <c r="L23" s="50">
        <v>5.0999999999999996</v>
      </c>
      <c r="M23" s="50"/>
      <c r="N23" s="49">
        <f t="shared" si="0"/>
        <v>5.3</v>
      </c>
      <c r="O23" s="37">
        <v>4.3</v>
      </c>
      <c r="P23" s="37">
        <v>4.0999999999999996</v>
      </c>
      <c r="Q23" s="38">
        <f t="shared" si="1"/>
        <v>4.2</v>
      </c>
      <c r="R23" s="17">
        <v>2.476</v>
      </c>
      <c r="S23" s="17">
        <v>2.5230000000000001</v>
      </c>
      <c r="T23" s="22">
        <f t="shared" si="2"/>
        <v>2.5</v>
      </c>
      <c r="U23" s="17">
        <v>2.2890000000000001</v>
      </c>
      <c r="V23" s="17">
        <v>2.286</v>
      </c>
      <c r="W23" s="22">
        <f t="shared" si="3"/>
        <v>2.2879999999999998</v>
      </c>
      <c r="X23" s="17">
        <v>0.23799999999999999</v>
      </c>
      <c r="Y23" s="17">
        <v>0.23899999999999999</v>
      </c>
      <c r="Z23" s="21">
        <f t="shared" si="4"/>
        <v>0.23899999999999999</v>
      </c>
      <c r="AA23" s="19">
        <v>1.4456771899863081</v>
      </c>
      <c r="AB23" s="19">
        <v>1.4381918552242814</v>
      </c>
      <c r="AC23" s="21">
        <f t="shared" si="5"/>
        <v>1.4419999999999999</v>
      </c>
      <c r="AD23" s="19">
        <v>0.14099999999999999</v>
      </c>
      <c r="AE23" s="19">
        <v>0.13700000000000001</v>
      </c>
      <c r="AF23" s="21">
        <f t="shared" si="6"/>
        <v>0.13900000000000001</v>
      </c>
      <c r="AG23" s="30">
        <v>7.3999999999999996E-2</v>
      </c>
      <c r="AH23" s="30">
        <v>7.3999999999999996E-2</v>
      </c>
      <c r="AI23" s="31">
        <f t="shared" si="7"/>
        <v>7.3999999999999996E-2</v>
      </c>
      <c r="AJ23" s="30">
        <v>6.4000000000000001E-2</v>
      </c>
      <c r="AK23" s="30">
        <v>6.2E-2</v>
      </c>
      <c r="AL23" s="31">
        <f t="shared" si="8"/>
        <v>6.3E-2</v>
      </c>
      <c r="AM23" s="19">
        <v>17.771691205087411</v>
      </c>
      <c r="AN23" s="19">
        <v>17.555607100460104</v>
      </c>
      <c r="AO23" s="21">
        <f t="shared" si="9"/>
        <v>17.664000000000001</v>
      </c>
      <c r="AP23" s="46">
        <v>0.1038</v>
      </c>
      <c r="AQ23" s="46">
        <v>0.10299999999999999</v>
      </c>
      <c r="AR23" s="45">
        <f t="shared" si="10"/>
        <v>0.10340000000000001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22</v>
      </c>
      <c r="F24" s="23">
        <v>7.3</v>
      </c>
      <c r="G24" s="41">
        <v>293</v>
      </c>
      <c r="H24" s="23">
        <v>7.4</v>
      </c>
      <c r="I24" s="23">
        <v>2.4</v>
      </c>
      <c r="J24" s="23">
        <v>4.8</v>
      </c>
      <c r="K24" s="50">
        <v>3</v>
      </c>
      <c r="L24" s="50">
        <v>2.9</v>
      </c>
      <c r="M24" s="50"/>
      <c r="N24" s="49">
        <f t="shared" si="0"/>
        <v>3</v>
      </c>
      <c r="O24" s="37">
        <v>2.8</v>
      </c>
      <c r="P24" s="37">
        <v>2.7</v>
      </c>
      <c r="Q24" s="38">
        <f t="shared" si="1"/>
        <v>2.8</v>
      </c>
      <c r="R24" s="17">
        <v>2.4350000000000001</v>
      </c>
      <c r="S24" s="17">
        <v>2.4430000000000001</v>
      </c>
      <c r="T24" s="22">
        <f t="shared" si="2"/>
        <v>2.4390000000000001</v>
      </c>
      <c r="U24" s="17">
        <v>2.3660000000000001</v>
      </c>
      <c r="V24" s="17">
        <v>2.38</v>
      </c>
      <c r="W24" s="22">
        <f t="shared" si="3"/>
        <v>2.3730000000000002</v>
      </c>
      <c r="X24" s="17">
        <v>0.42599999999999999</v>
      </c>
      <c r="Y24" s="17">
        <v>0.42599999999999999</v>
      </c>
      <c r="Z24" s="21">
        <f t="shared" si="4"/>
        <v>0.42599999999999999</v>
      </c>
      <c r="AA24" s="19">
        <v>1.3057162053931801</v>
      </c>
      <c r="AB24" s="19">
        <v>1.300624239961542</v>
      </c>
      <c r="AC24" s="21">
        <f t="shared" si="5"/>
        <v>1.3029999999999999</v>
      </c>
      <c r="AD24" s="19">
        <v>4.2000000000000003E-2</v>
      </c>
      <c r="AE24" s="19">
        <v>3.7999999999999999E-2</v>
      </c>
      <c r="AF24" s="21">
        <f t="shared" si="6"/>
        <v>0.04</v>
      </c>
      <c r="AG24" s="30">
        <v>2.3E-2</v>
      </c>
      <c r="AH24" s="30">
        <v>2.1000000000000001E-2</v>
      </c>
      <c r="AI24" s="31">
        <f t="shared" si="7"/>
        <v>2.1999999999999999E-2</v>
      </c>
      <c r="AJ24" s="30">
        <v>1.4E-2</v>
      </c>
      <c r="AK24" s="30">
        <v>1.2999999999999999E-2</v>
      </c>
      <c r="AL24" s="31">
        <f t="shared" si="8"/>
        <v>1.4E-2</v>
      </c>
      <c r="AM24" s="19">
        <v>31.849629859316707</v>
      </c>
      <c r="AN24" s="19">
        <v>31.502705238746426</v>
      </c>
      <c r="AO24" s="21">
        <f t="shared" si="9"/>
        <v>31.675999999999998</v>
      </c>
      <c r="AP24" s="46">
        <v>6.6699999999999995E-2</v>
      </c>
      <c r="AQ24" s="46">
        <v>6.6199999999999995E-2</v>
      </c>
      <c r="AR24" s="45">
        <f t="shared" si="10"/>
        <v>6.6500000000000004E-2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23.7</v>
      </c>
      <c r="F25" s="23">
        <v>7.6</v>
      </c>
      <c r="G25" s="41">
        <v>235</v>
      </c>
      <c r="H25" s="23">
        <v>9.4</v>
      </c>
      <c r="I25" s="23">
        <v>4.9000000000000004</v>
      </c>
      <c r="J25" s="23">
        <v>8.9</v>
      </c>
      <c r="K25" s="50">
        <v>6.4</v>
      </c>
      <c r="L25" s="50">
        <v>6.4</v>
      </c>
      <c r="M25" s="50"/>
      <c r="N25" s="49">
        <f t="shared" si="0"/>
        <v>6.4</v>
      </c>
      <c r="O25" s="37">
        <v>5.2</v>
      </c>
      <c r="P25" s="37">
        <v>5.2</v>
      </c>
      <c r="Q25" s="38">
        <f t="shared" si="1"/>
        <v>5.2</v>
      </c>
      <c r="R25" s="17">
        <v>2.7709999999999999</v>
      </c>
      <c r="S25" s="17">
        <v>2.7160000000000002</v>
      </c>
      <c r="T25" s="22">
        <f t="shared" si="2"/>
        <v>2.7440000000000002</v>
      </c>
      <c r="U25" s="17">
        <v>2.4620000000000002</v>
      </c>
      <c r="V25" s="17">
        <v>2.4569999999999999</v>
      </c>
      <c r="W25" s="22">
        <f t="shared" si="3"/>
        <v>2.46</v>
      </c>
      <c r="X25" s="17">
        <v>0.35</v>
      </c>
      <c r="Y25" s="17">
        <v>0.35099999999999998</v>
      </c>
      <c r="Z25" s="21">
        <f t="shared" si="4"/>
        <v>0.35099999999999998</v>
      </c>
      <c r="AA25" s="19">
        <v>1.3660435113451117</v>
      </c>
      <c r="AB25" s="19">
        <v>1.3670796737459441</v>
      </c>
      <c r="AC25" s="21">
        <f t="shared" si="5"/>
        <v>1.367</v>
      </c>
      <c r="AD25" s="19">
        <v>0.253</v>
      </c>
      <c r="AE25" s="19">
        <v>0.24</v>
      </c>
      <c r="AF25" s="21">
        <f t="shared" si="6"/>
        <v>0.247</v>
      </c>
      <c r="AG25" s="30">
        <v>0.14399999999999999</v>
      </c>
      <c r="AH25" s="30">
        <v>0.14799999999999999</v>
      </c>
      <c r="AI25" s="31">
        <f t="shared" si="7"/>
        <v>0.14599999999999999</v>
      </c>
      <c r="AJ25" s="30">
        <v>0.14299999999999999</v>
      </c>
      <c r="AK25" s="30">
        <v>0.14199999999999999</v>
      </c>
      <c r="AL25" s="31">
        <f t="shared" si="8"/>
        <v>0.14299999999999999</v>
      </c>
      <c r="AM25" s="19">
        <v>16.935469523470616</v>
      </c>
      <c r="AN25" s="19">
        <v>16.861346229042667</v>
      </c>
      <c r="AO25" s="21">
        <f t="shared" si="9"/>
        <v>16.898</v>
      </c>
      <c r="AP25" s="46">
        <v>0.1326</v>
      </c>
      <c r="AQ25" s="46">
        <v>0.1318</v>
      </c>
      <c r="AR25" s="45">
        <f t="shared" si="10"/>
        <v>0.13220000000000001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23.5</v>
      </c>
      <c r="F26" s="23">
        <v>7.3</v>
      </c>
      <c r="G26" s="41">
        <v>299</v>
      </c>
      <c r="H26" s="23">
        <v>11.1</v>
      </c>
      <c r="I26" s="23">
        <v>3.9</v>
      </c>
      <c r="J26" s="23">
        <v>13</v>
      </c>
      <c r="K26" s="50">
        <v>9.9</v>
      </c>
      <c r="L26" s="50">
        <v>9.6999999999999993</v>
      </c>
      <c r="M26" s="50"/>
      <c r="N26" s="49">
        <f t="shared" si="0"/>
        <v>9.8000000000000007</v>
      </c>
      <c r="O26" s="37">
        <v>9.1999999999999993</v>
      </c>
      <c r="P26" s="37">
        <v>9.1999999999999993</v>
      </c>
      <c r="Q26" s="38">
        <f t="shared" si="1"/>
        <v>9.1999999999999993</v>
      </c>
      <c r="R26" s="17">
        <v>3.05</v>
      </c>
      <c r="S26" s="17">
        <v>3.0009999999999999</v>
      </c>
      <c r="T26" s="22">
        <f t="shared" si="2"/>
        <v>3.0259999999999998</v>
      </c>
      <c r="U26" s="17">
        <v>2.8159999999999998</v>
      </c>
      <c r="V26" s="17">
        <v>2.8290000000000002</v>
      </c>
      <c r="W26" s="22">
        <f t="shared" si="3"/>
        <v>2.823</v>
      </c>
      <c r="X26" s="17">
        <v>0.57899999999999996</v>
      </c>
      <c r="Y26" s="17">
        <v>0.59</v>
      </c>
      <c r="Z26" s="21">
        <f t="shared" si="4"/>
        <v>0.58499999999999996</v>
      </c>
      <c r="AA26" s="19">
        <v>1.0096499692337624</v>
      </c>
      <c r="AB26" s="19">
        <v>1.0099183302052956</v>
      </c>
      <c r="AC26" s="21">
        <f t="shared" si="5"/>
        <v>1.01</v>
      </c>
      <c r="AD26" s="19">
        <v>0.42899999999999999</v>
      </c>
      <c r="AE26" s="19">
        <v>0.39300000000000002</v>
      </c>
      <c r="AF26" s="21">
        <f t="shared" si="6"/>
        <v>0.41099999999999998</v>
      </c>
      <c r="AG26" s="30">
        <v>0.30599999999999999</v>
      </c>
      <c r="AH26" s="30">
        <v>0.312</v>
      </c>
      <c r="AI26" s="31">
        <f t="shared" si="7"/>
        <v>0.309</v>
      </c>
      <c r="AJ26" s="30">
        <v>0.30199999999999999</v>
      </c>
      <c r="AK26" s="30">
        <v>0.30499999999999999</v>
      </c>
      <c r="AL26" s="31">
        <f t="shared" si="8"/>
        <v>0.30399999999999999</v>
      </c>
      <c r="AM26" s="19">
        <v>21.85166854151176</v>
      </c>
      <c r="AN26" s="19">
        <v>21.545874272172409</v>
      </c>
      <c r="AO26" s="21">
        <f t="shared" si="9"/>
        <v>21.699000000000002</v>
      </c>
      <c r="AP26" s="46">
        <v>0.25419999999999998</v>
      </c>
      <c r="AQ26" s="46">
        <v>0.25290000000000001</v>
      </c>
      <c r="AR26" s="45">
        <f t="shared" si="10"/>
        <v>0.25359999999999999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21.9</v>
      </c>
      <c r="F27" s="23">
        <v>7.4</v>
      </c>
      <c r="G27" s="41">
        <v>236</v>
      </c>
      <c r="H27" s="23">
        <v>8.9</v>
      </c>
      <c r="I27" s="23">
        <v>3.4</v>
      </c>
      <c r="J27" s="23">
        <v>8.6</v>
      </c>
      <c r="K27" s="50">
        <v>6.2</v>
      </c>
      <c r="L27" s="50">
        <v>6</v>
      </c>
      <c r="M27" s="50"/>
      <c r="N27" s="49">
        <f t="shared" si="0"/>
        <v>6.1</v>
      </c>
      <c r="O27" s="37">
        <v>5.4</v>
      </c>
      <c r="P27" s="37">
        <v>5.3</v>
      </c>
      <c r="Q27" s="38">
        <f t="shared" si="1"/>
        <v>5.4</v>
      </c>
      <c r="R27" s="17">
        <v>2.4159999999999999</v>
      </c>
      <c r="S27" s="17">
        <v>2.4319999999999999</v>
      </c>
      <c r="T27" s="22">
        <f t="shared" si="2"/>
        <v>2.4239999999999999</v>
      </c>
      <c r="U27" s="17">
        <v>2.2010000000000001</v>
      </c>
      <c r="V27" s="17">
        <v>2.2029999999999998</v>
      </c>
      <c r="W27" s="22">
        <f t="shared" si="3"/>
        <v>2.202</v>
      </c>
      <c r="X27" s="17">
        <v>0.253</v>
      </c>
      <c r="Y27" s="17">
        <v>0.254</v>
      </c>
      <c r="Z27" s="21">
        <f t="shared" si="4"/>
        <v>0.254</v>
      </c>
      <c r="AA27" s="19">
        <v>1.2419676062143084</v>
      </c>
      <c r="AB27" s="19">
        <v>1.2432065553063556</v>
      </c>
      <c r="AC27" s="21">
        <f t="shared" si="5"/>
        <v>1.2430000000000001</v>
      </c>
      <c r="AD27" s="19">
        <v>0.20200000000000001</v>
      </c>
      <c r="AE27" s="19">
        <v>0.19</v>
      </c>
      <c r="AF27" s="21">
        <f t="shared" si="6"/>
        <v>0.19600000000000001</v>
      </c>
      <c r="AG27" s="30">
        <v>0.127</v>
      </c>
      <c r="AH27" s="30">
        <v>0.127</v>
      </c>
      <c r="AI27" s="31">
        <f t="shared" si="7"/>
        <v>0.127</v>
      </c>
      <c r="AJ27" s="30">
        <v>0.122</v>
      </c>
      <c r="AK27" s="30">
        <v>0.11899999999999999</v>
      </c>
      <c r="AL27" s="31">
        <f t="shared" si="8"/>
        <v>0.121</v>
      </c>
      <c r="AM27" s="19">
        <v>17.089965451590228</v>
      </c>
      <c r="AN27" s="19">
        <v>17.008755364455784</v>
      </c>
      <c r="AO27" s="21">
        <f t="shared" si="9"/>
        <v>17.048999999999999</v>
      </c>
      <c r="AP27" s="46">
        <v>0.12959999999999999</v>
      </c>
      <c r="AQ27" s="46">
        <v>0.12839999999999999</v>
      </c>
      <c r="AR27" s="45">
        <f t="shared" si="10"/>
        <v>0.129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19.399999999999999</v>
      </c>
      <c r="F28" s="23">
        <v>7.3</v>
      </c>
      <c r="G28" s="41">
        <v>201</v>
      </c>
      <c r="H28" s="23">
        <v>8.9</v>
      </c>
      <c r="I28" s="23">
        <v>2.6</v>
      </c>
      <c r="J28" s="23">
        <v>8.3000000000000007</v>
      </c>
      <c r="K28" s="50">
        <v>6.5</v>
      </c>
      <c r="L28" s="50">
        <v>5.9</v>
      </c>
      <c r="M28" s="50"/>
      <c r="N28" s="49">
        <f t="shared" si="0"/>
        <v>6.2</v>
      </c>
      <c r="O28" s="37">
        <v>5.4</v>
      </c>
      <c r="P28" s="37">
        <v>5.3</v>
      </c>
      <c r="Q28" s="38">
        <f t="shared" si="1"/>
        <v>5.4</v>
      </c>
      <c r="R28" s="17">
        <v>2.2090000000000001</v>
      </c>
      <c r="S28" s="17">
        <v>2.21</v>
      </c>
      <c r="T28" s="22">
        <f t="shared" si="2"/>
        <v>2.21</v>
      </c>
      <c r="U28" s="17">
        <v>2.0070000000000001</v>
      </c>
      <c r="V28" s="17">
        <v>2.008</v>
      </c>
      <c r="W28" s="22">
        <f t="shared" si="3"/>
        <v>2.008</v>
      </c>
      <c r="X28" s="17">
        <v>0.39</v>
      </c>
      <c r="Y28" s="17">
        <v>0.39500000000000002</v>
      </c>
      <c r="Z28" s="21">
        <f t="shared" si="4"/>
        <v>0.39300000000000002</v>
      </c>
      <c r="AA28" s="19">
        <v>1.0021673483143458</v>
      </c>
      <c r="AB28" s="19">
        <v>1.0164989518449667</v>
      </c>
      <c r="AC28" s="21">
        <f t="shared" si="5"/>
        <v>1.0089999999999999</v>
      </c>
      <c r="AD28" s="19">
        <v>0.27700000000000002</v>
      </c>
      <c r="AE28" s="19">
        <v>0.27200000000000002</v>
      </c>
      <c r="AF28" s="21">
        <f t="shared" si="6"/>
        <v>0.27500000000000002</v>
      </c>
      <c r="AG28" s="30">
        <v>0.20899999999999999</v>
      </c>
      <c r="AH28" s="30">
        <v>0.20799999999999999</v>
      </c>
      <c r="AI28" s="31">
        <f t="shared" si="7"/>
        <v>0.20899999999999999</v>
      </c>
      <c r="AJ28" s="30">
        <v>0.20699999999999999</v>
      </c>
      <c r="AK28" s="30">
        <v>0.20699999999999999</v>
      </c>
      <c r="AL28" s="31">
        <f t="shared" si="8"/>
        <v>0.20699999999999999</v>
      </c>
      <c r="AM28" s="19">
        <v>13.178117806355239</v>
      </c>
      <c r="AN28" s="19">
        <v>13.195911728359549</v>
      </c>
      <c r="AO28" s="21">
        <f t="shared" si="9"/>
        <v>13.186999999999999</v>
      </c>
      <c r="AP28" s="46">
        <v>0.14530000000000001</v>
      </c>
      <c r="AQ28" s="46">
        <v>0.14399999999999999</v>
      </c>
      <c r="AR28" s="45">
        <f t="shared" si="10"/>
        <v>0.1447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23.1</v>
      </c>
      <c r="F29" s="23">
        <v>7.5</v>
      </c>
      <c r="G29" s="41">
        <v>245</v>
      </c>
      <c r="H29" s="23">
        <v>9.8000000000000007</v>
      </c>
      <c r="I29" s="23">
        <v>2.8</v>
      </c>
      <c r="J29" s="23">
        <v>8.1999999999999993</v>
      </c>
      <c r="K29" s="50">
        <v>6</v>
      </c>
      <c r="L29" s="50">
        <v>5.7</v>
      </c>
      <c r="M29" s="50"/>
      <c r="N29" s="49">
        <f t="shared" si="0"/>
        <v>5.9</v>
      </c>
      <c r="O29" s="37">
        <v>5.2</v>
      </c>
      <c r="P29" s="37">
        <v>5</v>
      </c>
      <c r="Q29" s="38">
        <f t="shared" si="1"/>
        <v>5.0999999999999996</v>
      </c>
      <c r="R29" s="17">
        <v>2.379</v>
      </c>
      <c r="S29" s="17">
        <v>2.4220000000000002</v>
      </c>
      <c r="T29" s="22">
        <f t="shared" si="2"/>
        <v>2.4009999999999998</v>
      </c>
      <c r="U29" s="17">
        <v>2.2400000000000002</v>
      </c>
      <c r="V29" s="17">
        <v>2.2370000000000001</v>
      </c>
      <c r="W29" s="22">
        <f t="shared" si="3"/>
        <v>2.2389999999999999</v>
      </c>
      <c r="X29" s="17">
        <v>0.14499999999999999</v>
      </c>
      <c r="Y29" s="17">
        <v>0.13800000000000001</v>
      </c>
      <c r="Z29" s="21">
        <f t="shared" si="4"/>
        <v>0.14199999999999999</v>
      </c>
      <c r="AA29" s="19">
        <v>1.5881710509608422</v>
      </c>
      <c r="AB29" s="19">
        <v>1.447074100216452</v>
      </c>
      <c r="AC29" s="21">
        <f t="shared" si="5"/>
        <v>1.518</v>
      </c>
      <c r="AD29" s="19">
        <v>0.189</v>
      </c>
      <c r="AE29" s="19">
        <v>0.186</v>
      </c>
      <c r="AF29" s="21">
        <f t="shared" si="6"/>
        <v>0.188</v>
      </c>
      <c r="AG29" s="30">
        <v>0.12</v>
      </c>
      <c r="AH29" s="30">
        <v>0.12</v>
      </c>
      <c r="AI29" s="31">
        <f t="shared" si="7"/>
        <v>0.12</v>
      </c>
      <c r="AJ29" s="30">
        <v>0.115</v>
      </c>
      <c r="AK29" s="30">
        <v>0.114</v>
      </c>
      <c r="AL29" s="31">
        <f t="shared" si="8"/>
        <v>0.115</v>
      </c>
      <c r="AM29" s="19">
        <v>19.133356920568573</v>
      </c>
      <c r="AN29" s="19">
        <v>17.386667740150603</v>
      </c>
      <c r="AO29" s="21">
        <f t="shared" si="9"/>
        <v>18.260000000000002</v>
      </c>
      <c r="AP29" s="46">
        <v>0.124</v>
      </c>
      <c r="AQ29" s="46">
        <v>0.1226</v>
      </c>
      <c r="AR29" s="45">
        <f t="shared" si="10"/>
        <v>0.12330000000000001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20.100000000000001</v>
      </c>
      <c r="F30" s="23">
        <v>7.4</v>
      </c>
      <c r="G30" s="41">
        <v>227</v>
      </c>
      <c r="H30" s="23">
        <v>10.3</v>
      </c>
      <c r="I30" s="23">
        <v>1.2</v>
      </c>
      <c r="J30" s="23">
        <v>6.1</v>
      </c>
      <c r="K30" s="50">
        <v>4.4000000000000004</v>
      </c>
      <c r="L30" s="50">
        <v>4.4000000000000004</v>
      </c>
      <c r="M30" s="50"/>
      <c r="N30" s="49">
        <f t="shared" si="0"/>
        <v>4.4000000000000004</v>
      </c>
      <c r="O30" s="37">
        <v>4.2</v>
      </c>
      <c r="P30" s="37">
        <v>4.0999999999999996</v>
      </c>
      <c r="Q30" s="38">
        <f t="shared" si="1"/>
        <v>4.2</v>
      </c>
      <c r="R30" s="17">
        <v>1.8440000000000001</v>
      </c>
      <c r="S30" s="17">
        <v>1.8320000000000001</v>
      </c>
      <c r="T30" s="22">
        <f t="shared" si="2"/>
        <v>1.8380000000000001</v>
      </c>
      <c r="U30" s="17">
        <v>1.7350000000000001</v>
      </c>
      <c r="V30" s="17">
        <v>1.6930000000000001</v>
      </c>
      <c r="W30" s="22">
        <f t="shared" si="3"/>
        <v>1.714</v>
      </c>
      <c r="X30" s="17">
        <v>3.7999999999999999E-2</v>
      </c>
      <c r="Y30" s="17">
        <v>4.1000000000000002E-2</v>
      </c>
      <c r="Z30" s="21">
        <f t="shared" si="4"/>
        <v>0.04</v>
      </c>
      <c r="AA30" s="19">
        <v>1.2646673325034976</v>
      </c>
      <c r="AB30" s="19">
        <v>1.2596476163664605</v>
      </c>
      <c r="AC30" s="21">
        <f t="shared" si="5"/>
        <v>1.262</v>
      </c>
      <c r="AD30" s="19">
        <v>6.4000000000000001E-2</v>
      </c>
      <c r="AE30" s="19">
        <v>6.5000000000000002E-2</v>
      </c>
      <c r="AF30" s="21">
        <f t="shared" si="6"/>
        <v>6.5000000000000002E-2</v>
      </c>
      <c r="AG30" s="30">
        <v>3.1E-2</v>
      </c>
      <c r="AH30" s="30">
        <v>2.8000000000000001E-2</v>
      </c>
      <c r="AI30" s="31">
        <f t="shared" si="7"/>
        <v>0.03</v>
      </c>
      <c r="AJ30" s="30">
        <v>2.1999999999999999E-2</v>
      </c>
      <c r="AK30" s="30">
        <v>0.02</v>
      </c>
      <c r="AL30" s="31">
        <f t="shared" si="8"/>
        <v>2.1000000000000001E-2</v>
      </c>
      <c r="AM30" s="19">
        <v>15.691557216725021</v>
      </c>
      <c r="AN30" s="19">
        <v>15.623572266657218</v>
      </c>
      <c r="AO30" s="21">
        <f t="shared" si="9"/>
        <v>15.657999999999999</v>
      </c>
      <c r="AP30" s="46">
        <v>0.1038</v>
      </c>
      <c r="AQ30" s="46">
        <v>0.1032</v>
      </c>
      <c r="AR30" s="45">
        <f t="shared" si="10"/>
        <v>0.10349999999999999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22.7</v>
      </c>
      <c r="F31" s="23">
        <v>8.4</v>
      </c>
      <c r="G31" s="41">
        <v>228</v>
      </c>
      <c r="H31" s="23">
        <v>10.199999999999999</v>
      </c>
      <c r="I31" s="23">
        <v>4.0999999999999996</v>
      </c>
      <c r="J31" s="23">
        <v>8.5</v>
      </c>
      <c r="K31" s="50">
        <v>6.1</v>
      </c>
      <c r="L31" s="50">
        <v>5.3</v>
      </c>
      <c r="M31" s="50"/>
      <c r="N31" s="49">
        <f t="shared" si="0"/>
        <v>5.7</v>
      </c>
      <c r="O31" s="37">
        <v>4.5999999999999996</v>
      </c>
      <c r="P31" s="37">
        <v>4.5999999999999996</v>
      </c>
      <c r="Q31" s="38">
        <f t="shared" si="1"/>
        <v>4.5999999999999996</v>
      </c>
      <c r="R31" s="17">
        <v>2.2519999999999998</v>
      </c>
      <c r="S31" s="17">
        <v>2.3079999999999998</v>
      </c>
      <c r="T31" s="22">
        <f t="shared" si="2"/>
        <v>2.2799999999999998</v>
      </c>
      <c r="U31" s="17">
        <v>1.859</v>
      </c>
      <c r="V31" s="17">
        <v>1.86</v>
      </c>
      <c r="W31" s="22">
        <f t="shared" si="3"/>
        <v>1.86</v>
      </c>
      <c r="X31" s="17">
        <v>7.5999999999999998E-2</v>
      </c>
      <c r="Y31" s="17">
        <v>8.2000000000000003E-2</v>
      </c>
      <c r="Z31" s="21">
        <f t="shared" si="4"/>
        <v>7.9000000000000001E-2</v>
      </c>
      <c r="AA31" s="19">
        <v>1.2609170026981726</v>
      </c>
      <c r="AB31" s="19">
        <v>1.2668475074496668</v>
      </c>
      <c r="AC31" s="21">
        <f t="shared" si="5"/>
        <v>1.264</v>
      </c>
      <c r="AD31" s="19">
        <v>0.185</v>
      </c>
      <c r="AE31" s="19">
        <v>0.185</v>
      </c>
      <c r="AF31" s="21">
        <f t="shared" si="6"/>
        <v>0.185</v>
      </c>
      <c r="AG31" s="30">
        <v>9.4E-2</v>
      </c>
      <c r="AH31" s="30">
        <v>9.9000000000000005E-2</v>
      </c>
      <c r="AI31" s="31">
        <f t="shared" si="7"/>
        <v>9.7000000000000003E-2</v>
      </c>
      <c r="AJ31" s="30">
        <v>9.0999999999999998E-2</v>
      </c>
      <c r="AK31" s="30">
        <v>9.0999999999999998E-2</v>
      </c>
      <c r="AL31" s="31">
        <f t="shared" si="8"/>
        <v>9.0999999999999998E-2</v>
      </c>
      <c r="AM31" s="19">
        <v>16.633522864373287</v>
      </c>
      <c r="AN31" s="19">
        <v>16.561702888903142</v>
      </c>
      <c r="AO31" s="21">
        <f t="shared" si="9"/>
        <v>16.597999999999999</v>
      </c>
      <c r="AP31" s="46">
        <v>0.106</v>
      </c>
      <c r="AQ31" s="46">
        <v>0.1051</v>
      </c>
      <c r="AR31" s="45">
        <f t="shared" si="10"/>
        <v>0.1056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18.100000000000001</v>
      </c>
      <c r="F32" s="23">
        <v>7.3</v>
      </c>
      <c r="G32" s="41">
        <v>179</v>
      </c>
      <c r="H32" s="23">
        <v>7.4</v>
      </c>
      <c r="I32" s="23">
        <v>0.5</v>
      </c>
      <c r="J32" s="23">
        <v>2.8</v>
      </c>
      <c r="K32" s="50">
        <v>1.9</v>
      </c>
      <c r="L32" s="50">
        <v>1.9</v>
      </c>
      <c r="M32" s="50"/>
      <c r="N32" s="49">
        <f t="shared" si="0"/>
        <v>1.9</v>
      </c>
      <c r="O32" s="37">
        <v>1.9</v>
      </c>
      <c r="P32" s="37">
        <v>1.9</v>
      </c>
      <c r="Q32" s="38">
        <f t="shared" si="1"/>
        <v>1.9</v>
      </c>
      <c r="R32" s="17">
        <v>0.52400000000000002</v>
      </c>
      <c r="S32" s="17">
        <v>0.55000000000000004</v>
      </c>
      <c r="T32" s="22">
        <f t="shared" si="2"/>
        <v>0.53700000000000003</v>
      </c>
      <c r="U32" s="17">
        <v>0.45800000000000002</v>
      </c>
      <c r="V32" s="17">
        <v>0.46</v>
      </c>
      <c r="W32" s="22">
        <f t="shared" si="3"/>
        <v>0.45900000000000002</v>
      </c>
      <c r="X32" s="17">
        <v>2.1000000000000001E-2</v>
      </c>
      <c r="Y32" s="17">
        <v>2.5000000000000001E-2</v>
      </c>
      <c r="Z32" s="21">
        <f t="shared" si="4"/>
        <v>2.3E-2</v>
      </c>
      <c r="AA32" s="19">
        <v>0.30113629165231354</v>
      </c>
      <c r="AB32" s="19">
        <v>0.31400223504462454</v>
      </c>
      <c r="AC32" s="21">
        <f t="shared" si="5"/>
        <v>0.308</v>
      </c>
      <c r="AD32" s="19">
        <v>3.7999999999999999E-2</v>
      </c>
      <c r="AE32" s="19">
        <v>3.5999999999999997E-2</v>
      </c>
      <c r="AF32" s="21">
        <f t="shared" si="6"/>
        <v>3.6999999999999998E-2</v>
      </c>
      <c r="AG32" s="30">
        <v>1.4999999999999999E-2</v>
      </c>
      <c r="AH32" s="30">
        <v>1.4999999999999999E-2</v>
      </c>
      <c r="AI32" s="31">
        <f t="shared" si="7"/>
        <v>1.4999999999999999E-2</v>
      </c>
      <c r="AJ32" s="30">
        <v>1.4E-2</v>
      </c>
      <c r="AK32" s="30">
        <v>1.2E-2</v>
      </c>
      <c r="AL32" s="31">
        <f t="shared" si="8"/>
        <v>1.2999999999999999E-2</v>
      </c>
      <c r="AM32" s="19">
        <v>9.8316395550853226</v>
      </c>
      <c r="AN32" s="19">
        <v>9.9136479018707941</v>
      </c>
      <c r="AO32" s="21">
        <f t="shared" si="9"/>
        <v>9.8729999999999993</v>
      </c>
      <c r="AP32" s="46">
        <v>4.2700000000000002E-2</v>
      </c>
      <c r="AQ32" s="46">
        <v>4.19E-2</v>
      </c>
      <c r="AR32" s="45">
        <f t="shared" si="10"/>
        <v>4.2299999999999997E-2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22.9</v>
      </c>
      <c r="F33" s="23">
        <v>8.8000000000000007</v>
      </c>
      <c r="G33" s="41">
        <v>228</v>
      </c>
      <c r="H33" s="23">
        <v>9.6</v>
      </c>
      <c r="I33" s="23">
        <v>2.5</v>
      </c>
      <c r="J33" s="23">
        <v>6.2</v>
      </c>
      <c r="K33" s="50">
        <v>4.9000000000000004</v>
      </c>
      <c r="L33" s="50">
        <v>4.7</v>
      </c>
      <c r="M33" s="50"/>
      <c r="N33" s="49">
        <f t="shared" si="0"/>
        <v>4.8</v>
      </c>
      <c r="O33" s="37">
        <v>3.9</v>
      </c>
      <c r="P33" s="37">
        <v>3.8</v>
      </c>
      <c r="Q33" s="38">
        <f t="shared" si="1"/>
        <v>3.9</v>
      </c>
      <c r="R33" s="17">
        <v>1.603</v>
      </c>
      <c r="S33" s="17">
        <v>1.633</v>
      </c>
      <c r="T33" s="22">
        <f t="shared" si="2"/>
        <v>1.6180000000000001</v>
      </c>
      <c r="U33" s="17">
        <v>1.397</v>
      </c>
      <c r="V33" s="17">
        <v>1.383</v>
      </c>
      <c r="W33" s="22">
        <f t="shared" si="3"/>
        <v>1.39</v>
      </c>
      <c r="X33" s="17">
        <v>4.2000000000000003E-2</v>
      </c>
      <c r="Y33" s="17">
        <v>4.8000000000000001E-2</v>
      </c>
      <c r="Z33" s="21">
        <f t="shared" si="4"/>
        <v>4.4999999999999998E-2</v>
      </c>
      <c r="AA33" s="19">
        <v>0.91886950965600656</v>
      </c>
      <c r="AB33" s="19">
        <v>0.92519663200997515</v>
      </c>
      <c r="AC33" s="21">
        <f t="shared" si="5"/>
        <v>0.92200000000000004</v>
      </c>
      <c r="AD33" s="19">
        <v>0.11899999999999999</v>
      </c>
      <c r="AE33" s="19">
        <v>0.115</v>
      </c>
      <c r="AF33" s="21">
        <f t="shared" si="6"/>
        <v>0.11700000000000001</v>
      </c>
      <c r="AG33" s="30">
        <v>6.2E-2</v>
      </c>
      <c r="AH33" s="30">
        <v>6.5000000000000002E-2</v>
      </c>
      <c r="AI33" s="31">
        <f t="shared" si="7"/>
        <v>6.4000000000000001E-2</v>
      </c>
      <c r="AJ33" s="30">
        <v>0.06</v>
      </c>
      <c r="AK33" s="30">
        <v>6.0999999999999999E-2</v>
      </c>
      <c r="AL33" s="31">
        <f t="shared" si="8"/>
        <v>6.0999999999999999E-2</v>
      </c>
      <c r="AM33" s="19">
        <v>14.959279818512311</v>
      </c>
      <c r="AN33" s="19">
        <v>14.950618262272654</v>
      </c>
      <c r="AO33" s="21">
        <f t="shared" si="9"/>
        <v>14.955</v>
      </c>
      <c r="AP33" s="46">
        <v>8.9800000000000005E-2</v>
      </c>
      <c r="AQ33" s="46">
        <v>8.8800000000000004E-2</v>
      </c>
      <c r="AR33" s="45">
        <f t="shared" si="10"/>
        <v>8.9300000000000004E-2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20.3</v>
      </c>
      <c r="F34" s="23">
        <v>7.6</v>
      </c>
      <c r="G34" s="41">
        <v>248</v>
      </c>
      <c r="H34" s="23">
        <v>5.2</v>
      </c>
      <c r="I34" s="23">
        <v>2</v>
      </c>
      <c r="J34" s="23">
        <v>7.2</v>
      </c>
      <c r="K34" s="50">
        <v>5.8</v>
      </c>
      <c r="L34" s="50">
        <v>5.4</v>
      </c>
      <c r="M34" s="50"/>
      <c r="N34" s="49">
        <f t="shared" si="0"/>
        <v>5.6</v>
      </c>
      <c r="O34" s="37">
        <v>4.8</v>
      </c>
      <c r="P34" s="37">
        <v>4.8</v>
      </c>
      <c r="Q34" s="38">
        <f t="shared" si="1"/>
        <v>4.8</v>
      </c>
      <c r="R34" s="17">
        <v>1.89</v>
      </c>
      <c r="S34" s="17">
        <v>1.923</v>
      </c>
      <c r="T34" s="22">
        <f t="shared" si="2"/>
        <v>1.907</v>
      </c>
      <c r="U34" s="17">
        <v>1.6930000000000001</v>
      </c>
      <c r="V34" s="17">
        <v>1.681</v>
      </c>
      <c r="W34" s="22">
        <f t="shared" si="3"/>
        <v>1.6870000000000001</v>
      </c>
      <c r="X34" s="17">
        <v>0.17399999999999999</v>
      </c>
      <c r="Y34" s="17">
        <v>0.17499999999999999</v>
      </c>
      <c r="Z34" s="21">
        <f t="shared" si="4"/>
        <v>0.17499999999999999</v>
      </c>
      <c r="AA34" s="19">
        <v>0.97185235569202899</v>
      </c>
      <c r="AB34" s="19">
        <v>0.97033286742617164</v>
      </c>
      <c r="AC34" s="21">
        <f t="shared" si="5"/>
        <v>0.97099999999999997</v>
      </c>
      <c r="AD34" s="19">
        <v>0.20899999999999999</v>
      </c>
      <c r="AE34" s="19">
        <v>0.20899999999999999</v>
      </c>
      <c r="AF34" s="21">
        <f t="shared" si="6"/>
        <v>0.20899999999999999</v>
      </c>
      <c r="AG34" s="30">
        <v>0.105</v>
      </c>
      <c r="AH34" s="30">
        <v>0.104</v>
      </c>
      <c r="AI34" s="31">
        <f t="shared" si="7"/>
        <v>0.105</v>
      </c>
      <c r="AJ34" s="30">
        <v>0.104</v>
      </c>
      <c r="AK34" s="30">
        <v>0.10299999999999999</v>
      </c>
      <c r="AL34" s="31">
        <f t="shared" si="8"/>
        <v>0.104</v>
      </c>
      <c r="AM34" s="19">
        <v>16.229721333453462</v>
      </c>
      <c r="AN34" s="19">
        <v>16.032046596109844</v>
      </c>
      <c r="AO34" s="21">
        <f t="shared" si="9"/>
        <v>16.131</v>
      </c>
      <c r="AP34" s="46">
        <v>0.12540000000000001</v>
      </c>
      <c r="AQ34" s="46">
        <v>0.1242</v>
      </c>
      <c r="AR34" s="45">
        <f t="shared" si="10"/>
        <v>0.12479999999999999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22.5</v>
      </c>
      <c r="F35" s="23">
        <v>7.8</v>
      </c>
      <c r="G35" s="41">
        <v>348</v>
      </c>
      <c r="H35" s="23">
        <v>9.1999999999999993</v>
      </c>
      <c r="I35" s="23">
        <v>5.2</v>
      </c>
      <c r="J35" s="23">
        <v>9.6</v>
      </c>
      <c r="K35" s="50">
        <v>8.1999999999999993</v>
      </c>
      <c r="L35" s="50">
        <v>6.9</v>
      </c>
      <c r="M35" s="50"/>
      <c r="N35" s="49">
        <f t="shared" si="0"/>
        <v>7.6</v>
      </c>
      <c r="O35" s="37">
        <v>5.9</v>
      </c>
      <c r="P35" s="37">
        <v>5.7</v>
      </c>
      <c r="Q35" s="38">
        <f t="shared" si="1"/>
        <v>5.8</v>
      </c>
      <c r="R35" s="17">
        <v>4.327</v>
      </c>
      <c r="S35" s="17">
        <v>4.2670000000000003</v>
      </c>
      <c r="T35" s="22">
        <f t="shared" si="2"/>
        <v>4.2969999999999997</v>
      </c>
      <c r="U35" s="17">
        <v>4.0330000000000004</v>
      </c>
      <c r="V35" s="17">
        <v>4.0279999999999996</v>
      </c>
      <c r="W35" s="22">
        <f t="shared" si="3"/>
        <v>4.0309999999999997</v>
      </c>
      <c r="X35" s="17">
        <v>0.45900000000000002</v>
      </c>
      <c r="Y35" s="17">
        <v>0.45200000000000001</v>
      </c>
      <c r="Z35" s="21">
        <f t="shared" si="4"/>
        <v>0.45600000000000002</v>
      </c>
      <c r="AA35" s="19">
        <v>2.3258952017023291</v>
      </c>
      <c r="AB35" s="19">
        <v>2.3113786135127796</v>
      </c>
      <c r="AC35" s="21">
        <f t="shared" si="5"/>
        <v>2.319</v>
      </c>
      <c r="AD35" s="19">
        <v>0.22900000000000001</v>
      </c>
      <c r="AE35" s="19">
        <v>0.20499999999999999</v>
      </c>
      <c r="AF35" s="21">
        <f t="shared" si="6"/>
        <v>0.217</v>
      </c>
      <c r="AG35" s="30">
        <v>8.8999999999999996E-2</v>
      </c>
      <c r="AH35" s="30">
        <v>8.5000000000000006E-2</v>
      </c>
      <c r="AI35" s="31">
        <f t="shared" si="7"/>
        <v>8.6999999999999994E-2</v>
      </c>
      <c r="AJ35" s="30">
        <v>7.9000000000000001E-2</v>
      </c>
      <c r="AK35" s="30">
        <v>7.6999999999999999E-2</v>
      </c>
      <c r="AL35" s="31">
        <f t="shared" si="8"/>
        <v>7.8E-2</v>
      </c>
      <c r="AM35" s="19">
        <v>42.588554072845504</v>
      </c>
      <c r="AN35" s="19">
        <v>42.104876413757296</v>
      </c>
      <c r="AO35" s="21">
        <f t="shared" si="9"/>
        <v>42.347000000000001</v>
      </c>
      <c r="AP35" s="46">
        <v>0.14169999999999999</v>
      </c>
      <c r="AQ35" s="46">
        <v>0.14030000000000001</v>
      </c>
      <c r="AR35" s="45">
        <f t="shared" si="10"/>
        <v>0.14099999999999999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23.1</v>
      </c>
      <c r="F36" s="23">
        <v>8.9</v>
      </c>
      <c r="G36" s="41">
        <v>227</v>
      </c>
      <c r="H36" s="23">
        <v>9.8000000000000007</v>
      </c>
      <c r="I36" s="23">
        <v>3.6</v>
      </c>
      <c r="J36" s="23">
        <v>7.3</v>
      </c>
      <c r="K36" s="50">
        <v>4.0999999999999996</v>
      </c>
      <c r="L36" s="50">
        <v>4.8</v>
      </c>
      <c r="M36" s="50"/>
      <c r="N36" s="49">
        <f t="shared" si="0"/>
        <v>4.5</v>
      </c>
      <c r="O36" s="37">
        <v>4</v>
      </c>
      <c r="P36" s="37">
        <v>3.7</v>
      </c>
      <c r="Q36" s="38">
        <f t="shared" si="1"/>
        <v>3.9</v>
      </c>
      <c r="R36" s="17">
        <v>1.494</v>
      </c>
      <c r="S36" s="17">
        <v>1.552</v>
      </c>
      <c r="T36" s="22">
        <f t="shared" si="2"/>
        <v>1.5229999999999999</v>
      </c>
      <c r="U36" s="17">
        <v>1.1890000000000001</v>
      </c>
      <c r="V36" s="17">
        <v>1.18</v>
      </c>
      <c r="W36" s="22">
        <f t="shared" si="3"/>
        <v>1.1850000000000001</v>
      </c>
      <c r="X36" s="17">
        <v>6.0999999999999999E-2</v>
      </c>
      <c r="Y36" s="17">
        <v>6.3E-2</v>
      </c>
      <c r="Z36" s="21">
        <f t="shared" si="4"/>
        <v>6.2E-2</v>
      </c>
      <c r="AA36" s="19">
        <v>0.68017557960841957</v>
      </c>
      <c r="AB36" s="19">
        <v>0.68204765224696484</v>
      </c>
      <c r="AC36" s="21">
        <f t="shared" si="5"/>
        <v>0.68100000000000005</v>
      </c>
      <c r="AD36" s="19">
        <v>0.127</v>
      </c>
      <c r="AE36" s="19">
        <v>0.129</v>
      </c>
      <c r="AF36" s="21">
        <f t="shared" si="6"/>
        <v>0.128</v>
      </c>
      <c r="AG36" s="30">
        <v>4.9000000000000002E-2</v>
      </c>
      <c r="AH36" s="30">
        <v>4.8000000000000001E-2</v>
      </c>
      <c r="AI36" s="31">
        <f t="shared" si="7"/>
        <v>4.9000000000000002E-2</v>
      </c>
      <c r="AJ36" s="30">
        <v>3.6999999999999998E-2</v>
      </c>
      <c r="AK36" s="30">
        <v>3.7999999999999999E-2</v>
      </c>
      <c r="AL36" s="31">
        <f t="shared" si="8"/>
        <v>3.7999999999999999E-2</v>
      </c>
      <c r="AM36" s="19">
        <v>15.798335600767198</v>
      </c>
      <c r="AN36" s="19">
        <v>15.673248072177763</v>
      </c>
      <c r="AO36" s="21">
        <f t="shared" si="9"/>
        <v>15.736000000000001</v>
      </c>
      <c r="AP36" s="46">
        <v>8.9300000000000004E-2</v>
      </c>
      <c r="AQ36" s="46">
        <v>8.8700000000000001E-2</v>
      </c>
      <c r="AR36" s="45">
        <f t="shared" si="10"/>
        <v>8.8999999999999996E-2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22.1</v>
      </c>
      <c r="F37" s="23">
        <v>7.7</v>
      </c>
      <c r="G37" s="41">
        <v>285</v>
      </c>
      <c r="H37" s="23">
        <v>8.1999999999999993</v>
      </c>
      <c r="I37" s="23">
        <v>2.6</v>
      </c>
      <c r="J37" s="23">
        <v>11.8</v>
      </c>
      <c r="K37" s="50">
        <v>9.1999999999999993</v>
      </c>
      <c r="L37" s="50">
        <v>8.5</v>
      </c>
      <c r="M37" s="50"/>
      <c r="N37" s="49">
        <f t="shared" si="0"/>
        <v>8.9</v>
      </c>
      <c r="O37" s="37">
        <v>7.7</v>
      </c>
      <c r="P37" s="37">
        <v>7.5</v>
      </c>
      <c r="Q37" s="38">
        <f t="shared" si="1"/>
        <v>7.6</v>
      </c>
      <c r="R37" s="17">
        <v>2.6549999999999998</v>
      </c>
      <c r="S37" s="17">
        <v>2.645</v>
      </c>
      <c r="T37" s="22">
        <f t="shared" si="2"/>
        <v>2.65</v>
      </c>
      <c r="U37" s="17">
        <v>2.4159999999999999</v>
      </c>
      <c r="V37" s="17">
        <v>2.4140000000000001</v>
      </c>
      <c r="W37" s="22">
        <f t="shared" si="3"/>
        <v>2.415</v>
      </c>
      <c r="X37" s="17">
        <v>0.21</v>
      </c>
      <c r="Y37" s="17">
        <v>0.20899999999999999</v>
      </c>
      <c r="Z37" s="21">
        <f t="shared" si="4"/>
        <v>0.21</v>
      </c>
      <c r="AA37" s="19">
        <v>1.0276193087038628</v>
      </c>
      <c r="AB37" s="19">
        <v>1.0565643473169666</v>
      </c>
      <c r="AC37" s="21">
        <f t="shared" si="5"/>
        <v>1.042</v>
      </c>
      <c r="AD37" s="19">
        <v>0.24099999999999999</v>
      </c>
      <c r="AE37" s="19">
        <v>0.23100000000000001</v>
      </c>
      <c r="AF37" s="21">
        <f t="shared" si="6"/>
        <v>0.23599999999999999</v>
      </c>
      <c r="AG37" s="30">
        <v>7.6999999999999999E-2</v>
      </c>
      <c r="AH37" s="30">
        <v>7.9000000000000001E-2</v>
      </c>
      <c r="AI37" s="31">
        <f t="shared" si="7"/>
        <v>7.8E-2</v>
      </c>
      <c r="AJ37" s="30">
        <v>6.6000000000000003E-2</v>
      </c>
      <c r="AK37" s="30">
        <v>6.8000000000000005E-2</v>
      </c>
      <c r="AL37" s="31">
        <f t="shared" si="8"/>
        <v>6.7000000000000004E-2</v>
      </c>
      <c r="AM37" s="19">
        <v>21.099067607611925</v>
      </c>
      <c r="AN37" s="19">
        <v>21.524075457629667</v>
      </c>
      <c r="AO37" s="21">
        <f t="shared" si="9"/>
        <v>21.312000000000001</v>
      </c>
      <c r="AP37" s="46">
        <v>0.2228</v>
      </c>
      <c r="AQ37" s="46">
        <v>0.22209999999999999</v>
      </c>
      <c r="AR37" s="45">
        <f t="shared" si="10"/>
        <v>0.2225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22.6</v>
      </c>
      <c r="F38" s="23">
        <v>8.3000000000000007</v>
      </c>
      <c r="G38" s="41">
        <v>252</v>
      </c>
      <c r="H38" s="23">
        <v>9.1</v>
      </c>
      <c r="I38" s="23">
        <v>3</v>
      </c>
      <c r="J38" s="23">
        <v>8.3000000000000007</v>
      </c>
      <c r="K38" s="50">
        <v>5.6</v>
      </c>
      <c r="L38" s="50">
        <v>6.3</v>
      </c>
      <c r="M38" s="50"/>
      <c r="N38" s="49">
        <f t="shared" si="0"/>
        <v>6</v>
      </c>
      <c r="O38" s="37">
        <v>5.0999999999999996</v>
      </c>
      <c r="P38" s="37">
        <v>4.9000000000000004</v>
      </c>
      <c r="Q38" s="38">
        <f t="shared" si="1"/>
        <v>5</v>
      </c>
      <c r="R38" s="17">
        <v>2.2360000000000002</v>
      </c>
      <c r="S38" s="17">
        <v>2.2160000000000002</v>
      </c>
      <c r="T38" s="22">
        <f t="shared" si="2"/>
        <v>2.226</v>
      </c>
      <c r="U38" s="17">
        <v>1.9390000000000001</v>
      </c>
      <c r="V38" s="17">
        <v>1.9530000000000001</v>
      </c>
      <c r="W38" s="22">
        <f t="shared" si="3"/>
        <v>1.946</v>
      </c>
      <c r="X38" s="17">
        <v>5.7000000000000002E-2</v>
      </c>
      <c r="Y38" s="17">
        <v>5.3999999999999999E-2</v>
      </c>
      <c r="Z38" s="21">
        <f t="shared" si="4"/>
        <v>5.6000000000000001E-2</v>
      </c>
      <c r="AA38" s="19">
        <v>1.2311400513398494</v>
      </c>
      <c r="AB38" s="19">
        <v>1.2584957238621524</v>
      </c>
      <c r="AC38" s="21">
        <f t="shared" si="5"/>
        <v>1.2450000000000001</v>
      </c>
      <c r="AD38" s="19">
        <v>0.16900000000000001</v>
      </c>
      <c r="AE38" s="19">
        <v>0.16700000000000001</v>
      </c>
      <c r="AF38" s="21">
        <f t="shared" si="6"/>
        <v>0.16800000000000001</v>
      </c>
      <c r="AG38" s="30">
        <v>6.7000000000000004E-2</v>
      </c>
      <c r="AH38" s="30">
        <v>6.9000000000000006E-2</v>
      </c>
      <c r="AI38" s="31">
        <f t="shared" si="7"/>
        <v>6.8000000000000005E-2</v>
      </c>
      <c r="AJ38" s="30">
        <v>6.2E-2</v>
      </c>
      <c r="AK38" s="30">
        <v>6.0999999999999999E-2</v>
      </c>
      <c r="AL38" s="31">
        <f t="shared" si="8"/>
        <v>6.2E-2</v>
      </c>
      <c r="AM38" s="19">
        <v>18.200285554922921</v>
      </c>
      <c r="AN38" s="19">
        <v>18.451535535618671</v>
      </c>
      <c r="AO38" s="21">
        <f t="shared" si="9"/>
        <v>18.326000000000001</v>
      </c>
      <c r="AP38" s="46">
        <v>0.12570000000000001</v>
      </c>
      <c r="AQ38" s="46">
        <v>0.12540000000000001</v>
      </c>
      <c r="AR38" s="45">
        <f t="shared" si="10"/>
        <v>0.12559999999999999</v>
      </c>
    </row>
    <row r="39" spans="1:44">
      <c r="A39" s="7" t="s">
        <v>143</v>
      </c>
      <c r="B39" s="5" t="s">
        <v>141</v>
      </c>
      <c r="C39" s="6"/>
      <c r="D39" s="6"/>
      <c r="E39" s="23">
        <v>22</v>
      </c>
      <c r="F39" s="23">
        <v>7.2</v>
      </c>
      <c r="G39" s="41">
        <v>262</v>
      </c>
      <c r="H39" s="23">
        <v>7.6</v>
      </c>
      <c r="I39" s="23"/>
      <c r="J39" s="23"/>
      <c r="K39" s="15"/>
      <c r="L39" s="15"/>
      <c r="M39" s="15"/>
      <c r="N39" s="20"/>
      <c r="O39" s="37">
        <v>5.4</v>
      </c>
      <c r="P39" s="37">
        <v>5.5</v>
      </c>
      <c r="Q39" s="38">
        <f t="shared" si="1"/>
        <v>5.5</v>
      </c>
      <c r="R39" s="17"/>
      <c r="S39" s="17"/>
      <c r="T39" s="22"/>
      <c r="U39" s="17">
        <v>1.1879999999999999</v>
      </c>
      <c r="V39" s="17">
        <v>1.1679999999999999</v>
      </c>
      <c r="W39" s="22">
        <f t="shared" si="3"/>
        <v>1.1779999999999999</v>
      </c>
      <c r="X39" s="17"/>
      <c r="Y39" s="17"/>
      <c r="Z39" s="21"/>
      <c r="AA39" s="19">
        <v>0.47079004704469107</v>
      </c>
      <c r="AB39" s="19">
        <v>0.46987061114717787</v>
      </c>
      <c r="AC39" s="21">
        <f t="shared" si="5"/>
        <v>0.47</v>
      </c>
      <c r="AD39" s="19"/>
      <c r="AE39" s="19"/>
      <c r="AF39" s="21"/>
      <c r="AG39" s="30">
        <v>0.04</v>
      </c>
      <c r="AH39" s="30">
        <v>3.7999999999999999E-2</v>
      </c>
      <c r="AI39" s="31">
        <f t="shared" si="7"/>
        <v>3.9E-2</v>
      </c>
      <c r="AJ39" s="30">
        <v>3.3000000000000002E-2</v>
      </c>
      <c r="AK39" s="30">
        <v>3.1E-2</v>
      </c>
      <c r="AL39" s="31">
        <f t="shared" si="8"/>
        <v>3.2000000000000001E-2</v>
      </c>
      <c r="AM39" s="19">
        <v>20.923497501413927</v>
      </c>
      <c r="AN39" s="19">
        <v>20.549515613939835</v>
      </c>
      <c r="AO39" s="21">
        <f t="shared" si="9"/>
        <v>20.736999999999998</v>
      </c>
      <c r="AP39" s="46">
        <v>0.14069999999999999</v>
      </c>
      <c r="AQ39" s="46">
        <v>0.1399</v>
      </c>
      <c r="AR39" s="45">
        <f t="shared" si="10"/>
        <v>0.14030000000000001</v>
      </c>
    </row>
    <row r="40" spans="1:44">
      <c r="A40" s="7" t="s">
        <v>144</v>
      </c>
      <c r="B40" s="5" t="s">
        <v>142</v>
      </c>
      <c r="C40" s="6"/>
      <c r="D40" s="6"/>
      <c r="E40" s="23">
        <v>22.1</v>
      </c>
      <c r="F40" s="23">
        <v>6.9</v>
      </c>
      <c r="G40" s="41">
        <v>211</v>
      </c>
      <c r="H40" s="23">
        <v>6.9</v>
      </c>
      <c r="I40" s="23"/>
      <c r="J40" s="23"/>
      <c r="K40" s="15"/>
      <c r="L40" s="15"/>
      <c r="M40" s="15"/>
      <c r="N40" s="20"/>
      <c r="O40" s="37">
        <v>8.8000000000000007</v>
      </c>
      <c r="P40" s="37">
        <v>8.9</v>
      </c>
      <c r="Q40" s="38">
        <f t="shared" si="1"/>
        <v>8.9</v>
      </c>
      <c r="R40" s="17"/>
      <c r="S40" s="17"/>
      <c r="T40" s="22"/>
      <c r="U40" s="17">
        <v>2.5019999999999998</v>
      </c>
      <c r="V40" s="17">
        <v>2.4950000000000001</v>
      </c>
      <c r="W40" s="22">
        <f t="shared" si="3"/>
        <v>2.4990000000000001</v>
      </c>
      <c r="X40" s="17"/>
      <c r="Y40" s="17"/>
      <c r="Z40" s="21"/>
      <c r="AA40" s="19">
        <v>0.82382929678224104</v>
      </c>
      <c r="AB40" s="19">
        <v>0.81682083159662389</v>
      </c>
      <c r="AC40" s="21">
        <f t="shared" si="5"/>
        <v>0.82</v>
      </c>
      <c r="AD40" s="19"/>
      <c r="AE40" s="19"/>
      <c r="AF40" s="21"/>
      <c r="AG40" s="30">
        <v>0.49299999999999999</v>
      </c>
      <c r="AH40" s="30">
        <v>0.48199999999999998</v>
      </c>
      <c r="AI40" s="31">
        <f t="shared" si="7"/>
        <v>0.48799999999999999</v>
      </c>
      <c r="AJ40" s="30">
        <v>0.433</v>
      </c>
      <c r="AK40" s="30">
        <v>0.443</v>
      </c>
      <c r="AL40" s="31">
        <f t="shared" si="8"/>
        <v>0.438</v>
      </c>
      <c r="AM40" s="19">
        <v>18.326600485586191</v>
      </c>
      <c r="AN40" s="19">
        <v>18.024077966363429</v>
      </c>
      <c r="AO40" s="21">
        <f t="shared" si="9"/>
        <v>18.175000000000001</v>
      </c>
      <c r="AP40" s="46">
        <v>0.94579999999999997</v>
      </c>
      <c r="AQ40" s="46">
        <v>0.93069999999999997</v>
      </c>
      <c r="AR40" s="45">
        <f t="shared" si="10"/>
        <v>0.93830000000000002</v>
      </c>
    </row>
    <row r="41" spans="1:44">
      <c r="A41" s="7" t="s">
        <v>137</v>
      </c>
      <c r="B41" s="5" t="s">
        <v>138</v>
      </c>
      <c r="C41" s="6"/>
      <c r="D41" s="6"/>
      <c r="E41" s="23">
        <v>21.4</v>
      </c>
      <c r="F41" s="23">
        <v>7.4</v>
      </c>
      <c r="G41" s="53">
        <v>352</v>
      </c>
      <c r="H41" s="23">
        <v>7.8</v>
      </c>
      <c r="I41" s="23">
        <v>12.8</v>
      </c>
      <c r="J41" s="23">
        <v>13.9</v>
      </c>
      <c r="K41" s="50">
        <v>9</v>
      </c>
      <c r="L41" s="50">
        <v>8.8000000000000007</v>
      </c>
      <c r="M41" s="50"/>
      <c r="N41" s="49">
        <f>ROUND(AVERAGE(K41:M41),1)</f>
        <v>8.9</v>
      </c>
      <c r="O41" s="37">
        <v>5.3</v>
      </c>
      <c r="P41" s="37">
        <v>5.3</v>
      </c>
      <c r="Q41" s="38">
        <f>ROUND(AVERAGE(O41:P41),1)</f>
        <v>5.3</v>
      </c>
      <c r="R41" s="17">
        <v>7.415</v>
      </c>
      <c r="S41" s="17">
        <v>7.4669999999999996</v>
      </c>
      <c r="T41" s="22">
        <f t="shared" si="2"/>
        <v>7.4409999999999998</v>
      </c>
      <c r="U41" s="4">
        <v>6.319</v>
      </c>
      <c r="V41" s="4">
        <v>6.3330000000000002</v>
      </c>
      <c r="W41" s="22">
        <f t="shared" si="3"/>
        <v>6.3259999999999996</v>
      </c>
      <c r="X41" s="17">
        <v>1.992</v>
      </c>
      <c r="Y41" s="17">
        <v>1.9990000000000001</v>
      </c>
      <c r="Z41" s="21">
        <f t="shared" si="4"/>
        <v>1.996</v>
      </c>
      <c r="AA41" s="19">
        <v>3.6415662703146876</v>
      </c>
      <c r="AB41" s="19">
        <v>3.6414300414756355</v>
      </c>
      <c r="AC41" s="21">
        <f t="shared" si="5"/>
        <v>3.641</v>
      </c>
      <c r="AD41" s="19">
        <v>0.42599999999999999</v>
      </c>
      <c r="AE41" s="19">
        <v>0.43099999999999999</v>
      </c>
      <c r="AF41" s="21">
        <f t="shared" si="6"/>
        <v>0.42899999999999999</v>
      </c>
      <c r="AG41" s="30">
        <v>0.114</v>
      </c>
      <c r="AH41" s="30">
        <v>0.115</v>
      </c>
      <c r="AI41" s="31">
        <f t="shared" si="7"/>
        <v>0.115</v>
      </c>
      <c r="AJ41" s="30">
        <v>0.10299999999999999</v>
      </c>
      <c r="AK41" s="30">
        <v>0.10299999999999999</v>
      </c>
      <c r="AL41" s="31">
        <f t="shared" si="8"/>
        <v>0.10299999999999999</v>
      </c>
      <c r="AM41" s="52">
        <v>41.143224578526571</v>
      </c>
      <c r="AN41" s="51">
        <v>40.742228080656439</v>
      </c>
      <c r="AO41" s="21">
        <f t="shared" si="9"/>
        <v>40.942999999999998</v>
      </c>
      <c r="AP41" s="46">
        <v>0.10639999999999999</v>
      </c>
      <c r="AQ41" s="46">
        <v>0.10580000000000001</v>
      </c>
      <c r="AR41" s="45">
        <f t="shared" si="10"/>
        <v>0.1061</v>
      </c>
    </row>
    <row r="42" spans="1:44">
      <c r="A42" s="7" t="s">
        <v>154</v>
      </c>
      <c r="B42" s="5" t="s">
        <v>156</v>
      </c>
      <c r="C42" s="6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37">
        <v>1</v>
      </c>
      <c r="P42" s="37">
        <v>0.9</v>
      </c>
      <c r="Q42" s="39">
        <f>ROUND(AVERAGE(O42:P42),1)</f>
        <v>1</v>
      </c>
      <c r="R42" s="4"/>
      <c r="S42" s="4"/>
      <c r="T42" s="4"/>
      <c r="U42" s="55">
        <v>22.016999999999999</v>
      </c>
      <c r="V42" s="4">
        <v>21.994</v>
      </c>
      <c r="W42" s="22">
        <f t="shared" si="3"/>
        <v>22.006</v>
      </c>
      <c r="X42" s="4"/>
      <c r="Y42" s="4"/>
      <c r="Z42" s="4"/>
      <c r="AA42" s="4">
        <v>21.283999999999999</v>
      </c>
      <c r="AB42" s="4">
        <v>21.279</v>
      </c>
      <c r="AC42" s="21">
        <f t="shared" si="5"/>
        <v>21.282</v>
      </c>
      <c r="AD42" s="4"/>
      <c r="AE42" s="4"/>
      <c r="AF42" s="5"/>
      <c r="AG42" s="30">
        <v>0.113</v>
      </c>
      <c r="AH42" s="30">
        <v>0.11</v>
      </c>
      <c r="AI42" s="31">
        <f t="shared" si="7"/>
        <v>0.112</v>
      </c>
      <c r="AJ42" s="30">
        <v>0.11</v>
      </c>
      <c r="AK42" s="30">
        <v>0.108</v>
      </c>
      <c r="AL42" s="31">
        <f t="shared" si="8"/>
        <v>0.109</v>
      </c>
      <c r="AM42" s="5">
        <v>39.999000000000002</v>
      </c>
      <c r="AN42" s="5">
        <v>39.921999999999997</v>
      </c>
      <c r="AO42" s="21">
        <f t="shared" si="9"/>
        <v>39.960999999999999</v>
      </c>
      <c r="AP42" s="5">
        <v>2.93E-2</v>
      </c>
      <c r="AQ42" s="5">
        <v>3.15E-2</v>
      </c>
      <c r="AR42" s="45">
        <f t="shared" si="10"/>
        <v>3.04E-2</v>
      </c>
    </row>
  </sheetData>
  <mergeCells count="18">
    <mergeCell ref="J1:J2"/>
    <mergeCell ref="K1:N1"/>
    <mergeCell ref="O1:Q1"/>
    <mergeCell ref="R1:T1"/>
    <mergeCell ref="I1:I2"/>
    <mergeCell ref="A1:A2"/>
    <mergeCell ref="B1:B2"/>
    <mergeCell ref="C1:C2"/>
    <mergeCell ref="D1:D2"/>
    <mergeCell ref="E1:H1"/>
    <mergeCell ref="AJ1:AL1"/>
    <mergeCell ref="AM1:AO1"/>
    <mergeCell ref="AP1:AR1"/>
    <mergeCell ref="U1:W1"/>
    <mergeCell ref="X1:Z1"/>
    <mergeCell ref="AA1:AC1"/>
    <mergeCell ref="AD1:AF1"/>
    <mergeCell ref="AG1:AI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4"/>
  <sheetViews>
    <sheetView topLeftCell="A8" zoomScale="85" zoomScaleNormal="85" workbookViewId="0">
      <selection activeCell="A3" sqref="A3:XFD44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20" width="9" style="1"/>
    <col min="21" max="21" width="9" style="3"/>
    <col min="22" max="31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8"/>
      <c r="U1" s="76" t="s">
        <v>126</v>
      </c>
      <c r="V1" s="77"/>
      <c r="W1" s="78"/>
      <c r="X1" s="76" t="s">
        <v>127</v>
      </c>
      <c r="Y1" s="77"/>
      <c r="Z1" s="78"/>
      <c r="AA1" s="76" t="s">
        <v>128</v>
      </c>
      <c r="AB1" s="77"/>
      <c r="AC1" s="78"/>
      <c r="AD1" s="76" t="s">
        <v>129</v>
      </c>
      <c r="AE1" s="77"/>
      <c r="AF1" s="78"/>
      <c r="AG1" s="76" t="s">
        <v>130</v>
      </c>
      <c r="AH1" s="77"/>
      <c r="AI1" s="78"/>
      <c r="AJ1" s="76" t="s">
        <v>131</v>
      </c>
      <c r="AK1" s="77"/>
      <c r="AL1" s="78"/>
      <c r="AM1" s="76" t="s">
        <v>132</v>
      </c>
      <c r="AN1" s="77"/>
      <c r="AO1" s="78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113</v>
      </c>
      <c r="H2" s="12" t="s">
        <v>112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136</v>
      </c>
      <c r="B3" s="9" t="s">
        <v>34</v>
      </c>
      <c r="C3" s="10" t="s">
        <v>35</v>
      </c>
      <c r="D3" s="10" t="s">
        <v>36</v>
      </c>
      <c r="E3" s="20">
        <v>23.1</v>
      </c>
      <c r="F3" s="20">
        <v>7.6</v>
      </c>
      <c r="G3" s="40">
        <v>203</v>
      </c>
      <c r="H3" s="20">
        <v>8.5</v>
      </c>
      <c r="I3" s="20">
        <v>3.1</v>
      </c>
      <c r="J3" s="20">
        <v>7.4</v>
      </c>
      <c r="K3" s="14">
        <v>5.2</v>
      </c>
      <c r="L3" s="14">
        <v>5.5</v>
      </c>
      <c r="M3" s="14"/>
      <c r="N3" s="20">
        <f>ROUND(AVERAGE(K3:M3),1)</f>
        <v>5.4</v>
      </c>
      <c r="O3" s="36">
        <v>4</v>
      </c>
      <c r="P3" s="36">
        <v>4</v>
      </c>
      <c r="Q3" s="38">
        <f>ROUND(AVERAGE(O3:P3),1)</f>
        <v>4</v>
      </c>
      <c r="R3" s="16">
        <v>2.6520000000000001</v>
      </c>
      <c r="S3" s="16">
        <v>2.6219999999999999</v>
      </c>
      <c r="T3" s="22">
        <f>ROUND(AVERAGE(R3:S3),3)</f>
        <v>2.637</v>
      </c>
      <c r="U3" s="16">
        <v>2.629</v>
      </c>
      <c r="V3" s="16">
        <v>2.6269999999999998</v>
      </c>
      <c r="W3" s="22">
        <f>ROUND(AVERAGE(U3:V3),3)</f>
        <v>2.6280000000000001</v>
      </c>
      <c r="X3" s="16">
        <v>1.4690000000000001</v>
      </c>
      <c r="Y3" s="16">
        <v>1.4590000000000001</v>
      </c>
      <c r="Z3" s="21">
        <f>ROUND(AVERAGE(X3:Y3),3)</f>
        <v>1.464</v>
      </c>
      <c r="AA3" s="18">
        <v>0.78800000000000003</v>
      </c>
      <c r="AB3" s="18"/>
      <c r="AC3" s="21">
        <f>ROUND(AVERAGE(AA3:AB3),3)</f>
        <v>0.78800000000000003</v>
      </c>
      <c r="AD3" s="18">
        <v>0.39600000000000002</v>
      </c>
      <c r="AE3" s="18">
        <v>0.38300000000000001</v>
      </c>
      <c r="AF3" s="21">
        <f>ROUND(AVERAGE(AD3:AE3),3)</f>
        <v>0.39</v>
      </c>
      <c r="AG3" s="18">
        <v>0.28899999999999998</v>
      </c>
      <c r="AH3" s="18">
        <v>0.30399999999999999</v>
      </c>
      <c r="AI3" s="21">
        <f>ROUND(AVERAGE(AG3:AH3),3)</f>
        <v>0.29699999999999999</v>
      </c>
      <c r="AJ3" s="18">
        <v>0.28299999999999997</v>
      </c>
      <c r="AK3" s="18">
        <v>0.28499999999999998</v>
      </c>
      <c r="AL3" s="21">
        <f>ROUND(AVERAGE(AJ3:AK3),3)</f>
        <v>0.28399999999999997</v>
      </c>
      <c r="AM3" s="18">
        <v>17.975000000000001</v>
      </c>
      <c r="AN3" s="18"/>
      <c r="AO3" s="21">
        <f>ROUND(AVERAGE(AM3:AN3),3)</f>
        <v>17.975000000000001</v>
      </c>
      <c r="AP3" s="44">
        <v>0.12139999999999999</v>
      </c>
      <c r="AQ3" s="44">
        <v>0.1179</v>
      </c>
      <c r="AR3" s="45">
        <f>ROUND(AVERAGE(AP3:AQ3),4)</f>
        <v>0.1197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23.6</v>
      </c>
      <c r="F4" s="23">
        <v>7.3</v>
      </c>
      <c r="G4" s="41">
        <v>99</v>
      </c>
      <c r="H4" s="23">
        <v>7.2</v>
      </c>
      <c r="I4" s="23">
        <v>1.2</v>
      </c>
      <c r="J4" s="23">
        <v>4.8</v>
      </c>
      <c r="K4" s="15">
        <v>3.3</v>
      </c>
      <c r="L4" s="15">
        <v>3.4</v>
      </c>
      <c r="M4" s="15"/>
      <c r="N4" s="20">
        <f t="shared" ref="N4:N42" si="0">ROUND(AVERAGE(K4:M4),1)</f>
        <v>3.4</v>
      </c>
      <c r="O4" s="37">
        <v>2.8</v>
      </c>
      <c r="P4" s="37">
        <v>2.7</v>
      </c>
      <c r="Q4" s="38">
        <f t="shared" ref="Q4:Q44" si="1">ROUND(AVERAGE(O4:P4),1)</f>
        <v>2.8</v>
      </c>
      <c r="R4" s="17">
        <v>1.044</v>
      </c>
      <c r="S4" s="17">
        <v>1.0089999999999999</v>
      </c>
      <c r="T4" s="22">
        <f t="shared" ref="T4:T42" si="2">ROUND(AVERAGE(R4:S4),3)</f>
        <v>1.0269999999999999</v>
      </c>
      <c r="U4" s="17">
        <v>0.89200000000000002</v>
      </c>
      <c r="V4" s="17">
        <v>0.88700000000000001</v>
      </c>
      <c r="W4" s="22">
        <f t="shared" ref="W4:W44" si="3">ROUND(AVERAGE(U4:V4),3)</f>
        <v>0.89</v>
      </c>
      <c r="X4" s="17">
        <v>3.7999999999999999E-2</v>
      </c>
      <c r="Y4" s="17">
        <v>3.7999999999999999E-2</v>
      </c>
      <c r="Z4" s="21">
        <f t="shared" ref="Z4:Z42" si="4">ROUND(AVERAGE(X4:Y4),3)</f>
        <v>3.7999999999999999E-2</v>
      </c>
      <c r="AA4" s="19">
        <v>0.62</v>
      </c>
      <c r="AB4" s="19"/>
      <c r="AC4" s="21">
        <f t="shared" ref="AC4:AC43" si="5">ROUND(AVERAGE(AA4:AB4),3)</f>
        <v>0.62</v>
      </c>
      <c r="AD4" s="19">
        <v>6.6000000000000003E-2</v>
      </c>
      <c r="AE4" s="19">
        <v>6.4000000000000001E-2</v>
      </c>
      <c r="AF4" s="21">
        <f t="shared" ref="AF4:AF42" si="6">ROUND(AVERAGE(AD4:AE4),3)</f>
        <v>6.5000000000000002E-2</v>
      </c>
      <c r="AG4" s="19">
        <v>0.03</v>
      </c>
      <c r="AH4" s="19">
        <v>2.3E-2</v>
      </c>
      <c r="AI4" s="21">
        <f t="shared" ref="AI4:AI44" si="7">ROUND(AVERAGE(AG4:AH4),3)</f>
        <v>2.7E-2</v>
      </c>
      <c r="AJ4" s="19">
        <v>1.4999999999999999E-2</v>
      </c>
      <c r="AK4" s="19">
        <v>1.2E-2</v>
      </c>
      <c r="AL4" s="21">
        <f t="shared" ref="AL4:AL44" si="8">ROUND(AVERAGE(AJ4:AK4),3)</f>
        <v>1.4E-2</v>
      </c>
      <c r="AM4" s="19">
        <v>6.0010000000000003</v>
      </c>
      <c r="AN4" s="19"/>
      <c r="AO4" s="21">
        <f t="shared" ref="AO4:AO43" si="9">ROUND(AVERAGE(AM4:AN4),3)</f>
        <v>6.0010000000000003</v>
      </c>
      <c r="AP4" s="46">
        <v>8.3000000000000004E-2</v>
      </c>
      <c r="AQ4" s="46">
        <v>8.2000000000000003E-2</v>
      </c>
      <c r="AR4" s="45">
        <f t="shared" ref="AR4:AR44" si="10">ROUND(AVERAGE(AP4:AQ4),4)</f>
        <v>8.2500000000000004E-2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23.4</v>
      </c>
      <c r="F5" s="23">
        <v>7.2</v>
      </c>
      <c r="G5" s="41">
        <v>124</v>
      </c>
      <c r="H5" s="23">
        <v>9.5</v>
      </c>
      <c r="I5" s="23">
        <v>1.8</v>
      </c>
      <c r="J5" s="23">
        <v>5.7</v>
      </c>
      <c r="K5" s="15">
        <v>4</v>
      </c>
      <c r="L5" s="15">
        <v>4.0999999999999996</v>
      </c>
      <c r="M5" s="15"/>
      <c r="N5" s="20">
        <f t="shared" si="0"/>
        <v>4.0999999999999996</v>
      </c>
      <c r="O5" s="37">
        <v>3.4</v>
      </c>
      <c r="P5" s="37">
        <v>3.3</v>
      </c>
      <c r="Q5" s="38">
        <f t="shared" si="1"/>
        <v>3.4</v>
      </c>
      <c r="R5" s="17">
        <v>1.1950000000000001</v>
      </c>
      <c r="S5" s="17">
        <v>1.2090000000000001</v>
      </c>
      <c r="T5" s="22">
        <f t="shared" si="2"/>
        <v>1.202</v>
      </c>
      <c r="U5" s="17">
        <v>1.0309999999999999</v>
      </c>
      <c r="V5" s="17">
        <v>1.0509999999999999</v>
      </c>
      <c r="W5" s="22">
        <f t="shared" si="3"/>
        <v>1.0409999999999999</v>
      </c>
      <c r="X5" s="17">
        <v>8.1000000000000003E-2</v>
      </c>
      <c r="Y5" s="17">
        <v>0.08</v>
      </c>
      <c r="Z5" s="21">
        <f t="shared" si="4"/>
        <v>8.1000000000000003E-2</v>
      </c>
      <c r="AA5" s="19">
        <v>0.63800000000000001</v>
      </c>
      <c r="AB5" s="19"/>
      <c r="AC5" s="21">
        <f t="shared" si="5"/>
        <v>0.63800000000000001</v>
      </c>
      <c r="AD5" s="19">
        <v>8.2000000000000003E-2</v>
      </c>
      <c r="AE5" s="19">
        <v>8.4000000000000005E-2</v>
      </c>
      <c r="AF5" s="21">
        <f t="shared" si="6"/>
        <v>8.3000000000000004E-2</v>
      </c>
      <c r="AG5" s="19">
        <v>3.7999999999999999E-2</v>
      </c>
      <c r="AH5" s="19">
        <v>3.9E-2</v>
      </c>
      <c r="AI5" s="21">
        <f t="shared" si="7"/>
        <v>3.9E-2</v>
      </c>
      <c r="AJ5" s="19">
        <v>2.7E-2</v>
      </c>
      <c r="AK5" s="19">
        <v>2.5000000000000001E-2</v>
      </c>
      <c r="AL5" s="21">
        <f t="shared" si="8"/>
        <v>2.5999999999999999E-2</v>
      </c>
      <c r="AM5" s="19">
        <v>9.3580000000000005</v>
      </c>
      <c r="AN5" s="19"/>
      <c r="AO5" s="21">
        <f t="shared" si="9"/>
        <v>9.3580000000000005</v>
      </c>
      <c r="AP5" s="46">
        <v>9.5100000000000004E-2</v>
      </c>
      <c r="AQ5" s="46">
        <v>9.3700000000000006E-2</v>
      </c>
      <c r="AR5" s="45">
        <f t="shared" si="10"/>
        <v>9.4399999999999998E-2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22.3</v>
      </c>
      <c r="F6" s="23">
        <v>7.3</v>
      </c>
      <c r="G6" s="41">
        <v>97</v>
      </c>
      <c r="H6" s="23">
        <v>8.3000000000000007</v>
      </c>
      <c r="I6" s="23">
        <v>1.5</v>
      </c>
      <c r="J6" s="23">
        <v>5.7</v>
      </c>
      <c r="K6" s="15">
        <v>4.0999999999999996</v>
      </c>
      <c r="L6" s="15">
        <v>3.9</v>
      </c>
      <c r="M6" s="15"/>
      <c r="N6" s="20">
        <f t="shared" si="0"/>
        <v>4</v>
      </c>
      <c r="O6" s="37">
        <v>3.5</v>
      </c>
      <c r="P6" s="37">
        <v>3.5</v>
      </c>
      <c r="Q6" s="38">
        <f t="shared" si="1"/>
        <v>3.5</v>
      </c>
      <c r="R6" s="17">
        <v>1.1299999999999999</v>
      </c>
      <c r="S6" s="17">
        <v>1.1619999999999999</v>
      </c>
      <c r="T6" s="22">
        <f t="shared" si="2"/>
        <v>1.1459999999999999</v>
      </c>
      <c r="U6" s="17">
        <v>1.0209999999999999</v>
      </c>
      <c r="V6" s="17">
        <v>1.0249999999999999</v>
      </c>
      <c r="W6" s="22">
        <f t="shared" si="3"/>
        <v>1.0229999999999999</v>
      </c>
      <c r="X6" s="17">
        <v>7.5999999999999998E-2</v>
      </c>
      <c r="Y6" s="17">
        <v>7.6999999999999999E-2</v>
      </c>
      <c r="Z6" s="21">
        <f t="shared" si="4"/>
        <v>7.6999999999999999E-2</v>
      </c>
      <c r="AA6" s="19">
        <v>0.61399999999999999</v>
      </c>
      <c r="AB6" s="19"/>
      <c r="AC6" s="21">
        <f t="shared" si="5"/>
        <v>0.61399999999999999</v>
      </c>
      <c r="AD6" s="19">
        <v>6.6000000000000003E-2</v>
      </c>
      <c r="AE6" s="19">
        <v>6.8000000000000005E-2</v>
      </c>
      <c r="AF6" s="21">
        <f t="shared" si="6"/>
        <v>6.7000000000000004E-2</v>
      </c>
      <c r="AG6" s="19">
        <v>3.5000000000000003E-2</v>
      </c>
      <c r="AH6" s="19">
        <v>3.5000000000000003E-2</v>
      </c>
      <c r="AI6" s="21">
        <f t="shared" si="7"/>
        <v>3.5000000000000003E-2</v>
      </c>
      <c r="AJ6" s="19">
        <v>2.1999999999999999E-2</v>
      </c>
      <c r="AK6" s="19">
        <v>2.1999999999999999E-2</v>
      </c>
      <c r="AL6" s="21">
        <f t="shared" si="8"/>
        <v>2.1999999999999999E-2</v>
      </c>
      <c r="AM6" s="19">
        <v>6.1909999999999998</v>
      </c>
      <c r="AN6" s="19"/>
      <c r="AO6" s="21">
        <f t="shared" si="9"/>
        <v>6.1909999999999998</v>
      </c>
      <c r="AP6" s="46">
        <v>0.1168</v>
      </c>
      <c r="AQ6" s="46">
        <v>0.1154</v>
      </c>
      <c r="AR6" s="45">
        <f t="shared" si="10"/>
        <v>0.11609999999999999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23.9</v>
      </c>
      <c r="F7" s="23">
        <v>7.1</v>
      </c>
      <c r="G7" s="41">
        <v>129</v>
      </c>
      <c r="H7" s="23">
        <v>7.2</v>
      </c>
      <c r="I7" s="23">
        <v>1.5</v>
      </c>
      <c r="J7" s="23">
        <v>5.5</v>
      </c>
      <c r="K7" s="15">
        <v>4</v>
      </c>
      <c r="L7" s="15">
        <v>4</v>
      </c>
      <c r="M7" s="15"/>
      <c r="N7" s="20">
        <f t="shared" si="0"/>
        <v>4</v>
      </c>
      <c r="O7" s="37">
        <v>3.4</v>
      </c>
      <c r="P7" s="37">
        <v>3.3</v>
      </c>
      <c r="Q7" s="38">
        <f t="shared" si="1"/>
        <v>3.4</v>
      </c>
      <c r="R7" s="17">
        <v>1.458</v>
      </c>
      <c r="S7" s="17">
        <v>1.5129999999999999</v>
      </c>
      <c r="T7" s="22">
        <f t="shared" si="2"/>
        <v>1.486</v>
      </c>
      <c r="U7" s="17">
        <v>1.391</v>
      </c>
      <c r="V7" s="17">
        <v>1.379</v>
      </c>
      <c r="W7" s="22">
        <f t="shared" si="3"/>
        <v>1.385</v>
      </c>
      <c r="X7" s="17">
        <v>0.156</v>
      </c>
      <c r="Y7" s="17">
        <v>0.157</v>
      </c>
      <c r="Z7" s="21">
        <f t="shared" si="4"/>
        <v>0.157</v>
      </c>
      <c r="AA7" s="19">
        <v>0.86799999999999999</v>
      </c>
      <c r="AB7" s="19"/>
      <c r="AC7" s="21">
        <f t="shared" si="5"/>
        <v>0.86799999999999999</v>
      </c>
      <c r="AD7" s="19">
        <v>8.6999999999999994E-2</v>
      </c>
      <c r="AE7" s="19">
        <v>8.8999999999999996E-2</v>
      </c>
      <c r="AF7" s="21">
        <f t="shared" si="6"/>
        <v>8.7999999999999995E-2</v>
      </c>
      <c r="AG7" s="19">
        <v>4.9000000000000002E-2</v>
      </c>
      <c r="AH7" s="19">
        <v>4.9000000000000002E-2</v>
      </c>
      <c r="AI7" s="21">
        <f t="shared" si="7"/>
        <v>4.9000000000000002E-2</v>
      </c>
      <c r="AJ7" s="19">
        <v>3.9E-2</v>
      </c>
      <c r="AK7" s="19">
        <v>0.04</v>
      </c>
      <c r="AL7" s="21">
        <f t="shared" si="8"/>
        <v>0.04</v>
      </c>
      <c r="AM7" s="19">
        <v>9.6170000000000009</v>
      </c>
      <c r="AN7" s="19"/>
      <c r="AO7" s="21">
        <f t="shared" si="9"/>
        <v>9.6170000000000009</v>
      </c>
      <c r="AP7" s="46">
        <v>9.5899999999999999E-2</v>
      </c>
      <c r="AQ7" s="46">
        <v>9.4500000000000001E-2</v>
      </c>
      <c r="AR7" s="45">
        <f t="shared" si="10"/>
        <v>9.5200000000000007E-2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24.9</v>
      </c>
      <c r="F8" s="23">
        <v>7.3</v>
      </c>
      <c r="G8" s="41">
        <v>134</v>
      </c>
      <c r="H8" s="23">
        <v>7.9</v>
      </c>
      <c r="I8" s="23">
        <v>3.9</v>
      </c>
      <c r="J8" s="23">
        <v>8.8000000000000007</v>
      </c>
      <c r="K8" s="15">
        <v>6.7</v>
      </c>
      <c r="L8" s="15">
        <v>6.7</v>
      </c>
      <c r="M8" s="15"/>
      <c r="N8" s="20">
        <f t="shared" si="0"/>
        <v>6.7</v>
      </c>
      <c r="O8" s="37">
        <v>5.6</v>
      </c>
      <c r="P8" s="37">
        <v>5.5</v>
      </c>
      <c r="Q8" s="38">
        <f t="shared" si="1"/>
        <v>5.6</v>
      </c>
      <c r="R8" s="17">
        <v>1.8420000000000001</v>
      </c>
      <c r="S8" s="17">
        <v>1.857</v>
      </c>
      <c r="T8" s="22">
        <f t="shared" si="2"/>
        <v>1.85</v>
      </c>
      <c r="U8" s="17">
        <v>1.7250000000000001</v>
      </c>
      <c r="V8" s="17">
        <v>1.712</v>
      </c>
      <c r="W8" s="22">
        <f t="shared" si="3"/>
        <v>1.7190000000000001</v>
      </c>
      <c r="X8" s="17">
        <v>0.41899999999999998</v>
      </c>
      <c r="Y8" s="17">
        <v>0.42099999999999999</v>
      </c>
      <c r="Z8" s="21">
        <f t="shared" si="4"/>
        <v>0.42</v>
      </c>
      <c r="AA8" s="19">
        <v>0.64700000000000002</v>
      </c>
      <c r="AB8" s="19"/>
      <c r="AC8" s="21">
        <f t="shared" si="5"/>
        <v>0.64700000000000002</v>
      </c>
      <c r="AD8" s="19">
        <v>9.6000000000000002E-2</v>
      </c>
      <c r="AE8" s="19">
        <v>9.4E-2</v>
      </c>
      <c r="AF8" s="21">
        <f t="shared" si="6"/>
        <v>9.5000000000000001E-2</v>
      </c>
      <c r="AG8" s="19">
        <v>3.7999999999999999E-2</v>
      </c>
      <c r="AH8" s="19">
        <v>3.9E-2</v>
      </c>
      <c r="AI8" s="21">
        <f t="shared" si="7"/>
        <v>3.9E-2</v>
      </c>
      <c r="AJ8" s="19">
        <v>0.02</v>
      </c>
      <c r="AK8" s="19">
        <v>0.02</v>
      </c>
      <c r="AL8" s="21">
        <f t="shared" si="8"/>
        <v>0.02</v>
      </c>
      <c r="AM8" s="19">
        <v>8.3330000000000002</v>
      </c>
      <c r="AN8" s="19"/>
      <c r="AO8" s="21">
        <f t="shared" si="9"/>
        <v>8.3330000000000002</v>
      </c>
      <c r="AP8" s="46">
        <v>0.16969999999999999</v>
      </c>
      <c r="AQ8" s="46">
        <v>0.16689999999999999</v>
      </c>
      <c r="AR8" s="45">
        <f t="shared" si="10"/>
        <v>0.16830000000000001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24</v>
      </c>
      <c r="F9" s="23">
        <v>7.1</v>
      </c>
      <c r="G9" s="41">
        <v>128</v>
      </c>
      <c r="H9" s="23">
        <v>6.9</v>
      </c>
      <c r="I9" s="23">
        <v>1.5</v>
      </c>
      <c r="J9" s="23">
        <v>5.8</v>
      </c>
      <c r="K9" s="15">
        <v>4.2</v>
      </c>
      <c r="L9" s="15">
        <v>4.2</v>
      </c>
      <c r="M9" s="15"/>
      <c r="N9" s="20">
        <f t="shared" si="0"/>
        <v>4.2</v>
      </c>
      <c r="O9" s="37">
        <v>3.6</v>
      </c>
      <c r="P9" s="37">
        <v>3.5</v>
      </c>
      <c r="Q9" s="38">
        <f t="shared" si="1"/>
        <v>3.6</v>
      </c>
      <c r="R9" s="17">
        <v>1.528</v>
      </c>
      <c r="S9" s="17">
        <v>1.5740000000000001</v>
      </c>
      <c r="T9" s="22">
        <f t="shared" si="2"/>
        <v>1.5509999999999999</v>
      </c>
      <c r="U9" s="17">
        <v>1.417</v>
      </c>
      <c r="V9" s="17">
        <v>1.4019999999999999</v>
      </c>
      <c r="W9" s="22">
        <f t="shared" si="3"/>
        <v>1.41</v>
      </c>
      <c r="X9" s="17">
        <v>7.8E-2</v>
      </c>
      <c r="Y9" s="17">
        <v>8.2000000000000003E-2</v>
      </c>
      <c r="Z9" s="21">
        <f t="shared" si="4"/>
        <v>0.08</v>
      </c>
      <c r="AA9" s="19">
        <v>0.89200000000000002</v>
      </c>
      <c r="AB9" s="19"/>
      <c r="AC9" s="21">
        <f t="shared" si="5"/>
        <v>0.89200000000000002</v>
      </c>
      <c r="AD9" s="19">
        <v>6.4000000000000001E-2</v>
      </c>
      <c r="AE9" s="19">
        <v>6.3E-2</v>
      </c>
      <c r="AF9" s="21">
        <f t="shared" si="6"/>
        <v>6.4000000000000001E-2</v>
      </c>
      <c r="AG9" s="19">
        <v>3.1E-2</v>
      </c>
      <c r="AH9" s="19">
        <v>3.1E-2</v>
      </c>
      <c r="AI9" s="21">
        <f t="shared" si="7"/>
        <v>3.1E-2</v>
      </c>
      <c r="AJ9" s="19">
        <v>1.9E-2</v>
      </c>
      <c r="AK9" s="19">
        <v>1.9E-2</v>
      </c>
      <c r="AL9" s="21">
        <f t="shared" si="8"/>
        <v>1.9E-2</v>
      </c>
      <c r="AM9" s="19">
        <v>9.5950000000000006</v>
      </c>
      <c r="AN9" s="19"/>
      <c r="AO9" s="21">
        <f t="shared" si="9"/>
        <v>9.5950000000000006</v>
      </c>
      <c r="AP9" s="46">
        <v>0.10440000000000001</v>
      </c>
      <c r="AQ9" s="46">
        <v>0.1026</v>
      </c>
      <c r="AR9" s="45">
        <f t="shared" si="10"/>
        <v>0.10349999999999999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23.7</v>
      </c>
      <c r="F10" s="23">
        <v>6.6</v>
      </c>
      <c r="G10" s="41">
        <v>175</v>
      </c>
      <c r="H10" s="23">
        <v>5.7</v>
      </c>
      <c r="I10" s="23">
        <v>1.3</v>
      </c>
      <c r="J10" s="23">
        <v>6.1</v>
      </c>
      <c r="K10" s="15">
        <v>4.7</v>
      </c>
      <c r="L10" s="15">
        <v>4.5999999999999996</v>
      </c>
      <c r="M10" s="15"/>
      <c r="N10" s="20">
        <f t="shared" si="0"/>
        <v>4.7</v>
      </c>
      <c r="O10" s="37">
        <v>3.9</v>
      </c>
      <c r="P10" s="37">
        <v>3.9</v>
      </c>
      <c r="Q10" s="38">
        <f t="shared" si="1"/>
        <v>3.9</v>
      </c>
      <c r="R10" s="17">
        <v>2.5590000000000002</v>
      </c>
      <c r="S10" s="17">
        <v>2.6309999999999998</v>
      </c>
      <c r="T10" s="22">
        <f t="shared" si="2"/>
        <v>2.5950000000000002</v>
      </c>
      <c r="U10" s="17">
        <v>2.5350000000000001</v>
      </c>
      <c r="V10" s="17">
        <v>2.528</v>
      </c>
      <c r="W10" s="22">
        <f t="shared" si="3"/>
        <v>2.532</v>
      </c>
      <c r="X10" s="17">
        <v>0.104</v>
      </c>
      <c r="Y10" s="17">
        <v>0.10299999999999999</v>
      </c>
      <c r="Z10" s="21">
        <f t="shared" si="4"/>
        <v>0.104</v>
      </c>
      <c r="AA10" s="19">
        <v>1.927</v>
      </c>
      <c r="AB10" s="19"/>
      <c r="AC10" s="21">
        <f t="shared" si="5"/>
        <v>1.927</v>
      </c>
      <c r="AD10" s="19">
        <v>0.151</v>
      </c>
      <c r="AE10" s="19">
        <v>0.154</v>
      </c>
      <c r="AF10" s="21">
        <f t="shared" si="6"/>
        <v>0.153</v>
      </c>
      <c r="AG10" s="19">
        <v>0.107</v>
      </c>
      <c r="AH10" s="19">
        <v>0.109</v>
      </c>
      <c r="AI10" s="21">
        <f t="shared" si="7"/>
        <v>0.108</v>
      </c>
      <c r="AJ10" s="19">
        <v>0.10299999999999999</v>
      </c>
      <c r="AK10" s="19">
        <v>0.105</v>
      </c>
      <c r="AL10" s="21">
        <f t="shared" si="8"/>
        <v>0.104</v>
      </c>
      <c r="AM10" s="19">
        <v>12.201000000000001</v>
      </c>
      <c r="AN10" s="19"/>
      <c r="AO10" s="21">
        <f t="shared" si="9"/>
        <v>12.201000000000001</v>
      </c>
      <c r="AP10" s="46">
        <v>0.1096</v>
      </c>
      <c r="AQ10" s="46">
        <v>0.1072</v>
      </c>
      <c r="AR10" s="45">
        <f t="shared" si="10"/>
        <v>0.1084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25.8</v>
      </c>
      <c r="F11" s="23">
        <v>8.3000000000000007</v>
      </c>
      <c r="G11" s="41">
        <v>133</v>
      </c>
      <c r="H11" s="23">
        <v>12.5</v>
      </c>
      <c r="I11" s="23">
        <v>4.5</v>
      </c>
      <c r="J11" s="23">
        <v>7.7</v>
      </c>
      <c r="K11" s="15">
        <v>5.8</v>
      </c>
      <c r="L11" s="15">
        <v>5.8</v>
      </c>
      <c r="M11" s="15"/>
      <c r="N11" s="20">
        <f t="shared" si="0"/>
        <v>5.8</v>
      </c>
      <c r="O11" s="37">
        <v>3.6</v>
      </c>
      <c r="P11" s="37">
        <v>3.5</v>
      </c>
      <c r="Q11" s="38">
        <f t="shared" si="1"/>
        <v>3.6</v>
      </c>
      <c r="R11" s="17">
        <v>1.5289999999999999</v>
      </c>
      <c r="S11" s="17">
        <v>1.577</v>
      </c>
      <c r="T11" s="22">
        <f t="shared" si="2"/>
        <v>1.5529999999999999</v>
      </c>
      <c r="U11" s="17">
        <v>1.1859999999999999</v>
      </c>
      <c r="V11" s="17">
        <v>1.167</v>
      </c>
      <c r="W11" s="22">
        <f t="shared" si="3"/>
        <v>1.177</v>
      </c>
      <c r="X11" s="17">
        <v>4.2000000000000003E-2</v>
      </c>
      <c r="Y11" s="17">
        <v>3.5999999999999997E-2</v>
      </c>
      <c r="Z11" s="21">
        <f t="shared" si="4"/>
        <v>3.9E-2</v>
      </c>
      <c r="AA11" s="19">
        <v>0.73699999999999999</v>
      </c>
      <c r="AB11" s="19"/>
      <c r="AC11" s="21">
        <f t="shared" si="5"/>
        <v>0.73699999999999999</v>
      </c>
      <c r="AD11" s="19">
        <v>0.105</v>
      </c>
      <c r="AE11" s="19">
        <v>0.106</v>
      </c>
      <c r="AF11" s="21">
        <f t="shared" si="6"/>
        <v>0.106</v>
      </c>
      <c r="AG11" s="19">
        <v>2.4E-2</v>
      </c>
      <c r="AH11" s="19">
        <v>2.1999999999999999E-2</v>
      </c>
      <c r="AI11" s="21">
        <f t="shared" si="7"/>
        <v>2.3E-2</v>
      </c>
      <c r="AJ11" s="19">
        <v>4.0000000000000001E-3</v>
      </c>
      <c r="AK11" s="19">
        <v>3.0000000000000001E-3</v>
      </c>
      <c r="AL11" s="21">
        <f t="shared" si="8"/>
        <v>4.0000000000000001E-3</v>
      </c>
      <c r="AM11" s="19">
        <v>10.811</v>
      </c>
      <c r="AN11" s="19"/>
      <c r="AO11" s="21">
        <f t="shared" si="9"/>
        <v>10.811</v>
      </c>
      <c r="AP11" s="46">
        <v>9.4200000000000006E-2</v>
      </c>
      <c r="AQ11" s="46">
        <v>9.2799999999999994E-2</v>
      </c>
      <c r="AR11" s="45">
        <f t="shared" si="10"/>
        <v>9.35E-2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25.5</v>
      </c>
      <c r="F12" s="23">
        <v>7.5</v>
      </c>
      <c r="G12" s="41">
        <v>235</v>
      </c>
      <c r="H12" s="23">
        <v>8.6999999999999993</v>
      </c>
      <c r="I12" s="23">
        <v>2.2999999999999998</v>
      </c>
      <c r="J12" s="23">
        <v>7.6</v>
      </c>
      <c r="K12" s="15">
        <v>5.9</v>
      </c>
      <c r="L12" s="15">
        <v>5.8</v>
      </c>
      <c r="M12" s="15"/>
      <c r="N12" s="20">
        <f t="shared" si="0"/>
        <v>5.9</v>
      </c>
      <c r="O12" s="37">
        <v>5.2</v>
      </c>
      <c r="P12" s="37">
        <v>5.2</v>
      </c>
      <c r="Q12" s="38">
        <f t="shared" si="1"/>
        <v>5.2</v>
      </c>
      <c r="R12" s="17">
        <v>2.0059999999999998</v>
      </c>
      <c r="S12" s="17">
        <v>2.0649999999999999</v>
      </c>
      <c r="T12" s="22">
        <f t="shared" si="2"/>
        <v>2.036</v>
      </c>
      <c r="U12" s="17">
        <v>1.8979999999999999</v>
      </c>
      <c r="V12" s="17">
        <v>1.88</v>
      </c>
      <c r="W12" s="22">
        <f t="shared" si="3"/>
        <v>1.889</v>
      </c>
      <c r="X12" s="17">
        <v>0.156</v>
      </c>
      <c r="Y12" s="17">
        <v>0.156</v>
      </c>
      <c r="Z12" s="21">
        <f t="shared" si="4"/>
        <v>0.156</v>
      </c>
      <c r="AA12" s="19">
        <v>1.1319999999999999</v>
      </c>
      <c r="AB12" s="19"/>
      <c r="AC12" s="21">
        <f t="shared" si="5"/>
        <v>1.1319999999999999</v>
      </c>
      <c r="AD12" s="19">
        <v>0.14499999999999999</v>
      </c>
      <c r="AE12" s="19">
        <v>0.14699999999999999</v>
      </c>
      <c r="AF12" s="21">
        <f t="shared" si="6"/>
        <v>0.14599999999999999</v>
      </c>
      <c r="AG12" s="19">
        <v>9.1999999999999998E-2</v>
      </c>
      <c r="AH12" s="19">
        <v>9.5000000000000001E-2</v>
      </c>
      <c r="AI12" s="21">
        <f t="shared" si="7"/>
        <v>9.4E-2</v>
      </c>
      <c r="AJ12" s="19">
        <v>8.5000000000000006E-2</v>
      </c>
      <c r="AK12" s="19">
        <v>8.7999999999999995E-2</v>
      </c>
      <c r="AL12" s="21">
        <f t="shared" si="8"/>
        <v>8.6999999999999994E-2</v>
      </c>
      <c r="AM12" s="19">
        <v>24.847999999999999</v>
      </c>
      <c r="AN12" s="19"/>
      <c r="AO12" s="21">
        <f t="shared" si="9"/>
        <v>24.847999999999999</v>
      </c>
      <c r="AP12" s="46">
        <v>0.1384</v>
      </c>
      <c r="AQ12" s="46">
        <v>0.13689999999999999</v>
      </c>
      <c r="AR12" s="45">
        <f t="shared" si="10"/>
        <v>0.13769999999999999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25.5</v>
      </c>
      <c r="F13" s="23">
        <v>7.3</v>
      </c>
      <c r="G13" s="41">
        <v>174</v>
      </c>
      <c r="H13" s="23">
        <v>8.3000000000000007</v>
      </c>
      <c r="I13" s="23">
        <v>2.6</v>
      </c>
      <c r="J13" s="23">
        <v>8.4</v>
      </c>
      <c r="K13" s="15">
        <v>6.5</v>
      </c>
      <c r="L13" s="15">
        <v>6.4</v>
      </c>
      <c r="M13" s="15"/>
      <c r="N13" s="20">
        <f t="shared" si="0"/>
        <v>6.5</v>
      </c>
      <c r="O13" s="37">
        <v>5.4</v>
      </c>
      <c r="P13" s="37">
        <v>5.4</v>
      </c>
      <c r="Q13" s="38">
        <f t="shared" si="1"/>
        <v>5.4</v>
      </c>
      <c r="R13" s="17">
        <v>2.8740000000000001</v>
      </c>
      <c r="S13" s="17">
        <v>2.923</v>
      </c>
      <c r="T13" s="22">
        <f t="shared" si="2"/>
        <v>2.899</v>
      </c>
      <c r="U13" s="17">
        <v>2.6930000000000001</v>
      </c>
      <c r="V13" s="17">
        <v>2.6829999999999998</v>
      </c>
      <c r="W13" s="22">
        <f t="shared" si="3"/>
        <v>2.6880000000000002</v>
      </c>
      <c r="X13" s="17">
        <v>6.9000000000000006E-2</v>
      </c>
      <c r="Y13" s="17">
        <v>7.2999999999999995E-2</v>
      </c>
      <c r="Z13" s="21">
        <f t="shared" si="4"/>
        <v>7.0999999999999994E-2</v>
      </c>
      <c r="AA13" s="19">
        <v>1.9610000000000001</v>
      </c>
      <c r="AB13" s="19"/>
      <c r="AC13" s="21">
        <f t="shared" si="5"/>
        <v>1.9610000000000001</v>
      </c>
      <c r="AD13" s="19">
        <v>0.191</v>
      </c>
      <c r="AE13" s="19">
        <v>0.19800000000000001</v>
      </c>
      <c r="AF13" s="21">
        <f t="shared" si="6"/>
        <v>0.19500000000000001</v>
      </c>
      <c r="AG13" s="19">
        <v>0.111</v>
      </c>
      <c r="AH13" s="19">
        <v>0.11700000000000001</v>
      </c>
      <c r="AI13" s="21">
        <f t="shared" si="7"/>
        <v>0.114</v>
      </c>
      <c r="AJ13" s="19">
        <v>0.107</v>
      </c>
      <c r="AK13" s="19">
        <v>0.111</v>
      </c>
      <c r="AL13" s="21">
        <f t="shared" si="8"/>
        <v>0.109</v>
      </c>
      <c r="AM13" s="19">
        <v>12.449</v>
      </c>
      <c r="AN13" s="19"/>
      <c r="AO13" s="21">
        <f t="shared" si="9"/>
        <v>12.449</v>
      </c>
      <c r="AP13" s="46">
        <v>0.14430000000000001</v>
      </c>
      <c r="AQ13" s="46">
        <v>0.14280000000000001</v>
      </c>
      <c r="AR13" s="45">
        <f t="shared" si="10"/>
        <v>0.14360000000000001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23.9</v>
      </c>
      <c r="F14" s="23">
        <v>7.5</v>
      </c>
      <c r="G14" s="41">
        <v>109</v>
      </c>
      <c r="H14" s="23">
        <v>8.6999999999999993</v>
      </c>
      <c r="I14" s="23">
        <v>1.2</v>
      </c>
      <c r="J14" s="23">
        <v>3.4</v>
      </c>
      <c r="K14" s="15">
        <v>2.5</v>
      </c>
      <c r="L14" s="15">
        <v>2.6</v>
      </c>
      <c r="M14" s="15"/>
      <c r="N14" s="20">
        <f t="shared" si="0"/>
        <v>2.6</v>
      </c>
      <c r="O14" s="37">
        <v>2</v>
      </c>
      <c r="P14" s="37">
        <v>1.9</v>
      </c>
      <c r="Q14" s="38">
        <f t="shared" si="1"/>
        <v>2</v>
      </c>
      <c r="R14" s="17">
        <v>1.0649999999999999</v>
      </c>
      <c r="S14" s="17">
        <v>1.1279999999999999</v>
      </c>
      <c r="T14" s="22">
        <f t="shared" si="2"/>
        <v>1.097</v>
      </c>
      <c r="U14" s="17">
        <v>0.997</v>
      </c>
      <c r="V14" s="17">
        <v>0.98899999999999999</v>
      </c>
      <c r="W14" s="22">
        <f t="shared" si="3"/>
        <v>0.99299999999999999</v>
      </c>
      <c r="X14" s="17">
        <v>1.9E-2</v>
      </c>
      <c r="Y14" s="17">
        <v>1.9E-2</v>
      </c>
      <c r="Z14" s="21">
        <f t="shared" si="4"/>
        <v>1.9E-2</v>
      </c>
      <c r="AA14" s="19">
        <v>0.77300000000000002</v>
      </c>
      <c r="AB14" s="19"/>
      <c r="AC14" s="21">
        <f t="shared" si="5"/>
        <v>0.77300000000000002</v>
      </c>
      <c r="AD14" s="19">
        <v>3.3000000000000002E-2</v>
      </c>
      <c r="AE14" s="19">
        <v>3.2000000000000001E-2</v>
      </c>
      <c r="AF14" s="21">
        <f t="shared" si="6"/>
        <v>3.3000000000000002E-2</v>
      </c>
      <c r="AG14" s="19">
        <v>8.9999999999999993E-3</v>
      </c>
      <c r="AH14" s="19">
        <v>7.0000000000000001E-3</v>
      </c>
      <c r="AI14" s="21">
        <f t="shared" si="7"/>
        <v>8.0000000000000002E-3</v>
      </c>
      <c r="AJ14" s="19">
        <v>2E-3</v>
      </c>
      <c r="AK14" s="19">
        <v>1E-3</v>
      </c>
      <c r="AL14" s="21">
        <f t="shared" si="8"/>
        <v>2E-3</v>
      </c>
      <c r="AM14" s="19">
        <v>5.7880000000000003</v>
      </c>
      <c r="AN14" s="19"/>
      <c r="AO14" s="21">
        <f t="shared" si="9"/>
        <v>5.7880000000000003</v>
      </c>
      <c r="AP14" s="46">
        <v>4.8300000000000003E-2</v>
      </c>
      <c r="AQ14" s="46">
        <v>4.5999999999999999E-2</v>
      </c>
      <c r="AR14" s="45">
        <f t="shared" si="10"/>
        <v>4.7199999999999999E-2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24.7</v>
      </c>
      <c r="F15" s="23">
        <v>7.4</v>
      </c>
      <c r="G15" s="41">
        <v>146</v>
      </c>
      <c r="H15" s="23">
        <v>9.5</v>
      </c>
      <c r="I15" s="23">
        <v>1.2</v>
      </c>
      <c r="J15" s="23">
        <v>5.7</v>
      </c>
      <c r="K15" s="15">
        <v>4.2</v>
      </c>
      <c r="L15" s="15">
        <v>4.2</v>
      </c>
      <c r="M15" s="15"/>
      <c r="N15" s="20">
        <f t="shared" si="0"/>
        <v>4.2</v>
      </c>
      <c r="O15" s="37">
        <v>3.9</v>
      </c>
      <c r="P15" s="37">
        <v>3.7</v>
      </c>
      <c r="Q15" s="38">
        <f t="shared" si="1"/>
        <v>3.8</v>
      </c>
      <c r="R15" s="17">
        <v>1.8129999999999999</v>
      </c>
      <c r="S15" s="17">
        <v>1.89</v>
      </c>
      <c r="T15" s="22">
        <f t="shared" si="2"/>
        <v>1.8520000000000001</v>
      </c>
      <c r="U15" s="17">
        <v>1.73</v>
      </c>
      <c r="V15" s="17">
        <v>1.7829999999999999</v>
      </c>
      <c r="W15" s="22">
        <f t="shared" si="3"/>
        <v>1.7569999999999999</v>
      </c>
      <c r="X15" s="17">
        <v>0.05</v>
      </c>
      <c r="Y15" s="17">
        <v>5.5E-2</v>
      </c>
      <c r="Z15" s="21">
        <f t="shared" si="4"/>
        <v>5.2999999999999999E-2</v>
      </c>
      <c r="AA15" s="19">
        <v>1.2669999999999999</v>
      </c>
      <c r="AB15" s="19"/>
      <c r="AC15" s="21">
        <f t="shared" si="5"/>
        <v>1.2669999999999999</v>
      </c>
      <c r="AD15" s="19">
        <v>0.113</v>
      </c>
      <c r="AE15" s="19">
        <v>0.115</v>
      </c>
      <c r="AF15" s="21">
        <f t="shared" si="6"/>
        <v>0.114</v>
      </c>
      <c r="AG15" s="19">
        <v>7.8E-2</v>
      </c>
      <c r="AH15" s="19">
        <v>8.5000000000000006E-2</v>
      </c>
      <c r="AI15" s="21">
        <f t="shared" si="7"/>
        <v>8.2000000000000003E-2</v>
      </c>
      <c r="AJ15" s="19">
        <v>7.5999999999999998E-2</v>
      </c>
      <c r="AK15" s="19">
        <v>7.9000000000000001E-2</v>
      </c>
      <c r="AL15" s="21">
        <f t="shared" si="8"/>
        <v>7.8E-2</v>
      </c>
      <c r="AM15" s="19">
        <v>9.7230000000000008</v>
      </c>
      <c r="AN15" s="19"/>
      <c r="AO15" s="21">
        <f t="shared" si="9"/>
        <v>9.7230000000000008</v>
      </c>
      <c r="AP15" s="46">
        <v>0.1009</v>
      </c>
      <c r="AQ15" s="46">
        <v>9.9199999999999997E-2</v>
      </c>
      <c r="AR15" s="45">
        <f t="shared" si="10"/>
        <v>0.10009999999999999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25</v>
      </c>
      <c r="F16" s="23">
        <v>7.2</v>
      </c>
      <c r="G16" s="41">
        <v>274</v>
      </c>
      <c r="H16" s="23">
        <v>7.1</v>
      </c>
      <c r="I16" s="23">
        <v>4</v>
      </c>
      <c r="J16" s="23">
        <v>18.399999999999999</v>
      </c>
      <c r="K16" s="15">
        <v>13.4</v>
      </c>
      <c r="L16" s="15">
        <v>13.5</v>
      </c>
      <c r="M16" s="15"/>
      <c r="N16" s="20">
        <f t="shared" si="0"/>
        <v>13.5</v>
      </c>
      <c r="O16" s="37">
        <v>12.1</v>
      </c>
      <c r="P16" s="37">
        <v>11.9</v>
      </c>
      <c r="Q16" s="38">
        <f t="shared" si="1"/>
        <v>12</v>
      </c>
      <c r="R16" s="17">
        <v>2.7890000000000001</v>
      </c>
      <c r="S16" s="17">
        <v>2.8559999999999999</v>
      </c>
      <c r="T16" s="22">
        <f t="shared" si="2"/>
        <v>2.823</v>
      </c>
      <c r="U16" s="17">
        <v>2.605</v>
      </c>
      <c r="V16" s="17">
        <v>2.5750000000000002</v>
      </c>
      <c r="W16" s="22">
        <f t="shared" si="3"/>
        <v>2.59</v>
      </c>
      <c r="X16" s="56">
        <v>0.55400000000000005</v>
      </c>
      <c r="Y16" s="17">
        <v>0.54600000000000004</v>
      </c>
      <c r="Z16" s="57">
        <f t="shared" si="4"/>
        <v>0.55000000000000004</v>
      </c>
      <c r="AA16" s="19">
        <v>0.70899999999999996</v>
      </c>
      <c r="AB16" s="19"/>
      <c r="AC16" s="21">
        <f t="shared" si="5"/>
        <v>0.70899999999999996</v>
      </c>
      <c r="AD16" s="19">
        <v>0.41599999999999998</v>
      </c>
      <c r="AE16" s="19">
        <v>0.42699999999999999</v>
      </c>
      <c r="AF16" s="21">
        <f t="shared" si="6"/>
        <v>0.42199999999999999</v>
      </c>
      <c r="AG16" s="19">
        <v>0.25800000000000001</v>
      </c>
      <c r="AH16" s="19">
        <v>0.25800000000000001</v>
      </c>
      <c r="AI16" s="21">
        <f t="shared" si="7"/>
        <v>0.25800000000000001</v>
      </c>
      <c r="AJ16" s="19">
        <v>0.219</v>
      </c>
      <c r="AK16" s="19">
        <v>0.22</v>
      </c>
      <c r="AL16" s="21">
        <f t="shared" si="8"/>
        <v>0.22</v>
      </c>
      <c r="AM16" s="19">
        <v>22.032</v>
      </c>
      <c r="AN16" s="19"/>
      <c r="AO16" s="21">
        <f t="shared" si="9"/>
        <v>22.032</v>
      </c>
      <c r="AP16" s="46">
        <v>0.38179999999999997</v>
      </c>
      <c r="AQ16" s="46">
        <v>0.37530000000000002</v>
      </c>
      <c r="AR16" s="45">
        <f t="shared" si="10"/>
        <v>0.37859999999999999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24.8</v>
      </c>
      <c r="F17" s="23">
        <v>7.1</v>
      </c>
      <c r="G17" s="41">
        <v>235</v>
      </c>
      <c r="H17" s="23">
        <v>7.4</v>
      </c>
      <c r="I17" s="23">
        <v>3.3</v>
      </c>
      <c r="J17" s="23">
        <v>12.2</v>
      </c>
      <c r="K17" s="15">
        <v>8.4</v>
      </c>
      <c r="L17" s="15">
        <v>8.3000000000000007</v>
      </c>
      <c r="M17" s="15"/>
      <c r="N17" s="20">
        <f t="shared" si="0"/>
        <v>8.4</v>
      </c>
      <c r="O17" s="37">
        <v>7.2</v>
      </c>
      <c r="P17" s="37">
        <v>7</v>
      </c>
      <c r="Q17" s="38">
        <f t="shared" si="1"/>
        <v>7.1</v>
      </c>
      <c r="R17" s="17">
        <v>2.4790000000000001</v>
      </c>
      <c r="S17" s="17">
        <v>2.4950000000000001</v>
      </c>
      <c r="T17" s="22">
        <f t="shared" si="2"/>
        <v>2.4870000000000001</v>
      </c>
      <c r="U17" s="17">
        <v>2.2970000000000002</v>
      </c>
      <c r="V17" s="17">
        <v>2.302</v>
      </c>
      <c r="W17" s="22">
        <f t="shared" si="3"/>
        <v>2.2999999999999998</v>
      </c>
      <c r="X17" s="17">
        <v>0.221</v>
      </c>
      <c r="Y17" s="17">
        <v>0.223</v>
      </c>
      <c r="Z17" s="21">
        <f t="shared" si="4"/>
        <v>0.222</v>
      </c>
      <c r="AA17" s="19">
        <v>1.272</v>
      </c>
      <c r="AB17" s="19"/>
      <c r="AC17" s="21">
        <f t="shared" si="5"/>
        <v>1.272</v>
      </c>
      <c r="AD17" s="19">
        <v>0.24199999999999999</v>
      </c>
      <c r="AE17" s="19">
        <v>0.23899999999999999</v>
      </c>
      <c r="AF17" s="21">
        <f t="shared" si="6"/>
        <v>0.24099999999999999</v>
      </c>
      <c r="AG17" s="19">
        <v>0.15</v>
      </c>
      <c r="AH17" s="19">
        <v>0.15</v>
      </c>
      <c r="AI17" s="21">
        <f t="shared" si="7"/>
        <v>0.15</v>
      </c>
      <c r="AJ17" s="19">
        <v>0.13100000000000001</v>
      </c>
      <c r="AK17" s="19">
        <v>0.13200000000000001</v>
      </c>
      <c r="AL17" s="21">
        <f t="shared" si="8"/>
        <v>0.13200000000000001</v>
      </c>
      <c r="AM17" s="19">
        <v>16.137</v>
      </c>
      <c r="AN17" s="19"/>
      <c r="AO17" s="21">
        <f t="shared" si="9"/>
        <v>16.137</v>
      </c>
      <c r="AP17" s="46">
        <v>0.20330000000000001</v>
      </c>
      <c r="AQ17" s="46">
        <v>0.20200000000000001</v>
      </c>
      <c r="AR17" s="45">
        <f t="shared" si="10"/>
        <v>0.20269999999999999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24.7</v>
      </c>
      <c r="F18" s="23">
        <v>7.1</v>
      </c>
      <c r="G18" s="41">
        <v>245</v>
      </c>
      <c r="H18" s="23">
        <v>7.4</v>
      </c>
      <c r="I18" s="23">
        <v>3.5</v>
      </c>
      <c r="J18" s="23">
        <v>14.9</v>
      </c>
      <c r="K18" s="15">
        <v>10.6</v>
      </c>
      <c r="L18" s="15">
        <v>10.4</v>
      </c>
      <c r="M18" s="15"/>
      <c r="N18" s="20">
        <f t="shared" si="0"/>
        <v>10.5</v>
      </c>
      <c r="O18" s="37">
        <v>9.6</v>
      </c>
      <c r="P18" s="37">
        <v>9.5</v>
      </c>
      <c r="Q18" s="38">
        <f t="shared" si="1"/>
        <v>9.6</v>
      </c>
      <c r="R18" s="17">
        <v>1.841</v>
      </c>
      <c r="S18" s="17">
        <v>1.9139999999999999</v>
      </c>
      <c r="T18" s="22">
        <f t="shared" si="2"/>
        <v>1.8779999999999999</v>
      </c>
      <c r="U18" s="17">
        <v>1.7330000000000001</v>
      </c>
      <c r="V18" s="17">
        <v>1.712</v>
      </c>
      <c r="W18" s="22">
        <f t="shared" si="3"/>
        <v>1.7230000000000001</v>
      </c>
      <c r="X18" s="17">
        <v>0.16200000000000001</v>
      </c>
      <c r="Y18" s="17">
        <v>0.161</v>
      </c>
      <c r="Z18" s="21">
        <f t="shared" si="4"/>
        <v>0.16200000000000001</v>
      </c>
      <c r="AA18" s="19">
        <v>0.5</v>
      </c>
      <c r="AB18" s="19"/>
      <c r="AC18" s="21">
        <f t="shared" si="5"/>
        <v>0.5</v>
      </c>
      <c r="AD18" s="19">
        <v>0.17299999999999999</v>
      </c>
      <c r="AE18" s="19">
        <v>0.17599999999999999</v>
      </c>
      <c r="AF18" s="21">
        <f t="shared" si="6"/>
        <v>0.17499999999999999</v>
      </c>
      <c r="AG18" s="19">
        <v>0.105</v>
      </c>
      <c r="AH18" s="19">
        <v>0.10299999999999999</v>
      </c>
      <c r="AI18" s="21">
        <f t="shared" si="7"/>
        <v>0.104</v>
      </c>
      <c r="AJ18" s="19">
        <v>7.2999999999999995E-2</v>
      </c>
      <c r="AK18" s="19">
        <v>7.1999999999999995E-2</v>
      </c>
      <c r="AL18" s="21">
        <f t="shared" si="8"/>
        <v>7.2999999999999995E-2</v>
      </c>
      <c r="AM18" s="19">
        <v>18.210999999999999</v>
      </c>
      <c r="AN18" s="19"/>
      <c r="AO18" s="21">
        <f t="shared" si="9"/>
        <v>18.210999999999999</v>
      </c>
      <c r="AP18" s="46">
        <v>0.28349999999999997</v>
      </c>
      <c r="AQ18" s="46">
        <v>0.28360000000000002</v>
      </c>
      <c r="AR18" s="45">
        <f t="shared" si="10"/>
        <v>0.28360000000000002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24.7</v>
      </c>
      <c r="F19" s="23">
        <v>7.1</v>
      </c>
      <c r="G19" s="41">
        <v>215</v>
      </c>
      <c r="H19" s="23">
        <v>6.9</v>
      </c>
      <c r="I19" s="23">
        <v>3.3</v>
      </c>
      <c r="J19" s="23">
        <v>11.7</v>
      </c>
      <c r="K19" s="15">
        <v>9.1999999999999993</v>
      </c>
      <c r="L19" s="15">
        <v>8.6</v>
      </c>
      <c r="M19" s="15"/>
      <c r="N19" s="20">
        <f t="shared" si="0"/>
        <v>8.9</v>
      </c>
      <c r="O19" s="37">
        <v>7.5</v>
      </c>
      <c r="P19" s="37">
        <v>7.4</v>
      </c>
      <c r="Q19" s="38">
        <f t="shared" si="1"/>
        <v>7.5</v>
      </c>
      <c r="R19" s="17">
        <v>2.52</v>
      </c>
      <c r="S19" s="17">
        <v>2.5760000000000001</v>
      </c>
      <c r="T19" s="22">
        <f t="shared" si="2"/>
        <v>2.548</v>
      </c>
      <c r="U19" s="17">
        <v>2.2080000000000002</v>
      </c>
      <c r="V19" s="17">
        <v>2.19</v>
      </c>
      <c r="W19" s="22">
        <f t="shared" si="3"/>
        <v>2.1989999999999998</v>
      </c>
      <c r="X19" s="17">
        <v>0.19400000000000001</v>
      </c>
      <c r="Y19" s="17">
        <v>0.155</v>
      </c>
      <c r="Z19" s="21">
        <f t="shared" si="4"/>
        <v>0.17499999999999999</v>
      </c>
      <c r="AA19" s="19">
        <v>1.2090000000000001</v>
      </c>
      <c r="AB19" s="19"/>
      <c r="AC19" s="21">
        <f t="shared" si="5"/>
        <v>1.2090000000000001</v>
      </c>
      <c r="AD19" s="19">
        <v>0.26900000000000002</v>
      </c>
      <c r="AE19" s="19">
        <v>0.27300000000000002</v>
      </c>
      <c r="AF19" s="21">
        <f t="shared" si="6"/>
        <v>0.27100000000000002</v>
      </c>
      <c r="AG19" s="19">
        <v>0.16600000000000001</v>
      </c>
      <c r="AH19" s="19">
        <v>0.161</v>
      </c>
      <c r="AI19" s="21">
        <f t="shared" si="7"/>
        <v>0.16400000000000001</v>
      </c>
      <c r="AJ19" s="19">
        <v>0.14499999999999999</v>
      </c>
      <c r="AK19" s="19">
        <v>0.14599999999999999</v>
      </c>
      <c r="AL19" s="21">
        <f t="shared" si="8"/>
        <v>0.14599999999999999</v>
      </c>
      <c r="AM19" s="19">
        <v>16.762</v>
      </c>
      <c r="AN19" s="19"/>
      <c r="AO19" s="21">
        <f t="shared" si="9"/>
        <v>16.762</v>
      </c>
      <c r="AP19" s="46">
        <v>0.2056</v>
      </c>
      <c r="AQ19" s="46">
        <v>0.20680000000000001</v>
      </c>
      <c r="AR19" s="45">
        <f t="shared" si="10"/>
        <v>0.20619999999999999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20</v>
      </c>
      <c r="F20" s="23">
        <v>7.2</v>
      </c>
      <c r="G20" s="41">
        <v>237</v>
      </c>
      <c r="H20" s="23">
        <v>7.7</v>
      </c>
      <c r="I20" s="23">
        <v>0.5</v>
      </c>
      <c r="J20" s="23">
        <v>2.2999999999999998</v>
      </c>
      <c r="K20" s="15">
        <v>1.7</v>
      </c>
      <c r="L20" s="15">
        <v>1.8</v>
      </c>
      <c r="M20" s="15"/>
      <c r="N20" s="20">
        <f t="shared" si="0"/>
        <v>1.8</v>
      </c>
      <c r="O20" s="37">
        <v>1.7</v>
      </c>
      <c r="P20" s="37">
        <v>1.5</v>
      </c>
      <c r="Q20" s="38">
        <f t="shared" si="1"/>
        <v>1.6</v>
      </c>
      <c r="R20" s="17">
        <v>0.92600000000000005</v>
      </c>
      <c r="S20" s="17">
        <v>0.95699999999999996</v>
      </c>
      <c r="T20" s="22">
        <f t="shared" si="2"/>
        <v>0.94199999999999995</v>
      </c>
      <c r="U20" s="17">
        <v>0.84899999999999998</v>
      </c>
      <c r="V20" s="17">
        <v>0.82899999999999996</v>
      </c>
      <c r="W20" s="22">
        <f t="shared" si="3"/>
        <v>0.83899999999999997</v>
      </c>
      <c r="X20" s="17">
        <v>4.8000000000000001E-2</v>
      </c>
      <c r="Y20" s="17">
        <v>2.3E-2</v>
      </c>
      <c r="Z20" s="21">
        <f t="shared" si="4"/>
        <v>3.5999999999999997E-2</v>
      </c>
      <c r="AA20" s="19">
        <v>0.69099999999999995</v>
      </c>
      <c r="AB20" s="19"/>
      <c r="AC20" s="21">
        <f t="shared" si="5"/>
        <v>0.69099999999999995</v>
      </c>
      <c r="AD20" s="19">
        <v>0.03</v>
      </c>
      <c r="AE20" s="19">
        <v>2.5999999999999999E-2</v>
      </c>
      <c r="AF20" s="21">
        <f t="shared" si="6"/>
        <v>2.8000000000000001E-2</v>
      </c>
      <c r="AG20" s="19">
        <v>1.0999999999999999E-2</v>
      </c>
      <c r="AH20" s="19">
        <v>8.9999999999999993E-3</v>
      </c>
      <c r="AI20" s="21">
        <f t="shared" si="7"/>
        <v>0.01</v>
      </c>
      <c r="AJ20" s="19">
        <v>7.0000000000000001E-3</v>
      </c>
      <c r="AK20" s="19">
        <v>6.0000000000000001E-3</v>
      </c>
      <c r="AL20" s="21">
        <f t="shared" si="8"/>
        <v>7.0000000000000001E-3</v>
      </c>
      <c r="AM20" s="19">
        <v>7.7480000000000002</v>
      </c>
      <c r="AN20" s="19"/>
      <c r="AO20" s="21">
        <f t="shared" si="9"/>
        <v>7.7480000000000002</v>
      </c>
      <c r="AP20" s="46">
        <v>3.4799999999999998E-2</v>
      </c>
      <c r="AQ20" s="46">
        <v>3.7100000000000001E-2</v>
      </c>
      <c r="AR20" s="45">
        <f t="shared" si="10"/>
        <v>3.5999999999999997E-2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27.2</v>
      </c>
      <c r="F21" s="23">
        <v>8.1</v>
      </c>
      <c r="G21" s="41">
        <v>212</v>
      </c>
      <c r="H21" s="23">
        <v>9.6999999999999993</v>
      </c>
      <c r="I21" s="23">
        <v>4.3</v>
      </c>
      <c r="J21" s="23">
        <v>9.6999999999999993</v>
      </c>
      <c r="K21" s="15">
        <v>8</v>
      </c>
      <c r="L21" s="15">
        <v>7.2</v>
      </c>
      <c r="M21" s="15"/>
      <c r="N21" s="20">
        <f t="shared" si="0"/>
        <v>7.6</v>
      </c>
      <c r="O21" s="37">
        <v>5.8</v>
      </c>
      <c r="P21" s="37">
        <v>5.8</v>
      </c>
      <c r="Q21" s="38">
        <f t="shared" si="1"/>
        <v>5.8</v>
      </c>
      <c r="R21" s="17">
        <v>1.738</v>
      </c>
      <c r="S21" s="17">
        <v>1.8049999999999999</v>
      </c>
      <c r="T21" s="22">
        <f t="shared" si="2"/>
        <v>1.772</v>
      </c>
      <c r="U21" s="17">
        <v>1.415</v>
      </c>
      <c r="V21" s="17">
        <v>1.4359999999999999</v>
      </c>
      <c r="W21" s="22">
        <f t="shared" si="3"/>
        <v>1.4259999999999999</v>
      </c>
      <c r="X21" s="17">
        <v>3.6999999999999998E-2</v>
      </c>
      <c r="Y21" s="17">
        <v>3.5000000000000003E-2</v>
      </c>
      <c r="Z21" s="21">
        <f t="shared" si="4"/>
        <v>3.5999999999999997E-2</v>
      </c>
      <c r="AA21" s="19">
        <v>0.755</v>
      </c>
      <c r="AB21" s="19"/>
      <c r="AC21" s="21">
        <f t="shared" si="5"/>
        <v>0.755</v>
      </c>
      <c r="AD21" s="19">
        <v>0.151</v>
      </c>
      <c r="AE21" s="19">
        <v>0.158</v>
      </c>
      <c r="AF21" s="21">
        <f t="shared" si="6"/>
        <v>0.155</v>
      </c>
      <c r="AG21" s="19">
        <v>5.7000000000000002E-2</v>
      </c>
      <c r="AH21" s="19">
        <v>5.8999999999999997E-2</v>
      </c>
      <c r="AI21" s="21">
        <f t="shared" si="7"/>
        <v>5.8000000000000003E-2</v>
      </c>
      <c r="AJ21" s="19">
        <v>3.9E-2</v>
      </c>
      <c r="AK21" s="19">
        <v>3.9E-2</v>
      </c>
      <c r="AL21" s="21">
        <f t="shared" si="8"/>
        <v>3.9E-2</v>
      </c>
      <c r="AM21" s="19">
        <v>14.92</v>
      </c>
      <c r="AN21" s="19"/>
      <c r="AO21" s="21">
        <f t="shared" si="9"/>
        <v>14.92</v>
      </c>
      <c r="AP21" s="46">
        <v>0.15040000000000001</v>
      </c>
      <c r="AQ21" s="46">
        <v>0.15040000000000001</v>
      </c>
      <c r="AR21" s="45">
        <f t="shared" si="10"/>
        <v>0.15040000000000001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27.4</v>
      </c>
      <c r="F22" s="23">
        <v>7.5</v>
      </c>
      <c r="G22" s="41">
        <v>300</v>
      </c>
      <c r="H22" s="23">
        <v>8.1999999999999993</v>
      </c>
      <c r="I22" s="23">
        <v>2.2000000000000002</v>
      </c>
      <c r="J22" s="23">
        <v>7.9</v>
      </c>
      <c r="K22" s="15">
        <v>6.3</v>
      </c>
      <c r="L22" s="15">
        <v>6.3</v>
      </c>
      <c r="M22" s="15"/>
      <c r="N22" s="20">
        <f t="shared" si="0"/>
        <v>6.3</v>
      </c>
      <c r="O22" s="37">
        <v>5.0999999999999996</v>
      </c>
      <c r="P22" s="37">
        <v>5.0999999999999996</v>
      </c>
      <c r="Q22" s="38">
        <f t="shared" si="1"/>
        <v>5.0999999999999996</v>
      </c>
      <c r="R22" s="17">
        <v>2.2200000000000002</v>
      </c>
      <c r="S22" s="17">
        <v>2.2949999999999999</v>
      </c>
      <c r="T22" s="22">
        <f t="shared" si="2"/>
        <v>2.258</v>
      </c>
      <c r="U22" s="17">
        <v>2.0569999999999999</v>
      </c>
      <c r="V22" s="17">
        <v>2.0419999999999998</v>
      </c>
      <c r="W22" s="22">
        <f t="shared" si="3"/>
        <v>2.0499999999999998</v>
      </c>
      <c r="X22" s="17">
        <v>0.112</v>
      </c>
      <c r="Y22" s="17">
        <v>0.11</v>
      </c>
      <c r="Z22" s="21">
        <f t="shared" si="4"/>
        <v>0.111</v>
      </c>
      <c r="AA22" s="19">
        <v>1.2969999999999999</v>
      </c>
      <c r="AB22" s="19"/>
      <c r="AC22" s="21">
        <f t="shared" si="5"/>
        <v>1.2969999999999999</v>
      </c>
      <c r="AD22" s="19">
        <v>0.153</v>
      </c>
      <c r="AE22" s="19">
        <v>0.14599999999999999</v>
      </c>
      <c r="AF22" s="21">
        <f t="shared" si="6"/>
        <v>0.15</v>
      </c>
      <c r="AG22" s="19">
        <v>7.8E-2</v>
      </c>
      <c r="AH22" s="19">
        <v>7.9000000000000001E-2</v>
      </c>
      <c r="AI22" s="21">
        <f t="shared" si="7"/>
        <v>7.9000000000000001E-2</v>
      </c>
      <c r="AJ22" s="19">
        <v>6.8000000000000005E-2</v>
      </c>
      <c r="AK22" s="19">
        <v>6.9000000000000006E-2</v>
      </c>
      <c r="AL22" s="21">
        <f t="shared" si="8"/>
        <v>6.9000000000000006E-2</v>
      </c>
      <c r="AM22" s="19">
        <v>20.54</v>
      </c>
      <c r="AN22" s="19"/>
      <c r="AO22" s="21">
        <f t="shared" si="9"/>
        <v>20.54</v>
      </c>
      <c r="AP22" s="46">
        <v>0.13109999999999999</v>
      </c>
      <c r="AQ22" s="46">
        <v>0.13300000000000001</v>
      </c>
      <c r="AR22" s="45">
        <f t="shared" si="10"/>
        <v>0.1321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27.2</v>
      </c>
      <c r="F23" s="23">
        <v>7.5</v>
      </c>
      <c r="G23" s="41">
        <v>274</v>
      </c>
      <c r="H23" s="23">
        <v>8.6</v>
      </c>
      <c r="I23" s="23">
        <v>2.7</v>
      </c>
      <c r="J23" s="23">
        <v>8.5</v>
      </c>
      <c r="K23" s="15">
        <v>7</v>
      </c>
      <c r="L23" s="15">
        <v>6.4</v>
      </c>
      <c r="M23" s="15"/>
      <c r="N23" s="20">
        <f t="shared" si="0"/>
        <v>6.7</v>
      </c>
      <c r="O23" s="37">
        <v>5.6</v>
      </c>
      <c r="P23" s="37">
        <v>5.5</v>
      </c>
      <c r="Q23" s="38">
        <f t="shared" si="1"/>
        <v>5.6</v>
      </c>
      <c r="R23" s="17">
        <v>2.7970000000000002</v>
      </c>
      <c r="S23" s="17">
        <v>2.8879999999999999</v>
      </c>
      <c r="T23" s="22">
        <f t="shared" si="2"/>
        <v>2.843</v>
      </c>
      <c r="U23" s="17">
        <v>2.5470000000000002</v>
      </c>
      <c r="V23" s="17">
        <v>2.641</v>
      </c>
      <c r="W23" s="22">
        <f t="shared" si="3"/>
        <v>2.5939999999999999</v>
      </c>
      <c r="X23" s="17">
        <v>0.21099999999999999</v>
      </c>
      <c r="Y23" s="17">
        <v>0.21</v>
      </c>
      <c r="Z23" s="21">
        <f t="shared" si="4"/>
        <v>0.21099999999999999</v>
      </c>
      <c r="AA23" s="19">
        <v>1.724</v>
      </c>
      <c r="AB23" s="19"/>
      <c r="AC23" s="21">
        <f t="shared" si="5"/>
        <v>1.724</v>
      </c>
      <c r="AD23" s="19">
        <v>0.151</v>
      </c>
      <c r="AE23" s="58">
        <v>0.153</v>
      </c>
      <c r="AF23" s="59">
        <f t="shared" si="6"/>
        <v>0.152</v>
      </c>
      <c r="AG23" s="19">
        <v>7.8E-2</v>
      </c>
      <c r="AH23" s="19">
        <v>8.5999999999999993E-2</v>
      </c>
      <c r="AI23" s="21">
        <f t="shared" si="7"/>
        <v>8.2000000000000003E-2</v>
      </c>
      <c r="AJ23" s="19">
        <v>6.9000000000000006E-2</v>
      </c>
      <c r="AK23" s="19">
        <v>7.0999999999999994E-2</v>
      </c>
      <c r="AL23" s="21">
        <f t="shared" si="8"/>
        <v>7.0000000000000007E-2</v>
      </c>
      <c r="AM23" s="19">
        <v>23.190999999999999</v>
      </c>
      <c r="AN23" s="19"/>
      <c r="AO23" s="21">
        <f t="shared" si="9"/>
        <v>23.190999999999999</v>
      </c>
      <c r="AP23" s="46">
        <v>0.13739999999999999</v>
      </c>
      <c r="AQ23" s="46">
        <v>0.1386</v>
      </c>
      <c r="AR23" s="45">
        <f t="shared" si="10"/>
        <v>0.13800000000000001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25.1</v>
      </c>
      <c r="F24" s="23">
        <v>7.7</v>
      </c>
      <c r="G24" s="41">
        <v>337</v>
      </c>
      <c r="H24" s="23">
        <v>8.1</v>
      </c>
      <c r="I24" s="23">
        <v>1.1000000000000001</v>
      </c>
      <c r="J24" s="23">
        <v>4.7</v>
      </c>
      <c r="K24" s="15">
        <v>3.2</v>
      </c>
      <c r="L24" s="15">
        <v>3.3</v>
      </c>
      <c r="M24" s="15"/>
      <c r="N24" s="20">
        <f t="shared" si="0"/>
        <v>3.3</v>
      </c>
      <c r="O24" s="37">
        <v>2.8</v>
      </c>
      <c r="P24" s="37">
        <v>2.7</v>
      </c>
      <c r="Q24" s="38">
        <f t="shared" si="1"/>
        <v>2.8</v>
      </c>
      <c r="R24" s="17">
        <v>1.0740000000000001</v>
      </c>
      <c r="S24" s="17">
        <v>1.133</v>
      </c>
      <c r="T24" s="22">
        <f t="shared" si="2"/>
        <v>1.1040000000000001</v>
      </c>
      <c r="U24" s="17">
        <v>0.96399999999999997</v>
      </c>
      <c r="V24" s="17">
        <v>0.96499999999999997</v>
      </c>
      <c r="W24" s="22">
        <f t="shared" si="3"/>
        <v>0.96499999999999997</v>
      </c>
      <c r="X24" s="17">
        <v>2.5000000000000001E-2</v>
      </c>
      <c r="Y24" s="17">
        <v>2.7E-2</v>
      </c>
      <c r="Z24" s="21">
        <f t="shared" si="4"/>
        <v>2.5999999999999999E-2</v>
      </c>
      <c r="AA24" s="19">
        <v>0.61599999999999999</v>
      </c>
      <c r="AB24" s="19"/>
      <c r="AC24" s="21">
        <f t="shared" si="5"/>
        <v>0.61599999999999999</v>
      </c>
      <c r="AD24" s="19">
        <v>4.5999999999999999E-2</v>
      </c>
      <c r="AE24" s="19">
        <v>4.3999999999999997E-2</v>
      </c>
      <c r="AF24" s="21">
        <f t="shared" si="6"/>
        <v>4.4999999999999998E-2</v>
      </c>
      <c r="AG24" s="19">
        <v>2.5000000000000001E-2</v>
      </c>
      <c r="AH24" s="19">
        <v>2.1999999999999999E-2</v>
      </c>
      <c r="AI24" s="21">
        <f t="shared" si="7"/>
        <v>2.4E-2</v>
      </c>
      <c r="AJ24" s="19">
        <v>1.6E-2</v>
      </c>
      <c r="AK24" s="19">
        <v>1.4999999999999999E-2</v>
      </c>
      <c r="AL24" s="21">
        <f t="shared" si="8"/>
        <v>1.6E-2</v>
      </c>
      <c r="AM24" s="19">
        <v>45.975999999999999</v>
      </c>
      <c r="AN24" s="19"/>
      <c r="AO24" s="21">
        <f t="shared" si="9"/>
        <v>45.975999999999999</v>
      </c>
      <c r="AP24" s="46">
        <v>6.5500000000000003E-2</v>
      </c>
      <c r="AQ24" s="46">
        <v>6.8199999999999997E-2</v>
      </c>
      <c r="AR24" s="45">
        <f t="shared" si="10"/>
        <v>6.6900000000000001E-2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27.1</v>
      </c>
      <c r="F25" s="23">
        <v>8.5</v>
      </c>
      <c r="G25" s="41">
        <v>265</v>
      </c>
      <c r="H25" s="23">
        <v>9.1999999999999993</v>
      </c>
      <c r="I25" s="23">
        <v>4.2</v>
      </c>
      <c r="J25" s="23">
        <v>12.4</v>
      </c>
      <c r="K25" s="15">
        <v>9</v>
      </c>
      <c r="L25" s="15">
        <v>8.5</v>
      </c>
      <c r="M25" s="15"/>
      <c r="N25" s="20">
        <f t="shared" si="0"/>
        <v>8.8000000000000007</v>
      </c>
      <c r="O25" s="37">
        <v>6.8</v>
      </c>
      <c r="P25" s="37">
        <v>6.7</v>
      </c>
      <c r="Q25" s="38">
        <f t="shared" si="1"/>
        <v>6.8</v>
      </c>
      <c r="R25" s="17">
        <v>2.593</v>
      </c>
      <c r="S25" s="17">
        <v>2.6680000000000001</v>
      </c>
      <c r="T25" s="22">
        <f t="shared" si="2"/>
        <v>2.6309999999999998</v>
      </c>
      <c r="U25" s="17">
        <v>2.266</v>
      </c>
      <c r="V25" s="17">
        <v>2.266</v>
      </c>
      <c r="W25" s="22">
        <f t="shared" si="3"/>
        <v>2.266</v>
      </c>
      <c r="X25" s="17">
        <v>5.6000000000000001E-2</v>
      </c>
      <c r="Y25" s="17">
        <v>5.2999999999999999E-2</v>
      </c>
      <c r="Z25" s="21">
        <f t="shared" si="4"/>
        <v>5.5E-2</v>
      </c>
      <c r="AA25" s="19">
        <v>1.413</v>
      </c>
      <c r="AB25" s="19"/>
      <c r="AC25" s="21">
        <f t="shared" si="5"/>
        <v>1.413</v>
      </c>
      <c r="AD25" s="19">
        <v>0.23300000000000001</v>
      </c>
      <c r="AE25" s="19">
        <v>0.23699999999999999</v>
      </c>
      <c r="AF25" s="21">
        <f t="shared" si="6"/>
        <v>0.23499999999999999</v>
      </c>
      <c r="AG25" s="19">
        <v>0.111</v>
      </c>
      <c r="AH25" s="19">
        <v>0.114</v>
      </c>
      <c r="AI25" s="21">
        <f t="shared" si="7"/>
        <v>0.113</v>
      </c>
      <c r="AJ25" s="19">
        <v>9.8000000000000004E-2</v>
      </c>
      <c r="AK25" s="19">
        <v>0.1</v>
      </c>
      <c r="AL25" s="21">
        <f t="shared" si="8"/>
        <v>9.9000000000000005E-2</v>
      </c>
      <c r="AM25" s="19">
        <v>21.856999999999999</v>
      </c>
      <c r="AN25" s="19"/>
      <c r="AO25" s="21">
        <f t="shared" si="9"/>
        <v>21.856999999999999</v>
      </c>
      <c r="AP25" s="46">
        <v>0.17180000000000001</v>
      </c>
      <c r="AQ25" s="46">
        <v>0.1734</v>
      </c>
      <c r="AR25" s="45">
        <f t="shared" si="10"/>
        <v>0.1726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27.1</v>
      </c>
      <c r="F26" s="23">
        <v>7.7</v>
      </c>
      <c r="G26" s="41">
        <v>294</v>
      </c>
      <c r="H26" s="23">
        <v>8.8000000000000007</v>
      </c>
      <c r="I26" s="23">
        <v>3.2</v>
      </c>
      <c r="J26" s="23">
        <v>16</v>
      </c>
      <c r="K26" s="15">
        <v>11.6</v>
      </c>
      <c r="L26" s="15">
        <v>11.4</v>
      </c>
      <c r="M26" s="15"/>
      <c r="N26" s="20">
        <f t="shared" si="0"/>
        <v>11.5</v>
      </c>
      <c r="O26" s="37">
        <v>10.8</v>
      </c>
      <c r="P26" s="37">
        <v>10.8</v>
      </c>
      <c r="Q26" s="38">
        <f t="shared" si="1"/>
        <v>10.8</v>
      </c>
      <c r="R26" s="17">
        <v>2.6160000000000001</v>
      </c>
      <c r="S26" s="17">
        <v>2.5920000000000001</v>
      </c>
      <c r="T26" s="22">
        <f t="shared" si="2"/>
        <v>2.6040000000000001</v>
      </c>
      <c r="U26" s="17">
        <v>2.419</v>
      </c>
      <c r="V26" s="17">
        <v>2.4260000000000002</v>
      </c>
      <c r="W26" s="22">
        <f t="shared" si="3"/>
        <v>2.423</v>
      </c>
      <c r="X26" s="17">
        <v>0.11600000000000001</v>
      </c>
      <c r="Y26" s="17">
        <v>0.108</v>
      </c>
      <c r="Z26" s="21">
        <f t="shared" si="4"/>
        <v>0.112</v>
      </c>
      <c r="AA26" s="19">
        <v>1.0169999999999999</v>
      </c>
      <c r="AB26" s="19"/>
      <c r="AC26" s="21">
        <f t="shared" si="5"/>
        <v>1.0169999999999999</v>
      </c>
      <c r="AD26" s="19">
        <v>0.17599999999999999</v>
      </c>
      <c r="AE26" s="19">
        <v>0.16800000000000001</v>
      </c>
      <c r="AF26" s="21">
        <f t="shared" si="6"/>
        <v>0.17199999999999999</v>
      </c>
      <c r="AG26" s="19">
        <v>0.114</v>
      </c>
      <c r="AH26" s="19">
        <v>0.11700000000000001</v>
      </c>
      <c r="AI26" s="21">
        <f t="shared" si="7"/>
        <v>0.11600000000000001</v>
      </c>
      <c r="AJ26" s="19">
        <v>0.09</v>
      </c>
      <c r="AK26" s="19">
        <v>0.09</v>
      </c>
      <c r="AL26" s="21">
        <f t="shared" si="8"/>
        <v>0.09</v>
      </c>
      <c r="AM26" s="19">
        <v>23.463000000000001</v>
      </c>
      <c r="AN26" s="19"/>
      <c r="AO26" s="21">
        <f t="shared" si="9"/>
        <v>23.463000000000001</v>
      </c>
      <c r="AP26" s="46">
        <v>0.28960000000000002</v>
      </c>
      <c r="AQ26" s="46">
        <v>0.29089999999999999</v>
      </c>
      <c r="AR26" s="45">
        <f t="shared" si="10"/>
        <v>0.2903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25.7</v>
      </c>
      <c r="F27" s="23">
        <v>7.8</v>
      </c>
      <c r="G27" s="41">
        <v>273</v>
      </c>
      <c r="H27" s="23">
        <v>7.8</v>
      </c>
      <c r="I27" s="23">
        <v>4.0999999999999996</v>
      </c>
      <c r="J27" s="23">
        <v>13.2</v>
      </c>
      <c r="K27" s="15">
        <v>9</v>
      </c>
      <c r="L27" s="15">
        <v>9.3000000000000007</v>
      </c>
      <c r="M27" s="15"/>
      <c r="N27" s="20">
        <f t="shared" si="0"/>
        <v>9.1999999999999993</v>
      </c>
      <c r="O27" s="37">
        <v>7.4</v>
      </c>
      <c r="P27" s="37">
        <v>7.1</v>
      </c>
      <c r="Q27" s="38">
        <f t="shared" si="1"/>
        <v>7.3</v>
      </c>
      <c r="R27" s="17">
        <v>2.5179999999999998</v>
      </c>
      <c r="S27" s="17">
        <v>2.4740000000000002</v>
      </c>
      <c r="T27" s="22">
        <f t="shared" si="2"/>
        <v>2.496</v>
      </c>
      <c r="U27" s="17">
        <v>2.133</v>
      </c>
      <c r="V27" s="17">
        <v>2.1160000000000001</v>
      </c>
      <c r="W27" s="22">
        <f t="shared" si="3"/>
        <v>2.125</v>
      </c>
      <c r="X27" s="17">
        <v>2.7E-2</v>
      </c>
      <c r="Y27" s="17">
        <v>2.7E-2</v>
      </c>
      <c r="Z27" s="21">
        <f t="shared" si="4"/>
        <v>2.7E-2</v>
      </c>
      <c r="AA27" s="19">
        <v>1.26</v>
      </c>
      <c r="AB27" s="19"/>
      <c r="AC27" s="21">
        <f t="shared" si="5"/>
        <v>1.26</v>
      </c>
      <c r="AD27" s="19">
        <v>0.23499999999999999</v>
      </c>
      <c r="AE27" s="19">
        <v>0.22800000000000001</v>
      </c>
      <c r="AF27" s="21">
        <f t="shared" si="6"/>
        <v>0.23200000000000001</v>
      </c>
      <c r="AG27" s="19">
        <v>0.10199999999999999</v>
      </c>
      <c r="AH27" s="19">
        <v>0.10199999999999999</v>
      </c>
      <c r="AI27" s="21">
        <f t="shared" si="7"/>
        <v>0.10199999999999999</v>
      </c>
      <c r="AJ27" s="19">
        <v>8.6999999999999994E-2</v>
      </c>
      <c r="AK27" s="19">
        <v>8.6999999999999994E-2</v>
      </c>
      <c r="AL27" s="21">
        <f t="shared" si="8"/>
        <v>8.6999999999999994E-2</v>
      </c>
      <c r="AM27" s="19">
        <v>22.177</v>
      </c>
      <c r="AN27" s="19"/>
      <c r="AO27" s="21">
        <f t="shared" si="9"/>
        <v>22.177</v>
      </c>
      <c r="AP27" s="46">
        <v>0.19040000000000001</v>
      </c>
      <c r="AQ27" s="46">
        <v>0.1923</v>
      </c>
      <c r="AR27" s="45">
        <f t="shared" si="10"/>
        <v>0.19139999999999999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24.6</v>
      </c>
      <c r="F28" s="23">
        <v>7.5</v>
      </c>
      <c r="G28" s="41">
        <v>295</v>
      </c>
      <c r="H28" s="23">
        <v>7.8</v>
      </c>
      <c r="I28" s="23">
        <v>5.8</v>
      </c>
      <c r="J28" s="23">
        <v>23.7</v>
      </c>
      <c r="K28" s="15">
        <v>17.3</v>
      </c>
      <c r="L28" s="15">
        <v>16.8</v>
      </c>
      <c r="M28" s="15"/>
      <c r="N28" s="20">
        <f t="shared" si="0"/>
        <v>17.100000000000001</v>
      </c>
      <c r="O28" s="37">
        <v>14.2</v>
      </c>
      <c r="P28" s="37">
        <v>14.3</v>
      </c>
      <c r="Q28" s="38">
        <f t="shared" si="1"/>
        <v>14.3</v>
      </c>
      <c r="R28" s="17">
        <v>3.5249999999999999</v>
      </c>
      <c r="S28" s="17">
        <v>3.4769999999999999</v>
      </c>
      <c r="T28" s="22">
        <f t="shared" si="2"/>
        <v>3.5009999999999999</v>
      </c>
      <c r="U28" s="17">
        <v>3.1320000000000001</v>
      </c>
      <c r="V28" s="17">
        <v>3.133</v>
      </c>
      <c r="W28" s="22">
        <f t="shared" si="3"/>
        <v>3.133</v>
      </c>
      <c r="X28" s="17">
        <v>0.70599999999999996</v>
      </c>
      <c r="Y28" s="17">
        <v>0.70399999999999996</v>
      </c>
      <c r="Z28" s="21">
        <f t="shared" si="4"/>
        <v>0.70499999999999996</v>
      </c>
      <c r="AA28" s="19">
        <v>0.75900000000000001</v>
      </c>
      <c r="AB28" s="19"/>
      <c r="AC28" s="21">
        <f t="shared" si="5"/>
        <v>0.75900000000000001</v>
      </c>
      <c r="AD28" s="19">
        <v>0.59599999999999997</v>
      </c>
      <c r="AE28" s="19">
        <v>0.626</v>
      </c>
      <c r="AF28" s="21">
        <f t="shared" si="6"/>
        <v>0.61099999999999999</v>
      </c>
      <c r="AG28" s="19">
        <v>0.317</v>
      </c>
      <c r="AH28" s="19">
        <v>0.312</v>
      </c>
      <c r="AI28" s="21">
        <f t="shared" si="7"/>
        <v>0.315</v>
      </c>
      <c r="AJ28" s="19">
        <v>0.24399999999999999</v>
      </c>
      <c r="AK28" s="19">
        <v>0.24399999999999999</v>
      </c>
      <c r="AL28" s="21">
        <f t="shared" si="8"/>
        <v>0.24399999999999999</v>
      </c>
      <c r="AM28" s="19">
        <v>26.888999999999999</v>
      </c>
      <c r="AN28" s="19"/>
      <c r="AO28" s="21">
        <f t="shared" si="9"/>
        <v>26.888999999999999</v>
      </c>
      <c r="AP28" s="46">
        <v>0.45950000000000002</v>
      </c>
      <c r="AQ28" s="46">
        <v>0.45939999999999998</v>
      </c>
      <c r="AR28" s="45">
        <f t="shared" si="10"/>
        <v>0.45950000000000002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26</v>
      </c>
      <c r="F29" s="23">
        <v>7.4</v>
      </c>
      <c r="G29" s="41">
        <v>286</v>
      </c>
      <c r="H29" s="23">
        <v>8.6</v>
      </c>
      <c r="I29" s="23">
        <v>3.2</v>
      </c>
      <c r="J29" s="23">
        <v>13.3</v>
      </c>
      <c r="K29" s="15">
        <v>9.1999999999999993</v>
      </c>
      <c r="L29" s="15">
        <v>8.6999999999999993</v>
      </c>
      <c r="M29" s="15"/>
      <c r="N29" s="20">
        <f t="shared" si="0"/>
        <v>9</v>
      </c>
      <c r="O29" s="37">
        <v>7.4</v>
      </c>
      <c r="P29" s="37">
        <v>7.1</v>
      </c>
      <c r="Q29" s="38">
        <f t="shared" si="1"/>
        <v>7.3</v>
      </c>
      <c r="R29" s="17">
        <v>2.9289999999999998</v>
      </c>
      <c r="S29" s="17">
        <v>2.9180000000000001</v>
      </c>
      <c r="T29" s="22">
        <f t="shared" si="2"/>
        <v>2.9239999999999999</v>
      </c>
      <c r="U29" s="17">
        <v>2.609</v>
      </c>
      <c r="V29" s="17">
        <v>2.62</v>
      </c>
      <c r="W29" s="22">
        <f t="shared" si="3"/>
        <v>2.6150000000000002</v>
      </c>
      <c r="X29" s="17">
        <v>9.4E-2</v>
      </c>
      <c r="Y29" s="17">
        <v>7.0000000000000007E-2</v>
      </c>
      <c r="Z29" s="21">
        <f t="shared" si="4"/>
        <v>8.2000000000000003E-2</v>
      </c>
      <c r="AA29" s="19">
        <v>1.6879999999999999</v>
      </c>
      <c r="AB29" s="19"/>
      <c r="AC29" s="21">
        <f t="shared" si="5"/>
        <v>1.6879999999999999</v>
      </c>
      <c r="AD29" s="19">
        <v>0.24099999999999999</v>
      </c>
      <c r="AE29" s="19">
        <v>0.23699999999999999</v>
      </c>
      <c r="AF29" s="21">
        <f t="shared" si="6"/>
        <v>0.23899999999999999</v>
      </c>
      <c r="AG29" s="19">
        <v>0.153</v>
      </c>
      <c r="AH29" s="19">
        <v>0.157</v>
      </c>
      <c r="AI29" s="21">
        <f t="shared" si="7"/>
        <v>0.155</v>
      </c>
      <c r="AJ29" s="19">
        <v>0.14099999999999999</v>
      </c>
      <c r="AK29" s="19">
        <v>0.14199999999999999</v>
      </c>
      <c r="AL29" s="21">
        <f t="shared" si="8"/>
        <v>0.14199999999999999</v>
      </c>
      <c r="AM29" s="19">
        <v>22.591000000000001</v>
      </c>
      <c r="AN29" s="19"/>
      <c r="AO29" s="21">
        <f t="shared" si="9"/>
        <v>22.591000000000001</v>
      </c>
      <c r="AP29" s="46">
        <v>0.1973</v>
      </c>
      <c r="AQ29" s="46">
        <v>0.2009</v>
      </c>
      <c r="AR29" s="45">
        <f t="shared" si="10"/>
        <v>0.1991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25.5</v>
      </c>
      <c r="F30" s="23">
        <v>7</v>
      </c>
      <c r="G30" s="41">
        <v>238</v>
      </c>
      <c r="H30" s="23">
        <v>7.9</v>
      </c>
      <c r="I30" s="23">
        <v>4.8</v>
      </c>
      <c r="J30" s="23">
        <v>13.2</v>
      </c>
      <c r="K30" s="15">
        <v>9.6999999999999993</v>
      </c>
      <c r="L30" s="15">
        <v>9.1999999999999993</v>
      </c>
      <c r="M30" s="15"/>
      <c r="N30" s="20">
        <f t="shared" si="0"/>
        <v>9.5</v>
      </c>
      <c r="O30" s="37">
        <v>8.1</v>
      </c>
      <c r="P30" s="37">
        <v>8.1</v>
      </c>
      <c r="Q30" s="38">
        <f t="shared" si="1"/>
        <v>8.1</v>
      </c>
      <c r="R30" s="17">
        <v>3.72</v>
      </c>
      <c r="S30" s="17">
        <v>3.7240000000000002</v>
      </c>
      <c r="T30" s="22">
        <f t="shared" si="2"/>
        <v>3.722</v>
      </c>
      <c r="U30" s="17">
        <v>3.4580000000000002</v>
      </c>
      <c r="V30" s="17">
        <v>3.4710000000000001</v>
      </c>
      <c r="W30" s="22">
        <f t="shared" si="3"/>
        <v>3.4649999999999999</v>
      </c>
      <c r="X30" s="17">
        <v>0.61599999999999999</v>
      </c>
      <c r="Y30" s="17">
        <v>0.61599999999999999</v>
      </c>
      <c r="Z30" s="21">
        <f t="shared" si="4"/>
        <v>0.61599999999999999</v>
      </c>
      <c r="AA30" s="19">
        <v>0.94499999999999995</v>
      </c>
      <c r="AB30" s="19"/>
      <c r="AC30" s="21">
        <f t="shared" si="5"/>
        <v>0.94499999999999995</v>
      </c>
      <c r="AD30" s="19">
        <v>0.151</v>
      </c>
      <c r="AE30" s="19">
        <v>0.14699999999999999</v>
      </c>
      <c r="AF30" s="21">
        <f t="shared" si="6"/>
        <v>0.14899999999999999</v>
      </c>
      <c r="AG30" s="19">
        <v>5.8000000000000003E-2</v>
      </c>
      <c r="AH30" s="19">
        <v>5.3999999999999999E-2</v>
      </c>
      <c r="AI30" s="21">
        <f t="shared" si="7"/>
        <v>5.6000000000000001E-2</v>
      </c>
      <c r="AJ30" s="19">
        <v>3.3000000000000002E-2</v>
      </c>
      <c r="AK30" s="19">
        <v>3.3000000000000002E-2</v>
      </c>
      <c r="AL30" s="21">
        <f t="shared" si="8"/>
        <v>3.3000000000000002E-2</v>
      </c>
      <c r="AM30" s="19">
        <v>18.574999999999999</v>
      </c>
      <c r="AN30" s="19"/>
      <c r="AO30" s="21">
        <f t="shared" si="9"/>
        <v>18.574999999999999</v>
      </c>
      <c r="AP30" s="46">
        <v>0.20130000000000001</v>
      </c>
      <c r="AQ30" s="46">
        <v>0.20269999999999999</v>
      </c>
      <c r="AR30" s="45">
        <f t="shared" si="10"/>
        <v>0.20200000000000001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27.7</v>
      </c>
      <c r="F31" s="23">
        <v>9.1</v>
      </c>
      <c r="G31" s="41">
        <v>254</v>
      </c>
      <c r="H31" s="23">
        <v>13.1</v>
      </c>
      <c r="I31" s="23">
        <v>4.8</v>
      </c>
      <c r="J31" s="23">
        <v>11.8</v>
      </c>
      <c r="K31" s="15">
        <v>8.4</v>
      </c>
      <c r="L31" s="15">
        <v>7.5</v>
      </c>
      <c r="M31" s="15"/>
      <c r="N31" s="20">
        <f t="shared" si="0"/>
        <v>8</v>
      </c>
      <c r="O31" s="37">
        <v>6.2</v>
      </c>
      <c r="P31" s="37">
        <v>6.1</v>
      </c>
      <c r="Q31" s="38">
        <f t="shared" si="1"/>
        <v>6.2</v>
      </c>
      <c r="R31" s="17">
        <v>1.9139999999999999</v>
      </c>
      <c r="S31" s="17">
        <v>2.0139999999999998</v>
      </c>
      <c r="T31" s="22">
        <f t="shared" si="2"/>
        <v>1.964</v>
      </c>
      <c r="U31" s="17">
        <v>1.556</v>
      </c>
      <c r="V31" s="17">
        <v>1.532</v>
      </c>
      <c r="W31" s="22">
        <f t="shared" si="3"/>
        <v>1.544</v>
      </c>
      <c r="X31" s="17">
        <v>2.5000000000000001E-2</v>
      </c>
      <c r="Y31" s="17">
        <v>2.5999999999999999E-2</v>
      </c>
      <c r="Z31" s="21">
        <f t="shared" si="4"/>
        <v>2.5999999999999999E-2</v>
      </c>
      <c r="AA31" s="19">
        <v>0.79700000000000004</v>
      </c>
      <c r="AB31" s="19"/>
      <c r="AC31" s="21">
        <f t="shared" si="5"/>
        <v>0.79700000000000004</v>
      </c>
      <c r="AD31" s="19">
        <v>0.11899999999999999</v>
      </c>
      <c r="AE31" s="19">
        <v>0.127</v>
      </c>
      <c r="AF31" s="21">
        <f t="shared" si="6"/>
        <v>0.123</v>
      </c>
      <c r="AG31" s="19">
        <v>4.4999999999999998E-2</v>
      </c>
      <c r="AH31" s="19">
        <v>4.3999999999999997E-2</v>
      </c>
      <c r="AI31" s="21">
        <f t="shared" si="7"/>
        <v>4.4999999999999998E-2</v>
      </c>
      <c r="AJ31" s="19">
        <v>2.4E-2</v>
      </c>
      <c r="AK31" s="19">
        <v>2.4E-2</v>
      </c>
      <c r="AL31" s="21">
        <f t="shared" si="8"/>
        <v>2.4E-2</v>
      </c>
      <c r="AM31" s="19">
        <v>20.748000000000001</v>
      </c>
      <c r="AN31" s="19"/>
      <c r="AO31" s="21">
        <f t="shared" si="9"/>
        <v>20.748000000000001</v>
      </c>
      <c r="AP31" s="46">
        <v>0.1487</v>
      </c>
      <c r="AQ31" s="46">
        <v>0.15</v>
      </c>
      <c r="AR31" s="45">
        <f t="shared" si="10"/>
        <v>0.14940000000000001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22.3</v>
      </c>
      <c r="F32" s="23">
        <v>7.1</v>
      </c>
      <c r="G32" s="41">
        <v>179</v>
      </c>
      <c r="H32" s="23">
        <v>7.1</v>
      </c>
      <c r="I32" s="23">
        <v>1.3</v>
      </c>
      <c r="J32" s="23">
        <v>3.8</v>
      </c>
      <c r="K32" s="15">
        <v>2.8</v>
      </c>
      <c r="L32" s="15">
        <v>2.2999999999999998</v>
      </c>
      <c r="M32" s="15"/>
      <c r="N32" s="20">
        <f t="shared" si="0"/>
        <v>2.6</v>
      </c>
      <c r="O32" s="37">
        <v>2.1</v>
      </c>
      <c r="P32" s="37">
        <v>2</v>
      </c>
      <c r="Q32" s="38">
        <f t="shared" si="1"/>
        <v>2.1</v>
      </c>
      <c r="R32" s="17">
        <v>0.41699999999999998</v>
      </c>
      <c r="S32" s="17">
        <v>0.44800000000000001</v>
      </c>
      <c r="T32" s="22">
        <f t="shared" si="2"/>
        <v>0.433</v>
      </c>
      <c r="U32" s="17">
        <v>0.24399999999999999</v>
      </c>
      <c r="V32" s="17">
        <v>0.23100000000000001</v>
      </c>
      <c r="W32" s="22">
        <f t="shared" si="3"/>
        <v>0.23799999999999999</v>
      </c>
      <c r="X32" s="17">
        <v>1.2E-2</v>
      </c>
      <c r="Y32" s="17">
        <v>1.2E-2</v>
      </c>
      <c r="Z32" s="21">
        <f t="shared" si="4"/>
        <v>1.2E-2</v>
      </c>
      <c r="AA32" s="19">
        <v>0.122</v>
      </c>
      <c r="AB32" s="19"/>
      <c r="AC32" s="21">
        <f t="shared" si="5"/>
        <v>0.122</v>
      </c>
      <c r="AD32" s="19">
        <v>4.9000000000000002E-2</v>
      </c>
      <c r="AE32" s="19">
        <v>0.05</v>
      </c>
      <c r="AF32" s="21">
        <f t="shared" si="6"/>
        <v>0.05</v>
      </c>
      <c r="AG32" s="19">
        <v>1.7999999999999999E-2</v>
      </c>
      <c r="AH32" s="19">
        <v>1.7999999999999999E-2</v>
      </c>
      <c r="AI32" s="21">
        <f t="shared" si="7"/>
        <v>1.7999999999999999E-2</v>
      </c>
      <c r="AJ32" s="19">
        <v>1.4E-2</v>
      </c>
      <c r="AK32" s="19">
        <v>1.4999999999999999E-2</v>
      </c>
      <c r="AL32" s="21">
        <f t="shared" si="8"/>
        <v>1.4999999999999999E-2</v>
      </c>
      <c r="AM32" s="19">
        <v>11.715</v>
      </c>
      <c r="AN32" s="19"/>
      <c r="AO32" s="21">
        <f t="shared" si="9"/>
        <v>11.715</v>
      </c>
      <c r="AP32" s="46">
        <v>5.0700000000000002E-2</v>
      </c>
      <c r="AQ32" s="46">
        <v>5.2400000000000002E-2</v>
      </c>
      <c r="AR32" s="45">
        <f t="shared" si="10"/>
        <v>5.16E-2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28</v>
      </c>
      <c r="F33" s="23">
        <v>9.1</v>
      </c>
      <c r="G33" s="41">
        <v>256</v>
      </c>
      <c r="H33" s="23">
        <v>13</v>
      </c>
      <c r="I33" s="23">
        <v>6.2</v>
      </c>
      <c r="J33" s="23">
        <v>12.2</v>
      </c>
      <c r="K33" s="15">
        <v>8.3000000000000007</v>
      </c>
      <c r="L33" s="15">
        <v>8.4</v>
      </c>
      <c r="M33" s="15"/>
      <c r="N33" s="20">
        <f t="shared" si="0"/>
        <v>8.4</v>
      </c>
      <c r="O33" s="37">
        <v>5.9</v>
      </c>
      <c r="P33" s="37">
        <v>5.8</v>
      </c>
      <c r="Q33" s="38">
        <f t="shared" si="1"/>
        <v>5.9</v>
      </c>
      <c r="R33" s="17">
        <v>1.9790000000000001</v>
      </c>
      <c r="S33" s="17">
        <v>1.9470000000000001</v>
      </c>
      <c r="T33" s="22">
        <f t="shared" si="2"/>
        <v>1.9630000000000001</v>
      </c>
      <c r="U33" s="17">
        <v>1.4550000000000001</v>
      </c>
      <c r="V33" s="17">
        <v>1.452</v>
      </c>
      <c r="W33" s="22">
        <f t="shared" si="3"/>
        <v>1.454</v>
      </c>
      <c r="X33" s="17">
        <v>0.03</v>
      </c>
      <c r="Y33" s="17">
        <v>0.03</v>
      </c>
      <c r="Z33" s="21">
        <f t="shared" si="4"/>
        <v>0.03</v>
      </c>
      <c r="AA33" s="19">
        <v>0.753</v>
      </c>
      <c r="AB33" s="19"/>
      <c r="AC33" s="21">
        <f t="shared" si="5"/>
        <v>0.753</v>
      </c>
      <c r="AD33" s="19">
        <v>0.154</v>
      </c>
      <c r="AE33" s="19">
        <v>0.14399999999999999</v>
      </c>
      <c r="AF33" s="21">
        <f t="shared" si="6"/>
        <v>0.14899999999999999</v>
      </c>
      <c r="AG33" s="19">
        <v>4.5999999999999999E-2</v>
      </c>
      <c r="AH33" s="19">
        <v>4.8000000000000001E-2</v>
      </c>
      <c r="AI33" s="21">
        <f t="shared" si="7"/>
        <v>4.7E-2</v>
      </c>
      <c r="AJ33" s="19">
        <v>3.1E-2</v>
      </c>
      <c r="AK33" s="19">
        <v>3.2000000000000001E-2</v>
      </c>
      <c r="AL33" s="21">
        <f t="shared" si="8"/>
        <v>3.2000000000000001E-2</v>
      </c>
      <c r="AM33" s="19">
        <v>20.995000000000001</v>
      </c>
      <c r="AN33" s="19"/>
      <c r="AO33" s="21">
        <f t="shared" si="9"/>
        <v>20.995000000000001</v>
      </c>
      <c r="AP33" s="46">
        <v>0.1419</v>
      </c>
      <c r="AQ33" s="46">
        <v>0.14330000000000001</v>
      </c>
      <c r="AR33" s="45">
        <f t="shared" si="10"/>
        <v>0.1426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26.4</v>
      </c>
      <c r="F34" s="23">
        <v>7.3</v>
      </c>
      <c r="G34" s="41">
        <v>285</v>
      </c>
      <c r="H34" s="23">
        <v>3.1</v>
      </c>
      <c r="I34" s="23">
        <v>3.2</v>
      </c>
      <c r="J34" s="23">
        <v>9.5</v>
      </c>
      <c r="K34" s="15">
        <v>7.7</v>
      </c>
      <c r="L34" s="15">
        <v>7.6</v>
      </c>
      <c r="M34" s="15"/>
      <c r="N34" s="20">
        <f t="shared" si="0"/>
        <v>7.7</v>
      </c>
      <c r="O34" s="37">
        <v>6</v>
      </c>
      <c r="P34" s="37">
        <v>6</v>
      </c>
      <c r="Q34" s="38">
        <f t="shared" si="1"/>
        <v>6</v>
      </c>
      <c r="R34" s="17">
        <v>2.093</v>
      </c>
      <c r="S34" s="17">
        <v>2.1280000000000001</v>
      </c>
      <c r="T34" s="22">
        <f t="shared" si="2"/>
        <v>2.1110000000000002</v>
      </c>
      <c r="U34" s="17">
        <v>1.8089999999999999</v>
      </c>
      <c r="V34" s="17">
        <v>1.7809999999999999</v>
      </c>
      <c r="W34" s="22">
        <f t="shared" si="3"/>
        <v>1.7949999999999999</v>
      </c>
      <c r="X34" s="17">
        <v>0.73699999999999999</v>
      </c>
      <c r="Y34" s="17">
        <v>0.74299999999999999</v>
      </c>
      <c r="Z34" s="21">
        <f t="shared" si="4"/>
        <v>0.74</v>
      </c>
      <c r="AA34" s="19">
        <v>0.34200000000000003</v>
      </c>
      <c r="AB34" s="19"/>
      <c r="AC34" s="21">
        <f t="shared" si="5"/>
        <v>0.34200000000000003</v>
      </c>
      <c r="AD34" s="19">
        <v>0.32500000000000001</v>
      </c>
      <c r="AE34" s="19">
        <v>0.33</v>
      </c>
      <c r="AF34" s="21">
        <f t="shared" si="6"/>
        <v>0.32800000000000001</v>
      </c>
      <c r="AG34" s="19">
        <v>0.13200000000000001</v>
      </c>
      <c r="AH34" s="19">
        <v>0.13100000000000001</v>
      </c>
      <c r="AI34" s="21">
        <f t="shared" si="7"/>
        <v>0.13200000000000001</v>
      </c>
      <c r="AJ34" s="19">
        <v>0.128</v>
      </c>
      <c r="AK34" s="19">
        <v>0.128</v>
      </c>
      <c r="AL34" s="21">
        <f t="shared" si="8"/>
        <v>0.128</v>
      </c>
      <c r="AM34" s="19">
        <v>20.811</v>
      </c>
      <c r="AN34" s="19"/>
      <c r="AO34" s="21">
        <f t="shared" si="9"/>
        <v>20.811</v>
      </c>
      <c r="AP34" s="46">
        <v>0.1585</v>
      </c>
      <c r="AQ34" s="46">
        <v>0.16070000000000001</v>
      </c>
      <c r="AR34" s="45">
        <f t="shared" si="10"/>
        <v>0.15959999999999999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27</v>
      </c>
      <c r="F35" s="23">
        <v>8</v>
      </c>
      <c r="G35" s="41">
        <v>315</v>
      </c>
      <c r="H35" s="23">
        <v>8.4</v>
      </c>
      <c r="I35" s="23">
        <v>4.4000000000000004</v>
      </c>
      <c r="J35" s="23">
        <v>13</v>
      </c>
      <c r="K35" s="15">
        <v>9.1999999999999993</v>
      </c>
      <c r="L35" s="15">
        <v>9.1999999999999993</v>
      </c>
      <c r="M35" s="15"/>
      <c r="N35" s="20">
        <f t="shared" si="0"/>
        <v>9.1999999999999993</v>
      </c>
      <c r="O35" s="37">
        <v>7.7</v>
      </c>
      <c r="P35" s="37">
        <v>7.6</v>
      </c>
      <c r="Q35" s="38">
        <f t="shared" si="1"/>
        <v>7.7</v>
      </c>
      <c r="R35" s="17">
        <v>2.68</v>
      </c>
      <c r="S35" s="17">
        <v>2.7320000000000002</v>
      </c>
      <c r="T35" s="22">
        <f t="shared" si="2"/>
        <v>2.706</v>
      </c>
      <c r="U35" s="17">
        <v>2.254</v>
      </c>
      <c r="V35" s="17">
        <v>2.2690000000000001</v>
      </c>
      <c r="W35" s="22">
        <f t="shared" si="3"/>
        <v>2.262</v>
      </c>
      <c r="X35" s="17">
        <v>8.3000000000000004E-2</v>
      </c>
      <c r="Y35" s="17">
        <v>7.8E-2</v>
      </c>
      <c r="Z35" s="21">
        <f t="shared" si="4"/>
        <v>8.1000000000000003E-2</v>
      </c>
      <c r="AA35" s="19">
        <v>1.3779999999999999</v>
      </c>
      <c r="AB35" s="19"/>
      <c r="AC35" s="21">
        <f t="shared" si="5"/>
        <v>1.3779999999999999</v>
      </c>
      <c r="AD35" s="19">
        <v>0.156</v>
      </c>
      <c r="AE35" s="19">
        <v>0.16200000000000001</v>
      </c>
      <c r="AF35" s="21">
        <f t="shared" si="6"/>
        <v>0.159</v>
      </c>
      <c r="AG35" s="19">
        <v>5.6000000000000001E-2</v>
      </c>
      <c r="AH35" s="19">
        <v>5.3999999999999999E-2</v>
      </c>
      <c r="AI35" s="21">
        <f t="shared" si="7"/>
        <v>5.5E-2</v>
      </c>
      <c r="AJ35" s="19">
        <v>3.9E-2</v>
      </c>
      <c r="AK35" s="19">
        <v>3.7999999999999999E-2</v>
      </c>
      <c r="AL35" s="21">
        <f t="shared" si="8"/>
        <v>3.9E-2</v>
      </c>
      <c r="AM35" s="19">
        <v>37.981000000000002</v>
      </c>
      <c r="AN35" s="19"/>
      <c r="AO35" s="21">
        <f t="shared" si="9"/>
        <v>37.981000000000002</v>
      </c>
      <c r="AP35" s="46">
        <v>0.1862</v>
      </c>
      <c r="AQ35" s="46">
        <v>0.18690000000000001</v>
      </c>
      <c r="AR35" s="45">
        <f t="shared" si="10"/>
        <v>0.18659999999999999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27.3</v>
      </c>
      <c r="F36" s="23">
        <v>9.1</v>
      </c>
      <c r="G36" s="41">
        <v>271</v>
      </c>
      <c r="H36" s="23">
        <v>12.9</v>
      </c>
      <c r="I36" s="23">
        <v>5.8</v>
      </c>
      <c r="J36" s="23">
        <v>12.7</v>
      </c>
      <c r="K36" s="15">
        <v>8.5</v>
      </c>
      <c r="L36" s="15">
        <v>9.1</v>
      </c>
      <c r="M36" s="15"/>
      <c r="N36" s="20">
        <f t="shared" si="0"/>
        <v>8.8000000000000007</v>
      </c>
      <c r="O36" s="37">
        <v>6.8</v>
      </c>
      <c r="P36" s="37">
        <v>6.6</v>
      </c>
      <c r="Q36" s="38">
        <f t="shared" si="1"/>
        <v>6.7</v>
      </c>
      <c r="R36" s="17">
        <v>2.2469999999999999</v>
      </c>
      <c r="S36" s="17">
        <v>2.2869999999999999</v>
      </c>
      <c r="T36" s="22">
        <f t="shared" si="2"/>
        <v>2.2669999999999999</v>
      </c>
      <c r="U36" s="17">
        <v>1.669</v>
      </c>
      <c r="V36" s="17">
        <v>1.6459999999999999</v>
      </c>
      <c r="W36" s="22">
        <f t="shared" si="3"/>
        <v>1.6579999999999999</v>
      </c>
      <c r="X36" s="17">
        <v>4.2999999999999997E-2</v>
      </c>
      <c r="Y36" s="17">
        <v>0.05</v>
      </c>
      <c r="Z36" s="21">
        <f t="shared" si="4"/>
        <v>4.7E-2</v>
      </c>
      <c r="AA36" s="19">
        <v>0.90200000000000002</v>
      </c>
      <c r="AB36" s="19"/>
      <c r="AC36" s="21">
        <f t="shared" si="5"/>
        <v>0.90200000000000002</v>
      </c>
      <c r="AD36" s="19">
        <v>0.157</v>
      </c>
      <c r="AE36" s="19">
        <v>0.16400000000000001</v>
      </c>
      <c r="AF36" s="21">
        <f t="shared" si="6"/>
        <v>0.161</v>
      </c>
      <c r="AG36" s="19">
        <v>4.1000000000000002E-2</v>
      </c>
      <c r="AH36" s="19">
        <v>0.04</v>
      </c>
      <c r="AI36" s="21">
        <f t="shared" si="7"/>
        <v>4.1000000000000002E-2</v>
      </c>
      <c r="AJ36" s="19">
        <v>2.1000000000000001E-2</v>
      </c>
      <c r="AK36" s="19">
        <v>0.02</v>
      </c>
      <c r="AL36" s="21">
        <f t="shared" si="8"/>
        <v>2.1000000000000001E-2</v>
      </c>
      <c r="AM36" s="19">
        <v>23.800999999999998</v>
      </c>
      <c r="AN36" s="19"/>
      <c r="AO36" s="21">
        <f t="shared" si="9"/>
        <v>23.800999999999998</v>
      </c>
      <c r="AP36" s="46">
        <v>0.154</v>
      </c>
      <c r="AQ36" s="46">
        <v>0.15590000000000001</v>
      </c>
      <c r="AR36" s="45">
        <f t="shared" si="10"/>
        <v>0.155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25</v>
      </c>
      <c r="F37" s="23">
        <v>7.4</v>
      </c>
      <c r="G37" s="41">
        <v>281</v>
      </c>
      <c r="H37" s="23">
        <v>6.9</v>
      </c>
      <c r="I37" s="23">
        <v>2.6</v>
      </c>
      <c r="J37" s="23">
        <v>12.9</v>
      </c>
      <c r="K37" s="15">
        <v>9.5</v>
      </c>
      <c r="L37" s="15">
        <v>9</v>
      </c>
      <c r="M37" s="15"/>
      <c r="N37" s="20">
        <f t="shared" si="0"/>
        <v>9.3000000000000007</v>
      </c>
      <c r="O37" s="37">
        <v>8.6</v>
      </c>
      <c r="P37" s="37">
        <v>8.5</v>
      </c>
      <c r="Q37" s="38">
        <f t="shared" si="1"/>
        <v>8.6</v>
      </c>
      <c r="R37" s="17">
        <v>2.371</v>
      </c>
      <c r="S37" s="17">
        <v>2.3450000000000002</v>
      </c>
      <c r="T37" s="22">
        <f t="shared" si="2"/>
        <v>2.3580000000000001</v>
      </c>
      <c r="U37" s="17">
        <v>2.08</v>
      </c>
      <c r="V37" s="17">
        <v>1.984</v>
      </c>
      <c r="W37" s="22">
        <f t="shared" si="3"/>
        <v>2.032</v>
      </c>
      <c r="X37" s="17">
        <v>5.1999999999999998E-2</v>
      </c>
      <c r="Y37" s="17">
        <v>5.3999999999999999E-2</v>
      </c>
      <c r="Z37" s="21">
        <f t="shared" si="4"/>
        <v>5.2999999999999999E-2</v>
      </c>
      <c r="AA37" s="19">
        <v>1.18</v>
      </c>
      <c r="AB37" s="19"/>
      <c r="AC37" s="21">
        <f t="shared" si="5"/>
        <v>1.18</v>
      </c>
      <c r="AD37" s="19">
        <v>0.17</v>
      </c>
      <c r="AE37" s="19">
        <v>0.16600000000000001</v>
      </c>
      <c r="AF37" s="21">
        <f t="shared" si="6"/>
        <v>0.16800000000000001</v>
      </c>
      <c r="AG37" s="19">
        <v>8.6999999999999994E-2</v>
      </c>
      <c r="AH37" s="19">
        <v>8.4000000000000005E-2</v>
      </c>
      <c r="AI37" s="21">
        <f t="shared" si="7"/>
        <v>8.5999999999999993E-2</v>
      </c>
      <c r="AJ37" s="19">
        <v>7.4999999999999997E-2</v>
      </c>
      <c r="AK37" s="19">
        <v>7.4999999999999997E-2</v>
      </c>
      <c r="AL37" s="21">
        <f t="shared" si="8"/>
        <v>7.4999999999999997E-2</v>
      </c>
      <c r="AM37" s="19">
        <v>25.395</v>
      </c>
      <c r="AN37" s="19"/>
      <c r="AO37" s="21">
        <f t="shared" si="9"/>
        <v>25.395</v>
      </c>
      <c r="AP37" s="46">
        <v>0.20300000000000001</v>
      </c>
      <c r="AQ37" s="46">
        <v>0.2046</v>
      </c>
      <c r="AR37" s="45">
        <f t="shared" si="10"/>
        <v>0.20380000000000001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25.5</v>
      </c>
      <c r="F38" s="23">
        <v>7.5</v>
      </c>
      <c r="G38" s="41">
        <v>285</v>
      </c>
      <c r="H38" s="23">
        <v>8</v>
      </c>
      <c r="I38" s="23">
        <v>2.6</v>
      </c>
      <c r="J38" s="23">
        <v>12.5</v>
      </c>
      <c r="K38" s="15">
        <v>8.9</v>
      </c>
      <c r="L38" s="15">
        <v>8.8000000000000007</v>
      </c>
      <c r="M38" s="15"/>
      <c r="N38" s="20">
        <f t="shared" si="0"/>
        <v>8.9</v>
      </c>
      <c r="O38" s="37">
        <v>7.3</v>
      </c>
      <c r="P38" s="37">
        <v>7.1</v>
      </c>
      <c r="Q38" s="38">
        <f t="shared" si="1"/>
        <v>7.2</v>
      </c>
      <c r="R38" s="17">
        <v>2.589</v>
      </c>
      <c r="S38" s="17">
        <v>2.6440000000000001</v>
      </c>
      <c r="T38" s="22">
        <f t="shared" si="2"/>
        <v>2.617</v>
      </c>
      <c r="U38" s="17">
        <v>2.1709999999999998</v>
      </c>
      <c r="V38" s="17">
        <v>2.1819999999999999</v>
      </c>
      <c r="W38" s="22">
        <f t="shared" si="3"/>
        <v>2.177</v>
      </c>
      <c r="X38" s="17">
        <v>2.9000000000000001E-2</v>
      </c>
      <c r="Y38" s="17">
        <v>3.1E-2</v>
      </c>
      <c r="Z38" s="21">
        <f t="shared" si="4"/>
        <v>0.03</v>
      </c>
      <c r="AA38" s="19">
        <v>1.4650000000000001</v>
      </c>
      <c r="AB38" s="19"/>
      <c r="AC38" s="21">
        <f t="shared" si="5"/>
        <v>1.4650000000000001</v>
      </c>
      <c r="AD38" s="19">
        <v>0.182</v>
      </c>
      <c r="AE38" s="19">
        <v>0.189</v>
      </c>
      <c r="AF38" s="21">
        <f t="shared" si="6"/>
        <v>0.186</v>
      </c>
      <c r="AG38" s="19">
        <v>8.5999999999999993E-2</v>
      </c>
      <c r="AH38" s="19">
        <v>8.5999999999999993E-2</v>
      </c>
      <c r="AI38" s="21">
        <f t="shared" si="7"/>
        <v>8.5999999999999993E-2</v>
      </c>
      <c r="AJ38" s="19">
        <v>0.08</v>
      </c>
      <c r="AK38" s="19">
        <v>7.9000000000000001E-2</v>
      </c>
      <c r="AL38" s="21">
        <f t="shared" si="8"/>
        <v>0.08</v>
      </c>
      <c r="AM38" s="19">
        <v>25.149000000000001</v>
      </c>
      <c r="AN38" s="19"/>
      <c r="AO38" s="21">
        <f t="shared" si="9"/>
        <v>25.149000000000001</v>
      </c>
      <c r="AP38" s="46">
        <v>0.1716</v>
      </c>
      <c r="AQ38" s="46">
        <v>0.1731</v>
      </c>
      <c r="AR38" s="45">
        <f t="shared" si="10"/>
        <v>0.1724</v>
      </c>
    </row>
    <row r="39" spans="1:44">
      <c r="A39" s="7" t="s">
        <v>137</v>
      </c>
      <c r="B39" s="5" t="s">
        <v>148</v>
      </c>
      <c r="C39" s="6"/>
      <c r="D39" s="6"/>
      <c r="E39" s="23">
        <v>23.5</v>
      </c>
      <c r="F39" s="23">
        <v>7.3</v>
      </c>
      <c r="G39" s="41">
        <v>365</v>
      </c>
      <c r="H39" s="23">
        <v>7.3</v>
      </c>
      <c r="I39" s="23">
        <v>11.2</v>
      </c>
      <c r="J39" s="23">
        <v>13.1</v>
      </c>
      <c r="K39" s="4">
        <v>9.6999999999999993</v>
      </c>
      <c r="L39" s="4">
        <v>11.1</v>
      </c>
      <c r="M39" s="4">
        <v>9.3000000000000007</v>
      </c>
      <c r="N39" s="20">
        <f t="shared" si="0"/>
        <v>10</v>
      </c>
      <c r="O39" s="37">
        <v>5.4</v>
      </c>
      <c r="P39" s="37">
        <v>5.3</v>
      </c>
      <c r="Q39" s="38">
        <f t="shared" si="1"/>
        <v>5.4</v>
      </c>
      <c r="R39" s="17">
        <v>6.7439999999999998</v>
      </c>
      <c r="S39" s="17">
        <v>6.8289999999999997</v>
      </c>
      <c r="T39" s="22">
        <f t="shared" si="2"/>
        <v>6.7869999999999999</v>
      </c>
      <c r="U39" s="4">
        <v>6.03</v>
      </c>
      <c r="V39" s="4">
        <v>5.9960000000000004</v>
      </c>
      <c r="W39" s="22">
        <f t="shared" si="3"/>
        <v>6.0129999999999999</v>
      </c>
      <c r="X39" s="17">
        <v>1.9390000000000001</v>
      </c>
      <c r="Y39" s="17">
        <v>1.911</v>
      </c>
      <c r="Z39" s="21">
        <f t="shared" si="4"/>
        <v>1.925</v>
      </c>
      <c r="AA39" s="19">
        <v>3.5259999999999998</v>
      </c>
      <c r="AB39" s="19"/>
      <c r="AC39" s="21">
        <f t="shared" si="5"/>
        <v>3.5259999999999998</v>
      </c>
      <c r="AD39" s="19">
        <v>0.42399999999999999</v>
      </c>
      <c r="AE39" s="19">
        <v>0.42199999999999999</v>
      </c>
      <c r="AF39" s="21">
        <f t="shared" si="6"/>
        <v>0.42299999999999999</v>
      </c>
      <c r="AG39" s="5">
        <v>0.121</v>
      </c>
      <c r="AH39" s="5">
        <v>0.125</v>
      </c>
      <c r="AI39" s="21">
        <f t="shared" si="7"/>
        <v>0.123</v>
      </c>
      <c r="AJ39" s="5">
        <v>9.8000000000000004E-2</v>
      </c>
      <c r="AK39" s="5">
        <v>9.7000000000000003E-2</v>
      </c>
      <c r="AL39" s="21">
        <f t="shared" si="8"/>
        <v>9.8000000000000004E-2</v>
      </c>
      <c r="AM39" s="19">
        <v>44.473999999999997</v>
      </c>
      <c r="AN39" s="19"/>
      <c r="AO39" s="21">
        <f t="shared" si="9"/>
        <v>44.473999999999997</v>
      </c>
      <c r="AP39" s="46">
        <v>0.1119</v>
      </c>
      <c r="AQ39" s="46">
        <v>0.1135</v>
      </c>
      <c r="AR39" s="45">
        <f t="shared" si="10"/>
        <v>0.11269999999999999</v>
      </c>
    </row>
    <row r="40" spans="1:44">
      <c r="A40" s="7" t="s">
        <v>145</v>
      </c>
      <c r="B40" s="5" t="s">
        <v>146</v>
      </c>
      <c r="C40" s="6"/>
      <c r="D40" s="6"/>
      <c r="E40" s="23">
        <v>24.2</v>
      </c>
      <c r="F40" s="23">
        <v>7.5</v>
      </c>
      <c r="G40" s="41">
        <v>473</v>
      </c>
      <c r="H40" s="23">
        <v>8.1</v>
      </c>
      <c r="I40" s="23">
        <v>0.1</v>
      </c>
      <c r="J40" s="23">
        <v>4.5999999999999996</v>
      </c>
      <c r="K40" s="15">
        <v>3.5</v>
      </c>
      <c r="L40" s="15">
        <v>3.5</v>
      </c>
      <c r="M40" s="15"/>
      <c r="N40" s="20">
        <f t="shared" si="0"/>
        <v>3.5</v>
      </c>
      <c r="O40" s="37">
        <v>3.1</v>
      </c>
      <c r="P40" s="37">
        <v>3</v>
      </c>
      <c r="Q40" s="38">
        <f t="shared" si="1"/>
        <v>3.1</v>
      </c>
      <c r="R40" s="17">
        <v>1.996</v>
      </c>
      <c r="S40" s="17">
        <v>2.0470000000000002</v>
      </c>
      <c r="T40" s="22">
        <f t="shared" si="2"/>
        <v>2.0219999999999998</v>
      </c>
      <c r="U40" s="17">
        <v>1.7929999999999999</v>
      </c>
      <c r="V40" s="17">
        <v>1.792</v>
      </c>
      <c r="W40" s="22">
        <f t="shared" si="3"/>
        <v>1.7929999999999999</v>
      </c>
      <c r="X40" s="17">
        <v>4.2000000000000003E-2</v>
      </c>
      <c r="Y40" s="17">
        <v>4.2999999999999997E-2</v>
      </c>
      <c r="Z40" s="21">
        <f t="shared" si="4"/>
        <v>4.2999999999999997E-2</v>
      </c>
      <c r="AA40" s="19">
        <v>1.3360000000000001</v>
      </c>
      <c r="AB40" s="19"/>
      <c r="AC40" s="21">
        <f t="shared" si="5"/>
        <v>1.3360000000000001</v>
      </c>
      <c r="AD40" s="19">
        <v>4.1000000000000002E-2</v>
      </c>
      <c r="AE40" s="19">
        <v>4.2999999999999997E-2</v>
      </c>
      <c r="AF40" s="21">
        <f t="shared" si="6"/>
        <v>4.2000000000000003E-2</v>
      </c>
      <c r="AG40" s="19">
        <v>1.6E-2</v>
      </c>
      <c r="AH40" s="19">
        <v>1.2E-2</v>
      </c>
      <c r="AI40" s="21">
        <f t="shared" si="7"/>
        <v>1.4E-2</v>
      </c>
      <c r="AJ40" s="19">
        <v>3.0000000000000001E-3</v>
      </c>
      <c r="AK40" s="19">
        <v>2E-3</v>
      </c>
      <c r="AL40" s="21">
        <f t="shared" si="8"/>
        <v>3.0000000000000001E-3</v>
      </c>
      <c r="AM40" s="19">
        <v>73.099999999999994</v>
      </c>
      <c r="AN40" s="19"/>
      <c r="AO40" s="21">
        <f t="shared" si="9"/>
        <v>73.099999999999994</v>
      </c>
      <c r="AP40" s="46">
        <v>6.8699999999999997E-2</v>
      </c>
      <c r="AQ40" s="46">
        <v>7.0300000000000001E-2</v>
      </c>
      <c r="AR40" s="45">
        <f t="shared" si="10"/>
        <v>6.9500000000000006E-2</v>
      </c>
    </row>
    <row r="41" spans="1:44">
      <c r="A41" s="7" t="s">
        <v>147</v>
      </c>
      <c r="B41" s="5" t="s">
        <v>149</v>
      </c>
      <c r="C41" s="6"/>
      <c r="D41" s="6"/>
      <c r="E41" s="23">
        <v>26.1</v>
      </c>
      <c r="F41" s="23">
        <v>7.8</v>
      </c>
      <c r="G41" s="41">
        <v>558</v>
      </c>
      <c r="H41" s="23">
        <v>7.3</v>
      </c>
      <c r="I41" s="23"/>
      <c r="J41" s="23"/>
      <c r="K41" s="15"/>
      <c r="L41" s="15"/>
      <c r="M41" s="15"/>
      <c r="N41" s="20"/>
      <c r="O41" s="37">
        <v>39.1</v>
      </c>
      <c r="P41" s="37">
        <v>38.799999999999997</v>
      </c>
      <c r="Q41" s="38">
        <f t="shared" si="1"/>
        <v>39</v>
      </c>
      <c r="R41" s="17"/>
      <c r="S41" s="17"/>
      <c r="T41" s="22"/>
      <c r="U41" s="17">
        <v>6.8620000000000001</v>
      </c>
      <c r="V41" s="17">
        <v>6.8230000000000004</v>
      </c>
      <c r="W41" s="22">
        <f t="shared" si="3"/>
        <v>6.843</v>
      </c>
      <c r="X41" s="17"/>
      <c r="Y41" s="17"/>
      <c r="Z41" s="21"/>
      <c r="AA41" s="19">
        <v>0.442</v>
      </c>
      <c r="AB41" s="19"/>
      <c r="AC41" s="21">
        <f t="shared" si="5"/>
        <v>0.442</v>
      </c>
      <c r="AD41" s="19"/>
      <c r="AE41" s="19"/>
      <c r="AF41" s="21"/>
      <c r="AG41" s="19">
        <v>0.92200000000000004</v>
      </c>
      <c r="AH41" s="19">
        <v>0.90400000000000003</v>
      </c>
      <c r="AI41" s="21">
        <f t="shared" si="7"/>
        <v>0.91300000000000003</v>
      </c>
      <c r="AJ41" s="19">
        <v>0.71</v>
      </c>
      <c r="AK41" s="19">
        <v>0.70399999999999996</v>
      </c>
      <c r="AL41" s="21">
        <f t="shared" si="8"/>
        <v>0.70699999999999996</v>
      </c>
      <c r="AM41" s="19">
        <v>56.442999999999998</v>
      </c>
      <c r="AN41" s="19"/>
      <c r="AO41" s="21">
        <f t="shared" si="9"/>
        <v>56.442999999999998</v>
      </c>
      <c r="AP41" s="46">
        <v>1.2307999999999999</v>
      </c>
      <c r="AQ41" s="46">
        <v>1.2248000000000001</v>
      </c>
      <c r="AR41" s="45">
        <f t="shared" si="10"/>
        <v>1.2278</v>
      </c>
    </row>
    <row r="42" spans="1:44">
      <c r="A42" s="7" t="s">
        <v>150</v>
      </c>
      <c r="B42" s="5" t="s">
        <v>151</v>
      </c>
      <c r="C42" s="6"/>
      <c r="D42" s="6"/>
      <c r="E42" s="23"/>
      <c r="F42" s="23"/>
      <c r="G42" s="49"/>
      <c r="H42" s="24"/>
      <c r="I42" s="23">
        <v>18.100000000000001</v>
      </c>
      <c r="J42" s="23"/>
      <c r="K42" s="15">
        <v>15.7</v>
      </c>
      <c r="L42" s="15">
        <v>18.5</v>
      </c>
      <c r="M42" s="15">
        <v>18.5</v>
      </c>
      <c r="N42" s="20">
        <f t="shared" si="0"/>
        <v>17.600000000000001</v>
      </c>
      <c r="O42" s="37">
        <v>10.4</v>
      </c>
      <c r="P42" s="37">
        <v>10.199999999999999</v>
      </c>
      <c r="Q42" s="38">
        <f t="shared" si="1"/>
        <v>10.3</v>
      </c>
      <c r="R42" s="17">
        <v>13.021000000000001</v>
      </c>
      <c r="S42" s="17">
        <v>13.012</v>
      </c>
      <c r="T42" s="22">
        <f t="shared" si="2"/>
        <v>13.016999999999999</v>
      </c>
      <c r="U42" s="17">
        <v>11.977</v>
      </c>
      <c r="V42" s="17">
        <v>11.959</v>
      </c>
      <c r="W42" s="22">
        <f t="shared" si="3"/>
        <v>11.968</v>
      </c>
      <c r="X42" s="17">
        <v>6.6440000000000001</v>
      </c>
      <c r="Y42" s="17">
        <v>6.5019999999999998</v>
      </c>
      <c r="Z42" s="21">
        <f t="shared" si="4"/>
        <v>6.5730000000000004</v>
      </c>
      <c r="AA42" s="19">
        <v>4.7309999999999999</v>
      </c>
      <c r="AB42" s="19"/>
      <c r="AC42" s="21">
        <f t="shared" si="5"/>
        <v>4.7309999999999999</v>
      </c>
      <c r="AD42" s="19">
        <v>0.877</v>
      </c>
      <c r="AE42" s="19">
        <v>0.89200000000000002</v>
      </c>
      <c r="AF42" s="21">
        <f t="shared" si="6"/>
        <v>0.88500000000000001</v>
      </c>
      <c r="AG42" s="19">
        <v>0.499</v>
      </c>
      <c r="AH42" s="19">
        <v>0.48799999999999999</v>
      </c>
      <c r="AI42" s="21">
        <f t="shared" si="7"/>
        <v>0.49399999999999999</v>
      </c>
      <c r="AJ42" s="19">
        <v>0.49299999999999999</v>
      </c>
      <c r="AK42" s="19">
        <v>0.48699999999999999</v>
      </c>
      <c r="AL42" s="21">
        <f t="shared" si="8"/>
        <v>0.49</v>
      </c>
      <c r="AM42" s="19">
        <v>70.016999999999996</v>
      </c>
      <c r="AN42" s="19"/>
      <c r="AO42" s="21">
        <f t="shared" si="9"/>
        <v>70.016999999999996</v>
      </c>
      <c r="AP42" s="46">
        <v>0.1429</v>
      </c>
      <c r="AQ42" s="46">
        <v>0.1447</v>
      </c>
      <c r="AR42" s="45">
        <f t="shared" si="10"/>
        <v>0.14380000000000001</v>
      </c>
    </row>
    <row r="43" spans="1:44">
      <c r="A43" s="7" t="s">
        <v>152</v>
      </c>
      <c r="B43" s="5" t="s">
        <v>153</v>
      </c>
      <c r="C43" s="6"/>
      <c r="D43" s="6"/>
      <c r="E43" s="23"/>
      <c r="F43" s="23"/>
      <c r="G43" s="49"/>
      <c r="H43" s="24"/>
      <c r="I43" s="23"/>
      <c r="J43" s="23"/>
      <c r="K43" s="15"/>
      <c r="L43" s="15"/>
      <c r="M43" s="15"/>
      <c r="N43" s="20"/>
      <c r="O43" s="37">
        <v>1.4</v>
      </c>
      <c r="P43" s="37">
        <v>1.2</v>
      </c>
      <c r="Q43" s="38">
        <f t="shared" si="1"/>
        <v>1.3</v>
      </c>
      <c r="R43" s="17"/>
      <c r="S43" s="17"/>
      <c r="T43" s="22"/>
      <c r="U43" s="17">
        <v>23.433</v>
      </c>
      <c r="V43" s="17">
        <v>23.443999999999999</v>
      </c>
      <c r="W43" s="22">
        <f t="shared" si="3"/>
        <v>23.439</v>
      </c>
      <c r="X43" s="17"/>
      <c r="Y43" s="17"/>
      <c r="Z43" s="21"/>
      <c r="AA43" s="19">
        <v>23.021000000000001</v>
      </c>
      <c r="AB43" s="19"/>
      <c r="AC43" s="21">
        <f t="shared" si="5"/>
        <v>23.021000000000001</v>
      </c>
      <c r="AD43" s="19"/>
      <c r="AE43" s="19"/>
      <c r="AF43" s="21"/>
      <c r="AG43" s="19">
        <v>0.52400000000000002</v>
      </c>
      <c r="AH43" s="19">
        <v>0.53500000000000003</v>
      </c>
      <c r="AI43" s="21">
        <f t="shared" si="7"/>
        <v>0.53</v>
      </c>
      <c r="AJ43" s="19">
        <v>0.52200000000000002</v>
      </c>
      <c r="AK43" s="19">
        <v>0.53</v>
      </c>
      <c r="AL43" s="21">
        <f t="shared" si="8"/>
        <v>0.52600000000000002</v>
      </c>
      <c r="AM43" s="19">
        <v>43.308999999999997</v>
      </c>
      <c r="AN43" s="19"/>
      <c r="AO43" s="21">
        <f t="shared" si="9"/>
        <v>43.308999999999997</v>
      </c>
      <c r="AP43" s="46">
        <v>3.6799999999999999E-2</v>
      </c>
      <c r="AQ43" s="46">
        <v>3.8699999999999998E-2</v>
      </c>
      <c r="AR43" s="45">
        <f t="shared" si="10"/>
        <v>3.78E-2</v>
      </c>
    </row>
    <row r="44" spans="1:44">
      <c r="A44" s="7" t="s">
        <v>155</v>
      </c>
      <c r="B44" s="5" t="s">
        <v>157</v>
      </c>
      <c r="C44" s="6"/>
      <c r="D44" s="6"/>
      <c r="E44" s="23"/>
      <c r="F44" s="23"/>
      <c r="G44" s="49"/>
      <c r="H44" s="24"/>
      <c r="I44" s="23"/>
      <c r="J44" s="23"/>
      <c r="K44" s="15"/>
      <c r="L44" s="15"/>
      <c r="M44" s="15"/>
      <c r="N44" s="20"/>
      <c r="O44" s="37">
        <v>0.9</v>
      </c>
      <c r="P44" s="37">
        <v>0.8</v>
      </c>
      <c r="Q44" s="38">
        <f t="shared" si="1"/>
        <v>0.9</v>
      </c>
      <c r="R44" s="17"/>
      <c r="S44" s="17"/>
      <c r="T44" s="22"/>
      <c r="U44" s="17">
        <v>19.209</v>
      </c>
      <c r="V44" s="17">
        <v>19.163</v>
      </c>
      <c r="W44" s="22">
        <f t="shared" si="3"/>
        <v>19.186</v>
      </c>
      <c r="X44" s="17"/>
      <c r="Y44" s="17"/>
      <c r="Z44" s="21"/>
      <c r="AA44" s="19"/>
      <c r="AB44" s="19"/>
      <c r="AC44" s="21"/>
      <c r="AD44" s="19"/>
      <c r="AE44" s="19"/>
      <c r="AF44" s="21"/>
      <c r="AG44" s="19">
        <v>6.0000000000000001E-3</v>
      </c>
      <c r="AH44" s="19">
        <v>5.0000000000000001E-3</v>
      </c>
      <c r="AI44" s="21">
        <f t="shared" si="7"/>
        <v>6.0000000000000001E-3</v>
      </c>
      <c r="AJ44" s="19">
        <v>3.0000000000000001E-3</v>
      </c>
      <c r="AK44" s="19">
        <v>2E-3</v>
      </c>
      <c r="AL44" s="21">
        <f t="shared" si="8"/>
        <v>3.0000000000000001E-3</v>
      </c>
      <c r="AM44" s="19"/>
      <c r="AN44" s="19"/>
      <c r="AO44" s="21"/>
      <c r="AP44" s="46">
        <v>2.76E-2</v>
      </c>
      <c r="AQ44" s="46">
        <v>2.9600000000000001E-2</v>
      </c>
      <c r="AR44" s="45">
        <f t="shared" si="10"/>
        <v>2.86E-2</v>
      </c>
    </row>
  </sheetData>
  <mergeCells count="18">
    <mergeCell ref="J1:J2"/>
    <mergeCell ref="K1:N1"/>
    <mergeCell ref="O1:Q1"/>
    <mergeCell ref="R1:T1"/>
    <mergeCell ref="I1:I2"/>
    <mergeCell ref="A1:A2"/>
    <mergeCell ref="B1:B2"/>
    <mergeCell ref="C1:C2"/>
    <mergeCell ref="D1:D2"/>
    <mergeCell ref="E1:H1"/>
    <mergeCell ref="AJ1:AL1"/>
    <mergeCell ref="AM1:AO1"/>
    <mergeCell ref="AP1:AR1"/>
    <mergeCell ref="U1:W1"/>
    <mergeCell ref="X1:Z1"/>
    <mergeCell ref="AA1:AC1"/>
    <mergeCell ref="AD1:AF1"/>
    <mergeCell ref="AG1:AI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40"/>
  <sheetViews>
    <sheetView topLeftCell="A13" zoomScale="85" zoomScaleNormal="85" workbookViewId="0">
      <selection activeCell="A3" sqref="A3:XFD40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20" width="9" style="1"/>
    <col min="21" max="21" width="9" style="3"/>
    <col min="22" max="31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8"/>
      <c r="U1" s="76" t="s">
        <v>126</v>
      </c>
      <c r="V1" s="77"/>
      <c r="W1" s="78"/>
      <c r="X1" s="76" t="s">
        <v>127</v>
      </c>
      <c r="Y1" s="77"/>
      <c r="Z1" s="78"/>
      <c r="AA1" s="76" t="s">
        <v>128</v>
      </c>
      <c r="AB1" s="77"/>
      <c r="AC1" s="78"/>
      <c r="AD1" s="76" t="s">
        <v>129</v>
      </c>
      <c r="AE1" s="77"/>
      <c r="AF1" s="78"/>
      <c r="AG1" s="76" t="s">
        <v>130</v>
      </c>
      <c r="AH1" s="77"/>
      <c r="AI1" s="78"/>
      <c r="AJ1" s="76" t="s">
        <v>131</v>
      </c>
      <c r="AK1" s="77"/>
      <c r="AL1" s="78"/>
      <c r="AM1" s="76" t="s">
        <v>132</v>
      </c>
      <c r="AN1" s="77"/>
      <c r="AO1" s="78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113</v>
      </c>
      <c r="H2" s="12" t="s">
        <v>112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136</v>
      </c>
      <c r="B3" s="9" t="s">
        <v>34</v>
      </c>
      <c r="C3" s="10" t="s">
        <v>35</v>
      </c>
      <c r="D3" s="10" t="s">
        <v>36</v>
      </c>
      <c r="E3" s="20">
        <v>22.4</v>
      </c>
      <c r="F3" s="20">
        <v>7.5</v>
      </c>
      <c r="G3" s="40">
        <v>129</v>
      </c>
      <c r="H3" s="20">
        <v>9.1999999999999993</v>
      </c>
      <c r="I3" s="20">
        <v>1.2</v>
      </c>
      <c r="J3" s="20">
        <v>5.0999999999999996</v>
      </c>
      <c r="K3" s="36">
        <v>3.4</v>
      </c>
      <c r="L3" s="36">
        <v>3.6</v>
      </c>
      <c r="M3" s="36"/>
      <c r="N3" s="20">
        <f>ROUND(AVERAGE(K3:M3),1)</f>
        <v>3.5</v>
      </c>
      <c r="O3" s="36">
        <v>2.8</v>
      </c>
      <c r="P3" s="36">
        <v>2.8</v>
      </c>
      <c r="Q3" s="38">
        <f>ROUND(AVERAGE(O3:P3),1)</f>
        <v>2.8</v>
      </c>
      <c r="R3" s="16">
        <v>0.86699999999999999</v>
      </c>
      <c r="S3" s="16">
        <v>0.89300000000000002</v>
      </c>
      <c r="T3" s="22">
        <f>ROUND(AVERAGE(R3:S3),3)</f>
        <v>0.88</v>
      </c>
      <c r="U3" s="16">
        <v>0.76</v>
      </c>
      <c r="V3" s="16">
        <v>0.753</v>
      </c>
      <c r="W3" s="22">
        <f>ROUND(AVERAGE(U3:V3),3)</f>
        <v>0.75700000000000001</v>
      </c>
      <c r="X3" s="16">
        <v>5.2999999999999999E-2</v>
      </c>
      <c r="Y3" s="16">
        <v>5.5E-2</v>
      </c>
      <c r="Z3" s="21">
        <f>ROUND(AVERAGE(X3:Y3),3)</f>
        <v>5.3999999999999999E-2</v>
      </c>
      <c r="AA3" s="18">
        <v>0.46700000000000003</v>
      </c>
      <c r="AB3" s="18">
        <v>0.49299999999999999</v>
      </c>
      <c r="AC3" s="21">
        <f>ROUND(AVERAGE(AA3:AB3),3)</f>
        <v>0.48</v>
      </c>
      <c r="AD3" s="18">
        <v>0.1</v>
      </c>
      <c r="AE3" s="18">
        <v>9.6000000000000002E-2</v>
      </c>
      <c r="AF3" s="21">
        <f>ROUND(AVERAGE(AD3:AE3),3)</f>
        <v>9.8000000000000004E-2</v>
      </c>
      <c r="AG3" s="18">
        <v>5.5E-2</v>
      </c>
      <c r="AH3" s="18">
        <v>5.3999999999999999E-2</v>
      </c>
      <c r="AI3" s="21">
        <f>ROUND(AVERAGE(AG3:AH3),3)</f>
        <v>5.5E-2</v>
      </c>
      <c r="AJ3" s="18">
        <v>4.2999999999999997E-2</v>
      </c>
      <c r="AK3" s="18">
        <v>4.3999999999999997E-2</v>
      </c>
      <c r="AL3" s="21">
        <f>ROUND(AVERAGE(AJ3:AK3),3)</f>
        <v>4.3999999999999997E-2</v>
      </c>
      <c r="AM3" s="18">
        <v>10.115</v>
      </c>
      <c r="AN3" s="18">
        <v>10.278</v>
      </c>
      <c r="AO3" s="21">
        <f>ROUND(AVERAGE(AM3:AN3),3)</f>
        <v>10.196999999999999</v>
      </c>
      <c r="AP3" s="44">
        <v>0.1091</v>
      </c>
      <c r="AQ3" s="44">
        <v>0.1051</v>
      </c>
      <c r="AR3" s="45">
        <f>ROUND(AVERAGE(AP3:AQ3),4)</f>
        <v>0.1071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23.5</v>
      </c>
      <c r="F4" s="23">
        <v>7.3</v>
      </c>
      <c r="G4" s="41">
        <v>110</v>
      </c>
      <c r="H4" s="23">
        <v>8.5</v>
      </c>
      <c r="I4" s="23">
        <v>1.1000000000000001</v>
      </c>
      <c r="J4" s="23">
        <v>4.8</v>
      </c>
      <c r="K4" s="37">
        <v>3.4</v>
      </c>
      <c r="L4" s="37">
        <v>3.5</v>
      </c>
      <c r="M4" s="37"/>
      <c r="N4" s="20">
        <f t="shared" ref="N4:N40" si="0">ROUND(AVERAGE(K4:M4),1)</f>
        <v>3.5</v>
      </c>
      <c r="O4" s="37">
        <v>3.1</v>
      </c>
      <c r="P4" s="37">
        <v>2.9</v>
      </c>
      <c r="Q4" s="38">
        <f t="shared" ref="Q4:Q40" si="1">ROUND(AVERAGE(O4:P4),1)</f>
        <v>3</v>
      </c>
      <c r="R4" s="17">
        <v>1.4370000000000001</v>
      </c>
      <c r="S4" s="17">
        <v>1.387</v>
      </c>
      <c r="T4" s="22">
        <f t="shared" ref="T4:T40" si="2">ROUND(AVERAGE(R4:S4),3)</f>
        <v>1.4119999999999999</v>
      </c>
      <c r="U4" s="17">
        <v>1.294</v>
      </c>
      <c r="V4" s="17">
        <v>1.3009999999999999</v>
      </c>
      <c r="W4" s="22">
        <f t="shared" ref="W4:W40" si="3">ROUND(AVERAGE(U4:V4),3)</f>
        <v>1.298</v>
      </c>
      <c r="X4" s="17">
        <v>7.2999999999999995E-2</v>
      </c>
      <c r="Y4" s="17">
        <v>7.2999999999999995E-2</v>
      </c>
      <c r="Z4" s="21">
        <f t="shared" ref="Z4:Z40" si="4">ROUND(AVERAGE(X4:Y4),3)</f>
        <v>7.2999999999999995E-2</v>
      </c>
      <c r="AA4" s="19">
        <v>0.93100000000000005</v>
      </c>
      <c r="AB4" s="19">
        <v>0.97599999999999998</v>
      </c>
      <c r="AC4" s="21">
        <f t="shared" ref="AC4:AC40" si="5">ROUND(AVERAGE(AA4:AB4),3)</f>
        <v>0.95399999999999996</v>
      </c>
      <c r="AD4" s="19">
        <v>5.1999999999999998E-2</v>
      </c>
      <c r="AE4" s="19">
        <v>4.7E-2</v>
      </c>
      <c r="AF4" s="21">
        <f t="shared" ref="AF4:AF40" si="6">ROUND(AVERAGE(AD4:AE4),3)</f>
        <v>0.05</v>
      </c>
      <c r="AG4" s="19">
        <v>2.8000000000000001E-2</v>
      </c>
      <c r="AH4" s="19">
        <v>2.7E-2</v>
      </c>
      <c r="AI4" s="21">
        <f t="shared" ref="AI4:AI40" si="7">ROUND(AVERAGE(AG4:AH4),3)</f>
        <v>2.8000000000000001E-2</v>
      </c>
      <c r="AJ4" s="19">
        <v>1.4E-2</v>
      </c>
      <c r="AK4" s="19">
        <v>1.4E-2</v>
      </c>
      <c r="AL4" s="21">
        <f t="shared" ref="AL4:AL40" si="8">ROUND(AVERAGE(AJ4:AK4),3)</f>
        <v>1.4E-2</v>
      </c>
      <c r="AM4" s="19">
        <v>5.9710000000000001</v>
      </c>
      <c r="AN4" s="19">
        <v>6.101</v>
      </c>
      <c r="AO4" s="21">
        <f t="shared" ref="AO4:AO40" si="9">ROUND(AVERAGE(AM4:AN4),3)</f>
        <v>6.0359999999999996</v>
      </c>
      <c r="AP4" s="46">
        <v>0.1094</v>
      </c>
      <c r="AQ4" s="46">
        <v>0.10630000000000001</v>
      </c>
      <c r="AR4" s="45">
        <f t="shared" ref="AR4:AR40" si="10">ROUND(AVERAGE(AP4:AQ4),4)</f>
        <v>0.1079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23.8</v>
      </c>
      <c r="F5" s="23">
        <v>7.4</v>
      </c>
      <c r="G5" s="41">
        <v>126</v>
      </c>
      <c r="H5" s="23">
        <v>9.4</v>
      </c>
      <c r="I5" s="23">
        <v>1</v>
      </c>
      <c r="J5" s="23">
        <v>4.5999999999999996</v>
      </c>
      <c r="K5" s="37">
        <v>3.4</v>
      </c>
      <c r="L5" s="37">
        <v>3.3</v>
      </c>
      <c r="M5" s="37"/>
      <c r="N5" s="20">
        <f t="shared" si="0"/>
        <v>3.4</v>
      </c>
      <c r="O5" s="37">
        <v>2.9</v>
      </c>
      <c r="P5" s="37">
        <v>2.8</v>
      </c>
      <c r="Q5" s="38">
        <f t="shared" si="1"/>
        <v>2.9</v>
      </c>
      <c r="R5" s="17">
        <v>1.1870000000000001</v>
      </c>
      <c r="S5" s="17">
        <v>1.1970000000000001</v>
      </c>
      <c r="T5" s="22">
        <f t="shared" si="2"/>
        <v>1.1919999999999999</v>
      </c>
      <c r="U5" s="17">
        <v>1.042</v>
      </c>
      <c r="V5" s="17">
        <v>1.0549999999999999</v>
      </c>
      <c r="W5" s="22">
        <f t="shared" si="3"/>
        <v>1.0489999999999999</v>
      </c>
      <c r="X5" s="17">
        <v>6.8000000000000005E-2</v>
      </c>
      <c r="Y5" s="17">
        <v>6.3E-2</v>
      </c>
      <c r="Z5" s="21">
        <f t="shared" si="4"/>
        <v>6.6000000000000003E-2</v>
      </c>
      <c r="AA5" s="19">
        <v>0.72499999999999998</v>
      </c>
      <c r="AB5" s="19">
        <v>0.76300000000000001</v>
      </c>
      <c r="AC5" s="21">
        <f t="shared" si="5"/>
        <v>0.74399999999999999</v>
      </c>
      <c r="AD5" s="19">
        <v>7.9000000000000001E-2</v>
      </c>
      <c r="AE5" s="19">
        <v>7.5999999999999998E-2</v>
      </c>
      <c r="AF5" s="21">
        <f t="shared" si="6"/>
        <v>7.8E-2</v>
      </c>
      <c r="AG5" s="19">
        <v>3.6999999999999998E-2</v>
      </c>
      <c r="AH5" s="19">
        <v>3.9E-2</v>
      </c>
      <c r="AI5" s="21">
        <f t="shared" si="7"/>
        <v>3.7999999999999999E-2</v>
      </c>
      <c r="AJ5" s="19">
        <v>2.7E-2</v>
      </c>
      <c r="AK5" s="19">
        <v>2.8000000000000001E-2</v>
      </c>
      <c r="AL5" s="21">
        <f t="shared" si="8"/>
        <v>2.8000000000000001E-2</v>
      </c>
      <c r="AM5" s="19">
        <v>8.9770000000000003</v>
      </c>
      <c r="AN5" s="19">
        <v>9.1210000000000004</v>
      </c>
      <c r="AO5" s="21">
        <f t="shared" si="9"/>
        <v>9.0489999999999995</v>
      </c>
      <c r="AP5" s="46">
        <v>0.1055</v>
      </c>
      <c r="AQ5" s="46">
        <v>0.10299999999999999</v>
      </c>
      <c r="AR5" s="45">
        <f t="shared" si="10"/>
        <v>0.1043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23.2</v>
      </c>
      <c r="F6" s="23">
        <v>7.5</v>
      </c>
      <c r="G6" s="41">
        <v>83</v>
      </c>
      <c r="H6" s="23">
        <v>9.1</v>
      </c>
      <c r="I6" s="23">
        <v>0.8</v>
      </c>
      <c r="J6" s="23">
        <v>4.2</v>
      </c>
      <c r="K6" s="37">
        <v>2.8</v>
      </c>
      <c r="L6" s="37">
        <v>2.8</v>
      </c>
      <c r="M6" s="37"/>
      <c r="N6" s="20">
        <f t="shared" si="0"/>
        <v>2.8</v>
      </c>
      <c r="O6" s="37">
        <v>2.5</v>
      </c>
      <c r="P6" s="37">
        <v>2.6</v>
      </c>
      <c r="Q6" s="38">
        <f t="shared" si="1"/>
        <v>2.6</v>
      </c>
      <c r="R6" s="17">
        <v>0.81200000000000006</v>
      </c>
      <c r="S6" s="17">
        <v>0.82</v>
      </c>
      <c r="T6" s="22">
        <f t="shared" si="2"/>
        <v>0.81599999999999995</v>
      </c>
      <c r="U6" s="17">
        <v>0.71299999999999997</v>
      </c>
      <c r="V6" s="17">
        <v>0.69899999999999995</v>
      </c>
      <c r="W6" s="22">
        <f t="shared" si="3"/>
        <v>0.70599999999999996</v>
      </c>
      <c r="X6" s="17">
        <v>6.3E-2</v>
      </c>
      <c r="Y6" s="17">
        <v>6.7000000000000004E-2</v>
      </c>
      <c r="Z6" s="21">
        <f t="shared" si="4"/>
        <v>6.5000000000000002E-2</v>
      </c>
      <c r="AA6" s="19">
        <v>0.47499999999999998</v>
      </c>
      <c r="AB6" s="19">
        <v>0.505</v>
      </c>
      <c r="AC6" s="21">
        <f t="shared" si="5"/>
        <v>0.49</v>
      </c>
      <c r="AD6" s="19">
        <v>4.4999999999999998E-2</v>
      </c>
      <c r="AE6" s="19">
        <v>4.1000000000000002E-2</v>
      </c>
      <c r="AF6" s="21">
        <f t="shared" si="6"/>
        <v>4.2999999999999997E-2</v>
      </c>
      <c r="AG6" s="19">
        <v>2.1999999999999999E-2</v>
      </c>
      <c r="AH6" s="19">
        <v>2.1999999999999999E-2</v>
      </c>
      <c r="AI6" s="21">
        <f t="shared" si="7"/>
        <v>2.1999999999999999E-2</v>
      </c>
      <c r="AJ6" s="19">
        <v>1.0999999999999999E-2</v>
      </c>
      <c r="AK6" s="19">
        <v>1.0999999999999999E-2</v>
      </c>
      <c r="AL6" s="21">
        <f t="shared" si="8"/>
        <v>1.0999999999999999E-2</v>
      </c>
      <c r="AM6" s="19">
        <v>4.8</v>
      </c>
      <c r="AN6" s="19">
        <v>4.8879999999999999</v>
      </c>
      <c r="AO6" s="21">
        <f t="shared" si="9"/>
        <v>4.8440000000000003</v>
      </c>
      <c r="AP6" s="46">
        <v>0.1118</v>
      </c>
      <c r="AQ6" s="46">
        <v>0.1094</v>
      </c>
      <c r="AR6" s="45">
        <f t="shared" si="10"/>
        <v>0.1106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22.8</v>
      </c>
      <c r="F7" s="23">
        <v>7.2</v>
      </c>
      <c r="G7" s="41">
        <v>126</v>
      </c>
      <c r="H7" s="23">
        <v>7.8</v>
      </c>
      <c r="I7" s="23">
        <v>1.1000000000000001</v>
      </c>
      <c r="J7" s="23">
        <v>5.4</v>
      </c>
      <c r="K7" s="37">
        <v>3.6</v>
      </c>
      <c r="L7" s="37">
        <v>3.7</v>
      </c>
      <c r="M7" s="37"/>
      <c r="N7" s="20">
        <f t="shared" si="0"/>
        <v>3.7</v>
      </c>
      <c r="O7" s="37">
        <v>3.3</v>
      </c>
      <c r="P7" s="37">
        <v>3.2</v>
      </c>
      <c r="Q7" s="38">
        <f t="shared" si="1"/>
        <v>3.3</v>
      </c>
      <c r="R7" s="17">
        <v>1.32</v>
      </c>
      <c r="S7" s="17">
        <v>1.3320000000000001</v>
      </c>
      <c r="T7" s="22">
        <f t="shared" si="2"/>
        <v>1.3260000000000001</v>
      </c>
      <c r="U7" s="17">
        <v>1.1879999999999999</v>
      </c>
      <c r="V7" s="17">
        <v>1.171</v>
      </c>
      <c r="W7" s="22">
        <f t="shared" si="3"/>
        <v>1.18</v>
      </c>
      <c r="X7" s="17">
        <v>0.121</v>
      </c>
      <c r="Y7" s="17">
        <v>0.126</v>
      </c>
      <c r="Z7" s="21">
        <f t="shared" si="4"/>
        <v>0.124</v>
      </c>
      <c r="AA7" s="19">
        <v>0.8</v>
      </c>
      <c r="AB7" s="19">
        <v>0.84099999999999997</v>
      </c>
      <c r="AC7" s="21">
        <f t="shared" si="5"/>
        <v>0.82099999999999995</v>
      </c>
      <c r="AD7" s="19">
        <v>0.104</v>
      </c>
      <c r="AE7" s="19">
        <v>9.9000000000000005E-2</v>
      </c>
      <c r="AF7" s="21">
        <f t="shared" si="6"/>
        <v>0.10199999999999999</v>
      </c>
      <c r="AG7" s="19">
        <v>0.06</v>
      </c>
      <c r="AH7" s="19">
        <v>6.2E-2</v>
      </c>
      <c r="AI7" s="21">
        <f t="shared" si="7"/>
        <v>6.0999999999999999E-2</v>
      </c>
      <c r="AJ7" s="19">
        <v>5.2999999999999999E-2</v>
      </c>
      <c r="AK7" s="19">
        <v>5.6000000000000001E-2</v>
      </c>
      <c r="AL7" s="21">
        <f t="shared" si="8"/>
        <v>5.5E-2</v>
      </c>
      <c r="AM7" s="19">
        <v>8.82</v>
      </c>
      <c r="AN7" s="19">
        <v>9.01</v>
      </c>
      <c r="AO7" s="21">
        <f t="shared" si="9"/>
        <v>8.9149999999999991</v>
      </c>
      <c r="AP7" s="46">
        <v>0.1229</v>
      </c>
      <c r="AQ7" s="46">
        <v>0.12089999999999999</v>
      </c>
      <c r="AR7" s="45">
        <f t="shared" si="10"/>
        <v>0.12189999999999999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23</v>
      </c>
      <c r="F8" s="23">
        <v>7.4</v>
      </c>
      <c r="G8" s="41">
        <v>103</v>
      </c>
      <c r="H8" s="23">
        <v>9</v>
      </c>
      <c r="I8" s="23">
        <v>1.5</v>
      </c>
      <c r="J8" s="23">
        <v>6</v>
      </c>
      <c r="K8" s="37">
        <v>4.3</v>
      </c>
      <c r="L8" s="37">
        <v>4.0999999999999996</v>
      </c>
      <c r="M8" s="37"/>
      <c r="N8" s="20">
        <f t="shared" si="0"/>
        <v>4.2</v>
      </c>
      <c r="O8" s="37">
        <v>3.7</v>
      </c>
      <c r="P8" s="37">
        <v>3.5</v>
      </c>
      <c r="Q8" s="38">
        <f t="shared" si="1"/>
        <v>3.6</v>
      </c>
      <c r="R8" s="17">
        <v>1.0269999999999999</v>
      </c>
      <c r="S8" s="17">
        <v>1.085</v>
      </c>
      <c r="T8" s="22">
        <f t="shared" si="2"/>
        <v>1.056</v>
      </c>
      <c r="U8" s="17">
        <v>0.92100000000000004</v>
      </c>
      <c r="V8" s="17">
        <v>0.91600000000000004</v>
      </c>
      <c r="W8" s="22">
        <f t="shared" si="3"/>
        <v>0.91900000000000004</v>
      </c>
      <c r="X8" s="17">
        <v>0.11</v>
      </c>
      <c r="Y8" s="17">
        <v>9.7000000000000003E-2</v>
      </c>
      <c r="Z8" s="21">
        <f t="shared" si="4"/>
        <v>0.104</v>
      </c>
      <c r="AA8" s="19">
        <v>0.52100000000000002</v>
      </c>
      <c r="AB8" s="19">
        <v>0.55300000000000005</v>
      </c>
      <c r="AC8" s="21">
        <f t="shared" si="5"/>
        <v>0.53700000000000003</v>
      </c>
      <c r="AD8" s="19">
        <v>9.8000000000000004E-2</v>
      </c>
      <c r="AE8" s="19">
        <v>9.5000000000000001E-2</v>
      </c>
      <c r="AF8" s="21">
        <f t="shared" si="6"/>
        <v>9.7000000000000003E-2</v>
      </c>
      <c r="AG8" s="19">
        <v>5.5E-2</v>
      </c>
      <c r="AH8" s="19">
        <v>5.1999999999999998E-2</v>
      </c>
      <c r="AI8" s="21">
        <f t="shared" si="7"/>
        <v>5.3999999999999999E-2</v>
      </c>
      <c r="AJ8" s="19">
        <v>0.04</v>
      </c>
      <c r="AK8" s="19">
        <v>4.1000000000000002E-2</v>
      </c>
      <c r="AL8" s="21">
        <f t="shared" si="8"/>
        <v>4.1000000000000002E-2</v>
      </c>
      <c r="AM8" s="19">
        <v>5.8010000000000002</v>
      </c>
      <c r="AN8" s="19">
        <v>5.9359999999999999</v>
      </c>
      <c r="AO8" s="21">
        <f t="shared" si="9"/>
        <v>5.8689999999999998</v>
      </c>
      <c r="AP8" s="46">
        <v>0.1588</v>
      </c>
      <c r="AQ8" s="46">
        <v>0.15620000000000001</v>
      </c>
      <c r="AR8" s="45">
        <f t="shared" si="10"/>
        <v>0.1575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23.2</v>
      </c>
      <c r="F9" s="23">
        <v>7.1</v>
      </c>
      <c r="G9" s="41">
        <v>116</v>
      </c>
      <c r="H9" s="23">
        <v>8.1999999999999993</v>
      </c>
      <c r="I9" s="23">
        <v>1</v>
      </c>
      <c r="J9" s="23">
        <v>5.3</v>
      </c>
      <c r="K9" s="37">
        <v>3.5</v>
      </c>
      <c r="L9" s="37">
        <v>3.5</v>
      </c>
      <c r="M9" s="37"/>
      <c r="N9" s="20">
        <f t="shared" si="0"/>
        <v>3.5</v>
      </c>
      <c r="O9" s="37">
        <v>3.2</v>
      </c>
      <c r="P9" s="37">
        <v>3.1</v>
      </c>
      <c r="Q9" s="38">
        <f t="shared" si="1"/>
        <v>3.2</v>
      </c>
      <c r="R9" s="17">
        <v>1.115</v>
      </c>
      <c r="S9" s="17">
        <v>1.157</v>
      </c>
      <c r="T9" s="22">
        <f t="shared" si="2"/>
        <v>1.1359999999999999</v>
      </c>
      <c r="U9" s="17">
        <v>1.036</v>
      </c>
      <c r="V9" s="17">
        <v>1.0509999999999999</v>
      </c>
      <c r="W9" s="22">
        <f t="shared" si="3"/>
        <v>1.044</v>
      </c>
      <c r="X9" s="17">
        <v>6.5000000000000002E-2</v>
      </c>
      <c r="Y9" s="17">
        <v>6.5000000000000002E-2</v>
      </c>
      <c r="Z9" s="21">
        <f t="shared" si="4"/>
        <v>6.5000000000000002E-2</v>
      </c>
      <c r="AA9" s="19">
        <v>0.69299999999999995</v>
      </c>
      <c r="AB9" s="19">
        <v>0.73</v>
      </c>
      <c r="AC9" s="21">
        <f t="shared" si="5"/>
        <v>0.71199999999999997</v>
      </c>
      <c r="AD9" s="19">
        <v>7.0999999999999994E-2</v>
      </c>
      <c r="AE9" s="19">
        <v>7.0000000000000007E-2</v>
      </c>
      <c r="AF9" s="21">
        <f t="shared" si="6"/>
        <v>7.0999999999999994E-2</v>
      </c>
      <c r="AG9" s="19">
        <v>4.2999999999999997E-2</v>
      </c>
      <c r="AH9" s="19">
        <v>4.2000000000000003E-2</v>
      </c>
      <c r="AI9" s="21">
        <f t="shared" si="7"/>
        <v>4.2999999999999997E-2</v>
      </c>
      <c r="AJ9" s="19">
        <v>3.2000000000000001E-2</v>
      </c>
      <c r="AK9" s="19">
        <v>3.2000000000000001E-2</v>
      </c>
      <c r="AL9" s="21">
        <f t="shared" si="8"/>
        <v>3.2000000000000001E-2</v>
      </c>
      <c r="AM9" s="19">
        <v>7.8230000000000004</v>
      </c>
      <c r="AN9" s="19">
        <v>8.0169999999999995</v>
      </c>
      <c r="AO9" s="21">
        <f t="shared" si="9"/>
        <v>7.92</v>
      </c>
      <c r="AP9" s="46">
        <v>0.127</v>
      </c>
      <c r="AQ9" s="46">
        <v>0.12470000000000001</v>
      </c>
      <c r="AR9" s="45">
        <f t="shared" si="10"/>
        <v>0.12590000000000001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22</v>
      </c>
      <c r="F10" s="23">
        <v>6.7</v>
      </c>
      <c r="G10" s="41">
        <v>148</v>
      </c>
      <c r="H10" s="23">
        <v>6.4</v>
      </c>
      <c r="I10" s="23">
        <v>0.9</v>
      </c>
      <c r="J10" s="23">
        <v>4</v>
      </c>
      <c r="K10" s="37">
        <v>2.7</v>
      </c>
      <c r="L10" s="37">
        <v>2.7</v>
      </c>
      <c r="M10" s="37"/>
      <c r="N10" s="20">
        <f t="shared" si="0"/>
        <v>2.7</v>
      </c>
      <c r="O10" s="37">
        <v>2.2999999999999998</v>
      </c>
      <c r="P10" s="37">
        <v>2.2000000000000002</v>
      </c>
      <c r="Q10" s="38">
        <f t="shared" si="1"/>
        <v>2.2999999999999998</v>
      </c>
      <c r="R10" s="17">
        <v>2.6469999999999998</v>
      </c>
      <c r="S10" s="17">
        <v>2.5960000000000001</v>
      </c>
      <c r="T10" s="22">
        <f t="shared" si="2"/>
        <v>2.6219999999999999</v>
      </c>
      <c r="U10" s="17">
        <v>2.4580000000000002</v>
      </c>
      <c r="V10" s="17">
        <v>2.46</v>
      </c>
      <c r="W10" s="22">
        <f t="shared" si="3"/>
        <v>2.4590000000000001</v>
      </c>
      <c r="X10" s="17">
        <v>9.1999999999999998E-2</v>
      </c>
      <c r="Y10" s="17">
        <v>9.5000000000000001E-2</v>
      </c>
      <c r="Z10" s="21">
        <f t="shared" si="4"/>
        <v>9.4E-2</v>
      </c>
      <c r="AA10" s="19">
        <v>2.1520000000000001</v>
      </c>
      <c r="AB10" s="19">
        <v>2.2109999999999999</v>
      </c>
      <c r="AC10" s="21">
        <f t="shared" si="5"/>
        <v>2.1819999999999999</v>
      </c>
      <c r="AD10" s="19">
        <v>0.27600000000000002</v>
      </c>
      <c r="AE10" s="19">
        <v>0.25700000000000001</v>
      </c>
      <c r="AF10" s="21">
        <f t="shared" si="6"/>
        <v>0.26700000000000002</v>
      </c>
      <c r="AG10" s="19">
        <v>0.218</v>
      </c>
      <c r="AH10" s="19">
        <v>0.223</v>
      </c>
      <c r="AI10" s="21">
        <f t="shared" si="7"/>
        <v>0.221</v>
      </c>
      <c r="AJ10" s="19">
        <v>0.217</v>
      </c>
      <c r="AK10" s="19">
        <v>0.218</v>
      </c>
      <c r="AL10" s="21">
        <f t="shared" si="8"/>
        <v>0.218</v>
      </c>
      <c r="AM10" s="19">
        <v>9.6120000000000001</v>
      </c>
      <c r="AN10" s="19">
        <v>9.8889999999999993</v>
      </c>
      <c r="AO10" s="21">
        <f t="shared" si="9"/>
        <v>9.7509999999999994</v>
      </c>
      <c r="AP10" s="46">
        <v>8.8900000000000007E-2</v>
      </c>
      <c r="AQ10" s="46">
        <v>8.6499999999999994E-2</v>
      </c>
      <c r="AR10" s="45">
        <f t="shared" si="10"/>
        <v>8.77E-2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24.6</v>
      </c>
      <c r="F11" s="23">
        <v>6.9</v>
      </c>
      <c r="G11" s="41">
        <v>122</v>
      </c>
      <c r="H11" s="23">
        <v>7.4</v>
      </c>
      <c r="I11" s="23">
        <v>1.2</v>
      </c>
      <c r="J11" s="23">
        <v>6.1</v>
      </c>
      <c r="K11" s="37">
        <v>4.2</v>
      </c>
      <c r="L11" s="37">
        <v>4.2</v>
      </c>
      <c r="M11" s="37"/>
      <c r="N11" s="20">
        <f t="shared" si="0"/>
        <v>4.2</v>
      </c>
      <c r="O11" s="37">
        <v>3.6</v>
      </c>
      <c r="P11" s="37">
        <v>3.7</v>
      </c>
      <c r="Q11" s="38">
        <f t="shared" si="1"/>
        <v>3.7</v>
      </c>
      <c r="R11" s="17">
        <v>1.581</v>
      </c>
      <c r="S11" s="17">
        <v>1.587</v>
      </c>
      <c r="T11" s="22">
        <f t="shared" si="2"/>
        <v>1.5840000000000001</v>
      </c>
      <c r="U11" s="17">
        <v>1.4350000000000001</v>
      </c>
      <c r="V11" s="17">
        <v>1.4</v>
      </c>
      <c r="W11" s="22">
        <f t="shared" si="3"/>
        <v>1.4179999999999999</v>
      </c>
      <c r="X11" s="17">
        <v>0.18</v>
      </c>
      <c r="Y11" s="17">
        <v>0.17799999999999999</v>
      </c>
      <c r="Z11" s="21">
        <f t="shared" si="4"/>
        <v>0.17899999999999999</v>
      </c>
      <c r="AA11" s="19">
        <v>0.90600000000000003</v>
      </c>
      <c r="AB11" s="19">
        <v>0.95699999999999996</v>
      </c>
      <c r="AC11" s="21">
        <f t="shared" si="5"/>
        <v>0.93200000000000005</v>
      </c>
      <c r="AD11" s="19">
        <v>0.13500000000000001</v>
      </c>
      <c r="AE11" s="19">
        <v>0.129</v>
      </c>
      <c r="AF11" s="21">
        <f t="shared" si="6"/>
        <v>0.13200000000000001</v>
      </c>
      <c r="AG11" s="19">
        <v>9.0999999999999998E-2</v>
      </c>
      <c r="AH11" s="19">
        <v>8.5999999999999993E-2</v>
      </c>
      <c r="AI11" s="21">
        <f t="shared" si="7"/>
        <v>8.8999999999999996E-2</v>
      </c>
      <c r="AJ11" s="19">
        <v>0.08</v>
      </c>
      <c r="AK11" s="19">
        <v>7.9000000000000001E-2</v>
      </c>
      <c r="AL11" s="21">
        <f t="shared" si="8"/>
        <v>0.08</v>
      </c>
      <c r="AM11" s="19">
        <v>8.0980000000000008</v>
      </c>
      <c r="AN11" s="19">
        <v>8.3740000000000006</v>
      </c>
      <c r="AO11" s="21">
        <f t="shared" si="9"/>
        <v>8.2360000000000007</v>
      </c>
      <c r="AP11" s="46">
        <v>0.13589999999999999</v>
      </c>
      <c r="AQ11" s="46">
        <v>0.13420000000000001</v>
      </c>
      <c r="AR11" s="45">
        <f t="shared" si="10"/>
        <v>0.1351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23.4</v>
      </c>
      <c r="F12" s="23">
        <v>7.1</v>
      </c>
      <c r="G12" s="41">
        <v>223</v>
      </c>
      <c r="H12" s="23">
        <v>8.6999999999999993</v>
      </c>
      <c r="I12" s="23">
        <v>2.2000000000000002</v>
      </c>
      <c r="J12" s="23">
        <v>8.8000000000000007</v>
      </c>
      <c r="K12" s="37">
        <v>6.8</v>
      </c>
      <c r="L12" s="37">
        <v>6.4</v>
      </c>
      <c r="M12" s="37"/>
      <c r="N12" s="20">
        <f t="shared" si="0"/>
        <v>6.6</v>
      </c>
      <c r="O12" s="37">
        <v>5.8</v>
      </c>
      <c r="P12" s="37">
        <v>5.8</v>
      </c>
      <c r="Q12" s="38">
        <f t="shared" si="1"/>
        <v>5.8</v>
      </c>
      <c r="R12" s="17">
        <v>2.3319999999999999</v>
      </c>
      <c r="S12" s="17">
        <v>2.2850000000000001</v>
      </c>
      <c r="T12" s="22">
        <f t="shared" si="2"/>
        <v>2.3090000000000002</v>
      </c>
      <c r="U12" s="17">
        <v>2.1309999999999998</v>
      </c>
      <c r="V12" s="17">
        <v>2.1259999999999999</v>
      </c>
      <c r="W12" s="22">
        <f t="shared" si="3"/>
        <v>2.129</v>
      </c>
      <c r="X12" s="17">
        <v>0.41699999999999998</v>
      </c>
      <c r="Y12" s="17">
        <v>0.42</v>
      </c>
      <c r="Z12" s="21">
        <f t="shared" si="4"/>
        <v>0.41899999999999998</v>
      </c>
      <c r="AA12" s="19">
        <v>1.091</v>
      </c>
      <c r="AB12" s="19">
        <v>1.129</v>
      </c>
      <c r="AC12" s="21">
        <f t="shared" si="5"/>
        <v>1.1100000000000001</v>
      </c>
      <c r="AD12" s="19">
        <v>0.187</v>
      </c>
      <c r="AE12" s="19">
        <v>0.17699999999999999</v>
      </c>
      <c r="AF12" s="21">
        <f t="shared" si="6"/>
        <v>0.182</v>
      </c>
      <c r="AG12" s="19">
        <v>0.111</v>
      </c>
      <c r="AH12" s="19">
        <v>0.109</v>
      </c>
      <c r="AI12" s="21">
        <f t="shared" si="7"/>
        <v>0.11</v>
      </c>
      <c r="AJ12" s="19">
        <v>0.10299999999999999</v>
      </c>
      <c r="AK12" s="19">
        <v>0.105</v>
      </c>
      <c r="AL12" s="21">
        <f t="shared" si="8"/>
        <v>0.104</v>
      </c>
      <c r="AM12" s="19">
        <v>18.312000000000001</v>
      </c>
      <c r="AN12" s="19">
        <v>18.503</v>
      </c>
      <c r="AO12" s="21">
        <f t="shared" si="9"/>
        <v>18.408000000000001</v>
      </c>
      <c r="AP12" s="46">
        <v>0.19839999999999999</v>
      </c>
      <c r="AQ12" s="46">
        <v>0.1963</v>
      </c>
      <c r="AR12" s="45">
        <f t="shared" si="10"/>
        <v>0.19739999999999999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24</v>
      </c>
      <c r="F13" s="23">
        <v>7.2</v>
      </c>
      <c r="G13" s="41">
        <v>150</v>
      </c>
      <c r="H13" s="23">
        <v>7.5</v>
      </c>
      <c r="I13" s="23">
        <v>1.6</v>
      </c>
      <c r="J13" s="23">
        <v>7.2</v>
      </c>
      <c r="K13" s="37">
        <v>5.0999999999999996</v>
      </c>
      <c r="L13" s="37">
        <v>5</v>
      </c>
      <c r="M13" s="37"/>
      <c r="N13" s="20">
        <f t="shared" si="0"/>
        <v>5.0999999999999996</v>
      </c>
      <c r="O13" s="37">
        <v>4.5</v>
      </c>
      <c r="P13" s="37">
        <v>4.4000000000000004</v>
      </c>
      <c r="Q13" s="38">
        <f t="shared" si="1"/>
        <v>4.5</v>
      </c>
      <c r="R13" s="17">
        <v>2.423</v>
      </c>
      <c r="S13" s="17">
        <v>2.3839999999999999</v>
      </c>
      <c r="T13" s="22">
        <f t="shared" si="2"/>
        <v>2.4039999999999999</v>
      </c>
      <c r="U13" s="17">
        <v>2.19</v>
      </c>
      <c r="V13" s="17">
        <v>2.206</v>
      </c>
      <c r="W13" s="22">
        <f t="shared" si="3"/>
        <v>2.198</v>
      </c>
      <c r="X13" s="17">
        <v>0.192</v>
      </c>
      <c r="Y13" s="17">
        <v>0.2</v>
      </c>
      <c r="Z13" s="21">
        <f t="shared" si="4"/>
        <v>0.19600000000000001</v>
      </c>
      <c r="AA13" s="19">
        <v>1.5309999999999999</v>
      </c>
      <c r="AB13" s="19">
        <v>1.579</v>
      </c>
      <c r="AC13" s="21">
        <f t="shared" si="5"/>
        <v>1.5549999999999999</v>
      </c>
      <c r="AD13" s="19">
        <v>0.24099999999999999</v>
      </c>
      <c r="AE13" s="19">
        <v>0.23100000000000001</v>
      </c>
      <c r="AF13" s="21">
        <f t="shared" si="6"/>
        <v>0.23599999999999999</v>
      </c>
      <c r="AG13" s="19">
        <v>0.14599999999999999</v>
      </c>
      <c r="AH13" s="19">
        <v>0.155</v>
      </c>
      <c r="AI13" s="21">
        <f t="shared" si="7"/>
        <v>0.151</v>
      </c>
      <c r="AJ13" s="19">
        <v>0.14299999999999999</v>
      </c>
      <c r="AK13" s="19">
        <v>0.14699999999999999</v>
      </c>
      <c r="AL13" s="21">
        <f t="shared" si="8"/>
        <v>0.14499999999999999</v>
      </c>
      <c r="AM13" s="19">
        <v>9.3550000000000004</v>
      </c>
      <c r="AN13" s="19">
        <v>9.5429999999999993</v>
      </c>
      <c r="AO13" s="21">
        <f t="shared" si="9"/>
        <v>9.4489999999999998</v>
      </c>
      <c r="AP13" s="46">
        <v>0.16789999999999999</v>
      </c>
      <c r="AQ13" s="46">
        <v>0.16569999999999999</v>
      </c>
      <c r="AR13" s="45">
        <f t="shared" si="10"/>
        <v>0.1668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24</v>
      </c>
      <c r="F14" s="23">
        <v>7.3</v>
      </c>
      <c r="G14" s="41">
        <v>201</v>
      </c>
      <c r="H14" s="23">
        <v>8.6</v>
      </c>
      <c r="I14" s="23">
        <v>0.7</v>
      </c>
      <c r="J14" s="23">
        <v>1.5</v>
      </c>
      <c r="K14" s="37">
        <v>2.1</v>
      </c>
      <c r="L14" s="37">
        <v>2.2000000000000002</v>
      </c>
      <c r="M14" s="37"/>
      <c r="N14" s="20">
        <f t="shared" si="0"/>
        <v>2.2000000000000002</v>
      </c>
      <c r="O14" s="37">
        <v>1.8</v>
      </c>
      <c r="P14" s="37">
        <v>1.7</v>
      </c>
      <c r="Q14" s="38">
        <f t="shared" si="1"/>
        <v>1.8</v>
      </c>
      <c r="R14" s="17">
        <v>1.2310000000000001</v>
      </c>
      <c r="S14" s="17">
        <v>1.236</v>
      </c>
      <c r="T14" s="22">
        <f t="shared" si="2"/>
        <v>1.234</v>
      </c>
      <c r="U14" s="17">
        <v>1.1339999999999999</v>
      </c>
      <c r="V14" s="17">
        <v>1.1339999999999999</v>
      </c>
      <c r="W14" s="22">
        <f t="shared" si="3"/>
        <v>1.1339999999999999</v>
      </c>
      <c r="X14" s="17">
        <v>6.7000000000000004E-2</v>
      </c>
      <c r="Y14" s="17">
        <v>7.9000000000000001E-2</v>
      </c>
      <c r="Z14" s="21">
        <f t="shared" si="4"/>
        <v>7.2999999999999995E-2</v>
      </c>
      <c r="AA14" s="19">
        <v>0.90500000000000003</v>
      </c>
      <c r="AB14" s="19">
        <v>0.93700000000000006</v>
      </c>
      <c r="AC14" s="21">
        <f t="shared" si="5"/>
        <v>0.92100000000000004</v>
      </c>
      <c r="AD14" s="19">
        <v>4.2999999999999997E-2</v>
      </c>
      <c r="AE14" s="19">
        <v>4.1000000000000002E-2</v>
      </c>
      <c r="AF14" s="21">
        <f t="shared" si="6"/>
        <v>4.2000000000000003E-2</v>
      </c>
      <c r="AG14" s="19">
        <v>2.4E-2</v>
      </c>
      <c r="AH14" s="19">
        <v>0.02</v>
      </c>
      <c r="AI14" s="21">
        <f t="shared" si="7"/>
        <v>2.1999999999999999E-2</v>
      </c>
      <c r="AJ14" s="19">
        <v>1.4999999999999999E-2</v>
      </c>
      <c r="AK14" s="19">
        <v>1.4E-2</v>
      </c>
      <c r="AL14" s="21">
        <f t="shared" si="8"/>
        <v>1.4999999999999999E-2</v>
      </c>
      <c r="AM14" s="19">
        <v>7.1879999999999997</v>
      </c>
      <c r="AN14" s="19">
        <v>7.391</v>
      </c>
      <c r="AO14" s="21">
        <f t="shared" si="9"/>
        <v>7.29</v>
      </c>
      <c r="AP14" s="46">
        <v>7.5800000000000006E-2</v>
      </c>
      <c r="AQ14" s="46">
        <v>7.3800000000000004E-2</v>
      </c>
      <c r="AR14" s="45">
        <f t="shared" si="10"/>
        <v>7.4800000000000005E-2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24.3</v>
      </c>
      <c r="F15" s="23">
        <v>7.3</v>
      </c>
      <c r="G15" s="41">
        <v>149</v>
      </c>
      <c r="H15" s="23">
        <v>8.8000000000000007</v>
      </c>
      <c r="I15" s="23">
        <v>1</v>
      </c>
      <c r="J15" s="23">
        <v>6.4</v>
      </c>
      <c r="K15" s="37">
        <v>4.5999999999999996</v>
      </c>
      <c r="L15" s="37">
        <v>4.5</v>
      </c>
      <c r="M15" s="37"/>
      <c r="N15" s="20">
        <f t="shared" si="0"/>
        <v>4.5999999999999996</v>
      </c>
      <c r="O15" s="37">
        <v>4.2</v>
      </c>
      <c r="P15" s="37">
        <v>4.2</v>
      </c>
      <c r="Q15" s="38">
        <f t="shared" si="1"/>
        <v>4.2</v>
      </c>
      <c r="R15" s="17">
        <v>2.0030000000000001</v>
      </c>
      <c r="S15" s="17">
        <v>2.012</v>
      </c>
      <c r="T15" s="22">
        <f t="shared" si="2"/>
        <v>2.008</v>
      </c>
      <c r="U15" s="17">
        <v>1.881</v>
      </c>
      <c r="V15" s="17">
        <v>1.8839999999999999</v>
      </c>
      <c r="W15" s="22">
        <f t="shared" si="3"/>
        <v>1.883</v>
      </c>
      <c r="X15" s="17">
        <v>8.5000000000000006E-2</v>
      </c>
      <c r="Y15" s="17">
        <v>9.0999999999999998E-2</v>
      </c>
      <c r="Z15" s="21">
        <f t="shared" si="4"/>
        <v>8.7999999999999995E-2</v>
      </c>
      <c r="AA15" s="19">
        <v>1.381</v>
      </c>
      <c r="AB15" s="19">
        <v>1.427</v>
      </c>
      <c r="AC15" s="21">
        <f t="shared" si="5"/>
        <v>1.4039999999999999</v>
      </c>
      <c r="AD15" s="19">
        <v>0.16900000000000001</v>
      </c>
      <c r="AE15" s="19">
        <v>0.16600000000000001</v>
      </c>
      <c r="AF15" s="21">
        <f t="shared" si="6"/>
        <v>0.16800000000000001</v>
      </c>
      <c r="AG15" s="19">
        <v>0.13</v>
      </c>
      <c r="AH15" s="19">
        <v>0.13200000000000001</v>
      </c>
      <c r="AI15" s="21">
        <f t="shared" si="7"/>
        <v>0.13100000000000001</v>
      </c>
      <c r="AJ15" s="19">
        <v>0.127</v>
      </c>
      <c r="AK15" s="19">
        <v>0.128</v>
      </c>
      <c r="AL15" s="21">
        <f t="shared" si="8"/>
        <v>0.128</v>
      </c>
      <c r="AM15" s="19">
        <v>9.0909999999999993</v>
      </c>
      <c r="AN15" s="19">
        <v>9.2940000000000005</v>
      </c>
      <c r="AO15" s="21">
        <f t="shared" si="9"/>
        <v>9.1929999999999996</v>
      </c>
      <c r="AP15" s="46">
        <v>0.15440000000000001</v>
      </c>
      <c r="AQ15" s="46">
        <v>0.1525</v>
      </c>
      <c r="AR15" s="45">
        <f t="shared" si="10"/>
        <v>0.1535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24.2</v>
      </c>
      <c r="F16" s="23">
        <v>7.2</v>
      </c>
      <c r="G16" s="41">
        <v>263</v>
      </c>
      <c r="H16" s="23">
        <v>6.9</v>
      </c>
      <c r="I16" s="23">
        <v>4.9000000000000004</v>
      </c>
      <c r="J16" s="23">
        <v>18.399999999999999</v>
      </c>
      <c r="K16" s="37">
        <v>12.5</v>
      </c>
      <c r="L16" s="37">
        <v>12</v>
      </c>
      <c r="M16" s="37"/>
      <c r="N16" s="20">
        <f t="shared" si="0"/>
        <v>12.3</v>
      </c>
      <c r="O16" s="37">
        <v>11.2</v>
      </c>
      <c r="P16" s="37">
        <v>11.1</v>
      </c>
      <c r="Q16" s="38">
        <f t="shared" si="1"/>
        <v>11.2</v>
      </c>
      <c r="R16" s="17">
        <v>3.2949999999999999</v>
      </c>
      <c r="S16" s="17">
        <v>3.23</v>
      </c>
      <c r="T16" s="22">
        <f t="shared" si="2"/>
        <v>3.2629999999999999</v>
      </c>
      <c r="U16" s="17">
        <v>2.87</v>
      </c>
      <c r="V16" s="17">
        <v>2.859</v>
      </c>
      <c r="W16" s="22">
        <f t="shared" si="3"/>
        <v>2.8650000000000002</v>
      </c>
      <c r="X16" s="17">
        <v>1.343</v>
      </c>
      <c r="Y16" s="17">
        <v>1.341</v>
      </c>
      <c r="Z16" s="21">
        <f t="shared" si="4"/>
        <v>1.3420000000000001</v>
      </c>
      <c r="AA16" s="19">
        <v>0.48399999999999999</v>
      </c>
      <c r="AB16" s="19">
        <v>0.497</v>
      </c>
      <c r="AC16" s="21">
        <f t="shared" si="5"/>
        <v>0.49099999999999999</v>
      </c>
      <c r="AD16" s="19">
        <v>0.90800000000000003</v>
      </c>
      <c r="AE16" s="19">
        <v>0.88200000000000001</v>
      </c>
      <c r="AF16" s="21">
        <f t="shared" si="6"/>
        <v>0.89500000000000002</v>
      </c>
      <c r="AG16" s="19">
        <v>0.60199999999999998</v>
      </c>
      <c r="AH16" s="19">
        <v>0.59299999999999997</v>
      </c>
      <c r="AI16" s="21">
        <f t="shared" si="7"/>
        <v>0.59799999999999998</v>
      </c>
      <c r="AJ16" s="19">
        <v>0.59499999999999997</v>
      </c>
      <c r="AK16" s="19">
        <v>0.59099999999999997</v>
      </c>
      <c r="AL16" s="21">
        <f t="shared" si="8"/>
        <v>0.59299999999999997</v>
      </c>
      <c r="AM16" s="19">
        <v>16.779</v>
      </c>
      <c r="AN16" s="19">
        <v>16.896000000000001</v>
      </c>
      <c r="AO16" s="21">
        <f t="shared" si="9"/>
        <v>16.838000000000001</v>
      </c>
      <c r="AP16" s="46">
        <v>0.45529999999999998</v>
      </c>
      <c r="AQ16" s="46">
        <v>0.45700000000000002</v>
      </c>
      <c r="AR16" s="45">
        <f t="shared" si="10"/>
        <v>0.45619999999999999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24.2</v>
      </c>
      <c r="F17" s="23">
        <v>7</v>
      </c>
      <c r="G17" s="41">
        <v>164</v>
      </c>
      <c r="H17" s="23">
        <v>6.4</v>
      </c>
      <c r="I17" s="23">
        <v>1.4</v>
      </c>
      <c r="J17" s="23">
        <v>8.4</v>
      </c>
      <c r="K17" s="37">
        <v>6.1</v>
      </c>
      <c r="L17" s="37">
        <v>6.1</v>
      </c>
      <c r="M17" s="37"/>
      <c r="N17" s="20">
        <f t="shared" si="0"/>
        <v>6.1</v>
      </c>
      <c r="O17" s="37">
        <v>5.6</v>
      </c>
      <c r="P17" s="37">
        <v>5.3</v>
      </c>
      <c r="Q17" s="38">
        <f t="shared" si="1"/>
        <v>5.5</v>
      </c>
      <c r="R17" s="17">
        <v>1.9910000000000001</v>
      </c>
      <c r="S17" s="17">
        <v>2.0059999999999998</v>
      </c>
      <c r="T17" s="22">
        <f t="shared" si="2"/>
        <v>1.9990000000000001</v>
      </c>
      <c r="U17" s="17">
        <v>1.8</v>
      </c>
      <c r="V17" s="17">
        <v>1.782</v>
      </c>
      <c r="W17" s="22">
        <f t="shared" si="3"/>
        <v>1.7909999999999999</v>
      </c>
      <c r="X17" s="17">
        <v>0.20499999999999999</v>
      </c>
      <c r="Y17" s="17">
        <v>0.20300000000000001</v>
      </c>
      <c r="Z17" s="21">
        <f t="shared" si="4"/>
        <v>0.20399999999999999</v>
      </c>
      <c r="AA17" s="19">
        <v>1.0660000000000001</v>
      </c>
      <c r="AB17" s="19">
        <v>1.109</v>
      </c>
      <c r="AC17" s="21">
        <f t="shared" si="5"/>
        <v>1.0880000000000001</v>
      </c>
      <c r="AD17" s="19">
        <v>0.24199999999999999</v>
      </c>
      <c r="AE17" s="19">
        <v>0.247</v>
      </c>
      <c r="AF17" s="21">
        <f t="shared" si="6"/>
        <v>0.245</v>
      </c>
      <c r="AG17" s="19">
        <v>0.16700000000000001</v>
      </c>
      <c r="AH17" s="19">
        <v>0.16600000000000001</v>
      </c>
      <c r="AI17" s="21">
        <f t="shared" si="7"/>
        <v>0.16700000000000001</v>
      </c>
      <c r="AJ17" s="19">
        <v>0.16400000000000001</v>
      </c>
      <c r="AK17" s="19">
        <v>0.16400000000000001</v>
      </c>
      <c r="AL17" s="21">
        <f t="shared" si="8"/>
        <v>0.16400000000000001</v>
      </c>
      <c r="AM17" s="19">
        <v>10.441000000000001</v>
      </c>
      <c r="AN17" s="19">
        <v>10.757999999999999</v>
      </c>
      <c r="AO17" s="21">
        <f t="shared" si="9"/>
        <v>10.6</v>
      </c>
      <c r="AP17" s="46">
        <v>0.19040000000000001</v>
      </c>
      <c r="AQ17" s="46">
        <v>0.19270000000000001</v>
      </c>
      <c r="AR17" s="45">
        <f t="shared" si="10"/>
        <v>0.19159999999999999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23.5</v>
      </c>
      <c r="F18" s="23">
        <v>7.1</v>
      </c>
      <c r="G18" s="41">
        <v>213</v>
      </c>
      <c r="H18" s="23">
        <v>6.7</v>
      </c>
      <c r="I18" s="23">
        <v>4.9000000000000004</v>
      </c>
      <c r="J18" s="23">
        <v>13.2</v>
      </c>
      <c r="K18" s="37">
        <v>9.1</v>
      </c>
      <c r="L18" s="37">
        <v>9.3000000000000007</v>
      </c>
      <c r="M18" s="37"/>
      <c r="N18" s="20">
        <f t="shared" si="0"/>
        <v>9.1999999999999993</v>
      </c>
      <c r="O18" s="37">
        <v>8</v>
      </c>
      <c r="P18" s="37">
        <v>7.9</v>
      </c>
      <c r="Q18" s="38">
        <f t="shared" si="1"/>
        <v>8</v>
      </c>
      <c r="R18" s="17">
        <v>2.786</v>
      </c>
      <c r="S18" s="17">
        <v>2.782</v>
      </c>
      <c r="T18" s="22">
        <f t="shared" si="2"/>
        <v>2.7839999999999998</v>
      </c>
      <c r="U18" s="17">
        <v>2.4769999999999999</v>
      </c>
      <c r="V18" s="17">
        <v>2.48</v>
      </c>
      <c r="W18" s="22">
        <f t="shared" si="3"/>
        <v>2.4790000000000001</v>
      </c>
      <c r="X18" s="17">
        <v>0.8</v>
      </c>
      <c r="Y18" s="17">
        <v>0.79300000000000004</v>
      </c>
      <c r="Z18" s="21">
        <f t="shared" si="4"/>
        <v>0.79700000000000004</v>
      </c>
      <c r="AA18" s="19">
        <v>0.74399999999999999</v>
      </c>
      <c r="AB18" s="19">
        <v>0.77700000000000002</v>
      </c>
      <c r="AC18" s="21">
        <f t="shared" si="5"/>
        <v>0.76100000000000001</v>
      </c>
      <c r="AD18" s="19">
        <v>0.22900000000000001</v>
      </c>
      <c r="AE18" s="19">
        <v>0.22800000000000001</v>
      </c>
      <c r="AF18" s="21">
        <f t="shared" si="6"/>
        <v>0.22900000000000001</v>
      </c>
      <c r="AG18" s="19">
        <v>0.13500000000000001</v>
      </c>
      <c r="AH18" s="19">
        <v>0.127</v>
      </c>
      <c r="AI18" s="21">
        <f t="shared" si="7"/>
        <v>0.13100000000000001</v>
      </c>
      <c r="AJ18" s="19">
        <v>0.11600000000000001</v>
      </c>
      <c r="AK18" s="19">
        <v>0.112</v>
      </c>
      <c r="AL18" s="21">
        <f t="shared" si="8"/>
        <v>0.114</v>
      </c>
      <c r="AM18" s="19">
        <v>12.041</v>
      </c>
      <c r="AN18" s="19">
        <v>12.284000000000001</v>
      </c>
      <c r="AO18" s="21">
        <f t="shared" si="9"/>
        <v>12.163</v>
      </c>
      <c r="AP18" s="46">
        <v>0.30170000000000002</v>
      </c>
      <c r="AQ18" s="46">
        <v>0.3029</v>
      </c>
      <c r="AR18" s="45">
        <f t="shared" si="10"/>
        <v>0.30230000000000001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23.9</v>
      </c>
      <c r="F19" s="23">
        <v>7.1</v>
      </c>
      <c r="G19" s="41">
        <v>173</v>
      </c>
      <c r="H19" s="23">
        <v>6</v>
      </c>
      <c r="I19" s="23">
        <v>2</v>
      </c>
      <c r="J19" s="23">
        <v>9</v>
      </c>
      <c r="K19" s="37">
        <v>6.7</v>
      </c>
      <c r="L19" s="37">
        <v>6.6</v>
      </c>
      <c r="M19" s="37"/>
      <c r="N19" s="20">
        <f t="shared" si="0"/>
        <v>6.7</v>
      </c>
      <c r="O19" s="37">
        <v>5.9</v>
      </c>
      <c r="P19" s="37">
        <v>5.8</v>
      </c>
      <c r="Q19" s="38">
        <f t="shared" si="1"/>
        <v>5.9</v>
      </c>
      <c r="R19" s="17">
        <v>2.246</v>
      </c>
      <c r="S19" s="17">
        <v>2.2309999999999999</v>
      </c>
      <c r="T19" s="22">
        <f t="shared" si="2"/>
        <v>2.2389999999999999</v>
      </c>
      <c r="U19" s="17">
        <v>1.9950000000000001</v>
      </c>
      <c r="V19" s="17">
        <v>1.988</v>
      </c>
      <c r="W19" s="22">
        <f t="shared" si="3"/>
        <v>1.992</v>
      </c>
      <c r="X19" s="17">
        <v>0.29499999999999998</v>
      </c>
      <c r="Y19" s="17">
        <v>0.29399999999999998</v>
      </c>
      <c r="Z19" s="21">
        <f t="shared" si="4"/>
        <v>0.29499999999999998</v>
      </c>
      <c r="AA19" s="19">
        <v>1.111</v>
      </c>
      <c r="AB19" s="19">
        <v>1.1439999999999999</v>
      </c>
      <c r="AC19" s="21">
        <f t="shared" si="5"/>
        <v>1.1279999999999999</v>
      </c>
      <c r="AD19" s="19">
        <v>0.245</v>
      </c>
      <c r="AE19" s="19">
        <v>0.24</v>
      </c>
      <c r="AF19" s="21">
        <f t="shared" si="6"/>
        <v>0.24299999999999999</v>
      </c>
      <c r="AG19" s="19">
        <v>0.159</v>
      </c>
      <c r="AH19" s="19">
        <v>0.16300000000000001</v>
      </c>
      <c r="AI19" s="21">
        <f t="shared" si="7"/>
        <v>0.161</v>
      </c>
      <c r="AJ19" s="19">
        <v>0.158</v>
      </c>
      <c r="AK19" s="19">
        <v>0.16</v>
      </c>
      <c r="AL19" s="21">
        <f t="shared" si="8"/>
        <v>0.159</v>
      </c>
      <c r="AM19" s="19">
        <v>11.182</v>
      </c>
      <c r="AN19" s="19">
        <v>11.457000000000001</v>
      </c>
      <c r="AO19" s="21">
        <f t="shared" si="9"/>
        <v>11.32</v>
      </c>
      <c r="AP19" s="46">
        <v>0.20269999999999999</v>
      </c>
      <c r="AQ19" s="46">
        <v>0.20449999999999999</v>
      </c>
      <c r="AR19" s="45">
        <f t="shared" si="10"/>
        <v>0.2036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20.6</v>
      </c>
      <c r="F20" s="23">
        <v>7.2</v>
      </c>
      <c r="G20" s="41">
        <v>228</v>
      </c>
      <c r="H20" s="23">
        <v>7.5</v>
      </c>
      <c r="I20" s="23">
        <v>0.3</v>
      </c>
      <c r="J20" s="23">
        <v>2.9</v>
      </c>
      <c r="K20" s="37">
        <v>2</v>
      </c>
      <c r="L20" s="37">
        <v>2</v>
      </c>
      <c r="M20" s="37"/>
      <c r="N20" s="20">
        <f t="shared" si="0"/>
        <v>2</v>
      </c>
      <c r="O20" s="37">
        <v>1.8</v>
      </c>
      <c r="P20" s="37">
        <v>1.7</v>
      </c>
      <c r="Q20" s="38">
        <f t="shared" si="1"/>
        <v>1.8</v>
      </c>
      <c r="R20" s="17">
        <v>0.745</v>
      </c>
      <c r="S20" s="17">
        <v>0.76200000000000001</v>
      </c>
      <c r="T20" s="22">
        <f t="shared" si="2"/>
        <v>0.754</v>
      </c>
      <c r="U20" s="17">
        <v>0.68899999999999995</v>
      </c>
      <c r="V20" s="17">
        <v>0.67800000000000005</v>
      </c>
      <c r="W20" s="22">
        <f t="shared" si="3"/>
        <v>0.68400000000000005</v>
      </c>
      <c r="X20" s="17">
        <v>0.02</v>
      </c>
      <c r="Y20" s="17">
        <v>0.02</v>
      </c>
      <c r="Z20" s="21">
        <f t="shared" si="4"/>
        <v>0.02</v>
      </c>
      <c r="AA20" s="19">
        <v>0.55300000000000005</v>
      </c>
      <c r="AB20" s="19">
        <v>0.57999999999999996</v>
      </c>
      <c r="AC20" s="21">
        <f t="shared" si="5"/>
        <v>0.56699999999999995</v>
      </c>
      <c r="AD20" s="19">
        <v>0.02</v>
      </c>
      <c r="AE20" s="19">
        <v>0.02</v>
      </c>
      <c r="AF20" s="21">
        <f t="shared" si="6"/>
        <v>0.02</v>
      </c>
      <c r="AG20" s="19">
        <v>1.0999999999999999E-2</v>
      </c>
      <c r="AH20" s="19">
        <v>8.0000000000000002E-3</v>
      </c>
      <c r="AI20" s="21">
        <f t="shared" si="7"/>
        <v>0.01</v>
      </c>
      <c r="AJ20" s="19">
        <v>5.0000000000000001E-3</v>
      </c>
      <c r="AK20" s="19">
        <v>4.0000000000000001E-3</v>
      </c>
      <c r="AL20" s="21">
        <f t="shared" si="8"/>
        <v>5.0000000000000001E-3</v>
      </c>
      <c r="AM20" s="19">
        <v>7.0279999999999996</v>
      </c>
      <c r="AN20" s="19">
        <v>7.2530000000000001</v>
      </c>
      <c r="AO20" s="21">
        <f t="shared" si="9"/>
        <v>7.141</v>
      </c>
      <c r="AP20" s="46">
        <v>5.8000000000000003E-2</v>
      </c>
      <c r="AQ20" s="46">
        <v>6.0499999999999998E-2</v>
      </c>
      <c r="AR20" s="45">
        <f t="shared" si="10"/>
        <v>5.9299999999999999E-2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24.1</v>
      </c>
      <c r="F21" s="23">
        <v>7.2</v>
      </c>
      <c r="G21" s="41">
        <v>180</v>
      </c>
      <c r="H21" s="23">
        <v>8.4</v>
      </c>
      <c r="I21" s="23">
        <v>1.5</v>
      </c>
      <c r="J21" s="23">
        <v>7.8</v>
      </c>
      <c r="K21" s="37">
        <v>5.7</v>
      </c>
      <c r="L21" s="37">
        <v>5.6</v>
      </c>
      <c r="M21" s="37"/>
      <c r="N21" s="20">
        <f t="shared" si="0"/>
        <v>5.7</v>
      </c>
      <c r="O21" s="37">
        <v>5</v>
      </c>
      <c r="P21" s="37">
        <v>4.8</v>
      </c>
      <c r="Q21" s="38">
        <f t="shared" si="1"/>
        <v>4.9000000000000004</v>
      </c>
      <c r="R21" s="17">
        <v>1.7030000000000001</v>
      </c>
      <c r="S21" s="17">
        <v>1.696</v>
      </c>
      <c r="T21" s="22">
        <f t="shared" si="2"/>
        <v>1.7</v>
      </c>
      <c r="U21" s="17">
        <v>1.498</v>
      </c>
      <c r="V21" s="17">
        <v>1.5049999999999999</v>
      </c>
      <c r="W21" s="22">
        <f t="shared" si="3"/>
        <v>1.502</v>
      </c>
      <c r="X21" s="17">
        <v>0.189</v>
      </c>
      <c r="Y21" s="17">
        <v>0.184</v>
      </c>
      <c r="Z21" s="21">
        <f t="shared" si="4"/>
        <v>0.187</v>
      </c>
      <c r="AA21" s="19">
        <v>0.86</v>
      </c>
      <c r="AB21" s="19">
        <v>0.88800000000000001</v>
      </c>
      <c r="AC21" s="21">
        <f t="shared" si="5"/>
        <v>0.874</v>
      </c>
      <c r="AD21" s="19">
        <v>0.14899999999999999</v>
      </c>
      <c r="AE21" s="19">
        <v>0.14699999999999999</v>
      </c>
      <c r="AF21" s="21">
        <f t="shared" si="6"/>
        <v>0.14799999999999999</v>
      </c>
      <c r="AG21" s="19">
        <v>8.2000000000000003E-2</v>
      </c>
      <c r="AH21" s="19">
        <v>8.4000000000000005E-2</v>
      </c>
      <c r="AI21" s="21">
        <f t="shared" si="7"/>
        <v>8.3000000000000004E-2</v>
      </c>
      <c r="AJ21" s="19">
        <v>7.8E-2</v>
      </c>
      <c r="AK21" s="19">
        <v>7.9000000000000001E-2</v>
      </c>
      <c r="AL21" s="21">
        <f t="shared" si="8"/>
        <v>7.9000000000000001E-2</v>
      </c>
      <c r="AM21" s="19">
        <v>10.904</v>
      </c>
      <c r="AN21" s="19">
        <v>11.148</v>
      </c>
      <c r="AO21" s="21">
        <f t="shared" si="9"/>
        <v>11.026</v>
      </c>
      <c r="AP21" s="46">
        <v>0.15920000000000001</v>
      </c>
      <c r="AQ21" s="46">
        <v>0.16070000000000001</v>
      </c>
      <c r="AR21" s="45">
        <f t="shared" si="10"/>
        <v>0.16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24.9</v>
      </c>
      <c r="F22" s="23">
        <v>7.3</v>
      </c>
      <c r="G22" s="41">
        <v>281</v>
      </c>
      <c r="H22" s="23">
        <v>7.6</v>
      </c>
      <c r="I22" s="23">
        <v>1.6</v>
      </c>
      <c r="J22" s="23">
        <v>7.4</v>
      </c>
      <c r="K22" s="37">
        <v>5.7</v>
      </c>
      <c r="L22" s="37">
        <v>5.4</v>
      </c>
      <c r="M22" s="37"/>
      <c r="N22" s="20">
        <f t="shared" si="0"/>
        <v>5.6</v>
      </c>
      <c r="O22" s="37">
        <v>4.9000000000000004</v>
      </c>
      <c r="P22" s="37">
        <v>4.8</v>
      </c>
      <c r="Q22" s="38">
        <f t="shared" si="1"/>
        <v>4.9000000000000004</v>
      </c>
      <c r="R22" s="17">
        <v>1.758</v>
      </c>
      <c r="S22" s="17">
        <v>1.7629999999999999</v>
      </c>
      <c r="T22" s="22">
        <f t="shared" si="2"/>
        <v>1.7609999999999999</v>
      </c>
      <c r="U22" s="17">
        <v>1.571</v>
      </c>
      <c r="V22" s="17">
        <v>1.5669999999999999</v>
      </c>
      <c r="W22" s="22">
        <f t="shared" si="3"/>
        <v>1.569</v>
      </c>
      <c r="X22" s="17">
        <v>0.27300000000000002</v>
      </c>
      <c r="Y22" s="17">
        <v>0.27300000000000002</v>
      </c>
      <c r="Z22" s="21">
        <f t="shared" si="4"/>
        <v>0.27300000000000002</v>
      </c>
      <c r="AA22" s="19">
        <v>0.83799999999999997</v>
      </c>
      <c r="AB22" s="19">
        <v>0.877</v>
      </c>
      <c r="AC22" s="21">
        <f t="shared" si="5"/>
        <v>0.85799999999999998</v>
      </c>
      <c r="AD22" s="19">
        <v>0.114</v>
      </c>
      <c r="AE22" s="19">
        <v>0.111</v>
      </c>
      <c r="AF22" s="21">
        <f t="shared" si="6"/>
        <v>0.113</v>
      </c>
      <c r="AG22" s="19">
        <v>0.06</v>
      </c>
      <c r="AH22" s="19">
        <v>5.8999999999999997E-2</v>
      </c>
      <c r="AI22" s="21">
        <f t="shared" si="7"/>
        <v>0.06</v>
      </c>
      <c r="AJ22" s="19">
        <v>5.0999999999999997E-2</v>
      </c>
      <c r="AK22" s="19">
        <v>5.0999999999999997E-2</v>
      </c>
      <c r="AL22" s="21">
        <f t="shared" si="8"/>
        <v>5.0999999999999997E-2</v>
      </c>
      <c r="AM22" s="19">
        <v>15.225</v>
      </c>
      <c r="AN22" s="19">
        <v>15.733000000000001</v>
      </c>
      <c r="AO22" s="21">
        <f t="shared" si="9"/>
        <v>15.478999999999999</v>
      </c>
      <c r="AP22" s="46">
        <v>0.15409999999999999</v>
      </c>
      <c r="AQ22" s="46">
        <v>0.15609999999999999</v>
      </c>
      <c r="AR22" s="45">
        <f t="shared" si="10"/>
        <v>0.15509999999999999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24.7</v>
      </c>
      <c r="F23" s="23">
        <v>7.2</v>
      </c>
      <c r="G23" s="41">
        <v>264</v>
      </c>
      <c r="H23" s="23">
        <v>6.9</v>
      </c>
      <c r="I23" s="23">
        <v>2.4</v>
      </c>
      <c r="J23" s="23">
        <v>7.9</v>
      </c>
      <c r="K23" s="37">
        <v>6.1</v>
      </c>
      <c r="L23" s="37">
        <v>5.7</v>
      </c>
      <c r="M23" s="37"/>
      <c r="N23" s="20">
        <f t="shared" si="0"/>
        <v>5.9</v>
      </c>
      <c r="O23" s="37">
        <v>4.9000000000000004</v>
      </c>
      <c r="P23" s="37">
        <v>5</v>
      </c>
      <c r="Q23" s="38">
        <f t="shared" si="1"/>
        <v>5</v>
      </c>
      <c r="R23" s="17">
        <v>3.2130000000000001</v>
      </c>
      <c r="S23" s="17">
        <v>3.2109999999999999</v>
      </c>
      <c r="T23" s="22">
        <f t="shared" si="2"/>
        <v>3.2120000000000002</v>
      </c>
      <c r="U23" s="17">
        <v>2.95</v>
      </c>
      <c r="V23" s="17">
        <v>2.9630000000000001</v>
      </c>
      <c r="W23" s="22">
        <f t="shared" si="3"/>
        <v>2.9569999999999999</v>
      </c>
      <c r="X23" s="17">
        <v>0.56200000000000006</v>
      </c>
      <c r="Y23" s="17">
        <v>0.57499999999999996</v>
      </c>
      <c r="Z23" s="21">
        <f t="shared" si="4"/>
        <v>0.56899999999999995</v>
      </c>
      <c r="AA23" s="19">
        <v>1.9730000000000001</v>
      </c>
      <c r="AB23" s="19">
        <v>1.98</v>
      </c>
      <c r="AC23" s="21">
        <f t="shared" si="5"/>
        <v>1.9770000000000001</v>
      </c>
      <c r="AD23" s="19">
        <v>0.188</v>
      </c>
      <c r="AE23" s="19">
        <v>0.17899999999999999</v>
      </c>
      <c r="AF23" s="21">
        <f t="shared" si="6"/>
        <v>0.184</v>
      </c>
      <c r="AG23" s="19">
        <v>9.7000000000000003E-2</v>
      </c>
      <c r="AH23" s="19">
        <v>0.10100000000000001</v>
      </c>
      <c r="AI23" s="21">
        <f t="shared" si="7"/>
        <v>9.9000000000000005E-2</v>
      </c>
      <c r="AJ23" s="19">
        <v>9.0999999999999998E-2</v>
      </c>
      <c r="AK23" s="19">
        <v>9.6000000000000002E-2</v>
      </c>
      <c r="AL23" s="21">
        <f t="shared" si="8"/>
        <v>9.4E-2</v>
      </c>
      <c r="AM23" s="19">
        <v>19.629000000000001</v>
      </c>
      <c r="AN23" s="19">
        <v>19.635999999999999</v>
      </c>
      <c r="AO23" s="21">
        <f t="shared" si="9"/>
        <v>19.632999999999999</v>
      </c>
      <c r="AP23" s="46">
        <v>0.15260000000000001</v>
      </c>
      <c r="AQ23" s="46">
        <v>0.15440000000000001</v>
      </c>
      <c r="AR23" s="45">
        <f t="shared" si="10"/>
        <v>0.1535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23.8</v>
      </c>
      <c r="F24" s="23">
        <v>7.7</v>
      </c>
      <c r="G24" s="41">
        <v>312</v>
      </c>
      <c r="H24" s="23">
        <v>7.8</v>
      </c>
      <c r="I24" s="23">
        <v>0.7</v>
      </c>
      <c r="J24" s="23">
        <v>3.8</v>
      </c>
      <c r="K24" s="37">
        <v>2.7</v>
      </c>
      <c r="L24" s="37">
        <v>2.8</v>
      </c>
      <c r="M24" s="37"/>
      <c r="N24" s="20">
        <f t="shared" si="0"/>
        <v>2.8</v>
      </c>
      <c r="O24" s="37">
        <v>2.4</v>
      </c>
      <c r="P24" s="37">
        <v>2.2999999999999998</v>
      </c>
      <c r="Q24" s="38">
        <f t="shared" si="1"/>
        <v>2.4</v>
      </c>
      <c r="R24" s="17">
        <v>1.0660000000000001</v>
      </c>
      <c r="S24" s="17">
        <v>1.044</v>
      </c>
      <c r="T24" s="22">
        <f t="shared" si="2"/>
        <v>1.0549999999999999</v>
      </c>
      <c r="U24" s="17">
        <v>0.96199999999999997</v>
      </c>
      <c r="V24" s="17">
        <v>0.95199999999999996</v>
      </c>
      <c r="W24" s="22">
        <f t="shared" si="3"/>
        <v>0.95699999999999996</v>
      </c>
      <c r="X24" s="17">
        <v>2.3E-2</v>
      </c>
      <c r="Y24" s="17">
        <v>2.9000000000000001E-2</v>
      </c>
      <c r="Z24" s="21">
        <f t="shared" si="4"/>
        <v>2.5999999999999999E-2</v>
      </c>
      <c r="AA24" s="19">
        <v>0.72099999999999997</v>
      </c>
      <c r="AB24" s="19">
        <v>0.72599999999999998</v>
      </c>
      <c r="AC24" s="21">
        <f t="shared" si="5"/>
        <v>0.72399999999999998</v>
      </c>
      <c r="AD24" s="19">
        <v>4.2000000000000003E-2</v>
      </c>
      <c r="AE24" s="19">
        <v>3.9E-2</v>
      </c>
      <c r="AF24" s="21">
        <f t="shared" si="6"/>
        <v>4.1000000000000002E-2</v>
      </c>
      <c r="AG24" s="19">
        <v>2.4E-2</v>
      </c>
      <c r="AH24" s="19">
        <v>2.1999999999999999E-2</v>
      </c>
      <c r="AI24" s="21">
        <f t="shared" si="7"/>
        <v>2.3E-2</v>
      </c>
      <c r="AJ24" s="19">
        <v>1.4E-2</v>
      </c>
      <c r="AK24" s="19">
        <v>1.2E-2</v>
      </c>
      <c r="AL24" s="21">
        <f t="shared" si="8"/>
        <v>1.2999999999999999E-2</v>
      </c>
      <c r="AM24" s="19">
        <v>36.048999999999999</v>
      </c>
      <c r="AN24" s="19">
        <v>35.073</v>
      </c>
      <c r="AO24" s="21">
        <f t="shared" si="9"/>
        <v>35.561</v>
      </c>
      <c r="AP24" s="46">
        <v>7.6499999999999999E-2</v>
      </c>
      <c r="AQ24" s="46">
        <v>7.8600000000000003E-2</v>
      </c>
      <c r="AR24" s="45">
        <f t="shared" si="10"/>
        <v>7.7600000000000002E-2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23.9</v>
      </c>
      <c r="F25" s="23">
        <v>7.6</v>
      </c>
      <c r="G25" s="41">
        <v>233</v>
      </c>
      <c r="H25" s="23">
        <v>8.8000000000000007</v>
      </c>
      <c r="I25" s="23">
        <v>2.1</v>
      </c>
      <c r="J25" s="23">
        <v>8.1</v>
      </c>
      <c r="K25" s="37">
        <v>6.1</v>
      </c>
      <c r="L25" s="37">
        <v>6</v>
      </c>
      <c r="M25" s="37"/>
      <c r="N25" s="20">
        <f t="shared" si="0"/>
        <v>6.1</v>
      </c>
      <c r="O25" s="37">
        <v>5.0999999999999996</v>
      </c>
      <c r="P25" s="37">
        <v>5.0999999999999996</v>
      </c>
      <c r="Q25" s="38">
        <f t="shared" si="1"/>
        <v>5.0999999999999996</v>
      </c>
      <c r="R25" s="17">
        <v>2.4209999999999998</v>
      </c>
      <c r="S25" s="17">
        <v>2.407</v>
      </c>
      <c r="T25" s="22">
        <f t="shared" si="2"/>
        <v>2.4140000000000001</v>
      </c>
      <c r="U25" s="17">
        <v>2.141</v>
      </c>
      <c r="V25" s="17">
        <v>2.1619999999999999</v>
      </c>
      <c r="W25" s="22">
        <f t="shared" si="3"/>
        <v>2.1520000000000001</v>
      </c>
      <c r="X25" s="17">
        <v>0.19</v>
      </c>
      <c r="Y25" s="17">
        <v>0.187</v>
      </c>
      <c r="Z25" s="21">
        <f t="shared" si="4"/>
        <v>0.189</v>
      </c>
      <c r="AA25" s="19">
        <v>1.5009999999999999</v>
      </c>
      <c r="AB25" s="19">
        <v>1.5369999999999999</v>
      </c>
      <c r="AC25" s="21">
        <f t="shared" si="5"/>
        <v>1.5189999999999999</v>
      </c>
      <c r="AD25" s="19">
        <v>0.18</v>
      </c>
      <c r="AE25" s="19">
        <v>0.18</v>
      </c>
      <c r="AF25" s="21">
        <f t="shared" si="6"/>
        <v>0.18</v>
      </c>
      <c r="AG25" s="19">
        <v>0.10299999999999999</v>
      </c>
      <c r="AH25" s="19">
        <v>0.107</v>
      </c>
      <c r="AI25" s="21">
        <f t="shared" si="7"/>
        <v>0.105</v>
      </c>
      <c r="AJ25" s="19">
        <v>0.10199999999999999</v>
      </c>
      <c r="AK25" s="19">
        <v>0.104</v>
      </c>
      <c r="AL25" s="21">
        <f t="shared" si="8"/>
        <v>0.10299999999999999</v>
      </c>
      <c r="AM25" s="19">
        <v>15.512</v>
      </c>
      <c r="AN25" s="19">
        <v>15.816000000000001</v>
      </c>
      <c r="AO25" s="21">
        <f t="shared" si="9"/>
        <v>15.664</v>
      </c>
      <c r="AP25" s="46">
        <v>0.15859999999999999</v>
      </c>
      <c r="AQ25" s="46">
        <v>0.16039999999999999</v>
      </c>
      <c r="AR25" s="45">
        <f t="shared" si="10"/>
        <v>0.1595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24.2</v>
      </c>
      <c r="F26" s="23">
        <v>7.8</v>
      </c>
      <c r="G26" s="41">
        <v>239</v>
      </c>
      <c r="H26" s="23">
        <v>7.4</v>
      </c>
      <c r="I26" s="23">
        <v>2.9</v>
      </c>
      <c r="J26" s="23">
        <v>12.8</v>
      </c>
      <c r="K26" s="37">
        <v>9.1</v>
      </c>
      <c r="L26" s="37">
        <v>8.9</v>
      </c>
      <c r="M26" s="37"/>
      <c r="N26" s="20">
        <f t="shared" si="0"/>
        <v>9</v>
      </c>
      <c r="O26" s="37">
        <v>8.5</v>
      </c>
      <c r="P26" s="37">
        <v>8.3000000000000007</v>
      </c>
      <c r="Q26" s="38">
        <f t="shared" si="1"/>
        <v>8.4</v>
      </c>
      <c r="R26" s="17">
        <v>2.3319999999999999</v>
      </c>
      <c r="S26" s="17">
        <v>2.2810000000000001</v>
      </c>
      <c r="T26" s="22">
        <f t="shared" si="2"/>
        <v>2.3069999999999999</v>
      </c>
      <c r="U26" s="17">
        <v>2.097</v>
      </c>
      <c r="V26" s="17">
        <v>2.0960000000000001</v>
      </c>
      <c r="W26" s="22">
        <f t="shared" si="3"/>
        <v>2.097</v>
      </c>
      <c r="X26" s="17">
        <v>0.245</v>
      </c>
      <c r="Y26" s="17">
        <v>0.248</v>
      </c>
      <c r="Z26" s="21">
        <f t="shared" si="4"/>
        <v>0.247</v>
      </c>
      <c r="AA26" s="19">
        <v>0.95599999999999996</v>
      </c>
      <c r="AB26" s="19">
        <v>0.98699999999999999</v>
      </c>
      <c r="AC26" s="21">
        <f t="shared" si="5"/>
        <v>0.97199999999999998</v>
      </c>
      <c r="AD26" s="19">
        <v>0.189</v>
      </c>
      <c r="AE26" s="19">
        <v>0.18099999999999999</v>
      </c>
      <c r="AF26" s="21">
        <f t="shared" si="6"/>
        <v>0.185</v>
      </c>
      <c r="AG26" s="19">
        <v>9.6000000000000002E-2</v>
      </c>
      <c r="AH26" s="19">
        <v>9.7000000000000003E-2</v>
      </c>
      <c r="AI26" s="21">
        <f t="shared" si="7"/>
        <v>9.7000000000000003E-2</v>
      </c>
      <c r="AJ26" s="19">
        <v>8.2000000000000003E-2</v>
      </c>
      <c r="AK26" s="19">
        <v>8.2000000000000003E-2</v>
      </c>
      <c r="AL26" s="21">
        <f t="shared" si="8"/>
        <v>8.2000000000000003E-2</v>
      </c>
      <c r="AM26" s="19">
        <v>13.853999999999999</v>
      </c>
      <c r="AN26" s="19">
        <v>14.112</v>
      </c>
      <c r="AO26" s="21">
        <f t="shared" si="9"/>
        <v>13.983000000000001</v>
      </c>
      <c r="AP26" s="46">
        <v>0.2782</v>
      </c>
      <c r="AQ26" s="46">
        <v>0.27979999999999999</v>
      </c>
      <c r="AR26" s="45">
        <f t="shared" si="10"/>
        <v>0.27900000000000003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24.5</v>
      </c>
      <c r="F27" s="23">
        <v>7.7</v>
      </c>
      <c r="G27" s="41">
        <v>239</v>
      </c>
      <c r="H27" s="23">
        <v>7.4</v>
      </c>
      <c r="I27" s="23">
        <v>2.1</v>
      </c>
      <c r="J27" s="23">
        <v>8.3000000000000007</v>
      </c>
      <c r="K27" s="37">
        <v>6.3</v>
      </c>
      <c r="L27" s="37">
        <v>6.1</v>
      </c>
      <c r="M27" s="37"/>
      <c r="N27" s="20">
        <f t="shared" si="0"/>
        <v>6.2</v>
      </c>
      <c r="O27" s="37">
        <v>5.6</v>
      </c>
      <c r="P27" s="37">
        <v>5.4</v>
      </c>
      <c r="Q27" s="38">
        <f t="shared" si="1"/>
        <v>5.5</v>
      </c>
      <c r="R27" s="17">
        <v>2.38</v>
      </c>
      <c r="S27" s="17">
        <v>2.3650000000000002</v>
      </c>
      <c r="T27" s="22">
        <f t="shared" si="2"/>
        <v>2.3730000000000002</v>
      </c>
      <c r="U27" s="17">
        <v>2.1779999999999999</v>
      </c>
      <c r="V27" s="17">
        <v>2.1949999999999998</v>
      </c>
      <c r="W27" s="22">
        <f t="shared" si="3"/>
        <v>2.1869999999999998</v>
      </c>
      <c r="X27" s="17">
        <v>0.17100000000000001</v>
      </c>
      <c r="Y27" s="17">
        <v>0.17199999999999999</v>
      </c>
      <c r="Z27" s="21">
        <f t="shared" si="4"/>
        <v>0.17199999999999999</v>
      </c>
      <c r="AA27" s="19">
        <v>1.4890000000000001</v>
      </c>
      <c r="AB27" s="19">
        <v>1.518</v>
      </c>
      <c r="AC27" s="21">
        <f t="shared" si="5"/>
        <v>1.504</v>
      </c>
      <c r="AD27" s="19">
        <v>0.18099999999999999</v>
      </c>
      <c r="AE27" s="19">
        <v>0.17799999999999999</v>
      </c>
      <c r="AF27" s="21">
        <f t="shared" si="6"/>
        <v>0.18</v>
      </c>
      <c r="AG27" s="19">
        <v>0.115</v>
      </c>
      <c r="AH27" s="19">
        <v>0.11899999999999999</v>
      </c>
      <c r="AI27" s="21">
        <f t="shared" si="7"/>
        <v>0.11700000000000001</v>
      </c>
      <c r="AJ27" s="19">
        <v>0.109</v>
      </c>
      <c r="AK27" s="19">
        <v>0.111</v>
      </c>
      <c r="AL27" s="21">
        <f t="shared" si="8"/>
        <v>0.11</v>
      </c>
      <c r="AM27" s="19">
        <v>15.733000000000001</v>
      </c>
      <c r="AN27" s="19">
        <v>15.948</v>
      </c>
      <c r="AO27" s="21">
        <f t="shared" si="9"/>
        <v>15.840999999999999</v>
      </c>
      <c r="AP27" s="46">
        <v>0.17269999999999999</v>
      </c>
      <c r="AQ27" s="46">
        <v>0.17480000000000001</v>
      </c>
      <c r="AR27" s="45">
        <f t="shared" si="10"/>
        <v>0.17380000000000001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23.4</v>
      </c>
      <c r="F28" s="23">
        <v>7.8</v>
      </c>
      <c r="G28" s="41">
        <v>228</v>
      </c>
      <c r="H28" s="23">
        <v>7.3</v>
      </c>
      <c r="I28" s="23">
        <v>2.2999999999999998</v>
      </c>
      <c r="J28" s="23">
        <v>9.4</v>
      </c>
      <c r="K28" s="37">
        <v>7.5</v>
      </c>
      <c r="L28" s="37">
        <v>7.4</v>
      </c>
      <c r="M28" s="37"/>
      <c r="N28" s="20">
        <f t="shared" si="0"/>
        <v>7.5</v>
      </c>
      <c r="O28" s="37">
        <v>6.7</v>
      </c>
      <c r="P28" s="37">
        <v>6.5</v>
      </c>
      <c r="Q28" s="38">
        <f t="shared" si="1"/>
        <v>6.6</v>
      </c>
      <c r="R28" s="17">
        <v>2.1539999999999999</v>
      </c>
      <c r="S28" s="17">
        <v>2.1749999999999998</v>
      </c>
      <c r="T28" s="22">
        <f t="shared" si="2"/>
        <v>2.165</v>
      </c>
      <c r="U28" s="17">
        <v>1.972</v>
      </c>
      <c r="V28" s="17">
        <v>1.9450000000000001</v>
      </c>
      <c r="W28" s="22">
        <f t="shared" si="3"/>
        <v>1.9590000000000001</v>
      </c>
      <c r="X28" s="17">
        <v>0.188</v>
      </c>
      <c r="Y28" s="17">
        <v>0.19</v>
      </c>
      <c r="Z28" s="21">
        <f t="shared" si="4"/>
        <v>0.189</v>
      </c>
      <c r="AA28" s="19">
        <v>1.0129999999999999</v>
      </c>
      <c r="AB28" s="19">
        <v>1.0389999999999999</v>
      </c>
      <c r="AC28" s="21">
        <f t="shared" si="5"/>
        <v>1.026</v>
      </c>
      <c r="AD28" s="19">
        <v>0.191</v>
      </c>
      <c r="AE28" s="19">
        <v>0.188</v>
      </c>
      <c r="AF28" s="21">
        <f t="shared" si="6"/>
        <v>0.19</v>
      </c>
      <c r="AG28" s="19">
        <v>0.105</v>
      </c>
      <c r="AH28" s="19">
        <v>0.10100000000000001</v>
      </c>
      <c r="AI28" s="21">
        <f t="shared" si="7"/>
        <v>0.10299999999999999</v>
      </c>
      <c r="AJ28" s="19">
        <v>9.6000000000000002E-2</v>
      </c>
      <c r="AK28" s="19">
        <v>9.5000000000000001E-2</v>
      </c>
      <c r="AL28" s="21">
        <f t="shared" si="8"/>
        <v>9.6000000000000002E-2</v>
      </c>
      <c r="AM28" s="19">
        <v>13.928000000000001</v>
      </c>
      <c r="AN28" s="19">
        <v>14.167999999999999</v>
      </c>
      <c r="AO28" s="21">
        <f t="shared" si="9"/>
        <v>14.048</v>
      </c>
      <c r="AP28" s="46">
        <v>0.21360000000000001</v>
      </c>
      <c r="AQ28" s="46">
        <v>0.21560000000000001</v>
      </c>
      <c r="AR28" s="45">
        <f t="shared" si="10"/>
        <v>0.21460000000000001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24.7</v>
      </c>
      <c r="F29" s="23">
        <v>7.8</v>
      </c>
      <c r="G29" s="41">
        <v>243</v>
      </c>
      <c r="H29" s="23">
        <v>8.9</v>
      </c>
      <c r="I29" s="23">
        <v>1.9</v>
      </c>
      <c r="J29" s="23">
        <v>8.5</v>
      </c>
      <c r="K29" s="37">
        <v>6.4</v>
      </c>
      <c r="L29" s="37">
        <v>6.6</v>
      </c>
      <c r="M29" s="37"/>
      <c r="N29" s="20">
        <f t="shared" si="0"/>
        <v>6.5</v>
      </c>
      <c r="O29" s="37">
        <v>5.8</v>
      </c>
      <c r="P29" s="37">
        <v>6</v>
      </c>
      <c r="Q29" s="38">
        <f t="shared" si="1"/>
        <v>5.9</v>
      </c>
      <c r="R29" s="17">
        <v>2.5390000000000001</v>
      </c>
      <c r="S29" s="17">
        <v>2.5139999999999998</v>
      </c>
      <c r="T29" s="22">
        <f t="shared" si="2"/>
        <v>2.5270000000000001</v>
      </c>
      <c r="U29" s="17">
        <v>2.4390000000000001</v>
      </c>
      <c r="V29" s="17">
        <v>2.4249999999999998</v>
      </c>
      <c r="W29" s="22">
        <f t="shared" si="3"/>
        <v>2.4319999999999999</v>
      </c>
      <c r="X29" s="17">
        <v>0.14399999999999999</v>
      </c>
      <c r="Y29" s="17">
        <v>0.13900000000000001</v>
      </c>
      <c r="Z29" s="21">
        <f t="shared" si="4"/>
        <v>0.14199999999999999</v>
      </c>
      <c r="AA29" s="19">
        <v>1.6459999999999999</v>
      </c>
      <c r="AB29" s="19">
        <v>1.679</v>
      </c>
      <c r="AC29" s="21">
        <f t="shared" si="5"/>
        <v>1.663</v>
      </c>
      <c r="AD29" s="19">
        <v>0.20499999999999999</v>
      </c>
      <c r="AE29" s="19">
        <v>0.19700000000000001</v>
      </c>
      <c r="AF29" s="21">
        <f t="shared" si="6"/>
        <v>0.20100000000000001</v>
      </c>
      <c r="AG29" s="19">
        <v>0.14000000000000001</v>
      </c>
      <c r="AH29" s="19">
        <v>0.14299999999999999</v>
      </c>
      <c r="AI29" s="21">
        <f t="shared" si="7"/>
        <v>0.14199999999999999</v>
      </c>
      <c r="AJ29" s="19">
        <v>0.13700000000000001</v>
      </c>
      <c r="AK29" s="19">
        <v>0.13900000000000001</v>
      </c>
      <c r="AL29" s="21">
        <f t="shared" si="8"/>
        <v>0.13800000000000001</v>
      </c>
      <c r="AM29" s="19">
        <v>15.734</v>
      </c>
      <c r="AN29" s="19">
        <v>16.032</v>
      </c>
      <c r="AO29" s="21">
        <f t="shared" si="9"/>
        <v>15.882999999999999</v>
      </c>
      <c r="AP29" s="46">
        <v>0.18190000000000001</v>
      </c>
      <c r="AQ29" s="46">
        <v>0.18410000000000001</v>
      </c>
      <c r="AR29" s="45">
        <f t="shared" si="10"/>
        <v>0.183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23.1</v>
      </c>
      <c r="F30" s="23">
        <v>7.9</v>
      </c>
      <c r="G30" s="41">
        <v>269</v>
      </c>
      <c r="H30" s="23">
        <v>8.1999999999999993</v>
      </c>
      <c r="I30" s="23">
        <v>2.7</v>
      </c>
      <c r="J30" s="23">
        <v>9.5</v>
      </c>
      <c r="K30" s="37">
        <v>7.9</v>
      </c>
      <c r="L30" s="37">
        <v>7.6</v>
      </c>
      <c r="M30" s="37"/>
      <c r="N30" s="20">
        <f t="shared" si="0"/>
        <v>7.8</v>
      </c>
      <c r="O30" s="37">
        <v>5.5</v>
      </c>
      <c r="P30" s="37">
        <v>5.3</v>
      </c>
      <c r="Q30" s="38">
        <f t="shared" si="1"/>
        <v>5.4</v>
      </c>
      <c r="R30" s="17">
        <v>2.0619999999999998</v>
      </c>
      <c r="S30" s="17">
        <v>2.0710000000000002</v>
      </c>
      <c r="T30" s="22">
        <f t="shared" si="2"/>
        <v>2.0670000000000002</v>
      </c>
      <c r="U30" s="17">
        <v>1.8560000000000001</v>
      </c>
      <c r="V30" s="17">
        <v>1.8440000000000001</v>
      </c>
      <c r="W30" s="22">
        <f t="shared" si="3"/>
        <v>1.85</v>
      </c>
      <c r="X30" s="17">
        <v>0.104</v>
      </c>
      <c r="Y30" s="17">
        <v>9.8000000000000004E-2</v>
      </c>
      <c r="Z30" s="21">
        <f t="shared" si="4"/>
        <v>0.10100000000000001</v>
      </c>
      <c r="AA30" s="19">
        <v>1.254</v>
      </c>
      <c r="AB30" s="19">
        <v>1.29</v>
      </c>
      <c r="AC30" s="21">
        <f t="shared" si="5"/>
        <v>1.272</v>
      </c>
      <c r="AD30" s="19">
        <v>0.13900000000000001</v>
      </c>
      <c r="AE30" s="19">
        <v>0.14099999999999999</v>
      </c>
      <c r="AF30" s="21">
        <f t="shared" si="6"/>
        <v>0.14000000000000001</v>
      </c>
      <c r="AG30" s="19">
        <v>4.4999999999999998E-2</v>
      </c>
      <c r="AH30" s="19">
        <v>4.1000000000000002E-2</v>
      </c>
      <c r="AI30" s="21">
        <f t="shared" si="7"/>
        <v>4.2999999999999997E-2</v>
      </c>
      <c r="AJ30" s="19">
        <v>3.2000000000000001E-2</v>
      </c>
      <c r="AK30" s="19">
        <v>0.03</v>
      </c>
      <c r="AL30" s="21">
        <f t="shared" si="8"/>
        <v>3.1E-2</v>
      </c>
      <c r="AM30" s="19">
        <v>17.707999999999998</v>
      </c>
      <c r="AN30" s="19">
        <v>17.962</v>
      </c>
      <c r="AO30" s="21">
        <f t="shared" si="9"/>
        <v>17.835000000000001</v>
      </c>
      <c r="AP30" s="46">
        <v>0.158</v>
      </c>
      <c r="AQ30" s="46">
        <v>0.1598</v>
      </c>
      <c r="AR30" s="45">
        <f t="shared" si="10"/>
        <v>0.15890000000000001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24.9</v>
      </c>
      <c r="F31" s="23">
        <v>7.7</v>
      </c>
      <c r="G31" s="41">
        <v>229</v>
      </c>
      <c r="H31" s="23">
        <v>7.5</v>
      </c>
      <c r="I31" s="23">
        <v>2.6</v>
      </c>
      <c r="J31" s="23">
        <v>9</v>
      </c>
      <c r="K31" s="37">
        <v>6.8</v>
      </c>
      <c r="L31" s="37">
        <v>6.7</v>
      </c>
      <c r="M31" s="37"/>
      <c r="N31" s="20">
        <f t="shared" si="0"/>
        <v>6.8</v>
      </c>
      <c r="O31" s="37">
        <v>5.8</v>
      </c>
      <c r="P31" s="37">
        <v>5.7</v>
      </c>
      <c r="Q31" s="38">
        <f t="shared" si="1"/>
        <v>5.8</v>
      </c>
      <c r="R31" s="17">
        <v>2.1030000000000002</v>
      </c>
      <c r="S31" s="17">
        <v>2.1040000000000001</v>
      </c>
      <c r="T31" s="22">
        <f t="shared" si="2"/>
        <v>2.1040000000000001</v>
      </c>
      <c r="U31" s="17">
        <v>1.8720000000000001</v>
      </c>
      <c r="V31" s="17">
        <v>1.8979999999999999</v>
      </c>
      <c r="W31" s="22">
        <f t="shared" si="3"/>
        <v>1.885</v>
      </c>
      <c r="X31" s="17">
        <v>0.224</v>
      </c>
      <c r="Y31" s="17">
        <v>0.23200000000000001</v>
      </c>
      <c r="Z31" s="21">
        <f t="shared" si="4"/>
        <v>0.22800000000000001</v>
      </c>
      <c r="AA31" s="19">
        <v>1.0920000000000001</v>
      </c>
      <c r="AB31" s="19">
        <v>1.1259999999999999</v>
      </c>
      <c r="AC31" s="21">
        <f t="shared" si="5"/>
        <v>1.109</v>
      </c>
      <c r="AD31" s="19">
        <v>0.16</v>
      </c>
      <c r="AE31" s="19">
        <v>0.16</v>
      </c>
      <c r="AF31" s="21">
        <f t="shared" si="6"/>
        <v>0.16</v>
      </c>
      <c r="AG31" s="19">
        <v>9.1999999999999998E-2</v>
      </c>
      <c r="AH31" s="19">
        <v>9.5000000000000001E-2</v>
      </c>
      <c r="AI31" s="21">
        <f t="shared" si="7"/>
        <v>9.4E-2</v>
      </c>
      <c r="AJ31" s="19">
        <v>8.5999999999999993E-2</v>
      </c>
      <c r="AK31" s="19">
        <v>8.5999999999999993E-2</v>
      </c>
      <c r="AL31" s="21">
        <f t="shared" si="8"/>
        <v>8.5999999999999993E-2</v>
      </c>
      <c r="AM31" s="19">
        <v>14.691000000000001</v>
      </c>
      <c r="AN31" s="19">
        <v>14.984999999999999</v>
      </c>
      <c r="AO31" s="21">
        <f t="shared" si="9"/>
        <v>14.837999999999999</v>
      </c>
      <c r="AP31" s="46">
        <v>0.16830000000000001</v>
      </c>
      <c r="AQ31" s="46">
        <v>0.17030000000000001</v>
      </c>
      <c r="AR31" s="45">
        <f t="shared" si="10"/>
        <v>0.16930000000000001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21.1</v>
      </c>
      <c r="F32" s="23">
        <v>7.3</v>
      </c>
      <c r="G32" s="41">
        <v>183</v>
      </c>
      <c r="H32" s="23">
        <v>6.5</v>
      </c>
      <c r="I32" s="23">
        <v>0.9</v>
      </c>
      <c r="J32" s="23">
        <v>3</v>
      </c>
      <c r="K32" s="37">
        <v>2.2000000000000002</v>
      </c>
      <c r="L32" s="37">
        <v>2.2999999999999998</v>
      </c>
      <c r="M32" s="37"/>
      <c r="N32" s="20">
        <f t="shared" si="0"/>
        <v>2.2999999999999998</v>
      </c>
      <c r="O32" s="37">
        <v>2</v>
      </c>
      <c r="P32" s="37">
        <v>1.9</v>
      </c>
      <c r="Q32" s="38">
        <f t="shared" si="1"/>
        <v>2</v>
      </c>
      <c r="R32" s="17">
        <v>0.51</v>
      </c>
      <c r="S32" s="17">
        <v>0.53400000000000003</v>
      </c>
      <c r="T32" s="22">
        <f t="shared" si="2"/>
        <v>0.52200000000000002</v>
      </c>
      <c r="U32" s="17">
        <v>0.45500000000000002</v>
      </c>
      <c r="V32" s="17">
        <v>0.44400000000000001</v>
      </c>
      <c r="W32" s="22">
        <f t="shared" si="3"/>
        <v>0.45</v>
      </c>
      <c r="X32" s="17">
        <v>1.7000000000000001E-2</v>
      </c>
      <c r="Y32" s="17">
        <v>1.2E-2</v>
      </c>
      <c r="Z32" s="21">
        <f t="shared" si="4"/>
        <v>1.4999999999999999E-2</v>
      </c>
      <c r="AA32" s="19">
        <v>0.28699999999999998</v>
      </c>
      <c r="AB32" s="19">
        <v>0.30199999999999999</v>
      </c>
      <c r="AC32" s="21">
        <f t="shared" si="5"/>
        <v>0.29499999999999998</v>
      </c>
      <c r="AD32" s="19">
        <v>0.04</v>
      </c>
      <c r="AE32" s="19">
        <v>4.2999999999999997E-2</v>
      </c>
      <c r="AF32" s="21">
        <f t="shared" si="6"/>
        <v>4.2000000000000003E-2</v>
      </c>
      <c r="AG32" s="19">
        <v>2.5999999999999999E-2</v>
      </c>
      <c r="AH32" s="19">
        <v>2.3E-2</v>
      </c>
      <c r="AI32" s="21">
        <f t="shared" si="7"/>
        <v>2.5000000000000001E-2</v>
      </c>
      <c r="AJ32" s="19">
        <v>0.02</v>
      </c>
      <c r="AK32" s="19">
        <v>1.9E-2</v>
      </c>
      <c r="AL32" s="21">
        <f t="shared" si="8"/>
        <v>0.02</v>
      </c>
      <c r="AM32" s="19">
        <v>11.016999999999999</v>
      </c>
      <c r="AN32" s="19">
        <v>11.256</v>
      </c>
      <c r="AO32" s="21">
        <f t="shared" si="9"/>
        <v>11.137</v>
      </c>
      <c r="AP32" s="46">
        <v>7.1199999999999999E-2</v>
      </c>
      <c r="AQ32" s="46">
        <v>7.3300000000000004E-2</v>
      </c>
      <c r="AR32" s="45">
        <f t="shared" si="10"/>
        <v>7.2300000000000003E-2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24.8</v>
      </c>
      <c r="F33" s="23">
        <v>7.1</v>
      </c>
      <c r="G33" s="41">
        <v>227</v>
      </c>
      <c r="H33" s="23">
        <v>7.9</v>
      </c>
      <c r="I33" s="23">
        <v>2.1</v>
      </c>
      <c r="J33" s="23">
        <v>8.1999999999999993</v>
      </c>
      <c r="K33" s="37">
        <v>6.3</v>
      </c>
      <c r="L33" s="37">
        <v>6.3</v>
      </c>
      <c r="M33" s="37"/>
      <c r="N33" s="20">
        <f t="shared" si="0"/>
        <v>6.3</v>
      </c>
      <c r="O33" s="37">
        <v>5.5</v>
      </c>
      <c r="P33" s="37">
        <v>5.5</v>
      </c>
      <c r="Q33" s="38">
        <f t="shared" si="1"/>
        <v>5.5</v>
      </c>
      <c r="R33" s="17">
        <v>1.998</v>
      </c>
      <c r="S33" s="17">
        <v>1.9650000000000001</v>
      </c>
      <c r="T33" s="22">
        <f t="shared" si="2"/>
        <v>1.982</v>
      </c>
      <c r="U33" s="17">
        <v>1.821</v>
      </c>
      <c r="V33" s="17">
        <v>1.82</v>
      </c>
      <c r="W33" s="22">
        <f t="shared" si="3"/>
        <v>1.821</v>
      </c>
      <c r="X33" s="17">
        <v>0.183</v>
      </c>
      <c r="Y33" s="17">
        <v>0.185</v>
      </c>
      <c r="Z33" s="21">
        <f t="shared" si="4"/>
        <v>0.184</v>
      </c>
      <c r="AA33" s="19">
        <v>1.0680000000000001</v>
      </c>
      <c r="AB33" s="19">
        <v>1.0980000000000001</v>
      </c>
      <c r="AC33" s="21">
        <f t="shared" si="5"/>
        <v>1.083</v>
      </c>
      <c r="AD33" s="19">
        <v>0.14099999999999999</v>
      </c>
      <c r="AE33" s="19">
        <v>0.13800000000000001</v>
      </c>
      <c r="AF33" s="21">
        <f t="shared" si="6"/>
        <v>0.14000000000000001</v>
      </c>
      <c r="AG33" s="19">
        <v>8.7999999999999995E-2</v>
      </c>
      <c r="AH33" s="19">
        <v>9.4E-2</v>
      </c>
      <c r="AI33" s="21">
        <f t="shared" si="7"/>
        <v>9.0999999999999998E-2</v>
      </c>
      <c r="AJ33" s="19">
        <v>8.4000000000000005E-2</v>
      </c>
      <c r="AK33" s="19">
        <v>8.7999999999999995E-2</v>
      </c>
      <c r="AL33" s="21">
        <f t="shared" si="8"/>
        <v>8.5999999999999993E-2</v>
      </c>
      <c r="AM33" s="19">
        <v>14.602</v>
      </c>
      <c r="AN33" s="19">
        <v>14.795</v>
      </c>
      <c r="AO33" s="21">
        <f t="shared" si="9"/>
        <v>14.699</v>
      </c>
      <c r="AP33" s="46">
        <v>0.1663</v>
      </c>
      <c r="AQ33" s="46">
        <v>0.1686</v>
      </c>
      <c r="AR33" s="45">
        <f t="shared" si="10"/>
        <v>0.16750000000000001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24.1</v>
      </c>
      <c r="F34" s="23">
        <v>6.8</v>
      </c>
      <c r="G34" s="41">
        <v>229</v>
      </c>
      <c r="H34" s="23">
        <v>7.1</v>
      </c>
      <c r="I34" s="23">
        <v>1.8</v>
      </c>
      <c r="J34" s="23">
        <v>8.4</v>
      </c>
      <c r="K34" s="37">
        <v>6.5</v>
      </c>
      <c r="L34" s="37">
        <v>6.3</v>
      </c>
      <c r="M34" s="37"/>
      <c r="N34" s="20">
        <f t="shared" si="0"/>
        <v>6.4</v>
      </c>
      <c r="O34" s="37">
        <v>5.7</v>
      </c>
      <c r="P34" s="37">
        <v>5.6</v>
      </c>
      <c r="Q34" s="38">
        <f t="shared" si="1"/>
        <v>5.7</v>
      </c>
      <c r="R34" s="17">
        <v>1.9410000000000001</v>
      </c>
      <c r="S34" s="17">
        <v>1.954</v>
      </c>
      <c r="T34" s="22">
        <f t="shared" si="2"/>
        <v>1.948</v>
      </c>
      <c r="U34" s="17">
        <v>1.792</v>
      </c>
      <c r="V34" s="17">
        <v>1.7769999999999999</v>
      </c>
      <c r="W34" s="22">
        <f t="shared" si="3"/>
        <v>1.7849999999999999</v>
      </c>
      <c r="X34" s="17">
        <v>0.1</v>
      </c>
      <c r="Y34" s="17">
        <v>9.7000000000000003E-2</v>
      </c>
      <c r="Z34" s="21">
        <f t="shared" si="4"/>
        <v>9.9000000000000005E-2</v>
      </c>
      <c r="AA34" s="19">
        <v>1.1339999999999999</v>
      </c>
      <c r="AB34" s="19">
        <v>1.169</v>
      </c>
      <c r="AC34" s="21">
        <f t="shared" si="5"/>
        <v>1.1519999999999999</v>
      </c>
      <c r="AD34" s="19">
        <v>0.17899999999999999</v>
      </c>
      <c r="AE34" s="19">
        <v>0.182</v>
      </c>
      <c r="AF34" s="21">
        <f t="shared" si="6"/>
        <v>0.18099999999999999</v>
      </c>
      <c r="AG34" s="19">
        <v>0.108</v>
      </c>
      <c r="AH34" s="19">
        <v>0.106</v>
      </c>
      <c r="AI34" s="21">
        <f t="shared" si="7"/>
        <v>0.107</v>
      </c>
      <c r="AJ34" s="19">
        <v>0.1</v>
      </c>
      <c r="AK34" s="19">
        <v>0.1</v>
      </c>
      <c r="AL34" s="21">
        <f t="shared" si="8"/>
        <v>0.1</v>
      </c>
      <c r="AM34" s="19">
        <v>15.284000000000001</v>
      </c>
      <c r="AN34" s="19">
        <v>15.689</v>
      </c>
      <c r="AO34" s="21">
        <f t="shared" si="9"/>
        <v>15.487</v>
      </c>
      <c r="AP34" s="46">
        <v>0.1792</v>
      </c>
      <c r="AQ34" s="46">
        <v>0.18129999999999999</v>
      </c>
      <c r="AR34" s="45">
        <f t="shared" si="10"/>
        <v>0.18029999999999999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24.9</v>
      </c>
      <c r="F35" s="23">
        <v>7</v>
      </c>
      <c r="G35" s="41">
        <v>280</v>
      </c>
      <c r="H35" s="23">
        <v>7.5</v>
      </c>
      <c r="I35" s="23">
        <v>6.5</v>
      </c>
      <c r="J35" s="23">
        <v>12.8</v>
      </c>
      <c r="K35" s="37">
        <v>9.1</v>
      </c>
      <c r="L35" s="37">
        <v>9.1</v>
      </c>
      <c r="M35" s="37"/>
      <c r="N35" s="20">
        <f t="shared" si="0"/>
        <v>9.1</v>
      </c>
      <c r="O35" s="37">
        <v>7.7</v>
      </c>
      <c r="P35" s="37">
        <v>7.7</v>
      </c>
      <c r="Q35" s="38">
        <f t="shared" si="1"/>
        <v>7.7</v>
      </c>
      <c r="R35" s="17">
        <v>3.2490000000000001</v>
      </c>
      <c r="S35" s="17">
        <v>3.214</v>
      </c>
      <c r="T35" s="22">
        <f t="shared" si="2"/>
        <v>3.2320000000000002</v>
      </c>
      <c r="U35" s="17">
        <v>2.988</v>
      </c>
      <c r="V35" s="17">
        <v>3.0670000000000002</v>
      </c>
      <c r="W35" s="22">
        <f t="shared" si="3"/>
        <v>3.028</v>
      </c>
      <c r="X35" s="17">
        <v>0.94899999999999995</v>
      </c>
      <c r="Y35" s="17">
        <v>0.93100000000000005</v>
      </c>
      <c r="Z35" s="21">
        <f t="shared" si="4"/>
        <v>0.94</v>
      </c>
      <c r="AA35" s="19">
        <v>1.196</v>
      </c>
      <c r="AB35" s="19">
        <v>1.2330000000000001</v>
      </c>
      <c r="AC35" s="21">
        <f t="shared" si="5"/>
        <v>1.2150000000000001</v>
      </c>
      <c r="AD35" s="19">
        <v>0.19500000000000001</v>
      </c>
      <c r="AE35" s="19">
        <v>0.189</v>
      </c>
      <c r="AF35" s="21">
        <f t="shared" si="6"/>
        <v>0.192</v>
      </c>
      <c r="AG35" s="19">
        <v>7.9000000000000001E-2</v>
      </c>
      <c r="AH35" s="19">
        <v>8.1000000000000003E-2</v>
      </c>
      <c r="AI35" s="21">
        <f t="shared" si="7"/>
        <v>0.08</v>
      </c>
      <c r="AJ35" s="19">
        <v>6.5000000000000002E-2</v>
      </c>
      <c r="AK35" s="19">
        <v>6.6000000000000003E-2</v>
      </c>
      <c r="AL35" s="21">
        <f t="shared" si="8"/>
        <v>6.6000000000000003E-2</v>
      </c>
      <c r="AM35" s="19">
        <v>27.309000000000001</v>
      </c>
      <c r="AN35" s="19">
        <v>27.835999999999999</v>
      </c>
      <c r="AO35" s="21">
        <f t="shared" si="9"/>
        <v>27.573</v>
      </c>
      <c r="AP35" s="46">
        <v>0.21659999999999999</v>
      </c>
      <c r="AQ35" s="46">
        <v>0.21870000000000001</v>
      </c>
      <c r="AR35" s="45">
        <f t="shared" si="10"/>
        <v>0.2177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25.1</v>
      </c>
      <c r="F36" s="23">
        <v>7.6</v>
      </c>
      <c r="G36" s="41">
        <v>246</v>
      </c>
      <c r="H36" s="23">
        <v>7.9</v>
      </c>
      <c r="I36" s="23">
        <v>2.8</v>
      </c>
      <c r="J36" s="23">
        <v>9.1999999999999993</v>
      </c>
      <c r="K36" s="37">
        <v>7.2</v>
      </c>
      <c r="L36" s="37">
        <v>7.3</v>
      </c>
      <c r="M36" s="37"/>
      <c r="N36" s="20">
        <f t="shared" si="0"/>
        <v>7.3</v>
      </c>
      <c r="O36" s="37">
        <v>6.1</v>
      </c>
      <c r="P36" s="37">
        <v>6.1</v>
      </c>
      <c r="Q36" s="38">
        <f t="shared" si="1"/>
        <v>6.1</v>
      </c>
      <c r="R36" s="17">
        <v>2.4329999999999998</v>
      </c>
      <c r="S36" s="17">
        <v>2.4220000000000002</v>
      </c>
      <c r="T36" s="22">
        <f t="shared" si="2"/>
        <v>2.4279999999999999</v>
      </c>
      <c r="U36" s="17">
        <v>2.25</v>
      </c>
      <c r="V36" s="17">
        <v>2.2210000000000001</v>
      </c>
      <c r="W36" s="22">
        <f t="shared" si="3"/>
        <v>2.2360000000000002</v>
      </c>
      <c r="X36" s="17">
        <v>0.374</v>
      </c>
      <c r="Y36" s="17">
        <v>0.36299999999999999</v>
      </c>
      <c r="Z36" s="21">
        <f t="shared" si="4"/>
        <v>0.36899999999999999</v>
      </c>
      <c r="AA36" s="19">
        <v>1.1839999999999999</v>
      </c>
      <c r="AB36" s="19">
        <v>1.2170000000000001</v>
      </c>
      <c r="AC36" s="21">
        <f t="shared" si="5"/>
        <v>1.2010000000000001</v>
      </c>
      <c r="AD36" s="19">
        <v>0.14699999999999999</v>
      </c>
      <c r="AE36" s="19">
        <v>0.151</v>
      </c>
      <c r="AF36" s="21">
        <f t="shared" si="6"/>
        <v>0.14899999999999999</v>
      </c>
      <c r="AG36" s="19">
        <v>8.2000000000000003E-2</v>
      </c>
      <c r="AH36" s="19">
        <v>8.4000000000000005E-2</v>
      </c>
      <c r="AI36" s="21">
        <f t="shared" si="7"/>
        <v>8.3000000000000004E-2</v>
      </c>
      <c r="AJ36" s="19">
        <v>7.3999999999999996E-2</v>
      </c>
      <c r="AK36" s="19">
        <v>7.3999999999999996E-2</v>
      </c>
      <c r="AL36" s="21">
        <f t="shared" si="8"/>
        <v>7.3999999999999996E-2</v>
      </c>
      <c r="AM36" s="19">
        <v>18.707000000000001</v>
      </c>
      <c r="AN36" s="19">
        <v>19.047000000000001</v>
      </c>
      <c r="AO36" s="21">
        <f t="shared" si="9"/>
        <v>18.876999999999999</v>
      </c>
      <c r="AP36" s="46">
        <v>0.17849999999999999</v>
      </c>
      <c r="AQ36" s="46">
        <v>0.18049999999999999</v>
      </c>
      <c r="AR36" s="45">
        <f t="shared" si="10"/>
        <v>0.17949999999999999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25</v>
      </c>
      <c r="F37" s="23">
        <v>7.5</v>
      </c>
      <c r="G37" s="41">
        <v>323</v>
      </c>
      <c r="H37" s="23">
        <v>6.7</v>
      </c>
      <c r="I37" s="23">
        <v>2.5</v>
      </c>
      <c r="J37" s="23">
        <v>14.7</v>
      </c>
      <c r="K37" s="37">
        <v>10.9</v>
      </c>
      <c r="L37" s="37">
        <v>10.7</v>
      </c>
      <c r="M37" s="37"/>
      <c r="N37" s="20">
        <f t="shared" si="0"/>
        <v>10.8</v>
      </c>
      <c r="O37" s="37">
        <v>9.9</v>
      </c>
      <c r="P37" s="37">
        <v>9.8000000000000007</v>
      </c>
      <c r="Q37" s="38">
        <f t="shared" si="1"/>
        <v>9.9</v>
      </c>
      <c r="R37" s="17">
        <v>2.694</v>
      </c>
      <c r="S37" s="17">
        <v>2.6850000000000001</v>
      </c>
      <c r="T37" s="22">
        <f t="shared" si="2"/>
        <v>2.69</v>
      </c>
      <c r="U37" s="17">
        <v>2.4929999999999999</v>
      </c>
      <c r="V37" s="17">
        <v>2.4780000000000002</v>
      </c>
      <c r="W37" s="22">
        <f t="shared" si="3"/>
        <v>2.4860000000000002</v>
      </c>
      <c r="X37" s="17">
        <v>0.20399999999999999</v>
      </c>
      <c r="Y37" s="17">
        <v>0.20200000000000001</v>
      </c>
      <c r="Z37" s="21">
        <f t="shared" si="4"/>
        <v>0.20300000000000001</v>
      </c>
      <c r="AA37" s="19">
        <v>1.337</v>
      </c>
      <c r="AB37" s="19">
        <v>1.3640000000000001</v>
      </c>
      <c r="AC37" s="21">
        <f t="shared" si="5"/>
        <v>1.351</v>
      </c>
      <c r="AD37" s="19">
        <v>0.21099999999999999</v>
      </c>
      <c r="AE37" s="19">
        <v>0.223</v>
      </c>
      <c r="AF37" s="21">
        <f t="shared" si="6"/>
        <v>0.217</v>
      </c>
      <c r="AG37" s="19">
        <v>0.11600000000000001</v>
      </c>
      <c r="AH37" s="19">
        <v>0.113</v>
      </c>
      <c r="AI37" s="21">
        <f t="shared" si="7"/>
        <v>0.115</v>
      </c>
      <c r="AJ37" s="19">
        <v>0.10299999999999999</v>
      </c>
      <c r="AK37" s="19">
        <v>0.104</v>
      </c>
      <c r="AL37" s="21">
        <f t="shared" si="8"/>
        <v>0.104</v>
      </c>
      <c r="AM37" s="19">
        <v>26.02</v>
      </c>
      <c r="AN37" s="19">
        <v>26.123999999999999</v>
      </c>
      <c r="AO37" s="21">
        <f t="shared" si="9"/>
        <v>26.071999999999999</v>
      </c>
      <c r="AP37" s="46">
        <v>0.27579999999999999</v>
      </c>
      <c r="AQ37" s="46">
        <v>0.27800000000000002</v>
      </c>
      <c r="AR37" s="45">
        <f t="shared" si="10"/>
        <v>0.27689999999999998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25.3</v>
      </c>
      <c r="F38" s="23">
        <v>7.6</v>
      </c>
      <c r="G38" s="41">
        <v>254</v>
      </c>
      <c r="H38" s="23">
        <v>8.6999999999999993</v>
      </c>
      <c r="I38" s="23">
        <v>2.4</v>
      </c>
      <c r="J38" s="23">
        <v>9</v>
      </c>
      <c r="K38" s="37">
        <v>7.2</v>
      </c>
      <c r="L38" s="37">
        <v>6.8</v>
      </c>
      <c r="M38" s="37"/>
      <c r="N38" s="20">
        <f t="shared" si="0"/>
        <v>7</v>
      </c>
      <c r="O38" s="37">
        <v>5.9</v>
      </c>
      <c r="P38" s="37">
        <v>5.8</v>
      </c>
      <c r="Q38" s="38">
        <f t="shared" si="1"/>
        <v>5.9</v>
      </c>
      <c r="R38" s="17">
        <v>2.7280000000000002</v>
      </c>
      <c r="S38" s="17">
        <v>2.6949999999999998</v>
      </c>
      <c r="T38" s="22">
        <f t="shared" si="2"/>
        <v>2.7120000000000002</v>
      </c>
      <c r="U38" s="17">
        <v>2.4079999999999999</v>
      </c>
      <c r="V38" s="17">
        <v>2.3940000000000001</v>
      </c>
      <c r="W38" s="22">
        <f t="shared" si="3"/>
        <v>2.4009999999999998</v>
      </c>
      <c r="X38" s="17">
        <v>0.154</v>
      </c>
      <c r="Y38" s="17">
        <v>0.154</v>
      </c>
      <c r="Z38" s="21">
        <f t="shared" si="4"/>
        <v>0.154</v>
      </c>
      <c r="AA38" s="19">
        <v>1.744</v>
      </c>
      <c r="AB38" s="19">
        <v>1.8049999999999999</v>
      </c>
      <c r="AC38" s="21">
        <f t="shared" si="5"/>
        <v>1.7749999999999999</v>
      </c>
      <c r="AD38" s="19">
        <v>0.14699999999999999</v>
      </c>
      <c r="AE38" s="19">
        <v>0.15</v>
      </c>
      <c r="AF38" s="21">
        <f t="shared" si="6"/>
        <v>0.14899999999999999</v>
      </c>
      <c r="AG38" s="19">
        <v>0.08</v>
      </c>
      <c r="AH38" s="19">
        <v>7.8E-2</v>
      </c>
      <c r="AI38" s="21">
        <f t="shared" si="7"/>
        <v>7.9000000000000001E-2</v>
      </c>
      <c r="AJ38" s="19">
        <v>7.5999999999999998E-2</v>
      </c>
      <c r="AK38" s="19">
        <v>7.2999999999999995E-2</v>
      </c>
      <c r="AL38" s="21">
        <f t="shared" si="8"/>
        <v>7.4999999999999997E-2</v>
      </c>
      <c r="AM38" s="19">
        <v>18.669</v>
      </c>
      <c r="AN38" s="19">
        <v>19.172999999999998</v>
      </c>
      <c r="AO38" s="21">
        <f t="shared" si="9"/>
        <v>18.920999999999999</v>
      </c>
      <c r="AP38" s="46">
        <v>0.1691</v>
      </c>
      <c r="AQ38" s="46">
        <v>0.1711</v>
      </c>
      <c r="AR38" s="45">
        <f t="shared" si="10"/>
        <v>0.1701</v>
      </c>
    </row>
    <row r="39" spans="1:44">
      <c r="A39" s="7" t="s">
        <v>137</v>
      </c>
      <c r="B39" s="5" t="s">
        <v>138</v>
      </c>
      <c r="C39" s="6"/>
      <c r="D39" s="6"/>
      <c r="E39" s="23">
        <v>23.4</v>
      </c>
      <c r="F39" s="23">
        <v>7.1</v>
      </c>
      <c r="G39" s="41">
        <v>384</v>
      </c>
      <c r="H39" s="23">
        <v>6.8</v>
      </c>
      <c r="I39" s="23">
        <v>10.3</v>
      </c>
      <c r="J39" s="23">
        <v>11.7</v>
      </c>
      <c r="K39" s="37">
        <v>11.11</v>
      </c>
      <c r="L39" s="37">
        <v>9.5</v>
      </c>
      <c r="M39" s="37">
        <v>9.1999999999999993</v>
      </c>
      <c r="N39" s="20">
        <f t="shared" si="0"/>
        <v>9.9</v>
      </c>
      <c r="O39" s="37">
        <v>5.2</v>
      </c>
      <c r="P39" s="37">
        <v>5.0999999999999996</v>
      </c>
      <c r="Q39" s="38">
        <f t="shared" si="1"/>
        <v>5.2</v>
      </c>
      <c r="R39" s="17">
        <v>12.622999999999999</v>
      </c>
      <c r="S39" s="17">
        <v>12.686999999999999</v>
      </c>
      <c r="T39" s="22">
        <f t="shared" si="2"/>
        <v>12.654999999999999</v>
      </c>
      <c r="U39" s="4">
        <v>7.218</v>
      </c>
      <c r="V39" s="4">
        <v>7.2009999999999996</v>
      </c>
      <c r="W39" s="22">
        <f t="shared" si="3"/>
        <v>7.21</v>
      </c>
      <c r="X39" s="17">
        <v>3.024</v>
      </c>
      <c r="Y39" s="17">
        <v>2.899</v>
      </c>
      <c r="Z39" s="21">
        <f t="shared" si="4"/>
        <v>2.9620000000000002</v>
      </c>
      <c r="AA39" s="19">
        <v>4.2460000000000004</v>
      </c>
      <c r="AB39" s="19">
        <v>4.25</v>
      </c>
      <c r="AC39" s="21">
        <f t="shared" si="5"/>
        <v>4.2480000000000002</v>
      </c>
      <c r="AD39" s="19">
        <v>0.50900000000000001</v>
      </c>
      <c r="AE39" s="19">
        <v>0.51200000000000001</v>
      </c>
      <c r="AF39" s="21">
        <f t="shared" si="6"/>
        <v>0.51100000000000001</v>
      </c>
      <c r="AG39" s="5">
        <v>0.13500000000000001</v>
      </c>
      <c r="AH39" s="5">
        <v>0.128</v>
      </c>
      <c r="AI39" s="21">
        <f t="shared" si="7"/>
        <v>0.13200000000000001</v>
      </c>
      <c r="AJ39" s="5">
        <v>0.113</v>
      </c>
      <c r="AK39" s="5">
        <v>0.109</v>
      </c>
      <c r="AL39" s="21">
        <f t="shared" si="8"/>
        <v>0.111</v>
      </c>
      <c r="AM39" s="19">
        <v>46.392000000000003</v>
      </c>
      <c r="AN39" s="19">
        <v>47.412999999999997</v>
      </c>
      <c r="AO39" s="21">
        <f t="shared" si="9"/>
        <v>46.902999999999999</v>
      </c>
      <c r="AP39" s="46">
        <v>0.1288</v>
      </c>
      <c r="AQ39" s="46">
        <v>0.13070000000000001</v>
      </c>
      <c r="AR39" s="45">
        <f t="shared" si="10"/>
        <v>0.1298</v>
      </c>
    </row>
    <row r="40" spans="1:44">
      <c r="A40" s="7" t="s">
        <v>158</v>
      </c>
      <c r="B40" s="5" t="s">
        <v>159</v>
      </c>
      <c r="C40" s="6"/>
      <c r="D40" s="6"/>
      <c r="E40" s="23">
        <v>23.6</v>
      </c>
      <c r="F40" s="23">
        <v>6.8</v>
      </c>
      <c r="G40" s="41">
        <v>246</v>
      </c>
      <c r="H40" s="23">
        <v>5.6</v>
      </c>
      <c r="I40" s="23">
        <v>3.2</v>
      </c>
      <c r="J40" s="23">
        <v>6.7</v>
      </c>
      <c r="K40" s="37">
        <v>5.05</v>
      </c>
      <c r="L40" s="37">
        <v>4.7</v>
      </c>
      <c r="M40" s="37"/>
      <c r="N40" s="20">
        <f t="shared" si="0"/>
        <v>4.9000000000000004</v>
      </c>
      <c r="O40" s="37">
        <v>4</v>
      </c>
      <c r="P40" s="37">
        <v>3.8</v>
      </c>
      <c r="Q40" s="38">
        <f t="shared" si="1"/>
        <v>3.9</v>
      </c>
      <c r="R40" s="17">
        <v>2.4489999999999998</v>
      </c>
      <c r="S40" s="17">
        <v>2.5030000000000001</v>
      </c>
      <c r="T40" s="22">
        <f t="shared" si="2"/>
        <v>2.476</v>
      </c>
      <c r="U40" s="17">
        <v>2.2639999999999998</v>
      </c>
      <c r="V40" s="17">
        <v>2.2480000000000002</v>
      </c>
      <c r="W40" s="22">
        <f t="shared" si="3"/>
        <v>2.2559999999999998</v>
      </c>
      <c r="X40" s="17">
        <v>1.76</v>
      </c>
      <c r="Y40" s="17">
        <v>1.734</v>
      </c>
      <c r="Z40" s="21">
        <f t="shared" si="4"/>
        <v>1.7470000000000001</v>
      </c>
      <c r="AA40" s="19">
        <v>0.36499999999999999</v>
      </c>
      <c r="AB40" s="19">
        <v>0.36099999999999999</v>
      </c>
      <c r="AC40" s="21">
        <f t="shared" si="5"/>
        <v>0.36299999999999999</v>
      </c>
      <c r="AD40" s="19">
        <v>0.127</v>
      </c>
      <c r="AE40" s="19">
        <v>0.13200000000000001</v>
      </c>
      <c r="AF40" s="21">
        <f t="shared" si="6"/>
        <v>0.13</v>
      </c>
      <c r="AG40" s="19">
        <v>6.7000000000000004E-2</v>
      </c>
      <c r="AH40" s="19">
        <v>6.3E-2</v>
      </c>
      <c r="AI40" s="21">
        <f t="shared" si="7"/>
        <v>6.5000000000000002E-2</v>
      </c>
      <c r="AJ40" s="19">
        <v>4.7E-2</v>
      </c>
      <c r="AK40" s="19">
        <v>4.7E-2</v>
      </c>
      <c r="AL40" s="21">
        <f t="shared" si="8"/>
        <v>4.7E-2</v>
      </c>
      <c r="AM40" s="19">
        <v>53.216000000000001</v>
      </c>
      <c r="AN40" s="19">
        <v>52.404000000000003</v>
      </c>
      <c r="AO40" s="21">
        <f t="shared" si="9"/>
        <v>52.81</v>
      </c>
      <c r="AP40" s="46">
        <v>0.1132</v>
      </c>
      <c r="AQ40" s="46">
        <v>0.1159</v>
      </c>
      <c r="AR40" s="45">
        <f t="shared" si="10"/>
        <v>0.11459999999999999</v>
      </c>
    </row>
  </sheetData>
  <mergeCells count="18">
    <mergeCell ref="J1:J2"/>
    <mergeCell ref="K1:N1"/>
    <mergeCell ref="O1:Q1"/>
    <mergeCell ref="R1:T1"/>
    <mergeCell ref="I1:I2"/>
    <mergeCell ref="A1:A2"/>
    <mergeCell ref="B1:B2"/>
    <mergeCell ref="C1:C2"/>
    <mergeCell ref="D1:D2"/>
    <mergeCell ref="E1:H1"/>
    <mergeCell ref="AJ1:AL1"/>
    <mergeCell ref="AM1:AO1"/>
    <mergeCell ref="AP1:AR1"/>
    <mergeCell ref="U1:W1"/>
    <mergeCell ref="X1:Z1"/>
    <mergeCell ref="AA1:AC1"/>
    <mergeCell ref="AD1:AF1"/>
    <mergeCell ref="AG1:AI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40"/>
  <sheetViews>
    <sheetView topLeftCell="A12" zoomScale="85" zoomScaleNormal="85" workbookViewId="0">
      <selection activeCell="A3" sqref="A3:XFD40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20" width="9" style="1"/>
    <col min="21" max="21" width="9" style="3"/>
    <col min="22" max="31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8"/>
      <c r="U1" s="76" t="s">
        <v>126</v>
      </c>
      <c r="V1" s="77"/>
      <c r="W1" s="78"/>
      <c r="X1" s="76" t="s">
        <v>127</v>
      </c>
      <c r="Y1" s="77"/>
      <c r="Z1" s="78"/>
      <c r="AA1" s="76" t="s">
        <v>128</v>
      </c>
      <c r="AB1" s="77"/>
      <c r="AC1" s="78"/>
      <c r="AD1" s="76" t="s">
        <v>129</v>
      </c>
      <c r="AE1" s="77"/>
      <c r="AF1" s="78"/>
      <c r="AG1" s="76" t="s">
        <v>130</v>
      </c>
      <c r="AH1" s="77"/>
      <c r="AI1" s="78"/>
      <c r="AJ1" s="76" t="s">
        <v>131</v>
      </c>
      <c r="AK1" s="77"/>
      <c r="AL1" s="78"/>
      <c r="AM1" s="76" t="s">
        <v>132</v>
      </c>
      <c r="AN1" s="77"/>
      <c r="AO1" s="78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113</v>
      </c>
      <c r="H2" s="12" t="s">
        <v>112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136</v>
      </c>
      <c r="B3" s="9" t="s">
        <v>34</v>
      </c>
      <c r="C3" s="10" t="s">
        <v>35</v>
      </c>
      <c r="D3" s="10" t="s">
        <v>36</v>
      </c>
      <c r="E3" s="20">
        <v>22</v>
      </c>
      <c r="F3" s="20">
        <v>7.8</v>
      </c>
      <c r="G3" s="40">
        <v>128</v>
      </c>
      <c r="H3" s="20">
        <v>8.5</v>
      </c>
      <c r="I3" s="20">
        <v>0.7</v>
      </c>
      <c r="J3" s="20">
        <v>3</v>
      </c>
      <c r="K3" s="36">
        <v>1.9</v>
      </c>
      <c r="L3" s="36">
        <v>2</v>
      </c>
      <c r="M3" s="36"/>
      <c r="N3" s="38">
        <f>ROUND(AVERAGE(K3:M3),1)</f>
        <v>2</v>
      </c>
      <c r="O3" s="36">
        <v>1.8</v>
      </c>
      <c r="P3" s="36">
        <v>1.7</v>
      </c>
      <c r="Q3" s="38">
        <f>ROUND(AVERAGE(O3:P3),1)</f>
        <v>1.8</v>
      </c>
      <c r="R3" s="16">
        <v>0.88900000000000001</v>
      </c>
      <c r="S3" s="16">
        <v>0.93700000000000006</v>
      </c>
      <c r="T3" s="22">
        <f>ROUND(AVERAGE(R3:S3),3)</f>
        <v>0.91300000000000003</v>
      </c>
      <c r="U3" s="32">
        <v>0.84799999999999998</v>
      </c>
      <c r="V3" s="32">
        <v>0.84899999999999998</v>
      </c>
      <c r="W3" s="33">
        <f>ROUND(AVERAGE(U3:V3),3)</f>
        <v>0.84899999999999998</v>
      </c>
      <c r="X3" s="16">
        <v>3.6999999999999998E-2</v>
      </c>
      <c r="Y3" s="16">
        <v>0.04</v>
      </c>
      <c r="Z3" s="21">
        <f>ROUND(AVERAGE(X3:Y3),3)</f>
        <v>3.9E-2</v>
      </c>
      <c r="AA3" s="18">
        <v>0.749</v>
      </c>
      <c r="AB3" s="18">
        <v>0.79500000000000004</v>
      </c>
      <c r="AC3" s="21">
        <f>ROUND(AVERAGE(AA3:AB3),3)</f>
        <v>0.77200000000000002</v>
      </c>
      <c r="AD3" s="18">
        <v>3.9E-2</v>
      </c>
      <c r="AE3" s="18">
        <v>4.3999999999999997E-2</v>
      </c>
      <c r="AF3" s="21">
        <f>ROUND(AVERAGE(AD3:AE3),3)</f>
        <v>4.2000000000000003E-2</v>
      </c>
      <c r="AG3" s="29">
        <v>3.1E-2</v>
      </c>
      <c r="AH3" s="29">
        <v>2.5000000000000001E-2</v>
      </c>
      <c r="AI3" s="31">
        <f>ROUND(AVERAGE(AG3:AH3),3)</f>
        <v>2.8000000000000001E-2</v>
      </c>
      <c r="AJ3" s="29">
        <v>1.4E-2</v>
      </c>
      <c r="AK3" s="29">
        <v>1.2999999999999999E-2</v>
      </c>
      <c r="AL3" s="31">
        <f>ROUND(AVERAGE(AJ3:AK3),3)</f>
        <v>1.4E-2</v>
      </c>
      <c r="AM3" s="18">
        <v>10.35</v>
      </c>
      <c r="AN3" s="18">
        <v>10.739000000000001</v>
      </c>
      <c r="AO3" s="21">
        <f>ROUND(AVERAGE(AM3:AN3),3)</f>
        <v>10.545</v>
      </c>
      <c r="AP3" s="25">
        <v>5.45E-2</v>
      </c>
      <c r="AQ3" s="25">
        <v>5.4600000000000003E-2</v>
      </c>
      <c r="AR3" s="26">
        <f>ROUND(AVERAGE(AP3:AQ3),4)</f>
        <v>5.4600000000000003E-2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22.9</v>
      </c>
      <c r="F4" s="23">
        <v>7.1</v>
      </c>
      <c r="G4" s="41">
        <v>66</v>
      </c>
      <c r="H4" s="23">
        <v>7.7</v>
      </c>
      <c r="I4" s="23">
        <v>1</v>
      </c>
      <c r="J4" s="23">
        <v>4.4000000000000004</v>
      </c>
      <c r="K4" s="37">
        <v>3.3</v>
      </c>
      <c r="L4" s="37">
        <v>3</v>
      </c>
      <c r="M4" s="37"/>
      <c r="N4" s="38">
        <f t="shared" ref="N4:N40" si="0">ROUND(AVERAGE(K4:M4),1)</f>
        <v>3.2</v>
      </c>
      <c r="O4" s="37">
        <v>2.4</v>
      </c>
      <c r="P4" s="37">
        <v>2.2999999999999998</v>
      </c>
      <c r="Q4" s="38">
        <f t="shared" ref="Q4:Q40" si="1">ROUND(AVERAGE(O4:P4),1)</f>
        <v>2.4</v>
      </c>
      <c r="R4" s="17">
        <v>0.98099999999999998</v>
      </c>
      <c r="S4" s="17">
        <v>0.96299999999999997</v>
      </c>
      <c r="T4" s="22">
        <f t="shared" ref="T4:T40" si="2">ROUND(AVERAGE(R4:S4),3)</f>
        <v>0.97199999999999998</v>
      </c>
      <c r="U4" s="34">
        <v>0.85599999999999998</v>
      </c>
      <c r="V4" s="34">
        <v>0.86499999999999999</v>
      </c>
      <c r="W4" s="33">
        <f t="shared" ref="W4:W40" si="3">ROUND(AVERAGE(U4:V4),3)</f>
        <v>0.86099999999999999</v>
      </c>
      <c r="X4" s="17">
        <v>3.1E-2</v>
      </c>
      <c r="Y4" s="17">
        <v>3.4000000000000002E-2</v>
      </c>
      <c r="Z4" s="21">
        <f t="shared" ref="Z4:Z40" si="4">ROUND(AVERAGE(X4:Y4),3)</f>
        <v>3.3000000000000002E-2</v>
      </c>
      <c r="AA4" s="19">
        <v>0.754</v>
      </c>
      <c r="AB4" s="19">
        <v>0.78500000000000003</v>
      </c>
      <c r="AC4" s="21">
        <f t="shared" ref="AC4:AC40" si="5">ROUND(AVERAGE(AA4:AB4),3)</f>
        <v>0.77</v>
      </c>
      <c r="AD4" s="19">
        <v>3.7999999999999999E-2</v>
      </c>
      <c r="AE4" s="19">
        <v>3.3000000000000002E-2</v>
      </c>
      <c r="AF4" s="21">
        <f t="shared" ref="AF4:AF40" si="6">ROUND(AVERAGE(AD4:AE4),3)</f>
        <v>3.5999999999999997E-2</v>
      </c>
      <c r="AG4" s="30">
        <v>1.2999999999999999E-2</v>
      </c>
      <c r="AH4" s="30">
        <v>1.2E-2</v>
      </c>
      <c r="AI4" s="31">
        <f t="shared" ref="AI4:AI40" si="7">ROUND(AVERAGE(AG4:AH4),3)</f>
        <v>1.2999999999999999E-2</v>
      </c>
      <c r="AJ4" s="30">
        <v>1E-3</v>
      </c>
      <c r="AK4" s="30">
        <v>0</v>
      </c>
      <c r="AL4" s="31">
        <f t="shared" ref="AL4:AL40" si="8">ROUND(AVERAGE(AJ4:AK4),3)</f>
        <v>1E-3</v>
      </c>
      <c r="AM4" s="19">
        <v>4.0720000000000001</v>
      </c>
      <c r="AN4" s="19">
        <v>4.1779999999999999</v>
      </c>
      <c r="AO4" s="21">
        <f t="shared" ref="AO4:AO40" si="9">ROUND(AVERAGE(AM4:AN4),3)</f>
        <v>4.125</v>
      </c>
      <c r="AP4" s="27">
        <v>6.6699999999999995E-2</v>
      </c>
      <c r="AQ4" s="27">
        <v>6.7699999999999996E-2</v>
      </c>
      <c r="AR4" s="26">
        <f t="shared" ref="AR4:AR40" si="10">ROUND(AVERAGE(AP4:AQ4),4)</f>
        <v>6.7199999999999996E-2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22.7</v>
      </c>
      <c r="F5" s="23">
        <v>7</v>
      </c>
      <c r="G5" s="41">
        <v>77</v>
      </c>
      <c r="H5" s="23">
        <v>8.1999999999999993</v>
      </c>
      <c r="I5" s="23">
        <v>0.8</v>
      </c>
      <c r="J5" s="23">
        <v>4</v>
      </c>
      <c r="K5" s="37">
        <v>2.8</v>
      </c>
      <c r="L5" s="37">
        <v>2.7</v>
      </c>
      <c r="M5" s="37"/>
      <c r="N5" s="38">
        <f t="shared" si="0"/>
        <v>2.8</v>
      </c>
      <c r="O5" s="37">
        <v>2.2999999999999998</v>
      </c>
      <c r="P5" s="37">
        <v>2.2000000000000002</v>
      </c>
      <c r="Q5" s="38">
        <f t="shared" si="1"/>
        <v>2.2999999999999998</v>
      </c>
      <c r="R5" s="17">
        <v>0.998</v>
      </c>
      <c r="S5" s="17">
        <v>0.97099999999999997</v>
      </c>
      <c r="T5" s="22">
        <f t="shared" si="2"/>
        <v>0.98499999999999999</v>
      </c>
      <c r="U5" s="34">
        <v>0.87</v>
      </c>
      <c r="V5" s="34">
        <v>0.85099999999999998</v>
      </c>
      <c r="W5" s="33">
        <f t="shared" si="3"/>
        <v>0.86099999999999999</v>
      </c>
      <c r="X5" s="17">
        <v>2.8000000000000001E-2</v>
      </c>
      <c r="Y5" s="17">
        <v>3.1E-2</v>
      </c>
      <c r="Z5" s="21">
        <f t="shared" si="4"/>
        <v>0.03</v>
      </c>
      <c r="AA5" s="19">
        <v>0.75800000000000001</v>
      </c>
      <c r="AB5" s="19">
        <v>0.79300000000000004</v>
      </c>
      <c r="AC5" s="21">
        <f t="shared" si="5"/>
        <v>0.77600000000000002</v>
      </c>
      <c r="AD5" s="19">
        <v>3.9E-2</v>
      </c>
      <c r="AE5" s="19">
        <v>3.5999999999999997E-2</v>
      </c>
      <c r="AF5" s="21">
        <f t="shared" si="6"/>
        <v>3.7999999999999999E-2</v>
      </c>
      <c r="AG5" s="30">
        <v>1.2999999999999999E-2</v>
      </c>
      <c r="AH5" s="30">
        <v>1.2E-2</v>
      </c>
      <c r="AI5" s="31">
        <f t="shared" si="7"/>
        <v>1.2999999999999999E-2</v>
      </c>
      <c r="AJ5" s="30">
        <v>1E-3</v>
      </c>
      <c r="AK5" s="30">
        <v>0</v>
      </c>
      <c r="AL5" s="31">
        <f t="shared" si="8"/>
        <v>1E-3</v>
      </c>
      <c r="AM5" s="19">
        <v>4.9989999999999997</v>
      </c>
      <c r="AN5" s="19">
        <v>5.149</v>
      </c>
      <c r="AO5" s="21">
        <f t="shared" si="9"/>
        <v>5.0739999999999998</v>
      </c>
      <c r="AP5" s="27">
        <v>6.3799999999999996E-2</v>
      </c>
      <c r="AQ5" s="27">
        <v>6.4600000000000005E-2</v>
      </c>
      <c r="AR5" s="26">
        <f t="shared" si="10"/>
        <v>6.4199999999999993E-2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23.5</v>
      </c>
      <c r="F6" s="23">
        <v>7.1</v>
      </c>
      <c r="G6" s="41">
        <v>76</v>
      </c>
      <c r="H6" s="23">
        <v>8</v>
      </c>
      <c r="I6" s="23">
        <v>0.7</v>
      </c>
      <c r="J6" s="23">
        <v>3.8</v>
      </c>
      <c r="K6" s="37">
        <v>2.6</v>
      </c>
      <c r="L6" s="37">
        <v>2.5</v>
      </c>
      <c r="M6" s="37"/>
      <c r="N6" s="38">
        <f t="shared" si="0"/>
        <v>2.6</v>
      </c>
      <c r="O6" s="37">
        <v>2.2999999999999998</v>
      </c>
      <c r="P6" s="37">
        <v>2.2999999999999998</v>
      </c>
      <c r="Q6" s="38">
        <f t="shared" si="1"/>
        <v>2.2999999999999998</v>
      </c>
      <c r="R6" s="17">
        <v>0.70799999999999996</v>
      </c>
      <c r="S6" s="17">
        <v>0.71599999999999997</v>
      </c>
      <c r="T6" s="22">
        <f t="shared" si="2"/>
        <v>0.71199999999999997</v>
      </c>
      <c r="U6" s="34">
        <v>0.58899999999999997</v>
      </c>
      <c r="V6" s="34">
        <v>0.58299999999999996</v>
      </c>
      <c r="W6" s="33">
        <f t="shared" si="3"/>
        <v>0.58599999999999997</v>
      </c>
      <c r="X6" s="17">
        <v>4.7E-2</v>
      </c>
      <c r="Y6" s="17">
        <v>4.4999999999999998E-2</v>
      </c>
      <c r="Z6" s="21">
        <f t="shared" si="4"/>
        <v>4.5999999999999999E-2</v>
      </c>
      <c r="AA6" s="19">
        <v>0.501</v>
      </c>
      <c r="AB6" s="19">
        <v>0.53200000000000003</v>
      </c>
      <c r="AC6" s="21">
        <f t="shared" si="5"/>
        <v>0.51700000000000002</v>
      </c>
      <c r="AD6" s="19">
        <v>4.3999999999999997E-2</v>
      </c>
      <c r="AE6" s="19">
        <v>0.04</v>
      </c>
      <c r="AF6" s="21">
        <f t="shared" si="6"/>
        <v>4.2000000000000003E-2</v>
      </c>
      <c r="AG6" s="30">
        <v>2.3E-2</v>
      </c>
      <c r="AH6" s="30">
        <v>2.4E-2</v>
      </c>
      <c r="AI6" s="31">
        <f t="shared" si="7"/>
        <v>2.4E-2</v>
      </c>
      <c r="AJ6" s="30">
        <v>1.0999999999999999E-2</v>
      </c>
      <c r="AK6" s="30">
        <v>0.01</v>
      </c>
      <c r="AL6" s="31">
        <f t="shared" si="8"/>
        <v>1.0999999999999999E-2</v>
      </c>
      <c r="AM6" s="19">
        <v>4.3739999999999997</v>
      </c>
      <c r="AN6" s="19">
        <v>4.524</v>
      </c>
      <c r="AO6" s="21">
        <f t="shared" si="9"/>
        <v>4.4489999999999998</v>
      </c>
      <c r="AP6" s="27">
        <v>8.9700000000000002E-2</v>
      </c>
      <c r="AQ6" s="27">
        <v>8.9700000000000002E-2</v>
      </c>
      <c r="AR6" s="26">
        <f t="shared" si="10"/>
        <v>8.9700000000000002E-2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23.1</v>
      </c>
      <c r="F7" s="23">
        <v>7</v>
      </c>
      <c r="G7" s="41">
        <v>81</v>
      </c>
      <c r="H7" s="23">
        <v>8</v>
      </c>
      <c r="I7" s="23">
        <v>0.8</v>
      </c>
      <c r="J7" s="23">
        <v>3.7</v>
      </c>
      <c r="K7" s="37">
        <v>3</v>
      </c>
      <c r="L7" s="37">
        <v>2.8</v>
      </c>
      <c r="M7" s="37"/>
      <c r="N7" s="38">
        <f t="shared" si="0"/>
        <v>2.9</v>
      </c>
      <c r="O7" s="37">
        <v>2.2000000000000002</v>
      </c>
      <c r="P7" s="37">
        <v>2.1</v>
      </c>
      <c r="Q7" s="38">
        <f t="shared" si="1"/>
        <v>2.2000000000000002</v>
      </c>
      <c r="R7" s="17">
        <v>0.99399999999999999</v>
      </c>
      <c r="S7" s="17">
        <v>1.0109999999999999</v>
      </c>
      <c r="T7" s="22">
        <f t="shared" si="2"/>
        <v>1.0029999999999999</v>
      </c>
      <c r="U7" s="34">
        <v>0.85399999999999998</v>
      </c>
      <c r="V7" s="34">
        <v>0.871</v>
      </c>
      <c r="W7" s="33">
        <f t="shared" si="3"/>
        <v>0.86299999999999999</v>
      </c>
      <c r="X7" s="17">
        <v>5.6000000000000001E-2</v>
      </c>
      <c r="Y7" s="17">
        <v>4.9000000000000002E-2</v>
      </c>
      <c r="Z7" s="21">
        <f t="shared" si="4"/>
        <v>5.2999999999999999E-2</v>
      </c>
      <c r="AA7" s="19">
        <v>0.75700000000000001</v>
      </c>
      <c r="AB7" s="19">
        <v>0.78900000000000003</v>
      </c>
      <c r="AC7" s="21">
        <f t="shared" si="5"/>
        <v>0.77300000000000002</v>
      </c>
      <c r="AD7" s="19">
        <v>5.0999999999999997E-2</v>
      </c>
      <c r="AE7" s="19">
        <v>4.8000000000000001E-2</v>
      </c>
      <c r="AF7" s="21">
        <f t="shared" si="6"/>
        <v>0.05</v>
      </c>
      <c r="AG7" s="30">
        <v>1.7999999999999999E-2</v>
      </c>
      <c r="AH7" s="30">
        <v>1.9E-2</v>
      </c>
      <c r="AI7" s="31">
        <f t="shared" si="7"/>
        <v>1.9E-2</v>
      </c>
      <c r="AJ7" s="30">
        <v>6.0000000000000001E-3</v>
      </c>
      <c r="AK7" s="30">
        <v>8.0000000000000002E-3</v>
      </c>
      <c r="AL7" s="31">
        <f t="shared" si="8"/>
        <v>7.0000000000000001E-3</v>
      </c>
      <c r="AM7" s="19">
        <v>5.27</v>
      </c>
      <c r="AN7" s="19">
        <v>5.423</v>
      </c>
      <c r="AO7" s="21">
        <f t="shared" si="9"/>
        <v>5.3470000000000004</v>
      </c>
      <c r="AP7" s="27">
        <v>6.6900000000000001E-2</v>
      </c>
      <c r="AQ7" s="27">
        <v>6.7900000000000002E-2</v>
      </c>
      <c r="AR7" s="26">
        <f t="shared" si="10"/>
        <v>6.7400000000000002E-2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23.4</v>
      </c>
      <c r="F8" s="23">
        <v>7.1</v>
      </c>
      <c r="G8" s="41">
        <v>96</v>
      </c>
      <c r="H8" s="23">
        <v>8.1</v>
      </c>
      <c r="I8" s="23">
        <v>0.8</v>
      </c>
      <c r="J8" s="23">
        <v>3.9</v>
      </c>
      <c r="K8" s="37">
        <v>3.1</v>
      </c>
      <c r="L8" s="37">
        <v>3.1</v>
      </c>
      <c r="M8" s="37"/>
      <c r="N8" s="38">
        <f t="shared" si="0"/>
        <v>3.1</v>
      </c>
      <c r="O8" s="37">
        <v>2.4</v>
      </c>
      <c r="P8" s="37">
        <v>2.2999999999999998</v>
      </c>
      <c r="Q8" s="38">
        <f t="shared" si="1"/>
        <v>2.4</v>
      </c>
      <c r="R8" s="17">
        <v>1.0620000000000001</v>
      </c>
      <c r="S8" s="17">
        <v>1.0620000000000001</v>
      </c>
      <c r="T8" s="22">
        <f t="shared" si="2"/>
        <v>1.0620000000000001</v>
      </c>
      <c r="U8" s="34">
        <v>0.91800000000000004</v>
      </c>
      <c r="V8" s="34">
        <v>0.91</v>
      </c>
      <c r="W8" s="33">
        <f t="shared" si="3"/>
        <v>0.91400000000000003</v>
      </c>
      <c r="X8" s="17">
        <v>7.1999999999999995E-2</v>
      </c>
      <c r="Y8" s="17">
        <v>7.8E-2</v>
      </c>
      <c r="Z8" s="21">
        <f t="shared" si="4"/>
        <v>7.4999999999999997E-2</v>
      </c>
      <c r="AA8" s="19">
        <v>0.76100000000000001</v>
      </c>
      <c r="AB8" s="19">
        <v>0.79200000000000004</v>
      </c>
      <c r="AC8" s="21">
        <f t="shared" si="5"/>
        <v>0.77700000000000002</v>
      </c>
      <c r="AD8" s="19">
        <v>6.5000000000000002E-2</v>
      </c>
      <c r="AE8" s="19">
        <v>6.0999999999999999E-2</v>
      </c>
      <c r="AF8" s="21">
        <f t="shared" si="6"/>
        <v>6.3E-2</v>
      </c>
      <c r="AG8" s="30">
        <v>3.1E-2</v>
      </c>
      <c r="AH8" s="30">
        <v>3.1E-2</v>
      </c>
      <c r="AI8" s="31">
        <f t="shared" si="7"/>
        <v>3.1E-2</v>
      </c>
      <c r="AJ8" s="30">
        <v>1.9E-2</v>
      </c>
      <c r="AK8" s="30">
        <v>1.9E-2</v>
      </c>
      <c r="AL8" s="31">
        <f t="shared" si="8"/>
        <v>1.9E-2</v>
      </c>
      <c r="AM8" s="19">
        <v>5.5119999999999996</v>
      </c>
      <c r="AN8" s="19">
        <v>5.6440000000000001</v>
      </c>
      <c r="AO8" s="21">
        <f t="shared" si="9"/>
        <v>5.5780000000000003</v>
      </c>
      <c r="AP8" s="27">
        <v>8.6800000000000002E-2</v>
      </c>
      <c r="AQ8" s="27">
        <v>8.7499999999999994E-2</v>
      </c>
      <c r="AR8" s="26">
        <f t="shared" si="10"/>
        <v>8.72E-2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23.2</v>
      </c>
      <c r="F9" s="23">
        <v>6.8</v>
      </c>
      <c r="G9" s="41">
        <v>88</v>
      </c>
      <c r="H9" s="23">
        <v>7.5</v>
      </c>
      <c r="I9" s="23">
        <v>0.7</v>
      </c>
      <c r="J9" s="23">
        <v>3.9</v>
      </c>
      <c r="K9" s="37">
        <v>2.5</v>
      </c>
      <c r="L9" s="37">
        <v>2.5</v>
      </c>
      <c r="M9" s="37"/>
      <c r="N9" s="38">
        <f t="shared" si="0"/>
        <v>2.5</v>
      </c>
      <c r="O9" s="37">
        <v>2.1</v>
      </c>
      <c r="P9" s="37">
        <v>2.2000000000000002</v>
      </c>
      <c r="Q9" s="38">
        <f t="shared" si="1"/>
        <v>2.2000000000000002</v>
      </c>
      <c r="R9" s="17">
        <v>1.0269999999999999</v>
      </c>
      <c r="S9" s="17">
        <v>1.018</v>
      </c>
      <c r="T9" s="22">
        <f t="shared" si="2"/>
        <v>1.0229999999999999</v>
      </c>
      <c r="U9" s="34">
        <v>0.90100000000000002</v>
      </c>
      <c r="V9" s="34">
        <v>0.91300000000000003</v>
      </c>
      <c r="W9" s="33">
        <f t="shared" si="3"/>
        <v>0.90700000000000003</v>
      </c>
      <c r="X9" s="17">
        <v>4.2999999999999997E-2</v>
      </c>
      <c r="Y9" s="17">
        <v>4.5999999999999999E-2</v>
      </c>
      <c r="Z9" s="21">
        <f t="shared" si="4"/>
        <v>4.4999999999999998E-2</v>
      </c>
      <c r="AA9" s="19">
        <v>0.80100000000000005</v>
      </c>
      <c r="AB9" s="19">
        <v>0.82799999999999996</v>
      </c>
      <c r="AC9" s="21">
        <f t="shared" si="5"/>
        <v>0.81499999999999995</v>
      </c>
      <c r="AD9" s="19">
        <v>5.2999999999999999E-2</v>
      </c>
      <c r="AE9" s="19">
        <v>4.9000000000000002E-2</v>
      </c>
      <c r="AF9" s="21">
        <f t="shared" si="6"/>
        <v>5.0999999999999997E-2</v>
      </c>
      <c r="AG9" s="30">
        <v>2.4E-2</v>
      </c>
      <c r="AH9" s="30">
        <v>2.4E-2</v>
      </c>
      <c r="AI9" s="31">
        <f t="shared" si="7"/>
        <v>2.4E-2</v>
      </c>
      <c r="AJ9" s="30">
        <v>1.2999999999999999E-2</v>
      </c>
      <c r="AK9" s="30">
        <v>1.4999999999999999E-2</v>
      </c>
      <c r="AL9" s="31">
        <f t="shared" si="8"/>
        <v>1.4E-2</v>
      </c>
      <c r="AM9" s="19">
        <v>5.6890000000000001</v>
      </c>
      <c r="AN9" s="19">
        <v>5.8760000000000003</v>
      </c>
      <c r="AO9" s="21">
        <f t="shared" si="9"/>
        <v>5.7830000000000004</v>
      </c>
      <c r="AP9" s="27">
        <v>6.8199999999999997E-2</v>
      </c>
      <c r="AQ9" s="27">
        <v>6.88E-2</v>
      </c>
      <c r="AR9" s="26">
        <f t="shared" si="10"/>
        <v>6.8500000000000005E-2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23.6</v>
      </c>
      <c r="F10" s="23">
        <v>6.8</v>
      </c>
      <c r="G10" s="41">
        <v>111</v>
      </c>
      <c r="H10" s="23">
        <v>7.4</v>
      </c>
      <c r="I10" s="23">
        <v>0.6</v>
      </c>
      <c r="J10" s="23">
        <v>2.8</v>
      </c>
      <c r="K10" s="37">
        <v>1.9</v>
      </c>
      <c r="L10" s="37">
        <v>1.8</v>
      </c>
      <c r="M10" s="37"/>
      <c r="N10" s="38">
        <f t="shared" si="0"/>
        <v>1.9</v>
      </c>
      <c r="O10" s="37">
        <v>1.5</v>
      </c>
      <c r="P10" s="37">
        <v>1.5</v>
      </c>
      <c r="Q10" s="38">
        <f t="shared" si="1"/>
        <v>1.5</v>
      </c>
      <c r="R10" s="17">
        <v>1.7829999999999999</v>
      </c>
      <c r="S10" s="17">
        <v>1.841</v>
      </c>
      <c r="T10" s="22">
        <f t="shared" si="2"/>
        <v>1.8120000000000001</v>
      </c>
      <c r="U10" s="34">
        <v>1.698</v>
      </c>
      <c r="V10" s="34">
        <v>1.698</v>
      </c>
      <c r="W10" s="33">
        <f t="shared" si="3"/>
        <v>1.698</v>
      </c>
      <c r="X10" s="17">
        <v>7.1999999999999995E-2</v>
      </c>
      <c r="Y10" s="17">
        <v>7.2999999999999995E-2</v>
      </c>
      <c r="Z10" s="21">
        <f t="shared" si="4"/>
        <v>7.2999999999999995E-2</v>
      </c>
      <c r="AA10" s="19">
        <v>1.5449999999999999</v>
      </c>
      <c r="AB10" s="19">
        <v>1.6240000000000001</v>
      </c>
      <c r="AC10" s="21">
        <f t="shared" si="5"/>
        <v>1.585</v>
      </c>
      <c r="AD10" s="19">
        <v>0.20599999999999999</v>
      </c>
      <c r="AE10" s="19">
        <v>0.20799999999999999</v>
      </c>
      <c r="AF10" s="21">
        <f t="shared" si="6"/>
        <v>0.20699999999999999</v>
      </c>
      <c r="AG10" s="30">
        <v>0.16700000000000001</v>
      </c>
      <c r="AH10" s="30">
        <v>0.17599999999999999</v>
      </c>
      <c r="AI10" s="31">
        <f t="shared" si="7"/>
        <v>0.17199999999999999</v>
      </c>
      <c r="AJ10" s="30">
        <v>0.16600000000000001</v>
      </c>
      <c r="AK10" s="30">
        <v>0.17100000000000001</v>
      </c>
      <c r="AL10" s="31">
        <f t="shared" si="8"/>
        <v>0.16900000000000001</v>
      </c>
      <c r="AM10" s="19">
        <v>7.0750000000000002</v>
      </c>
      <c r="AN10" s="19">
        <v>7.3440000000000003</v>
      </c>
      <c r="AO10" s="21">
        <f t="shared" si="9"/>
        <v>7.21</v>
      </c>
      <c r="AP10" s="27">
        <v>4.0599999999999997E-2</v>
      </c>
      <c r="AQ10" s="27">
        <v>4.1300000000000003E-2</v>
      </c>
      <c r="AR10" s="26">
        <f t="shared" si="10"/>
        <v>4.1000000000000002E-2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24.7</v>
      </c>
      <c r="F11" s="23">
        <v>6.9</v>
      </c>
      <c r="G11" s="41">
        <v>107</v>
      </c>
      <c r="H11" s="23">
        <v>7.6</v>
      </c>
      <c r="I11" s="23">
        <v>0.7</v>
      </c>
      <c r="J11" s="23">
        <v>3.5</v>
      </c>
      <c r="K11" s="37">
        <v>2.4</v>
      </c>
      <c r="L11" s="37">
        <v>2.5</v>
      </c>
      <c r="M11" s="37"/>
      <c r="N11" s="38">
        <f t="shared" si="0"/>
        <v>2.5</v>
      </c>
      <c r="O11" s="37">
        <v>1.9</v>
      </c>
      <c r="P11" s="37">
        <v>2</v>
      </c>
      <c r="Q11" s="38">
        <f t="shared" si="1"/>
        <v>2</v>
      </c>
      <c r="R11" s="17">
        <v>1.38</v>
      </c>
      <c r="S11" s="17">
        <v>1.383</v>
      </c>
      <c r="T11" s="22">
        <f t="shared" si="2"/>
        <v>1.3819999999999999</v>
      </c>
      <c r="U11" s="34">
        <v>1.208</v>
      </c>
      <c r="V11" s="34">
        <v>1.222</v>
      </c>
      <c r="W11" s="33">
        <f t="shared" si="3"/>
        <v>1.2150000000000001</v>
      </c>
      <c r="X11" s="17">
        <v>7.4999999999999997E-2</v>
      </c>
      <c r="Y11" s="17">
        <v>7.1999999999999995E-2</v>
      </c>
      <c r="Z11" s="21">
        <f t="shared" si="4"/>
        <v>7.3999999999999996E-2</v>
      </c>
      <c r="AA11" s="19">
        <v>1.0860000000000001</v>
      </c>
      <c r="AB11" s="19">
        <v>1.133</v>
      </c>
      <c r="AC11" s="21">
        <f t="shared" si="5"/>
        <v>1.1100000000000001</v>
      </c>
      <c r="AD11" s="19">
        <v>0.107</v>
      </c>
      <c r="AE11" s="19">
        <v>0.10299999999999999</v>
      </c>
      <c r="AF11" s="21">
        <f t="shared" si="6"/>
        <v>0.105</v>
      </c>
      <c r="AG11" s="30">
        <v>6.8000000000000005E-2</v>
      </c>
      <c r="AH11" s="30">
        <v>6.5000000000000002E-2</v>
      </c>
      <c r="AI11" s="31">
        <f t="shared" si="7"/>
        <v>6.7000000000000004E-2</v>
      </c>
      <c r="AJ11" s="30">
        <v>6.4000000000000001E-2</v>
      </c>
      <c r="AK11" s="30">
        <v>6.3E-2</v>
      </c>
      <c r="AL11" s="31">
        <f t="shared" si="8"/>
        <v>6.4000000000000001E-2</v>
      </c>
      <c r="AM11" s="19">
        <v>6.7149999999999999</v>
      </c>
      <c r="AN11" s="19">
        <v>6.9210000000000003</v>
      </c>
      <c r="AO11" s="21">
        <f t="shared" si="9"/>
        <v>6.8179999999999996</v>
      </c>
      <c r="AP11" s="27">
        <v>5.62E-2</v>
      </c>
      <c r="AQ11" s="27">
        <v>5.67E-2</v>
      </c>
      <c r="AR11" s="26">
        <f t="shared" si="10"/>
        <v>5.6500000000000002E-2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24.3</v>
      </c>
      <c r="F12" s="23">
        <v>7</v>
      </c>
      <c r="G12" s="41">
        <v>104</v>
      </c>
      <c r="H12" s="23">
        <v>7.5</v>
      </c>
      <c r="I12" s="23">
        <v>1.2</v>
      </c>
      <c r="J12" s="23">
        <v>6.6</v>
      </c>
      <c r="K12" s="37">
        <v>4.7</v>
      </c>
      <c r="L12" s="37">
        <v>4.5999999999999996</v>
      </c>
      <c r="M12" s="37"/>
      <c r="N12" s="38">
        <f t="shared" si="0"/>
        <v>4.7</v>
      </c>
      <c r="O12" s="37">
        <v>4</v>
      </c>
      <c r="P12" s="37">
        <v>4</v>
      </c>
      <c r="Q12" s="38">
        <f t="shared" si="1"/>
        <v>4</v>
      </c>
      <c r="R12" s="17">
        <v>1.1719999999999999</v>
      </c>
      <c r="S12" s="17">
        <v>1.169</v>
      </c>
      <c r="T12" s="22">
        <f t="shared" si="2"/>
        <v>1.171</v>
      </c>
      <c r="U12" s="34">
        <v>0.95499999999999996</v>
      </c>
      <c r="V12" s="34">
        <v>0.96</v>
      </c>
      <c r="W12" s="33">
        <f t="shared" si="3"/>
        <v>0.95799999999999996</v>
      </c>
      <c r="X12" s="17">
        <v>0.20300000000000001</v>
      </c>
      <c r="Y12" s="17">
        <v>0.20200000000000001</v>
      </c>
      <c r="Z12" s="21">
        <f t="shared" si="4"/>
        <v>0.20300000000000001</v>
      </c>
      <c r="AA12" s="19">
        <v>0.59299999999999997</v>
      </c>
      <c r="AB12" s="19">
        <v>0.63800000000000001</v>
      </c>
      <c r="AC12" s="21">
        <f t="shared" si="5"/>
        <v>0.61599999999999999</v>
      </c>
      <c r="AD12" s="19">
        <v>0.14399999999999999</v>
      </c>
      <c r="AE12" s="19">
        <v>0.13700000000000001</v>
      </c>
      <c r="AF12" s="21">
        <f t="shared" si="6"/>
        <v>0.14099999999999999</v>
      </c>
      <c r="AG12" s="30">
        <v>9.5000000000000001E-2</v>
      </c>
      <c r="AH12" s="30">
        <v>9.5000000000000001E-2</v>
      </c>
      <c r="AI12" s="31">
        <f t="shared" si="7"/>
        <v>9.5000000000000001E-2</v>
      </c>
      <c r="AJ12" s="30">
        <v>8.5999999999999993E-2</v>
      </c>
      <c r="AK12" s="30">
        <v>8.5999999999999993E-2</v>
      </c>
      <c r="AL12" s="31">
        <f t="shared" si="8"/>
        <v>8.5999999999999993E-2</v>
      </c>
      <c r="AM12" s="19">
        <v>6.4610000000000003</v>
      </c>
      <c r="AN12" s="19">
        <v>6.6950000000000003</v>
      </c>
      <c r="AO12" s="21">
        <f t="shared" si="9"/>
        <v>6.5780000000000003</v>
      </c>
      <c r="AP12" s="27">
        <v>0.154</v>
      </c>
      <c r="AQ12" s="27">
        <v>0.15459999999999999</v>
      </c>
      <c r="AR12" s="26">
        <f t="shared" si="10"/>
        <v>0.15429999999999999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24.6</v>
      </c>
      <c r="F13" s="23">
        <v>7</v>
      </c>
      <c r="G13" s="41">
        <v>115</v>
      </c>
      <c r="H13" s="23">
        <v>7.2</v>
      </c>
      <c r="I13" s="23">
        <v>0.8</v>
      </c>
      <c r="J13" s="23">
        <v>3.8</v>
      </c>
      <c r="K13" s="37">
        <v>2.9</v>
      </c>
      <c r="L13" s="37">
        <v>2.7</v>
      </c>
      <c r="M13" s="37"/>
      <c r="N13" s="38">
        <f t="shared" si="0"/>
        <v>2.8</v>
      </c>
      <c r="O13" s="37">
        <v>2.2000000000000002</v>
      </c>
      <c r="P13" s="37">
        <v>2.1</v>
      </c>
      <c r="Q13" s="38">
        <f t="shared" si="1"/>
        <v>2.2000000000000002</v>
      </c>
      <c r="R13" s="17">
        <v>1.556</v>
      </c>
      <c r="S13" s="17">
        <v>1.5449999999999999</v>
      </c>
      <c r="T13" s="22">
        <f t="shared" si="2"/>
        <v>1.5509999999999999</v>
      </c>
      <c r="U13" s="34">
        <v>1.415</v>
      </c>
      <c r="V13" s="34">
        <v>1.401</v>
      </c>
      <c r="W13" s="33">
        <f t="shared" si="3"/>
        <v>1.4079999999999999</v>
      </c>
      <c r="X13" s="17">
        <v>9.2999999999999999E-2</v>
      </c>
      <c r="Y13" s="17">
        <v>9.1999999999999998E-2</v>
      </c>
      <c r="Z13" s="21">
        <f t="shared" si="4"/>
        <v>9.2999999999999999E-2</v>
      </c>
      <c r="AA13" s="19">
        <v>1.236</v>
      </c>
      <c r="AB13" s="19">
        <v>1.2829999999999999</v>
      </c>
      <c r="AC13" s="21">
        <f t="shared" si="5"/>
        <v>1.26</v>
      </c>
      <c r="AD13" s="19">
        <v>0.13600000000000001</v>
      </c>
      <c r="AE13" s="19">
        <v>0.13300000000000001</v>
      </c>
      <c r="AF13" s="21">
        <f t="shared" si="6"/>
        <v>0.13500000000000001</v>
      </c>
      <c r="AG13" s="30">
        <v>8.5000000000000006E-2</v>
      </c>
      <c r="AH13" s="30">
        <v>8.3000000000000004E-2</v>
      </c>
      <c r="AI13" s="31">
        <f t="shared" si="7"/>
        <v>8.4000000000000005E-2</v>
      </c>
      <c r="AJ13" s="30">
        <v>8.2000000000000003E-2</v>
      </c>
      <c r="AK13" s="30">
        <v>7.9000000000000001E-2</v>
      </c>
      <c r="AL13" s="31">
        <f t="shared" si="8"/>
        <v>8.1000000000000003E-2</v>
      </c>
      <c r="AM13" s="19">
        <v>7.16</v>
      </c>
      <c r="AN13" s="19">
        <v>7.3719999999999999</v>
      </c>
      <c r="AO13" s="21">
        <f t="shared" si="9"/>
        <v>7.266</v>
      </c>
      <c r="AP13" s="27">
        <v>6.3899999999999998E-2</v>
      </c>
      <c r="AQ13" s="27">
        <v>6.54E-2</v>
      </c>
      <c r="AR13" s="26">
        <f t="shared" si="10"/>
        <v>6.4699999999999994E-2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23.5</v>
      </c>
      <c r="F14" s="23">
        <v>7.1</v>
      </c>
      <c r="G14" s="41">
        <v>105</v>
      </c>
      <c r="H14" s="23">
        <v>8.1999999999999993</v>
      </c>
      <c r="I14" s="23">
        <v>0.7</v>
      </c>
      <c r="J14" s="23">
        <v>3.1</v>
      </c>
      <c r="K14" s="37">
        <v>2.2999999999999998</v>
      </c>
      <c r="L14" s="37">
        <v>2.2000000000000002</v>
      </c>
      <c r="M14" s="37"/>
      <c r="N14" s="38">
        <f t="shared" si="0"/>
        <v>2.2999999999999998</v>
      </c>
      <c r="O14" s="37">
        <v>1.8</v>
      </c>
      <c r="P14" s="37">
        <v>1.7</v>
      </c>
      <c r="Q14" s="38">
        <f t="shared" si="1"/>
        <v>1.8</v>
      </c>
      <c r="R14" s="17">
        <v>1.488</v>
      </c>
      <c r="S14" s="17">
        <v>1.488</v>
      </c>
      <c r="T14" s="22">
        <f t="shared" si="2"/>
        <v>1.488</v>
      </c>
      <c r="U14" s="34">
        <v>1.361</v>
      </c>
      <c r="V14" s="34">
        <v>1.3720000000000001</v>
      </c>
      <c r="W14" s="33">
        <f t="shared" si="3"/>
        <v>1.367</v>
      </c>
      <c r="X14" s="17">
        <v>2.7E-2</v>
      </c>
      <c r="Y14" s="17">
        <v>2.8000000000000001E-2</v>
      </c>
      <c r="Z14" s="21">
        <f t="shared" si="4"/>
        <v>2.8000000000000001E-2</v>
      </c>
      <c r="AA14" s="19">
        <v>1.258</v>
      </c>
      <c r="AB14" s="19">
        <v>1.3260000000000001</v>
      </c>
      <c r="AC14" s="21">
        <f t="shared" si="5"/>
        <v>1.292</v>
      </c>
      <c r="AD14" s="19">
        <v>3.9E-2</v>
      </c>
      <c r="AE14" s="19">
        <v>3.3000000000000002E-2</v>
      </c>
      <c r="AF14" s="21">
        <f t="shared" si="6"/>
        <v>3.5999999999999997E-2</v>
      </c>
      <c r="AG14" s="30">
        <v>1.4999999999999999E-2</v>
      </c>
      <c r="AH14" s="30">
        <v>1.2E-2</v>
      </c>
      <c r="AI14" s="31">
        <f t="shared" si="7"/>
        <v>1.4E-2</v>
      </c>
      <c r="AJ14" s="30">
        <v>7.0000000000000001E-3</v>
      </c>
      <c r="AK14" s="30">
        <v>6.0000000000000001E-3</v>
      </c>
      <c r="AL14" s="31">
        <f t="shared" si="8"/>
        <v>7.0000000000000001E-3</v>
      </c>
      <c r="AM14" s="19">
        <v>5.069</v>
      </c>
      <c r="AN14" s="19">
        <v>5.258</v>
      </c>
      <c r="AO14" s="21">
        <f t="shared" si="9"/>
        <v>5.1639999999999997</v>
      </c>
      <c r="AP14" s="27">
        <v>4.4200000000000003E-2</v>
      </c>
      <c r="AQ14" s="27">
        <v>4.4900000000000002E-2</v>
      </c>
      <c r="AR14" s="26">
        <f t="shared" si="10"/>
        <v>4.4600000000000001E-2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24.5</v>
      </c>
      <c r="F15" s="23">
        <v>7.1</v>
      </c>
      <c r="G15" s="41">
        <v>117</v>
      </c>
      <c r="H15" s="23">
        <v>7.9</v>
      </c>
      <c r="I15" s="23">
        <v>0.7</v>
      </c>
      <c r="J15" s="23">
        <v>4</v>
      </c>
      <c r="K15" s="37">
        <v>2.6</v>
      </c>
      <c r="L15" s="37">
        <v>2.7</v>
      </c>
      <c r="M15" s="37"/>
      <c r="N15" s="38">
        <f t="shared" si="0"/>
        <v>2.7</v>
      </c>
      <c r="O15" s="37">
        <v>2.2000000000000002</v>
      </c>
      <c r="P15" s="37">
        <v>2.1</v>
      </c>
      <c r="Q15" s="38">
        <f t="shared" si="1"/>
        <v>2.2000000000000002</v>
      </c>
      <c r="R15" s="17">
        <v>1.6559999999999999</v>
      </c>
      <c r="S15" s="17">
        <v>1.6819999999999999</v>
      </c>
      <c r="T15" s="22">
        <f t="shared" si="2"/>
        <v>1.669</v>
      </c>
      <c r="U15" s="34">
        <v>1.5669999999999999</v>
      </c>
      <c r="V15" s="34">
        <v>1.5720000000000001</v>
      </c>
      <c r="W15" s="33">
        <f t="shared" si="3"/>
        <v>1.57</v>
      </c>
      <c r="X15" s="17">
        <v>0.06</v>
      </c>
      <c r="Y15" s="17">
        <v>6.3E-2</v>
      </c>
      <c r="Z15" s="21">
        <f t="shared" si="4"/>
        <v>6.2E-2</v>
      </c>
      <c r="AA15" s="19">
        <v>1.381</v>
      </c>
      <c r="AB15" s="19">
        <v>1.4490000000000001</v>
      </c>
      <c r="AC15" s="21">
        <f t="shared" si="5"/>
        <v>1.415</v>
      </c>
      <c r="AD15" s="19">
        <v>0.123</v>
      </c>
      <c r="AE15" s="19">
        <v>0.11799999999999999</v>
      </c>
      <c r="AF15" s="21">
        <f t="shared" si="6"/>
        <v>0.121</v>
      </c>
      <c r="AG15" s="30">
        <v>7.6999999999999999E-2</v>
      </c>
      <c r="AH15" s="30">
        <v>8.2000000000000003E-2</v>
      </c>
      <c r="AI15" s="31">
        <f t="shared" si="7"/>
        <v>0.08</v>
      </c>
      <c r="AJ15" s="30">
        <v>7.2999999999999995E-2</v>
      </c>
      <c r="AK15" s="30">
        <v>7.5999999999999998E-2</v>
      </c>
      <c r="AL15" s="31">
        <f t="shared" si="8"/>
        <v>7.4999999999999997E-2</v>
      </c>
      <c r="AM15" s="19">
        <v>6.8479999999999999</v>
      </c>
      <c r="AN15" s="19">
        <v>7.1079999999999997</v>
      </c>
      <c r="AO15" s="21">
        <f t="shared" si="9"/>
        <v>6.9779999999999998</v>
      </c>
      <c r="AP15" s="27">
        <v>6.3700000000000007E-2</v>
      </c>
      <c r="AQ15" s="27">
        <v>6.4600000000000005E-2</v>
      </c>
      <c r="AR15" s="26">
        <f t="shared" si="10"/>
        <v>6.4199999999999993E-2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25.1</v>
      </c>
      <c r="F16" s="23">
        <v>7</v>
      </c>
      <c r="G16" s="41">
        <v>199</v>
      </c>
      <c r="H16" s="23">
        <v>7.3</v>
      </c>
      <c r="I16" s="23">
        <v>1.4</v>
      </c>
      <c r="J16" s="23">
        <v>9.6</v>
      </c>
      <c r="K16" s="37">
        <v>7</v>
      </c>
      <c r="L16" s="37">
        <v>7.2</v>
      </c>
      <c r="M16" s="37"/>
      <c r="N16" s="38">
        <f t="shared" si="0"/>
        <v>7.1</v>
      </c>
      <c r="O16" s="37">
        <v>6</v>
      </c>
      <c r="P16" s="37">
        <v>5.9</v>
      </c>
      <c r="Q16" s="38">
        <f t="shared" si="1"/>
        <v>6</v>
      </c>
      <c r="R16" s="17">
        <v>1.964</v>
      </c>
      <c r="S16" s="17">
        <v>1.9370000000000001</v>
      </c>
      <c r="T16" s="22">
        <f t="shared" si="2"/>
        <v>1.9510000000000001</v>
      </c>
      <c r="U16" s="34">
        <v>1.7310000000000001</v>
      </c>
      <c r="V16" s="34">
        <v>1.736</v>
      </c>
      <c r="W16" s="33">
        <f t="shared" si="3"/>
        <v>1.734</v>
      </c>
      <c r="X16" s="17">
        <v>0.219</v>
      </c>
      <c r="Y16" s="17">
        <v>0.22</v>
      </c>
      <c r="Z16" s="21">
        <f t="shared" si="4"/>
        <v>0.22</v>
      </c>
      <c r="AA16" s="19">
        <v>0.95499999999999996</v>
      </c>
      <c r="AB16" s="19">
        <v>0.998</v>
      </c>
      <c r="AC16" s="21">
        <f t="shared" si="5"/>
        <v>0.97699999999999998</v>
      </c>
      <c r="AD16" s="19">
        <v>0.35799999999999998</v>
      </c>
      <c r="AE16" s="19">
        <v>0.34599999999999997</v>
      </c>
      <c r="AF16" s="21">
        <f t="shared" si="6"/>
        <v>0.35199999999999998</v>
      </c>
      <c r="AG16" s="30">
        <v>0.24</v>
      </c>
      <c r="AH16" s="30">
        <v>0.252</v>
      </c>
      <c r="AI16" s="31">
        <f t="shared" si="7"/>
        <v>0.246</v>
      </c>
      <c r="AJ16" s="30">
        <v>0.23699999999999999</v>
      </c>
      <c r="AK16" s="30">
        <v>0.24099999999999999</v>
      </c>
      <c r="AL16" s="31">
        <f t="shared" si="8"/>
        <v>0.23899999999999999</v>
      </c>
      <c r="AM16" s="19">
        <v>10.994</v>
      </c>
      <c r="AN16" s="19">
        <v>11.319000000000001</v>
      </c>
      <c r="AO16" s="21">
        <f t="shared" si="9"/>
        <v>11.157</v>
      </c>
      <c r="AP16" s="27">
        <v>0.2419</v>
      </c>
      <c r="AQ16" s="27">
        <v>0.2404</v>
      </c>
      <c r="AR16" s="26">
        <f t="shared" si="10"/>
        <v>0.2412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25.3</v>
      </c>
      <c r="F17" s="23">
        <v>7.3</v>
      </c>
      <c r="G17" s="41">
        <v>126</v>
      </c>
      <c r="H17" s="23">
        <v>6.9</v>
      </c>
      <c r="I17" s="23">
        <v>0.7</v>
      </c>
      <c r="J17" s="23">
        <v>4.4000000000000004</v>
      </c>
      <c r="K17" s="37">
        <v>3.1</v>
      </c>
      <c r="L17" s="37">
        <v>3.1</v>
      </c>
      <c r="M17" s="37"/>
      <c r="N17" s="38">
        <f t="shared" si="0"/>
        <v>3.1</v>
      </c>
      <c r="O17" s="37">
        <v>2.7</v>
      </c>
      <c r="P17" s="37">
        <v>2.6</v>
      </c>
      <c r="Q17" s="38">
        <f t="shared" si="1"/>
        <v>2.7</v>
      </c>
      <c r="R17" s="17">
        <v>1.579</v>
      </c>
      <c r="S17" s="17">
        <v>1.5489999999999999</v>
      </c>
      <c r="T17" s="22">
        <f t="shared" si="2"/>
        <v>1.5640000000000001</v>
      </c>
      <c r="U17" s="34">
        <v>1.4590000000000001</v>
      </c>
      <c r="V17" s="34">
        <v>1.444</v>
      </c>
      <c r="W17" s="33">
        <f t="shared" si="3"/>
        <v>1.452</v>
      </c>
      <c r="X17" s="17">
        <v>6.8000000000000005E-2</v>
      </c>
      <c r="Y17" s="17">
        <v>6.6000000000000003E-2</v>
      </c>
      <c r="Z17" s="21">
        <f t="shared" si="4"/>
        <v>6.7000000000000004E-2</v>
      </c>
      <c r="AA17" s="19">
        <v>1.2030000000000001</v>
      </c>
      <c r="AB17" s="19">
        <v>1.256</v>
      </c>
      <c r="AC17" s="21">
        <f t="shared" si="5"/>
        <v>1.23</v>
      </c>
      <c r="AD17" s="19">
        <v>0.14599999999999999</v>
      </c>
      <c r="AE17" s="19">
        <v>0.13600000000000001</v>
      </c>
      <c r="AF17" s="21">
        <f t="shared" si="6"/>
        <v>0.14099999999999999</v>
      </c>
      <c r="AG17" s="30">
        <v>9.4E-2</v>
      </c>
      <c r="AH17" s="30">
        <v>8.7999999999999995E-2</v>
      </c>
      <c r="AI17" s="31">
        <f t="shared" si="7"/>
        <v>9.0999999999999998E-2</v>
      </c>
      <c r="AJ17" s="30">
        <v>8.5999999999999993E-2</v>
      </c>
      <c r="AK17" s="30">
        <v>8.6999999999999994E-2</v>
      </c>
      <c r="AL17" s="31">
        <f t="shared" si="8"/>
        <v>8.6999999999999994E-2</v>
      </c>
      <c r="AM17" s="19">
        <v>7.3920000000000003</v>
      </c>
      <c r="AN17" s="19">
        <v>7.63</v>
      </c>
      <c r="AO17" s="21">
        <f t="shared" si="9"/>
        <v>7.5110000000000001</v>
      </c>
      <c r="AP17" s="27">
        <v>8.2400000000000001E-2</v>
      </c>
      <c r="AQ17" s="27">
        <v>8.2900000000000001E-2</v>
      </c>
      <c r="AR17" s="26">
        <f t="shared" si="10"/>
        <v>8.2699999999999996E-2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25.4</v>
      </c>
      <c r="F18" s="23">
        <v>6.9</v>
      </c>
      <c r="G18" s="41">
        <v>155</v>
      </c>
      <c r="H18" s="23">
        <v>6.5</v>
      </c>
      <c r="I18" s="23">
        <v>1</v>
      </c>
      <c r="J18" s="23">
        <v>6.8</v>
      </c>
      <c r="K18" s="37">
        <v>5</v>
      </c>
      <c r="L18" s="37">
        <v>5</v>
      </c>
      <c r="M18" s="37"/>
      <c r="N18" s="38">
        <f t="shared" si="0"/>
        <v>5</v>
      </c>
      <c r="O18" s="37">
        <v>4</v>
      </c>
      <c r="P18" s="37">
        <v>3.8</v>
      </c>
      <c r="Q18" s="38">
        <f t="shared" si="1"/>
        <v>3.9</v>
      </c>
      <c r="R18" s="17">
        <v>1.5389999999999999</v>
      </c>
      <c r="S18" s="17">
        <v>1.49</v>
      </c>
      <c r="T18" s="22">
        <f t="shared" si="2"/>
        <v>1.5149999999999999</v>
      </c>
      <c r="U18" s="34">
        <v>1.351</v>
      </c>
      <c r="V18" s="34">
        <v>1.339</v>
      </c>
      <c r="W18" s="33">
        <f t="shared" si="3"/>
        <v>1.345</v>
      </c>
      <c r="X18" s="17">
        <v>0.14899999999999999</v>
      </c>
      <c r="Y18" s="17">
        <v>0.14699999999999999</v>
      </c>
      <c r="Z18" s="21">
        <f t="shared" si="4"/>
        <v>0.14799999999999999</v>
      </c>
      <c r="AA18" s="19">
        <v>0.91200000000000003</v>
      </c>
      <c r="AB18" s="19">
        <v>0.96</v>
      </c>
      <c r="AC18" s="21">
        <f t="shared" si="5"/>
        <v>0.93600000000000005</v>
      </c>
      <c r="AD18" s="19">
        <v>0.14799999999999999</v>
      </c>
      <c r="AE18" s="19">
        <v>0.14099999999999999</v>
      </c>
      <c r="AF18" s="21">
        <f t="shared" si="6"/>
        <v>0.14499999999999999</v>
      </c>
      <c r="AG18" s="30">
        <v>7.6999999999999999E-2</v>
      </c>
      <c r="AH18" s="30">
        <v>7.4999999999999997E-2</v>
      </c>
      <c r="AI18" s="31">
        <f t="shared" si="7"/>
        <v>7.5999999999999998E-2</v>
      </c>
      <c r="AJ18" s="30">
        <v>6.9000000000000006E-2</v>
      </c>
      <c r="AK18" s="30">
        <v>6.9000000000000006E-2</v>
      </c>
      <c r="AL18" s="31">
        <f t="shared" si="8"/>
        <v>6.9000000000000006E-2</v>
      </c>
      <c r="AM18" s="19">
        <v>8.7690000000000001</v>
      </c>
      <c r="AN18" s="19">
        <v>9.0980000000000008</v>
      </c>
      <c r="AO18" s="21">
        <f t="shared" si="9"/>
        <v>8.9339999999999993</v>
      </c>
      <c r="AP18" s="27">
        <v>0.13969999999999999</v>
      </c>
      <c r="AQ18" s="27">
        <v>0.14019999999999999</v>
      </c>
      <c r="AR18" s="26">
        <f t="shared" si="10"/>
        <v>0.14000000000000001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25.4</v>
      </c>
      <c r="F19" s="23">
        <v>7</v>
      </c>
      <c r="G19" s="41">
        <v>126</v>
      </c>
      <c r="H19" s="23">
        <v>6.8</v>
      </c>
      <c r="I19" s="23">
        <v>0.7</v>
      </c>
      <c r="J19" s="23">
        <v>4.4000000000000004</v>
      </c>
      <c r="K19" s="37">
        <v>3.2</v>
      </c>
      <c r="L19" s="37">
        <v>3.1</v>
      </c>
      <c r="M19" s="37"/>
      <c r="N19" s="38">
        <f t="shared" si="0"/>
        <v>3.2</v>
      </c>
      <c r="O19" s="37">
        <v>2.7</v>
      </c>
      <c r="P19" s="37">
        <v>2.5</v>
      </c>
      <c r="Q19" s="38">
        <f t="shared" si="1"/>
        <v>2.6</v>
      </c>
      <c r="R19" s="17">
        <v>1.631</v>
      </c>
      <c r="S19" s="17">
        <v>1.589</v>
      </c>
      <c r="T19" s="22">
        <f t="shared" si="2"/>
        <v>1.61</v>
      </c>
      <c r="U19" s="34">
        <v>1.492</v>
      </c>
      <c r="V19" s="34">
        <v>1.504</v>
      </c>
      <c r="W19" s="33">
        <f t="shared" si="3"/>
        <v>1.498</v>
      </c>
      <c r="X19" s="17">
        <v>6.9000000000000006E-2</v>
      </c>
      <c r="Y19" s="17">
        <v>7.8E-2</v>
      </c>
      <c r="Z19" s="21">
        <f t="shared" si="4"/>
        <v>7.3999999999999996E-2</v>
      </c>
      <c r="AA19" s="19">
        <v>1.252</v>
      </c>
      <c r="AB19" s="19">
        <v>1.3080000000000001</v>
      </c>
      <c r="AC19" s="21">
        <f t="shared" si="5"/>
        <v>1.28</v>
      </c>
      <c r="AD19" s="19">
        <v>0.152</v>
      </c>
      <c r="AE19" s="19">
        <v>0.14099999999999999</v>
      </c>
      <c r="AF19" s="21">
        <f t="shared" si="6"/>
        <v>0.14699999999999999</v>
      </c>
      <c r="AG19" s="30">
        <v>9.6000000000000002E-2</v>
      </c>
      <c r="AH19" s="30">
        <v>9.7000000000000003E-2</v>
      </c>
      <c r="AI19" s="31">
        <f t="shared" si="7"/>
        <v>9.7000000000000003E-2</v>
      </c>
      <c r="AJ19" s="30">
        <v>0.09</v>
      </c>
      <c r="AK19" s="30">
        <v>0.09</v>
      </c>
      <c r="AL19" s="31">
        <f t="shared" si="8"/>
        <v>0.09</v>
      </c>
      <c r="AM19" s="19">
        <v>7.4050000000000002</v>
      </c>
      <c r="AN19" s="19">
        <v>7.6390000000000002</v>
      </c>
      <c r="AO19" s="21">
        <f t="shared" si="9"/>
        <v>7.5220000000000002</v>
      </c>
      <c r="AP19" s="27">
        <v>8.1600000000000006E-2</v>
      </c>
      <c r="AQ19" s="27">
        <v>8.3199999999999996E-2</v>
      </c>
      <c r="AR19" s="26">
        <f t="shared" si="10"/>
        <v>8.2400000000000001E-2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22.6</v>
      </c>
      <c r="F20" s="23">
        <v>6.8</v>
      </c>
      <c r="G20" s="41">
        <v>225</v>
      </c>
      <c r="H20" s="23">
        <v>7</v>
      </c>
      <c r="I20" s="23">
        <v>0.4</v>
      </c>
      <c r="J20" s="23">
        <v>2.8</v>
      </c>
      <c r="K20" s="37">
        <v>2</v>
      </c>
      <c r="L20" s="37">
        <v>1.9</v>
      </c>
      <c r="M20" s="37"/>
      <c r="N20" s="38">
        <f t="shared" si="0"/>
        <v>2</v>
      </c>
      <c r="O20" s="37">
        <v>1.7</v>
      </c>
      <c r="P20" s="37">
        <v>1.7</v>
      </c>
      <c r="Q20" s="38">
        <f t="shared" si="1"/>
        <v>1.7</v>
      </c>
      <c r="R20" s="17">
        <v>2.0179999999999998</v>
      </c>
      <c r="S20" s="17">
        <v>1.972</v>
      </c>
      <c r="T20" s="22">
        <f t="shared" si="2"/>
        <v>1.9950000000000001</v>
      </c>
      <c r="U20" s="34">
        <v>1.9950000000000001</v>
      </c>
      <c r="V20" s="34">
        <v>1.972</v>
      </c>
      <c r="W20" s="33">
        <f t="shared" si="3"/>
        <v>1.984</v>
      </c>
      <c r="X20" s="17">
        <v>2.1999999999999999E-2</v>
      </c>
      <c r="Y20" s="17">
        <v>2.3E-2</v>
      </c>
      <c r="Z20" s="21">
        <f t="shared" si="4"/>
        <v>2.3E-2</v>
      </c>
      <c r="AA20" s="19">
        <v>1.879</v>
      </c>
      <c r="AB20" s="19">
        <v>1.9370000000000001</v>
      </c>
      <c r="AC20" s="21">
        <f t="shared" si="5"/>
        <v>1.9079999999999999</v>
      </c>
      <c r="AD20" s="19">
        <v>3.6999999999999998E-2</v>
      </c>
      <c r="AE20" s="19">
        <v>0.03</v>
      </c>
      <c r="AF20" s="21">
        <f t="shared" si="6"/>
        <v>3.4000000000000002E-2</v>
      </c>
      <c r="AG20" s="30">
        <v>0.02</v>
      </c>
      <c r="AH20" s="30">
        <v>1.7999999999999999E-2</v>
      </c>
      <c r="AI20" s="31">
        <f t="shared" si="7"/>
        <v>1.9E-2</v>
      </c>
      <c r="AJ20" s="30">
        <v>1.9E-2</v>
      </c>
      <c r="AK20" s="30">
        <v>1.7000000000000001E-2</v>
      </c>
      <c r="AL20" s="31">
        <f t="shared" si="8"/>
        <v>1.7999999999999999E-2</v>
      </c>
      <c r="AM20" s="19">
        <v>8.7449999999999992</v>
      </c>
      <c r="AN20" s="19">
        <v>8.9489999999999998</v>
      </c>
      <c r="AO20" s="21">
        <f t="shared" si="9"/>
        <v>8.8469999999999995</v>
      </c>
      <c r="AP20" s="27">
        <v>3.7199999999999997E-2</v>
      </c>
      <c r="AQ20" s="27">
        <v>3.8300000000000001E-2</v>
      </c>
      <c r="AR20" s="26">
        <f t="shared" si="10"/>
        <v>3.78E-2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25.7</v>
      </c>
      <c r="F21" s="23">
        <v>7.1</v>
      </c>
      <c r="G21" s="41">
        <v>141</v>
      </c>
      <c r="H21" s="23">
        <v>7.8</v>
      </c>
      <c r="I21" s="23">
        <v>0.8</v>
      </c>
      <c r="J21" s="23">
        <v>4.8</v>
      </c>
      <c r="K21" s="37">
        <v>3.1</v>
      </c>
      <c r="L21" s="37">
        <v>3.3</v>
      </c>
      <c r="M21" s="37"/>
      <c r="N21" s="38">
        <f t="shared" si="0"/>
        <v>3.2</v>
      </c>
      <c r="O21" s="37">
        <v>2.7</v>
      </c>
      <c r="P21" s="37">
        <v>2.6</v>
      </c>
      <c r="Q21" s="38">
        <f t="shared" si="1"/>
        <v>2.7</v>
      </c>
      <c r="R21" s="17">
        <v>1.556</v>
      </c>
      <c r="S21" s="17">
        <v>1.5349999999999999</v>
      </c>
      <c r="T21" s="22">
        <f t="shared" si="2"/>
        <v>1.546</v>
      </c>
      <c r="U21" s="34">
        <v>1.419</v>
      </c>
      <c r="V21" s="34">
        <v>1.421</v>
      </c>
      <c r="W21" s="33">
        <f t="shared" si="3"/>
        <v>1.42</v>
      </c>
      <c r="X21" s="17">
        <v>8.5000000000000006E-2</v>
      </c>
      <c r="Y21" s="17">
        <v>8.1000000000000003E-2</v>
      </c>
      <c r="Z21" s="21">
        <f t="shared" si="4"/>
        <v>8.3000000000000004E-2</v>
      </c>
      <c r="AA21" s="19">
        <v>1.18</v>
      </c>
      <c r="AB21" s="19">
        <v>1.2370000000000001</v>
      </c>
      <c r="AC21" s="21">
        <f t="shared" si="5"/>
        <v>1.2090000000000001</v>
      </c>
      <c r="AD21" s="19">
        <v>0.13100000000000001</v>
      </c>
      <c r="AE21" s="19">
        <v>0.122</v>
      </c>
      <c r="AF21" s="21">
        <f t="shared" si="6"/>
        <v>0.127</v>
      </c>
      <c r="AG21" s="30">
        <v>7.8E-2</v>
      </c>
      <c r="AH21" s="30">
        <v>0.08</v>
      </c>
      <c r="AI21" s="31">
        <f t="shared" si="7"/>
        <v>7.9000000000000001E-2</v>
      </c>
      <c r="AJ21" s="30">
        <v>7.3999999999999996E-2</v>
      </c>
      <c r="AK21" s="30">
        <v>7.6999999999999999E-2</v>
      </c>
      <c r="AL21" s="31">
        <f t="shared" si="8"/>
        <v>7.5999999999999998E-2</v>
      </c>
      <c r="AM21" s="19">
        <v>7.5430000000000001</v>
      </c>
      <c r="AN21" s="19">
        <v>7.7889999999999997</v>
      </c>
      <c r="AO21" s="21">
        <f t="shared" si="9"/>
        <v>7.6660000000000004</v>
      </c>
      <c r="AP21" s="27">
        <v>8.1000000000000003E-2</v>
      </c>
      <c r="AQ21" s="27">
        <v>8.1000000000000003E-2</v>
      </c>
      <c r="AR21" s="26">
        <f t="shared" si="10"/>
        <v>8.1000000000000003E-2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24.9</v>
      </c>
      <c r="F22" s="23">
        <v>7.1</v>
      </c>
      <c r="G22" s="41">
        <v>179</v>
      </c>
      <c r="H22" s="23">
        <v>7.7</v>
      </c>
      <c r="I22" s="23">
        <v>0.9</v>
      </c>
      <c r="J22" s="23">
        <v>4.3</v>
      </c>
      <c r="K22" s="37">
        <v>3.2</v>
      </c>
      <c r="L22" s="37">
        <v>3.1</v>
      </c>
      <c r="M22" s="37"/>
      <c r="N22" s="38">
        <f t="shared" si="0"/>
        <v>3.2</v>
      </c>
      <c r="O22" s="37">
        <v>2.5</v>
      </c>
      <c r="P22" s="37">
        <v>2.4</v>
      </c>
      <c r="Q22" s="38">
        <f t="shared" si="1"/>
        <v>2.5</v>
      </c>
      <c r="R22" s="17">
        <v>1.901</v>
      </c>
      <c r="S22" s="17">
        <v>1.879</v>
      </c>
      <c r="T22" s="22">
        <f t="shared" si="2"/>
        <v>1.89</v>
      </c>
      <c r="U22" s="34">
        <v>1.79</v>
      </c>
      <c r="V22" s="34">
        <v>1.7809999999999999</v>
      </c>
      <c r="W22" s="33">
        <f t="shared" si="3"/>
        <v>1.786</v>
      </c>
      <c r="X22" s="17">
        <v>0.13</v>
      </c>
      <c r="Y22" s="17">
        <v>0.13100000000000001</v>
      </c>
      <c r="Z22" s="21">
        <f t="shared" si="4"/>
        <v>0.13100000000000001</v>
      </c>
      <c r="AA22" s="19">
        <v>1.4670000000000001</v>
      </c>
      <c r="AB22" s="19">
        <v>1.514</v>
      </c>
      <c r="AC22" s="21">
        <f t="shared" si="5"/>
        <v>1.4910000000000001</v>
      </c>
      <c r="AD22" s="19">
        <v>9.1999999999999998E-2</v>
      </c>
      <c r="AE22" s="19">
        <v>8.5000000000000006E-2</v>
      </c>
      <c r="AF22" s="21">
        <f t="shared" si="6"/>
        <v>8.8999999999999996E-2</v>
      </c>
      <c r="AG22" s="30">
        <v>4.7E-2</v>
      </c>
      <c r="AH22" s="30">
        <v>4.5999999999999999E-2</v>
      </c>
      <c r="AI22" s="31">
        <f t="shared" si="7"/>
        <v>4.7E-2</v>
      </c>
      <c r="AJ22" s="30">
        <v>3.7999999999999999E-2</v>
      </c>
      <c r="AK22" s="30">
        <v>3.6999999999999998E-2</v>
      </c>
      <c r="AL22" s="31">
        <f t="shared" si="8"/>
        <v>3.7999999999999999E-2</v>
      </c>
      <c r="AM22" s="19">
        <v>10.228</v>
      </c>
      <c r="AN22" s="19">
        <v>10.512</v>
      </c>
      <c r="AO22" s="21">
        <f t="shared" si="9"/>
        <v>10.37</v>
      </c>
      <c r="AP22" s="27">
        <v>6.9000000000000006E-2</v>
      </c>
      <c r="AQ22" s="27">
        <v>6.9900000000000004E-2</v>
      </c>
      <c r="AR22" s="26">
        <f t="shared" si="10"/>
        <v>6.9500000000000006E-2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25.7</v>
      </c>
      <c r="F23" s="23">
        <v>7.1</v>
      </c>
      <c r="G23" s="41">
        <v>169</v>
      </c>
      <c r="H23" s="23">
        <v>6.8</v>
      </c>
      <c r="I23" s="23">
        <v>1.2</v>
      </c>
      <c r="J23" s="23">
        <v>5</v>
      </c>
      <c r="K23" s="37">
        <v>3.4</v>
      </c>
      <c r="L23" s="37">
        <v>3.6</v>
      </c>
      <c r="M23" s="37"/>
      <c r="N23" s="38">
        <f t="shared" si="0"/>
        <v>3.5</v>
      </c>
      <c r="O23" s="37">
        <v>2.7</v>
      </c>
      <c r="P23" s="37">
        <v>2.8</v>
      </c>
      <c r="Q23" s="38">
        <f t="shared" si="1"/>
        <v>2.8</v>
      </c>
      <c r="R23" s="17">
        <v>2.1389999999999998</v>
      </c>
      <c r="S23" s="17">
        <v>2.117</v>
      </c>
      <c r="T23" s="22">
        <f t="shared" si="2"/>
        <v>2.1280000000000001</v>
      </c>
      <c r="U23" s="34">
        <v>1.909</v>
      </c>
      <c r="V23" s="34">
        <v>1.9159999999999999</v>
      </c>
      <c r="W23" s="33">
        <f t="shared" si="3"/>
        <v>1.913</v>
      </c>
      <c r="X23" s="17">
        <v>0.161</v>
      </c>
      <c r="Y23" s="17">
        <v>0.161</v>
      </c>
      <c r="Z23" s="21">
        <f t="shared" si="4"/>
        <v>0.161</v>
      </c>
      <c r="AA23" s="19">
        <v>1.6020000000000001</v>
      </c>
      <c r="AB23" s="19">
        <v>1.657</v>
      </c>
      <c r="AC23" s="21">
        <f t="shared" si="5"/>
        <v>1.63</v>
      </c>
      <c r="AD23" s="19">
        <v>0.13100000000000001</v>
      </c>
      <c r="AE23" s="19">
        <v>0.123</v>
      </c>
      <c r="AF23" s="21">
        <f t="shared" si="6"/>
        <v>0.127</v>
      </c>
      <c r="AG23" s="30">
        <v>7.0999999999999994E-2</v>
      </c>
      <c r="AH23" s="30">
        <v>7.5999999999999998E-2</v>
      </c>
      <c r="AI23" s="31">
        <f t="shared" si="7"/>
        <v>7.3999999999999996E-2</v>
      </c>
      <c r="AJ23" s="30">
        <v>6.8000000000000005E-2</v>
      </c>
      <c r="AK23" s="30">
        <v>7.0999999999999994E-2</v>
      </c>
      <c r="AL23" s="31">
        <f t="shared" si="8"/>
        <v>7.0000000000000007E-2</v>
      </c>
      <c r="AM23" s="19">
        <v>10.704000000000001</v>
      </c>
      <c r="AN23" s="19">
        <v>10.954000000000001</v>
      </c>
      <c r="AO23" s="21">
        <f t="shared" si="9"/>
        <v>10.829000000000001</v>
      </c>
      <c r="AP23" s="27">
        <v>7.8600000000000003E-2</v>
      </c>
      <c r="AQ23" s="27">
        <v>7.9399999999999998E-2</v>
      </c>
      <c r="AR23" s="26">
        <f t="shared" si="10"/>
        <v>7.9000000000000001E-2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24</v>
      </c>
      <c r="F24" s="23">
        <v>7.4</v>
      </c>
      <c r="G24" s="41">
        <v>257</v>
      </c>
      <c r="H24" s="23">
        <v>7.6</v>
      </c>
      <c r="I24" s="23">
        <v>0.6</v>
      </c>
      <c r="J24" s="23">
        <v>3.4</v>
      </c>
      <c r="K24" s="37">
        <v>2.6</v>
      </c>
      <c r="L24" s="37">
        <v>2.4</v>
      </c>
      <c r="M24" s="37"/>
      <c r="N24" s="38">
        <f t="shared" si="0"/>
        <v>2.5</v>
      </c>
      <c r="O24" s="37">
        <v>2.1</v>
      </c>
      <c r="P24" s="37">
        <v>2.1</v>
      </c>
      <c r="Q24" s="38">
        <f t="shared" si="1"/>
        <v>2.1</v>
      </c>
      <c r="R24" s="17">
        <v>2.2989999999999999</v>
      </c>
      <c r="S24" s="17">
        <v>2.246</v>
      </c>
      <c r="T24" s="22">
        <f t="shared" si="2"/>
        <v>2.2730000000000001</v>
      </c>
      <c r="U24" s="34">
        <v>2.2389999999999999</v>
      </c>
      <c r="V24" s="34">
        <v>2.2400000000000002</v>
      </c>
      <c r="W24" s="33">
        <f t="shared" si="3"/>
        <v>2.2400000000000002</v>
      </c>
      <c r="X24" s="17">
        <v>2.5000000000000001E-2</v>
      </c>
      <c r="Y24" s="17">
        <v>3.3000000000000002E-2</v>
      </c>
      <c r="Z24" s="21">
        <f t="shared" si="4"/>
        <v>2.9000000000000001E-2</v>
      </c>
      <c r="AA24" s="19">
        <v>2.052</v>
      </c>
      <c r="AB24" s="19">
        <v>2.1070000000000002</v>
      </c>
      <c r="AC24" s="21">
        <f t="shared" si="5"/>
        <v>2.08</v>
      </c>
      <c r="AD24" s="19">
        <v>5.6000000000000001E-2</v>
      </c>
      <c r="AE24" s="19">
        <v>4.8000000000000001E-2</v>
      </c>
      <c r="AF24" s="21">
        <f t="shared" si="6"/>
        <v>5.1999999999999998E-2</v>
      </c>
      <c r="AG24" s="30">
        <v>3.1E-2</v>
      </c>
      <c r="AH24" s="30">
        <v>0.03</v>
      </c>
      <c r="AI24" s="31">
        <f t="shared" si="7"/>
        <v>3.1E-2</v>
      </c>
      <c r="AJ24" s="30">
        <v>2.4E-2</v>
      </c>
      <c r="AK24" s="30">
        <v>2.1999999999999999E-2</v>
      </c>
      <c r="AL24" s="31">
        <f t="shared" si="8"/>
        <v>2.3E-2</v>
      </c>
      <c r="AM24" s="19">
        <v>24.181000000000001</v>
      </c>
      <c r="AN24" s="19">
        <v>24.561</v>
      </c>
      <c r="AO24" s="21">
        <f t="shared" si="9"/>
        <v>24.370999999999999</v>
      </c>
      <c r="AP24" s="27">
        <v>4.7399999999999998E-2</v>
      </c>
      <c r="AQ24" s="27">
        <v>4.8099999999999997E-2</v>
      </c>
      <c r="AR24" s="26">
        <f t="shared" si="10"/>
        <v>4.7800000000000002E-2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26</v>
      </c>
      <c r="F25" s="23">
        <v>7.2</v>
      </c>
      <c r="G25" s="41">
        <v>184</v>
      </c>
      <c r="H25" s="23">
        <v>7.4</v>
      </c>
      <c r="I25" s="23">
        <v>1.1000000000000001</v>
      </c>
      <c r="J25" s="23">
        <v>5</v>
      </c>
      <c r="K25" s="37">
        <v>3.7</v>
      </c>
      <c r="L25" s="37">
        <v>3.8</v>
      </c>
      <c r="M25" s="37"/>
      <c r="N25" s="38">
        <f t="shared" si="0"/>
        <v>3.8</v>
      </c>
      <c r="O25" s="37">
        <v>3</v>
      </c>
      <c r="P25" s="37">
        <v>3</v>
      </c>
      <c r="Q25" s="38">
        <f t="shared" si="1"/>
        <v>3</v>
      </c>
      <c r="R25" s="17">
        <v>2.1869999999999998</v>
      </c>
      <c r="S25" s="17">
        <v>2.1890000000000001</v>
      </c>
      <c r="T25" s="22">
        <f t="shared" si="2"/>
        <v>2.1880000000000002</v>
      </c>
      <c r="U25" s="34">
        <v>2.028</v>
      </c>
      <c r="V25" s="34">
        <v>2.0430000000000001</v>
      </c>
      <c r="W25" s="33">
        <f t="shared" si="3"/>
        <v>2.036</v>
      </c>
      <c r="X25" s="17">
        <v>0.2</v>
      </c>
      <c r="Y25" s="17">
        <v>0.20200000000000001</v>
      </c>
      <c r="Z25" s="21">
        <f t="shared" si="4"/>
        <v>0.20100000000000001</v>
      </c>
      <c r="AA25" s="19">
        <v>1.6439999999999999</v>
      </c>
      <c r="AB25" s="19">
        <v>1.6859999999999999</v>
      </c>
      <c r="AC25" s="21">
        <f t="shared" si="5"/>
        <v>1.665</v>
      </c>
      <c r="AD25" s="19">
        <v>0.152</v>
      </c>
      <c r="AE25" s="19">
        <v>0.14399999999999999</v>
      </c>
      <c r="AF25" s="21">
        <f t="shared" si="6"/>
        <v>0.14799999999999999</v>
      </c>
      <c r="AG25" s="30">
        <v>9.1999999999999998E-2</v>
      </c>
      <c r="AH25" s="30">
        <v>9.4E-2</v>
      </c>
      <c r="AI25" s="31">
        <f t="shared" si="7"/>
        <v>9.2999999999999999E-2</v>
      </c>
      <c r="AJ25" s="30">
        <v>0.09</v>
      </c>
      <c r="AK25" s="30">
        <v>8.8999999999999996E-2</v>
      </c>
      <c r="AL25" s="31">
        <f t="shared" si="8"/>
        <v>0.09</v>
      </c>
      <c r="AM25" s="19">
        <v>10.702</v>
      </c>
      <c r="AN25" s="19">
        <v>10.837999999999999</v>
      </c>
      <c r="AO25" s="21">
        <f t="shared" si="9"/>
        <v>10.77</v>
      </c>
      <c r="AP25" s="27">
        <v>8.2900000000000001E-2</v>
      </c>
      <c r="AQ25" s="27">
        <v>8.3000000000000004E-2</v>
      </c>
      <c r="AR25" s="26">
        <f t="shared" si="10"/>
        <v>8.3000000000000004E-2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25.9</v>
      </c>
      <c r="F26" s="23">
        <v>7.2</v>
      </c>
      <c r="G26" s="41">
        <v>233</v>
      </c>
      <c r="H26" s="23">
        <v>7.1</v>
      </c>
      <c r="I26" s="23">
        <v>1.2</v>
      </c>
      <c r="J26" s="23">
        <v>8.3000000000000007</v>
      </c>
      <c r="K26" s="37">
        <v>6.3</v>
      </c>
      <c r="L26" s="37">
        <v>6.5</v>
      </c>
      <c r="M26" s="37"/>
      <c r="N26" s="38">
        <f t="shared" si="0"/>
        <v>6.4</v>
      </c>
      <c r="O26" s="37">
        <v>5.9</v>
      </c>
      <c r="P26" s="37">
        <v>5.8</v>
      </c>
      <c r="Q26" s="38">
        <f t="shared" si="1"/>
        <v>5.9</v>
      </c>
      <c r="R26" s="17">
        <v>2.1219999999999999</v>
      </c>
      <c r="S26" s="17">
        <v>2.0920000000000001</v>
      </c>
      <c r="T26" s="22">
        <f t="shared" si="2"/>
        <v>2.1070000000000002</v>
      </c>
      <c r="U26" s="34">
        <v>2.0169999999999999</v>
      </c>
      <c r="V26" s="34">
        <v>2</v>
      </c>
      <c r="W26" s="33">
        <f t="shared" si="3"/>
        <v>2.0089999999999999</v>
      </c>
      <c r="X26" s="17">
        <v>0.11899999999999999</v>
      </c>
      <c r="Y26" s="17">
        <v>0.11799999999999999</v>
      </c>
      <c r="Z26" s="21">
        <f t="shared" si="4"/>
        <v>0.11899999999999999</v>
      </c>
      <c r="AA26" s="19">
        <v>1.3340000000000001</v>
      </c>
      <c r="AB26" s="19">
        <v>1.371</v>
      </c>
      <c r="AC26" s="21">
        <f t="shared" si="5"/>
        <v>1.353</v>
      </c>
      <c r="AD26" s="19">
        <v>0.215</v>
      </c>
      <c r="AE26" s="19">
        <v>0.20300000000000001</v>
      </c>
      <c r="AF26" s="21">
        <f t="shared" si="6"/>
        <v>0.20899999999999999</v>
      </c>
      <c r="AG26" s="30">
        <v>0.125</v>
      </c>
      <c r="AH26" s="30">
        <v>0.124</v>
      </c>
      <c r="AI26" s="31">
        <f t="shared" si="7"/>
        <v>0.125</v>
      </c>
      <c r="AJ26" s="30">
        <v>0.12</v>
      </c>
      <c r="AK26" s="30">
        <v>0.12</v>
      </c>
      <c r="AL26" s="31">
        <f t="shared" si="8"/>
        <v>0.12</v>
      </c>
      <c r="AM26" s="19">
        <v>9.4770000000000003</v>
      </c>
      <c r="AN26" s="19">
        <v>9.6750000000000007</v>
      </c>
      <c r="AO26" s="21">
        <f t="shared" si="9"/>
        <v>9.5760000000000005</v>
      </c>
      <c r="AP26" s="27">
        <v>0.18940000000000001</v>
      </c>
      <c r="AQ26" s="27">
        <v>0.18890000000000001</v>
      </c>
      <c r="AR26" s="26">
        <f t="shared" si="10"/>
        <v>0.18920000000000001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25.9</v>
      </c>
      <c r="F27" s="23">
        <v>6.9</v>
      </c>
      <c r="G27" s="41">
        <v>186</v>
      </c>
      <c r="H27" s="23">
        <v>7</v>
      </c>
      <c r="I27" s="23">
        <v>1.2</v>
      </c>
      <c r="J27" s="23">
        <v>5.0999999999999996</v>
      </c>
      <c r="K27" s="37">
        <v>3.7</v>
      </c>
      <c r="L27" s="37">
        <v>3.7</v>
      </c>
      <c r="M27" s="37"/>
      <c r="N27" s="38">
        <f t="shared" si="0"/>
        <v>3.7</v>
      </c>
      <c r="O27" s="37">
        <v>3.2</v>
      </c>
      <c r="P27" s="37">
        <v>3</v>
      </c>
      <c r="Q27" s="38">
        <f t="shared" si="1"/>
        <v>3.1</v>
      </c>
      <c r="R27" s="17">
        <v>2.254</v>
      </c>
      <c r="S27" s="17">
        <v>2.266</v>
      </c>
      <c r="T27" s="22">
        <f t="shared" si="2"/>
        <v>2.2599999999999998</v>
      </c>
      <c r="U27" s="34">
        <v>2.101</v>
      </c>
      <c r="V27" s="34">
        <v>2.121</v>
      </c>
      <c r="W27" s="33">
        <f t="shared" si="3"/>
        <v>2.1110000000000002</v>
      </c>
      <c r="X27" s="17">
        <v>0.20100000000000001</v>
      </c>
      <c r="Y27" s="17">
        <v>0.19400000000000001</v>
      </c>
      <c r="Z27" s="21">
        <f t="shared" si="4"/>
        <v>0.19800000000000001</v>
      </c>
      <c r="AA27" s="19">
        <v>1.6950000000000001</v>
      </c>
      <c r="AB27" s="19">
        <v>1.7270000000000001</v>
      </c>
      <c r="AC27" s="21">
        <f t="shared" si="5"/>
        <v>1.7110000000000001</v>
      </c>
      <c r="AD27" s="19">
        <v>0.16300000000000001</v>
      </c>
      <c r="AE27" s="19">
        <v>0.155</v>
      </c>
      <c r="AF27" s="21">
        <f t="shared" si="6"/>
        <v>0.159</v>
      </c>
      <c r="AG27" s="30">
        <v>9.7000000000000003E-2</v>
      </c>
      <c r="AH27" s="30">
        <v>9.9000000000000005E-2</v>
      </c>
      <c r="AI27" s="31">
        <f t="shared" si="7"/>
        <v>9.8000000000000004E-2</v>
      </c>
      <c r="AJ27" s="30">
        <v>9.7000000000000003E-2</v>
      </c>
      <c r="AK27" s="30">
        <v>9.6000000000000002E-2</v>
      </c>
      <c r="AL27" s="31">
        <f t="shared" si="8"/>
        <v>9.7000000000000003E-2</v>
      </c>
      <c r="AM27" s="19">
        <v>10.662000000000001</v>
      </c>
      <c r="AN27" s="19">
        <v>10.8</v>
      </c>
      <c r="AO27" s="21">
        <f t="shared" si="9"/>
        <v>10.731</v>
      </c>
      <c r="AP27" s="27">
        <v>8.6699999999999999E-2</v>
      </c>
      <c r="AQ27" s="27">
        <v>8.6999999999999994E-2</v>
      </c>
      <c r="AR27" s="26">
        <f t="shared" si="10"/>
        <v>8.6900000000000005E-2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25.5</v>
      </c>
      <c r="F28" s="23">
        <v>7</v>
      </c>
      <c r="G28" s="41">
        <v>182</v>
      </c>
      <c r="H28" s="23">
        <v>6.3</v>
      </c>
      <c r="I28" s="23">
        <v>1</v>
      </c>
      <c r="J28" s="23">
        <v>6.8</v>
      </c>
      <c r="K28" s="37">
        <v>5</v>
      </c>
      <c r="L28" s="37">
        <v>5</v>
      </c>
      <c r="M28" s="37"/>
      <c r="N28" s="38">
        <f t="shared" si="0"/>
        <v>5</v>
      </c>
      <c r="O28" s="37">
        <v>4.4000000000000004</v>
      </c>
      <c r="P28" s="37">
        <v>4.3</v>
      </c>
      <c r="Q28" s="38">
        <f t="shared" si="1"/>
        <v>4.4000000000000004</v>
      </c>
      <c r="R28" s="17">
        <v>1.397</v>
      </c>
      <c r="S28" s="17">
        <v>1.4039999999999999</v>
      </c>
      <c r="T28" s="22">
        <f t="shared" si="2"/>
        <v>1.401</v>
      </c>
      <c r="U28" s="34">
        <v>1.2989999999999999</v>
      </c>
      <c r="V28" s="34">
        <v>1.2929999999999999</v>
      </c>
      <c r="W28" s="33">
        <f t="shared" si="3"/>
        <v>1.296</v>
      </c>
      <c r="X28" s="17">
        <v>0.09</v>
      </c>
      <c r="Y28" s="17">
        <v>9.1999999999999998E-2</v>
      </c>
      <c r="Z28" s="21">
        <f t="shared" si="4"/>
        <v>9.0999999999999998E-2</v>
      </c>
      <c r="AA28" s="19">
        <v>0.89600000000000002</v>
      </c>
      <c r="AB28" s="19">
        <v>0.91200000000000003</v>
      </c>
      <c r="AC28" s="21">
        <f t="shared" si="5"/>
        <v>0.90400000000000003</v>
      </c>
      <c r="AD28" s="19">
        <v>0.17100000000000001</v>
      </c>
      <c r="AE28" s="19">
        <v>0.17100000000000001</v>
      </c>
      <c r="AF28" s="21">
        <f t="shared" si="6"/>
        <v>0.17100000000000001</v>
      </c>
      <c r="AG28" s="30">
        <v>9.6000000000000002E-2</v>
      </c>
      <c r="AH28" s="30">
        <v>9.7000000000000003E-2</v>
      </c>
      <c r="AI28" s="31">
        <f t="shared" si="7"/>
        <v>9.7000000000000003E-2</v>
      </c>
      <c r="AJ28" s="30">
        <v>9.1999999999999998E-2</v>
      </c>
      <c r="AK28" s="30">
        <v>9.4E-2</v>
      </c>
      <c r="AL28" s="31">
        <f t="shared" si="8"/>
        <v>9.2999999999999999E-2</v>
      </c>
      <c r="AM28" s="19">
        <v>10.116</v>
      </c>
      <c r="AN28" s="19">
        <v>10.179</v>
      </c>
      <c r="AO28" s="21">
        <f t="shared" si="9"/>
        <v>10.148</v>
      </c>
      <c r="AP28" s="27">
        <v>0.1198</v>
      </c>
      <c r="AQ28" s="27">
        <v>0.1207</v>
      </c>
      <c r="AR28" s="26">
        <f t="shared" si="10"/>
        <v>0.1203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25.8</v>
      </c>
      <c r="F29" s="23">
        <v>7.2</v>
      </c>
      <c r="G29" s="41">
        <v>197</v>
      </c>
      <c r="H29" s="23">
        <v>6.4</v>
      </c>
      <c r="I29" s="23">
        <v>1.1000000000000001</v>
      </c>
      <c r="J29" s="23">
        <v>4.7</v>
      </c>
      <c r="K29" s="37">
        <v>3.7</v>
      </c>
      <c r="L29" s="37">
        <v>3.6</v>
      </c>
      <c r="M29" s="37"/>
      <c r="N29" s="38">
        <f t="shared" si="0"/>
        <v>3.7</v>
      </c>
      <c r="O29" s="37">
        <v>3.1</v>
      </c>
      <c r="P29" s="37">
        <v>2.9</v>
      </c>
      <c r="Q29" s="38">
        <f t="shared" si="1"/>
        <v>3</v>
      </c>
      <c r="R29" s="17">
        <v>2.44</v>
      </c>
      <c r="S29" s="17">
        <v>2.4039999999999999</v>
      </c>
      <c r="T29" s="22">
        <f t="shared" si="2"/>
        <v>2.4220000000000002</v>
      </c>
      <c r="U29" s="34">
        <v>2.278</v>
      </c>
      <c r="V29" s="34">
        <v>2.29</v>
      </c>
      <c r="W29" s="33">
        <f t="shared" si="3"/>
        <v>2.2839999999999998</v>
      </c>
      <c r="X29" s="17">
        <v>0.108</v>
      </c>
      <c r="Y29" s="17">
        <v>0.108</v>
      </c>
      <c r="Z29" s="21">
        <f t="shared" si="4"/>
        <v>0.108</v>
      </c>
      <c r="AA29" s="19">
        <v>1.9750000000000001</v>
      </c>
      <c r="AB29" s="19">
        <v>2.0099999999999998</v>
      </c>
      <c r="AC29" s="21">
        <f t="shared" si="5"/>
        <v>1.9930000000000001</v>
      </c>
      <c r="AD29" s="19">
        <v>0.14899999999999999</v>
      </c>
      <c r="AE29" s="19">
        <v>0.13800000000000001</v>
      </c>
      <c r="AF29" s="21">
        <f t="shared" si="6"/>
        <v>0.14399999999999999</v>
      </c>
      <c r="AG29" s="30">
        <v>8.5999999999999993E-2</v>
      </c>
      <c r="AH29" s="30">
        <v>8.4000000000000005E-2</v>
      </c>
      <c r="AI29" s="31">
        <f t="shared" si="7"/>
        <v>8.5000000000000006E-2</v>
      </c>
      <c r="AJ29" s="30">
        <v>8.5000000000000006E-2</v>
      </c>
      <c r="AK29" s="30">
        <v>8.3000000000000004E-2</v>
      </c>
      <c r="AL29" s="31">
        <f t="shared" si="8"/>
        <v>8.4000000000000005E-2</v>
      </c>
      <c r="AM29" s="19">
        <v>11.35</v>
      </c>
      <c r="AN29" s="19">
        <v>11.528</v>
      </c>
      <c r="AO29" s="21">
        <f t="shared" si="9"/>
        <v>11.439</v>
      </c>
      <c r="AP29" s="27">
        <v>8.1299999999999997E-2</v>
      </c>
      <c r="AQ29" s="27">
        <v>8.1900000000000001E-2</v>
      </c>
      <c r="AR29" s="26">
        <f t="shared" si="10"/>
        <v>8.1600000000000006E-2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23.9</v>
      </c>
      <c r="F30" s="23">
        <v>7.3</v>
      </c>
      <c r="G30" s="41">
        <v>271</v>
      </c>
      <c r="H30" s="23">
        <v>6.8</v>
      </c>
      <c r="I30" s="23">
        <v>1</v>
      </c>
      <c r="J30" s="23">
        <v>5.2</v>
      </c>
      <c r="K30" s="37">
        <v>4</v>
      </c>
      <c r="L30" s="37">
        <v>4</v>
      </c>
      <c r="M30" s="37"/>
      <c r="N30" s="38">
        <f t="shared" si="0"/>
        <v>4</v>
      </c>
      <c r="O30" s="37">
        <v>3.2</v>
      </c>
      <c r="P30" s="37">
        <v>3.2</v>
      </c>
      <c r="Q30" s="38">
        <f t="shared" si="1"/>
        <v>3.2</v>
      </c>
      <c r="R30" s="17">
        <v>3.15</v>
      </c>
      <c r="S30" s="17">
        <v>3.1110000000000002</v>
      </c>
      <c r="T30" s="22">
        <f t="shared" si="2"/>
        <v>3.1309999999999998</v>
      </c>
      <c r="U30" s="34">
        <v>3.0339999999999998</v>
      </c>
      <c r="V30" s="34">
        <v>3.0369999999999999</v>
      </c>
      <c r="W30" s="33">
        <f t="shared" si="3"/>
        <v>3.036</v>
      </c>
      <c r="X30" s="17">
        <v>8.7999999999999995E-2</v>
      </c>
      <c r="Y30" s="17">
        <v>8.8999999999999996E-2</v>
      </c>
      <c r="Z30" s="21">
        <f t="shared" si="4"/>
        <v>8.8999999999999996E-2</v>
      </c>
      <c r="AA30" s="19">
        <v>2.7909999999999999</v>
      </c>
      <c r="AB30" s="19">
        <v>2.8039999999999998</v>
      </c>
      <c r="AC30" s="21">
        <f t="shared" si="5"/>
        <v>2.798</v>
      </c>
      <c r="AD30" s="19">
        <v>8.7999999999999995E-2</v>
      </c>
      <c r="AE30" s="19">
        <v>7.9000000000000001E-2</v>
      </c>
      <c r="AF30" s="21">
        <f t="shared" si="6"/>
        <v>8.4000000000000005E-2</v>
      </c>
      <c r="AG30" s="30">
        <v>4.5999999999999999E-2</v>
      </c>
      <c r="AH30" s="30">
        <v>4.3999999999999997E-2</v>
      </c>
      <c r="AI30" s="31">
        <f t="shared" si="7"/>
        <v>4.4999999999999998E-2</v>
      </c>
      <c r="AJ30" s="30">
        <v>3.6999999999999998E-2</v>
      </c>
      <c r="AK30" s="30">
        <v>3.6999999999999998E-2</v>
      </c>
      <c r="AL30" s="31">
        <f t="shared" si="8"/>
        <v>3.6999999999999998E-2</v>
      </c>
      <c r="AM30" s="19">
        <v>15.316000000000001</v>
      </c>
      <c r="AN30" s="19">
        <v>15.327</v>
      </c>
      <c r="AO30" s="21">
        <f t="shared" si="9"/>
        <v>15.321999999999999</v>
      </c>
      <c r="AP30" s="27">
        <v>8.7499999999999994E-2</v>
      </c>
      <c r="AQ30" s="27">
        <v>8.7999999999999995E-2</v>
      </c>
      <c r="AR30" s="26">
        <f t="shared" si="10"/>
        <v>8.7800000000000003E-2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26.4</v>
      </c>
      <c r="F31" s="23">
        <v>6.5</v>
      </c>
      <c r="G31" s="41">
        <v>192</v>
      </c>
      <c r="H31" s="23">
        <v>6.3</v>
      </c>
      <c r="I31" s="23">
        <v>1</v>
      </c>
      <c r="J31" s="23">
        <v>5.4</v>
      </c>
      <c r="K31" s="37">
        <v>4</v>
      </c>
      <c r="L31" s="37">
        <v>3.9</v>
      </c>
      <c r="M31" s="37"/>
      <c r="N31" s="38">
        <f t="shared" si="0"/>
        <v>4</v>
      </c>
      <c r="O31" s="37">
        <v>3.4</v>
      </c>
      <c r="P31" s="37">
        <v>3.3</v>
      </c>
      <c r="Q31" s="38">
        <f t="shared" si="1"/>
        <v>3.4</v>
      </c>
      <c r="R31" s="17">
        <v>2.1070000000000002</v>
      </c>
      <c r="S31" s="17">
        <v>2.0819999999999999</v>
      </c>
      <c r="T31" s="22">
        <f t="shared" si="2"/>
        <v>2.0950000000000002</v>
      </c>
      <c r="U31" s="34">
        <v>1.968</v>
      </c>
      <c r="V31" s="34">
        <v>1.9419999999999999</v>
      </c>
      <c r="W31" s="33">
        <f t="shared" si="3"/>
        <v>1.9550000000000001</v>
      </c>
      <c r="X31" s="17">
        <v>0.12</v>
      </c>
      <c r="Y31" s="17">
        <v>0.112</v>
      </c>
      <c r="Z31" s="21">
        <f t="shared" si="4"/>
        <v>0.11600000000000001</v>
      </c>
      <c r="AA31" s="19">
        <v>1.6180000000000001</v>
      </c>
      <c r="AB31" s="19">
        <v>1.629</v>
      </c>
      <c r="AC31" s="21">
        <f t="shared" si="5"/>
        <v>1.6240000000000001</v>
      </c>
      <c r="AD31" s="19">
        <v>0.16</v>
      </c>
      <c r="AE31" s="19">
        <v>0.14799999999999999</v>
      </c>
      <c r="AF31" s="21">
        <f t="shared" si="6"/>
        <v>0.154</v>
      </c>
      <c r="AG31" s="30">
        <v>9.7000000000000003E-2</v>
      </c>
      <c r="AH31" s="30">
        <v>9.9000000000000005E-2</v>
      </c>
      <c r="AI31" s="31">
        <f t="shared" si="7"/>
        <v>9.8000000000000004E-2</v>
      </c>
      <c r="AJ31" s="30">
        <v>9.2999999999999999E-2</v>
      </c>
      <c r="AK31" s="30">
        <v>9.6000000000000002E-2</v>
      </c>
      <c r="AL31" s="31">
        <f t="shared" si="8"/>
        <v>9.5000000000000001E-2</v>
      </c>
      <c r="AM31" s="19">
        <v>10.824</v>
      </c>
      <c r="AN31" s="19">
        <v>10.888999999999999</v>
      </c>
      <c r="AO31" s="21">
        <f t="shared" si="9"/>
        <v>10.856999999999999</v>
      </c>
      <c r="AP31" s="27">
        <v>9.2299999999999993E-2</v>
      </c>
      <c r="AQ31" s="27">
        <v>9.3600000000000003E-2</v>
      </c>
      <c r="AR31" s="26">
        <f t="shared" si="10"/>
        <v>9.2999999999999999E-2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22.5</v>
      </c>
      <c r="F32" s="23">
        <v>7.6</v>
      </c>
      <c r="G32" s="41">
        <v>204</v>
      </c>
      <c r="H32" s="23">
        <v>5.4</v>
      </c>
      <c r="I32" s="23">
        <v>0.5</v>
      </c>
      <c r="J32" s="23">
        <v>2.6</v>
      </c>
      <c r="K32" s="37">
        <v>1.9</v>
      </c>
      <c r="L32" s="37">
        <v>1.8</v>
      </c>
      <c r="M32" s="37"/>
      <c r="N32" s="38">
        <f t="shared" si="0"/>
        <v>1.9</v>
      </c>
      <c r="O32" s="37">
        <v>1.6</v>
      </c>
      <c r="P32" s="37">
        <v>1.5</v>
      </c>
      <c r="Q32" s="38">
        <f t="shared" si="1"/>
        <v>1.6</v>
      </c>
      <c r="R32" s="17">
        <v>2.069</v>
      </c>
      <c r="S32" s="17">
        <v>2.0209999999999999</v>
      </c>
      <c r="T32" s="22">
        <f t="shared" si="2"/>
        <v>2.0449999999999999</v>
      </c>
      <c r="U32" s="34">
        <v>2.02</v>
      </c>
      <c r="V32" s="34">
        <v>2.016</v>
      </c>
      <c r="W32" s="33">
        <f t="shared" si="3"/>
        <v>2.0179999999999998</v>
      </c>
      <c r="X32" s="17">
        <v>2.9000000000000001E-2</v>
      </c>
      <c r="Y32" s="17">
        <v>4.1000000000000002E-2</v>
      </c>
      <c r="Z32" s="21">
        <f t="shared" si="4"/>
        <v>3.5000000000000003E-2</v>
      </c>
      <c r="AA32" s="19">
        <v>1.8779999999999999</v>
      </c>
      <c r="AB32" s="19">
        <v>1.9079999999999999</v>
      </c>
      <c r="AC32" s="21">
        <f t="shared" si="5"/>
        <v>1.893</v>
      </c>
      <c r="AD32" s="19">
        <v>5.0999999999999997E-2</v>
      </c>
      <c r="AE32" s="19">
        <v>4.2000000000000003E-2</v>
      </c>
      <c r="AF32" s="21">
        <f t="shared" si="6"/>
        <v>4.7E-2</v>
      </c>
      <c r="AG32" s="30">
        <v>0.03</v>
      </c>
      <c r="AH32" s="30">
        <v>2.7E-2</v>
      </c>
      <c r="AI32" s="31">
        <f t="shared" si="7"/>
        <v>2.9000000000000001E-2</v>
      </c>
      <c r="AJ32" s="30">
        <v>2.8000000000000001E-2</v>
      </c>
      <c r="AK32" s="30">
        <v>2.5999999999999999E-2</v>
      </c>
      <c r="AL32" s="31">
        <f t="shared" si="8"/>
        <v>2.7E-2</v>
      </c>
      <c r="AM32" s="19">
        <v>11.628</v>
      </c>
      <c r="AN32" s="19">
        <v>11.686</v>
      </c>
      <c r="AO32" s="21">
        <f t="shared" si="9"/>
        <v>11.657</v>
      </c>
      <c r="AP32" s="27">
        <v>3.5099999999999999E-2</v>
      </c>
      <c r="AQ32" s="27">
        <v>3.7100000000000001E-2</v>
      </c>
      <c r="AR32" s="26">
        <f t="shared" si="10"/>
        <v>3.61E-2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26.5</v>
      </c>
      <c r="F33" s="23">
        <v>7.1</v>
      </c>
      <c r="G33" s="41">
        <v>196</v>
      </c>
      <c r="H33" s="23">
        <v>6.8</v>
      </c>
      <c r="I33" s="23">
        <v>1.8</v>
      </c>
      <c r="J33" s="23">
        <v>5.2</v>
      </c>
      <c r="K33" s="37">
        <v>3.8</v>
      </c>
      <c r="L33" s="37">
        <v>3.7</v>
      </c>
      <c r="M33" s="37"/>
      <c r="N33" s="38">
        <f t="shared" si="0"/>
        <v>3.8</v>
      </c>
      <c r="O33" s="37">
        <v>3.3</v>
      </c>
      <c r="P33" s="37">
        <v>3.2</v>
      </c>
      <c r="Q33" s="38">
        <f t="shared" si="1"/>
        <v>3.3</v>
      </c>
      <c r="R33" s="17">
        <v>2.044</v>
      </c>
      <c r="S33" s="17">
        <v>1.984</v>
      </c>
      <c r="T33" s="22">
        <f t="shared" si="2"/>
        <v>2.0139999999999998</v>
      </c>
      <c r="U33" s="34">
        <v>1.9470000000000001</v>
      </c>
      <c r="V33" s="34">
        <v>1.944</v>
      </c>
      <c r="W33" s="33">
        <f t="shared" si="3"/>
        <v>1.946</v>
      </c>
      <c r="X33" s="17">
        <v>8.8999999999999996E-2</v>
      </c>
      <c r="Y33" s="17">
        <v>8.4000000000000005E-2</v>
      </c>
      <c r="Z33" s="21">
        <f t="shared" si="4"/>
        <v>8.6999999999999994E-2</v>
      </c>
      <c r="AA33" s="19">
        <v>1.62</v>
      </c>
      <c r="AB33" s="19">
        <v>1.645</v>
      </c>
      <c r="AC33" s="21">
        <f t="shared" si="5"/>
        <v>1.633</v>
      </c>
      <c r="AD33" s="19">
        <v>0.13800000000000001</v>
      </c>
      <c r="AE33" s="19">
        <v>0.124</v>
      </c>
      <c r="AF33" s="21">
        <f t="shared" si="6"/>
        <v>0.13100000000000001</v>
      </c>
      <c r="AG33" s="30">
        <v>8.3000000000000004E-2</v>
      </c>
      <c r="AH33" s="30">
        <v>8.8999999999999996E-2</v>
      </c>
      <c r="AI33" s="31">
        <f t="shared" si="7"/>
        <v>8.5999999999999993E-2</v>
      </c>
      <c r="AJ33" s="30">
        <v>8.1000000000000003E-2</v>
      </c>
      <c r="AK33" s="30">
        <v>8.5999999999999993E-2</v>
      </c>
      <c r="AL33" s="31">
        <f t="shared" si="8"/>
        <v>8.4000000000000005E-2</v>
      </c>
      <c r="AM33" s="19">
        <v>11.156000000000001</v>
      </c>
      <c r="AN33" s="19">
        <v>11.225</v>
      </c>
      <c r="AO33" s="21">
        <f t="shared" si="9"/>
        <v>11.191000000000001</v>
      </c>
      <c r="AP33" s="27">
        <v>9.1700000000000004E-2</v>
      </c>
      <c r="AQ33" s="27">
        <v>9.1899999999999996E-2</v>
      </c>
      <c r="AR33" s="26">
        <f t="shared" si="10"/>
        <v>9.1800000000000007E-2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26</v>
      </c>
      <c r="F34" s="23">
        <v>6.9</v>
      </c>
      <c r="G34" s="41">
        <v>220</v>
      </c>
      <c r="H34" s="23">
        <v>5.4</v>
      </c>
      <c r="I34" s="23">
        <v>1.2</v>
      </c>
      <c r="J34" s="23">
        <v>6.8</v>
      </c>
      <c r="K34" s="37">
        <v>5.2</v>
      </c>
      <c r="L34" s="37">
        <v>5.2</v>
      </c>
      <c r="M34" s="37"/>
      <c r="N34" s="38">
        <f t="shared" si="0"/>
        <v>5.2</v>
      </c>
      <c r="O34" s="37">
        <v>4.5</v>
      </c>
      <c r="P34" s="37">
        <v>4.3</v>
      </c>
      <c r="Q34" s="38">
        <f t="shared" si="1"/>
        <v>4.4000000000000004</v>
      </c>
      <c r="R34" s="17">
        <v>1.9339999999999999</v>
      </c>
      <c r="S34" s="17">
        <v>1.889</v>
      </c>
      <c r="T34" s="22">
        <f t="shared" si="2"/>
        <v>1.9119999999999999</v>
      </c>
      <c r="U34" s="34">
        <v>1.728</v>
      </c>
      <c r="V34" s="34">
        <v>1.718</v>
      </c>
      <c r="W34" s="33">
        <f t="shared" si="3"/>
        <v>1.7230000000000001</v>
      </c>
      <c r="X34" s="17">
        <v>0.214</v>
      </c>
      <c r="Y34" s="17">
        <v>0.217</v>
      </c>
      <c r="Z34" s="21">
        <f t="shared" si="4"/>
        <v>0.216</v>
      </c>
      <c r="AA34" s="19">
        <v>1.2070000000000001</v>
      </c>
      <c r="AB34" s="19">
        <v>1.202</v>
      </c>
      <c r="AC34" s="21">
        <f t="shared" si="5"/>
        <v>1.2050000000000001</v>
      </c>
      <c r="AD34" s="19">
        <v>0.29199999999999998</v>
      </c>
      <c r="AE34" s="19">
        <v>0.28000000000000003</v>
      </c>
      <c r="AF34" s="21">
        <f t="shared" si="6"/>
        <v>0.28599999999999998</v>
      </c>
      <c r="AG34" s="30">
        <v>0.18</v>
      </c>
      <c r="AH34" s="30">
        <v>0.17799999999999999</v>
      </c>
      <c r="AI34" s="31">
        <f t="shared" si="7"/>
        <v>0.17899999999999999</v>
      </c>
      <c r="AJ34" s="30">
        <v>0.17699999999999999</v>
      </c>
      <c r="AK34" s="30">
        <v>0.17499999999999999</v>
      </c>
      <c r="AL34" s="31">
        <f t="shared" si="8"/>
        <v>0.17599999999999999</v>
      </c>
      <c r="AM34" s="19">
        <v>13.055</v>
      </c>
      <c r="AN34" s="19">
        <v>12.983000000000001</v>
      </c>
      <c r="AO34" s="21">
        <f t="shared" si="9"/>
        <v>13.019</v>
      </c>
      <c r="AP34" s="27">
        <v>0.12670000000000001</v>
      </c>
      <c r="AQ34" s="27">
        <v>0.12659999999999999</v>
      </c>
      <c r="AR34" s="26">
        <f t="shared" si="10"/>
        <v>0.12670000000000001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25.3</v>
      </c>
      <c r="F35" s="23">
        <v>7.4</v>
      </c>
      <c r="G35" s="41">
        <v>210</v>
      </c>
      <c r="H35" s="23">
        <v>7.6</v>
      </c>
      <c r="I35" s="23">
        <v>2.5</v>
      </c>
      <c r="J35" s="23">
        <v>8</v>
      </c>
      <c r="K35" s="37">
        <v>6.3</v>
      </c>
      <c r="L35" s="37">
        <v>6.2</v>
      </c>
      <c r="M35" s="37"/>
      <c r="N35" s="38">
        <f t="shared" si="0"/>
        <v>6.3</v>
      </c>
      <c r="O35" s="37">
        <v>4.5999999999999996</v>
      </c>
      <c r="P35" s="37">
        <v>4.5</v>
      </c>
      <c r="Q35" s="38">
        <f t="shared" si="1"/>
        <v>4.5999999999999996</v>
      </c>
      <c r="R35" s="17">
        <v>2.67</v>
      </c>
      <c r="S35" s="17">
        <v>2.6320000000000001</v>
      </c>
      <c r="T35" s="22">
        <f t="shared" si="2"/>
        <v>2.6509999999999998</v>
      </c>
      <c r="U35" s="34">
        <v>2.4329999999999998</v>
      </c>
      <c r="V35" s="34">
        <v>2.4180000000000001</v>
      </c>
      <c r="W35" s="33">
        <f t="shared" si="3"/>
        <v>2.4260000000000002</v>
      </c>
      <c r="X35" s="17">
        <v>0.52400000000000002</v>
      </c>
      <c r="Y35" s="17">
        <v>0.51700000000000002</v>
      </c>
      <c r="Z35" s="21">
        <f t="shared" si="4"/>
        <v>0.52100000000000002</v>
      </c>
      <c r="AA35" s="19">
        <v>1.534</v>
      </c>
      <c r="AB35" s="19">
        <v>1.5449999999999999</v>
      </c>
      <c r="AC35" s="21">
        <f t="shared" si="5"/>
        <v>1.54</v>
      </c>
      <c r="AD35" s="19">
        <v>0.28000000000000003</v>
      </c>
      <c r="AE35" s="19">
        <v>0.25700000000000001</v>
      </c>
      <c r="AF35" s="21">
        <f t="shared" si="6"/>
        <v>0.26900000000000002</v>
      </c>
      <c r="AG35" s="30">
        <v>8.5000000000000006E-2</v>
      </c>
      <c r="AH35" s="30">
        <v>0.08</v>
      </c>
      <c r="AI35" s="31">
        <f t="shared" si="7"/>
        <v>8.3000000000000004E-2</v>
      </c>
      <c r="AJ35" s="30">
        <v>8.1000000000000003E-2</v>
      </c>
      <c r="AK35" s="30">
        <v>7.8E-2</v>
      </c>
      <c r="AL35" s="31">
        <f t="shared" si="8"/>
        <v>0.08</v>
      </c>
      <c r="AM35" s="19">
        <v>18.033999999999999</v>
      </c>
      <c r="AN35" s="19">
        <v>18.055</v>
      </c>
      <c r="AO35" s="21">
        <f t="shared" si="9"/>
        <v>18.045000000000002</v>
      </c>
      <c r="AP35" s="27">
        <v>0.13980000000000001</v>
      </c>
      <c r="AQ35" s="27">
        <v>0.14069999999999999</v>
      </c>
      <c r="AR35" s="26">
        <f t="shared" si="10"/>
        <v>0.14030000000000001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27</v>
      </c>
      <c r="F36" s="23">
        <v>7.2</v>
      </c>
      <c r="G36" s="41">
        <v>200</v>
      </c>
      <c r="H36" s="23">
        <v>6.6</v>
      </c>
      <c r="I36" s="23">
        <v>1</v>
      </c>
      <c r="J36" s="23">
        <v>5.7</v>
      </c>
      <c r="K36" s="37">
        <v>4</v>
      </c>
      <c r="L36" s="37">
        <v>4.0999999999999996</v>
      </c>
      <c r="M36" s="37"/>
      <c r="N36" s="38">
        <f t="shared" si="0"/>
        <v>4.0999999999999996</v>
      </c>
      <c r="O36" s="37">
        <v>3.4</v>
      </c>
      <c r="P36" s="37">
        <v>3.3</v>
      </c>
      <c r="Q36" s="38">
        <f t="shared" si="1"/>
        <v>3.4</v>
      </c>
      <c r="R36" s="17">
        <v>2.0920000000000001</v>
      </c>
      <c r="S36" s="17">
        <v>2.0609999999999999</v>
      </c>
      <c r="T36" s="22">
        <f t="shared" si="2"/>
        <v>2.077</v>
      </c>
      <c r="U36" s="34">
        <v>1.9730000000000001</v>
      </c>
      <c r="V36" s="34">
        <v>2.089</v>
      </c>
      <c r="W36" s="33">
        <f t="shared" si="3"/>
        <v>2.0310000000000001</v>
      </c>
      <c r="X36" s="17">
        <v>9.9000000000000005E-2</v>
      </c>
      <c r="Y36" s="17">
        <v>0.108</v>
      </c>
      <c r="Z36" s="21">
        <f t="shared" si="4"/>
        <v>0.104</v>
      </c>
      <c r="AA36" s="19">
        <v>1.5880000000000001</v>
      </c>
      <c r="AB36" s="19">
        <v>1.6180000000000001</v>
      </c>
      <c r="AC36" s="21">
        <f t="shared" si="5"/>
        <v>1.603</v>
      </c>
      <c r="AD36" s="19">
        <v>0.14599999999999999</v>
      </c>
      <c r="AE36" s="19">
        <v>0.14199999999999999</v>
      </c>
      <c r="AF36" s="21">
        <f t="shared" si="6"/>
        <v>0.14399999999999999</v>
      </c>
      <c r="AG36" s="30">
        <v>8.5000000000000006E-2</v>
      </c>
      <c r="AH36" s="30">
        <v>9.8000000000000004E-2</v>
      </c>
      <c r="AI36" s="31">
        <f t="shared" si="7"/>
        <v>9.1999999999999998E-2</v>
      </c>
      <c r="AJ36" s="30">
        <v>8.4000000000000005E-2</v>
      </c>
      <c r="AK36" s="30">
        <v>9.5000000000000001E-2</v>
      </c>
      <c r="AL36" s="31">
        <f t="shared" si="8"/>
        <v>0.09</v>
      </c>
      <c r="AM36" s="19">
        <v>11.696</v>
      </c>
      <c r="AN36" s="19">
        <v>11.852</v>
      </c>
      <c r="AO36" s="21">
        <f t="shared" si="9"/>
        <v>11.773999999999999</v>
      </c>
      <c r="AP36" s="27">
        <v>9.2600000000000002E-2</v>
      </c>
      <c r="AQ36" s="27">
        <v>9.3700000000000006E-2</v>
      </c>
      <c r="AR36" s="26">
        <f t="shared" si="10"/>
        <v>9.3200000000000005E-2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25.9</v>
      </c>
      <c r="F37" s="23">
        <v>7.1</v>
      </c>
      <c r="G37" s="41">
        <v>303</v>
      </c>
      <c r="H37" s="23">
        <v>4.5999999999999996</v>
      </c>
      <c r="I37" s="23">
        <v>1</v>
      </c>
      <c r="J37" s="23">
        <v>7.5</v>
      </c>
      <c r="K37" s="37">
        <v>6.1</v>
      </c>
      <c r="L37" s="37">
        <v>6.1</v>
      </c>
      <c r="M37" s="37"/>
      <c r="N37" s="38">
        <f t="shared" si="0"/>
        <v>6.1</v>
      </c>
      <c r="O37" s="37">
        <v>5.2</v>
      </c>
      <c r="P37" s="37">
        <v>5.0999999999999996</v>
      </c>
      <c r="Q37" s="38">
        <f t="shared" si="1"/>
        <v>5.2</v>
      </c>
      <c r="R37" s="17">
        <v>2.8660000000000001</v>
      </c>
      <c r="S37" s="17">
        <v>2.8119999999999998</v>
      </c>
      <c r="T37" s="22">
        <f t="shared" si="2"/>
        <v>2.839</v>
      </c>
      <c r="U37" s="34">
        <v>2.8290000000000002</v>
      </c>
      <c r="V37" s="34">
        <v>2.8359999999999999</v>
      </c>
      <c r="W37" s="33">
        <f t="shared" si="3"/>
        <v>2.8330000000000002</v>
      </c>
      <c r="X37" s="17">
        <v>9.8000000000000004E-2</v>
      </c>
      <c r="Y37" s="17">
        <v>0.11600000000000001</v>
      </c>
      <c r="Z37" s="21">
        <f t="shared" si="4"/>
        <v>0.107</v>
      </c>
      <c r="AA37" s="19">
        <v>2.2109999999999999</v>
      </c>
      <c r="AB37" s="19">
        <v>2.2130000000000001</v>
      </c>
      <c r="AC37" s="21">
        <f t="shared" si="5"/>
        <v>2.2120000000000002</v>
      </c>
      <c r="AD37" s="19">
        <v>0.16900000000000001</v>
      </c>
      <c r="AE37" s="19">
        <v>0.156</v>
      </c>
      <c r="AF37" s="21">
        <f t="shared" si="6"/>
        <v>0.16300000000000001</v>
      </c>
      <c r="AG37" s="30">
        <v>0.123</v>
      </c>
      <c r="AH37" s="30">
        <v>0.121</v>
      </c>
      <c r="AI37" s="31">
        <f t="shared" si="7"/>
        <v>0.122</v>
      </c>
      <c r="AJ37" s="30">
        <v>0.10299999999999999</v>
      </c>
      <c r="AK37" s="30">
        <v>9.9000000000000005E-2</v>
      </c>
      <c r="AL37" s="31">
        <f t="shared" si="8"/>
        <v>0.10100000000000001</v>
      </c>
      <c r="AM37" s="19">
        <v>20.523</v>
      </c>
      <c r="AN37" s="19">
        <v>20.478999999999999</v>
      </c>
      <c r="AO37" s="21">
        <f t="shared" si="9"/>
        <v>20.501000000000001</v>
      </c>
      <c r="AP37" s="27">
        <v>0.14050000000000001</v>
      </c>
      <c r="AQ37" s="27">
        <v>0.1409</v>
      </c>
      <c r="AR37" s="26">
        <f t="shared" si="10"/>
        <v>0.14069999999999999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26.4</v>
      </c>
      <c r="F38" s="23">
        <v>6.8</v>
      </c>
      <c r="G38" s="41">
        <v>205</v>
      </c>
      <c r="H38" s="23">
        <v>7.1</v>
      </c>
      <c r="I38" s="23">
        <v>1</v>
      </c>
      <c r="J38" s="23">
        <v>5.6</v>
      </c>
      <c r="K38" s="37">
        <v>4.4000000000000004</v>
      </c>
      <c r="L38" s="37">
        <v>4.2</v>
      </c>
      <c r="M38" s="37"/>
      <c r="N38" s="38">
        <f t="shared" si="0"/>
        <v>4.3</v>
      </c>
      <c r="O38" s="37">
        <v>3.5</v>
      </c>
      <c r="P38" s="37">
        <v>3.4</v>
      </c>
      <c r="Q38" s="38">
        <f t="shared" si="1"/>
        <v>3.5</v>
      </c>
      <c r="R38" s="17">
        <v>2.278</v>
      </c>
      <c r="S38" s="17">
        <v>2.2250000000000001</v>
      </c>
      <c r="T38" s="22">
        <f t="shared" si="2"/>
        <v>2.2519999999999998</v>
      </c>
      <c r="U38" s="34">
        <v>2.2450000000000001</v>
      </c>
      <c r="V38" s="34">
        <v>2.25</v>
      </c>
      <c r="W38" s="33">
        <f t="shared" si="3"/>
        <v>2.2480000000000002</v>
      </c>
      <c r="X38" s="17">
        <v>0.11600000000000001</v>
      </c>
      <c r="Y38" s="17">
        <v>0.106</v>
      </c>
      <c r="Z38" s="21">
        <f t="shared" si="4"/>
        <v>0.111</v>
      </c>
      <c r="AA38" s="19">
        <v>1.7829999999999999</v>
      </c>
      <c r="AB38" s="19">
        <v>1.806</v>
      </c>
      <c r="AC38" s="21">
        <f t="shared" si="5"/>
        <v>1.7949999999999999</v>
      </c>
      <c r="AD38" s="19">
        <v>0.154</v>
      </c>
      <c r="AE38" s="19">
        <v>0.14299999999999999</v>
      </c>
      <c r="AF38" s="21">
        <f t="shared" si="6"/>
        <v>0.14899999999999999</v>
      </c>
      <c r="AG38" s="30">
        <v>0.129</v>
      </c>
      <c r="AH38" s="30">
        <v>0.129</v>
      </c>
      <c r="AI38" s="31">
        <f t="shared" si="7"/>
        <v>0.129</v>
      </c>
      <c r="AJ38" s="30">
        <v>0.11700000000000001</v>
      </c>
      <c r="AK38" s="30">
        <v>0.113</v>
      </c>
      <c r="AL38" s="31">
        <f t="shared" si="8"/>
        <v>0.115</v>
      </c>
      <c r="AM38" s="19">
        <v>13.592000000000001</v>
      </c>
      <c r="AN38" s="19">
        <v>13.72</v>
      </c>
      <c r="AO38" s="21">
        <f t="shared" si="9"/>
        <v>13.656000000000001</v>
      </c>
      <c r="AP38" s="27">
        <v>9.4600000000000004E-2</v>
      </c>
      <c r="AQ38" s="27">
        <v>9.5799999999999996E-2</v>
      </c>
      <c r="AR38" s="26">
        <f t="shared" si="10"/>
        <v>9.5200000000000007E-2</v>
      </c>
    </row>
    <row r="39" spans="1:44">
      <c r="A39" s="7" t="s">
        <v>137</v>
      </c>
      <c r="B39" s="5" t="s">
        <v>138</v>
      </c>
      <c r="C39" s="6"/>
      <c r="D39" s="6"/>
      <c r="E39" s="23">
        <v>24.7</v>
      </c>
      <c r="F39" s="23">
        <v>6.8</v>
      </c>
      <c r="G39" s="41">
        <v>315</v>
      </c>
      <c r="H39" s="23">
        <v>7.1</v>
      </c>
      <c r="I39" s="23">
        <v>7.4</v>
      </c>
      <c r="J39" s="23">
        <v>12.1</v>
      </c>
      <c r="K39" s="37">
        <v>9.1999999999999993</v>
      </c>
      <c r="L39" s="37">
        <v>9.5</v>
      </c>
      <c r="M39" s="37">
        <v>9.3000000000000007</v>
      </c>
      <c r="N39" s="38">
        <f t="shared" si="0"/>
        <v>9.3000000000000007</v>
      </c>
      <c r="O39" s="37">
        <v>4.8</v>
      </c>
      <c r="P39" s="37">
        <v>4.8</v>
      </c>
      <c r="Q39" s="38">
        <f t="shared" si="1"/>
        <v>4.8</v>
      </c>
      <c r="R39" s="17">
        <v>8.5950000000000006</v>
      </c>
      <c r="S39" s="17">
        <v>8.5589999999999993</v>
      </c>
      <c r="T39" s="22">
        <f t="shared" si="2"/>
        <v>8.577</v>
      </c>
      <c r="U39" s="34">
        <v>7.8979999999999997</v>
      </c>
      <c r="V39" s="34">
        <v>7.9870000000000001</v>
      </c>
      <c r="W39" s="33">
        <f t="shared" si="3"/>
        <v>7.9429999999999996</v>
      </c>
      <c r="X39" s="17">
        <v>2.1789999999999998</v>
      </c>
      <c r="Y39" s="17">
        <v>2.1840000000000002</v>
      </c>
      <c r="Z39" s="21">
        <f t="shared" si="4"/>
        <v>2.1819999999999999</v>
      </c>
      <c r="AA39" s="19">
        <v>5.1630000000000003</v>
      </c>
      <c r="AB39" s="19">
        <v>5.2560000000000002</v>
      </c>
      <c r="AC39" s="21">
        <f t="shared" si="5"/>
        <v>5.21</v>
      </c>
      <c r="AD39" s="19">
        <v>0.45200000000000001</v>
      </c>
      <c r="AE39" s="19">
        <v>0.44900000000000001</v>
      </c>
      <c r="AF39" s="21">
        <f t="shared" si="6"/>
        <v>0.45100000000000001</v>
      </c>
      <c r="AG39" s="30">
        <v>0.216</v>
      </c>
      <c r="AH39" s="30">
        <v>0.218</v>
      </c>
      <c r="AI39" s="31">
        <f t="shared" si="7"/>
        <v>0.217</v>
      </c>
      <c r="AJ39" s="30">
        <v>0.20200000000000001</v>
      </c>
      <c r="AK39" s="30">
        <v>0.2</v>
      </c>
      <c r="AL39" s="31">
        <f t="shared" si="8"/>
        <v>0.20100000000000001</v>
      </c>
      <c r="AM39" s="19">
        <v>37.417000000000002</v>
      </c>
      <c r="AN39" s="19">
        <v>38.012999999999998</v>
      </c>
      <c r="AO39" s="21">
        <f t="shared" si="9"/>
        <v>37.715000000000003</v>
      </c>
      <c r="AP39" s="27">
        <v>9.9000000000000005E-2</v>
      </c>
      <c r="AQ39" s="27">
        <v>9.9299999999999999E-2</v>
      </c>
      <c r="AR39" s="26">
        <f t="shared" si="10"/>
        <v>9.9199999999999997E-2</v>
      </c>
    </row>
    <row r="40" spans="1:44">
      <c r="A40" s="7" t="s">
        <v>158</v>
      </c>
      <c r="B40" s="5" t="s">
        <v>159</v>
      </c>
      <c r="C40" s="6"/>
      <c r="D40" s="6"/>
      <c r="E40" s="23">
        <v>24.6</v>
      </c>
      <c r="F40" s="23">
        <v>6.9</v>
      </c>
      <c r="G40" s="41">
        <v>358</v>
      </c>
      <c r="H40" s="23">
        <v>7</v>
      </c>
      <c r="I40" s="23">
        <v>1.6</v>
      </c>
      <c r="J40" s="23">
        <v>6.9</v>
      </c>
      <c r="K40" s="37">
        <v>4.9000000000000004</v>
      </c>
      <c r="L40" s="37">
        <v>4.5</v>
      </c>
      <c r="M40" s="37"/>
      <c r="N40" s="38">
        <f t="shared" si="0"/>
        <v>4.7</v>
      </c>
      <c r="O40" s="37">
        <v>4.0999999999999996</v>
      </c>
      <c r="P40" s="37">
        <v>4</v>
      </c>
      <c r="Q40" s="38">
        <f t="shared" si="1"/>
        <v>4.0999999999999996</v>
      </c>
      <c r="R40" s="17">
        <v>1.0449999999999999</v>
      </c>
      <c r="S40" s="17">
        <v>1.0509999999999999</v>
      </c>
      <c r="T40" s="22">
        <f t="shared" si="2"/>
        <v>1.048</v>
      </c>
      <c r="U40" s="34">
        <v>0.97699999999999998</v>
      </c>
      <c r="V40" s="34">
        <v>0.95699999999999996</v>
      </c>
      <c r="W40" s="33">
        <f t="shared" si="3"/>
        <v>0.96699999999999997</v>
      </c>
      <c r="X40" s="17">
        <v>0.14199999999999999</v>
      </c>
      <c r="Y40" s="17">
        <v>0.13800000000000001</v>
      </c>
      <c r="Z40" s="21">
        <f t="shared" si="4"/>
        <v>0.14000000000000001</v>
      </c>
      <c r="AA40" s="19">
        <v>0.52600000000000002</v>
      </c>
      <c r="AB40" s="19">
        <v>0.51</v>
      </c>
      <c r="AC40" s="21">
        <f t="shared" si="5"/>
        <v>0.51800000000000002</v>
      </c>
      <c r="AD40" s="19">
        <v>0.104</v>
      </c>
      <c r="AE40" s="19">
        <v>0.10100000000000001</v>
      </c>
      <c r="AF40" s="21">
        <f t="shared" si="6"/>
        <v>0.10299999999999999</v>
      </c>
      <c r="AG40" s="30">
        <v>6.8000000000000005E-2</v>
      </c>
      <c r="AH40" s="30">
        <v>6.0999999999999999E-2</v>
      </c>
      <c r="AI40" s="31">
        <f t="shared" si="7"/>
        <v>6.5000000000000002E-2</v>
      </c>
      <c r="AJ40" s="30">
        <v>3.5999999999999997E-2</v>
      </c>
      <c r="AK40" s="30">
        <v>3.3000000000000002E-2</v>
      </c>
      <c r="AL40" s="31">
        <f t="shared" si="8"/>
        <v>3.5000000000000003E-2</v>
      </c>
      <c r="AM40" s="19">
        <v>58.296999999999997</v>
      </c>
      <c r="AN40" s="19">
        <v>55.573</v>
      </c>
      <c r="AO40" s="21">
        <f t="shared" si="9"/>
        <v>56.935000000000002</v>
      </c>
      <c r="AP40" s="27">
        <v>9.2100000000000001E-2</v>
      </c>
      <c r="AQ40" s="27">
        <v>9.3299999999999994E-2</v>
      </c>
      <c r="AR40" s="26">
        <f t="shared" si="10"/>
        <v>9.2700000000000005E-2</v>
      </c>
    </row>
  </sheetData>
  <mergeCells count="18">
    <mergeCell ref="J1:J2"/>
    <mergeCell ref="K1:N1"/>
    <mergeCell ref="O1:Q1"/>
    <mergeCell ref="R1:T1"/>
    <mergeCell ref="I1:I2"/>
    <mergeCell ref="A1:A2"/>
    <mergeCell ref="B1:B2"/>
    <mergeCell ref="C1:C2"/>
    <mergeCell ref="D1:D2"/>
    <mergeCell ref="E1:H1"/>
    <mergeCell ref="AJ1:AL1"/>
    <mergeCell ref="AM1:AO1"/>
    <mergeCell ref="AP1:AR1"/>
    <mergeCell ref="U1:W1"/>
    <mergeCell ref="X1:Z1"/>
    <mergeCell ref="AA1:AC1"/>
    <mergeCell ref="AD1:AF1"/>
    <mergeCell ref="AG1:AI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40"/>
  <sheetViews>
    <sheetView topLeftCell="A15" zoomScale="85" zoomScaleNormal="85" workbookViewId="0">
      <selection activeCell="A3" sqref="A3:XFD40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20" width="9" style="1"/>
    <col min="21" max="21" width="9" style="3"/>
    <col min="22" max="31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8"/>
      <c r="U1" s="76" t="s">
        <v>126</v>
      </c>
      <c r="V1" s="77"/>
      <c r="W1" s="78"/>
      <c r="X1" s="76" t="s">
        <v>127</v>
      </c>
      <c r="Y1" s="77"/>
      <c r="Z1" s="78"/>
      <c r="AA1" s="76" t="s">
        <v>128</v>
      </c>
      <c r="AB1" s="77"/>
      <c r="AC1" s="78"/>
      <c r="AD1" s="76" t="s">
        <v>129</v>
      </c>
      <c r="AE1" s="77"/>
      <c r="AF1" s="78"/>
      <c r="AG1" s="76" t="s">
        <v>130</v>
      </c>
      <c r="AH1" s="77"/>
      <c r="AI1" s="78"/>
      <c r="AJ1" s="76" t="s">
        <v>131</v>
      </c>
      <c r="AK1" s="77"/>
      <c r="AL1" s="78"/>
      <c r="AM1" s="76" t="s">
        <v>132</v>
      </c>
      <c r="AN1" s="77"/>
      <c r="AO1" s="78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113</v>
      </c>
      <c r="H2" s="12" t="s">
        <v>112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136</v>
      </c>
      <c r="B3" s="9" t="s">
        <v>34</v>
      </c>
      <c r="C3" s="10" t="s">
        <v>35</v>
      </c>
      <c r="D3" s="10" t="s">
        <v>36</v>
      </c>
      <c r="E3" s="20">
        <v>22</v>
      </c>
      <c r="F3" s="20">
        <v>7.6</v>
      </c>
      <c r="G3" s="40">
        <v>93</v>
      </c>
      <c r="H3" s="20">
        <v>8.6999999999999993</v>
      </c>
      <c r="I3" s="20">
        <v>1</v>
      </c>
      <c r="J3" s="20">
        <v>3.1</v>
      </c>
      <c r="K3" s="36">
        <v>1.9</v>
      </c>
      <c r="L3" s="36">
        <v>1.9</v>
      </c>
      <c r="M3" s="36"/>
      <c r="N3" s="38">
        <f>ROUND(AVERAGE(K3:M3),1)</f>
        <v>1.9</v>
      </c>
      <c r="O3" s="36">
        <v>1.7</v>
      </c>
      <c r="P3" s="36">
        <v>1.6</v>
      </c>
      <c r="Q3" s="38">
        <f>ROUND(AVERAGE(O3:P3),1)</f>
        <v>1.7</v>
      </c>
      <c r="R3" s="16">
        <v>1.0760000000000001</v>
      </c>
      <c r="S3" s="16">
        <v>1.109</v>
      </c>
      <c r="T3" s="22">
        <f>ROUND(AVERAGE(R3:S3),3)</f>
        <v>1.093</v>
      </c>
      <c r="U3" s="32">
        <v>0.96399999999999997</v>
      </c>
      <c r="V3" s="32">
        <v>0.96599999999999997</v>
      </c>
      <c r="W3" s="22">
        <f>ROUND(AVERAGE(U3:V3),3)</f>
        <v>0.96499999999999997</v>
      </c>
      <c r="X3" s="16">
        <v>2.7E-2</v>
      </c>
      <c r="Y3" s="16">
        <v>2.9000000000000001E-2</v>
      </c>
      <c r="Z3" s="21">
        <f>ROUND(AVERAGE(X3:Y3),3)</f>
        <v>2.8000000000000001E-2</v>
      </c>
      <c r="AA3" s="29">
        <v>0.76900000000000002</v>
      </c>
      <c r="AB3" s="29">
        <v>0.78200000000000003</v>
      </c>
      <c r="AC3" s="31">
        <f>ROUND(AVERAGE(AA3:AB3),3)</f>
        <v>0.77600000000000002</v>
      </c>
      <c r="AD3" s="18">
        <v>0.03</v>
      </c>
      <c r="AE3" s="18">
        <v>3.4000000000000002E-2</v>
      </c>
      <c r="AF3" s="21">
        <f>ROUND(AVERAGE(AD3:AE3),3)</f>
        <v>3.2000000000000001E-2</v>
      </c>
      <c r="AG3" s="29">
        <v>2.3E-2</v>
      </c>
      <c r="AH3" s="29">
        <v>2.1000000000000001E-2</v>
      </c>
      <c r="AI3" s="21">
        <f>ROUND(AVERAGE(AG3:AH3),3)</f>
        <v>2.1999999999999999E-2</v>
      </c>
      <c r="AJ3" s="29">
        <v>8.0000000000000002E-3</v>
      </c>
      <c r="AK3" s="29">
        <v>6.0000000000000001E-3</v>
      </c>
      <c r="AL3" s="21">
        <f>ROUND(AVERAGE(AJ3:AK3),3)</f>
        <v>7.0000000000000001E-3</v>
      </c>
      <c r="AM3" s="29">
        <v>7.3310000000000004</v>
      </c>
      <c r="AN3" s="29">
        <v>7.3789999999999996</v>
      </c>
      <c r="AO3" s="31">
        <f>ROUND(AVERAGE(AM3:AN3),3)</f>
        <v>7.3550000000000004</v>
      </c>
      <c r="AP3" s="64">
        <v>5.8500000000000003E-2</v>
      </c>
      <c r="AQ3" s="64">
        <v>5.5199999999999999E-2</v>
      </c>
      <c r="AR3" s="65">
        <f>ROUND(AVERAGE(AP3:AQ3),4)</f>
        <v>5.6899999999999999E-2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23.2</v>
      </c>
      <c r="F4" s="23">
        <v>7.3</v>
      </c>
      <c r="G4" s="41">
        <v>59</v>
      </c>
      <c r="H4" s="23">
        <v>8</v>
      </c>
      <c r="I4" s="23">
        <v>1.1000000000000001</v>
      </c>
      <c r="J4" s="23">
        <v>3.8</v>
      </c>
      <c r="K4" s="37">
        <v>2.6</v>
      </c>
      <c r="L4" s="37">
        <v>2.4</v>
      </c>
      <c r="M4" s="37"/>
      <c r="N4" s="38">
        <f t="shared" ref="N4:N39" si="0">ROUND(AVERAGE(K4:M4),1)</f>
        <v>2.5</v>
      </c>
      <c r="O4" s="37">
        <v>2.4</v>
      </c>
      <c r="P4" s="37">
        <v>2.2000000000000002</v>
      </c>
      <c r="Q4" s="38">
        <f t="shared" ref="Q4:Q40" si="1">ROUND(AVERAGE(O4:P4),1)</f>
        <v>2.2999999999999998</v>
      </c>
      <c r="R4" s="17">
        <v>0.95899999999999996</v>
      </c>
      <c r="S4" s="17">
        <v>0.97299999999999998</v>
      </c>
      <c r="T4" s="22">
        <f t="shared" ref="T4:T39" si="2">ROUND(AVERAGE(R4:S4),3)</f>
        <v>0.96599999999999997</v>
      </c>
      <c r="U4" s="34">
        <v>0.80400000000000005</v>
      </c>
      <c r="V4" s="34">
        <v>0.78600000000000003</v>
      </c>
      <c r="W4" s="22">
        <f t="shared" ref="W4:W40" si="3">ROUND(AVERAGE(U4:V4),3)</f>
        <v>0.79500000000000004</v>
      </c>
      <c r="X4" s="17">
        <v>2.3E-2</v>
      </c>
      <c r="Y4" s="17">
        <v>0.03</v>
      </c>
      <c r="Z4" s="21">
        <f t="shared" ref="Z4:Z39" si="4">ROUND(AVERAGE(X4:Y4),3)</f>
        <v>2.7E-2</v>
      </c>
      <c r="AA4" s="30">
        <v>0.64700000000000002</v>
      </c>
      <c r="AB4" s="30">
        <v>0.66900000000000004</v>
      </c>
      <c r="AC4" s="31">
        <f t="shared" ref="AC4:AC40" si="5">ROUND(AVERAGE(AA4:AB4),3)</f>
        <v>0.65800000000000003</v>
      </c>
      <c r="AD4" s="19">
        <v>3.1E-2</v>
      </c>
      <c r="AE4" s="19">
        <v>3.4000000000000002E-2</v>
      </c>
      <c r="AF4" s="21">
        <f t="shared" ref="AF4:AF39" si="6">ROUND(AVERAGE(AD4:AE4),3)</f>
        <v>3.3000000000000002E-2</v>
      </c>
      <c r="AG4" s="30">
        <v>1.4999999999999999E-2</v>
      </c>
      <c r="AH4" s="30">
        <v>1.2999999999999999E-2</v>
      </c>
      <c r="AI4" s="21">
        <f t="shared" ref="AI4:AI40" si="7">ROUND(AVERAGE(AG4:AH4),3)</f>
        <v>1.4E-2</v>
      </c>
      <c r="AJ4" s="30">
        <v>0</v>
      </c>
      <c r="AK4" s="30">
        <v>0</v>
      </c>
      <c r="AL4" s="21">
        <f t="shared" ref="AL4:AL40" si="8">ROUND(AVERAGE(AJ4:AK4),3)</f>
        <v>0</v>
      </c>
      <c r="AM4" s="30">
        <v>3.75</v>
      </c>
      <c r="AN4" s="30">
        <v>3.8079999999999998</v>
      </c>
      <c r="AO4" s="31">
        <f t="shared" ref="AO4:AO40" si="9">ROUND(AVERAGE(AM4:AN4),3)</f>
        <v>3.7789999999999999</v>
      </c>
      <c r="AP4" s="66">
        <v>6.9800000000000001E-2</v>
      </c>
      <c r="AQ4" s="66">
        <v>6.7599999999999993E-2</v>
      </c>
      <c r="AR4" s="65">
        <f t="shared" ref="AR4:AR40" si="10">ROUND(AVERAGE(AP4:AQ4),4)</f>
        <v>6.8699999999999997E-2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22.8</v>
      </c>
      <c r="F5" s="23">
        <v>7.2</v>
      </c>
      <c r="G5" s="41">
        <v>68</v>
      </c>
      <c r="H5" s="23">
        <v>8.4</v>
      </c>
      <c r="I5" s="23">
        <v>1.1000000000000001</v>
      </c>
      <c r="J5" s="23">
        <v>3.7</v>
      </c>
      <c r="K5" s="37">
        <v>2.2999999999999998</v>
      </c>
      <c r="L5" s="37">
        <v>2.2000000000000002</v>
      </c>
      <c r="M5" s="37"/>
      <c r="N5" s="38">
        <f t="shared" si="0"/>
        <v>2.2999999999999998</v>
      </c>
      <c r="O5" s="37">
        <v>2</v>
      </c>
      <c r="P5" s="37">
        <v>2</v>
      </c>
      <c r="Q5" s="38">
        <f t="shared" si="1"/>
        <v>2</v>
      </c>
      <c r="R5" s="17">
        <v>1.0149999999999999</v>
      </c>
      <c r="S5" s="17">
        <v>1.034</v>
      </c>
      <c r="T5" s="22">
        <f t="shared" si="2"/>
        <v>1.0249999999999999</v>
      </c>
      <c r="U5" s="34">
        <v>0.80600000000000005</v>
      </c>
      <c r="V5" s="34">
        <v>0.81599999999999995</v>
      </c>
      <c r="W5" s="22">
        <f t="shared" si="3"/>
        <v>0.81100000000000005</v>
      </c>
      <c r="X5" s="17">
        <v>0.02</v>
      </c>
      <c r="Y5" s="17">
        <v>1.9E-2</v>
      </c>
      <c r="Z5" s="21">
        <f t="shared" si="4"/>
        <v>0.02</v>
      </c>
      <c r="AA5" s="30">
        <v>0.68799999999999994</v>
      </c>
      <c r="AB5" s="30">
        <v>0.69299999999999995</v>
      </c>
      <c r="AC5" s="31">
        <f t="shared" si="5"/>
        <v>0.69099999999999995</v>
      </c>
      <c r="AD5" s="19">
        <v>2.9000000000000001E-2</v>
      </c>
      <c r="AE5" s="19">
        <v>3.1E-2</v>
      </c>
      <c r="AF5" s="21">
        <f t="shared" si="6"/>
        <v>0.03</v>
      </c>
      <c r="AG5" s="30">
        <v>1.4E-2</v>
      </c>
      <c r="AH5" s="30">
        <v>1.4E-2</v>
      </c>
      <c r="AI5" s="21">
        <f t="shared" si="7"/>
        <v>1.4E-2</v>
      </c>
      <c r="AJ5" s="30">
        <v>0</v>
      </c>
      <c r="AK5" s="30">
        <v>0</v>
      </c>
      <c r="AL5" s="21">
        <f t="shared" si="8"/>
        <v>0</v>
      </c>
      <c r="AM5" s="30">
        <v>4.5410000000000004</v>
      </c>
      <c r="AN5" s="30">
        <v>4.57</v>
      </c>
      <c r="AO5" s="31">
        <f t="shared" si="9"/>
        <v>4.556</v>
      </c>
      <c r="AP5" s="66">
        <v>6.7199999999999996E-2</v>
      </c>
      <c r="AQ5" s="66">
        <v>6.5299999999999997E-2</v>
      </c>
      <c r="AR5" s="65">
        <f t="shared" si="10"/>
        <v>6.6299999999999998E-2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23.2</v>
      </c>
      <c r="F6" s="23">
        <v>7.2</v>
      </c>
      <c r="G6" s="41">
        <v>57</v>
      </c>
      <c r="H6" s="23">
        <v>8.4</v>
      </c>
      <c r="I6" s="23">
        <v>0.8</v>
      </c>
      <c r="J6" s="23">
        <v>3.6</v>
      </c>
      <c r="K6" s="37">
        <v>2.2999999999999998</v>
      </c>
      <c r="L6" s="37">
        <v>2</v>
      </c>
      <c r="M6" s="37"/>
      <c r="N6" s="38">
        <f t="shared" si="0"/>
        <v>2.2000000000000002</v>
      </c>
      <c r="O6" s="37">
        <v>1.9</v>
      </c>
      <c r="P6" s="37">
        <v>1.9</v>
      </c>
      <c r="Q6" s="38">
        <f t="shared" si="1"/>
        <v>1.9</v>
      </c>
      <c r="R6" s="17">
        <v>0.88400000000000001</v>
      </c>
      <c r="S6" s="17">
        <v>0.90400000000000003</v>
      </c>
      <c r="T6" s="22">
        <f t="shared" si="2"/>
        <v>0.89400000000000002</v>
      </c>
      <c r="U6" s="34">
        <v>0.70699999999999996</v>
      </c>
      <c r="V6" s="34">
        <v>0.70899999999999996</v>
      </c>
      <c r="W6" s="22">
        <f t="shared" si="3"/>
        <v>0.70799999999999996</v>
      </c>
      <c r="X6" s="17">
        <v>2.4E-2</v>
      </c>
      <c r="Y6" s="17">
        <v>2.7E-2</v>
      </c>
      <c r="Z6" s="21">
        <f t="shared" si="4"/>
        <v>2.5999999999999999E-2</v>
      </c>
      <c r="AA6" s="30">
        <v>0.58599999999999997</v>
      </c>
      <c r="AB6" s="30">
        <v>0.60299999999999998</v>
      </c>
      <c r="AC6" s="31">
        <f t="shared" si="5"/>
        <v>0.59499999999999997</v>
      </c>
      <c r="AD6" s="19">
        <v>2.9000000000000001E-2</v>
      </c>
      <c r="AE6" s="19">
        <v>3.1E-2</v>
      </c>
      <c r="AF6" s="21">
        <f t="shared" si="6"/>
        <v>0.03</v>
      </c>
      <c r="AG6" s="30">
        <v>1.4999999999999999E-2</v>
      </c>
      <c r="AH6" s="30">
        <v>1.6E-2</v>
      </c>
      <c r="AI6" s="21">
        <f t="shared" si="7"/>
        <v>1.6E-2</v>
      </c>
      <c r="AJ6" s="30">
        <v>2E-3</v>
      </c>
      <c r="AK6" s="30">
        <v>2E-3</v>
      </c>
      <c r="AL6" s="21">
        <f t="shared" si="8"/>
        <v>2E-3</v>
      </c>
      <c r="AM6" s="30">
        <v>3.9049999999999998</v>
      </c>
      <c r="AN6" s="30">
        <v>3.984</v>
      </c>
      <c r="AO6" s="31">
        <f t="shared" si="9"/>
        <v>3.9449999999999998</v>
      </c>
      <c r="AP6" s="66">
        <v>7.5200000000000003E-2</v>
      </c>
      <c r="AQ6" s="66">
        <v>7.3499999999999996E-2</v>
      </c>
      <c r="AR6" s="65">
        <f t="shared" si="10"/>
        <v>7.4399999999999994E-2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22.9</v>
      </c>
      <c r="F7" s="23">
        <v>7.1</v>
      </c>
      <c r="G7" s="41">
        <v>68</v>
      </c>
      <c r="H7" s="23">
        <v>8.4</v>
      </c>
      <c r="I7" s="23">
        <v>1.2</v>
      </c>
      <c r="J7" s="23">
        <v>3.8</v>
      </c>
      <c r="K7" s="37">
        <v>2.6</v>
      </c>
      <c r="L7" s="37">
        <v>2.2999999999999998</v>
      </c>
      <c r="M7" s="37"/>
      <c r="N7" s="38">
        <f t="shared" si="0"/>
        <v>2.5</v>
      </c>
      <c r="O7" s="37">
        <v>1.9</v>
      </c>
      <c r="P7" s="37">
        <v>1.8</v>
      </c>
      <c r="Q7" s="38">
        <f t="shared" si="1"/>
        <v>1.9</v>
      </c>
      <c r="R7" s="17">
        <v>0.97499999999999998</v>
      </c>
      <c r="S7" s="17">
        <v>0.99399999999999999</v>
      </c>
      <c r="T7" s="22">
        <f t="shared" si="2"/>
        <v>0.98499999999999999</v>
      </c>
      <c r="U7" s="34">
        <v>0.81499999999999995</v>
      </c>
      <c r="V7" s="34">
        <v>0.82899999999999996</v>
      </c>
      <c r="W7" s="22">
        <f t="shared" si="3"/>
        <v>0.82199999999999995</v>
      </c>
      <c r="X7" s="17">
        <v>2.4E-2</v>
      </c>
      <c r="Y7" s="17">
        <v>2.5000000000000001E-2</v>
      </c>
      <c r="Z7" s="21">
        <f t="shared" si="4"/>
        <v>2.5000000000000001E-2</v>
      </c>
      <c r="AA7" s="30">
        <v>0.68799999999999994</v>
      </c>
      <c r="AB7" s="30">
        <v>0.71</v>
      </c>
      <c r="AC7" s="31">
        <f t="shared" si="5"/>
        <v>0.69899999999999995</v>
      </c>
      <c r="AD7" s="19">
        <v>0.03</v>
      </c>
      <c r="AE7" s="19">
        <v>3.1E-2</v>
      </c>
      <c r="AF7" s="21">
        <f t="shared" si="6"/>
        <v>3.1E-2</v>
      </c>
      <c r="AG7" s="30">
        <v>1.4999999999999999E-2</v>
      </c>
      <c r="AH7" s="30">
        <v>1.4999999999999999E-2</v>
      </c>
      <c r="AI7" s="21">
        <f t="shared" si="7"/>
        <v>1.4999999999999999E-2</v>
      </c>
      <c r="AJ7" s="30">
        <v>1E-3</v>
      </c>
      <c r="AK7" s="30">
        <v>1E-3</v>
      </c>
      <c r="AL7" s="21">
        <f t="shared" si="8"/>
        <v>1E-3</v>
      </c>
      <c r="AM7" s="30">
        <v>4.5620000000000003</v>
      </c>
      <c r="AN7" s="30">
        <v>4.6760000000000002</v>
      </c>
      <c r="AO7" s="31">
        <f t="shared" si="9"/>
        <v>4.6189999999999998</v>
      </c>
      <c r="AP7" s="66">
        <v>6.7400000000000002E-2</v>
      </c>
      <c r="AQ7" s="66">
        <v>6.6199999999999995E-2</v>
      </c>
      <c r="AR7" s="65">
        <f t="shared" si="10"/>
        <v>6.6799999999999998E-2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22.5</v>
      </c>
      <c r="F8" s="23">
        <v>7.2</v>
      </c>
      <c r="G8" s="41">
        <v>75</v>
      </c>
      <c r="H8" s="23">
        <v>8.5</v>
      </c>
      <c r="I8" s="23">
        <v>1.1000000000000001</v>
      </c>
      <c r="J8" s="23">
        <v>3.1</v>
      </c>
      <c r="K8" s="37">
        <v>2.2000000000000002</v>
      </c>
      <c r="L8" s="37">
        <v>2.1</v>
      </c>
      <c r="M8" s="37"/>
      <c r="N8" s="38">
        <f t="shared" si="0"/>
        <v>2.2000000000000002</v>
      </c>
      <c r="O8" s="37">
        <v>1.6</v>
      </c>
      <c r="P8" s="37">
        <v>1.5</v>
      </c>
      <c r="Q8" s="38">
        <f t="shared" si="1"/>
        <v>1.6</v>
      </c>
      <c r="R8" s="17">
        <v>1.0409999999999999</v>
      </c>
      <c r="S8" s="17">
        <v>1.0620000000000001</v>
      </c>
      <c r="T8" s="22">
        <f t="shared" si="2"/>
        <v>1.052</v>
      </c>
      <c r="U8" s="34">
        <v>0.90800000000000003</v>
      </c>
      <c r="V8" s="34">
        <v>0.91700000000000004</v>
      </c>
      <c r="W8" s="22">
        <f t="shared" si="3"/>
        <v>0.91300000000000003</v>
      </c>
      <c r="X8" s="17">
        <v>2.5999999999999999E-2</v>
      </c>
      <c r="Y8" s="17">
        <v>0.03</v>
      </c>
      <c r="Z8" s="21">
        <f t="shared" si="4"/>
        <v>2.8000000000000001E-2</v>
      </c>
      <c r="AA8" s="30">
        <v>0.78900000000000003</v>
      </c>
      <c r="AB8" s="30">
        <v>0.79900000000000004</v>
      </c>
      <c r="AC8" s="31">
        <f t="shared" si="5"/>
        <v>0.79400000000000004</v>
      </c>
      <c r="AD8" s="19">
        <v>4.2000000000000003E-2</v>
      </c>
      <c r="AE8" s="19">
        <v>4.3999999999999997E-2</v>
      </c>
      <c r="AF8" s="21">
        <f t="shared" si="6"/>
        <v>4.2999999999999997E-2</v>
      </c>
      <c r="AG8" s="30">
        <v>2.5000000000000001E-2</v>
      </c>
      <c r="AH8" s="30">
        <v>2.4E-2</v>
      </c>
      <c r="AI8" s="21">
        <f t="shared" si="7"/>
        <v>2.5000000000000001E-2</v>
      </c>
      <c r="AJ8" s="60">
        <v>8.9999999999999993E-3</v>
      </c>
      <c r="AK8" s="60">
        <v>0.01</v>
      </c>
      <c r="AL8" s="59">
        <f t="shared" si="8"/>
        <v>0.01</v>
      </c>
      <c r="AM8" s="30">
        <v>4.8559999999999999</v>
      </c>
      <c r="AN8" s="30">
        <v>4.9249999999999998</v>
      </c>
      <c r="AO8" s="31">
        <f t="shared" si="9"/>
        <v>4.891</v>
      </c>
      <c r="AP8" s="66">
        <v>6.3600000000000004E-2</v>
      </c>
      <c r="AQ8" s="66">
        <v>6.1499999999999999E-2</v>
      </c>
      <c r="AR8" s="65">
        <f t="shared" si="10"/>
        <v>6.2600000000000003E-2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22.9</v>
      </c>
      <c r="F9" s="23">
        <v>7.1</v>
      </c>
      <c r="G9" s="41">
        <v>71</v>
      </c>
      <c r="H9" s="23">
        <v>8.1</v>
      </c>
      <c r="I9" s="23">
        <v>1</v>
      </c>
      <c r="J9" s="23">
        <v>3.3</v>
      </c>
      <c r="K9" s="37">
        <v>2</v>
      </c>
      <c r="L9" s="37">
        <v>2.1</v>
      </c>
      <c r="M9" s="37"/>
      <c r="N9" s="38">
        <f t="shared" si="0"/>
        <v>2.1</v>
      </c>
      <c r="O9" s="37">
        <v>1.7</v>
      </c>
      <c r="P9" s="37">
        <v>1.7</v>
      </c>
      <c r="Q9" s="38">
        <f t="shared" si="1"/>
        <v>1.7</v>
      </c>
      <c r="R9" s="17">
        <v>0.98699999999999999</v>
      </c>
      <c r="S9" s="17">
        <v>1.0169999999999999</v>
      </c>
      <c r="T9" s="22">
        <f t="shared" si="2"/>
        <v>1.002</v>
      </c>
      <c r="U9" s="34">
        <v>0.86</v>
      </c>
      <c r="V9" s="34">
        <v>0.84799999999999998</v>
      </c>
      <c r="W9" s="22">
        <f t="shared" si="3"/>
        <v>0.85399999999999998</v>
      </c>
      <c r="X9" s="17">
        <v>2.4E-2</v>
      </c>
      <c r="Y9" s="17">
        <v>1.9E-2</v>
      </c>
      <c r="Z9" s="21">
        <f t="shared" si="4"/>
        <v>2.1999999999999999E-2</v>
      </c>
      <c r="AA9" s="30">
        <v>0.751</v>
      </c>
      <c r="AB9" s="30">
        <v>0.753</v>
      </c>
      <c r="AC9" s="31">
        <f t="shared" si="5"/>
        <v>0.752</v>
      </c>
      <c r="AD9" s="19">
        <v>3.1E-2</v>
      </c>
      <c r="AE9" s="19">
        <v>3.2000000000000001E-2</v>
      </c>
      <c r="AF9" s="21">
        <f t="shared" si="6"/>
        <v>3.2000000000000001E-2</v>
      </c>
      <c r="AG9" s="30">
        <v>1.7000000000000001E-2</v>
      </c>
      <c r="AH9" s="30">
        <v>1.7999999999999999E-2</v>
      </c>
      <c r="AI9" s="21">
        <f t="shared" si="7"/>
        <v>1.7999999999999999E-2</v>
      </c>
      <c r="AJ9" s="30">
        <v>4.0000000000000001E-3</v>
      </c>
      <c r="AK9" s="30">
        <v>4.0000000000000001E-3</v>
      </c>
      <c r="AL9" s="21">
        <f t="shared" si="8"/>
        <v>4.0000000000000001E-3</v>
      </c>
      <c r="AM9" s="30">
        <v>4.82</v>
      </c>
      <c r="AN9" s="30">
        <v>4.867</v>
      </c>
      <c r="AO9" s="31">
        <f t="shared" si="9"/>
        <v>4.8440000000000003</v>
      </c>
      <c r="AP9" s="66">
        <v>6.3799999999999996E-2</v>
      </c>
      <c r="AQ9" s="66">
        <v>6.1699999999999998E-2</v>
      </c>
      <c r="AR9" s="65">
        <f t="shared" si="10"/>
        <v>6.2799999999999995E-2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22.8</v>
      </c>
      <c r="F10" s="23">
        <v>6.6</v>
      </c>
      <c r="G10" s="41">
        <v>80</v>
      </c>
      <c r="H10" s="23">
        <v>8.3000000000000007</v>
      </c>
      <c r="I10" s="23">
        <v>1</v>
      </c>
      <c r="J10" s="23">
        <v>2.9</v>
      </c>
      <c r="K10" s="37">
        <v>1.9</v>
      </c>
      <c r="L10" s="37">
        <v>1.9</v>
      </c>
      <c r="M10" s="37"/>
      <c r="N10" s="38">
        <f t="shared" si="0"/>
        <v>1.9</v>
      </c>
      <c r="O10" s="37">
        <v>1.6</v>
      </c>
      <c r="P10" s="37">
        <v>1.5</v>
      </c>
      <c r="Q10" s="38">
        <f t="shared" si="1"/>
        <v>1.6</v>
      </c>
      <c r="R10" s="17">
        <v>1.4119999999999999</v>
      </c>
      <c r="S10" s="17">
        <v>1.375</v>
      </c>
      <c r="T10" s="22">
        <f t="shared" si="2"/>
        <v>1.3939999999999999</v>
      </c>
      <c r="U10" s="34">
        <v>1.246</v>
      </c>
      <c r="V10" s="34">
        <v>1.2609999999999999</v>
      </c>
      <c r="W10" s="22">
        <f t="shared" si="3"/>
        <v>1.254</v>
      </c>
      <c r="X10" s="17">
        <v>3.6999999999999998E-2</v>
      </c>
      <c r="Y10" s="17">
        <v>0.03</v>
      </c>
      <c r="Z10" s="21">
        <f t="shared" si="4"/>
        <v>3.4000000000000002E-2</v>
      </c>
      <c r="AA10" s="30">
        <v>1.1240000000000001</v>
      </c>
      <c r="AB10" s="30">
        <v>1.1339999999999999</v>
      </c>
      <c r="AC10" s="31">
        <f t="shared" si="5"/>
        <v>1.129</v>
      </c>
      <c r="AD10" s="19">
        <v>7.6999999999999999E-2</v>
      </c>
      <c r="AE10" s="19">
        <v>7.3999999999999996E-2</v>
      </c>
      <c r="AF10" s="21">
        <f t="shared" si="6"/>
        <v>7.5999999999999998E-2</v>
      </c>
      <c r="AG10" s="30">
        <v>5.6000000000000001E-2</v>
      </c>
      <c r="AH10" s="30">
        <v>5.7000000000000002E-2</v>
      </c>
      <c r="AI10" s="21">
        <f t="shared" si="7"/>
        <v>5.7000000000000002E-2</v>
      </c>
      <c r="AJ10" s="30">
        <v>4.7E-2</v>
      </c>
      <c r="AK10" s="30">
        <v>4.9000000000000002E-2</v>
      </c>
      <c r="AL10" s="21">
        <f t="shared" si="8"/>
        <v>4.8000000000000001E-2</v>
      </c>
      <c r="AM10" s="30">
        <v>5.1239999999999997</v>
      </c>
      <c r="AN10" s="30">
        <v>5.1479999999999997</v>
      </c>
      <c r="AO10" s="31">
        <f t="shared" si="9"/>
        <v>5.1360000000000001</v>
      </c>
      <c r="AP10" s="66">
        <v>4.7399999999999998E-2</v>
      </c>
      <c r="AQ10" s="66">
        <v>4.6199999999999998E-2</v>
      </c>
      <c r="AR10" s="65">
        <f t="shared" si="10"/>
        <v>4.6800000000000001E-2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23.2</v>
      </c>
      <c r="F11" s="23">
        <v>6.8</v>
      </c>
      <c r="G11" s="41">
        <v>77</v>
      </c>
      <c r="H11" s="23">
        <v>8.5</v>
      </c>
      <c r="I11" s="23">
        <v>0.9</v>
      </c>
      <c r="J11" s="23">
        <v>3.3</v>
      </c>
      <c r="K11" s="37">
        <v>2</v>
      </c>
      <c r="L11" s="37">
        <v>1.9</v>
      </c>
      <c r="M11" s="37"/>
      <c r="N11" s="38">
        <f t="shared" si="0"/>
        <v>2</v>
      </c>
      <c r="O11" s="37">
        <v>1.6</v>
      </c>
      <c r="P11" s="37">
        <v>1.6</v>
      </c>
      <c r="Q11" s="38">
        <f t="shared" si="1"/>
        <v>1.6</v>
      </c>
      <c r="R11" s="17">
        <v>1.1679999999999999</v>
      </c>
      <c r="S11" s="17">
        <v>1.1739999999999999</v>
      </c>
      <c r="T11" s="22">
        <f t="shared" si="2"/>
        <v>1.171</v>
      </c>
      <c r="U11" s="34">
        <v>1.0029999999999999</v>
      </c>
      <c r="V11" s="34">
        <v>1.0169999999999999</v>
      </c>
      <c r="W11" s="22">
        <f t="shared" si="3"/>
        <v>1.01</v>
      </c>
      <c r="X11" s="17">
        <v>2.5000000000000001E-2</v>
      </c>
      <c r="Y11" s="17">
        <v>2.5000000000000001E-2</v>
      </c>
      <c r="Z11" s="21">
        <f t="shared" si="4"/>
        <v>2.5000000000000001E-2</v>
      </c>
      <c r="AA11" s="30">
        <v>0.91</v>
      </c>
      <c r="AB11" s="30">
        <v>0.93100000000000005</v>
      </c>
      <c r="AC11" s="31">
        <f t="shared" si="5"/>
        <v>0.92100000000000004</v>
      </c>
      <c r="AD11" s="19">
        <v>4.8000000000000001E-2</v>
      </c>
      <c r="AE11" s="19">
        <v>4.7E-2</v>
      </c>
      <c r="AF11" s="21">
        <f t="shared" si="6"/>
        <v>4.8000000000000001E-2</v>
      </c>
      <c r="AG11" s="30">
        <v>3.5000000000000003E-2</v>
      </c>
      <c r="AH11" s="30">
        <v>3.4000000000000002E-2</v>
      </c>
      <c r="AI11" s="21">
        <f t="shared" si="7"/>
        <v>3.5000000000000003E-2</v>
      </c>
      <c r="AJ11" s="30">
        <v>0.02</v>
      </c>
      <c r="AK11" s="30">
        <v>0.02</v>
      </c>
      <c r="AL11" s="21">
        <f t="shared" si="8"/>
        <v>0.02</v>
      </c>
      <c r="AM11" s="30">
        <v>5.0629999999999997</v>
      </c>
      <c r="AN11" s="30">
        <v>5.157</v>
      </c>
      <c r="AO11" s="31">
        <f t="shared" si="9"/>
        <v>5.1100000000000003</v>
      </c>
      <c r="AP11" s="66">
        <v>5.7599999999999998E-2</v>
      </c>
      <c r="AQ11" s="66">
        <v>5.6000000000000001E-2</v>
      </c>
      <c r="AR11" s="65">
        <f t="shared" si="10"/>
        <v>5.6800000000000003E-2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22.4</v>
      </c>
      <c r="F12" s="23">
        <v>6.7</v>
      </c>
      <c r="G12" s="41">
        <v>61</v>
      </c>
      <c r="H12" s="23">
        <v>8.5</v>
      </c>
      <c r="I12" s="23">
        <v>1.3</v>
      </c>
      <c r="J12" s="23">
        <v>3.9</v>
      </c>
      <c r="K12" s="37">
        <v>2.5</v>
      </c>
      <c r="L12" s="37">
        <v>2.5</v>
      </c>
      <c r="M12" s="37"/>
      <c r="N12" s="38">
        <f t="shared" si="0"/>
        <v>2.5</v>
      </c>
      <c r="O12" s="37">
        <v>2.2999999999999998</v>
      </c>
      <c r="P12" s="37">
        <v>2.2000000000000002</v>
      </c>
      <c r="Q12" s="38">
        <f t="shared" si="1"/>
        <v>2.2999999999999998</v>
      </c>
      <c r="R12" s="17">
        <v>0.77300000000000002</v>
      </c>
      <c r="S12" s="17">
        <v>0.80200000000000005</v>
      </c>
      <c r="T12" s="22">
        <f t="shared" si="2"/>
        <v>0.78800000000000003</v>
      </c>
      <c r="U12" s="34">
        <v>0.625</v>
      </c>
      <c r="V12" s="34">
        <v>0.63500000000000001</v>
      </c>
      <c r="W12" s="22">
        <f t="shared" si="3"/>
        <v>0.63</v>
      </c>
      <c r="X12" s="17">
        <v>3.7999999999999999E-2</v>
      </c>
      <c r="Y12" s="17">
        <v>4.2000000000000003E-2</v>
      </c>
      <c r="Z12" s="21">
        <f t="shared" si="4"/>
        <v>0.04</v>
      </c>
      <c r="AA12" s="30">
        <v>0.47899999999999998</v>
      </c>
      <c r="AB12" s="30">
        <v>0.49199999999999999</v>
      </c>
      <c r="AC12" s="31">
        <f t="shared" si="5"/>
        <v>0.48599999999999999</v>
      </c>
      <c r="AD12" s="19">
        <v>4.7E-2</v>
      </c>
      <c r="AE12" s="19">
        <v>4.7E-2</v>
      </c>
      <c r="AF12" s="21">
        <f t="shared" si="6"/>
        <v>4.7E-2</v>
      </c>
      <c r="AG12" s="30">
        <v>3.2000000000000001E-2</v>
      </c>
      <c r="AH12" s="30">
        <v>3.2000000000000001E-2</v>
      </c>
      <c r="AI12" s="21">
        <f t="shared" si="7"/>
        <v>3.2000000000000001E-2</v>
      </c>
      <c r="AJ12" s="30">
        <v>1.7999999999999999E-2</v>
      </c>
      <c r="AK12" s="30">
        <v>1.7999999999999999E-2</v>
      </c>
      <c r="AL12" s="21">
        <f t="shared" si="8"/>
        <v>1.7999999999999999E-2</v>
      </c>
      <c r="AM12" s="30">
        <v>5.117</v>
      </c>
      <c r="AN12" s="30">
        <v>5.23</v>
      </c>
      <c r="AO12" s="31">
        <f t="shared" si="9"/>
        <v>5.1740000000000004</v>
      </c>
      <c r="AP12" s="66">
        <v>7.6100000000000001E-2</v>
      </c>
      <c r="AQ12" s="66">
        <v>7.4800000000000005E-2</v>
      </c>
      <c r="AR12" s="65">
        <f t="shared" si="10"/>
        <v>7.5499999999999998E-2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24.4</v>
      </c>
      <c r="F13" s="23">
        <v>6.7</v>
      </c>
      <c r="G13" s="41">
        <v>83</v>
      </c>
      <c r="H13" s="23">
        <v>8</v>
      </c>
      <c r="I13" s="23">
        <v>1</v>
      </c>
      <c r="J13" s="23">
        <v>3.5</v>
      </c>
      <c r="K13" s="37">
        <v>2.1</v>
      </c>
      <c r="L13" s="37">
        <v>2.2999999999999998</v>
      </c>
      <c r="M13" s="37"/>
      <c r="N13" s="38">
        <f t="shared" si="0"/>
        <v>2.2000000000000002</v>
      </c>
      <c r="O13" s="37">
        <v>1.9</v>
      </c>
      <c r="P13" s="37">
        <v>1.7</v>
      </c>
      <c r="Q13" s="38">
        <f t="shared" si="1"/>
        <v>1.8</v>
      </c>
      <c r="R13" s="17">
        <v>1.3220000000000001</v>
      </c>
      <c r="S13" s="17">
        <v>1.3440000000000001</v>
      </c>
      <c r="T13" s="22">
        <f t="shared" si="2"/>
        <v>1.333</v>
      </c>
      <c r="U13" s="34">
        <v>1.153</v>
      </c>
      <c r="V13" s="34">
        <v>1.171</v>
      </c>
      <c r="W13" s="22">
        <f t="shared" si="3"/>
        <v>1.1619999999999999</v>
      </c>
      <c r="X13" s="17">
        <v>5.5E-2</v>
      </c>
      <c r="Y13" s="17">
        <v>5.0999999999999997E-2</v>
      </c>
      <c r="Z13" s="21">
        <f t="shared" si="4"/>
        <v>5.2999999999999999E-2</v>
      </c>
      <c r="AA13" s="30">
        <v>1.016</v>
      </c>
      <c r="AB13" s="30">
        <v>1.028</v>
      </c>
      <c r="AC13" s="31">
        <f t="shared" si="5"/>
        <v>1.022</v>
      </c>
      <c r="AD13" s="19">
        <v>9.7000000000000003E-2</v>
      </c>
      <c r="AE13" s="19">
        <v>9.8000000000000004E-2</v>
      </c>
      <c r="AF13" s="21">
        <f t="shared" si="6"/>
        <v>9.8000000000000004E-2</v>
      </c>
      <c r="AG13" s="30">
        <v>6.6000000000000003E-2</v>
      </c>
      <c r="AH13" s="30">
        <v>7.3999999999999996E-2</v>
      </c>
      <c r="AI13" s="21">
        <f t="shared" si="7"/>
        <v>7.0000000000000007E-2</v>
      </c>
      <c r="AJ13" s="30">
        <v>5.7000000000000002E-2</v>
      </c>
      <c r="AK13" s="30">
        <v>6.0999999999999999E-2</v>
      </c>
      <c r="AL13" s="21">
        <f t="shared" si="8"/>
        <v>5.8999999999999997E-2</v>
      </c>
      <c r="AM13" s="30">
        <v>5.4269999999999996</v>
      </c>
      <c r="AN13" s="30">
        <v>5.4870000000000001</v>
      </c>
      <c r="AO13" s="31">
        <f t="shared" si="9"/>
        <v>5.4569999999999999</v>
      </c>
      <c r="AP13" s="66">
        <v>6.5100000000000005E-2</v>
      </c>
      <c r="AQ13" s="66">
        <v>6.3899999999999998E-2</v>
      </c>
      <c r="AR13" s="65">
        <f t="shared" si="10"/>
        <v>6.4500000000000002E-2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19.600000000000001</v>
      </c>
      <c r="F14" s="23">
        <v>6.7</v>
      </c>
      <c r="G14" s="41">
        <v>80</v>
      </c>
      <c r="H14" s="23">
        <v>8.9</v>
      </c>
      <c r="I14" s="23">
        <v>0.8</v>
      </c>
      <c r="J14" s="23">
        <v>3.2</v>
      </c>
      <c r="K14" s="37">
        <v>2.1</v>
      </c>
      <c r="L14" s="37">
        <v>2.1</v>
      </c>
      <c r="M14" s="37"/>
      <c r="N14" s="38">
        <f t="shared" si="0"/>
        <v>2.1</v>
      </c>
      <c r="O14" s="37">
        <v>1.7</v>
      </c>
      <c r="P14" s="37">
        <v>1.7</v>
      </c>
      <c r="Q14" s="38">
        <f t="shared" si="1"/>
        <v>1.7</v>
      </c>
      <c r="R14" s="17">
        <v>1.5489999999999999</v>
      </c>
      <c r="S14" s="17">
        <v>1.552</v>
      </c>
      <c r="T14" s="22">
        <f t="shared" si="2"/>
        <v>1.5509999999999999</v>
      </c>
      <c r="U14" s="34">
        <v>1.319</v>
      </c>
      <c r="V14" s="34">
        <v>1.331</v>
      </c>
      <c r="W14" s="22">
        <f t="shared" si="3"/>
        <v>1.325</v>
      </c>
      <c r="X14" s="17">
        <v>0.03</v>
      </c>
      <c r="Y14" s="17">
        <v>3.4000000000000002E-2</v>
      </c>
      <c r="Z14" s="21">
        <f t="shared" si="4"/>
        <v>3.2000000000000001E-2</v>
      </c>
      <c r="AA14" s="30">
        <v>1.214</v>
      </c>
      <c r="AB14" s="30">
        <v>1.2290000000000001</v>
      </c>
      <c r="AC14" s="31">
        <f t="shared" si="5"/>
        <v>1.222</v>
      </c>
      <c r="AD14" s="19">
        <v>2.3E-2</v>
      </c>
      <c r="AE14" s="19">
        <v>2.3E-2</v>
      </c>
      <c r="AF14" s="21">
        <f t="shared" si="6"/>
        <v>2.3E-2</v>
      </c>
      <c r="AG14" s="30">
        <v>1.0999999999999999E-2</v>
      </c>
      <c r="AH14" s="30">
        <v>8.9999999999999993E-3</v>
      </c>
      <c r="AI14" s="21">
        <f t="shared" si="7"/>
        <v>0.01</v>
      </c>
      <c r="AJ14" s="60">
        <v>2E-3</v>
      </c>
      <c r="AK14" s="60">
        <v>1E-3</v>
      </c>
      <c r="AL14" s="59">
        <f t="shared" si="8"/>
        <v>2E-3</v>
      </c>
      <c r="AM14" s="30">
        <v>4.7809999999999997</v>
      </c>
      <c r="AN14" s="30">
        <v>4.8230000000000004</v>
      </c>
      <c r="AO14" s="31">
        <f t="shared" si="9"/>
        <v>4.8019999999999996</v>
      </c>
      <c r="AP14" s="66">
        <v>4.8099999999999997E-2</v>
      </c>
      <c r="AQ14" s="66">
        <v>4.7100000000000003E-2</v>
      </c>
      <c r="AR14" s="65">
        <f t="shared" si="10"/>
        <v>4.7600000000000003E-2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23</v>
      </c>
      <c r="F15" s="23">
        <v>6.7</v>
      </c>
      <c r="G15" s="41">
        <v>83</v>
      </c>
      <c r="H15" s="23">
        <v>8.4</v>
      </c>
      <c r="I15" s="23">
        <v>1.4</v>
      </c>
      <c r="J15" s="23">
        <v>3.7</v>
      </c>
      <c r="K15" s="37">
        <v>2.1</v>
      </c>
      <c r="L15" s="37">
        <v>2.2000000000000002</v>
      </c>
      <c r="M15" s="37"/>
      <c r="N15" s="38">
        <f t="shared" si="0"/>
        <v>2.2000000000000002</v>
      </c>
      <c r="O15" s="37">
        <v>1.8</v>
      </c>
      <c r="P15" s="37">
        <v>1.8</v>
      </c>
      <c r="Q15" s="38">
        <f t="shared" si="1"/>
        <v>1.8</v>
      </c>
      <c r="R15" s="17">
        <v>1.4330000000000001</v>
      </c>
      <c r="S15" s="17">
        <v>1.431</v>
      </c>
      <c r="T15" s="22">
        <f t="shared" si="2"/>
        <v>1.4319999999999999</v>
      </c>
      <c r="U15" s="34">
        <v>1.236</v>
      </c>
      <c r="V15" s="34">
        <v>1.242</v>
      </c>
      <c r="W15" s="22">
        <f t="shared" si="3"/>
        <v>1.2390000000000001</v>
      </c>
      <c r="X15" s="17">
        <v>0.04</v>
      </c>
      <c r="Y15" s="17">
        <v>2.5000000000000001E-2</v>
      </c>
      <c r="Z15" s="21">
        <f t="shared" si="4"/>
        <v>3.3000000000000002E-2</v>
      </c>
      <c r="AA15" s="30">
        <v>1.091</v>
      </c>
      <c r="AB15" s="30">
        <v>1.1120000000000001</v>
      </c>
      <c r="AC15" s="31">
        <f t="shared" si="5"/>
        <v>1.1020000000000001</v>
      </c>
      <c r="AD15" s="19">
        <v>5.0999999999999997E-2</v>
      </c>
      <c r="AE15" s="19">
        <v>5.0999999999999997E-2</v>
      </c>
      <c r="AF15" s="21">
        <f t="shared" si="6"/>
        <v>5.0999999999999997E-2</v>
      </c>
      <c r="AG15" s="30">
        <v>0.03</v>
      </c>
      <c r="AH15" s="30">
        <v>3.3000000000000002E-2</v>
      </c>
      <c r="AI15" s="21">
        <f t="shared" si="7"/>
        <v>3.2000000000000001E-2</v>
      </c>
      <c r="AJ15" s="30">
        <v>1.6E-2</v>
      </c>
      <c r="AK15" s="30">
        <v>1.7999999999999999E-2</v>
      </c>
      <c r="AL15" s="21">
        <f t="shared" si="8"/>
        <v>1.7000000000000001E-2</v>
      </c>
      <c r="AM15" s="30">
        <v>5.2069999999999999</v>
      </c>
      <c r="AN15" s="30">
        <v>5.2969999999999997</v>
      </c>
      <c r="AO15" s="31">
        <f t="shared" si="9"/>
        <v>5.2519999999999998</v>
      </c>
      <c r="AP15" s="66">
        <v>6.1699999999999998E-2</v>
      </c>
      <c r="AQ15" s="66">
        <v>6.0400000000000002E-2</v>
      </c>
      <c r="AR15" s="65">
        <f t="shared" si="10"/>
        <v>6.1100000000000002E-2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24.6</v>
      </c>
      <c r="F16" s="23">
        <v>6.8</v>
      </c>
      <c r="G16" s="41">
        <v>110</v>
      </c>
      <c r="H16" s="23">
        <v>8.6</v>
      </c>
      <c r="I16" s="23">
        <v>1.5</v>
      </c>
      <c r="J16" s="23">
        <v>4</v>
      </c>
      <c r="K16" s="37">
        <v>2.7</v>
      </c>
      <c r="L16" s="37">
        <v>2.7</v>
      </c>
      <c r="M16" s="37"/>
      <c r="N16" s="38">
        <f t="shared" si="0"/>
        <v>2.7</v>
      </c>
      <c r="O16" s="37">
        <v>2.2000000000000002</v>
      </c>
      <c r="P16" s="37">
        <v>2.1</v>
      </c>
      <c r="Q16" s="38">
        <f t="shared" si="1"/>
        <v>2.2000000000000002</v>
      </c>
      <c r="R16" s="17">
        <v>1.5109999999999999</v>
      </c>
      <c r="S16" s="17">
        <v>1.528</v>
      </c>
      <c r="T16" s="22">
        <f t="shared" si="2"/>
        <v>1.52</v>
      </c>
      <c r="U16" s="34">
        <v>1.2889999999999999</v>
      </c>
      <c r="V16" s="34">
        <v>1.3009999999999999</v>
      </c>
      <c r="W16" s="22">
        <f t="shared" si="3"/>
        <v>1.2949999999999999</v>
      </c>
      <c r="X16" s="17">
        <v>3.2000000000000001E-2</v>
      </c>
      <c r="Y16" s="17">
        <v>0.03</v>
      </c>
      <c r="Z16" s="21">
        <f t="shared" si="4"/>
        <v>3.1E-2</v>
      </c>
      <c r="AA16" s="30">
        <v>1.1399999999999999</v>
      </c>
      <c r="AB16" s="30">
        <v>1.1439999999999999</v>
      </c>
      <c r="AC16" s="31">
        <f t="shared" si="5"/>
        <v>1.1419999999999999</v>
      </c>
      <c r="AD16" s="19">
        <v>6.8000000000000005E-2</v>
      </c>
      <c r="AE16" s="19">
        <v>6.7000000000000004E-2</v>
      </c>
      <c r="AF16" s="21">
        <f t="shared" si="6"/>
        <v>6.8000000000000005E-2</v>
      </c>
      <c r="AG16" s="30">
        <v>0.05</v>
      </c>
      <c r="AH16" s="30">
        <v>0.05</v>
      </c>
      <c r="AI16" s="21">
        <f t="shared" si="7"/>
        <v>0.05</v>
      </c>
      <c r="AJ16" s="30">
        <v>3.5999999999999997E-2</v>
      </c>
      <c r="AK16" s="30">
        <v>3.6999999999999998E-2</v>
      </c>
      <c r="AL16" s="21">
        <f t="shared" si="8"/>
        <v>3.6999999999999998E-2</v>
      </c>
      <c r="AM16" s="30">
        <v>6.6459999999999999</v>
      </c>
      <c r="AN16" s="30">
        <v>6.6050000000000004</v>
      </c>
      <c r="AO16" s="31">
        <f t="shared" si="9"/>
        <v>6.6260000000000003</v>
      </c>
      <c r="AP16" s="66">
        <v>8.3000000000000004E-2</v>
      </c>
      <c r="AQ16" s="66">
        <v>8.1799999999999998E-2</v>
      </c>
      <c r="AR16" s="65">
        <f t="shared" si="10"/>
        <v>8.2400000000000001E-2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23.4</v>
      </c>
      <c r="F17" s="23">
        <v>7.2</v>
      </c>
      <c r="G17" s="41">
        <v>88</v>
      </c>
      <c r="H17" s="23">
        <v>8.5</v>
      </c>
      <c r="I17" s="23">
        <v>1.4</v>
      </c>
      <c r="J17" s="23">
        <v>3.5</v>
      </c>
      <c r="K17" s="37">
        <v>2.2999999999999998</v>
      </c>
      <c r="L17" s="37">
        <v>2.2999999999999998</v>
      </c>
      <c r="M17" s="37"/>
      <c r="N17" s="38">
        <f t="shared" si="0"/>
        <v>2.2999999999999998</v>
      </c>
      <c r="O17" s="37">
        <v>1.9</v>
      </c>
      <c r="P17" s="37">
        <v>1.9</v>
      </c>
      <c r="Q17" s="38">
        <f t="shared" si="1"/>
        <v>1.9</v>
      </c>
      <c r="R17" s="17">
        <v>1.429</v>
      </c>
      <c r="S17" s="17">
        <v>1.4470000000000001</v>
      </c>
      <c r="T17" s="22">
        <f t="shared" si="2"/>
        <v>1.4379999999999999</v>
      </c>
      <c r="U17" s="34">
        <v>1.2549999999999999</v>
      </c>
      <c r="V17" s="34">
        <v>1.25</v>
      </c>
      <c r="W17" s="22">
        <f t="shared" si="3"/>
        <v>1.2529999999999999</v>
      </c>
      <c r="X17" s="17">
        <v>2.3E-2</v>
      </c>
      <c r="Y17" s="17">
        <v>2.1999999999999999E-2</v>
      </c>
      <c r="Z17" s="21">
        <f t="shared" si="4"/>
        <v>2.3E-2</v>
      </c>
      <c r="AA17" s="30">
        <v>1.107</v>
      </c>
      <c r="AB17" s="30">
        <v>1.1180000000000001</v>
      </c>
      <c r="AC17" s="31">
        <f t="shared" si="5"/>
        <v>1.113</v>
      </c>
      <c r="AD17" s="19">
        <v>6.5000000000000002E-2</v>
      </c>
      <c r="AE17" s="19">
        <v>6.0999999999999999E-2</v>
      </c>
      <c r="AF17" s="21">
        <f t="shared" si="6"/>
        <v>6.3E-2</v>
      </c>
      <c r="AG17" s="30">
        <v>4.2000000000000003E-2</v>
      </c>
      <c r="AH17" s="30">
        <v>4.2000000000000003E-2</v>
      </c>
      <c r="AI17" s="21">
        <f t="shared" si="7"/>
        <v>4.2000000000000003E-2</v>
      </c>
      <c r="AJ17" s="30">
        <v>2.8000000000000001E-2</v>
      </c>
      <c r="AK17" s="30">
        <v>2.8000000000000001E-2</v>
      </c>
      <c r="AL17" s="21">
        <f t="shared" si="8"/>
        <v>2.8000000000000001E-2</v>
      </c>
      <c r="AM17" s="30">
        <v>5.3250000000000002</v>
      </c>
      <c r="AN17" s="30">
        <v>5.3819999999999997</v>
      </c>
      <c r="AO17" s="31">
        <f t="shared" si="9"/>
        <v>5.3540000000000001</v>
      </c>
      <c r="AP17" s="66">
        <v>6.8000000000000005E-2</v>
      </c>
      <c r="AQ17" s="66">
        <v>6.7400000000000002E-2</v>
      </c>
      <c r="AR17" s="65">
        <f t="shared" si="10"/>
        <v>6.7699999999999996E-2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25.4</v>
      </c>
      <c r="F18" s="23">
        <v>7</v>
      </c>
      <c r="G18" s="41">
        <v>141</v>
      </c>
      <c r="H18" s="23">
        <v>7.6</v>
      </c>
      <c r="I18" s="23">
        <v>1.4</v>
      </c>
      <c r="J18" s="23">
        <v>6.6</v>
      </c>
      <c r="K18" s="37">
        <v>4.5</v>
      </c>
      <c r="L18" s="37">
        <v>4.5999999999999996</v>
      </c>
      <c r="M18" s="37"/>
      <c r="N18" s="38">
        <f t="shared" si="0"/>
        <v>4.5999999999999996</v>
      </c>
      <c r="O18" s="37">
        <v>3.9</v>
      </c>
      <c r="P18" s="37">
        <v>3.9</v>
      </c>
      <c r="Q18" s="38">
        <f t="shared" si="1"/>
        <v>3.9</v>
      </c>
      <c r="R18" s="17">
        <v>2.1840000000000002</v>
      </c>
      <c r="S18" s="17">
        <v>2.1739999999999999</v>
      </c>
      <c r="T18" s="22">
        <f t="shared" si="2"/>
        <v>2.1789999999999998</v>
      </c>
      <c r="U18" s="34">
        <v>1.901</v>
      </c>
      <c r="V18" s="34">
        <v>1.927</v>
      </c>
      <c r="W18" s="22">
        <f t="shared" si="3"/>
        <v>1.9139999999999999</v>
      </c>
      <c r="X18" s="17">
        <v>2.7E-2</v>
      </c>
      <c r="Y18" s="17">
        <v>2.4E-2</v>
      </c>
      <c r="Z18" s="21">
        <f t="shared" si="4"/>
        <v>2.5999999999999999E-2</v>
      </c>
      <c r="AA18" s="30">
        <v>1.6160000000000001</v>
      </c>
      <c r="AB18" s="30">
        <v>1.64</v>
      </c>
      <c r="AC18" s="31">
        <f t="shared" si="5"/>
        <v>1.6279999999999999</v>
      </c>
      <c r="AD18" s="19">
        <v>7.8E-2</v>
      </c>
      <c r="AE18" s="19">
        <v>7.4999999999999997E-2</v>
      </c>
      <c r="AF18" s="21">
        <f t="shared" si="6"/>
        <v>7.6999999999999999E-2</v>
      </c>
      <c r="AG18" s="30">
        <v>5.2999999999999999E-2</v>
      </c>
      <c r="AH18" s="30">
        <v>5.5E-2</v>
      </c>
      <c r="AI18" s="21">
        <f t="shared" si="7"/>
        <v>5.3999999999999999E-2</v>
      </c>
      <c r="AJ18" s="30">
        <v>3.6999999999999998E-2</v>
      </c>
      <c r="AK18" s="30">
        <v>3.7999999999999999E-2</v>
      </c>
      <c r="AL18" s="21">
        <f t="shared" si="8"/>
        <v>3.7999999999999999E-2</v>
      </c>
      <c r="AM18" s="30">
        <v>8.1210000000000004</v>
      </c>
      <c r="AN18" s="30">
        <v>8.1359999999999992</v>
      </c>
      <c r="AO18" s="31">
        <f t="shared" si="9"/>
        <v>8.1289999999999996</v>
      </c>
      <c r="AP18" s="66">
        <v>0.1462</v>
      </c>
      <c r="AQ18" s="66">
        <v>0.14319999999999999</v>
      </c>
      <c r="AR18" s="65">
        <f t="shared" si="10"/>
        <v>0.1447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24</v>
      </c>
      <c r="F19" s="23">
        <v>7.1</v>
      </c>
      <c r="G19" s="41">
        <v>90</v>
      </c>
      <c r="H19" s="23">
        <v>8.6</v>
      </c>
      <c r="I19" s="23">
        <v>1.5</v>
      </c>
      <c r="J19" s="23">
        <v>3.9</v>
      </c>
      <c r="K19" s="37">
        <v>2.4</v>
      </c>
      <c r="L19" s="37">
        <v>2.5</v>
      </c>
      <c r="M19" s="37"/>
      <c r="N19" s="38">
        <f t="shared" si="0"/>
        <v>2.5</v>
      </c>
      <c r="O19" s="37">
        <v>2.1</v>
      </c>
      <c r="P19" s="37">
        <v>1.9</v>
      </c>
      <c r="Q19" s="38">
        <f t="shared" si="1"/>
        <v>2</v>
      </c>
      <c r="R19" s="17">
        <v>1.546</v>
      </c>
      <c r="S19" s="17">
        <v>1.5589999999999999</v>
      </c>
      <c r="T19" s="22">
        <f t="shared" si="2"/>
        <v>1.5529999999999999</v>
      </c>
      <c r="U19" s="34">
        <v>1.325</v>
      </c>
      <c r="V19" s="34">
        <v>1.31</v>
      </c>
      <c r="W19" s="22">
        <f t="shared" si="3"/>
        <v>1.3180000000000001</v>
      </c>
      <c r="X19" s="17">
        <v>2.8000000000000001E-2</v>
      </c>
      <c r="Y19" s="17">
        <v>2.5000000000000001E-2</v>
      </c>
      <c r="Z19" s="21">
        <f t="shared" si="4"/>
        <v>2.7E-2</v>
      </c>
      <c r="AA19" s="30">
        <v>1.1539999999999999</v>
      </c>
      <c r="AB19" s="30">
        <v>1.165</v>
      </c>
      <c r="AC19" s="31">
        <f t="shared" si="5"/>
        <v>1.1599999999999999</v>
      </c>
      <c r="AD19" s="19">
        <v>7.0000000000000007E-2</v>
      </c>
      <c r="AE19" s="19">
        <v>6.8000000000000005E-2</v>
      </c>
      <c r="AF19" s="21">
        <f t="shared" si="6"/>
        <v>6.9000000000000006E-2</v>
      </c>
      <c r="AG19" s="30">
        <v>4.9000000000000002E-2</v>
      </c>
      <c r="AH19" s="30">
        <v>4.9000000000000002E-2</v>
      </c>
      <c r="AI19" s="21">
        <f t="shared" si="7"/>
        <v>4.9000000000000002E-2</v>
      </c>
      <c r="AJ19" s="30">
        <v>3.5999999999999997E-2</v>
      </c>
      <c r="AK19" s="30">
        <v>3.5999999999999997E-2</v>
      </c>
      <c r="AL19" s="21">
        <f t="shared" si="8"/>
        <v>3.5999999999999997E-2</v>
      </c>
      <c r="AM19" s="30">
        <v>5.6379999999999999</v>
      </c>
      <c r="AN19" s="30">
        <v>5.6260000000000003</v>
      </c>
      <c r="AO19" s="31">
        <f t="shared" si="9"/>
        <v>5.6319999999999997</v>
      </c>
      <c r="AP19" s="66">
        <v>7.7100000000000002E-2</v>
      </c>
      <c r="AQ19" s="66">
        <v>7.6200000000000004E-2</v>
      </c>
      <c r="AR19" s="65">
        <f t="shared" si="10"/>
        <v>7.6700000000000004E-2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25.4</v>
      </c>
      <c r="F20" s="23">
        <v>6.9</v>
      </c>
      <c r="G20" s="41">
        <v>158</v>
      </c>
      <c r="H20" s="23">
        <v>6.8</v>
      </c>
      <c r="I20" s="23">
        <v>1.5</v>
      </c>
      <c r="J20" s="23">
        <v>5.0999999999999996</v>
      </c>
      <c r="K20" s="37">
        <v>3.3</v>
      </c>
      <c r="L20" s="37">
        <v>3.3</v>
      </c>
      <c r="M20" s="37"/>
      <c r="N20" s="38">
        <f t="shared" si="0"/>
        <v>3.3</v>
      </c>
      <c r="O20" s="37">
        <v>2.8</v>
      </c>
      <c r="P20" s="37">
        <v>2.7</v>
      </c>
      <c r="Q20" s="38">
        <f t="shared" si="1"/>
        <v>2.8</v>
      </c>
      <c r="R20" s="17">
        <v>1.319</v>
      </c>
      <c r="S20" s="17">
        <v>1.321</v>
      </c>
      <c r="T20" s="22">
        <f t="shared" si="2"/>
        <v>1.32</v>
      </c>
      <c r="U20" s="34">
        <v>1.044</v>
      </c>
      <c r="V20" s="34">
        <v>1.038</v>
      </c>
      <c r="W20" s="22">
        <f t="shared" si="3"/>
        <v>1.0409999999999999</v>
      </c>
      <c r="X20" s="17">
        <v>2.5999999999999999E-2</v>
      </c>
      <c r="Y20" s="17">
        <v>5.6000000000000001E-2</v>
      </c>
      <c r="Z20" s="21">
        <f t="shared" si="4"/>
        <v>4.1000000000000002E-2</v>
      </c>
      <c r="AA20" s="30">
        <v>0.88100000000000001</v>
      </c>
      <c r="AB20" s="30">
        <v>0.88700000000000001</v>
      </c>
      <c r="AC20" s="31">
        <f t="shared" si="5"/>
        <v>0.88400000000000001</v>
      </c>
      <c r="AD20" s="19">
        <v>2.3E-2</v>
      </c>
      <c r="AE20" s="19">
        <v>2.7E-2</v>
      </c>
      <c r="AF20" s="21">
        <f t="shared" si="6"/>
        <v>2.5000000000000001E-2</v>
      </c>
      <c r="AG20" s="30">
        <v>1.6E-2</v>
      </c>
      <c r="AH20" s="30">
        <v>1.2999999999999999E-2</v>
      </c>
      <c r="AI20" s="21">
        <f t="shared" si="7"/>
        <v>1.4999999999999999E-2</v>
      </c>
      <c r="AJ20" s="30">
        <v>3.0000000000000001E-3</v>
      </c>
      <c r="AK20" s="30">
        <v>2E-3</v>
      </c>
      <c r="AL20" s="21">
        <f t="shared" si="8"/>
        <v>3.0000000000000001E-3</v>
      </c>
      <c r="AM20" s="30">
        <v>5.7249999999999996</v>
      </c>
      <c r="AN20" s="30">
        <v>5.7439999999999998</v>
      </c>
      <c r="AO20" s="31">
        <f t="shared" si="9"/>
        <v>5.7350000000000003</v>
      </c>
      <c r="AP20" s="66">
        <v>9.2499999999999999E-2</v>
      </c>
      <c r="AQ20" s="66">
        <v>9.0800000000000006E-2</v>
      </c>
      <c r="AR20" s="65">
        <f t="shared" si="10"/>
        <v>9.1700000000000004E-2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24.8</v>
      </c>
      <c r="F21" s="23">
        <v>7</v>
      </c>
      <c r="G21" s="41">
        <v>101</v>
      </c>
      <c r="H21" s="23">
        <v>8.3000000000000007</v>
      </c>
      <c r="I21" s="23">
        <v>1.4</v>
      </c>
      <c r="J21" s="23">
        <v>4.3</v>
      </c>
      <c r="K21" s="37">
        <v>2.7</v>
      </c>
      <c r="L21" s="37">
        <v>2.8</v>
      </c>
      <c r="M21" s="37"/>
      <c r="N21" s="38">
        <f t="shared" si="0"/>
        <v>2.8</v>
      </c>
      <c r="O21" s="37">
        <v>2.2999999999999998</v>
      </c>
      <c r="P21" s="37">
        <v>2.1</v>
      </c>
      <c r="Q21" s="38">
        <f t="shared" si="1"/>
        <v>2.2000000000000002</v>
      </c>
      <c r="R21" s="17">
        <v>1.571</v>
      </c>
      <c r="S21" s="17">
        <v>1.5369999999999999</v>
      </c>
      <c r="T21" s="22">
        <f t="shared" si="2"/>
        <v>1.554</v>
      </c>
      <c r="U21" s="34">
        <v>1.24</v>
      </c>
      <c r="V21" s="34">
        <v>1.232</v>
      </c>
      <c r="W21" s="22">
        <f t="shared" si="3"/>
        <v>1.236</v>
      </c>
      <c r="X21" s="17">
        <v>2.7E-2</v>
      </c>
      <c r="Y21" s="17">
        <v>1.9E-2</v>
      </c>
      <c r="Z21" s="21">
        <f t="shared" si="4"/>
        <v>2.3E-2</v>
      </c>
      <c r="AA21" s="30">
        <v>1.073</v>
      </c>
      <c r="AB21" s="30">
        <v>1.1040000000000001</v>
      </c>
      <c r="AC21" s="31">
        <f t="shared" si="5"/>
        <v>1.089</v>
      </c>
      <c r="AD21" s="19">
        <v>7.0000000000000007E-2</v>
      </c>
      <c r="AE21" s="19">
        <v>6.4000000000000001E-2</v>
      </c>
      <c r="AF21" s="21">
        <f t="shared" si="6"/>
        <v>6.7000000000000004E-2</v>
      </c>
      <c r="AG21" s="30">
        <v>3.9E-2</v>
      </c>
      <c r="AH21" s="30">
        <v>4.1000000000000002E-2</v>
      </c>
      <c r="AI21" s="21">
        <f t="shared" si="7"/>
        <v>0.04</v>
      </c>
      <c r="AJ21" s="30">
        <v>2.5999999999999999E-2</v>
      </c>
      <c r="AK21" s="30">
        <v>2.8000000000000001E-2</v>
      </c>
      <c r="AL21" s="21">
        <f t="shared" si="8"/>
        <v>2.7E-2</v>
      </c>
      <c r="AM21" s="30">
        <v>5.484</v>
      </c>
      <c r="AN21" s="30">
        <v>5.593</v>
      </c>
      <c r="AO21" s="31">
        <f t="shared" si="9"/>
        <v>5.5389999999999997</v>
      </c>
      <c r="AP21" s="66">
        <v>8.1500000000000003E-2</v>
      </c>
      <c r="AQ21" s="66">
        <v>7.9799999999999996E-2</v>
      </c>
      <c r="AR21" s="65">
        <f t="shared" si="10"/>
        <v>8.0699999999999994E-2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24.4</v>
      </c>
      <c r="F22" s="23">
        <v>7</v>
      </c>
      <c r="G22" s="41">
        <v>146</v>
      </c>
      <c r="H22" s="23">
        <v>8.1999999999999993</v>
      </c>
      <c r="I22" s="23">
        <v>1.6</v>
      </c>
      <c r="J22" s="23">
        <v>4.2</v>
      </c>
      <c r="K22" s="37">
        <v>2.7</v>
      </c>
      <c r="L22" s="37">
        <v>3</v>
      </c>
      <c r="M22" s="37"/>
      <c r="N22" s="38">
        <f t="shared" si="0"/>
        <v>2.9</v>
      </c>
      <c r="O22" s="37">
        <v>2.2000000000000002</v>
      </c>
      <c r="P22" s="37">
        <v>2.1</v>
      </c>
      <c r="Q22" s="38">
        <f t="shared" si="1"/>
        <v>2.2000000000000002</v>
      </c>
      <c r="R22" s="17">
        <v>2.3719999999999999</v>
      </c>
      <c r="S22" s="17">
        <v>2.4340000000000002</v>
      </c>
      <c r="T22" s="22">
        <f t="shared" si="2"/>
        <v>2.403</v>
      </c>
      <c r="U22" s="34">
        <v>2.093</v>
      </c>
      <c r="V22" s="34">
        <v>2.0910000000000002</v>
      </c>
      <c r="W22" s="22">
        <f t="shared" si="3"/>
        <v>2.0920000000000001</v>
      </c>
      <c r="X22" s="17">
        <v>5.6000000000000001E-2</v>
      </c>
      <c r="Y22" s="17">
        <v>5.1999999999999998E-2</v>
      </c>
      <c r="Z22" s="21">
        <f t="shared" si="4"/>
        <v>5.3999999999999999E-2</v>
      </c>
      <c r="AA22" s="30">
        <v>1.8380000000000001</v>
      </c>
      <c r="AB22" s="30">
        <v>1.893</v>
      </c>
      <c r="AC22" s="31">
        <f t="shared" si="5"/>
        <v>1.8660000000000001</v>
      </c>
      <c r="AD22" s="19">
        <v>8.8999999999999996E-2</v>
      </c>
      <c r="AE22" s="19">
        <v>8.5000000000000006E-2</v>
      </c>
      <c r="AF22" s="21">
        <f t="shared" si="6"/>
        <v>8.6999999999999994E-2</v>
      </c>
      <c r="AG22" s="30">
        <v>5.1999999999999998E-2</v>
      </c>
      <c r="AH22" s="30">
        <v>5.2999999999999999E-2</v>
      </c>
      <c r="AI22" s="21">
        <f t="shared" si="7"/>
        <v>5.2999999999999999E-2</v>
      </c>
      <c r="AJ22" s="30">
        <v>3.6999999999999998E-2</v>
      </c>
      <c r="AK22" s="30">
        <v>3.7999999999999999E-2</v>
      </c>
      <c r="AL22" s="21">
        <f t="shared" si="8"/>
        <v>3.7999999999999999E-2</v>
      </c>
      <c r="AM22" s="30">
        <v>7.6379999999999999</v>
      </c>
      <c r="AN22" s="30">
        <v>7.7949999999999999</v>
      </c>
      <c r="AO22" s="31">
        <f t="shared" si="9"/>
        <v>7.7169999999999996</v>
      </c>
      <c r="AP22" s="66">
        <v>8.1299999999999997E-2</v>
      </c>
      <c r="AQ22" s="66">
        <v>7.9100000000000004E-2</v>
      </c>
      <c r="AR22" s="65">
        <f t="shared" si="10"/>
        <v>8.0199999999999994E-2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25</v>
      </c>
      <c r="F23" s="23">
        <v>7</v>
      </c>
      <c r="G23" s="41">
        <v>119</v>
      </c>
      <c r="H23" s="23">
        <v>7.8</v>
      </c>
      <c r="I23" s="23">
        <v>1.5</v>
      </c>
      <c r="J23" s="23">
        <v>4.4000000000000004</v>
      </c>
      <c r="K23" s="37">
        <v>2.8</v>
      </c>
      <c r="L23" s="37">
        <v>3.1</v>
      </c>
      <c r="M23" s="37"/>
      <c r="N23" s="38">
        <f t="shared" si="0"/>
        <v>3</v>
      </c>
      <c r="O23" s="37">
        <v>2.2000000000000002</v>
      </c>
      <c r="P23" s="37">
        <v>2.2999999999999998</v>
      </c>
      <c r="Q23" s="38">
        <f t="shared" si="1"/>
        <v>2.2999999999999998</v>
      </c>
      <c r="R23" s="17">
        <v>1.8640000000000001</v>
      </c>
      <c r="S23" s="17">
        <v>1.9</v>
      </c>
      <c r="T23" s="22">
        <f t="shared" si="2"/>
        <v>1.8819999999999999</v>
      </c>
      <c r="U23" s="34">
        <v>1.595</v>
      </c>
      <c r="V23" s="34">
        <v>1.583</v>
      </c>
      <c r="W23" s="22">
        <f t="shared" si="3"/>
        <v>1.589</v>
      </c>
      <c r="X23" s="17">
        <v>7.0000000000000007E-2</v>
      </c>
      <c r="Y23" s="17">
        <v>7.2999999999999995E-2</v>
      </c>
      <c r="Z23" s="21">
        <f t="shared" si="4"/>
        <v>7.1999999999999995E-2</v>
      </c>
      <c r="AA23" s="30">
        <v>1.397</v>
      </c>
      <c r="AB23" s="30">
        <v>1.423</v>
      </c>
      <c r="AC23" s="31">
        <f t="shared" si="5"/>
        <v>1.41</v>
      </c>
      <c r="AD23" s="19">
        <v>9.5000000000000001E-2</v>
      </c>
      <c r="AE23" s="19">
        <v>9.1999999999999998E-2</v>
      </c>
      <c r="AF23" s="21">
        <f t="shared" si="6"/>
        <v>9.4E-2</v>
      </c>
      <c r="AG23" s="30">
        <v>5.3999999999999999E-2</v>
      </c>
      <c r="AH23" s="30">
        <v>5.5E-2</v>
      </c>
      <c r="AI23" s="21">
        <f t="shared" si="7"/>
        <v>5.5E-2</v>
      </c>
      <c r="AJ23" s="30">
        <v>3.9E-2</v>
      </c>
      <c r="AK23" s="30">
        <v>4.2000000000000003E-2</v>
      </c>
      <c r="AL23" s="21">
        <f t="shared" si="8"/>
        <v>4.1000000000000002E-2</v>
      </c>
      <c r="AM23" s="30">
        <v>6.7439999999999998</v>
      </c>
      <c r="AN23" s="30">
        <v>6.86</v>
      </c>
      <c r="AO23" s="31">
        <f t="shared" si="9"/>
        <v>6.8019999999999996</v>
      </c>
      <c r="AP23" s="66">
        <v>8.4000000000000005E-2</v>
      </c>
      <c r="AQ23" s="66">
        <v>8.2100000000000006E-2</v>
      </c>
      <c r="AR23" s="65">
        <f t="shared" si="10"/>
        <v>8.3099999999999993E-2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22.8</v>
      </c>
      <c r="F24" s="23">
        <v>7.5</v>
      </c>
      <c r="G24" s="41">
        <v>170</v>
      </c>
      <c r="H24" s="23">
        <v>8</v>
      </c>
      <c r="I24" s="23">
        <v>1.1000000000000001</v>
      </c>
      <c r="J24" s="23">
        <v>3.6</v>
      </c>
      <c r="K24" s="37">
        <v>2.6</v>
      </c>
      <c r="L24" s="37">
        <v>2.8</v>
      </c>
      <c r="M24" s="37"/>
      <c r="N24" s="38">
        <f t="shared" si="0"/>
        <v>2.7</v>
      </c>
      <c r="O24" s="37">
        <v>2.2000000000000002</v>
      </c>
      <c r="P24" s="37">
        <v>2.2000000000000002</v>
      </c>
      <c r="Q24" s="38">
        <f t="shared" si="1"/>
        <v>2.2000000000000002</v>
      </c>
      <c r="R24" s="17">
        <v>2.8740000000000001</v>
      </c>
      <c r="S24" s="17">
        <v>2.8740000000000001</v>
      </c>
      <c r="T24" s="22">
        <f t="shared" si="2"/>
        <v>2.8740000000000001</v>
      </c>
      <c r="U24" s="34">
        <v>2.6139999999999999</v>
      </c>
      <c r="V24" s="34">
        <v>2.6349999999999998</v>
      </c>
      <c r="W24" s="22">
        <f t="shared" si="3"/>
        <v>2.625</v>
      </c>
      <c r="X24" s="17">
        <v>2.9000000000000001E-2</v>
      </c>
      <c r="Y24" s="17">
        <v>0.03</v>
      </c>
      <c r="Z24" s="21">
        <f t="shared" si="4"/>
        <v>0.03</v>
      </c>
      <c r="AA24" s="30">
        <v>2.4649999999999999</v>
      </c>
      <c r="AB24" s="30">
        <v>2.4929999999999999</v>
      </c>
      <c r="AC24" s="31">
        <f t="shared" si="5"/>
        <v>2.4790000000000001</v>
      </c>
      <c r="AD24" s="19">
        <v>6.5000000000000002E-2</v>
      </c>
      <c r="AE24" s="19">
        <v>6.2E-2</v>
      </c>
      <c r="AF24" s="21">
        <f t="shared" si="6"/>
        <v>6.4000000000000001E-2</v>
      </c>
      <c r="AG24" s="30">
        <v>4.7E-2</v>
      </c>
      <c r="AH24" s="30">
        <v>4.2999999999999997E-2</v>
      </c>
      <c r="AI24" s="21">
        <f t="shared" si="7"/>
        <v>4.4999999999999998E-2</v>
      </c>
      <c r="AJ24" s="30">
        <v>3.2000000000000001E-2</v>
      </c>
      <c r="AK24" s="30">
        <v>3.2000000000000001E-2</v>
      </c>
      <c r="AL24" s="21">
        <f t="shared" si="8"/>
        <v>3.2000000000000001E-2</v>
      </c>
      <c r="AM24" s="30">
        <v>9.9930000000000003</v>
      </c>
      <c r="AN24" s="30">
        <v>10.050000000000001</v>
      </c>
      <c r="AO24" s="31">
        <f t="shared" si="9"/>
        <v>10.022</v>
      </c>
      <c r="AP24" s="66">
        <v>7.5399999999999995E-2</v>
      </c>
      <c r="AQ24" s="66">
        <v>7.3599999999999999E-2</v>
      </c>
      <c r="AR24" s="65">
        <f t="shared" si="10"/>
        <v>7.4499999999999997E-2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25.1</v>
      </c>
      <c r="F25" s="23">
        <v>7.5</v>
      </c>
      <c r="G25" s="41">
        <v>124</v>
      </c>
      <c r="H25" s="23">
        <v>7.9</v>
      </c>
      <c r="I25" s="23">
        <v>1.5</v>
      </c>
      <c r="J25" s="23">
        <v>4.5</v>
      </c>
      <c r="K25" s="37">
        <v>2.9</v>
      </c>
      <c r="L25" s="37">
        <v>3</v>
      </c>
      <c r="M25" s="37"/>
      <c r="N25" s="38">
        <f t="shared" si="0"/>
        <v>3</v>
      </c>
      <c r="O25" s="37">
        <v>2.4</v>
      </c>
      <c r="P25" s="37">
        <v>2.2000000000000002</v>
      </c>
      <c r="Q25" s="38">
        <f t="shared" si="1"/>
        <v>2.2999999999999998</v>
      </c>
      <c r="R25" s="17">
        <v>1.8089999999999999</v>
      </c>
      <c r="S25" s="17">
        <v>1.792</v>
      </c>
      <c r="T25" s="22">
        <f t="shared" si="2"/>
        <v>1.8009999999999999</v>
      </c>
      <c r="U25" s="34">
        <v>1.575</v>
      </c>
      <c r="V25" s="34">
        <v>1.5649999999999999</v>
      </c>
      <c r="W25" s="22">
        <f t="shared" si="3"/>
        <v>1.57</v>
      </c>
      <c r="X25" s="17">
        <v>5.0999999999999997E-2</v>
      </c>
      <c r="Y25" s="17">
        <v>5.2999999999999999E-2</v>
      </c>
      <c r="Z25" s="21">
        <f t="shared" si="4"/>
        <v>5.1999999999999998E-2</v>
      </c>
      <c r="AA25" s="30">
        <v>1.389</v>
      </c>
      <c r="AB25" s="30">
        <v>1.401</v>
      </c>
      <c r="AC25" s="31">
        <f t="shared" si="5"/>
        <v>1.395</v>
      </c>
      <c r="AD25" s="19">
        <v>0.1</v>
      </c>
      <c r="AE25" s="19">
        <v>9.2999999999999999E-2</v>
      </c>
      <c r="AF25" s="21">
        <f t="shared" si="6"/>
        <v>9.7000000000000003E-2</v>
      </c>
      <c r="AG25" s="30">
        <v>6.0999999999999999E-2</v>
      </c>
      <c r="AH25" s="30">
        <v>0.06</v>
      </c>
      <c r="AI25" s="21">
        <f t="shared" si="7"/>
        <v>6.0999999999999999E-2</v>
      </c>
      <c r="AJ25" s="30">
        <v>4.3999999999999997E-2</v>
      </c>
      <c r="AK25" s="30">
        <v>4.4999999999999998E-2</v>
      </c>
      <c r="AL25" s="21">
        <f t="shared" si="8"/>
        <v>4.4999999999999998E-2</v>
      </c>
      <c r="AM25" s="30">
        <v>6.5359999999999996</v>
      </c>
      <c r="AN25" s="30">
        <v>6.6059999999999999</v>
      </c>
      <c r="AO25" s="31">
        <f t="shared" si="9"/>
        <v>6.5709999999999997</v>
      </c>
      <c r="AP25" s="66">
        <v>8.5400000000000004E-2</v>
      </c>
      <c r="AQ25" s="66">
        <v>8.2799999999999999E-2</v>
      </c>
      <c r="AR25" s="65">
        <f t="shared" si="10"/>
        <v>8.4099999999999994E-2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25.6</v>
      </c>
      <c r="F26" s="23">
        <v>7.4</v>
      </c>
      <c r="G26" s="41">
        <v>164</v>
      </c>
      <c r="H26" s="23">
        <v>7.7</v>
      </c>
      <c r="I26" s="23">
        <v>1.8</v>
      </c>
      <c r="J26" s="23">
        <v>6.4</v>
      </c>
      <c r="K26" s="37">
        <v>4.3</v>
      </c>
      <c r="L26" s="37">
        <v>4.3</v>
      </c>
      <c r="M26" s="37"/>
      <c r="N26" s="38">
        <f t="shared" si="0"/>
        <v>4.3</v>
      </c>
      <c r="O26" s="37">
        <v>4</v>
      </c>
      <c r="P26" s="37">
        <v>3.9</v>
      </c>
      <c r="Q26" s="38">
        <f t="shared" si="1"/>
        <v>4</v>
      </c>
      <c r="R26" s="17">
        <v>2.4860000000000002</v>
      </c>
      <c r="S26" s="17">
        <v>2.5049999999999999</v>
      </c>
      <c r="T26" s="22">
        <f t="shared" si="2"/>
        <v>2.496</v>
      </c>
      <c r="U26" s="34">
        <v>2.2650000000000001</v>
      </c>
      <c r="V26" s="34">
        <v>2.2559999999999998</v>
      </c>
      <c r="W26" s="22">
        <f t="shared" si="3"/>
        <v>2.2610000000000001</v>
      </c>
      <c r="X26" s="17">
        <v>6.0999999999999999E-2</v>
      </c>
      <c r="Y26" s="17">
        <v>5.8999999999999997E-2</v>
      </c>
      <c r="Z26" s="21">
        <f t="shared" si="4"/>
        <v>0.06</v>
      </c>
      <c r="AA26" s="30">
        <v>1.9159999999999999</v>
      </c>
      <c r="AB26" s="30">
        <v>1.905</v>
      </c>
      <c r="AC26" s="31">
        <f t="shared" si="5"/>
        <v>1.911</v>
      </c>
      <c r="AD26" s="19">
        <v>0.10199999999999999</v>
      </c>
      <c r="AE26" s="19">
        <v>0.10100000000000001</v>
      </c>
      <c r="AF26" s="21">
        <f t="shared" si="6"/>
        <v>0.10199999999999999</v>
      </c>
      <c r="AG26" s="30">
        <v>7.1999999999999995E-2</v>
      </c>
      <c r="AH26" s="30">
        <v>7.2999999999999995E-2</v>
      </c>
      <c r="AI26" s="21">
        <f t="shared" si="7"/>
        <v>7.2999999999999995E-2</v>
      </c>
      <c r="AJ26" s="30">
        <v>5.2999999999999999E-2</v>
      </c>
      <c r="AK26" s="30">
        <v>5.2999999999999999E-2</v>
      </c>
      <c r="AL26" s="21">
        <f t="shared" si="8"/>
        <v>5.2999999999999999E-2</v>
      </c>
      <c r="AM26" s="30">
        <v>8.1660000000000004</v>
      </c>
      <c r="AN26" s="30">
        <v>8.1460000000000008</v>
      </c>
      <c r="AO26" s="31">
        <f t="shared" si="9"/>
        <v>8.1560000000000006</v>
      </c>
      <c r="AP26" s="66">
        <v>0.1381</v>
      </c>
      <c r="AQ26" s="66">
        <v>0.1361</v>
      </c>
      <c r="AR26" s="65">
        <f t="shared" si="10"/>
        <v>0.1371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25</v>
      </c>
      <c r="F27" s="23">
        <v>7.2</v>
      </c>
      <c r="G27" s="41">
        <v>136</v>
      </c>
      <c r="H27" s="23">
        <v>7.7</v>
      </c>
      <c r="I27" s="23">
        <v>1</v>
      </c>
      <c r="J27" s="23">
        <v>5</v>
      </c>
      <c r="K27" s="37">
        <v>3.4</v>
      </c>
      <c r="L27" s="37">
        <v>3.5</v>
      </c>
      <c r="M27" s="37"/>
      <c r="N27" s="38">
        <f t="shared" si="0"/>
        <v>3.5</v>
      </c>
      <c r="O27" s="37">
        <v>2.8</v>
      </c>
      <c r="P27" s="37">
        <v>2.7</v>
      </c>
      <c r="Q27" s="38">
        <f t="shared" si="1"/>
        <v>2.8</v>
      </c>
      <c r="R27" s="17">
        <v>2.1179999999999999</v>
      </c>
      <c r="S27" s="17">
        <v>2.153</v>
      </c>
      <c r="T27" s="22">
        <f t="shared" si="2"/>
        <v>2.1360000000000001</v>
      </c>
      <c r="U27" s="34">
        <v>1.857</v>
      </c>
      <c r="V27" s="34">
        <v>1.835</v>
      </c>
      <c r="W27" s="22">
        <f t="shared" si="3"/>
        <v>1.8460000000000001</v>
      </c>
      <c r="X27" s="17">
        <v>4.8000000000000001E-2</v>
      </c>
      <c r="Y27" s="17">
        <v>4.5999999999999999E-2</v>
      </c>
      <c r="Z27" s="21">
        <f t="shared" si="4"/>
        <v>4.7E-2</v>
      </c>
      <c r="AA27" s="30">
        <v>1.599</v>
      </c>
      <c r="AB27" s="30">
        <v>1.621</v>
      </c>
      <c r="AC27" s="31">
        <f t="shared" si="5"/>
        <v>1.61</v>
      </c>
      <c r="AD27" s="19">
        <v>0.107</v>
      </c>
      <c r="AE27" s="19">
        <v>0.106</v>
      </c>
      <c r="AF27" s="21">
        <f t="shared" si="6"/>
        <v>0.107</v>
      </c>
      <c r="AG27" s="30">
        <v>6.7000000000000004E-2</v>
      </c>
      <c r="AH27" s="30">
        <v>6.6000000000000003E-2</v>
      </c>
      <c r="AI27" s="21">
        <f t="shared" si="7"/>
        <v>6.7000000000000004E-2</v>
      </c>
      <c r="AJ27" s="30">
        <v>0.05</v>
      </c>
      <c r="AK27" s="30">
        <v>0.05</v>
      </c>
      <c r="AL27" s="21">
        <f t="shared" si="8"/>
        <v>0.05</v>
      </c>
      <c r="AM27" s="30">
        <v>7.1829999999999998</v>
      </c>
      <c r="AN27" s="30">
        <v>7.2750000000000004</v>
      </c>
      <c r="AO27" s="31">
        <f t="shared" si="9"/>
        <v>7.2290000000000001</v>
      </c>
      <c r="AP27" s="66">
        <v>9.9099999999999994E-2</v>
      </c>
      <c r="AQ27" s="66">
        <v>9.7500000000000003E-2</v>
      </c>
      <c r="AR27" s="65">
        <f t="shared" si="10"/>
        <v>9.8299999999999998E-2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26</v>
      </c>
      <c r="F28" s="23">
        <v>6.9</v>
      </c>
      <c r="G28" s="41">
        <v>158</v>
      </c>
      <c r="H28" s="23">
        <v>6.7</v>
      </c>
      <c r="I28" s="23">
        <v>0.8</v>
      </c>
      <c r="J28" s="23">
        <v>6.4</v>
      </c>
      <c r="K28" s="37">
        <v>4.4000000000000004</v>
      </c>
      <c r="L28" s="37">
        <v>4.5</v>
      </c>
      <c r="M28" s="37"/>
      <c r="N28" s="38">
        <f t="shared" si="0"/>
        <v>4.5</v>
      </c>
      <c r="O28" s="37">
        <v>4</v>
      </c>
      <c r="P28" s="37">
        <v>3.8</v>
      </c>
      <c r="Q28" s="38">
        <f t="shared" si="1"/>
        <v>3.9</v>
      </c>
      <c r="R28" s="17">
        <v>1.746</v>
      </c>
      <c r="S28" s="17">
        <v>1.75</v>
      </c>
      <c r="T28" s="22">
        <f t="shared" si="2"/>
        <v>1.748</v>
      </c>
      <c r="U28" s="34">
        <v>1.498</v>
      </c>
      <c r="V28" s="34">
        <v>1.498</v>
      </c>
      <c r="W28" s="22">
        <f t="shared" si="3"/>
        <v>1.498</v>
      </c>
      <c r="X28" s="17">
        <v>2.5999999999999999E-2</v>
      </c>
      <c r="Y28" s="17">
        <v>2.7E-2</v>
      </c>
      <c r="Z28" s="21">
        <f t="shared" si="4"/>
        <v>2.7E-2</v>
      </c>
      <c r="AA28" s="30">
        <v>1.2549999999999999</v>
      </c>
      <c r="AB28" s="30">
        <v>1.244</v>
      </c>
      <c r="AC28" s="31">
        <f t="shared" si="5"/>
        <v>1.25</v>
      </c>
      <c r="AD28" s="19">
        <v>0.111</v>
      </c>
      <c r="AE28" s="19">
        <v>0.109</v>
      </c>
      <c r="AF28" s="21">
        <f t="shared" si="6"/>
        <v>0.11</v>
      </c>
      <c r="AG28" s="30">
        <v>7.0999999999999994E-2</v>
      </c>
      <c r="AH28" s="30">
        <v>7.2999999999999995E-2</v>
      </c>
      <c r="AI28" s="21">
        <f t="shared" si="7"/>
        <v>7.1999999999999995E-2</v>
      </c>
      <c r="AJ28" s="30">
        <v>5.7000000000000002E-2</v>
      </c>
      <c r="AK28" s="30">
        <v>5.7000000000000002E-2</v>
      </c>
      <c r="AL28" s="21">
        <f t="shared" si="8"/>
        <v>5.7000000000000002E-2</v>
      </c>
      <c r="AM28" s="30">
        <v>8.5690000000000008</v>
      </c>
      <c r="AN28" s="30">
        <v>8.5069999999999997</v>
      </c>
      <c r="AO28" s="31">
        <f t="shared" si="9"/>
        <v>8.5380000000000003</v>
      </c>
      <c r="AP28" s="66">
        <v>0.1351</v>
      </c>
      <c r="AQ28" s="66">
        <v>0.13339999999999999</v>
      </c>
      <c r="AR28" s="65">
        <f t="shared" si="10"/>
        <v>0.1343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25.2</v>
      </c>
      <c r="F29" s="23">
        <v>7.3</v>
      </c>
      <c r="G29" s="41">
        <v>133</v>
      </c>
      <c r="H29" s="23">
        <v>7.4</v>
      </c>
      <c r="I29" s="23">
        <v>0.9</v>
      </c>
      <c r="J29" s="23">
        <v>4.2</v>
      </c>
      <c r="K29" s="37">
        <v>3.2</v>
      </c>
      <c r="L29" s="37">
        <v>3</v>
      </c>
      <c r="M29" s="37"/>
      <c r="N29" s="38">
        <f t="shared" si="0"/>
        <v>3.1</v>
      </c>
      <c r="O29" s="37">
        <v>2.4</v>
      </c>
      <c r="P29" s="37">
        <v>2.4</v>
      </c>
      <c r="Q29" s="38">
        <f t="shared" si="1"/>
        <v>2.4</v>
      </c>
      <c r="R29" s="17">
        <v>2.052</v>
      </c>
      <c r="S29" s="17">
        <v>2.08</v>
      </c>
      <c r="T29" s="22">
        <f t="shared" si="2"/>
        <v>2.0659999999999998</v>
      </c>
      <c r="U29" s="34">
        <v>1.827</v>
      </c>
      <c r="V29" s="34">
        <v>1.8109999999999999</v>
      </c>
      <c r="W29" s="22">
        <f t="shared" si="3"/>
        <v>1.819</v>
      </c>
      <c r="X29" s="17">
        <v>4.2000000000000003E-2</v>
      </c>
      <c r="Y29" s="17">
        <v>4.4999999999999998E-2</v>
      </c>
      <c r="Z29" s="21">
        <f t="shared" si="4"/>
        <v>4.3999999999999997E-2</v>
      </c>
      <c r="AA29" s="30">
        <v>1.63</v>
      </c>
      <c r="AB29" s="30">
        <v>1.641</v>
      </c>
      <c r="AC29" s="31">
        <f t="shared" si="5"/>
        <v>1.6359999999999999</v>
      </c>
      <c r="AD29" s="19">
        <v>0.10100000000000001</v>
      </c>
      <c r="AE29" s="19">
        <v>0.10100000000000001</v>
      </c>
      <c r="AF29" s="21">
        <f t="shared" si="6"/>
        <v>0.10100000000000001</v>
      </c>
      <c r="AG29" s="30">
        <v>6.3E-2</v>
      </c>
      <c r="AH29" s="30">
        <v>6.2E-2</v>
      </c>
      <c r="AI29" s="21">
        <f t="shared" si="7"/>
        <v>6.3E-2</v>
      </c>
      <c r="AJ29" s="30">
        <v>4.8000000000000001E-2</v>
      </c>
      <c r="AK29" s="30">
        <v>4.8000000000000001E-2</v>
      </c>
      <c r="AL29" s="21">
        <f t="shared" si="8"/>
        <v>4.8000000000000001E-2</v>
      </c>
      <c r="AM29" s="30">
        <v>7.1310000000000002</v>
      </c>
      <c r="AN29" s="30">
        <v>7.2220000000000004</v>
      </c>
      <c r="AO29" s="31">
        <f t="shared" si="9"/>
        <v>7.1769999999999996</v>
      </c>
      <c r="AP29" s="66">
        <v>8.6699999999999999E-2</v>
      </c>
      <c r="AQ29" s="66">
        <v>8.5000000000000006E-2</v>
      </c>
      <c r="AR29" s="65">
        <f t="shared" si="10"/>
        <v>8.5900000000000004E-2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24.5</v>
      </c>
      <c r="F30" s="23">
        <v>7.2</v>
      </c>
      <c r="G30" s="41">
        <v>251</v>
      </c>
      <c r="H30" s="23">
        <v>7.7</v>
      </c>
      <c r="I30" s="23">
        <v>0.7</v>
      </c>
      <c r="J30" s="23">
        <v>4.3</v>
      </c>
      <c r="K30" s="37">
        <v>3.2</v>
      </c>
      <c r="L30" s="37">
        <v>3.2</v>
      </c>
      <c r="M30" s="37"/>
      <c r="N30" s="38">
        <f t="shared" si="0"/>
        <v>3.2</v>
      </c>
      <c r="O30" s="37">
        <v>3</v>
      </c>
      <c r="P30" s="37">
        <v>2.9</v>
      </c>
      <c r="Q30" s="38">
        <f t="shared" si="1"/>
        <v>3</v>
      </c>
      <c r="R30" s="17">
        <v>4.6040000000000001</v>
      </c>
      <c r="S30" s="17">
        <v>4.5890000000000004</v>
      </c>
      <c r="T30" s="22">
        <f t="shared" si="2"/>
        <v>4.5970000000000004</v>
      </c>
      <c r="U30" s="34">
        <v>4.2290000000000001</v>
      </c>
      <c r="V30" s="34">
        <v>4.2270000000000003</v>
      </c>
      <c r="W30" s="22">
        <f t="shared" si="3"/>
        <v>4.2279999999999998</v>
      </c>
      <c r="X30" s="17">
        <v>3.4000000000000002E-2</v>
      </c>
      <c r="Y30" s="17">
        <v>2.4E-2</v>
      </c>
      <c r="Z30" s="21">
        <f t="shared" si="4"/>
        <v>2.9000000000000001E-2</v>
      </c>
      <c r="AA30" s="30">
        <v>4.0599999999999996</v>
      </c>
      <c r="AB30" s="30">
        <v>4.1319999999999997</v>
      </c>
      <c r="AC30" s="31">
        <f t="shared" si="5"/>
        <v>4.0960000000000001</v>
      </c>
      <c r="AD30" s="19">
        <v>9.2999999999999999E-2</v>
      </c>
      <c r="AE30" s="19">
        <v>9.0999999999999998E-2</v>
      </c>
      <c r="AF30" s="21">
        <f t="shared" si="6"/>
        <v>9.1999999999999998E-2</v>
      </c>
      <c r="AG30" s="30">
        <v>7.3999999999999996E-2</v>
      </c>
      <c r="AH30" s="30">
        <v>7.5999999999999998E-2</v>
      </c>
      <c r="AI30" s="21">
        <f t="shared" si="7"/>
        <v>7.4999999999999997E-2</v>
      </c>
      <c r="AJ30" s="30">
        <v>0.06</v>
      </c>
      <c r="AK30" s="30">
        <v>6.2E-2</v>
      </c>
      <c r="AL30" s="21">
        <f t="shared" si="8"/>
        <v>6.0999999999999999E-2</v>
      </c>
      <c r="AM30" s="30">
        <v>12.225</v>
      </c>
      <c r="AN30" s="30">
        <v>12.566000000000001</v>
      </c>
      <c r="AO30" s="31">
        <f t="shared" si="9"/>
        <v>12.396000000000001</v>
      </c>
      <c r="AP30" s="66">
        <v>9.8100000000000007E-2</v>
      </c>
      <c r="AQ30" s="66">
        <v>9.6799999999999997E-2</v>
      </c>
      <c r="AR30" s="65">
        <f t="shared" si="10"/>
        <v>9.7500000000000003E-2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25.6</v>
      </c>
      <c r="F31" s="23">
        <v>7.2</v>
      </c>
      <c r="G31" s="41">
        <v>131</v>
      </c>
      <c r="H31" s="23">
        <v>7</v>
      </c>
      <c r="I31" s="23">
        <v>1</v>
      </c>
      <c r="J31" s="23">
        <v>4.5</v>
      </c>
      <c r="K31" s="37">
        <v>3.2</v>
      </c>
      <c r="L31" s="37">
        <v>3.2</v>
      </c>
      <c r="M31" s="37"/>
      <c r="N31" s="38">
        <f t="shared" si="0"/>
        <v>3.2</v>
      </c>
      <c r="O31" s="37">
        <v>2.7</v>
      </c>
      <c r="P31" s="37">
        <v>2.6</v>
      </c>
      <c r="Q31" s="38">
        <f t="shared" si="1"/>
        <v>2.7</v>
      </c>
      <c r="R31" s="17">
        <v>2.1749999999999998</v>
      </c>
      <c r="S31" s="17">
        <v>2.1190000000000002</v>
      </c>
      <c r="T31" s="22">
        <f t="shared" si="2"/>
        <v>2.1469999999999998</v>
      </c>
      <c r="U31" s="34">
        <v>1.85</v>
      </c>
      <c r="V31" s="34">
        <v>1.837</v>
      </c>
      <c r="W31" s="22">
        <f t="shared" si="3"/>
        <v>1.8440000000000001</v>
      </c>
      <c r="X31" s="17">
        <v>6.0999999999999999E-2</v>
      </c>
      <c r="Y31" s="17">
        <v>5.8999999999999997E-2</v>
      </c>
      <c r="Z31" s="21">
        <f t="shared" si="4"/>
        <v>0.06</v>
      </c>
      <c r="AA31" s="30">
        <v>1.613</v>
      </c>
      <c r="AB31" s="30">
        <v>1.613</v>
      </c>
      <c r="AC31" s="31">
        <f t="shared" si="5"/>
        <v>1.613</v>
      </c>
      <c r="AD31" s="19">
        <v>0.104</v>
      </c>
      <c r="AE31" s="19">
        <v>9.8000000000000004E-2</v>
      </c>
      <c r="AF31" s="21">
        <f t="shared" si="6"/>
        <v>0.10100000000000001</v>
      </c>
      <c r="AG31" s="30">
        <v>7.0999999999999994E-2</v>
      </c>
      <c r="AH31" s="30">
        <v>7.0999999999999994E-2</v>
      </c>
      <c r="AI31" s="21">
        <f t="shared" si="7"/>
        <v>7.0999999999999994E-2</v>
      </c>
      <c r="AJ31" s="30">
        <v>5.3999999999999999E-2</v>
      </c>
      <c r="AK31" s="30">
        <v>5.5E-2</v>
      </c>
      <c r="AL31" s="21">
        <f t="shared" si="8"/>
        <v>5.5E-2</v>
      </c>
      <c r="AM31" s="30">
        <v>7.1369999999999996</v>
      </c>
      <c r="AN31" s="30">
        <v>7.1710000000000003</v>
      </c>
      <c r="AO31" s="31">
        <f t="shared" si="9"/>
        <v>7.1539999999999999</v>
      </c>
      <c r="AP31" s="66">
        <v>9.6199999999999994E-2</v>
      </c>
      <c r="AQ31" s="66">
        <v>9.4299999999999995E-2</v>
      </c>
      <c r="AR31" s="65">
        <f t="shared" si="10"/>
        <v>9.5299999999999996E-2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23</v>
      </c>
      <c r="F32" s="23">
        <v>7.5</v>
      </c>
      <c r="G32" s="41">
        <v>178</v>
      </c>
      <c r="H32" s="23">
        <v>7.5</v>
      </c>
      <c r="I32" s="23">
        <v>0.6</v>
      </c>
      <c r="J32" s="23">
        <v>3.8</v>
      </c>
      <c r="K32" s="37">
        <v>2.9</v>
      </c>
      <c r="L32" s="37">
        <v>2.7</v>
      </c>
      <c r="M32" s="37"/>
      <c r="N32" s="38">
        <f t="shared" si="0"/>
        <v>2.8</v>
      </c>
      <c r="O32" s="37">
        <v>2.4</v>
      </c>
      <c r="P32" s="37">
        <v>2.2999999999999998</v>
      </c>
      <c r="Q32" s="38">
        <f t="shared" si="1"/>
        <v>2.4</v>
      </c>
      <c r="R32" s="17">
        <v>4.4050000000000002</v>
      </c>
      <c r="S32" s="17">
        <v>4.3929999999999998</v>
      </c>
      <c r="T32" s="22">
        <f t="shared" si="2"/>
        <v>4.399</v>
      </c>
      <c r="U32" s="34">
        <v>4.1449999999999996</v>
      </c>
      <c r="V32" s="34">
        <v>4.1280000000000001</v>
      </c>
      <c r="W32" s="22">
        <f t="shared" si="3"/>
        <v>4.1369999999999996</v>
      </c>
      <c r="X32" s="17">
        <v>2.4E-2</v>
      </c>
      <c r="Y32" s="17">
        <v>2.1000000000000001E-2</v>
      </c>
      <c r="Z32" s="21">
        <f t="shared" si="4"/>
        <v>2.3E-2</v>
      </c>
      <c r="AA32" s="30">
        <v>3.9940000000000002</v>
      </c>
      <c r="AB32" s="30">
        <v>4.0129999999999999</v>
      </c>
      <c r="AC32" s="31">
        <f t="shared" si="5"/>
        <v>4.0039999999999996</v>
      </c>
      <c r="AD32" s="19">
        <v>5.7000000000000002E-2</v>
      </c>
      <c r="AE32" s="19">
        <v>5.6000000000000001E-2</v>
      </c>
      <c r="AF32" s="21">
        <f t="shared" si="6"/>
        <v>5.7000000000000002E-2</v>
      </c>
      <c r="AG32" s="30">
        <v>4.4999999999999998E-2</v>
      </c>
      <c r="AH32" s="30">
        <v>4.2999999999999997E-2</v>
      </c>
      <c r="AI32" s="21">
        <f t="shared" si="7"/>
        <v>4.3999999999999997E-2</v>
      </c>
      <c r="AJ32" s="30">
        <v>2.8000000000000001E-2</v>
      </c>
      <c r="AK32" s="30">
        <v>2.8000000000000001E-2</v>
      </c>
      <c r="AL32" s="21">
        <f t="shared" si="8"/>
        <v>2.8000000000000001E-2</v>
      </c>
      <c r="AM32" s="30">
        <v>9.0589999999999993</v>
      </c>
      <c r="AN32" s="30">
        <v>9.1720000000000006</v>
      </c>
      <c r="AO32" s="31">
        <f t="shared" si="9"/>
        <v>9.1159999999999997</v>
      </c>
      <c r="AP32" s="66">
        <v>7.8200000000000006E-2</v>
      </c>
      <c r="AQ32" s="66">
        <v>7.5200000000000003E-2</v>
      </c>
      <c r="AR32" s="65">
        <f t="shared" si="10"/>
        <v>7.6700000000000004E-2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25.6</v>
      </c>
      <c r="F33" s="23">
        <v>6.7</v>
      </c>
      <c r="G33" s="41">
        <v>132</v>
      </c>
      <c r="H33" s="23">
        <v>7.5</v>
      </c>
      <c r="I33" s="23">
        <v>0.9</v>
      </c>
      <c r="J33" s="23">
        <v>4.9000000000000004</v>
      </c>
      <c r="K33" s="37">
        <v>3.4</v>
      </c>
      <c r="L33" s="37">
        <v>3.5</v>
      </c>
      <c r="M33" s="37"/>
      <c r="N33" s="38">
        <f t="shared" si="0"/>
        <v>3.5</v>
      </c>
      <c r="O33" s="37">
        <v>2.7</v>
      </c>
      <c r="P33" s="37">
        <v>2.7</v>
      </c>
      <c r="Q33" s="38">
        <f t="shared" si="1"/>
        <v>2.7</v>
      </c>
      <c r="R33" s="17">
        <v>2.2130000000000001</v>
      </c>
      <c r="S33" s="17">
        <v>2.2250000000000001</v>
      </c>
      <c r="T33" s="22">
        <f t="shared" si="2"/>
        <v>2.2189999999999999</v>
      </c>
      <c r="U33" s="34">
        <v>1.885</v>
      </c>
      <c r="V33" s="34">
        <v>1.8680000000000001</v>
      </c>
      <c r="W33" s="22">
        <f t="shared" si="3"/>
        <v>1.877</v>
      </c>
      <c r="X33" s="17">
        <v>6.0999999999999999E-2</v>
      </c>
      <c r="Y33" s="17">
        <v>6.5000000000000002E-2</v>
      </c>
      <c r="Z33" s="21">
        <f t="shared" si="4"/>
        <v>6.3E-2</v>
      </c>
      <c r="AA33" s="30">
        <v>1.7170000000000001</v>
      </c>
      <c r="AB33" s="30">
        <v>1.7270000000000001</v>
      </c>
      <c r="AC33" s="31">
        <f t="shared" si="5"/>
        <v>1.722</v>
      </c>
      <c r="AD33" s="19">
        <v>0.11600000000000001</v>
      </c>
      <c r="AE33" s="19">
        <v>0.11899999999999999</v>
      </c>
      <c r="AF33" s="21">
        <f t="shared" si="6"/>
        <v>0.11799999999999999</v>
      </c>
      <c r="AG33" s="30">
        <v>6.8000000000000005E-2</v>
      </c>
      <c r="AH33" s="30">
        <v>7.0999999999999994E-2</v>
      </c>
      <c r="AI33" s="21">
        <f t="shared" si="7"/>
        <v>7.0000000000000007E-2</v>
      </c>
      <c r="AJ33" s="30">
        <v>5.6000000000000001E-2</v>
      </c>
      <c r="AK33" s="30">
        <v>0.06</v>
      </c>
      <c r="AL33" s="21">
        <f t="shared" si="8"/>
        <v>5.8000000000000003E-2</v>
      </c>
      <c r="AM33" s="30">
        <v>7.0049999999999999</v>
      </c>
      <c r="AN33" s="30">
        <v>7.0579999999999998</v>
      </c>
      <c r="AO33" s="31">
        <f t="shared" si="9"/>
        <v>7.032</v>
      </c>
      <c r="AP33" s="66">
        <v>9.5899999999999999E-2</v>
      </c>
      <c r="AQ33" s="66">
        <v>9.3799999999999994E-2</v>
      </c>
      <c r="AR33" s="65">
        <f t="shared" si="10"/>
        <v>9.4899999999999998E-2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24.7</v>
      </c>
      <c r="F34" s="23">
        <v>7.1</v>
      </c>
      <c r="G34" s="41">
        <v>186</v>
      </c>
      <c r="H34" s="23">
        <v>6.5</v>
      </c>
      <c r="I34" s="23">
        <v>0.8</v>
      </c>
      <c r="J34" s="23">
        <v>5.7</v>
      </c>
      <c r="K34" s="37">
        <v>3.8</v>
      </c>
      <c r="L34" s="37">
        <v>4</v>
      </c>
      <c r="M34" s="37"/>
      <c r="N34" s="38">
        <f t="shared" si="0"/>
        <v>3.9</v>
      </c>
      <c r="O34" s="37">
        <v>3.2</v>
      </c>
      <c r="P34" s="37">
        <v>3.3</v>
      </c>
      <c r="Q34" s="38">
        <f t="shared" si="1"/>
        <v>3.3</v>
      </c>
      <c r="R34" s="17">
        <v>2.6659999999999999</v>
      </c>
      <c r="S34" s="17">
        <v>2.6789999999999998</v>
      </c>
      <c r="T34" s="22">
        <f t="shared" si="2"/>
        <v>2.673</v>
      </c>
      <c r="U34" s="34">
        <v>2.2509999999999999</v>
      </c>
      <c r="V34" s="34">
        <v>2.2669999999999999</v>
      </c>
      <c r="W34" s="22">
        <f t="shared" si="3"/>
        <v>2.2589999999999999</v>
      </c>
      <c r="X34" s="17">
        <v>4.2999999999999997E-2</v>
      </c>
      <c r="Y34" s="17">
        <v>4.3999999999999997E-2</v>
      </c>
      <c r="Z34" s="21">
        <f t="shared" si="4"/>
        <v>4.3999999999999997E-2</v>
      </c>
      <c r="AA34" s="30">
        <v>1.968</v>
      </c>
      <c r="AB34" s="30">
        <v>1.984</v>
      </c>
      <c r="AC34" s="31">
        <f t="shared" si="5"/>
        <v>1.976</v>
      </c>
      <c r="AD34" s="19">
        <v>0.16200000000000001</v>
      </c>
      <c r="AE34" s="19">
        <v>0.159</v>
      </c>
      <c r="AF34" s="21">
        <f t="shared" si="6"/>
        <v>0.161</v>
      </c>
      <c r="AG34" s="30">
        <v>9.4E-2</v>
      </c>
      <c r="AH34" s="30">
        <v>9.2999999999999999E-2</v>
      </c>
      <c r="AI34" s="21">
        <f t="shared" si="7"/>
        <v>9.4E-2</v>
      </c>
      <c r="AJ34" s="30">
        <v>7.8E-2</v>
      </c>
      <c r="AK34" s="30">
        <v>7.4999999999999997E-2</v>
      </c>
      <c r="AL34" s="21">
        <f t="shared" si="8"/>
        <v>7.6999999999999999E-2</v>
      </c>
      <c r="AM34" s="30">
        <v>10.999000000000001</v>
      </c>
      <c r="AN34" s="30">
        <v>11.074</v>
      </c>
      <c r="AO34" s="31">
        <f t="shared" si="9"/>
        <v>11.037000000000001</v>
      </c>
      <c r="AP34" s="66">
        <v>0.10829999999999999</v>
      </c>
      <c r="AQ34" s="66">
        <v>0.1062</v>
      </c>
      <c r="AR34" s="65">
        <f t="shared" si="10"/>
        <v>0.10730000000000001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26.8</v>
      </c>
      <c r="F35" s="23">
        <v>8.8000000000000007</v>
      </c>
      <c r="G35" s="41">
        <v>254</v>
      </c>
      <c r="H35" s="23">
        <v>6.7</v>
      </c>
      <c r="I35" s="23">
        <v>1.2</v>
      </c>
      <c r="J35" s="23">
        <v>5</v>
      </c>
      <c r="K35" s="37">
        <v>3.6</v>
      </c>
      <c r="L35" s="37">
        <v>3.6</v>
      </c>
      <c r="M35" s="37"/>
      <c r="N35" s="38">
        <f t="shared" si="0"/>
        <v>3.6</v>
      </c>
      <c r="O35" s="37">
        <v>3.2</v>
      </c>
      <c r="P35" s="37">
        <v>3.2</v>
      </c>
      <c r="Q35" s="38">
        <f t="shared" si="1"/>
        <v>3.2</v>
      </c>
      <c r="R35" s="17">
        <v>2.9420000000000002</v>
      </c>
      <c r="S35" s="17">
        <v>3.0030000000000001</v>
      </c>
      <c r="T35" s="22">
        <f t="shared" si="2"/>
        <v>2.9729999999999999</v>
      </c>
      <c r="U35" s="34">
        <v>2.6059999999999999</v>
      </c>
      <c r="V35" s="34">
        <v>2.6160000000000001</v>
      </c>
      <c r="W35" s="22">
        <f t="shared" si="3"/>
        <v>2.6110000000000002</v>
      </c>
      <c r="X35" s="17">
        <v>0.153</v>
      </c>
      <c r="Y35" s="17">
        <v>0.157</v>
      </c>
      <c r="Z35" s="21">
        <f t="shared" si="4"/>
        <v>0.155</v>
      </c>
      <c r="AA35" s="30">
        <v>2.1280000000000001</v>
      </c>
      <c r="AB35" s="30">
        <v>2.157</v>
      </c>
      <c r="AC35" s="31">
        <f t="shared" si="5"/>
        <v>2.1429999999999998</v>
      </c>
      <c r="AD35" s="19">
        <v>0.14899999999999999</v>
      </c>
      <c r="AE35" s="19">
        <v>0.15</v>
      </c>
      <c r="AF35" s="21">
        <f t="shared" si="6"/>
        <v>0.15</v>
      </c>
      <c r="AG35" s="30">
        <v>0.105</v>
      </c>
      <c r="AH35" s="30">
        <v>0.105</v>
      </c>
      <c r="AI35" s="21">
        <f t="shared" si="7"/>
        <v>0.105</v>
      </c>
      <c r="AJ35" s="30">
        <v>9.0999999999999998E-2</v>
      </c>
      <c r="AK35" s="30">
        <v>9.1999999999999998E-2</v>
      </c>
      <c r="AL35" s="21">
        <f t="shared" si="8"/>
        <v>9.1999999999999998E-2</v>
      </c>
      <c r="AM35" s="30">
        <v>19.585000000000001</v>
      </c>
      <c r="AN35" s="30">
        <v>19.908999999999999</v>
      </c>
      <c r="AO35" s="31">
        <f t="shared" si="9"/>
        <v>19.747</v>
      </c>
      <c r="AP35" s="66">
        <v>0.1077</v>
      </c>
      <c r="AQ35" s="66">
        <v>0.1052</v>
      </c>
      <c r="AR35" s="65">
        <f t="shared" si="10"/>
        <v>0.1065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26</v>
      </c>
      <c r="F36" s="23">
        <v>6.9</v>
      </c>
      <c r="G36" s="41">
        <v>133</v>
      </c>
      <c r="H36" s="23">
        <v>7.6</v>
      </c>
      <c r="I36" s="23">
        <v>0.9</v>
      </c>
      <c r="J36" s="23">
        <v>4.7</v>
      </c>
      <c r="K36" s="37">
        <v>3.3</v>
      </c>
      <c r="L36" s="37">
        <v>3.2</v>
      </c>
      <c r="M36" s="37"/>
      <c r="N36" s="38">
        <f t="shared" si="0"/>
        <v>3.3</v>
      </c>
      <c r="O36" s="37">
        <v>2.7</v>
      </c>
      <c r="P36" s="37">
        <v>2.8</v>
      </c>
      <c r="Q36" s="38">
        <f t="shared" si="1"/>
        <v>2.8</v>
      </c>
      <c r="R36" s="17">
        <v>2.3460000000000001</v>
      </c>
      <c r="S36" s="17">
        <v>2.3759999999999999</v>
      </c>
      <c r="T36" s="22">
        <f t="shared" si="2"/>
        <v>2.3610000000000002</v>
      </c>
      <c r="U36" s="34">
        <v>1.8979999999999999</v>
      </c>
      <c r="V36" s="34">
        <v>1.9179999999999999</v>
      </c>
      <c r="W36" s="22">
        <f t="shared" si="3"/>
        <v>1.9079999999999999</v>
      </c>
      <c r="X36" s="17">
        <v>4.3999999999999997E-2</v>
      </c>
      <c r="Y36" s="17">
        <v>0.04</v>
      </c>
      <c r="Z36" s="21">
        <f t="shared" si="4"/>
        <v>4.2000000000000003E-2</v>
      </c>
      <c r="AA36" s="30">
        <v>1.69</v>
      </c>
      <c r="AB36" s="30">
        <v>1.7430000000000001</v>
      </c>
      <c r="AC36" s="31">
        <f t="shared" si="5"/>
        <v>1.7170000000000001</v>
      </c>
      <c r="AD36" s="19">
        <v>0.115</v>
      </c>
      <c r="AE36" s="19">
        <v>0.114</v>
      </c>
      <c r="AF36" s="21">
        <f t="shared" si="6"/>
        <v>0.115</v>
      </c>
      <c r="AG36" s="30">
        <v>7.3999999999999996E-2</v>
      </c>
      <c r="AH36" s="30">
        <v>7.1999999999999995E-2</v>
      </c>
      <c r="AI36" s="21">
        <f t="shared" si="7"/>
        <v>7.2999999999999995E-2</v>
      </c>
      <c r="AJ36" s="30">
        <v>5.7000000000000002E-2</v>
      </c>
      <c r="AK36" s="30">
        <v>5.7000000000000002E-2</v>
      </c>
      <c r="AL36" s="21">
        <f t="shared" si="8"/>
        <v>5.7000000000000002E-2</v>
      </c>
      <c r="AM36" s="30">
        <v>7.0140000000000002</v>
      </c>
      <c r="AN36" s="30">
        <v>7.2530000000000001</v>
      </c>
      <c r="AO36" s="31">
        <f t="shared" si="9"/>
        <v>7.1340000000000003</v>
      </c>
      <c r="AP36" s="66">
        <v>9.8799999999999999E-2</v>
      </c>
      <c r="AQ36" s="66">
        <v>9.6600000000000005E-2</v>
      </c>
      <c r="AR36" s="65">
        <f t="shared" si="10"/>
        <v>9.7699999999999995E-2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27.2</v>
      </c>
      <c r="F37" s="23">
        <v>6.9</v>
      </c>
      <c r="G37" s="41">
        <v>186</v>
      </c>
      <c r="H37" s="23">
        <v>6.4</v>
      </c>
      <c r="I37" s="23">
        <v>1.1000000000000001</v>
      </c>
      <c r="J37" s="23">
        <v>6.3</v>
      </c>
      <c r="K37" s="37">
        <v>4.5999999999999996</v>
      </c>
      <c r="L37" s="37">
        <v>4.3</v>
      </c>
      <c r="M37" s="37"/>
      <c r="N37" s="38">
        <f t="shared" si="0"/>
        <v>4.5</v>
      </c>
      <c r="O37" s="37">
        <v>3.7</v>
      </c>
      <c r="P37" s="37">
        <v>3.9</v>
      </c>
      <c r="Q37" s="38">
        <f t="shared" si="1"/>
        <v>3.8</v>
      </c>
      <c r="R37" s="17">
        <v>2.198</v>
      </c>
      <c r="S37" s="17">
        <v>2.2599999999999998</v>
      </c>
      <c r="T37" s="22">
        <f t="shared" si="2"/>
        <v>2.2290000000000001</v>
      </c>
      <c r="U37" s="34">
        <v>1.88</v>
      </c>
      <c r="V37" s="34">
        <v>1.877</v>
      </c>
      <c r="W37" s="22">
        <f t="shared" si="3"/>
        <v>1.879</v>
      </c>
      <c r="X37" s="17">
        <v>5.8000000000000003E-2</v>
      </c>
      <c r="Y37" s="17">
        <v>5.1999999999999998E-2</v>
      </c>
      <c r="Z37" s="21">
        <f t="shared" si="4"/>
        <v>5.5E-2</v>
      </c>
      <c r="AA37" s="30">
        <v>1.5329999999999999</v>
      </c>
      <c r="AB37" s="30">
        <v>1.528</v>
      </c>
      <c r="AC37" s="31">
        <f t="shared" si="5"/>
        <v>1.5309999999999999</v>
      </c>
      <c r="AD37" s="19">
        <v>0.16900000000000001</v>
      </c>
      <c r="AE37" s="19">
        <v>0.16800000000000001</v>
      </c>
      <c r="AF37" s="21">
        <f t="shared" si="6"/>
        <v>0.16900000000000001</v>
      </c>
      <c r="AG37" s="30">
        <v>9.7000000000000003E-2</v>
      </c>
      <c r="AH37" s="30">
        <v>9.4E-2</v>
      </c>
      <c r="AI37" s="21">
        <f t="shared" si="7"/>
        <v>9.6000000000000002E-2</v>
      </c>
      <c r="AJ37" s="30">
        <v>0.08</v>
      </c>
      <c r="AK37" s="30">
        <v>0.08</v>
      </c>
      <c r="AL37" s="21">
        <f t="shared" si="8"/>
        <v>0.08</v>
      </c>
      <c r="AM37" s="30">
        <v>10.694000000000001</v>
      </c>
      <c r="AN37" s="30">
        <v>10.756</v>
      </c>
      <c r="AO37" s="31">
        <f t="shared" si="9"/>
        <v>10.725</v>
      </c>
      <c r="AP37" s="66">
        <v>0.13089999999999999</v>
      </c>
      <c r="AQ37" s="66">
        <v>0.12809999999999999</v>
      </c>
      <c r="AR37" s="65">
        <f t="shared" si="10"/>
        <v>0.1295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26.5</v>
      </c>
      <c r="F38" s="23">
        <v>7.3</v>
      </c>
      <c r="G38" s="41">
        <v>139</v>
      </c>
      <c r="H38" s="23">
        <v>7.7</v>
      </c>
      <c r="I38" s="23">
        <v>1</v>
      </c>
      <c r="J38" s="23">
        <v>5</v>
      </c>
      <c r="K38" s="37">
        <v>3.6</v>
      </c>
      <c r="L38" s="37">
        <v>3.6</v>
      </c>
      <c r="M38" s="37"/>
      <c r="N38" s="38">
        <f t="shared" si="0"/>
        <v>3.6</v>
      </c>
      <c r="O38" s="37">
        <v>2.8</v>
      </c>
      <c r="P38" s="37">
        <v>2.7</v>
      </c>
      <c r="Q38" s="38">
        <f t="shared" si="1"/>
        <v>2.8</v>
      </c>
      <c r="R38" s="17">
        <v>2.4470000000000001</v>
      </c>
      <c r="S38" s="17">
        <v>2.496</v>
      </c>
      <c r="T38" s="22">
        <f t="shared" si="2"/>
        <v>2.472</v>
      </c>
      <c r="U38" s="34">
        <v>1.9990000000000001</v>
      </c>
      <c r="V38" s="34">
        <v>1.992</v>
      </c>
      <c r="W38" s="22">
        <f t="shared" si="3"/>
        <v>1.996</v>
      </c>
      <c r="X38" s="17">
        <v>4.2000000000000003E-2</v>
      </c>
      <c r="Y38" s="17">
        <v>4.5999999999999999E-2</v>
      </c>
      <c r="Z38" s="21">
        <f t="shared" si="4"/>
        <v>4.3999999999999997E-2</v>
      </c>
      <c r="AA38" s="30">
        <v>1.7769999999999999</v>
      </c>
      <c r="AB38" s="30">
        <v>1.8260000000000001</v>
      </c>
      <c r="AC38" s="31">
        <f t="shared" si="5"/>
        <v>1.802</v>
      </c>
      <c r="AD38" s="19">
        <v>0.14699999999999999</v>
      </c>
      <c r="AE38" s="19">
        <v>0.14799999999999999</v>
      </c>
      <c r="AF38" s="21">
        <f t="shared" si="6"/>
        <v>0.14799999999999999</v>
      </c>
      <c r="AG38" s="30">
        <v>8.7999999999999995E-2</v>
      </c>
      <c r="AH38" s="30">
        <v>8.6999999999999994E-2</v>
      </c>
      <c r="AI38" s="21">
        <f t="shared" si="7"/>
        <v>8.7999999999999995E-2</v>
      </c>
      <c r="AJ38" s="30">
        <v>7.2999999999999995E-2</v>
      </c>
      <c r="AK38" s="30">
        <v>7.2999999999999995E-2</v>
      </c>
      <c r="AL38" s="21">
        <f t="shared" si="8"/>
        <v>7.2999999999999995E-2</v>
      </c>
      <c r="AM38" s="30">
        <v>7.33</v>
      </c>
      <c r="AN38" s="30">
        <v>7.532</v>
      </c>
      <c r="AO38" s="31">
        <f t="shared" si="9"/>
        <v>7.431</v>
      </c>
      <c r="AP38" s="66">
        <v>0.1031</v>
      </c>
      <c r="AQ38" s="66">
        <v>0.1016</v>
      </c>
      <c r="AR38" s="65">
        <f t="shared" si="10"/>
        <v>0.1024</v>
      </c>
    </row>
    <row r="39" spans="1:44">
      <c r="A39" s="7" t="s">
        <v>137</v>
      </c>
      <c r="B39" s="5" t="s">
        <v>138</v>
      </c>
      <c r="C39" s="6"/>
      <c r="D39" s="6"/>
      <c r="E39" s="23">
        <v>23.8</v>
      </c>
      <c r="F39" s="23">
        <v>6.8</v>
      </c>
      <c r="G39" s="41">
        <v>288</v>
      </c>
      <c r="H39" s="23">
        <v>7.3</v>
      </c>
      <c r="I39" s="23">
        <v>9.1999999999999993</v>
      </c>
      <c r="J39" s="23">
        <v>13.8</v>
      </c>
      <c r="K39" s="37">
        <v>8</v>
      </c>
      <c r="L39" s="37">
        <v>9.9</v>
      </c>
      <c r="M39" s="37">
        <v>9.3000000000000007</v>
      </c>
      <c r="N39" s="38">
        <f t="shared" si="0"/>
        <v>9.1</v>
      </c>
      <c r="O39" s="37">
        <v>4.5999999999999996</v>
      </c>
      <c r="P39" s="37">
        <v>4.5999999999999996</v>
      </c>
      <c r="Q39" s="38">
        <f t="shared" si="1"/>
        <v>4.5999999999999996</v>
      </c>
      <c r="R39" s="17">
        <v>8.73</v>
      </c>
      <c r="S39" s="17">
        <v>8.7210000000000001</v>
      </c>
      <c r="T39" s="22">
        <f t="shared" si="2"/>
        <v>8.7260000000000009</v>
      </c>
      <c r="U39" s="34">
        <v>7.3</v>
      </c>
      <c r="V39" s="34">
        <v>7.3339999999999996</v>
      </c>
      <c r="W39" s="22">
        <f t="shared" si="3"/>
        <v>7.3170000000000002</v>
      </c>
      <c r="X39" s="17">
        <v>3.2919999999999998</v>
      </c>
      <c r="Y39" s="17">
        <v>3.3260000000000001</v>
      </c>
      <c r="Z39" s="21">
        <f t="shared" si="4"/>
        <v>3.3090000000000002</v>
      </c>
      <c r="AA39" s="30">
        <v>3.508</v>
      </c>
      <c r="AB39" s="30">
        <v>3.5419999999999998</v>
      </c>
      <c r="AC39" s="31">
        <f t="shared" si="5"/>
        <v>3.5249999999999999</v>
      </c>
      <c r="AD39" s="19">
        <v>0.70699999999999996</v>
      </c>
      <c r="AE39" s="19">
        <v>0.67400000000000004</v>
      </c>
      <c r="AF39" s="21">
        <f t="shared" si="6"/>
        <v>0.69099999999999995</v>
      </c>
      <c r="AG39" s="30">
        <v>0.26</v>
      </c>
      <c r="AH39" s="30">
        <v>0.26100000000000001</v>
      </c>
      <c r="AI39" s="21">
        <f t="shared" si="7"/>
        <v>0.26100000000000001</v>
      </c>
      <c r="AJ39" s="30">
        <v>0.23300000000000001</v>
      </c>
      <c r="AK39" s="30">
        <v>0.23300000000000001</v>
      </c>
      <c r="AL39" s="21">
        <f t="shared" si="8"/>
        <v>0.23300000000000001</v>
      </c>
      <c r="AM39" s="30">
        <v>28.785</v>
      </c>
      <c r="AN39" s="30">
        <v>29.123000000000001</v>
      </c>
      <c r="AO39" s="31">
        <f t="shared" si="9"/>
        <v>28.954000000000001</v>
      </c>
      <c r="AP39" s="66">
        <v>0.10009999999999999</v>
      </c>
      <c r="AQ39" s="66">
        <v>9.8100000000000007E-2</v>
      </c>
      <c r="AR39" s="65">
        <f t="shared" si="10"/>
        <v>9.9099999999999994E-2</v>
      </c>
    </row>
    <row r="40" spans="1:44">
      <c r="A40" s="7" t="s">
        <v>162</v>
      </c>
      <c r="B40" s="5" t="s">
        <v>163</v>
      </c>
      <c r="C40" s="6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37">
        <v>1.1000000000000001</v>
      </c>
      <c r="P40" s="37">
        <v>1</v>
      </c>
      <c r="Q40" s="38">
        <f t="shared" si="1"/>
        <v>1.1000000000000001</v>
      </c>
      <c r="R40" s="4"/>
      <c r="S40" s="4"/>
      <c r="T40" s="4"/>
      <c r="U40" s="55">
        <v>24.536999999999999</v>
      </c>
      <c r="V40" s="4">
        <v>24.591999999999999</v>
      </c>
      <c r="W40" s="22">
        <f t="shared" si="3"/>
        <v>24.565000000000001</v>
      </c>
      <c r="X40" s="4"/>
      <c r="Y40" s="4"/>
      <c r="Z40" s="4"/>
      <c r="AA40" s="34">
        <v>24.472000000000001</v>
      </c>
      <c r="AB40" s="34">
        <v>24.364999999999998</v>
      </c>
      <c r="AC40" s="31">
        <f t="shared" si="5"/>
        <v>24.419</v>
      </c>
      <c r="AD40" s="4"/>
      <c r="AE40" s="4"/>
      <c r="AF40" s="5"/>
      <c r="AG40" s="5">
        <v>0.218</v>
      </c>
      <c r="AH40" s="5">
        <v>0.22500000000000001</v>
      </c>
      <c r="AI40" s="21">
        <f t="shared" si="7"/>
        <v>0.222</v>
      </c>
      <c r="AJ40" s="5">
        <v>0.20499999999999999</v>
      </c>
      <c r="AK40" s="5">
        <v>0.20100000000000001</v>
      </c>
      <c r="AL40" s="21">
        <f t="shared" si="8"/>
        <v>0.20300000000000001</v>
      </c>
      <c r="AM40" s="52">
        <v>42.9</v>
      </c>
      <c r="AN40" s="52">
        <v>42.804000000000002</v>
      </c>
      <c r="AO40" s="61">
        <f t="shared" si="9"/>
        <v>42.851999999999997</v>
      </c>
      <c r="AP40" s="67">
        <v>1.9099999999999999E-2</v>
      </c>
      <c r="AQ40" s="67">
        <v>1.9E-2</v>
      </c>
      <c r="AR40" s="68">
        <f t="shared" si="10"/>
        <v>1.9099999999999999E-2</v>
      </c>
    </row>
  </sheetData>
  <mergeCells count="18">
    <mergeCell ref="J1:J2"/>
    <mergeCell ref="K1:N1"/>
    <mergeCell ref="O1:Q1"/>
    <mergeCell ref="R1:T1"/>
    <mergeCell ref="I1:I2"/>
    <mergeCell ref="A1:A2"/>
    <mergeCell ref="B1:B2"/>
    <mergeCell ref="C1:C2"/>
    <mergeCell ref="D1:D2"/>
    <mergeCell ref="E1:H1"/>
    <mergeCell ref="AJ1:AL1"/>
    <mergeCell ref="AM1:AO1"/>
    <mergeCell ref="AP1:AR1"/>
    <mergeCell ref="U1:W1"/>
    <mergeCell ref="X1:Z1"/>
    <mergeCell ref="AA1:AC1"/>
    <mergeCell ref="AD1:AF1"/>
    <mergeCell ref="AG1:AI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40"/>
  <sheetViews>
    <sheetView zoomScale="85" zoomScaleNormal="85" workbookViewId="0">
      <selection activeCell="E1" sqref="A1:XFD2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19" width="9" style="1"/>
    <col min="20" max="20" width="9" style="3"/>
    <col min="21" max="30" width="9" style="1"/>
  </cols>
  <sheetData>
    <row r="1" spans="1:43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8"/>
      <c r="N1" s="76" t="s">
        <v>125</v>
      </c>
      <c r="O1" s="77"/>
      <c r="P1" s="78"/>
      <c r="Q1" s="76" t="s">
        <v>135</v>
      </c>
      <c r="R1" s="77"/>
      <c r="S1" s="78"/>
      <c r="T1" s="76" t="s">
        <v>126</v>
      </c>
      <c r="U1" s="77"/>
      <c r="V1" s="78"/>
      <c r="W1" s="76" t="s">
        <v>127</v>
      </c>
      <c r="X1" s="77"/>
      <c r="Y1" s="78"/>
      <c r="Z1" s="76" t="s">
        <v>128</v>
      </c>
      <c r="AA1" s="77"/>
      <c r="AB1" s="78"/>
      <c r="AC1" s="76" t="s">
        <v>129</v>
      </c>
      <c r="AD1" s="77"/>
      <c r="AE1" s="78"/>
      <c r="AF1" s="76" t="s">
        <v>130</v>
      </c>
      <c r="AG1" s="77"/>
      <c r="AH1" s="78"/>
      <c r="AI1" s="76" t="s">
        <v>131</v>
      </c>
      <c r="AJ1" s="77"/>
      <c r="AK1" s="78"/>
      <c r="AL1" s="76" t="s">
        <v>132</v>
      </c>
      <c r="AM1" s="77"/>
      <c r="AN1" s="78"/>
      <c r="AO1" s="76" t="s">
        <v>134</v>
      </c>
      <c r="AP1" s="77"/>
      <c r="AQ1" s="78"/>
    </row>
    <row r="2" spans="1:43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113</v>
      </c>
      <c r="H2" s="12" t="s">
        <v>112</v>
      </c>
      <c r="I2" s="70"/>
      <c r="J2" s="80"/>
      <c r="K2" s="13" t="s">
        <v>115</v>
      </c>
      <c r="L2" s="13" t="s">
        <v>116</v>
      </c>
      <c r="M2" s="12" t="s">
        <v>114</v>
      </c>
      <c r="N2" s="13" t="s">
        <v>115</v>
      </c>
      <c r="O2" s="13" t="s">
        <v>116</v>
      </c>
      <c r="P2" s="12" t="s">
        <v>114</v>
      </c>
      <c r="Q2" s="13" t="s">
        <v>115</v>
      </c>
      <c r="R2" s="13" t="s">
        <v>116</v>
      </c>
      <c r="S2" s="12" t="s">
        <v>114</v>
      </c>
      <c r="T2" s="13" t="s">
        <v>115</v>
      </c>
      <c r="U2" s="13" t="s">
        <v>116</v>
      </c>
      <c r="V2" s="12" t="s">
        <v>114</v>
      </c>
      <c r="W2" s="13" t="s">
        <v>115</v>
      </c>
      <c r="X2" s="13" t="s">
        <v>116</v>
      </c>
      <c r="Y2" s="12" t="s">
        <v>114</v>
      </c>
      <c r="Z2" s="13" t="s">
        <v>115</v>
      </c>
      <c r="AA2" s="13" t="s">
        <v>116</v>
      </c>
      <c r="AB2" s="12" t="s">
        <v>114</v>
      </c>
      <c r="AC2" s="13" t="s">
        <v>115</v>
      </c>
      <c r="AD2" s="13" t="s">
        <v>116</v>
      </c>
      <c r="AE2" s="12" t="s">
        <v>114</v>
      </c>
      <c r="AF2" s="13" t="s">
        <v>115</v>
      </c>
      <c r="AG2" s="13" t="s">
        <v>116</v>
      </c>
      <c r="AH2" s="12" t="s">
        <v>114</v>
      </c>
      <c r="AI2" s="13" t="s">
        <v>115</v>
      </c>
      <c r="AJ2" s="13" t="s">
        <v>116</v>
      </c>
      <c r="AK2" s="12" t="s">
        <v>114</v>
      </c>
      <c r="AL2" s="13" t="s">
        <v>115</v>
      </c>
      <c r="AM2" s="13" t="s">
        <v>116</v>
      </c>
      <c r="AN2" s="12" t="s">
        <v>114</v>
      </c>
      <c r="AO2" s="13" t="s">
        <v>115</v>
      </c>
      <c r="AP2" s="13" t="s">
        <v>116</v>
      </c>
      <c r="AQ2" s="12" t="s">
        <v>114</v>
      </c>
    </row>
    <row r="3" spans="1:43">
      <c r="A3" s="8" t="s">
        <v>136</v>
      </c>
      <c r="B3" s="9" t="s">
        <v>34</v>
      </c>
      <c r="C3" s="10" t="s">
        <v>35</v>
      </c>
      <c r="D3" s="10" t="s">
        <v>36</v>
      </c>
      <c r="E3" s="20">
        <v>26.9</v>
      </c>
      <c r="F3" s="20">
        <v>7.6</v>
      </c>
      <c r="G3" s="40">
        <v>120</v>
      </c>
      <c r="H3" s="20">
        <v>8</v>
      </c>
      <c r="I3" s="20">
        <v>0.9</v>
      </c>
      <c r="J3" s="20">
        <v>3.8</v>
      </c>
      <c r="K3" s="14">
        <v>2.6</v>
      </c>
      <c r="L3" s="14">
        <v>2.7</v>
      </c>
      <c r="M3" s="20">
        <f>ROUND(AVERAGE(K3:L3),1)</f>
        <v>2.7</v>
      </c>
      <c r="N3" s="36">
        <v>2.1</v>
      </c>
      <c r="O3" s="36">
        <v>2.1</v>
      </c>
      <c r="P3" s="38">
        <f>ROUND(AVERAGE(N3:O3),1)</f>
        <v>2.1</v>
      </c>
      <c r="Q3" s="16">
        <v>0.58699999999999997</v>
      </c>
      <c r="R3" s="16">
        <v>0.58699999999999997</v>
      </c>
      <c r="S3" s="22">
        <f>ROUND(AVERAGE(Q3:R3),3)</f>
        <v>0.58699999999999997</v>
      </c>
      <c r="T3" s="16">
        <v>0.53</v>
      </c>
      <c r="U3" s="16">
        <v>0.52800000000000002</v>
      </c>
      <c r="V3" s="22">
        <f>ROUND(AVERAGE(T3:U3),3)</f>
        <v>0.52900000000000003</v>
      </c>
      <c r="W3" s="16">
        <v>0.03</v>
      </c>
      <c r="X3" s="16">
        <v>0.03</v>
      </c>
      <c r="Y3" s="21">
        <f>ROUND(AVERAGE(W3:X3),3)</f>
        <v>0.03</v>
      </c>
      <c r="Z3" s="18">
        <v>0.36499999999999999</v>
      </c>
      <c r="AA3" s="18">
        <v>0.373</v>
      </c>
      <c r="AB3" s="21">
        <f>ROUND(AVERAGE(Z3:AA3),3)</f>
        <v>0.36899999999999999</v>
      </c>
      <c r="AC3" s="18">
        <v>6.4000000000000001E-2</v>
      </c>
      <c r="AD3" s="18">
        <v>5.5E-2</v>
      </c>
      <c r="AE3" s="21">
        <f>ROUND(AVERAGE(AC3:AD3),3)</f>
        <v>0.06</v>
      </c>
      <c r="AF3" s="29">
        <v>3.5999999999999997E-2</v>
      </c>
      <c r="AG3" s="29">
        <v>3.7999999999999999E-2</v>
      </c>
      <c r="AH3" s="21">
        <f>ROUND(AVERAGE(AF3:AG3),3)</f>
        <v>3.6999999999999998E-2</v>
      </c>
      <c r="AI3" s="18">
        <v>2.4E-2</v>
      </c>
      <c r="AJ3" s="18">
        <v>2.5999999999999999E-2</v>
      </c>
      <c r="AK3" s="21">
        <f>ROUND(AVERAGE(AI3:AJ3),3)</f>
        <v>2.5000000000000001E-2</v>
      </c>
      <c r="AL3" s="18">
        <v>9.5549999999999997</v>
      </c>
      <c r="AM3" s="18">
        <v>9.3989999999999991</v>
      </c>
      <c r="AN3" s="21">
        <f>ROUND(AVERAGE(AL3:AM3),3)</f>
        <v>9.4770000000000003</v>
      </c>
      <c r="AO3" s="44">
        <v>7.7799999999999994E-2</v>
      </c>
      <c r="AP3" s="44">
        <v>7.4899999999999994E-2</v>
      </c>
      <c r="AQ3" s="45">
        <f>ROUND(AVERAGE(AO3:AP3),4)</f>
        <v>7.6399999999999996E-2</v>
      </c>
    </row>
    <row r="4" spans="1:43">
      <c r="A4" s="7" t="s">
        <v>37</v>
      </c>
      <c r="B4" s="5" t="s">
        <v>38</v>
      </c>
      <c r="C4" s="6" t="s">
        <v>39</v>
      </c>
      <c r="D4" s="6" t="s">
        <v>40</v>
      </c>
      <c r="E4" s="23">
        <v>27.5</v>
      </c>
      <c r="F4" s="23">
        <v>7.1</v>
      </c>
      <c r="G4" s="41">
        <v>90</v>
      </c>
      <c r="H4" s="23">
        <v>7</v>
      </c>
      <c r="I4" s="23">
        <v>0.8</v>
      </c>
      <c r="J4" s="23">
        <v>3.8</v>
      </c>
      <c r="K4" s="15">
        <v>2.6</v>
      </c>
      <c r="L4" s="15">
        <v>2.6</v>
      </c>
      <c r="M4" s="20">
        <f t="shared" ref="M4:M40" si="0">ROUND(AVERAGE(K4:L4),1)</f>
        <v>2.6</v>
      </c>
      <c r="N4" s="37">
        <v>2.2000000000000002</v>
      </c>
      <c r="O4" s="37">
        <v>2.1</v>
      </c>
      <c r="P4" s="38">
        <f t="shared" ref="P4:P40" si="1">ROUND(AVERAGE(N4:O4),1)</f>
        <v>2.2000000000000002</v>
      </c>
      <c r="Q4" s="17">
        <v>0.83399999999999996</v>
      </c>
      <c r="R4" s="17">
        <v>0.83</v>
      </c>
      <c r="S4" s="22">
        <f t="shared" ref="S4:S40" si="2">ROUND(AVERAGE(Q4:R4),3)</f>
        <v>0.83199999999999996</v>
      </c>
      <c r="T4" s="17">
        <v>0.78400000000000003</v>
      </c>
      <c r="U4" s="17">
        <v>0.8</v>
      </c>
      <c r="V4" s="22">
        <f t="shared" ref="V4:V40" si="3">ROUND(AVERAGE(T4:U4),3)</f>
        <v>0.79200000000000004</v>
      </c>
      <c r="W4" s="17">
        <v>3.2000000000000001E-2</v>
      </c>
      <c r="X4" s="17">
        <v>5.1999999999999998E-2</v>
      </c>
      <c r="Y4" s="21">
        <f t="shared" ref="Y4:Y40" si="4">ROUND(AVERAGE(W4:X4),3)</f>
        <v>4.2000000000000003E-2</v>
      </c>
      <c r="Z4" s="19">
        <v>0.61799999999999999</v>
      </c>
      <c r="AA4" s="19">
        <v>0.627</v>
      </c>
      <c r="AB4" s="21">
        <f t="shared" ref="AB4:AB40" si="5">ROUND(AVERAGE(Z4:AA4),3)</f>
        <v>0.623</v>
      </c>
      <c r="AC4" s="19">
        <v>3.7999999999999999E-2</v>
      </c>
      <c r="AD4" s="19">
        <v>3.2000000000000001E-2</v>
      </c>
      <c r="AE4" s="21">
        <f t="shared" ref="AE4:AE40" si="6">ROUND(AVERAGE(AC4:AD4),3)</f>
        <v>3.5000000000000003E-2</v>
      </c>
      <c r="AF4" s="30">
        <v>0.02</v>
      </c>
      <c r="AG4" s="30">
        <v>1.7999999999999999E-2</v>
      </c>
      <c r="AH4" s="21">
        <f t="shared" ref="AH4:AH40" si="7">ROUND(AVERAGE(AF4:AG4),3)</f>
        <v>1.9E-2</v>
      </c>
      <c r="AI4" s="19">
        <v>4.0000000000000001E-3</v>
      </c>
      <c r="AJ4" s="19">
        <v>7.0000000000000001E-3</v>
      </c>
      <c r="AK4" s="21">
        <f t="shared" ref="AK4:AK40" si="8">ROUND(AVERAGE(AI4:AJ4),3)</f>
        <v>6.0000000000000001E-3</v>
      </c>
      <c r="AL4" s="19">
        <v>4.9539999999999997</v>
      </c>
      <c r="AM4" s="19">
        <v>4.9589999999999996</v>
      </c>
      <c r="AN4" s="21">
        <f t="shared" ref="AN4:AN40" si="9">ROUND(AVERAGE(AL4:AM4),3)</f>
        <v>4.9569999999999999</v>
      </c>
      <c r="AO4" s="46">
        <v>6.9199999999999998E-2</v>
      </c>
      <c r="AP4" s="46">
        <v>6.7699999999999996E-2</v>
      </c>
      <c r="AQ4" s="45">
        <f t="shared" ref="AQ4:AQ40" si="10">ROUND(AVERAGE(AO4:AP4),4)</f>
        <v>6.8500000000000005E-2</v>
      </c>
    </row>
    <row r="5" spans="1:43">
      <c r="A5" s="7" t="s">
        <v>0</v>
      </c>
      <c r="B5" s="5" t="s">
        <v>41</v>
      </c>
      <c r="C5" s="6" t="s">
        <v>42</v>
      </c>
      <c r="D5" s="6" t="s">
        <v>36</v>
      </c>
      <c r="E5" s="23">
        <v>27.3</v>
      </c>
      <c r="F5" s="23">
        <v>7</v>
      </c>
      <c r="G5" s="41">
        <v>113</v>
      </c>
      <c r="H5" s="23">
        <v>8</v>
      </c>
      <c r="I5" s="23">
        <v>0.8</v>
      </c>
      <c r="J5" s="23">
        <v>3.7</v>
      </c>
      <c r="K5" s="15">
        <v>2.4</v>
      </c>
      <c r="L5" s="15">
        <v>2.6</v>
      </c>
      <c r="M5" s="20">
        <f t="shared" si="0"/>
        <v>2.5</v>
      </c>
      <c r="N5" s="37">
        <v>2.2000000000000002</v>
      </c>
      <c r="O5" s="37">
        <v>2</v>
      </c>
      <c r="P5" s="38">
        <f t="shared" si="1"/>
        <v>2.1</v>
      </c>
      <c r="Q5" s="17">
        <v>0.75800000000000001</v>
      </c>
      <c r="R5" s="17">
        <v>0.749</v>
      </c>
      <c r="S5" s="22">
        <f t="shared" si="2"/>
        <v>0.754</v>
      </c>
      <c r="T5" s="17">
        <v>0.70799999999999996</v>
      </c>
      <c r="U5" s="17">
        <v>0.69699999999999995</v>
      </c>
      <c r="V5" s="22">
        <f t="shared" si="3"/>
        <v>0.70299999999999996</v>
      </c>
      <c r="W5" s="17">
        <v>3.5000000000000003E-2</v>
      </c>
      <c r="X5" s="17">
        <v>3.6999999999999998E-2</v>
      </c>
      <c r="Y5" s="21">
        <f t="shared" si="4"/>
        <v>3.5999999999999997E-2</v>
      </c>
      <c r="Z5" s="19">
        <v>0.55000000000000004</v>
      </c>
      <c r="AA5" s="19">
        <v>0.55600000000000005</v>
      </c>
      <c r="AB5" s="21">
        <f t="shared" si="5"/>
        <v>0.55300000000000005</v>
      </c>
      <c r="AC5" s="19">
        <v>4.4999999999999998E-2</v>
      </c>
      <c r="AD5" s="19">
        <v>3.6999999999999998E-2</v>
      </c>
      <c r="AE5" s="21">
        <f t="shared" si="6"/>
        <v>4.1000000000000002E-2</v>
      </c>
      <c r="AF5" s="30">
        <v>2.1000000000000001E-2</v>
      </c>
      <c r="AG5" s="30">
        <v>0.02</v>
      </c>
      <c r="AH5" s="21">
        <f t="shared" si="7"/>
        <v>2.1000000000000001E-2</v>
      </c>
      <c r="AI5" s="19">
        <v>1.2999999999999999E-2</v>
      </c>
      <c r="AJ5" s="19">
        <v>0.01</v>
      </c>
      <c r="AK5" s="21">
        <f t="shared" si="8"/>
        <v>1.2E-2</v>
      </c>
      <c r="AL5" s="19">
        <v>7.2030000000000003</v>
      </c>
      <c r="AM5" s="19">
        <v>7.1909999999999998</v>
      </c>
      <c r="AN5" s="21">
        <f t="shared" si="9"/>
        <v>7.1970000000000001</v>
      </c>
      <c r="AO5" s="46">
        <v>6.7699999999999996E-2</v>
      </c>
      <c r="AP5" s="46">
        <v>6.6199999999999995E-2</v>
      </c>
      <c r="AQ5" s="45">
        <f t="shared" si="10"/>
        <v>6.7000000000000004E-2</v>
      </c>
    </row>
    <row r="6" spans="1:43">
      <c r="A6" s="7" t="s">
        <v>1</v>
      </c>
      <c r="B6" s="5" t="s">
        <v>43</v>
      </c>
      <c r="C6" s="6" t="s">
        <v>44</v>
      </c>
      <c r="D6" s="6" t="s">
        <v>45</v>
      </c>
      <c r="E6" s="23">
        <v>27.1</v>
      </c>
      <c r="F6" s="23">
        <v>7.2</v>
      </c>
      <c r="G6" s="41">
        <v>85</v>
      </c>
      <c r="H6" s="23">
        <v>7.6</v>
      </c>
      <c r="I6" s="23">
        <v>0.7</v>
      </c>
      <c r="J6" s="23">
        <v>4.0999999999999996</v>
      </c>
      <c r="K6" s="15">
        <v>2.7</v>
      </c>
      <c r="L6" s="15">
        <v>2.6</v>
      </c>
      <c r="M6" s="20">
        <f t="shared" si="0"/>
        <v>2.7</v>
      </c>
      <c r="N6" s="37">
        <v>2.6</v>
      </c>
      <c r="O6" s="37">
        <v>2.4</v>
      </c>
      <c r="P6" s="38">
        <f t="shared" si="1"/>
        <v>2.5</v>
      </c>
      <c r="Q6" s="17">
        <v>0.52700000000000002</v>
      </c>
      <c r="R6" s="17">
        <v>0.504</v>
      </c>
      <c r="S6" s="22">
        <f t="shared" si="2"/>
        <v>0.51600000000000001</v>
      </c>
      <c r="T6" s="17">
        <v>0.46300000000000002</v>
      </c>
      <c r="U6" s="17">
        <v>0.48099999999999998</v>
      </c>
      <c r="V6" s="22">
        <f t="shared" si="3"/>
        <v>0.47199999999999998</v>
      </c>
      <c r="W6" s="17">
        <v>5.2999999999999999E-2</v>
      </c>
      <c r="X6" s="17">
        <v>5.3999999999999999E-2</v>
      </c>
      <c r="Y6" s="21">
        <f t="shared" si="4"/>
        <v>5.3999999999999999E-2</v>
      </c>
      <c r="Z6" s="19">
        <v>0.30499999999999999</v>
      </c>
      <c r="AA6" s="19">
        <v>0.309</v>
      </c>
      <c r="AB6" s="21">
        <f t="shared" si="5"/>
        <v>0.307</v>
      </c>
      <c r="AC6" s="19">
        <v>4.2999999999999997E-2</v>
      </c>
      <c r="AD6" s="19">
        <v>3.6999999999999998E-2</v>
      </c>
      <c r="AE6" s="21">
        <f t="shared" si="6"/>
        <v>0.04</v>
      </c>
      <c r="AF6" s="30">
        <v>2.4E-2</v>
      </c>
      <c r="AG6" s="30">
        <v>2.5000000000000001E-2</v>
      </c>
      <c r="AH6" s="21">
        <f t="shared" si="7"/>
        <v>2.5000000000000001E-2</v>
      </c>
      <c r="AI6" s="19">
        <v>0.01</v>
      </c>
      <c r="AJ6" s="19">
        <v>0.01</v>
      </c>
      <c r="AK6" s="21">
        <f t="shared" si="8"/>
        <v>0.01</v>
      </c>
      <c r="AL6" s="19">
        <v>4.7670000000000003</v>
      </c>
      <c r="AM6" s="19">
        <v>4.7590000000000003</v>
      </c>
      <c r="AN6" s="21">
        <f t="shared" si="9"/>
        <v>4.7629999999999999</v>
      </c>
      <c r="AO6" s="46">
        <v>0.106</v>
      </c>
      <c r="AP6" s="46">
        <v>0.1037</v>
      </c>
      <c r="AQ6" s="45">
        <f t="shared" si="10"/>
        <v>0.10489999999999999</v>
      </c>
    </row>
    <row r="7" spans="1:43">
      <c r="A7" s="7" t="s">
        <v>2</v>
      </c>
      <c r="B7" s="5" t="s">
        <v>46</v>
      </c>
      <c r="C7" s="6" t="s">
        <v>47</v>
      </c>
      <c r="D7" s="6" t="s">
        <v>36</v>
      </c>
      <c r="E7" s="23">
        <v>27.9</v>
      </c>
      <c r="F7" s="23">
        <v>7.1</v>
      </c>
      <c r="G7" s="41">
        <v>111</v>
      </c>
      <c r="H7" s="23">
        <v>7.3</v>
      </c>
      <c r="I7" s="23">
        <v>0.9</v>
      </c>
      <c r="J7" s="23">
        <v>3.8</v>
      </c>
      <c r="K7" s="15">
        <v>2.5</v>
      </c>
      <c r="L7" s="15">
        <v>2.5</v>
      </c>
      <c r="M7" s="20">
        <f t="shared" si="0"/>
        <v>2.5</v>
      </c>
      <c r="N7" s="37">
        <v>2.2000000000000002</v>
      </c>
      <c r="O7" s="37">
        <v>2.1</v>
      </c>
      <c r="P7" s="38">
        <f t="shared" si="1"/>
        <v>2.2000000000000002</v>
      </c>
      <c r="Q7" s="17">
        <v>0.95099999999999996</v>
      </c>
      <c r="R7" s="17">
        <v>0.91700000000000004</v>
      </c>
      <c r="S7" s="22">
        <f t="shared" si="2"/>
        <v>0.93400000000000005</v>
      </c>
      <c r="T7" s="17">
        <v>0.86699999999999999</v>
      </c>
      <c r="U7" s="17">
        <v>0.85899999999999999</v>
      </c>
      <c r="V7" s="22">
        <f t="shared" si="3"/>
        <v>0.86299999999999999</v>
      </c>
      <c r="W7" s="17">
        <v>6.2E-2</v>
      </c>
      <c r="X7" s="17">
        <v>6.2E-2</v>
      </c>
      <c r="Y7" s="21">
        <f t="shared" si="4"/>
        <v>6.2E-2</v>
      </c>
      <c r="Z7" s="19">
        <v>0.65</v>
      </c>
      <c r="AA7" s="19">
        <v>0.66100000000000003</v>
      </c>
      <c r="AB7" s="21">
        <f t="shared" si="5"/>
        <v>0.65600000000000003</v>
      </c>
      <c r="AC7" s="19">
        <v>5.1999999999999998E-2</v>
      </c>
      <c r="AD7" s="19">
        <v>4.3999999999999997E-2</v>
      </c>
      <c r="AE7" s="21">
        <f t="shared" si="6"/>
        <v>4.8000000000000001E-2</v>
      </c>
      <c r="AF7" s="30">
        <v>2.7E-2</v>
      </c>
      <c r="AG7" s="30">
        <v>2.8000000000000001E-2</v>
      </c>
      <c r="AH7" s="21">
        <f t="shared" si="7"/>
        <v>2.8000000000000001E-2</v>
      </c>
      <c r="AI7" s="19">
        <v>1.6E-2</v>
      </c>
      <c r="AJ7" s="19">
        <v>1.4999999999999999E-2</v>
      </c>
      <c r="AK7" s="21">
        <f t="shared" si="8"/>
        <v>1.6E-2</v>
      </c>
      <c r="AL7" s="19">
        <v>7.1970000000000001</v>
      </c>
      <c r="AM7" s="19">
        <v>7.1859999999999999</v>
      </c>
      <c r="AN7" s="21">
        <f t="shared" si="9"/>
        <v>7.1920000000000002</v>
      </c>
      <c r="AO7" s="46">
        <v>7.0000000000000007E-2</v>
      </c>
      <c r="AP7" s="46">
        <v>7.0000000000000007E-2</v>
      </c>
      <c r="AQ7" s="45">
        <f t="shared" si="10"/>
        <v>7.0000000000000007E-2</v>
      </c>
    </row>
    <row r="8" spans="1:43">
      <c r="A8" s="7" t="s">
        <v>3</v>
      </c>
      <c r="B8" s="5" t="s">
        <v>46</v>
      </c>
      <c r="C8" s="6" t="s">
        <v>44</v>
      </c>
      <c r="D8" s="6" t="s">
        <v>48</v>
      </c>
      <c r="E8" s="23">
        <v>27.4</v>
      </c>
      <c r="F8" s="23">
        <v>7.4</v>
      </c>
      <c r="G8" s="41">
        <v>87</v>
      </c>
      <c r="H8" s="23">
        <v>9.6999999999999993</v>
      </c>
      <c r="I8" s="23">
        <v>0.9</v>
      </c>
      <c r="J8" s="23">
        <v>3.6</v>
      </c>
      <c r="K8" s="15">
        <v>2.5</v>
      </c>
      <c r="L8" s="15">
        <v>2.5</v>
      </c>
      <c r="M8" s="20">
        <f t="shared" si="0"/>
        <v>2.5</v>
      </c>
      <c r="N8" s="37">
        <v>2.1</v>
      </c>
      <c r="O8" s="37">
        <v>2</v>
      </c>
      <c r="P8" s="38">
        <f t="shared" si="1"/>
        <v>2.1</v>
      </c>
      <c r="Q8" s="17">
        <v>0.53800000000000003</v>
      </c>
      <c r="R8" s="17">
        <v>0.54100000000000004</v>
      </c>
      <c r="S8" s="22">
        <f t="shared" si="2"/>
        <v>0.54</v>
      </c>
      <c r="T8" s="17">
        <v>0.48199999999999998</v>
      </c>
      <c r="U8" s="17">
        <v>0.47799999999999998</v>
      </c>
      <c r="V8" s="22">
        <f t="shared" si="3"/>
        <v>0.48</v>
      </c>
      <c r="W8" s="17">
        <v>3.4000000000000002E-2</v>
      </c>
      <c r="X8" s="17">
        <v>3.6999999999999998E-2</v>
      </c>
      <c r="Y8" s="21">
        <f t="shared" si="4"/>
        <v>3.5999999999999997E-2</v>
      </c>
      <c r="Z8" s="19">
        <v>0.33600000000000002</v>
      </c>
      <c r="AA8" s="19">
        <v>0.34499999999999997</v>
      </c>
      <c r="AB8" s="21">
        <f t="shared" si="5"/>
        <v>0.34100000000000003</v>
      </c>
      <c r="AC8" s="19">
        <v>0.05</v>
      </c>
      <c r="AD8" s="19">
        <v>4.2999999999999997E-2</v>
      </c>
      <c r="AE8" s="21">
        <f t="shared" si="6"/>
        <v>4.7E-2</v>
      </c>
      <c r="AF8" s="30">
        <v>2.1000000000000001E-2</v>
      </c>
      <c r="AG8" s="30">
        <v>2.1000000000000001E-2</v>
      </c>
      <c r="AH8" s="21">
        <f t="shared" si="7"/>
        <v>2.1000000000000001E-2</v>
      </c>
      <c r="AI8" s="19">
        <v>1.0999999999999999E-2</v>
      </c>
      <c r="AJ8" s="19">
        <v>0.01</v>
      </c>
      <c r="AK8" s="21">
        <f t="shared" si="8"/>
        <v>1.0999999999999999E-2</v>
      </c>
      <c r="AL8" s="19">
        <v>4.8970000000000002</v>
      </c>
      <c r="AM8" s="19">
        <v>4.9089999999999998</v>
      </c>
      <c r="AN8" s="21">
        <f t="shared" si="9"/>
        <v>4.9029999999999996</v>
      </c>
      <c r="AO8" s="46">
        <v>6.8699999999999997E-2</v>
      </c>
      <c r="AP8" s="46">
        <v>6.8599999999999994E-2</v>
      </c>
      <c r="AQ8" s="45">
        <f t="shared" si="10"/>
        <v>6.8699999999999997E-2</v>
      </c>
    </row>
    <row r="9" spans="1:43">
      <c r="A9" s="7" t="s">
        <v>4</v>
      </c>
      <c r="B9" s="5" t="s">
        <v>49</v>
      </c>
      <c r="C9" s="6" t="s">
        <v>44</v>
      </c>
      <c r="D9" s="6" t="s">
        <v>36</v>
      </c>
      <c r="E9" s="23">
        <v>27.2</v>
      </c>
      <c r="F9" s="23">
        <v>7</v>
      </c>
      <c r="G9" s="41">
        <v>102</v>
      </c>
      <c r="H9" s="23">
        <v>7</v>
      </c>
      <c r="I9" s="23">
        <v>0.7</v>
      </c>
      <c r="J9" s="23">
        <v>3.6</v>
      </c>
      <c r="K9" s="15">
        <v>2.2000000000000002</v>
      </c>
      <c r="L9" s="15">
        <v>2.2999999999999998</v>
      </c>
      <c r="M9" s="20">
        <f t="shared" si="0"/>
        <v>2.2999999999999998</v>
      </c>
      <c r="N9" s="37">
        <v>2</v>
      </c>
      <c r="O9" s="37">
        <v>1.9</v>
      </c>
      <c r="P9" s="38">
        <f t="shared" si="1"/>
        <v>2</v>
      </c>
      <c r="Q9" s="17">
        <v>0.747</v>
      </c>
      <c r="R9" s="17">
        <v>0.755</v>
      </c>
      <c r="S9" s="22">
        <f t="shared" si="2"/>
        <v>0.751</v>
      </c>
      <c r="T9" s="17">
        <v>0.68300000000000005</v>
      </c>
      <c r="U9" s="17">
        <v>0.68799999999999994</v>
      </c>
      <c r="V9" s="22">
        <f t="shared" si="3"/>
        <v>0.68600000000000005</v>
      </c>
      <c r="W9" s="17">
        <v>3.5999999999999997E-2</v>
      </c>
      <c r="X9" s="17">
        <v>5.2999999999999999E-2</v>
      </c>
      <c r="Y9" s="21">
        <f t="shared" si="4"/>
        <v>4.4999999999999998E-2</v>
      </c>
      <c r="Z9" s="19">
        <v>0.53</v>
      </c>
      <c r="AA9" s="19">
        <v>0.53400000000000003</v>
      </c>
      <c r="AB9" s="21">
        <f t="shared" si="5"/>
        <v>0.53200000000000003</v>
      </c>
      <c r="AC9" s="19">
        <v>4.2000000000000003E-2</v>
      </c>
      <c r="AD9" s="19">
        <v>3.4000000000000002E-2</v>
      </c>
      <c r="AE9" s="21">
        <f t="shared" si="6"/>
        <v>3.7999999999999999E-2</v>
      </c>
      <c r="AF9" s="30">
        <v>0.02</v>
      </c>
      <c r="AG9" s="30">
        <v>2.1000000000000001E-2</v>
      </c>
      <c r="AH9" s="21">
        <f t="shared" si="7"/>
        <v>2.1000000000000001E-2</v>
      </c>
      <c r="AI9" s="19">
        <v>0.01</v>
      </c>
      <c r="AJ9" s="19">
        <v>8.0000000000000002E-3</v>
      </c>
      <c r="AK9" s="21">
        <f t="shared" si="8"/>
        <v>8.9999999999999993E-3</v>
      </c>
      <c r="AL9" s="19">
        <v>6.548</v>
      </c>
      <c r="AM9" s="19">
        <v>6.4720000000000004</v>
      </c>
      <c r="AN9" s="21">
        <f t="shared" si="9"/>
        <v>6.51</v>
      </c>
      <c r="AO9" s="46">
        <v>6.3100000000000003E-2</v>
      </c>
      <c r="AP9" s="46">
        <v>6.4699999999999994E-2</v>
      </c>
      <c r="AQ9" s="45">
        <f t="shared" si="10"/>
        <v>6.3899999999999998E-2</v>
      </c>
    </row>
    <row r="10" spans="1:43">
      <c r="A10" s="7" t="s">
        <v>5</v>
      </c>
      <c r="B10" s="5" t="s">
        <v>50</v>
      </c>
      <c r="C10" s="6" t="s">
        <v>42</v>
      </c>
      <c r="D10" s="6" t="s">
        <v>51</v>
      </c>
      <c r="E10" s="23">
        <v>27.1</v>
      </c>
      <c r="F10" s="23">
        <v>6.9</v>
      </c>
      <c r="G10" s="41">
        <v>132</v>
      </c>
      <c r="H10" s="23">
        <v>6.3</v>
      </c>
      <c r="I10" s="23">
        <v>0.7</v>
      </c>
      <c r="J10" s="23">
        <v>3.9</v>
      </c>
      <c r="K10" s="15">
        <v>2.6</v>
      </c>
      <c r="L10" s="15">
        <v>2.5</v>
      </c>
      <c r="M10" s="20">
        <f t="shared" si="0"/>
        <v>2.6</v>
      </c>
      <c r="N10" s="37">
        <v>2.2000000000000002</v>
      </c>
      <c r="O10" s="37">
        <v>2.1</v>
      </c>
      <c r="P10" s="38">
        <f t="shared" si="1"/>
        <v>2.2000000000000002</v>
      </c>
      <c r="Q10" s="17">
        <v>1.5329999999999999</v>
      </c>
      <c r="R10" s="17">
        <v>1.54</v>
      </c>
      <c r="S10" s="22">
        <f t="shared" si="2"/>
        <v>1.5369999999999999</v>
      </c>
      <c r="T10" s="17">
        <v>1.47</v>
      </c>
      <c r="U10" s="17">
        <v>1.4790000000000001</v>
      </c>
      <c r="V10" s="22">
        <f t="shared" si="3"/>
        <v>1.4750000000000001</v>
      </c>
      <c r="W10" s="17">
        <v>5.8999999999999997E-2</v>
      </c>
      <c r="X10" s="17">
        <v>5.6000000000000001E-2</v>
      </c>
      <c r="Y10" s="21">
        <f t="shared" si="4"/>
        <v>5.8000000000000003E-2</v>
      </c>
      <c r="Z10" s="19">
        <v>1.224</v>
      </c>
      <c r="AA10" s="19">
        <v>1.236</v>
      </c>
      <c r="AB10" s="21">
        <f t="shared" si="5"/>
        <v>1.23</v>
      </c>
      <c r="AC10" s="19">
        <v>0.21299999999999999</v>
      </c>
      <c r="AD10" s="19">
        <v>0.20499999999999999</v>
      </c>
      <c r="AE10" s="21">
        <f t="shared" si="6"/>
        <v>0.20899999999999999</v>
      </c>
      <c r="AF10" s="30">
        <v>0.184</v>
      </c>
      <c r="AG10" s="30">
        <v>0.19</v>
      </c>
      <c r="AH10" s="21">
        <f t="shared" si="7"/>
        <v>0.187</v>
      </c>
      <c r="AI10" s="19">
        <v>0.183</v>
      </c>
      <c r="AJ10" s="19">
        <v>0.183</v>
      </c>
      <c r="AK10" s="21">
        <f t="shared" si="8"/>
        <v>0.183</v>
      </c>
      <c r="AL10" s="19">
        <v>7.2750000000000004</v>
      </c>
      <c r="AM10" s="19">
        <v>7.2949999999999999</v>
      </c>
      <c r="AN10" s="21">
        <f t="shared" si="9"/>
        <v>7.2850000000000001</v>
      </c>
      <c r="AO10" s="46">
        <v>6.3299999999999995E-2</v>
      </c>
      <c r="AP10" s="46">
        <v>6.5199999999999994E-2</v>
      </c>
      <c r="AQ10" s="45">
        <f t="shared" si="10"/>
        <v>6.4299999999999996E-2</v>
      </c>
    </row>
    <row r="11" spans="1:43">
      <c r="A11" s="7" t="s">
        <v>6</v>
      </c>
      <c r="B11" s="5" t="s">
        <v>52</v>
      </c>
      <c r="C11" s="6" t="s">
        <v>53</v>
      </c>
      <c r="D11" s="6" t="s">
        <v>36</v>
      </c>
      <c r="E11" s="23">
        <v>28.9</v>
      </c>
      <c r="F11" s="23">
        <v>7.1</v>
      </c>
      <c r="G11" s="41">
        <v>116</v>
      </c>
      <c r="H11" s="23">
        <v>7.6</v>
      </c>
      <c r="I11" s="23">
        <v>0.8</v>
      </c>
      <c r="J11" s="23">
        <v>3.6</v>
      </c>
      <c r="K11" s="15">
        <v>2.2999999999999998</v>
      </c>
      <c r="L11" s="15">
        <v>2.2000000000000002</v>
      </c>
      <c r="M11" s="20">
        <f t="shared" si="0"/>
        <v>2.2999999999999998</v>
      </c>
      <c r="N11" s="37">
        <v>2</v>
      </c>
      <c r="O11" s="37">
        <v>2</v>
      </c>
      <c r="P11" s="38">
        <f t="shared" si="1"/>
        <v>2</v>
      </c>
      <c r="Q11" s="17">
        <v>1.131</v>
      </c>
      <c r="R11" s="17">
        <v>1.1359999999999999</v>
      </c>
      <c r="S11" s="22">
        <f t="shared" si="2"/>
        <v>1.1339999999999999</v>
      </c>
      <c r="T11" s="17">
        <v>1.06</v>
      </c>
      <c r="U11" s="17">
        <v>1.05</v>
      </c>
      <c r="V11" s="22">
        <f t="shared" si="3"/>
        <v>1.0549999999999999</v>
      </c>
      <c r="W11" s="17">
        <v>0.06</v>
      </c>
      <c r="X11" s="17">
        <v>6.3E-2</v>
      </c>
      <c r="Y11" s="21">
        <f t="shared" si="4"/>
        <v>6.2E-2</v>
      </c>
      <c r="Z11" s="19">
        <v>0.86699999999999999</v>
      </c>
      <c r="AA11" s="19">
        <v>0.87</v>
      </c>
      <c r="AB11" s="21">
        <f t="shared" si="5"/>
        <v>0.86899999999999999</v>
      </c>
      <c r="AC11" s="19">
        <v>0.10299999999999999</v>
      </c>
      <c r="AD11" s="19">
        <v>9.5000000000000001E-2</v>
      </c>
      <c r="AE11" s="21">
        <f t="shared" si="6"/>
        <v>9.9000000000000005E-2</v>
      </c>
      <c r="AF11" s="30">
        <v>8.4000000000000005E-2</v>
      </c>
      <c r="AG11" s="30">
        <v>8.2000000000000003E-2</v>
      </c>
      <c r="AH11" s="21">
        <f t="shared" si="7"/>
        <v>8.3000000000000004E-2</v>
      </c>
      <c r="AI11" s="19">
        <v>7.5999999999999998E-2</v>
      </c>
      <c r="AJ11" s="19">
        <v>7.6999999999999999E-2</v>
      </c>
      <c r="AK11" s="21">
        <f t="shared" si="8"/>
        <v>7.6999999999999999E-2</v>
      </c>
      <c r="AL11" s="19">
        <v>6.4480000000000004</v>
      </c>
      <c r="AM11" s="19">
        <v>6.47</v>
      </c>
      <c r="AN11" s="21">
        <f t="shared" si="9"/>
        <v>6.4589999999999996</v>
      </c>
      <c r="AO11" s="46">
        <v>5.4800000000000001E-2</v>
      </c>
      <c r="AP11" s="46">
        <v>5.7000000000000002E-2</v>
      </c>
      <c r="AQ11" s="45">
        <f t="shared" si="10"/>
        <v>5.5899999999999998E-2</v>
      </c>
    </row>
    <row r="12" spans="1:43">
      <c r="A12" s="7" t="s">
        <v>7</v>
      </c>
      <c r="B12" s="5" t="s">
        <v>54</v>
      </c>
      <c r="C12" s="6" t="s">
        <v>55</v>
      </c>
      <c r="D12" s="6" t="s">
        <v>56</v>
      </c>
      <c r="E12" s="23">
        <v>29.2</v>
      </c>
      <c r="F12" s="23">
        <v>7.2</v>
      </c>
      <c r="G12" s="41">
        <v>114</v>
      </c>
      <c r="H12" s="23">
        <v>8</v>
      </c>
      <c r="I12" s="23">
        <v>1.6</v>
      </c>
      <c r="J12" s="23">
        <v>4.5999999999999996</v>
      </c>
      <c r="K12" s="15">
        <v>3.3</v>
      </c>
      <c r="L12" s="15">
        <v>2.9</v>
      </c>
      <c r="M12" s="20">
        <f t="shared" si="0"/>
        <v>3.1</v>
      </c>
      <c r="N12" s="37">
        <v>2.6</v>
      </c>
      <c r="O12" s="37">
        <v>2.5</v>
      </c>
      <c r="P12" s="38">
        <f t="shared" si="1"/>
        <v>2.6</v>
      </c>
      <c r="Q12" s="17">
        <v>0.89300000000000002</v>
      </c>
      <c r="R12" s="17">
        <v>0.88600000000000001</v>
      </c>
      <c r="S12" s="22">
        <f t="shared" si="2"/>
        <v>0.89</v>
      </c>
      <c r="T12" s="17">
        <v>0.73799999999999999</v>
      </c>
      <c r="U12" s="17">
        <v>0.73699999999999999</v>
      </c>
      <c r="V12" s="22">
        <f t="shared" si="3"/>
        <v>0.73799999999999999</v>
      </c>
      <c r="W12" s="17">
        <v>7.0999999999999994E-2</v>
      </c>
      <c r="X12" s="17">
        <v>7.2999999999999995E-2</v>
      </c>
      <c r="Y12" s="21">
        <f t="shared" si="4"/>
        <v>7.1999999999999995E-2</v>
      </c>
      <c r="Z12" s="19">
        <v>0.48099999999999998</v>
      </c>
      <c r="AA12" s="19">
        <v>0.48499999999999999</v>
      </c>
      <c r="AB12" s="21">
        <f t="shared" si="5"/>
        <v>0.48299999999999998</v>
      </c>
      <c r="AC12" s="19">
        <v>0.13200000000000001</v>
      </c>
      <c r="AD12" s="19">
        <v>0.123</v>
      </c>
      <c r="AE12" s="21">
        <f t="shared" si="6"/>
        <v>0.128</v>
      </c>
      <c r="AF12" s="30">
        <v>8.6999999999999994E-2</v>
      </c>
      <c r="AG12" s="30">
        <v>8.6999999999999994E-2</v>
      </c>
      <c r="AH12" s="21">
        <f t="shared" si="7"/>
        <v>8.6999999999999994E-2</v>
      </c>
      <c r="AI12" s="19">
        <v>7.5999999999999998E-2</v>
      </c>
      <c r="AJ12" s="19">
        <v>7.6999999999999999E-2</v>
      </c>
      <c r="AK12" s="21">
        <f t="shared" si="8"/>
        <v>7.6999999999999999E-2</v>
      </c>
      <c r="AL12" s="19">
        <v>6.7510000000000003</v>
      </c>
      <c r="AM12" s="19">
        <v>6.7869999999999999</v>
      </c>
      <c r="AN12" s="21">
        <f t="shared" si="9"/>
        <v>6.7690000000000001</v>
      </c>
      <c r="AO12" s="46">
        <v>7.6799999999999993E-2</v>
      </c>
      <c r="AP12" s="46">
        <v>7.8399999999999997E-2</v>
      </c>
      <c r="AQ12" s="45">
        <f t="shared" si="10"/>
        <v>7.7600000000000002E-2</v>
      </c>
    </row>
    <row r="13" spans="1:43">
      <c r="A13" s="7" t="s">
        <v>8</v>
      </c>
      <c r="B13" s="5" t="s">
        <v>54</v>
      </c>
      <c r="C13" s="6" t="s">
        <v>44</v>
      </c>
      <c r="D13" s="6" t="s">
        <v>36</v>
      </c>
      <c r="E13" s="23">
        <v>30.4</v>
      </c>
      <c r="F13" s="23">
        <v>7.4</v>
      </c>
      <c r="G13" s="41">
        <v>131</v>
      </c>
      <c r="H13" s="23">
        <v>7.4</v>
      </c>
      <c r="I13" s="23">
        <v>0.7</v>
      </c>
      <c r="J13" s="23">
        <v>4.2</v>
      </c>
      <c r="K13" s="15">
        <v>2.8</v>
      </c>
      <c r="L13" s="15">
        <v>2.8</v>
      </c>
      <c r="M13" s="20">
        <f t="shared" si="0"/>
        <v>2.8</v>
      </c>
      <c r="N13" s="37">
        <v>2.2999999999999998</v>
      </c>
      <c r="O13" s="37">
        <v>2.4</v>
      </c>
      <c r="P13" s="38">
        <f t="shared" si="1"/>
        <v>2.4</v>
      </c>
      <c r="Q13" s="17">
        <v>1.3959999999999999</v>
      </c>
      <c r="R13" s="17">
        <v>1.4359999999999999</v>
      </c>
      <c r="S13" s="22">
        <f t="shared" si="2"/>
        <v>1.4159999999999999</v>
      </c>
      <c r="T13" s="17">
        <v>1.3280000000000001</v>
      </c>
      <c r="U13" s="17">
        <v>1.343</v>
      </c>
      <c r="V13" s="22">
        <f t="shared" si="3"/>
        <v>1.3360000000000001</v>
      </c>
      <c r="W13" s="17">
        <v>8.5000000000000006E-2</v>
      </c>
      <c r="X13" s="17">
        <v>8.2000000000000003E-2</v>
      </c>
      <c r="Y13" s="21">
        <f t="shared" si="4"/>
        <v>8.4000000000000005E-2</v>
      </c>
      <c r="Z13" s="19">
        <v>1.0569999999999999</v>
      </c>
      <c r="AA13" s="19">
        <v>1.0669999999999999</v>
      </c>
      <c r="AB13" s="21">
        <f t="shared" si="5"/>
        <v>1.0620000000000001</v>
      </c>
      <c r="AC13" s="19">
        <v>0.156</v>
      </c>
      <c r="AD13" s="19">
        <v>0.14599999999999999</v>
      </c>
      <c r="AE13" s="21">
        <f t="shared" si="6"/>
        <v>0.151</v>
      </c>
      <c r="AF13" s="30">
        <v>0.11600000000000001</v>
      </c>
      <c r="AG13" s="30">
        <v>0.122</v>
      </c>
      <c r="AH13" s="21">
        <f t="shared" si="7"/>
        <v>0.11899999999999999</v>
      </c>
      <c r="AI13" s="19">
        <v>0.114</v>
      </c>
      <c r="AJ13" s="19">
        <v>0.11799999999999999</v>
      </c>
      <c r="AK13" s="21">
        <f t="shared" si="8"/>
        <v>0.11600000000000001</v>
      </c>
      <c r="AL13" s="19">
        <v>7.274</v>
      </c>
      <c r="AM13" s="19">
        <v>7.3140000000000001</v>
      </c>
      <c r="AN13" s="21">
        <f t="shared" si="9"/>
        <v>7.2939999999999996</v>
      </c>
      <c r="AO13" s="46">
        <v>7.0699999999999999E-2</v>
      </c>
      <c r="AP13" s="46">
        <v>7.3200000000000001E-2</v>
      </c>
      <c r="AQ13" s="45">
        <f t="shared" si="10"/>
        <v>7.1999999999999995E-2</v>
      </c>
    </row>
    <row r="14" spans="1:43">
      <c r="A14" s="7" t="s">
        <v>9</v>
      </c>
      <c r="B14" s="5" t="s">
        <v>57</v>
      </c>
      <c r="C14" s="6" t="s">
        <v>58</v>
      </c>
      <c r="D14" s="6" t="s">
        <v>59</v>
      </c>
      <c r="E14" s="23">
        <v>30.4</v>
      </c>
      <c r="F14" s="23">
        <v>7.5</v>
      </c>
      <c r="G14" s="41">
        <v>116</v>
      </c>
      <c r="H14" s="23">
        <v>8</v>
      </c>
      <c r="I14" s="23">
        <v>0.5</v>
      </c>
      <c r="J14" s="23">
        <v>3.1</v>
      </c>
      <c r="K14" s="15">
        <v>2.1</v>
      </c>
      <c r="L14" s="15">
        <v>2.1</v>
      </c>
      <c r="M14" s="20">
        <f t="shared" si="0"/>
        <v>2.1</v>
      </c>
      <c r="N14" s="37">
        <v>1.6</v>
      </c>
      <c r="O14" s="37">
        <v>1.5</v>
      </c>
      <c r="P14" s="38">
        <f t="shared" si="1"/>
        <v>1.6</v>
      </c>
      <c r="Q14" s="17">
        <v>1.0680000000000001</v>
      </c>
      <c r="R14" s="17">
        <v>1.0820000000000001</v>
      </c>
      <c r="S14" s="22">
        <f t="shared" si="2"/>
        <v>1.075</v>
      </c>
      <c r="T14" s="17">
        <v>1.004</v>
      </c>
      <c r="U14" s="17">
        <v>1.008</v>
      </c>
      <c r="V14" s="22">
        <f t="shared" si="3"/>
        <v>1.006</v>
      </c>
      <c r="W14" s="17">
        <v>0.02</v>
      </c>
      <c r="X14" s="17">
        <v>2.5999999999999999E-2</v>
      </c>
      <c r="Y14" s="21">
        <f t="shared" si="4"/>
        <v>2.3E-2</v>
      </c>
      <c r="Z14" s="19">
        <v>0.86799999999999999</v>
      </c>
      <c r="AA14" s="19">
        <v>0.879</v>
      </c>
      <c r="AB14" s="21">
        <f t="shared" si="5"/>
        <v>0.874</v>
      </c>
      <c r="AC14" s="19">
        <v>3.3000000000000002E-2</v>
      </c>
      <c r="AD14" s="19">
        <v>2.4E-2</v>
      </c>
      <c r="AE14" s="21">
        <f t="shared" si="6"/>
        <v>2.9000000000000001E-2</v>
      </c>
      <c r="AF14" s="30">
        <v>1.2E-2</v>
      </c>
      <c r="AG14" s="30">
        <v>8.9999999999999993E-3</v>
      </c>
      <c r="AH14" s="21">
        <f t="shared" si="7"/>
        <v>1.0999999999999999E-2</v>
      </c>
      <c r="AI14" s="19">
        <v>5.0000000000000001E-3</v>
      </c>
      <c r="AJ14" s="19">
        <v>2E-3</v>
      </c>
      <c r="AK14" s="21">
        <f t="shared" si="8"/>
        <v>4.0000000000000001E-3</v>
      </c>
      <c r="AL14" s="19">
        <v>4.7969999999999997</v>
      </c>
      <c r="AM14" s="19">
        <v>4.8479999999999999</v>
      </c>
      <c r="AN14" s="21">
        <f t="shared" si="9"/>
        <v>4.8230000000000004</v>
      </c>
      <c r="AO14" s="46">
        <v>3.9399999999999998E-2</v>
      </c>
      <c r="AP14" s="46">
        <v>4.1700000000000001E-2</v>
      </c>
      <c r="AQ14" s="45">
        <f t="shared" si="10"/>
        <v>4.0599999999999997E-2</v>
      </c>
    </row>
    <row r="15" spans="1:43">
      <c r="A15" s="7" t="s">
        <v>10</v>
      </c>
      <c r="B15" s="5" t="s">
        <v>60</v>
      </c>
      <c r="C15" s="6" t="s">
        <v>61</v>
      </c>
      <c r="D15" s="6" t="s">
        <v>36</v>
      </c>
      <c r="E15" s="23">
        <v>29.6</v>
      </c>
      <c r="F15" s="23">
        <v>7.7</v>
      </c>
      <c r="G15" s="41">
        <v>126</v>
      </c>
      <c r="H15" s="23">
        <v>8.4</v>
      </c>
      <c r="I15" s="23">
        <v>0.6</v>
      </c>
      <c r="J15" s="23">
        <v>3.6</v>
      </c>
      <c r="K15" s="15">
        <v>2.2000000000000002</v>
      </c>
      <c r="L15" s="15">
        <v>2.4</v>
      </c>
      <c r="M15" s="20">
        <f t="shared" si="0"/>
        <v>2.2999999999999998</v>
      </c>
      <c r="N15" s="37">
        <v>2</v>
      </c>
      <c r="O15" s="37">
        <v>2</v>
      </c>
      <c r="P15" s="38">
        <f t="shared" si="1"/>
        <v>2</v>
      </c>
      <c r="Q15" s="17">
        <v>1.2130000000000001</v>
      </c>
      <c r="R15" s="17">
        <v>1.2210000000000001</v>
      </c>
      <c r="S15" s="22">
        <f t="shared" si="2"/>
        <v>1.2170000000000001</v>
      </c>
      <c r="T15" s="17">
        <v>1.1850000000000001</v>
      </c>
      <c r="U15" s="17">
        <v>1.181</v>
      </c>
      <c r="V15" s="22">
        <f t="shared" si="3"/>
        <v>1.1830000000000001</v>
      </c>
      <c r="W15" s="17">
        <v>3.2000000000000001E-2</v>
      </c>
      <c r="X15" s="17">
        <v>2.7E-2</v>
      </c>
      <c r="Y15" s="21">
        <f t="shared" si="4"/>
        <v>0.03</v>
      </c>
      <c r="Z15" s="19">
        <v>0.98799999999999999</v>
      </c>
      <c r="AA15" s="19">
        <v>0.997</v>
      </c>
      <c r="AB15" s="21">
        <f t="shared" si="5"/>
        <v>0.99299999999999999</v>
      </c>
      <c r="AC15" s="19">
        <v>8.6999999999999994E-2</v>
      </c>
      <c r="AD15" s="19">
        <v>7.5999999999999998E-2</v>
      </c>
      <c r="AE15" s="21">
        <f t="shared" si="6"/>
        <v>8.2000000000000003E-2</v>
      </c>
      <c r="AF15" s="30">
        <v>5.7000000000000002E-2</v>
      </c>
      <c r="AG15" s="30">
        <v>0.06</v>
      </c>
      <c r="AH15" s="21">
        <f t="shared" si="7"/>
        <v>5.8999999999999997E-2</v>
      </c>
      <c r="AI15" s="19">
        <v>0.05</v>
      </c>
      <c r="AJ15" s="19">
        <v>5.3999999999999999E-2</v>
      </c>
      <c r="AK15" s="21">
        <f t="shared" si="8"/>
        <v>5.1999999999999998E-2</v>
      </c>
      <c r="AL15" s="19">
        <v>6.1859999999999999</v>
      </c>
      <c r="AM15" s="19">
        <v>6.2080000000000002</v>
      </c>
      <c r="AN15" s="21">
        <f t="shared" si="9"/>
        <v>6.1970000000000001</v>
      </c>
      <c r="AO15" s="46">
        <v>5.8999999999999997E-2</v>
      </c>
      <c r="AP15" s="46">
        <v>6.1499999999999999E-2</v>
      </c>
      <c r="AQ15" s="45">
        <f t="shared" si="10"/>
        <v>6.0299999999999999E-2</v>
      </c>
    </row>
    <row r="16" spans="1:43">
      <c r="A16" s="7" t="s">
        <v>11</v>
      </c>
      <c r="B16" s="5" t="s">
        <v>108</v>
      </c>
      <c r="C16" s="6" t="s">
        <v>62</v>
      </c>
      <c r="D16" s="6" t="s">
        <v>63</v>
      </c>
      <c r="E16" s="23">
        <v>30.2</v>
      </c>
      <c r="F16" s="23">
        <v>7.2</v>
      </c>
      <c r="G16" s="41">
        <v>185</v>
      </c>
      <c r="H16" s="23">
        <v>7.2</v>
      </c>
      <c r="I16" s="23">
        <v>1.4</v>
      </c>
      <c r="J16" s="23">
        <v>6.6</v>
      </c>
      <c r="K16" s="15">
        <v>4.5999999999999996</v>
      </c>
      <c r="L16" s="15">
        <v>4.5999999999999996</v>
      </c>
      <c r="M16" s="20">
        <f t="shared" si="0"/>
        <v>4.5999999999999996</v>
      </c>
      <c r="N16" s="37">
        <v>4</v>
      </c>
      <c r="O16" s="37">
        <v>3.9</v>
      </c>
      <c r="P16" s="38">
        <f t="shared" si="1"/>
        <v>4</v>
      </c>
      <c r="Q16" s="17">
        <v>1.123</v>
      </c>
      <c r="R16" s="17">
        <v>1.1259999999999999</v>
      </c>
      <c r="S16" s="22">
        <f t="shared" si="2"/>
        <v>1.125</v>
      </c>
      <c r="T16" s="17">
        <v>1.032</v>
      </c>
      <c r="U16" s="17">
        <v>1.026</v>
      </c>
      <c r="V16" s="22">
        <f t="shared" si="3"/>
        <v>1.0289999999999999</v>
      </c>
      <c r="W16" s="17">
        <v>0.2</v>
      </c>
      <c r="X16" s="17">
        <v>0.20100000000000001</v>
      </c>
      <c r="Y16" s="21">
        <f t="shared" si="4"/>
        <v>0.20100000000000001</v>
      </c>
      <c r="Z16" s="19">
        <v>0.504</v>
      </c>
      <c r="AA16" s="19">
        <v>0.46700000000000003</v>
      </c>
      <c r="AB16" s="21">
        <f t="shared" si="5"/>
        <v>0.48599999999999999</v>
      </c>
      <c r="AC16" s="19">
        <v>0.20100000000000001</v>
      </c>
      <c r="AD16" s="19">
        <v>0.185</v>
      </c>
      <c r="AE16" s="21">
        <f t="shared" si="6"/>
        <v>0.193</v>
      </c>
      <c r="AF16" s="30">
        <v>0.11799999999999999</v>
      </c>
      <c r="AG16" s="30">
        <v>0.11799999999999999</v>
      </c>
      <c r="AH16" s="21">
        <f t="shared" si="7"/>
        <v>0.11799999999999999</v>
      </c>
      <c r="AI16" s="19">
        <v>0.114</v>
      </c>
      <c r="AJ16" s="19">
        <v>0.112</v>
      </c>
      <c r="AK16" s="21">
        <f t="shared" si="8"/>
        <v>0.113</v>
      </c>
      <c r="AL16" s="19">
        <v>9.7289999999999992</v>
      </c>
      <c r="AM16" s="19">
        <v>8.9239999999999995</v>
      </c>
      <c r="AN16" s="21">
        <f t="shared" si="9"/>
        <v>9.327</v>
      </c>
      <c r="AO16" s="46">
        <v>0.1363</v>
      </c>
      <c r="AP16" s="46">
        <v>0.13769999999999999</v>
      </c>
      <c r="AQ16" s="45">
        <f t="shared" si="10"/>
        <v>0.13700000000000001</v>
      </c>
    </row>
    <row r="17" spans="1:43">
      <c r="A17" s="7" t="s">
        <v>12</v>
      </c>
      <c r="B17" s="5" t="s">
        <v>64</v>
      </c>
      <c r="C17" s="6" t="s">
        <v>65</v>
      </c>
      <c r="D17" s="6" t="s">
        <v>36</v>
      </c>
      <c r="E17" s="23">
        <v>31</v>
      </c>
      <c r="F17" s="23">
        <v>7</v>
      </c>
      <c r="G17" s="41">
        <v>120</v>
      </c>
      <c r="H17" s="23">
        <v>6.4</v>
      </c>
      <c r="I17" s="23">
        <v>0.8</v>
      </c>
      <c r="J17" s="23">
        <v>4</v>
      </c>
      <c r="K17" s="15">
        <v>2.6</v>
      </c>
      <c r="L17" s="15">
        <v>2.4</v>
      </c>
      <c r="M17" s="20">
        <f t="shared" si="0"/>
        <v>2.5</v>
      </c>
      <c r="N17" s="37">
        <v>2.2000000000000002</v>
      </c>
      <c r="O17" s="37">
        <v>2.2000000000000002</v>
      </c>
      <c r="P17" s="38">
        <f t="shared" si="1"/>
        <v>2.2000000000000002</v>
      </c>
      <c r="Q17" s="17">
        <v>1.1000000000000001</v>
      </c>
      <c r="R17" s="17">
        <v>1.0980000000000001</v>
      </c>
      <c r="S17" s="22">
        <f t="shared" si="2"/>
        <v>1.099</v>
      </c>
      <c r="T17" s="17">
        <v>1.016</v>
      </c>
      <c r="U17" s="17">
        <v>1.02</v>
      </c>
      <c r="V17" s="22">
        <f t="shared" si="3"/>
        <v>1.018</v>
      </c>
      <c r="W17" s="17">
        <v>3.5000000000000003E-2</v>
      </c>
      <c r="X17" s="17">
        <v>3.4000000000000002E-2</v>
      </c>
      <c r="Y17" s="21">
        <f t="shared" si="4"/>
        <v>3.5000000000000003E-2</v>
      </c>
      <c r="Z17" s="19">
        <v>0.80600000000000005</v>
      </c>
      <c r="AA17" s="19">
        <v>0.80700000000000005</v>
      </c>
      <c r="AB17" s="21">
        <f t="shared" si="5"/>
        <v>0.80700000000000005</v>
      </c>
      <c r="AC17" s="19">
        <v>9.6000000000000002E-2</v>
      </c>
      <c r="AD17" s="19">
        <v>8.4000000000000005E-2</v>
      </c>
      <c r="AE17" s="21">
        <f t="shared" si="6"/>
        <v>0.09</v>
      </c>
      <c r="AF17" s="30">
        <v>6.8000000000000005E-2</v>
      </c>
      <c r="AG17" s="30">
        <v>6.7000000000000004E-2</v>
      </c>
      <c r="AH17" s="21">
        <f t="shared" si="7"/>
        <v>6.8000000000000005E-2</v>
      </c>
      <c r="AI17" s="19">
        <v>5.8999999999999997E-2</v>
      </c>
      <c r="AJ17" s="19">
        <v>5.6000000000000001E-2</v>
      </c>
      <c r="AK17" s="21">
        <f t="shared" si="8"/>
        <v>5.8000000000000003E-2</v>
      </c>
      <c r="AL17" s="19">
        <v>6.7969999999999997</v>
      </c>
      <c r="AM17" s="19">
        <v>6.8029999999999999</v>
      </c>
      <c r="AN17" s="21">
        <f t="shared" si="9"/>
        <v>6.8</v>
      </c>
      <c r="AO17" s="46">
        <v>6.9800000000000001E-2</v>
      </c>
      <c r="AP17" s="46">
        <v>7.2900000000000006E-2</v>
      </c>
      <c r="AQ17" s="45">
        <f t="shared" si="10"/>
        <v>7.1400000000000005E-2</v>
      </c>
    </row>
    <row r="18" spans="1:43">
      <c r="A18" s="7" t="s">
        <v>13</v>
      </c>
      <c r="B18" s="5" t="s">
        <v>66</v>
      </c>
      <c r="C18" s="6" t="s">
        <v>44</v>
      </c>
      <c r="D18" s="6" t="s">
        <v>67</v>
      </c>
      <c r="E18" s="23">
        <v>29.5</v>
      </c>
      <c r="F18" s="23">
        <v>7</v>
      </c>
      <c r="G18" s="41">
        <v>144</v>
      </c>
      <c r="H18" s="23">
        <v>7.3</v>
      </c>
      <c r="I18" s="23">
        <v>1.2</v>
      </c>
      <c r="J18" s="23">
        <v>5.2</v>
      </c>
      <c r="K18" s="15">
        <v>3.6</v>
      </c>
      <c r="L18" s="15">
        <v>3.6</v>
      </c>
      <c r="M18" s="20">
        <f t="shared" si="0"/>
        <v>3.6</v>
      </c>
      <c r="N18" s="37">
        <v>2.9</v>
      </c>
      <c r="O18" s="37">
        <v>3</v>
      </c>
      <c r="P18" s="38">
        <f t="shared" si="1"/>
        <v>3</v>
      </c>
      <c r="Q18" s="17">
        <v>0.94199999999999995</v>
      </c>
      <c r="R18" s="17">
        <v>0.94599999999999995</v>
      </c>
      <c r="S18" s="22">
        <f t="shared" si="2"/>
        <v>0.94399999999999995</v>
      </c>
      <c r="T18" s="17">
        <v>0.84299999999999997</v>
      </c>
      <c r="U18" s="17">
        <v>0.85</v>
      </c>
      <c r="V18" s="22">
        <f t="shared" si="3"/>
        <v>0.84699999999999998</v>
      </c>
      <c r="W18" s="17">
        <v>0.1</v>
      </c>
      <c r="X18" s="17">
        <v>0.105</v>
      </c>
      <c r="Y18" s="21">
        <f t="shared" si="4"/>
        <v>0.10299999999999999</v>
      </c>
      <c r="Z18" s="19">
        <v>0.51500000000000001</v>
      </c>
      <c r="AA18" s="19">
        <v>0.51600000000000001</v>
      </c>
      <c r="AB18" s="21">
        <f t="shared" si="5"/>
        <v>0.51600000000000001</v>
      </c>
      <c r="AC18" s="19">
        <v>9.1999999999999998E-2</v>
      </c>
      <c r="AD18" s="19">
        <v>8.1000000000000003E-2</v>
      </c>
      <c r="AE18" s="21">
        <f t="shared" si="6"/>
        <v>8.6999999999999994E-2</v>
      </c>
      <c r="AF18" s="30">
        <v>4.4999999999999998E-2</v>
      </c>
      <c r="AG18" s="30">
        <v>4.5999999999999999E-2</v>
      </c>
      <c r="AH18" s="21">
        <f t="shared" si="7"/>
        <v>4.5999999999999999E-2</v>
      </c>
      <c r="AI18" s="19">
        <v>3.2000000000000001E-2</v>
      </c>
      <c r="AJ18" s="19">
        <v>0.03</v>
      </c>
      <c r="AK18" s="21">
        <f t="shared" si="8"/>
        <v>3.1E-2</v>
      </c>
      <c r="AL18" s="19">
        <v>7.8170000000000002</v>
      </c>
      <c r="AM18" s="19">
        <v>7.7830000000000004</v>
      </c>
      <c r="AN18" s="21">
        <f t="shared" si="9"/>
        <v>7.8</v>
      </c>
      <c r="AO18" s="46">
        <v>9.2600000000000002E-2</v>
      </c>
      <c r="AP18" s="46">
        <v>9.5000000000000001E-2</v>
      </c>
      <c r="AQ18" s="45">
        <f t="shared" si="10"/>
        <v>9.3799999999999994E-2</v>
      </c>
    </row>
    <row r="19" spans="1:43">
      <c r="A19" s="7" t="s">
        <v>14</v>
      </c>
      <c r="B19" s="5" t="s">
        <v>64</v>
      </c>
      <c r="C19" s="6" t="s">
        <v>68</v>
      </c>
      <c r="D19" s="6" t="s">
        <v>36</v>
      </c>
      <c r="E19" s="23">
        <v>30.5</v>
      </c>
      <c r="F19" s="23">
        <v>7.1</v>
      </c>
      <c r="G19" s="41">
        <v>124</v>
      </c>
      <c r="H19" s="23">
        <v>6.6</v>
      </c>
      <c r="I19" s="23">
        <v>0.9</v>
      </c>
      <c r="J19" s="23">
        <v>4.2</v>
      </c>
      <c r="K19" s="15">
        <v>2.7</v>
      </c>
      <c r="L19" s="15">
        <v>2.7</v>
      </c>
      <c r="M19" s="20">
        <f t="shared" si="0"/>
        <v>2.7</v>
      </c>
      <c r="N19" s="37">
        <v>2.4</v>
      </c>
      <c r="O19" s="37">
        <v>2.2999999999999998</v>
      </c>
      <c r="P19" s="38">
        <f t="shared" si="1"/>
        <v>2.4</v>
      </c>
      <c r="Q19" s="17">
        <v>1.1659999999999999</v>
      </c>
      <c r="R19" s="17">
        <v>1.1819999999999999</v>
      </c>
      <c r="S19" s="22">
        <f t="shared" si="2"/>
        <v>1.1739999999999999</v>
      </c>
      <c r="T19" s="17">
        <v>1.109</v>
      </c>
      <c r="U19" s="17">
        <v>1.1200000000000001</v>
      </c>
      <c r="V19" s="22">
        <f t="shared" si="3"/>
        <v>1.115</v>
      </c>
      <c r="W19" s="17">
        <v>4.2000000000000003E-2</v>
      </c>
      <c r="X19" s="17">
        <v>4.3999999999999997E-2</v>
      </c>
      <c r="Y19" s="21">
        <f t="shared" si="4"/>
        <v>4.2999999999999997E-2</v>
      </c>
      <c r="Z19" s="19">
        <v>0.86599999999999999</v>
      </c>
      <c r="AA19" s="19">
        <v>0.86499999999999999</v>
      </c>
      <c r="AB19" s="21">
        <f t="shared" si="5"/>
        <v>0.86599999999999999</v>
      </c>
      <c r="AC19" s="19">
        <v>0.124</v>
      </c>
      <c r="AD19" s="19">
        <v>0.113</v>
      </c>
      <c r="AE19" s="21">
        <f t="shared" si="6"/>
        <v>0.11899999999999999</v>
      </c>
      <c r="AF19" s="30">
        <v>0.09</v>
      </c>
      <c r="AG19" s="30">
        <v>9.1999999999999998E-2</v>
      </c>
      <c r="AH19" s="21">
        <f t="shared" si="7"/>
        <v>9.0999999999999998E-2</v>
      </c>
      <c r="AI19" s="19">
        <v>8.2000000000000003E-2</v>
      </c>
      <c r="AJ19" s="19">
        <v>8.5000000000000006E-2</v>
      </c>
      <c r="AK19" s="21">
        <f t="shared" si="8"/>
        <v>8.4000000000000005E-2</v>
      </c>
      <c r="AL19" s="19">
        <v>6.96</v>
      </c>
      <c r="AM19" s="19">
        <v>6.9279999999999999</v>
      </c>
      <c r="AN19" s="21">
        <f t="shared" si="9"/>
        <v>6.944</v>
      </c>
      <c r="AO19" s="46">
        <v>7.46E-2</v>
      </c>
      <c r="AP19" s="46">
        <v>7.7799999999999994E-2</v>
      </c>
      <c r="AQ19" s="45">
        <f t="shared" si="10"/>
        <v>7.6200000000000004E-2</v>
      </c>
    </row>
    <row r="20" spans="1:43">
      <c r="A20" s="7" t="s">
        <v>15</v>
      </c>
      <c r="B20" s="5" t="s">
        <v>69</v>
      </c>
      <c r="C20" s="6" t="s">
        <v>70</v>
      </c>
      <c r="D20" s="6" t="s">
        <v>71</v>
      </c>
      <c r="E20" s="23">
        <v>27</v>
      </c>
      <c r="F20" s="23">
        <v>7</v>
      </c>
      <c r="G20" s="41">
        <v>204</v>
      </c>
      <c r="H20" s="23">
        <v>6.9</v>
      </c>
      <c r="I20" s="23">
        <v>0.7</v>
      </c>
      <c r="J20" s="23">
        <v>3.4</v>
      </c>
      <c r="K20" s="15">
        <v>2.4</v>
      </c>
      <c r="L20" s="15">
        <v>2.4</v>
      </c>
      <c r="M20" s="20">
        <f t="shared" si="0"/>
        <v>2.4</v>
      </c>
      <c r="N20" s="37">
        <v>2.1</v>
      </c>
      <c r="O20" s="37">
        <v>2</v>
      </c>
      <c r="P20" s="38">
        <f t="shared" si="1"/>
        <v>2.1</v>
      </c>
      <c r="Q20" s="17">
        <v>1.637</v>
      </c>
      <c r="R20" s="17">
        <v>1.673</v>
      </c>
      <c r="S20" s="22">
        <f t="shared" si="2"/>
        <v>1.655</v>
      </c>
      <c r="T20" s="17">
        <v>1.6040000000000001</v>
      </c>
      <c r="U20" s="17">
        <v>1.5920000000000001</v>
      </c>
      <c r="V20" s="22">
        <f t="shared" si="3"/>
        <v>1.5980000000000001</v>
      </c>
      <c r="W20" s="17">
        <v>2.4E-2</v>
      </c>
      <c r="X20" s="17">
        <v>2.4E-2</v>
      </c>
      <c r="Y20" s="21">
        <f t="shared" si="4"/>
        <v>2.4E-2</v>
      </c>
      <c r="Z20" s="19">
        <v>1.46</v>
      </c>
      <c r="AA20" s="19">
        <v>1.4430000000000001</v>
      </c>
      <c r="AB20" s="21">
        <f t="shared" si="5"/>
        <v>1.452</v>
      </c>
      <c r="AC20" s="19">
        <v>4.3999999999999997E-2</v>
      </c>
      <c r="AD20" s="19">
        <v>3.3000000000000002E-2</v>
      </c>
      <c r="AE20" s="21">
        <f t="shared" si="6"/>
        <v>3.9E-2</v>
      </c>
      <c r="AF20" s="30">
        <v>2.5000000000000001E-2</v>
      </c>
      <c r="AG20" s="30">
        <v>2.3E-2</v>
      </c>
      <c r="AH20" s="21">
        <f t="shared" si="7"/>
        <v>2.4E-2</v>
      </c>
      <c r="AI20" s="19">
        <v>1.7000000000000001E-2</v>
      </c>
      <c r="AJ20" s="19">
        <v>1.7000000000000001E-2</v>
      </c>
      <c r="AK20" s="21">
        <f t="shared" si="8"/>
        <v>1.7000000000000001E-2</v>
      </c>
      <c r="AL20" s="19">
        <v>6.9669999999999996</v>
      </c>
      <c r="AM20" s="19">
        <v>6.8940000000000001</v>
      </c>
      <c r="AN20" s="21">
        <f t="shared" si="9"/>
        <v>6.931</v>
      </c>
      <c r="AO20" s="46">
        <v>5.6899999999999999E-2</v>
      </c>
      <c r="AP20" s="46">
        <v>5.96E-2</v>
      </c>
      <c r="AQ20" s="45">
        <f t="shared" si="10"/>
        <v>5.8299999999999998E-2</v>
      </c>
    </row>
    <row r="21" spans="1:43">
      <c r="A21" s="7" t="s">
        <v>16</v>
      </c>
      <c r="B21" s="5" t="s">
        <v>72</v>
      </c>
      <c r="C21" s="6" t="s">
        <v>73</v>
      </c>
      <c r="D21" s="6" t="s">
        <v>36</v>
      </c>
      <c r="E21" s="23">
        <v>31.6</v>
      </c>
      <c r="F21" s="23">
        <v>7.8</v>
      </c>
      <c r="G21" s="41">
        <v>127</v>
      </c>
      <c r="H21" s="23">
        <v>8.6999999999999993</v>
      </c>
      <c r="I21" s="23">
        <v>1.4</v>
      </c>
      <c r="J21" s="23">
        <v>4.3</v>
      </c>
      <c r="K21" s="15">
        <v>2.9</v>
      </c>
      <c r="L21" s="15">
        <v>2.9</v>
      </c>
      <c r="M21" s="20">
        <f t="shared" si="0"/>
        <v>2.9</v>
      </c>
      <c r="N21" s="37">
        <v>2.4</v>
      </c>
      <c r="O21" s="37">
        <v>2.2999999999999998</v>
      </c>
      <c r="P21" s="38">
        <f t="shared" si="1"/>
        <v>2.4</v>
      </c>
      <c r="Q21" s="17">
        <v>0.93799999999999994</v>
      </c>
      <c r="R21" s="17">
        <v>0.93300000000000005</v>
      </c>
      <c r="S21" s="22">
        <f t="shared" si="2"/>
        <v>0.93600000000000005</v>
      </c>
      <c r="T21" s="17">
        <v>0.83799999999999997</v>
      </c>
      <c r="U21" s="17">
        <v>0.82899999999999996</v>
      </c>
      <c r="V21" s="22">
        <f t="shared" si="3"/>
        <v>0.83399999999999996</v>
      </c>
      <c r="W21" s="17">
        <v>2.5999999999999999E-2</v>
      </c>
      <c r="X21" s="17">
        <v>2.5000000000000001E-2</v>
      </c>
      <c r="Y21" s="21">
        <f t="shared" si="4"/>
        <v>2.5999999999999999E-2</v>
      </c>
      <c r="Z21" s="19">
        <v>0.64500000000000002</v>
      </c>
      <c r="AA21" s="19">
        <v>0.63300000000000001</v>
      </c>
      <c r="AB21" s="21">
        <f t="shared" si="5"/>
        <v>0.63900000000000001</v>
      </c>
      <c r="AC21" s="19">
        <v>9.5000000000000001E-2</v>
      </c>
      <c r="AD21" s="19">
        <v>8.3000000000000004E-2</v>
      </c>
      <c r="AE21" s="21">
        <f t="shared" si="6"/>
        <v>8.8999999999999996E-2</v>
      </c>
      <c r="AF21" s="30">
        <v>5.3999999999999999E-2</v>
      </c>
      <c r="AG21" s="30">
        <v>5.5E-2</v>
      </c>
      <c r="AH21" s="21">
        <f t="shared" si="7"/>
        <v>5.5E-2</v>
      </c>
      <c r="AI21" s="19">
        <v>4.5999999999999999E-2</v>
      </c>
      <c r="AJ21" s="19">
        <v>4.2999999999999997E-2</v>
      </c>
      <c r="AK21" s="21">
        <f t="shared" si="8"/>
        <v>4.4999999999999998E-2</v>
      </c>
      <c r="AL21" s="19">
        <v>6.851</v>
      </c>
      <c r="AM21" s="19">
        <v>6.71</v>
      </c>
      <c r="AN21" s="21">
        <f t="shared" si="9"/>
        <v>6.7809999999999997</v>
      </c>
      <c r="AO21" s="46">
        <v>7.2999999999999995E-2</v>
      </c>
      <c r="AP21" s="46">
        <v>7.51E-2</v>
      </c>
      <c r="AQ21" s="45">
        <f t="shared" si="10"/>
        <v>7.4099999999999999E-2</v>
      </c>
    </row>
    <row r="22" spans="1:43">
      <c r="A22" s="7" t="s">
        <v>17</v>
      </c>
      <c r="B22" s="5" t="s">
        <v>74</v>
      </c>
      <c r="C22" s="6" t="s">
        <v>75</v>
      </c>
      <c r="D22" s="6" t="s">
        <v>76</v>
      </c>
      <c r="E22" s="23">
        <v>31.3</v>
      </c>
      <c r="F22" s="23">
        <v>7.6</v>
      </c>
      <c r="G22" s="41">
        <v>217</v>
      </c>
      <c r="H22" s="23">
        <v>7.5</v>
      </c>
      <c r="I22" s="23">
        <v>1.5</v>
      </c>
      <c r="J22" s="23">
        <v>4.5</v>
      </c>
      <c r="K22" s="15">
        <v>3.2</v>
      </c>
      <c r="L22" s="15">
        <v>3.4</v>
      </c>
      <c r="M22" s="20">
        <f t="shared" si="0"/>
        <v>3.3</v>
      </c>
      <c r="N22" s="37">
        <v>2.7</v>
      </c>
      <c r="O22" s="37">
        <v>2.7</v>
      </c>
      <c r="P22" s="38">
        <f t="shared" si="1"/>
        <v>2.7</v>
      </c>
      <c r="Q22" s="17">
        <v>1.659</v>
      </c>
      <c r="R22" s="17">
        <v>1.651</v>
      </c>
      <c r="S22" s="22">
        <f t="shared" si="2"/>
        <v>1.655</v>
      </c>
      <c r="T22" s="17">
        <v>1.5529999999999999</v>
      </c>
      <c r="U22" s="17">
        <v>1.5780000000000001</v>
      </c>
      <c r="V22" s="22">
        <f t="shared" si="3"/>
        <v>1.5660000000000001</v>
      </c>
      <c r="W22" s="17">
        <v>7.6999999999999999E-2</v>
      </c>
      <c r="X22" s="17">
        <v>7.4999999999999997E-2</v>
      </c>
      <c r="Y22" s="21">
        <f t="shared" si="4"/>
        <v>7.5999999999999998E-2</v>
      </c>
      <c r="Z22" s="19">
        <v>1.1459999999999999</v>
      </c>
      <c r="AA22" s="19">
        <v>1.204</v>
      </c>
      <c r="AB22" s="21">
        <f t="shared" si="5"/>
        <v>1.175</v>
      </c>
      <c r="AC22" s="19">
        <v>0.107</v>
      </c>
      <c r="AD22" s="19">
        <v>9.5000000000000001E-2</v>
      </c>
      <c r="AE22" s="21">
        <f t="shared" si="6"/>
        <v>0.10100000000000001</v>
      </c>
      <c r="AF22" s="30">
        <v>5.6000000000000001E-2</v>
      </c>
      <c r="AG22" s="30">
        <v>5.7000000000000002E-2</v>
      </c>
      <c r="AH22" s="21">
        <f t="shared" si="7"/>
        <v>5.7000000000000002E-2</v>
      </c>
      <c r="AI22" s="19">
        <v>4.3999999999999997E-2</v>
      </c>
      <c r="AJ22" s="19">
        <v>4.4999999999999998E-2</v>
      </c>
      <c r="AK22" s="21">
        <f t="shared" si="8"/>
        <v>4.4999999999999998E-2</v>
      </c>
      <c r="AL22" s="19">
        <v>9.5850000000000009</v>
      </c>
      <c r="AM22" s="19">
        <v>10.144</v>
      </c>
      <c r="AN22" s="21">
        <f t="shared" si="9"/>
        <v>9.8650000000000002</v>
      </c>
      <c r="AO22" s="46">
        <v>7.9299999999999995E-2</v>
      </c>
      <c r="AP22" s="46">
        <v>8.2000000000000003E-2</v>
      </c>
      <c r="AQ22" s="45">
        <f t="shared" si="10"/>
        <v>8.0699999999999994E-2</v>
      </c>
    </row>
    <row r="23" spans="1:43">
      <c r="A23" s="7" t="s">
        <v>18</v>
      </c>
      <c r="B23" s="5" t="s">
        <v>109</v>
      </c>
      <c r="C23" s="6" t="s">
        <v>77</v>
      </c>
      <c r="D23" s="6" t="s">
        <v>36</v>
      </c>
      <c r="E23" s="23">
        <v>31.1</v>
      </c>
      <c r="F23" s="23">
        <v>7.2</v>
      </c>
      <c r="G23" s="41">
        <v>180</v>
      </c>
      <c r="H23" s="23">
        <v>7</v>
      </c>
      <c r="I23" s="23">
        <v>1.5</v>
      </c>
      <c r="J23" s="23">
        <v>4.8</v>
      </c>
      <c r="K23" s="15">
        <v>3.5</v>
      </c>
      <c r="L23" s="15">
        <v>3.2</v>
      </c>
      <c r="M23" s="20">
        <f t="shared" si="0"/>
        <v>3.4</v>
      </c>
      <c r="N23" s="37">
        <v>2.7</v>
      </c>
      <c r="O23" s="37">
        <v>2.8</v>
      </c>
      <c r="P23" s="38">
        <f t="shared" si="1"/>
        <v>2.8</v>
      </c>
      <c r="Q23" s="17">
        <v>1.786</v>
      </c>
      <c r="R23" s="17">
        <v>1.8049999999999999</v>
      </c>
      <c r="S23" s="22">
        <f t="shared" si="2"/>
        <v>1.796</v>
      </c>
      <c r="T23" s="17">
        <v>1.7470000000000001</v>
      </c>
      <c r="U23" s="17">
        <v>1.7370000000000001</v>
      </c>
      <c r="V23" s="22">
        <f t="shared" si="3"/>
        <v>1.742</v>
      </c>
      <c r="W23" s="17">
        <v>0.16</v>
      </c>
      <c r="X23" s="17">
        <v>0.161</v>
      </c>
      <c r="Y23" s="21">
        <f t="shared" si="4"/>
        <v>0.161</v>
      </c>
      <c r="Z23" s="19">
        <v>1.321</v>
      </c>
      <c r="AA23" s="19">
        <v>1.3049999999999999</v>
      </c>
      <c r="AB23" s="21">
        <f t="shared" si="5"/>
        <v>1.3129999999999999</v>
      </c>
      <c r="AC23" s="19">
        <v>0.11899999999999999</v>
      </c>
      <c r="AD23" s="19">
        <v>0.108</v>
      </c>
      <c r="AE23" s="21">
        <f t="shared" si="6"/>
        <v>0.114</v>
      </c>
      <c r="AF23" s="30">
        <v>8.3000000000000004E-2</v>
      </c>
      <c r="AG23" s="30">
        <v>8.6999999999999994E-2</v>
      </c>
      <c r="AH23" s="21">
        <f t="shared" si="7"/>
        <v>8.5000000000000006E-2</v>
      </c>
      <c r="AI23" s="19">
        <v>7.2999999999999995E-2</v>
      </c>
      <c r="AJ23" s="19">
        <v>7.5999999999999998E-2</v>
      </c>
      <c r="AK23" s="21">
        <f t="shared" si="8"/>
        <v>7.4999999999999997E-2</v>
      </c>
      <c r="AL23" s="19">
        <v>11.183999999999999</v>
      </c>
      <c r="AM23" s="19">
        <v>11.052</v>
      </c>
      <c r="AN23" s="21">
        <f t="shared" si="9"/>
        <v>11.118</v>
      </c>
      <c r="AO23" s="46">
        <v>8.43E-2</v>
      </c>
      <c r="AP23" s="46">
        <v>8.6699999999999999E-2</v>
      </c>
      <c r="AQ23" s="45">
        <f t="shared" si="10"/>
        <v>8.5500000000000007E-2</v>
      </c>
    </row>
    <row r="24" spans="1:43">
      <c r="A24" s="7" t="s">
        <v>19</v>
      </c>
      <c r="B24" s="5" t="s">
        <v>78</v>
      </c>
      <c r="C24" s="6" t="s">
        <v>44</v>
      </c>
      <c r="D24" s="6" t="s">
        <v>79</v>
      </c>
      <c r="E24" s="23">
        <v>29.5</v>
      </c>
      <c r="F24" s="23">
        <v>7.4</v>
      </c>
      <c r="G24" s="41">
        <v>281</v>
      </c>
      <c r="H24" s="23">
        <v>7.4</v>
      </c>
      <c r="I24" s="23">
        <v>0.9</v>
      </c>
      <c r="J24" s="23">
        <v>4.3</v>
      </c>
      <c r="K24" s="15">
        <v>3.1</v>
      </c>
      <c r="L24" s="15">
        <v>3</v>
      </c>
      <c r="M24" s="20">
        <f t="shared" si="0"/>
        <v>3.1</v>
      </c>
      <c r="N24" s="37">
        <v>2.7</v>
      </c>
      <c r="O24" s="37">
        <v>2.6</v>
      </c>
      <c r="P24" s="38">
        <f t="shared" si="1"/>
        <v>2.7</v>
      </c>
      <c r="Q24" s="17">
        <v>1.28</v>
      </c>
      <c r="R24" s="17">
        <v>1.23</v>
      </c>
      <c r="S24" s="22">
        <f t="shared" si="2"/>
        <v>1.2549999999999999</v>
      </c>
      <c r="T24" s="17">
        <v>1.2250000000000001</v>
      </c>
      <c r="U24" s="17">
        <v>1.212</v>
      </c>
      <c r="V24" s="22">
        <f t="shared" si="3"/>
        <v>1.2190000000000001</v>
      </c>
      <c r="W24" s="17">
        <v>3.7999999999999999E-2</v>
      </c>
      <c r="X24" s="17">
        <v>3.5999999999999997E-2</v>
      </c>
      <c r="Y24" s="21">
        <f t="shared" si="4"/>
        <v>3.6999999999999998E-2</v>
      </c>
      <c r="Z24" s="19">
        <v>0.86</v>
      </c>
      <c r="AA24" s="19">
        <v>0.86799999999999999</v>
      </c>
      <c r="AB24" s="21">
        <f t="shared" si="5"/>
        <v>0.86399999999999999</v>
      </c>
      <c r="AC24" s="19">
        <v>6.2E-2</v>
      </c>
      <c r="AD24" s="19">
        <v>0.05</v>
      </c>
      <c r="AE24" s="21">
        <f t="shared" si="6"/>
        <v>5.6000000000000001E-2</v>
      </c>
      <c r="AF24" s="30">
        <v>4.2999999999999997E-2</v>
      </c>
      <c r="AG24" s="30">
        <v>4.1000000000000002E-2</v>
      </c>
      <c r="AH24" s="21">
        <f t="shared" si="7"/>
        <v>4.2000000000000003E-2</v>
      </c>
      <c r="AI24" s="19">
        <v>3.3000000000000002E-2</v>
      </c>
      <c r="AJ24" s="19">
        <v>3.3000000000000002E-2</v>
      </c>
      <c r="AK24" s="21">
        <f t="shared" si="8"/>
        <v>3.3000000000000002E-2</v>
      </c>
      <c r="AL24" s="19">
        <v>27.431999999999999</v>
      </c>
      <c r="AM24" s="19">
        <v>27.574999999999999</v>
      </c>
      <c r="AN24" s="21">
        <f t="shared" si="9"/>
        <v>27.504000000000001</v>
      </c>
      <c r="AO24" s="46">
        <v>7.7100000000000002E-2</v>
      </c>
      <c r="AP24" s="46">
        <v>7.9299999999999995E-2</v>
      </c>
      <c r="AQ24" s="45">
        <f t="shared" si="10"/>
        <v>7.8200000000000006E-2</v>
      </c>
    </row>
    <row r="25" spans="1:43">
      <c r="A25" s="7" t="s">
        <v>20</v>
      </c>
      <c r="B25" s="5" t="s">
        <v>80</v>
      </c>
      <c r="C25" s="6" t="s">
        <v>81</v>
      </c>
      <c r="D25" s="6" t="s">
        <v>36</v>
      </c>
      <c r="E25" s="23">
        <v>31.5</v>
      </c>
      <c r="F25" s="23">
        <v>7.3</v>
      </c>
      <c r="G25" s="41">
        <v>200</v>
      </c>
      <c r="H25" s="23">
        <v>7.5</v>
      </c>
      <c r="I25" s="23">
        <v>1.8</v>
      </c>
      <c r="J25" s="23">
        <v>5.0999999999999996</v>
      </c>
      <c r="K25" s="15">
        <v>3.5</v>
      </c>
      <c r="L25" s="15">
        <v>3.6</v>
      </c>
      <c r="M25" s="20">
        <f t="shared" si="0"/>
        <v>3.6</v>
      </c>
      <c r="N25" s="37">
        <v>2.9</v>
      </c>
      <c r="O25" s="37">
        <v>2.9</v>
      </c>
      <c r="P25" s="38">
        <f t="shared" si="1"/>
        <v>2.9</v>
      </c>
      <c r="Q25" s="17">
        <v>2.0139999999999998</v>
      </c>
      <c r="R25" s="17">
        <v>1.984</v>
      </c>
      <c r="S25" s="22">
        <f t="shared" si="2"/>
        <v>1.9990000000000001</v>
      </c>
      <c r="T25" s="17">
        <v>1.899</v>
      </c>
      <c r="U25" s="17">
        <v>1.911</v>
      </c>
      <c r="V25" s="22">
        <f t="shared" si="3"/>
        <v>1.905</v>
      </c>
      <c r="W25" s="17">
        <v>0.154</v>
      </c>
      <c r="X25" s="17">
        <v>0.14799999999999999</v>
      </c>
      <c r="Y25" s="21">
        <f t="shared" si="4"/>
        <v>0.151</v>
      </c>
      <c r="Z25" s="19">
        <v>1.38</v>
      </c>
      <c r="AA25" s="19">
        <v>1.4</v>
      </c>
      <c r="AB25" s="21">
        <f t="shared" si="5"/>
        <v>1.39</v>
      </c>
      <c r="AC25" s="19">
        <v>0.19500000000000001</v>
      </c>
      <c r="AD25" s="19">
        <v>0.18</v>
      </c>
      <c r="AE25" s="21">
        <f t="shared" si="6"/>
        <v>0.188</v>
      </c>
      <c r="AF25" s="30">
        <v>0.13900000000000001</v>
      </c>
      <c r="AG25" s="30">
        <v>0.14299999999999999</v>
      </c>
      <c r="AH25" s="21">
        <f t="shared" si="7"/>
        <v>0.14099999999999999</v>
      </c>
      <c r="AI25" s="19">
        <v>0.13300000000000001</v>
      </c>
      <c r="AJ25" s="19">
        <v>0.13300000000000001</v>
      </c>
      <c r="AK25" s="21">
        <f t="shared" si="8"/>
        <v>0.13300000000000001</v>
      </c>
      <c r="AL25" s="19">
        <v>10.944000000000001</v>
      </c>
      <c r="AM25" s="19">
        <v>11.089</v>
      </c>
      <c r="AN25" s="21">
        <f t="shared" si="9"/>
        <v>11.016999999999999</v>
      </c>
      <c r="AO25" s="46">
        <v>8.8999999999999996E-2</v>
      </c>
      <c r="AP25" s="46">
        <v>9.0999999999999998E-2</v>
      </c>
      <c r="AQ25" s="45">
        <f t="shared" si="10"/>
        <v>0.09</v>
      </c>
    </row>
    <row r="26" spans="1:43">
      <c r="A26" s="7" t="s">
        <v>21</v>
      </c>
      <c r="B26" s="5" t="s">
        <v>82</v>
      </c>
      <c r="C26" s="6" t="s">
        <v>44</v>
      </c>
      <c r="D26" s="6" t="s">
        <v>83</v>
      </c>
      <c r="E26" s="23">
        <v>30.3</v>
      </c>
      <c r="F26" s="23">
        <v>7.1</v>
      </c>
      <c r="G26" s="41">
        <v>188</v>
      </c>
      <c r="H26" s="23">
        <v>7.6</v>
      </c>
      <c r="I26" s="23">
        <v>1.2</v>
      </c>
      <c r="J26" s="23">
        <v>5.5</v>
      </c>
      <c r="K26" s="15">
        <v>3.8</v>
      </c>
      <c r="L26" s="15">
        <v>3.8</v>
      </c>
      <c r="M26" s="20">
        <f t="shared" si="0"/>
        <v>3.8</v>
      </c>
      <c r="N26" s="37">
        <v>3.5</v>
      </c>
      <c r="O26" s="37">
        <v>3.5</v>
      </c>
      <c r="P26" s="38">
        <f t="shared" si="1"/>
        <v>3.5</v>
      </c>
      <c r="Q26" s="17">
        <v>1.282</v>
      </c>
      <c r="R26" s="17">
        <v>1.218</v>
      </c>
      <c r="S26" s="22">
        <f t="shared" si="2"/>
        <v>1.25</v>
      </c>
      <c r="T26" s="17">
        <v>1.208</v>
      </c>
      <c r="U26" s="17">
        <v>1.2030000000000001</v>
      </c>
      <c r="V26" s="22">
        <f t="shared" si="3"/>
        <v>1.206</v>
      </c>
      <c r="W26" s="17">
        <v>8.7999999999999995E-2</v>
      </c>
      <c r="X26" s="17">
        <v>8.8999999999999996E-2</v>
      </c>
      <c r="Y26" s="21">
        <f t="shared" si="4"/>
        <v>8.8999999999999996E-2</v>
      </c>
      <c r="Z26" s="19">
        <v>0.75800000000000001</v>
      </c>
      <c r="AA26" s="19">
        <v>0.76300000000000001</v>
      </c>
      <c r="AB26" s="21">
        <f t="shared" si="5"/>
        <v>0.76100000000000001</v>
      </c>
      <c r="AC26" s="19">
        <v>0.109</v>
      </c>
      <c r="AD26" s="19">
        <v>9.5000000000000001E-2</v>
      </c>
      <c r="AE26" s="21">
        <f t="shared" si="6"/>
        <v>0.10199999999999999</v>
      </c>
      <c r="AF26" s="30">
        <v>7.2999999999999995E-2</v>
      </c>
      <c r="AG26" s="30">
        <v>7.0999999999999994E-2</v>
      </c>
      <c r="AH26" s="21">
        <f t="shared" si="7"/>
        <v>7.1999999999999995E-2</v>
      </c>
      <c r="AI26" s="19">
        <v>5.6000000000000001E-2</v>
      </c>
      <c r="AJ26" s="19">
        <v>5.6000000000000001E-2</v>
      </c>
      <c r="AK26" s="21">
        <f t="shared" si="8"/>
        <v>5.6000000000000001E-2</v>
      </c>
      <c r="AL26" s="19">
        <v>7.9829999999999997</v>
      </c>
      <c r="AM26" s="19">
        <v>8.0739999999999998</v>
      </c>
      <c r="AN26" s="21">
        <f t="shared" si="9"/>
        <v>8.0289999999999999</v>
      </c>
      <c r="AO26" s="46">
        <v>0.1084</v>
      </c>
      <c r="AP26" s="46">
        <v>0.1106</v>
      </c>
      <c r="AQ26" s="45">
        <f t="shared" si="10"/>
        <v>0.1095</v>
      </c>
    </row>
    <row r="27" spans="1:43">
      <c r="A27" s="7" t="s">
        <v>22</v>
      </c>
      <c r="B27" s="5" t="s">
        <v>84</v>
      </c>
      <c r="C27" s="6" t="s">
        <v>85</v>
      </c>
      <c r="D27" s="6" t="s">
        <v>36</v>
      </c>
      <c r="E27" s="23">
        <v>31.1</v>
      </c>
      <c r="F27" s="23">
        <v>7.4</v>
      </c>
      <c r="G27" s="41">
        <v>197</v>
      </c>
      <c r="H27" s="23">
        <v>8</v>
      </c>
      <c r="I27" s="23">
        <v>1.9</v>
      </c>
      <c r="J27" s="23">
        <v>5.2</v>
      </c>
      <c r="K27" s="15">
        <v>3.4</v>
      </c>
      <c r="L27" s="15">
        <v>3.5</v>
      </c>
      <c r="M27" s="20">
        <f t="shared" si="0"/>
        <v>3.5</v>
      </c>
      <c r="N27" s="37">
        <v>3.1</v>
      </c>
      <c r="O27" s="37">
        <v>3</v>
      </c>
      <c r="P27" s="38">
        <f t="shared" si="1"/>
        <v>3.1</v>
      </c>
      <c r="Q27" s="17">
        <v>1.7729999999999999</v>
      </c>
      <c r="R27" s="17">
        <v>1.766</v>
      </c>
      <c r="S27" s="22">
        <f t="shared" si="2"/>
        <v>1.77</v>
      </c>
      <c r="T27" s="17">
        <v>1.661</v>
      </c>
      <c r="U27" s="17">
        <v>1.6870000000000001</v>
      </c>
      <c r="V27" s="22">
        <f t="shared" si="3"/>
        <v>1.6739999999999999</v>
      </c>
      <c r="W27" s="17">
        <v>6.4000000000000001E-2</v>
      </c>
      <c r="X27" s="17">
        <v>6.6000000000000003E-2</v>
      </c>
      <c r="Y27" s="21">
        <f t="shared" si="4"/>
        <v>6.5000000000000002E-2</v>
      </c>
      <c r="Z27" s="19">
        <v>1.2649999999999999</v>
      </c>
      <c r="AA27" s="19">
        <v>1.276</v>
      </c>
      <c r="AB27" s="21">
        <f t="shared" si="5"/>
        <v>1.2709999999999999</v>
      </c>
      <c r="AC27" s="19">
        <v>0.161</v>
      </c>
      <c r="AD27" s="19">
        <v>0.14899999999999999</v>
      </c>
      <c r="AE27" s="21">
        <f t="shared" si="6"/>
        <v>0.155</v>
      </c>
      <c r="AF27" s="30">
        <v>0.10100000000000001</v>
      </c>
      <c r="AG27" s="30">
        <v>0.10199999999999999</v>
      </c>
      <c r="AH27" s="21">
        <f t="shared" si="7"/>
        <v>0.10199999999999999</v>
      </c>
      <c r="AI27" s="19">
        <v>8.8999999999999996E-2</v>
      </c>
      <c r="AJ27" s="19">
        <v>9.1999999999999998E-2</v>
      </c>
      <c r="AK27" s="21">
        <f t="shared" si="8"/>
        <v>9.0999999999999998E-2</v>
      </c>
      <c r="AL27" s="19">
        <v>10.654999999999999</v>
      </c>
      <c r="AM27" s="19">
        <v>10.702</v>
      </c>
      <c r="AN27" s="21">
        <f t="shared" si="9"/>
        <v>10.679</v>
      </c>
      <c r="AO27" s="46">
        <v>8.6499999999999994E-2</v>
      </c>
      <c r="AP27" s="46">
        <v>8.8700000000000001E-2</v>
      </c>
      <c r="AQ27" s="45">
        <f t="shared" si="10"/>
        <v>8.7599999999999997E-2</v>
      </c>
    </row>
    <row r="28" spans="1:43">
      <c r="A28" s="7" t="s">
        <v>23</v>
      </c>
      <c r="B28" s="5" t="s">
        <v>86</v>
      </c>
      <c r="C28" s="6" t="s">
        <v>87</v>
      </c>
      <c r="D28" s="6" t="s">
        <v>88</v>
      </c>
      <c r="E28" s="23">
        <v>28.8</v>
      </c>
      <c r="F28" s="23">
        <v>7</v>
      </c>
      <c r="G28" s="41">
        <v>155</v>
      </c>
      <c r="H28" s="23">
        <v>7.4</v>
      </c>
      <c r="I28" s="23">
        <v>1</v>
      </c>
      <c r="J28" s="23">
        <v>5.9</v>
      </c>
      <c r="K28" s="15">
        <v>4.0999999999999996</v>
      </c>
      <c r="L28" s="15">
        <v>4.2</v>
      </c>
      <c r="M28" s="20">
        <f t="shared" si="0"/>
        <v>4.2</v>
      </c>
      <c r="N28" s="37">
        <v>3.9</v>
      </c>
      <c r="O28" s="37">
        <v>3.8</v>
      </c>
      <c r="P28" s="38">
        <f t="shared" si="1"/>
        <v>3.9</v>
      </c>
      <c r="Q28" s="17">
        <v>1.37</v>
      </c>
      <c r="R28" s="17">
        <v>1.3280000000000001</v>
      </c>
      <c r="S28" s="22">
        <f t="shared" si="2"/>
        <v>1.349</v>
      </c>
      <c r="T28" s="17">
        <v>1.2709999999999999</v>
      </c>
      <c r="U28" s="17">
        <v>1.2729999999999999</v>
      </c>
      <c r="V28" s="22">
        <f t="shared" si="3"/>
        <v>1.272</v>
      </c>
      <c r="W28" s="17">
        <v>2.3E-2</v>
      </c>
      <c r="X28" s="17">
        <v>2.1999999999999999E-2</v>
      </c>
      <c r="Y28" s="21">
        <f t="shared" si="4"/>
        <v>2.3E-2</v>
      </c>
      <c r="Z28" s="19">
        <v>0.93799999999999994</v>
      </c>
      <c r="AA28" s="19">
        <v>0.94199999999999995</v>
      </c>
      <c r="AB28" s="21">
        <f t="shared" si="5"/>
        <v>0.94</v>
      </c>
      <c r="AC28" s="19">
        <v>0.108</v>
      </c>
      <c r="AD28" s="19">
        <v>9.2999999999999999E-2</v>
      </c>
      <c r="AE28" s="21">
        <f t="shared" si="6"/>
        <v>0.10100000000000001</v>
      </c>
      <c r="AF28" s="30">
        <v>7.4999999999999997E-2</v>
      </c>
      <c r="AG28" s="30">
        <v>7.3999999999999996E-2</v>
      </c>
      <c r="AH28" s="21">
        <f t="shared" si="7"/>
        <v>7.4999999999999997E-2</v>
      </c>
      <c r="AI28" s="19">
        <v>6.6000000000000003E-2</v>
      </c>
      <c r="AJ28" s="19">
        <v>6.7000000000000004E-2</v>
      </c>
      <c r="AK28" s="21">
        <f t="shared" si="8"/>
        <v>6.7000000000000004E-2</v>
      </c>
      <c r="AL28" s="19">
        <v>7.8170000000000002</v>
      </c>
      <c r="AM28" s="19">
        <v>7.8280000000000003</v>
      </c>
      <c r="AN28" s="21">
        <f t="shared" si="9"/>
        <v>7.8230000000000004</v>
      </c>
      <c r="AO28" s="46">
        <v>0.1173</v>
      </c>
      <c r="AP28" s="46">
        <v>0.11799999999999999</v>
      </c>
      <c r="AQ28" s="45">
        <f t="shared" si="10"/>
        <v>0.1177</v>
      </c>
    </row>
    <row r="29" spans="1:43">
      <c r="A29" s="7" t="s">
        <v>24</v>
      </c>
      <c r="B29" s="5" t="s">
        <v>89</v>
      </c>
      <c r="C29" s="6" t="s">
        <v>42</v>
      </c>
      <c r="D29" s="6" t="s">
        <v>36</v>
      </c>
      <c r="E29" s="23">
        <v>31.8</v>
      </c>
      <c r="F29" s="23">
        <v>7.4</v>
      </c>
      <c r="G29" s="41">
        <v>209</v>
      </c>
      <c r="H29" s="23">
        <v>8.9</v>
      </c>
      <c r="I29" s="23">
        <v>1.5</v>
      </c>
      <c r="J29" s="23">
        <v>4.7</v>
      </c>
      <c r="K29" s="15">
        <v>3.4</v>
      </c>
      <c r="L29" s="15">
        <v>3.5</v>
      </c>
      <c r="M29" s="20">
        <f t="shared" si="0"/>
        <v>3.5</v>
      </c>
      <c r="N29" s="37">
        <v>3.1</v>
      </c>
      <c r="O29" s="37">
        <v>3</v>
      </c>
      <c r="P29" s="38">
        <f t="shared" si="1"/>
        <v>3.1</v>
      </c>
      <c r="Q29" s="17">
        <v>2.0750000000000002</v>
      </c>
      <c r="R29" s="17">
        <v>2.0139999999999998</v>
      </c>
      <c r="S29" s="22">
        <f t="shared" si="2"/>
        <v>2.0449999999999999</v>
      </c>
      <c r="T29" s="17">
        <v>1.9470000000000001</v>
      </c>
      <c r="U29" s="17">
        <v>1.964</v>
      </c>
      <c r="V29" s="22">
        <f t="shared" si="3"/>
        <v>1.956</v>
      </c>
      <c r="W29" s="17">
        <v>3.7999999999999999E-2</v>
      </c>
      <c r="X29" s="17">
        <v>3.5000000000000003E-2</v>
      </c>
      <c r="Y29" s="21">
        <f t="shared" si="4"/>
        <v>3.6999999999999998E-2</v>
      </c>
      <c r="Z29" s="19">
        <v>1.5589999999999999</v>
      </c>
      <c r="AA29" s="19">
        <v>1.591</v>
      </c>
      <c r="AB29" s="21">
        <f t="shared" si="5"/>
        <v>1.575</v>
      </c>
      <c r="AC29" s="19">
        <v>0.16900000000000001</v>
      </c>
      <c r="AD29" s="19">
        <v>0.153</v>
      </c>
      <c r="AE29" s="21">
        <f t="shared" si="6"/>
        <v>0.161</v>
      </c>
      <c r="AF29" s="30">
        <v>0.122</v>
      </c>
      <c r="AG29" s="30">
        <v>0.123</v>
      </c>
      <c r="AH29" s="21">
        <f t="shared" si="7"/>
        <v>0.123</v>
      </c>
      <c r="AI29" s="19">
        <v>0.114</v>
      </c>
      <c r="AJ29" s="19">
        <v>0.11600000000000001</v>
      </c>
      <c r="AK29" s="21">
        <f t="shared" si="8"/>
        <v>0.115</v>
      </c>
      <c r="AL29" s="19">
        <v>11.148999999999999</v>
      </c>
      <c r="AM29" s="19">
        <v>11.334</v>
      </c>
      <c r="AN29" s="21">
        <f t="shared" si="9"/>
        <v>11.242000000000001</v>
      </c>
      <c r="AO29" s="46">
        <v>8.6099999999999996E-2</v>
      </c>
      <c r="AP29" s="46">
        <v>8.8099999999999998E-2</v>
      </c>
      <c r="AQ29" s="45">
        <f t="shared" si="10"/>
        <v>8.7099999999999997E-2</v>
      </c>
    </row>
    <row r="30" spans="1:43">
      <c r="A30" s="7" t="s">
        <v>25</v>
      </c>
      <c r="B30" s="5" t="s">
        <v>90</v>
      </c>
      <c r="C30" s="6" t="s">
        <v>44</v>
      </c>
      <c r="D30" s="6" t="s">
        <v>91</v>
      </c>
      <c r="E30" s="23">
        <v>26.9</v>
      </c>
      <c r="F30" s="23">
        <v>7.3</v>
      </c>
      <c r="G30" s="41">
        <v>219</v>
      </c>
      <c r="H30" s="23">
        <v>7.4</v>
      </c>
      <c r="I30" s="23">
        <v>1.1000000000000001</v>
      </c>
      <c r="J30" s="23">
        <v>5.6</v>
      </c>
      <c r="K30" s="15">
        <v>4</v>
      </c>
      <c r="L30" s="15">
        <v>4</v>
      </c>
      <c r="M30" s="20">
        <f t="shared" si="0"/>
        <v>4</v>
      </c>
      <c r="N30" s="37">
        <v>3.6</v>
      </c>
      <c r="O30" s="37">
        <v>3.5</v>
      </c>
      <c r="P30" s="38">
        <f t="shared" si="1"/>
        <v>3.6</v>
      </c>
      <c r="Q30" s="17">
        <v>3.0630000000000002</v>
      </c>
      <c r="R30" s="17">
        <v>3.1110000000000002</v>
      </c>
      <c r="S30" s="22">
        <f t="shared" si="2"/>
        <v>3.0870000000000002</v>
      </c>
      <c r="T30" s="17">
        <v>3.056</v>
      </c>
      <c r="U30" s="17">
        <v>3.0710000000000002</v>
      </c>
      <c r="V30" s="22">
        <f t="shared" si="3"/>
        <v>3.0640000000000001</v>
      </c>
      <c r="W30" s="17">
        <v>0.04</v>
      </c>
      <c r="X30" s="17">
        <v>4.1000000000000002E-2</v>
      </c>
      <c r="Y30" s="21">
        <f t="shared" si="4"/>
        <v>4.1000000000000002E-2</v>
      </c>
      <c r="Z30" s="19">
        <v>2.552</v>
      </c>
      <c r="AA30" s="19">
        <v>2.6269999999999998</v>
      </c>
      <c r="AB30" s="21">
        <f t="shared" si="5"/>
        <v>2.59</v>
      </c>
      <c r="AC30" s="19">
        <v>0.14199999999999999</v>
      </c>
      <c r="AD30" s="19">
        <v>0.128</v>
      </c>
      <c r="AE30" s="21">
        <f t="shared" si="6"/>
        <v>0.13500000000000001</v>
      </c>
      <c r="AF30" s="30">
        <v>9.4E-2</v>
      </c>
      <c r="AG30" s="30">
        <v>9.1999999999999998E-2</v>
      </c>
      <c r="AH30" s="21">
        <f t="shared" si="7"/>
        <v>9.2999999999999999E-2</v>
      </c>
      <c r="AI30" s="19">
        <v>8.4000000000000005E-2</v>
      </c>
      <c r="AJ30" s="19">
        <v>8.3000000000000004E-2</v>
      </c>
      <c r="AK30" s="21">
        <f t="shared" si="8"/>
        <v>8.4000000000000005E-2</v>
      </c>
      <c r="AL30" s="19">
        <v>9.5549999999999997</v>
      </c>
      <c r="AM30" s="19">
        <v>9.84</v>
      </c>
      <c r="AN30" s="21">
        <f t="shared" si="9"/>
        <v>9.6980000000000004</v>
      </c>
      <c r="AO30" s="46">
        <v>0.11459999999999999</v>
      </c>
      <c r="AP30" s="46">
        <v>0.1162</v>
      </c>
      <c r="AQ30" s="45">
        <f t="shared" si="10"/>
        <v>0.1154</v>
      </c>
    </row>
    <row r="31" spans="1:43">
      <c r="A31" s="7" t="s">
        <v>26</v>
      </c>
      <c r="B31" s="5" t="s">
        <v>92</v>
      </c>
      <c r="C31" s="6" t="s">
        <v>93</v>
      </c>
      <c r="D31" s="6" t="s">
        <v>36</v>
      </c>
      <c r="E31" s="23">
        <v>30.9</v>
      </c>
      <c r="F31" s="23">
        <v>7.6</v>
      </c>
      <c r="G31" s="41">
        <v>195</v>
      </c>
      <c r="H31" s="23">
        <v>8.6</v>
      </c>
      <c r="I31" s="23">
        <v>2.2000000000000002</v>
      </c>
      <c r="J31" s="23">
        <v>5.5</v>
      </c>
      <c r="K31" s="15">
        <v>3.9</v>
      </c>
      <c r="L31" s="15">
        <v>3.9</v>
      </c>
      <c r="M31" s="20">
        <f t="shared" si="0"/>
        <v>3.9</v>
      </c>
      <c r="N31" s="37">
        <v>3.4</v>
      </c>
      <c r="O31" s="37">
        <v>3.3</v>
      </c>
      <c r="P31" s="38">
        <f t="shared" si="1"/>
        <v>3.4</v>
      </c>
      <c r="Q31" s="17">
        <v>1.9279999999999999</v>
      </c>
      <c r="R31" s="17">
        <v>1.8620000000000001</v>
      </c>
      <c r="S31" s="22">
        <f t="shared" si="2"/>
        <v>1.895</v>
      </c>
      <c r="T31" s="17">
        <v>1.794</v>
      </c>
      <c r="U31" s="17">
        <v>1.78</v>
      </c>
      <c r="V31" s="22">
        <f t="shared" si="3"/>
        <v>1.7869999999999999</v>
      </c>
      <c r="W31" s="17">
        <v>4.4999999999999998E-2</v>
      </c>
      <c r="X31" s="17">
        <v>4.7E-2</v>
      </c>
      <c r="Y31" s="21">
        <f t="shared" si="4"/>
        <v>4.5999999999999999E-2</v>
      </c>
      <c r="Z31" s="19">
        <v>1.429</v>
      </c>
      <c r="AA31" s="19">
        <v>1.4339999999999999</v>
      </c>
      <c r="AB31" s="21">
        <f t="shared" si="5"/>
        <v>1.4319999999999999</v>
      </c>
      <c r="AC31" s="19">
        <v>0.14799999999999999</v>
      </c>
      <c r="AD31" s="19">
        <v>0.13100000000000001</v>
      </c>
      <c r="AE31" s="21">
        <f t="shared" si="6"/>
        <v>0.14000000000000001</v>
      </c>
      <c r="AF31" s="30">
        <v>8.8999999999999996E-2</v>
      </c>
      <c r="AG31" s="30">
        <v>8.7999999999999995E-2</v>
      </c>
      <c r="AH31" s="21">
        <f t="shared" si="7"/>
        <v>8.8999999999999996E-2</v>
      </c>
      <c r="AI31" s="19">
        <v>7.9000000000000001E-2</v>
      </c>
      <c r="AJ31" s="19">
        <v>7.4999999999999997E-2</v>
      </c>
      <c r="AK31" s="21">
        <f t="shared" si="8"/>
        <v>7.6999999999999999E-2</v>
      </c>
      <c r="AL31" s="19">
        <v>10.539</v>
      </c>
      <c r="AM31" s="19">
        <v>10.558</v>
      </c>
      <c r="AN31" s="21">
        <f t="shared" si="9"/>
        <v>10.548999999999999</v>
      </c>
      <c r="AO31" s="46">
        <v>9.1200000000000003E-2</v>
      </c>
      <c r="AP31" s="46">
        <v>9.3799999999999994E-2</v>
      </c>
      <c r="AQ31" s="45">
        <f t="shared" si="10"/>
        <v>9.2499999999999999E-2</v>
      </c>
    </row>
    <row r="32" spans="1:43">
      <c r="A32" s="7" t="s">
        <v>27</v>
      </c>
      <c r="B32" s="5" t="s">
        <v>94</v>
      </c>
      <c r="C32" s="6" t="s">
        <v>95</v>
      </c>
      <c r="D32" s="6" t="s">
        <v>96</v>
      </c>
      <c r="E32" s="23">
        <v>24.7</v>
      </c>
      <c r="F32" s="23">
        <v>8.1999999999999993</v>
      </c>
      <c r="G32" s="41">
        <v>198</v>
      </c>
      <c r="H32" s="23">
        <v>4.8</v>
      </c>
      <c r="I32" s="23">
        <v>0.7</v>
      </c>
      <c r="J32" s="23">
        <v>3</v>
      </c>
      <c r="K32" s="15">
        <v>2.2000000000000002</v>
      </c>
      <c r="L32" s="15">
        <v>2.5</v>
      </c>
      <c r="M32" s="20">
        <f t="shared" si="0"/>
        <v>2.4</v>
      </c>
      <c r="N32" s="37">
        <v>1.9</v>
      </c>
      <c r="O32" s="37">
        <v>1.9</v>
      </c>
      <c r="P32" s="38">
        <f t="shared" si="1"/>
        <v>1.9</v>
      </c>
      <c r="Q32" s="17">
        <v>1.117</v>
      </c>
      <c r="R32" s="17">
        <v>1.0629999999999999</v>
      </c>
      <c r="S32" s="22">
        <f t="shared" si="2"/>
        <v>1.0900000000000001</v>
      </c>
      <c r="T32" s="17">
        <v>1.0069999999999999</v>
      </c>
      <c r="U32" s="17">
        <v>0.98699999999999999</v>
      </c>
      <c r="V32" s="22">
        <f t="shared" si="3"/>
        <v>0.997</v>
      </c>
      <c r="W32" s="17">
        <v>1.7999999999999999E-2</v>
      </c>
      <c r="X32" s="17">
        <v>1.7000000000000001E-2</v>
      </c>
      <c r="Y32" s="21">
        <f t="shared" si="4"/>
        <v>1.7999999999999999E-2</v>
      </c>
      <c r="Z32" s="19">
        <v>0.82699999999999996</v>
      </c>
      <c r="AA32" s="19">
        <v>0.83799999999999997</v>
      </c>
      <c r="AB32" s="21">
        <f t="shared" si="5"/>
        <v>0.83299999999999996</v>
      </c>
      <c r="AC32" s="19">
        <v>6.0999999999999999E-2</v>
      </c>
      <c r="AD32" s="19">
        <v>4.8000000000000001E-2</v>
      </c>
      <c r="AE32" s="21">
        <f t="shared" si="6"/>
        <v>5.5E-2</v>
      </c>
      <c r="AF32" s="30">
        <v>4.2000000000000003E-2</v>
      </c>
      <c r="AG32" s="30">
        <v>3.9E-2</v>
      </c>
      <c r="AH32" s="21">
        <f t="shared" si="7"/>
        <v>4.1000000000000002E-2</v>
      </c>
      <c r="AI32" s="19">
        <v>3.5999999999999997E-2</v>
      </c>
      <c r="AJ32" s="19">
        <v>3.4000000000000002E-2</v>
      </c>
      <c r="AK32" s="21">
        <f t="shared" si="8"/>
        <v>3.5000000000000003E-2</v>
      </c>
      <c r="AL32" s="19">
        <v>9.6470000000000002</v>
      </c>
      <c r="AM32" s="19">
        <v>9.7590000000000003</v>
      </c>
      <c r="AN32" s="21">
        <f t="shared" si="9"/>
        <v>9.7029999999999994</v>
      </c>
      <c r="AO32" s="46">
        <v>5.3600000000000002E-2</v>
      </c>
      <c r="AP32" s="46">
        <v>5.5899999999999998E-2</v>
      </c>
      <c r="AQ32" s="45">
        <f t="shared" si="10"/>
        <v>5.4800000000000001E-2</v>
      </c>
    </row>
    <row r="33" spans="1:43">
      <c r="A33" s="7" t="s">
        <v>28</v>
      </c>
      <c r="B33" s="5" t="s">
        <v>97</v>
      </c>
      <c r="C33" s="6" t="s">
        <v>98</v>
      </c>
      <c r="D33" s="6" t="s">
        <v>36</v>
      </c>
      <c r="E33" s="23">
        <v>30.8</v>
      </c>
      <c r="F33" s="23">
        <v>7.3</v>
      </c>
      <c r="G33" s="41">
        <v>180</v>
      </c>
      <c r="H33" s="23">
        <v>6.3</v>
      </c>
      <c r="I33" s="23">
        <v>2.7</v>
      </c>
      <c r="J33" s="23">
        <v>5.0999999999999996</v>
      </c>
      <c r="K33" s="15">
        <v>3.3</v>
      </c>
      <c r="L33" s="15">
        <v>3.4</v>
      </c>
      <c r="M33" s="20">
        <f t="shared" si="0"/>
        <v>3.4</v>
      </c>
      <c r="N33" s="37">
        <v>3.1</v>
      </c>
      <c r="O33" s="37">
        <v>3</v>
      </c>
      <c r="P33" s="38">
        <f t="shared" si="1"/>
        <v>3.1</v>
      </c>
      <c r="Q33" s="17">
        <v>1.75</v>
      </c>
      <c r="R33" s="17">
        <v>1.6970000000000001</v>
      </c>
      <c r="S33" s="22">
        <f t="shared" si="2"/>
        <v>1.724</v>
      </c>
      <c r="T33" s="17">
        <v>1.611</v>
      </c>
      <c r="U33" s="17">
        <v>1.6180000000000001</v>
      </c>
      <c r="V33" s="22">
        <f t="shared" si="3"/>
        <v>1.615</v>
      </c>
      <c r="W33" s="17">
        <v>2.5000000000000001E-2</v>
      </c>
      <c r="X33" s="17">
        <v>2.9000000000000001E-2</v>
      </c>
      <c r="Y33" s="21">
        <f t="shared" si="4"/>
        <v>2.7E-2</v>
      </c>
      <c r="Z33" s="19">
        <v>1.304</v>
      </c>
      <c r="AA33" s="19">
        <v>1.31</v>
      </c>
      <c r="AB33" s="21">
        <f t="shared" si="5"/>
        <v>1.3069999999999999</v>
      </c>
      <c r="AC33" s="19">
        <v>0.12</v>
      </c>
      <c r="AD33" s="19">
        <v>0.107</v>
      </c>
      <c r="AE33" s="21">
        <f t="shared" si="6"/>
        <v>0.114</v>
      </c>
      <c r="AF33" s="30">
        <v>7.3999999999999996E-2</v>
      </c>
      <c r="AG33" s="30">
        <v>7.8E-2</v>
      </c>
      <c r="AH33" s="21">
        <f t="shared" si="7"/>
        <v>7.5999999999999998E-2</v>
      </c>
      <c r="AI33" s="19">
        <v>6.9000000000000006E-2</v>
      </c>
      <c r="AJ33" s="19">
        <v>7.0000000000000007E-2</v>
      </c>
      <c r="AK33" s="21">
        <f t="shared" si="8"/>
        <v>7.0000000000000007E-2</v>
      </c>
      <c r="AL33" s="19">
        <v>10.151999999999999</v>
      </c>
      <c r="AM33" s="19">
        <v>10.172000000000001</v>
      </c>
      <c r="AN33" s="21">
        <f t="shared" si="9"/>
        <v>10.162000000000001</v>
      </c>
      <c r="AO33" s="46">
        <v>8.6099999999999996E-2</v>
      </c>
      <c r="AP33" s="46">
        <v>8.7599999999999997E-2</v>
      </c>
      <c r="AQ33" s="45">
        <f t="shared" si="10"/>
        <v>8.6900000000000005E-2</v>
      </c>
    </row>
    <row r="34" spans="1:43">
      <c r="A34" s="7" t="s">
        <v>29</v>
      </c>
      <c r="B34" s="5" t="s">
        <v>99</v>
      </c>
      <c r="C34" s="6" t="s">
        <v>44</v>
      </c>
      <c r="D34" s="6" t="s">
        <v>100</v>
      </c>
      <c r="E34" s="23">
        <v>29.6</v>
      </c>
      <c r="F34" s="23">
        <v>8.9</v>
      </c>
      <c r="G34" s="41">
        <v>213</v>
      </c>
      <c r="H34" s="23">
        <v>5</v>
      </c>
      <c r="I34" s="23">
        <v>1.3</v>
      </c>
      <c r="J34" s="23">
        <v>6.5</v>
      </c>
      <c r="K34" s="15">
        <v>4.5999999999999996</v>
      </c>
      <c r="L34" s="15">
        <v>4.5999999999999996</v>
      </c>
      <c r="M34" s="20">
        <f t="shared" si="0"/>
        <v>4.5999999999999996</v>
      </c>
      <c r="N34" s="37">
        <v>4.0999999999999996</v>
      </c>
      <c r="O34" s="37">
        <v>4.0999999999999996</v>
      </c>
      <c r="P34" s="38">
        <f t="shared" si="1"/>
        <v>4.0999999999999996</v>
      </c>
      <c r="Q34" s="17">
        <v>1.927</v>
      </c>
      <c r="R34" s="17">
        <v>1.921</v>
      </c>
      <c r="S34" s="22">
        <f t="shared" si="2"/>
        <v>1.9239999999999999</v>
      </c>
      <c r="T34" s="17">
        <v>1.839</v>
      </c>
      <c r="U34" s="17">
        <v>1.8540000000000001</v>
      </c>
      <c r="V34" s="22">
        <f t="shared" si="3"/>
        <v>1.847</v>
      </c>
      <c r="W34" s="17">
        <v>0.247</v>
      </c>
      <c r="X34" s="17">
        <v>0.246</v>
      </c>
      <c r="Y34" s="21">
        <f t="shared" si="4"/>
        <v>0.247</v>
      </c>
      <c r="Z34" s="19">
        <v>1.177</v>
      </c>
      <c r="AA34" s="19">
        <v>1.1870000000000001</v>
      </c>
      <c r="AB34" s="21">
        <f t="shared" si="5"/>
        <v>1.1819999999999999</v>
      </c>
      <c r="AC34" s="19">
        <v>0.29199999999999998</v>
      </c>
      <c r="AD34" s="19">
        <v>0.28599999999999998</v>
      </c>
      <c r="AE34" s="21">
        <f t="shared" si="6"/>
        <v>0.28899999999999998</v>
      </c>
      <c r="AF34" s="30">
        <v>0.24099999999999999</v>
      </c>
      <c r="AG34" s="30">
        <v>0.251</v>
      </c>
      <c r="AH34" s="21">
        <f t="shared" si="7"/>
        <v>0.246</v>
      </c>
      <c r="AI34" s="19">
        <v>0.22800000000000001</v>
      </c>
      <c r="AJ34" s="19">
        <v>0.22900000000000001</v>
      </c>
      <c r="AK34" s="21">
        <f t="shared" si="8"/>
        <v>0.22900000000000001</v>
      </c>
      <c r="AL34" s="19">
        <v>12.7</v>
      </c>
      <c r="AM34" s="19">
        <v>12.766</v>
      </c>
      <c r="AN34" s="21">
        <f t="shared" si="9"/>
        <v>12.733000000000001</v>
      </c>
      <c r="AO34" s="46">
        <v>0.1162</v>
      </c>
      <c r="AP34" s="46">
        <v>0.11749999999999999</v>
      </c>
      <c r="AQ34" s="45">
        <f t="shared" si="10"/>
        <v>0.1169</v>
      </c>
    </row>
    <row r="35" spans="1:43">
      <c r="A35" s="7" t="s">
        <v>30</v>
      </c>
      <c r="B35" s="5" t="s">
        <v>101</v>
      </c>
      <c r="C35" s="6" t="s">
        <v>44</v>
      </c>
      <c r="D35" s="6" t="s">
        <v>160</v>
      </c>
      <c r="E35" s="23">
        <v>31</v>
      </c>
      <c r="F35" s="23">
        <v>8.8000000000000007</v>
      </c>
      <c r="G35" s="41">
        <v>282</v>
      </c>
      <c r="H35" s="23">
        <v>7.3</v>
      </c>
      <c r="I35" s="23">
        <v>1.5</v>
      </c>
      <c r="J35" s="23">
        <v>5.6</v>
      </c>
      <c r="K35" s="15">
        <v>4</v>
      </c>
      <c r="L35" s="15">
        <v>4.2</v>
      </c>
      <c r="M35" s="20">
        <f t="shared" si="0"/>
        <v>4.0999999999999996</v>
      </c>
      <c r="N35" s="37">
        <v>3.5</v>
      </c>
      <c r="O35" s="37">
        <v>3.5</v>
      </c>
      <c r="P35" s="38">
        <f t="shared" si="1"/>
        <v>3.5</v>
      </c>
      <c r="Q35" s="17">
        <v>2.46</v>
      </c>
      <c r="R35" s="17">
        <v>2.4239999999999999</v>
      </c>
      <c r="S35" s="22">
        <f t="shared" si="2"/>
        <v>2.4420000000000002</v>
      </c>
      <c r="T35" s="17">
        <v>2.351</v>
      </c>
      <c r="U35" s="17">
        <v>2.355</v>
      </c>
      <c r="V35" s="22">
        <f t="shared" si="3"/>
        <v>2.3530000000000002</v>
      </c>
      <c r="W35" s="17">
        <v>0.25900000000000001</v>
      </c>
      <c r="X35" s="17">
        <v>0.26100000000000001</v>
      </c>
      <c r="Y35" s="21">
        <f t="shared" si="4"/>
        <v>0.26</v>
      </c>
      <c r="Z35" s="19">
        <v>1.6220000000000001</v>
      </c>
      <c r="AA35" s="19">
        <v>1.6259999999999999</v>
      </c>
      <c r="AB35" s="21">
        <f t="shared" si="5"/>
        <v>1.6240000000000001</v>
      </c>
      <c r="AC35" s="19">
        <v>0.17799999999999999</v>
      </c>
      <c r="AD35" s="19">
        <v>0.161</v>
      </c>
      <c r="AE35" s="21">
        <f t="shared" si="6"/>
        <v>0.17</v>
      </c>
      <c r="AF35" s="30">
        <v>0.11799999999999999</v>
      </c>
      <c r="AG35" s="30">
        <v>0.11799999999999999</v>
      </c>
      <c r="AH35" s="21">
        <f t="shared" si="7"/>
        <v>0.11799999999999999</v>
      </c>
      <c r="AI35" s="19">
        <v>0.106</v>
      </c>
      <c r="AJ35" s="19">
        <v>0.10199999999999999</v>
      </c>
      <c r="AK35" s="21">
        <f t="shared" si="8"/>
        <v>0.104</v>
      </c>
      <c r="AL35" s="19">
        <v>30.443000000000001</v>
      </c>
      <c r="AM35" s="19">
        <v>29.927</v>
      </c>
      <c r="AN35" s="21">
        <f t="shared" si="9"/>
        <v>30.184999999999999</v>
      </c>
      <c r="AO35" s="46">
        <v>9.4200000000000006E-2</v>
      </c>
      <c r="AP35" s="46">
        <v>9.5399999999999999E-2</v>
      </c>
      <c r="AQ35" s="45">
        <f t="shared" si="10"/>
        <v>9.4799999999999995E-2</v>
      </c>
    </row>
    <row r="36" spans="1:43">
      <c r="A36" s="7" t="s">
        <v>31</v>
      </c>
      <c r="B36" s="5" t="s">
        <v>102</v>
      </c>
      <c r="C36" s="6" t="s">
        <v>103</v>
      </c>
      <c r="D36" s="6" t="s">
        <v>36</v>
      </c>
      <c r="E36" s="23">
        <v>31.8</v>
      </c>
      <c r="F36" s="23">
        <v>9.1</v>
      </c>
      <c r="G36" s="41">
        <v>180</v>
      </c>
      <c r="H36" s="23">
        <v>8</v>
      </c>
      <c r="I36" s="23">
        <v>1.4</v>
      </c>
      <c r="J36" s="23">
        <v>5.0999999999999996</v>
      </c>
      <c r="K36" s="15">
        <v>3.4</v>
      </c>
      <c r="L36" s="15">
        <v>3.5</v>
      </c>
      <c r="M36" s="20">
        <f t="shared" si="0"/>
        <v>3.5</v>
      </c>
      <c r="N36" s="37">
        <v>3.1</v>
      </c>
      <c r="O36" s="37">
        <v>3</v>
      </c>
      <c r="P36" s="38">
        <f t="shared" si="1"/>
        <v>3.1</v>
      </c>
      <c r="Q36" s="17">
        <v>1.5940000000000001</v>
      </c>
      <c r="R36" s="17">
        <v>1.5409999999999999</v>
      </c>
      <c r="S36" s="22">
        <f t="shared" si="2"/>
        <v>1.5680000000000001</v>
      </c>
      <c r="T36" s="17">
        <v>1.5680000000000001</v>
      </c>
      <c r="U36" s="17">
        <v>1.552</v>
      </c>
      <c r="V36" s="22">
        <f t="shared" si="3"/>
        <v>1.56</v>
      </c>
      <c r="W36" s="17">
        <v>2.4E-2</v>
      </c>
      <c r="X36" s="17">
        <v>5.6000000000000001E-2</v>
      </c>
      <c r="Y36" s="21">
        <f t="shared" si="4"/>
        <v>0.04</v>
      </c>
      <c r="Z36" s="19">
        <v>1.224</v>
      </c>
      <c r="AA36" s="19">
        <v>1.242</v>
      </c>
      <c r="AB36" s="21">
        <f t="shared" si="5"/>
        <v>1.2330000000000001</v>
      </c>
      <c r="AC36" s="19">
        <v>0.13900000000000001</v>
      </c>
      <c r="AD36" s="19">
        <v>0.11700000000000001</v>
      </c>
      <c r="AE36" s="21">
        <f t="shared" si="6"/>
        <v>0.128</v>
      </c>
      <c r="AF36" s="30">
        <v>9.4E-2</v>
      </c>
      <c r="AG36" s="30">
        <v>9.1999999999999998E-2</v>
      </c>
      <c r="AH36" s="21">
        <f t="shared" si="7"/>
        <v>9.2999999999999999E-2</v>
      </c>
      <c r="AI36" s="19">
        <v>8.5000000000000006E-2</v>
      </c>
      <c r="AJ36" s="19">
        <v>8.4000000000000005E-2</v>
      </c>
      <c r="AK36" s="21">
        <f t="shared" si="8"/>
        <v>8.5000000000000006E-2</v>
      </c>
      <c r="AL36" s="19">
        <v>10.673999999999999</v>
      </c>
      <c r="AM36" s="19">
        <v>10.782</v>
      </c>
      <c r="AN36" s="21">
        <f t="shared" si="9"/>
        <v>10.728</v>
      </c>
      <c r="AO36" s="46">
        <v>8.43E-2</v>
      </c>
      <c r="AP36" s="46">
        <v>8.5900000000000004E-2</v>
      </c>
      <c r="AQ36" s="45">
        <f t="shared" si="10"/>
        <v>8.5099999999999995E-2</v>
      </c>
    </row>
    <row r="37" spans="1:43">
      <c r="A37" s="7" t="s">
        <v>32</v>
      </c>
      <c r="B37" s="5" t="s">
        <v>104</v>
      </c>
      <c r="C37" s="6" t="s">
        <v>44</v>
      </c>
      <c r="D37" s="6" t="s">
        <v>105</v>
      </c>
      <c r="E37" s="23">
        <v>31.3</v>
      </c>
      <c r="F37" s="23">
        <v>9.5</v>
      </c>
      <c r="G37" s="41">
        <v>194</v>
      </c>
      <c r="H37" s="23">
        <v>6.7</v>
      </c>
      <c r="I37" s="23">
        <v>1.4</v>
      </c>
      <c r="J37" s="23">
        <v>5.6</v>
      </c>
      <c r="K37" s="15">
        <v>4</v>
      </c>
      <c r="L37" s="15">
        <v>3.8</v>
      </c>
      <c r="M37" s="20">
        <f t="shared" si="0"/>
        <v>3.9</v>
      </c>
      <c r="N37" s="37">
        <v>3.5</v>
      </c>
      <c r="O37" s="37">
        <v>3.6</v>
      </c>
      <c r="P37" s="38">
        <f t="shared" si="1"/>
        <v>3.6</v>
      </c>
      <c r="Q37" s="17">
        <v>1.913</v>
      </c>
      <c r="R37" s="17">
        <v>1.879</v>
      </c>
      <c r="S37" s="22">
        <f t="shared" si="2"/>
        <v>1.8959999999999999</v>
      </c>
      <c r="T37" s="17">
        <v>1.7949999999999999</v>
      </c>
      <c r="U37" s="17">
        <v>1.7889999999999999</v>
      </c>
      <c r="V37" s="22">
        <f t="shared" si="3"/>
        <v>1.792</v>
      </c>
      <c r="W37" s="17">
        <v>9.5000000000000001E-2</v>
      </c>
      <c r="X37" s="17">
        <v>8.2000000000000003E-2</v>
      </c>
      <c r="Y37" s="21">
        <f t="shared" si="4"/>
        <v>8.8999999999999996E-2</v>
      </c>
      <c r="Z37" s="19">
        <v>1.3280000000000001</v>
      </c>
      <c r="AA37" s="19">
        <v>1.3420000000000001</v>
      </c>
      <c r="AB37" s="21">
        <f t="shared" si="5"/>
        <v>1.335</v>
      </c>
      <c r="AC37" s="19">
        <v>0.184</v>
      </c>
      <c r="AD37" s="19">
        <v>0.17199999999999999</v>
      </c>
      <c r="AE37" s="21">
        <f t="shared" si="6"/>
        <v>0.17799999999999999</v>
      </c>
      <c r="AF37" s="30">
        <v>0.123</v>
      </c>
      <c r="AG37" s="30">
        <v>0.125</v>
      </c>
      <c r="AH37" s="21">
        <f t="shared" si="7"/>
        <v>0.124</v>
      </c>
      <c r="AI37" s="19">
        <v>0.121</v>
      </c>
      <c r="AJ37" s="19">
        <v>0.122</v>
      </c>
      <c r="AK37" s="21">
        <f t="shared" si="8"/>
        <v>0.122</v>
      </c>
      <c r="AL37" s="19">
        <v>11.593</v>
      </c>
      <c r="AM37" s="19">
        <v>11.693</v>
      </c>
      <c r="AN37" s="21">
        <f t="shared" si="9"/>
        <v>11.643000000000001</v>
      </c>
      <c r="AO37" s="46">
        <v>0.1046</v>
      </c>
      <c r="AP37" s="46">
        <v>0.1065</v>
      </c>
      <c r="AQ37" s="45">
        <f t="shared" si="10"/>
        <v>0.1056</v>
      </c>
    </row>
    <row r="38" spans="1:43">
      <c r="A38" s="7" t="s">
        <v>33</v>
      </c>
      <c r="B38" s="5" t="s">
        <v>106</v>
      </c>
      <c r="C38" s="6" t="s">
        <v>107</v>
      </c>
      <c r="D38" s="6" t="s">
        <v>36</v>
      </c>
      <c r="E38" s="23">
        <v>31.9</v>
      </c>
      <c r="F38" s="23">
        <v>9.3000000000000007</v>
      </c>
      <c r="G38" s="41">
        <v>192</v>
      </c>
      <c r="H38" s="23">
        <v>7.9</v>
      </c>
      <c r="I38" s="23">
        <v>1.5</v>
      </c>
      <c r="J38" s="23">
        <v>5.5</v>
      </c>
      <c r="K38" s="15">
        <v>3.7</v>
      </c>
      <c r="L38" s="15">
        <v>3.6</v>
      </c>
      <c r="M38" s="20">
        <f t="shared" si="0"/>
        <v>3.7</v>
      </c>
      <c r="N38" s="37">
        <v>3.1</v>
      </c>
      <c r="O38" s="37">
        <v>3</v>
      </c>
      <c r="P38" s="38">
        <f t="shared" si="1"/>
        <v>3.1</v>
      </c>
      <c r="Q38" s="17">
        <v>2.0289999999999999</v>
      </c>
      <c r="R38" s="17">
        <v>2.0350000000000001</v>
      </c>
      <c r="S38" s="22">
        <f t="shared" si="2"/>
        <v>2.032</v>
      </c>
      <c r="T38" s="17">
        <v>1.899</v>
      </c>
      <c r="U38" s="17">
        <v>1.9139999999999999</v>
      </c>
      <c r="V38" s="22">
        <f t="shared" si="3"/>
        <v>1.907</v>
      </c>
      <c r="W38" s="17">
        <v>3.5999999999999997E-2</v>
      </c>
      <c r="X38" s="17">
        <v>4.5999999999999999E-2</v>
      </c>
      <c r="Y38" s="21">
        <f t="shared" si="4"/>
        <v>4.1000000000000002E-2</v>
      </c>
      <c r="Z38" s="19">
        <v>1.5609999999999999</v>
      </c>
      <c r="AA38" s="19">
        <v>1.6160000000000001</v>
      </c>
      <c r="AB38" s="21">
        <f t="shared" si="5"/>
        <v>1.589</v>
      </c>
      <c r="AC38" s="19">
        <v>0.16600000000000001</v>
      </c>
      <c r="AD38" s="19">
        <v>0.151</v>
      </c>
      <c r="AE38" s="21">
        <f t="shared" si="6"/>
        <v>0.159</v>
      </c>
      <c r="AF38" s="30">
        <v>0.109</v>
      </c>
      <c r="AG38" s="30">
        <v>0.112</v>
      </c>
      <c r="AH38" s="21">
        <f t="shared" si="7"/>
        <v>0.111</v>
      </c>
      <c r="AI38" s="19">
        <v>0.1</v>
      </c>
      <c r="AJ38" s="19">
        <v>9.5000000000000001E-2</v>
      </c>
      <c r="AK38" s="21">
        <f t="shared" si="8"/>
        <v>9.8000000000000004E-2</v>
      </c>
      <c r="AL38" s="19">
        <v>11.712</v>
      </c>
      <c r="AM38" s="19">
        <v>12.114000000000001</v>
      </c>
      <c r="AN38" s="21">
        <f t="shared" si="9"/>
        <v>11.913</v>
      </c>
      <c r="AO38" s="46">
        <v>8.4699999999999998E-2</v>
      </c>
      <c r="AP38" s="46">
        <v>8.6599999999999996E-2</v>
      </c>
      <c r="AQ38" s="45">
        <f t="shared" si="10"/>
        <v>8.5699999999999998E-2</v>
      </c>
    </row>
    <row r="39" spans="1:43">
      <c r="A39" s="7" t="s">
        <v>137</v>
      </c>
      <c r="B39" s="5" t="s">
        <v>138</v>
      </c>
      <c r="C39" s="6"/>
      <c r="D39" s="6"/>
      <c r="E39" s="23">
        <v>28.2</v>
      </c>
      <c r="F39" s="23">
        <v>7.4</v>
      </c>
      <c r="G39" s="41">
        <v>293</v>
      </c>
      <c r="H39" s="23">
        <v>7.1</v>
      </c>
      <c r="I39" s="23">
        <v>8.9</v>
      </c>
      <c r="J39" s="23">
        <v>11</v>
      </c>
      <c r="K39" s="4">
        <v>7.4</v>
      </c>
      <c r="L39" s="4">
        <v>7.7</v>
      </c>
      <c r="M39" s="20">
        <f t="shared" si="0"/>
        <v>7.6</v>
      </c>
      <c r="N39" s="37">
        <v>4.7</v>
      </c>
      <c r="O39" s="37">
        <v>4.5</v>
      </c>
      <c r="P39" s="38">
        <f t="shared" si="1"/>
        <v>4.5999999999999996</v>
      </c>
      <c r="Q39" s="17">
        <v>7.4290000000000003</v>
      </c>
      <c r="R39" s="17">
        <v>7.492</v>
      </c>
      <c r="S39" s="22">
        <f t="shared" si="2"/>
        <v>7.4610000000000003</v>
      </c>
      <c r="T39" s="4">
        <v>6.7050000000000001</v>
      </c>
      <c r="U39" s="4">
        <v>6.681</v>
      </c>
      <c r="V39" s="22">
        <f t="shared" si="3"/>
        <v>6.6929999999999996</v>
      </c>
      <c r="W39" s="17">
        <v>2.3170000000000002</v>
      </c>
      <c r="X39" s="17">
        <v>2.286</v>
      </c>
      <c r="Y39" s="21">
        <f t="shared" si="4"/>
        <v>2.302</v>
      </c>
      <c r="Z39" s="19">
        <v>3.8849999999999998</v>
      </c>
      <c r="AA39" s="19">
        <v>3.956</v>
      </c>
      <c r="AB39" s="21">
        <f t="shared" si="5"/>
        <v>3.9209999999999998</v>
      </c>
      <c r="AC39" s="19">
        <v>0.47799999999999998</v>
      </c>
      <c r="AD39" s="19">
        <v>0.44600000000000001</v>
      </c>
      <c r="AE39" s="21">
        <f t="shared" si="6"/>
        <v>0.46200000000000002</v>
      </c>
      <c r="AF39" s="30">
        <v>0.20499999999999999</v>
      </c>
      <c r="AG39" s="30">
        <v>0.21199999999999999</v>
      </c>
      <c r="AH39" s="21">
        <f t="shared" si="7"/>
        <v>0.20899999999999999</v>
      </c>
      <c r="AI39" s="5">
        <v>0.17499999999999999</v>
      </c>
      <c r="AJ39" s="5">
        <v>0.17199999999999999</v>
      </c>
      <c r="AK39" s="21">
        <f t="shared" si="8"/>
        <v>0.17399999999999999</v>
      </c>
      <c r="AL39" s="19">
        <v>33.479999999999997</v>
      </c>
      <c r="AM39" s="19">
        <v>33.658000000000001</v>
      </c>
      <c r="AN39" s="21">
        <f t="shared" si="9"/>
        <v>33.569000000000003</v>
      </c>
      <c r="AO39" s="46">
        <v>9.8599999999999993E-2</v>
      </c>
      <c r="AP39" s="46">
        <v>0.10009999999999999</v>
      </c>
      <c r="AQ39" s="45">
        <f t="shared" si="10"/>
        <v>9.9400000000000002E-2</v>
      </c>
    </row>
    <row r="40" spans="1:43">
      <c r="A40" s="7" t="s">
        <v>145</v>
      </c>
      <c r="B40" s="5" t="s">
        <v>161</v>
      </c>
      <c r="C40" s="6"/>
      <c r="D40" s="6"/>
      <c r="E40" s="23">
        <v>27.9</v>
      </c>
      <c r="F40" s="23">
        <v>7.1</v>
      </c>
      <c r="G40" s="41">
        <v>440</v>
      </c>
      <c r="H40" s="23">
        <v>7.4</v>
      </c>
      <c r="I40" s="23">
        <v>0.8</v>
      </c>
      <c r="J40" s="23">
        <v>5.3</v>
      </c>
      <c r="K40" s="4">
        <v>3.8</v>
      </c>
      <c r="L40" s="4">
        <v>3.5</v>
      </c>
      <c r="M40" s="20">
        <f t="shared" si="0"/>
        <v>3.7</v>
      </c>
      <c r="N40" s="37">
        <v>3.4</v>
      </c>
      <c r="O40" s="37">
        <v>3.4</v>
      </c>
      <c r="P40" s="38">
        <f t="shared" si="1"/>
        <v>3.4</v>
      </c>
      <c r="Q40" s="17">
        <v>2.927</v>
      </c>
      <c r="R40" s="17">
        <v>2.907</v>
      </c>
      <c r="S40" s="22">
        <f t="shared" si="2"/>
        <v>2.9169999999999998</v>
      </c>
      <c r="T40" s="4">
        <v>2.8959999999999999</v>
      </c>
      <c r="U40" s="4">
        <v>2.8940000000000001</v>
      </c>
      <c r="V40" s="22">
        <f t="shared" si="3"/>
        <v>2.895</v>
      </c>
      <c r="W40" s="17">
        <v>1.149</v>
      </c>
      <c r="X40" s="17">
        <v>1.1659999999999999</v>
      </c>
      <c r="Y40" s="21">
        <f t="shared" si="4"/>
        <v>1.1579999999999999</v>
      </c>
      <c r="Z40" s="19">
        <v>1.3049999999999999</v>
      </c>
      <c r="AA40" s="19">
        <v>1.2869999999999999</v>
      </c>
      <c r="AB40" s="21">
        <f t="shared" si="5"/>
        <v>1.296</v>
      </c>
      <c r="AC40" s="19">
        <v>4.2000000000000003E-2</v>
      </c>
      <c r="AD40" s="19">
        <v>0.03</v>
      </c>
      <c r="AE40" s="21">
        <f t="shared" si="6"/>
        <v>3.5999999999999997E-2</v>
      </c>
      <c r="AF40" s="30">
        <v>0.02</v>
      </c>
      <c r="AG40" s="30">
        <v>1.7000000000000001E-2</v>
      </c>
      <c r="AH40" s="21">
        <f t="shared" si="7"/>
        <v>1.9E-2</v>
      </c>
      <c r="AI40" s="5">
        <v>8.0000000000000002E-3</v>
      </c>
      <c r="AJ40" s="5">
        <v>7.0000000000000001E-3</v>
      </c>
      <c r="AK40" s="21">
        <f t="shared" si="8"/>
        <v>8.0000000000000002E-3</v>
      </c>
      <c r="AL40" s="19">
        <v>60.848999999999997</v>
      </c>
      <c r="AM40" s="19">
        <v>60.213000000000001</v>
      </c>
      <c r="AN40" s="21">
        <f t="shared" si="9"/>
        <v>60.530999999999999</v>
      </c>
      <c r="AO40" s="46">
        <v>7.0300000000000001E-2</v>
      </c>
      <c r="AP40" s="46">
        <v>7.22E-2</v>
      </c>
      <c r="AQ40" s="45">
        <f t="shared" si="10"/>
        <v>7.1300000000000002E-2</v>
      </c>
    </row>
  </sheetData>
  <mergeCells count="18">
    <mergeCell ref="I1:I2"/>
    <mergeCell ref="A1:A2"/>
    <mergeCell ref="B1:B2"/>
    <mergeCell ref="C1:C2"/>
    <mergeCell ref="D1:D2"/>
    <mergeCell ref="E1:H1"/>
    <mergeCell ref="AO1:AQ1"/>
    <mergeCell ref="J1:J2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40"/>
  <sheetViews>
    <sheetView zoomScale="85" zoomScaleNormal="85" workbookViewId="0">
      <selection activeCell="E1" sqref="A1:XFD2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20" width="9" style="1"/>
    <col min="21" max="21" width="9" style="3"/>
    <col min="22" max="31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8"/>
      <c r="U1" s="76" t="s">
        <v>126</v>
      </c>
      <c r="V1" s="77"/>
      <c r="W1" s="78"/>
      <c r="X1" s="76" t="s">
        <v>127</v>
      </c>
      <c r="Y1" s="77"/>
      <c r="Z1" s="78"/>
      <c r="AA1" s="76" t="s">
        <v>128</v>
      </c>
      <c r="AB1" s="77"/>
      <c r="AC1" s="78"/>
      <c r="AD1" s="76" t="s">
        <v>129</v>
      </c>
      <c r="AE1" s="77"/>
      <c r="AF1" s="78"/>
      <c r="AG1" s="76" t="s">
        <v>130</v>
      </c>
      <c r="AH1" s="77"/>
      <c r="AI1" s="78"/>
      <c r="AJ1" s="76" t="s">
        <v>131</v>
      </c>
      <c r="AK1" s="77"/>
      <c r="AL1" s="78"/>
      <c r="AM1" s="76" t="s">
        <v>132</v>
      </c>
      <c r="AN1" s="77"/>
      <c r="AO1" s="78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113</v>
      </c>
      <c r="H2" s="12" t="s">
        <v>112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136</v>
      </c>
      <c r="B3" s="9" t="s">
        <v>34</v>
      </c>
      <c r="C3" s="10" t="s">
        <v>35</v>
      </c>
      <c r="D3" s="10" t="s">
        <v>36</v>
      </c>
      <c r="E3" s="20">
        <v>25.3</v>
      </c>
      <c r="F3" s="20">
        <v>7.6</v>
      </c>
      <c r="G3" s="40">
        <v>134</v>
      </c>
      <c r="H3" s="20">
        <v>7.9</v>
      </c>
      <c r="I3" s="20">
        <v>1</v>
      </c>
      <c r="J3" s="20">
        <v>3.9</v>
      </c>
      <c r="K3" s="36">
        <v>2.7</v>
      </c>
      <c r="L3" s="36">
        <v>3.1</v>
      </c>
      <c r="M3" s="36"/>
      <c r="N3" s="38">
        <f>ROUND(AVERAGE(K3:M3),1)</f>
        <v>2.9</v>
      </c>
      <c r="O3" s="36">
        <v>2.1</v>
      </c>
      <c r="P3" s="36">
        <v>2.1</v>
      </c>
      <c r="Q3" s="38">
        <f>ROUND(AVERAGE(O3:P3),1)</f>
        <v>2.1</v>
      </c>
      <c r="R3" s="16">
        <v>0.60099999999999998</v>
      </c>
      <c r="S3" s="16">
        <v>0.56499999999999995</v>
      </c>
      <c r="T3" s="22">
        <f>ROUND(AVERAGE(R3:S3),3)</f>
        <v>0.58299999999999996</v>
      </c>
      <c r="U3" s="32">
        <v>0.496</v>
      </c>
      <c r="V3" s="32">
        <v>0.47699999999999998</v>
      </c>
      <c r="W3" s="33">
        <f>ROUND(AVERAGE(U3:V3),3)</f>
        <v>0.48699999999999999</v>
      </c>
      <c r="X3" s="16">
        <v>5.7000000000000002E-2</v>
      </c>
      <c r="Y3" s="16">
        <v>4.1000000000000002E-2</v>
      </c>
      <c r="Z3" s="21">
        <f>ROUND(AVERAGE(X3:Y3),3)</f>
        <v>4.9000000000000002E-2</v>
      </c>
      <c r="AA3" s="18">
        <v>0.34300000000000003</v>
      </c>
      <c r="AB3" s="18">
        <v>0.35199999999999998</v>
      </c>
      <c r="AC3" s="21">
        <f>ROUND(AVERAGE(AA3:AB3),3)</f>
        <v>0.34799999999999998</v>
      </c>
      <c r="AD3" s="18">
        <v>6.2E-2</v>
      </c>
      <c r="AE3" s="18">
        <v>5.8000000000000003E-2</v>
      </c>
      <c r="AF3" s="21">
        <f>ROUND(AVERAGE(AD3:AE3),3)</f>
        <v>0.06</v>
      </c>
      <c r="AG3" s="29">
        <v>3.1E-2</v>
      </c>
      <c r="AH3" s="29">
        <v>2.5999999999999999E-2</v>
      </c>
      <c r="AI3" s="31">
        <f>ROUND(AVERAGE(AG3:AH3),3)</f>
        <v>2.9000000000000001E-2</v>
      </c>
      <c r="AJ3" s="29">
        <v>1.4E-2</v>
      </c>
      <c r="AK3" s="29">
        <v>1.2999999999999999E-2</v>
      </c>
      <c r="AL3" s="31">
        <f>ROUND(AVERAGE(AJ3:AK3),3)</f>
        <v>1.4E-2</v>
      </c>
      <c r="AM3" s="18">
        <v>10.989000000000001</v>
      </c>
      <c r="AN3" s="18">
        <v>11.4</v>
      </c>
      <c r="AO3" s="21">
        <f>ROUND(AVERAGE(AM3:AN3),3)</f>
        <v>11.195</v>
      </c>
      <c r="AP3" s="44">
        <v>8.1000000000000003E-2</v>
      </c>
      <c r="AQ3" s="44">
        <v>8.1100000000000005E-2</v>
      </c>
      <c r="AR3" s="45">
        <f>ROUND(AVERAGE(AP3:AQ3),4)</f>
        <v>8.1100000000000005E-2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26.3</v>
      </c>
      <c r="F4" s="23">
        <v>7.2</v>
      </c>
      <c r="G4" s="41">
        <v>114</v>
      </c>
      <c r="H4" s="23">
        <v>6.6</v>
      </c>
      <c r="I4" s="23">
        <v>0.9</v>
      </c>
      <c r="J4" s="23">
        <v>3.3</v>
      </c>
      <c r="K4" s="37">
        <v>2.2999999999999998</v>
      </c>
      <c r="L4" s="37">
        <v>2.7</v>
      </c>
      <c r="M4" s="37"/>
      <c r="N4" s="38">
        <f t="shared" ref="N4:N40" si="0">ROUND(AVERAGE(K4:M4),1)</f>
        <v>2.5</v>
      </c>
      <c r="O4" s="37">
        <v>2.1</v>
      </c>
      <c r="P4" s="37">
        <v>2.1</v>
      </c>
      <c r="Q4" s="38">
        <f t="shared" ref="Q4:Q40" si="1">ROUND(AVERAGE(O4:P4),1)</f>
        <v>2.1</v>
      </c>
      <c r="R4" s="17">
        <v>0.58299999999999996</v>
      </c>
      <c r="S4" s="17">
        <v>0.57499999999999996</v>
      </c>
      <c r="T4" s="22">
        <f t="shared" ref="T4:T40" si="2">ROUND(AVERAGE(R4:S4),3)</f>
        <v>0.57899999999999996</v>
      </c>
      <c r="U4" s="34">
        <v>0.54900000000000004</v>
      </c>
      <c r="V4" s="34">
        <v>0.54800000000000004</v>
      </c>
      <c r="W4" s="33">
        <f t="shared" ref="W4:W40" si="3">ROUND(AVERAGE(U4:V4),3)</f>
        <v>0.54900000000000004</v>
      </c>
      <c r="X4" s="17">
        <v>2.1000000000000001E-2</v>
      </c>
      <c r="Y4" s="17">
        <v>2.1999999999999999E-2</v>
      </c>
      <c r="Z4" s="21">
        <f t="shared" ref="Z4:Z40" si="4">ROUND(AVERAGE(X4:Y4),3)</f>
        <v>2.1999999999999999E-2</v>
      </c>
      <c r="AA4" s="19">
        <v>0.41099999999999998</v>
      </c>
      <c r="AB4" s="19">
        <v>0.44</v>
      </c>
      <c r="AC4" s="21">
        <f t="shared" ref="AC4:AC40" si="5">ROUND(AVERAGE(AA4:AB4),3)</f>
        <v>0.42599999999999999</v>
      </c>
      <c r="AD4" s="19">
        <v>3.4000000000000002E-2</v>
      </c>
      <c r="AE4" s="19">
        <v>3.1E-2</v>
      </c>
      <c r="AF4" s="21">
        <f t="shared" ref="AF4:AF40" si="6">ROUND(AVERAGE(AD4:AE4),3)</f>
        <v>3.3000000000000002E-2</v>
      </c>
      <c r="AG4" s="30">
        <v>2.1000000000000001E-2</v>
      </c>
      <c r="AH4" s="30">
        <v>0.02</v>
      </c>
      <c r="AI4" s="31">
        <f t="shared" ref="AI4:AI40" si="7">ROUND(AVERAGE(AG4:AH4),3)</f>
        <v>2.1000000000000001E-2</v>
      </c>
      <c r="AJ4" s="30">
        <v>8.9999999999999993E-3</v>
      </c>
      <c r="AK4" s="30">
        <v>8.9999999999999993E-3</v>
      </c>
      <c r="AL4" s="31">
        <f t="shared" ref="AL4:AL40" si="8">ROUND(AVERAGE(AJ4:AK4),3)</f>
        <v>8.9999999999999993E-3</v>
      </c>
      <c r="AM4" s="19">
        <v>5.47</v>
      </c>
      <c r="AN4" s="19">
        <v>5.85</v>
      </c>
      <c r="AO4" s="21">
        <f t="shared" ref="AO4:AO40" si="9">ROUND(AVERAGE(AM4:AN4),3)</f>
        <v>5.66</v>
      </c>
      <c r="AP4" s="46">
        <v>6.5600000000000006E-2</v>
      </c>
      <c r="AQ4" s="46">
        <v>7.1300000000000002E-2</v>
      </c>
      <c r="AR4" s="45">
        <f t="shared" ref="AR4:AR40" si="10">ROUND(AVERAGE(AP4:AQ4),4)</f>
        <v>6.8500000000000005E-2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26.1</v>
      </c>
      <c r="F5" s="23">
        <v>6.9</v>
      </c>
      <c r="G5" s="41">
        <v>130</v>
      </c>
      <c r="H5" s="23">
        <v>7.9</v>
      </c>
      <c r="I5" s="23">
        <v>1</v>
      </c>
      <c r="J5" s="23">
        <v>3.3</v>
      </c>
      <c r="K5" s="37">
        <v>2.2999999999999998</v>
      </c>
      <c r="L5" s="37">
        <v>2.5</v>
      </c>
      <c r="M5" s="37"/>
      <c r="N5" s="38">
        <f t="shared" si="0"/>
        <v>2.4</v>
      </c>
      <c r="O5" s="37">
        <v>1.9</v>
      </c>
      <c r="P5" s="37">
        <v>1.9</v>
      </c>
      <c r="Q5" s="38">
        <f t="shared" si="1"/>
        <v>1.9</v>
      </c>
      <c r="R5" s="17">
        <v>0.57299999999999995</v>
      </c>
      <c r="S5" s="17">
        <v>0.57699999999999996</v>
      </c>
      <c r="T5" s="22">
        <f t="shared" si="2"/>
        <v>0.57499999999999996</v>
      </c>
      <c r="U5" s="34">
        <v>0.48499999999999999</v>
      </c>
      <c r="V5" s="34">
        <v>0.46100000000000002</v>
      </c>
      <c r="W5" s="33">
        <f t="shared" si="3"/>
        <v>0.47299999999999998</v>
      </c>
      <c r="X5" s="17">
        <v>0.04</v>
      </c>
      <c r="Y5" s="17">
        <v>3.7999999999999999E-2</v>
      </c>
      <c r="Z5" s="21">
        <f t="shared" si="4"/>
        <v>3.9E-2</v>
      </c>
      <c r="AA5" s="19">
        <v>0.38400000000000001</v>
      </c>
      <c r="AB5" s="19">
        <v>0.40300000000000002</v>
      </c>
      <c r="AC5" s="21">
        <f t="shared" si="5"/>
        <v>0.39400000000000002</v>
      </c>
      <c r="AD5" s="19">
        <v>4.5999999999999999E-2</v>
      </c>
      <c r="AE5" s="19">
        <v>4.1000000000000002E-2</v>
      </c>
      <c r="AF5" s="21">
        <f t="shared" si="6"/>
        <v>4.3999999999999997E-2</v>
      </c>
      <c r="AG5" s="30">
        <v>0.02</v>
      </c>
      <c r="AH5" s="30">
        <v>1.7999999999999999E-2</v>
      </c>
      <c r="AI5" s="31">
        <f t="shared" si="7"/>
        <v>1.9E-2</v>
      </c>
      <c r="AJ5" s="30">
        <v>8.9999999999999993E-3</v>
      </c>
      <c r="AK5" s="30">
        <v>0.01</v>
      </c>
      <c r="AL5" s="31">
        <f t="shared" si="8"/>
        <v>0.01</v>
      </c>
      <c r="AM5" s="19">
        <v>7.9009999999999998</v>
      </c>
      <c r="AN5" s="19">
        <v>8.1750000000000007</v>
      </c>
      <c r="AO5" s="21">
        <f t="shared" si="9"/>
        <v>8.0380000000000003</v>
      </c>
      <c r="AP5" s="46">
        <v>6.0199999999999997E-2</v>
      </c>
      <c r="AQ5" s="46">
        <v>6.5299999999999997E-2</v>
      </c>
      <c r="AR5" s="45">
        <f t="shared" si="10"/>
        <v>6.2799999999999995E-2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25.5</v>
      </c>
      <c r="F6" s="23">
        <v>7.2</v>
      </c>
      <c r="G6" s="41">
        <v>79</v>
      </c>
      <c r="H6" s="23">
        <v>7.6</v>
      </c>
      <c r="I6" s="23">
        <v>1.2</v>
      </c>
      <c r="J6" s="23">
        <v>3.9</v>
      </c>
      <c r="K6" s="37">
        <v>2.5</v>
      </c>
      <c r="L6" s="37">
        <v>2.7</v>
      </c>
      <c r="M6" s="37"/>
      <c r="N6" s="38">
        <f t="shared" si="0"/>
        <v>2.6</v>
      </c>
      <c r="O6" s="37">
        <v>2.2999999999999998</v>
      </c>
      <c r="P6" s="37">
        <v>2.2000000000000002</v>
      </c>
      <c r="Q6" s="38">
        <f t="shared" si="1"/>
        <v>2.2999999999999998</v>
      </c>
      <c r="R6" s="17">
        <v>0.44500000000000001</v>
      </c>
      <c r="S6" s="17">
        <v>0.434</v>
      </c>
      <c r="T6" s="22">
        <f t="shared" si="2"/>
        <v>0.44</v>
      </c>
      <c r="U6" s="34">
        <v>0.34799999999999998</v>
      </c>
      <c r="V6" s="34">
        <v>0.35699999999999998</v>
      </c>
      <c r="W6" s="33">
        <f t="shared" si="3"/>
        <v>0.35299999999999998</v>
      </c>
      <c r="X6" s="17">
        <v>4.5999999999999999E-2</v>
      </c>
      <c r="Y6" s="17">
        <v>5.2999999999999999E-2</v>
      </c>
      <c r="Z6" s="21">
        <f t="shared" si="4"/>
        <v>0.05</v>
      </c>
      <c r="AA6" s="19">
        <v>0.255</v>
      </c>
      <c r="AB6" s="19">
        <v>0.26400000000000001</v>
      </c>
      <c r="AC6" s="21">
        <f t="shared" si="5"/>
        <v>0.26</v>
      </c>
      <c r="AD6" s="19">
        <v>4.8000000000000001E-2</v>
      </c>
      <c r="AE6" s="19">
        <v>4.1000000000000002E-2</v>
      </c>
      <c r="AF6" s="21">
        <f t="shared" si="6"/>
        <v>4.4999999999999998E-2</v>
      </c>
      <c r="AG6" s="30">
        <v>2.1999999999999999E-2</v>
      </c>
      <c r="AH6" s="30">
        <v>2.3E-2</v>
      </c>
      <c r="AI6" s="31">
        <f t="shared" si="7"/>
        <v>2.3E-2</v>
      </c>
      <c r="AJ6" s="30">
        <v>1.2E-2</v>
      </c>
      <c r="AK6" s="30">
        <v>1.2E-2</v>
      </c>
      <c r="AL6" s="31">
        <f t="shared" si="8"/>
        <v>1.2E-2</v>
      </c>
      <c r="AM6" s="19">
        <v>4.3940000000000001</v>
      </c>
      <c r="AN6" s="19">
        <v>4.5039999999999996</v>
      </c>
      <c r="AO6" s="21">
        <f t="shared" si="9"/>
        <v>4.4489999999999998</v>
      </c>
      <c r="AP6" s="46">
        <v>9.7500000000000003E-2</v>
      </c>
      <c r="AQ6" s="46">
        <v>0.1022</v>
      </c>
      <c r="AR6" s="45">
        <f t="shared" si="10"/>
        <v>9.9900000000000003E-2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26.6</v>
      </c>
      <c r="F7" s="23">
        <v>7</v>
      </c>
      <c r="G7" s="41">
        <v>119</v>
      </c>
      <c r="H7" s="23">
        <v>6.9</v>
      </c>
      <c r="I7" s="23">
        <v>1.3</v>
      </c>
      <c r="J7" s="23">
        <v>3.5</v>
      </c>
      <c r="K7" s="37">
        <v>2.4</v>
      </c>
      <c r="L7" s="37">
        <v>2.5</v>
      </c>
      <c r="M7" s="37"/>
      <c r="N7" s="38">
        <f t="shared" si="0"/>
        <v>2.5</v>
      </c>
      <c r="O7" s="37">
        <v>2</v>
      </c>
      <c r="P7" s="37">
        <v>1.9</v>
      </c>
      <c r="Q7" s="38">
        <f t="shared" si="1"/>
        <v>2</v>
      </c>
      <c r="R7" s="17">
        <v>0.58499999999999996</v>
      </c>
      <c r="S7" s="17">
        <v>0.57999999999999996</v>
      </c>
      <c r="T7" s="22">
        <f t="shared" si="2"/>
        <v>0.58299999999999996</v>
      </c>
      <c r="U7" s="34">
        <v>0.51300000000000001</v>
      </c>
      <c r="V7" s="34">
        <v>0.52</v>
      </c>
      <c r="W7" s="33">
        <f t="shared" si="3"/>
        <v>0.51700000000000002</v>
      </c>
      <c r="X7" s="17">
        <v>6.2E-2</v>
      </c>
      <c r="Y7" s="17">
        <v>9.5000000000000001E-2</v>
      </c>
      <c r="Z7" s="21">
        <f t="shared" si="4"/>
        <v>7.9000000000000001E-2</v>
      </c>
      <c r="AA7" s="19">
        <v>0.375</v>
      </c>
      <c r="AB7" s="19">
        <v>0.38700000000000001</v>
      </c>
      <c r="AC7" s="21">
        <f t="shared" si="5"/>
        <v>0.38100000000000001</v>
      </c>
      <c r="AD7" s="19">
        <v>5.1999999999999998E-2</v>
      </c>
      <c r="AE7" s="19">
        <v>4.4999999999999998E-2</v>
      </c>
      <c r="AF7" s="21">
        <f t="shared" si="6"/>
        <v>4.9000000000000002E-2</v>
      </c>
      <c r="AG7" s="30">
        <v>2.5000000000000001E-2</v>
      </c>
      <c r="AH7" s="30">
        <v>2.8000000000000001E-2</v>
      </c>
      <c r="AI7" s="31">
        <f t="shared" si="7"/>
        <v>2.7E-2</v>
      </c>
      <c r="AJ7" s="30">
        <v>1.4999999999999999E-2</v>
      </c>
      <c r="AK7" s="30">
        <v>1.6E-2</v>
      </c>
      <c r="AL7" s="31">
        <f t="shared" si="8"/>
        <v>1.6E-2</v>
      </c>
      <c r="AM7" s="19">
        <v>7.7370000000000001</v>
      </c>
      <c r="AN7" s="19">
        <v>7.8079999999999998</v>
      </c>
      <c r="AO7" s="21">
        <f t="shared" si="9"/>
        <v>7.7729999999999997</v>
      </c>
      <c r="AP7" s="46">
        <v>6.54E-2</v>
      </c>
      <c r="AQ7" s="46">
        <v>7.0000000000000007E-2</v>
      </c>
      <c r="AR7" s="45">
        <f t="shared" si="10"/>
        <v>6.7699999999999996E-2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25.5</v>
      </c>
      <c r="F8" s="23">
        <v>7.1</v>
      </c>
      <c r="G8" s="41">
        <v>99</v>
      </c>
      <c r="H8" s="23">
        <v>7.7</v>
      </c>
      <c r="I8" s="23">
        <v>1.6</v>
      </c>
      <c r="J8" s="23">
        <v>4.0999999999999996</v>
      </c>
      <c r="K8" s="37">
        <v>2.9</v>
      </c>
      <c r="L8" s="37">
        <v>2.9</v>
      </c>
      <c r="M8" s="37"/>
      <c r="N8" s="38">
        <f t="shared" si="0"/>
        <v>2.9</v>
      </c>
      <c r="O8" s="37">
        <v>2.2999999999999998</v>
      </c>
      <c r="P8" s="37">
        <v>2.1</v>
      </c>
      <c r="Q8" s="38">
        <f t="shared" si="1"/>
        <v>2.2000000000000002</v>
      </c>
      <c r="R8" s="17">
        <v>0.55600000000000005</v>
      </c>
      <c r="S8" s="17">
        <v>0.55700000000000005</v>
      </c>
      <c r="T8" s="22">
        <f t="shared" si="2"/>
        <v>0.55700000000000005</v>
      </c>
      <c r="U8" s="34">
        <v>0.443</v>
      </c>
      <c r="V8" s="34">
        <v>0.45100000000000001</v>
      </c>
      <c r="W8" s="33">
        <f t="shared" si="3"/>
        <v>0.44700000000000001</v>
      </c>
      <c r="X8" s="17">
        <v>4.1000000000000002E-2</v>
      </c>
      <c r="Y8" s="17">
        <v>0.04</v>
      </c>
      <c r="Z8" s="21">
        <f t="shared" si="4"/>
        <v>4.1000000000000002E-2</v>
      </c>
      <c r="AA8" s="19">
        <v>0.32900000000000001</v>
      </c>
      <c r="AB8" s="19">
        <v>0.34100000000000003</v>
      </c>
      <c r="AC8" s="21">
        <f t="shared" si="5"/>
        <v>0.33500000000000002</v>
      </c>
      <c r="AD8" s="19">
        <v>6.6000000000000003E-2</v>
      </c>
      <c r="AE8" s="19">
        <v>5.8000000000000003E-2</v>
      </c>
      <c r="AF8" s="21">
        <f t="shared" si="6"/>
        <v>6.2E-2</v>
      </c>
      <c r="AG8" s="30">
        <v>2.7E-2</v>
      </c>
      <c r="AH8" s="30">
        <v>2.5999999999999999E-2</v>
      </c>
      <c r="AI8" s="31">
        <f t="shared" si="7"/>
        <v>2.7E-2</v>
      </c>
      <c r="AJ8" s="30">
        <v>1.4999999999999999E-2</v>
      </c>
      <c r="AK8" s="30">
        <v>1.4E-2</v>
      </c>
      <c r="AL8" s="31">
        <f t="shared" si="8"/>
        <v>1.4999999999999999E-2</v>
      </c>
      <c r="AM8" s="19">
        <v>5.915</v>
      </c>
      <c r="AN8" s="19">
        <v>6.0190000000000001</v>
      </c>
      <c r="AO8" s="21">
        <f t="shared" si="9"/>
        <v>5.9669999999999996</v>
      </c>
      <c r="AP8" s="46">
        <v>7.9899999999999999E-2</v>
      </c>
      <c r="AQ8" s="46">
        <v>8.3099999999999993E-2</v>
      </c>
      <c r="AR8" s="45">
        <f t="shared" si="10"/>
        <v>8.1500000000000003E-2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26.7</v>
      </c>
      <c r="F9" s="23">
        <v>7</v>
      </c>
      <c r="G9" s="41">
        <v>113</v>
      </c>
      <c r="H9" s="23">
        <v>6.3</v>
      </c>
      <c r="I9" s="23">
        <v>1.3</v>
      </c>
      <c r="J9" s="23">
        <v>3.3</v>
      </c>
      <c r="K9" s="37">
        <v>2.2000000000000002</v>
      </c>
      <c r="L9" s="37">
        <v>2.5</v>
      </c>
      <c r="M9" s="37"/>
      <c r="N9" s="38">
        <f t="shared" si="0"/>
        <v>2.4</v>
      </c>
      <c r="O9" s="37">
        <v>2</v>
      </c>
      <c r="P9" s="37">
        <v>1.9</v>
      </c>
      <c r="Q9" s="38">
        <f t="shared" si="1"/>
        <v>2</v>
      </c>
      <c r="R9" s="17">
        <v>0.51500000000000001</v>
      </c>
      <c r="S9" s="17">
        <v>0.51600000000000001</v>
      </c>
      <c r="T9" s="22">
        <f t="shared" si="2"/>
        <v>0.51600000000000001</v>
      </c>
      <c r="U9" s="34">
        <v>0.45900000000000002</v>
      </c>
      <c r="V9" s="34">
        <v>0.435</v>
      </c>
      <c r="W9" s="33">
        <f t="shared" si="3"/>
        <v>0.44700000000000001</v>
      </c>
      <c r="X9" s="17">
        <v>3.6999999999999998E-2</v>
      </c>
      <c r="Y9" s="17">
        <v>3.6999999999999998E-2</v>
      </c>
      <c r="Z9" s="21">
        <f t="shared" si="4"/>
        <v>3.6999999999999998E-2</v>
      </c>
      <c r="AA9" s="19">
        <v>0.35399999999999998</v>
      </c>
      <c r="AB9" s="19">
        <v>0.38800000000000001</v>
      </c>
      <c r="AC9" s="21">
        <f t="shared" si="5"/>
        <v>0.371</v>
      </c>
      <c r="AD9" s="19">
        <v>4.4999999999999998E-2</v>
      </c>
      <c r="AE9" s="19">
        <v>3.9E-2</v>
      </c>
      <c r="AF9" s="21">
        <f t="shared" si="6"/>
        <v>4.2000000000000003E-2</v>
      </c>
      <c r="AG9" s="30">
        <v>2.1999999999999999E-2</v>
      </c>
      <c r="AH9" s="30">
        <v>0.02</v>
      </c>
      <c r="AI9" s="31">
        <f t="shared" si="7"/>
        <v>2.1000000000000001E-2</v>
      </c>
      <c r="AJ9" s="30">
        <v>1.0999999999999999E-2</v>
      </c>
      <c r="AK9" s="30">
        <v>1.0999999999999999E-2</v>
      </c>
      <c r="AL9" s="31">
        <f t="shared" si="8"/>
        <v>1.0999999999999999E-2</v>
      </c>
      <c r="AM9" s="19">
        <v>7.1420000000000003</v>
      </c>
      <c r="AN9" s="19">
        <v>7.6719999999999997</v>
      </c>
      <c r="AO9" s="21">
        <f t="shared" si="9"/>
        <v>7.407</v>
      </c>
      <c r="AP9" s="46">
        <v>6.6699999999999995E-2</v>
      </c>
      <c r="AQ9" s="46">
        <v>7.0300000000000001E-2</v>
      </c>
      <c r="AR9" s="45">
        <f t="shared" si="10"/>
        <v>6.8500000000000005E-2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25.9</v>
      </c>
      <c r="F10" s="23">
        <v>7</v>
      </c>
      <c r="G10" s="41">
        <v>145</v>
      </c>
      <c r="H10" s="23">
        <v>6</v>
      </c>
      <c r="I10" s="23">
        <v>1.1000000000000001</v>
      </c>
      <c r="J10" s="23">
        <v>3.9</v>
      </c>
      <c r="K10" s="37">
        <v>2.5</v>
      </c>
      <c r="L10" s="37">
        <v>2.7</v>
      </c>
      <c r="M10" s="37"/>
      <c r="N10" s="38">
        <f t="shared" si="0"/>
        <v>2.6</v>
      </c>
      <c r="O10" s="37">
        <v>2.1</v>
      </c>
      <c r="P10" s="37">
        <v>2.1</v>
      </c>
      <c r="Q10" s="38">
        <f t="shared" si="1"/>
        <v>2.1</v>
      </c>
      <c r="R10" s="17">
        <v>1.647</v>
      </c>
      <c r="S10" s="17">
        <v>1.63</v>
      </c>
      <c r="T10" s="22">
        <f t="shared" si="2"/>
        <v>1.639</v>
      </c>
      <c r="U10" s="34">
        <v>1.4910000000000001</v>
      </c>
      <c r="V10" s="34">
        <v>1.51</v>
      </c>
      <c r="W10" s="33">
        <f t="shared" si="3"/>
        <v>1.5009999999999999</v>
      </c>
      <c r="X10" s="17">
        <v>6.7000000000000004E-2</v>
      </c>
      <c r="Y10" s="17">
        <v>6.7000000000000004E-2</v>
      </c>
      <c r="Z10" s="21">
        <f t="shared" si="4"/>
        <v>6.7000000000000004E-2</v>
      </c>
      <c r="AA10" s="19">
        <v>1.365</v>
      </c>
      <c r="AB10" s="19">
        <v>1.4039999999999999</v>
      </c>
      <c r="AC10" s="21">
        <f t="shared" si="5"/>
        <v>1.385</v>
      </c>
      <c r="AD10" s="19">
        <v>0.26100000000000001</v>
      </c>
      <c r="AE10" s="19">
        <v>0.23400000000000001</v>
      </c>
      <c r="AF10" s="21">
        <f t="shared" si="6"/>
        <v>0.248</v>
      </c>
      <c r="AG10" s="30">
        <v>0.185</v>
      </c>
      <c r="AH10" s="30">
        <v>0.19400000000000001</v>
      </c>
      <c r="AI10" s="31">
        <f t="shared" si="7"/>
        <v>0.19</v>
      </c>
      <c r="AJ10" s="30">
        <v>0.183</v>
      </c>
      <c r="AK10" s="30">
        <v>0.184</v>
      </c>
      <c r="AL10" s="31">
        <f t="shared" si="8"/>
        <v>0.184</v>
      </c>
      <c r="AM10" s="19">
        <v>7.8579999999999997</v>
      </c>
      <c r="AN10" s="19">
        <v>8.0389999999999997</v>
      </c>
      <c r="AO10" s="21">
        <f t="shared" si="9"/>
        <v>7.9489999999999998</v>
      </c>
      <c r="AP10" s="46">
        <v>6.4600000000000005E-2</v>
      </c>
      <c r="AQ10" s="46">
        <v>6.8400000000000002E-2</v>
      </c>
      <c r="AR10" s="45">
        <f t="shared" si="10"/>
        <v>6.6500000000000004E-2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28.5</v>
      </c>
      <c r="F11" s="23">
        <v>6.9</v>
      </c>
      <c r="G11" s="41">
        <v>131</v>
      </c>
      <c r="H11" s="23">
        <v>6.6</v>
      </c>
      <c r="I11" s="23">
        <v>1.4</v>
      </c>
      <c r="J11" s="23">
        <v>3.8</v>
      </c>
      <c r="K11" s="37">
        <v>2.5</v>
      </c>
      <c r="L11" s="37">
        <v>2.7</v>
      </c>
      <c r="M11" s="37"/>
      <c r="N11" s="38">
        <f t="shared" si="0"/>
        <v>2.6</v>
      </c>
      <c r="O11" s="37">
        <v>2.1</v>
      </c>
      <c r="P11" s="37">
        <v>2.1</v>
      </c>
      <c r="Q11" s="38">
        <f t="shared" si="1"/>
        <v>2.1</v>
      </c>
      <c r="R11" s="17">
        <v>0.76200000000000001</v>
      </c>
      <c r="S11" s="17">
        <v>0.74299999999999999</v>
      </c>
      <c r="T11" s="22">
        <f t="shared" si="2"/>
        <v>0.753</v>
      </c>
      <c r="U11" s="34">
        <v>0.68100000000000005</v>
      </c>
      <c r="V11" s="34">
        <v>0.67600000000000005</v>
      </c>
      <c r="W11" s="33">
        <f t="shared" si="3"/>
        <v>0.67900000000000005</v>
      </c>
      <c r="X11" s="17">
        <v>6.0999999999999999E-2</v>
      </c>
      <c r="Y11" s="17">
        <v>5.8999999999999997E-2</v>
      </c>
      <c r="Z11" s="21">
        <f t="shared" si="4"/>
        <v>0.06</v>
      </c>
      <c r="AA11" s="19">
        <v>0.52100000000000002</v>
      </c>
      <c r="AB11" s="19">
        <v>0.54700000000000004</v>
      </c>
      <c r="AC11" s="21">
        <f t="shared" si="5"/>
        <v>0.53400000000000003</v>
      </c>
      <c r="AD11" s="19">
        <v>9.0999999999999998E-2</v>
      </c>
      <c r="AE11" s="19">
        <v>7.9000000000000001E-2</v>
      </c>
      <c r="AF11" s="21">
        <f t="shared" si="6"/>
        <v>8.5000000000000006E-2</v>
      </c>
      <c r="AG11" s="30">
        <v>5.6000000000000001E-2</v>
      </c>
      <c r="AH11" s="30">
        <v>5.2999999999999999E-2</v>
      </c>
      <c r="AI11" s="31">
        <f t="shared" si="7"/>
        <v>5.5E-2</v>
      </c>
      <c r="AJ11" s="30">
        <v>4.3999999999999997E-2</v>
      </c>
      <c r="AK11" s="30">
        <v>4.2999999999999997E-2</v>
      </c>
      <c r="AL11" s="31">
        <f t="shared" si="8"/>
        <v>4.3999999999999997E-2</v>
      </c>
      <c r="AM11" s="19">
        <v>7.6760000000000002</v>
      </c>
      <c r="AN11" s="19">
        <v>7.8609999999999998</v>
      </c>
      <c r="AO11" s="21">
        <f t="shared" si="9"/>
        <v>7.7690000000000001</v>
      </c>
      <c r="AP11" s="46">
        <v>6.1800000000000001E-2</v>
      </c>
      <c r="AQ11" s="46">
        <v>6.54E-2</v>
      </c>
      <c r="AR11" s="45">
        <f t="shared" si="10"/>
        <v>6.3600000000000004E-2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27.3</v>
      </c>
      <c r="F12" s="23">
        <v>7</v>
      </c>
      <c r="G12" s="41">
        <v>214</v>
      </c>
      <c r="H12" s="23">
        <v>6.6</v>
      </c>
      <c r="I12" s="23">
        <v>1.7</v>
      </c>
      <c r="J12" s="23">
        <v>5.3</v>
      </c>
      <c r="K12" s="37">
        <v>4</v>
      </c>
      <c r="L12" s="37">
        <v>4.3</v>
      </c>
      <c r="M12" s="37"/>
      <c r="N12" s="38">
        <f t="shared" si="0"/>
        <v>4.2</v>
      </c>
      <c r="O12" s="37">
        <v>3.1</v>
      </c>
      <c r="P12" s="37">
        <v>3</v>
      </c>
      <c r="Q12" s="38">
        <f t="shared" si="1"/>
        <v>3.1</v>
      </c>
      <c r="R12" s="17">
        <v>1.405</v>
      </c>
      <c r="S12" s="17">
        <v>1.3620000000000001</v>
      </c>
      <c r="T12" s="22">
        <f t="shared" si="2"/>
        <v>1.3839999999999999</v>
      </c>
      <c r="U12" s="34">
        <v>1.2589999999999999</v>
      </c>
      <c r="V12" s="34">
        <v>1.276</v>
      </c>
      <c r="W12" s="33">
        <f t="shared" si="3"/>
        <v>1.268</v>
      </c>
      <c r="X12" s="17">
        <v>0.30599999999999999</v>
      </c>
      <c r="Y12" s="17">
        <v>0.30499999999999999</v>
      </c>
      <c r="Z12" s="21">
        <f t="shared" si="4"/>
        <v>0.30599999999999999</v>
      </c>
      <c r="AA12" s="19">
        <v>0.69499999999999995</v>
      </c>
      <c r="AB12" s="19">
        <v>0.73</v>
      </c>
      <c r="AC12" s="21">
        <f t="shared" si="5"/>
        <v>0.71299999999999997</v>
      </c>
      <c r="AD12" s="19">
        <v>0.17</v>
      </c>
      <c r="AE12" s="19">
        <v>0.14199999999999999</v>
      </c>
      <c r="AF12" s="21">
        <f t="shared" si="6"/>
        <v>0.156</v>
      </c>
      <c r="AG12" s="30">
        <v>9.1999999999999998E-2</v>
      </c>
      <c r="AH12" s="30">
        <v>9.5000000000000001E-2</v>
      </c>
      <c r="AI12" s="31">
        <f t="shared" si="7"/>
        <v>9.4E-2</v>
      </c>
      <c r="AJ12" s="30">
        <v>8.5999999999999993E-2</v>
      </c>
      <c r="AK12" s="30">
        <v>8.6999999999999994E-2</v>
      </c>
      <c r="AL12" s="31">
        <f t="shared" si="8"/>
        <v>8.6999999999999994E-2</v>
      </c>
      <c r="AM12" s="19">
        <v>15.39</v>
      </c>
      <c r="AN12" s="19">
        <v>15.731999999999999</v>
      </c>
      <c r="AO12" s="21">
        <f t="shared" si="9"/>
        <v>15.561</v>
      </c>
      <c r="AP12" s="46">
        <v>8.1500000000000003E-2</v>
      </c>
      <c r="AQ12" s="46">
        <v>8.4500000000000006E-2</v>
      </c>
      <c r="AR12" s="45">
        <f t="shared" si="10"/>
        <v>8.3000000000000004E-2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28</v>
      </c>
      <c r="F13" s="23">
        <v>7.1</v>
      </c>
      <c r="G13" s="41">
        <v>142</v>
      </c>
      <c r="H13" s="23">
        <v>7</v>
      </c>
      <c r="I13" s="23">
        <v>1.3</v>
      </c>
      <c r="J13" s="23">
        <v>5.0999999999999996</v>
      </c>
      <c r="K13" s="37">
        <v>3.8</v>
      </c>
      <c r="L13" s="37">
        <v>3.7</v>
      </c>
      <c r="M13" s="37"/>
      <c r="N13" s="38">
        <f t="shared" si="0"/>
        <v>3.8</v>
      </c>
      <c r="O13" s="37">
        <v>3</v>
      </c>
      <c r="P13" s="37">
        <v>2.9</v>
      </c>
      <c r="Q13" s="38">
        <f t="shared" si="1"/>
        <v>3</v>
      </c>
      <c r="R13" s="17">
        <v>1.159</v>
      </c>
      <c r="S13" s="17">
        <v>1.137</v>
      </c>
      <c r="T13" s="22">
        <f t="shared" si="2"/>
        <v>1.1479999999999999</v>
      </c>
      <c r="U13" s="34">
        <v>0.98199999999999998</v>
      </c>
      <c r="V13" s="34">
        <v>1.016</v>
      </c>
      <c r="W13" s="33">
        <f t="shared" si="3"/>
        <v>0.999</v>
      </c>
      <c r="X13" s="17">
        <v>7.5999999999999998E-2</v>
      </c>
      <c r="Y13" s="17">
        <v>7.6999999999999999E-2</v>
      </c>
      <c r="Z13" s="21">
        <f t="shared" si="4"/>
        <v>7.6999999999999999E-2</v>
      </c>
      <c r="AA13" s="19">
        <v>0.77200000000000002</v>
      </c>
      <c r="AB13" s="19">
        <v>0.78700000000000003</v>
      </c>
      <c r="AC13" s="21">
        <f t="shared" si="5"/>
        <v>0.78</v>
      </c>
      <c r="AD13" s="19">
        <v>0.155</v>
      </c>
      <c r="AE13" s="19">
        <v>0.13700000000000001</v>
      </c>
      <c r="AF13" s="21">
        <f t="shared" si="6"/>
        <v>0.14599999999999999</v>
      </c>
      <c r="AG13" s="30">
        <v>8.4000000000000005E-2</v>
      </c>
      <c r="AH13" s="30">
        <v>9.5000000000000001E-2</v>
      </c>
      <c r="AI13" s="31">
        <f t="shared" si="7"/>
        <v>0.09</v>
      </c>
      <c r="AJ13" s="30">
        <v>8.2000000000000003E-2</v>
      </c>
      <c r="AK13" s="30">
        <v>8.6999999999999994E-2</v>
      </c>
      <c r="AL13" s="31">
        <f t="shared" si="8"/>
        <v>8.5000000000000006E-2</v>
      </c>
      <c r="AM13" s="19">
        <v>8.4779999999999998</v>
      </c>
      <c r="AN13" s="19">
        <v>8.5649999999999995</v>
      </c>
      <c r="AO13" s="21">
        <f t="shared" si="9"/>
        <v>8.5220000000000002</v>
      </c>
      <c r="AP13" s="46">
        <v>9.0499999999999997E-2</v>
      </c>
      <c r="AQ13" s="46">
        <v>9.4E-2</v>
      </c>
      <c r="AR13" s="45">
        <f t="shared" si="10"/>
        <v>9.2299999999999993E-2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26</v>
      </c>
      <c r="F14" s="23">
        <v>7.2</v>
      </c>
      <c r="G14" s="41">
        <v>106</v>
      </c>
      <c r="H14" s="23">
        <v>8</v>
      </c>
      <c r="I14" s="23">
        <v>1.3</v>
      </c>
      <c r="J14" s="23">
        <v>3.5</v>
      </c>
      <c r="K14" s="37">
        <v>2.6</v>
      </c>
      <c r="L14" s="37">
        <v>2.7</v>
      </c>
      <c r="M14" s="37"/>
      <c r="N14" s="38">
        <f t="shared" si="0"/>
        <v>2.7</v>
      </c>
      <c r="O14" s="37">
        <v>2.1</v>
      </c>
      <c r="P14" s="37">
        <v>2.1</v>
      </c>
      <c r="Q14" s="38">
        <f t="shared" si="1"/>
        <v>2.1</v>
      </c>
      <c r="R14" s="17">
        <v>0.88700000000000001</v>
      </c>
      <c r="S14" s="17">
        <v>0.86599999999999999</v>
      </c>
      <c r="T14" s="22">
        <f t="shared" si="2"/>
        <v>0.877</v>
      </c>
      <c r="U14" s="34">
        <v>0.81799999999999995</v>
      </c>
      <c r="V14" s="34">
        <v>0.81699999999999995</v>
      </c>
      <c r="W14" s="33">
        <f t="shared" si="3"/>
        <v>0.81799999999999995</v>
      </c>
      <c r="X14" s="17">
        <v>0.05</v>
      </c>
      <c r="Y14" s="17">
        <v>4.8999999999999998E-3</v>
      </c>
      <c r="Z14" s="21">
        <f t="shared" si="4"/>
        <v>2.7E-2</v>
      </c>
      <c r="AA14" s="19">
        <v>0.66200000000000003</v>
      </c>
      <c r="AB14" s="19">
        <v>0.68799999999999994</v>
      </c>
      <c r="AC14" s="21">
        <f t="shared" si="5"/>
        <v>0.67500000000000004</v>
      </c>
      <c r="AD14" s="19">
        <v>5.8000000000000003E-2</v>
      </c>
      <c r="AE14" s="19">
        <v>4.8000000000000001E-2</v>
      </c>
      <c r="AF14" s="21">
        <f t="shared" si="6"/>
        <v>5.2999999999999999E-2</v>
      </c>
      <c r="AG14" s="30">
        <v>2.7E-2</v>
      </c>
      <c r="AH14" s="30">
        <v>2.5000000000000001E-2</v>
      </c>
      <c r="AI14" s="31">
        <f t="shared" si="7"/>
        <v>2.5999999999999999E-2</v>
      </c>
      <c r="AJ14" s="30">
        <v>1.7000000000000001E-2</v>
      </c>
      <c r="AK14" s="30">
        <v>1.6E-2</v>
      </c>
      <c r="AL14" s="31">
        <f t="shared" si="8"/>
        <v>1.7000000000000001E-2</v>
      </c>
      <c r="AM14" s="19">
        <v>4.7679999999999998</v>
      </c>
      <c r="AN14" s="19">
        <v>4.8719999999999999</v>
      </c>
      <c r="AO14" s="21">
        <f t="shared" si="9"/>
        <v>4.82</v>
      </c>
      <c r="AP14" s="46">
        <v>5.3400000000000003E-2</v>
      </c>
      <c r="AQ14" s="46">
        <v>5.74E-2</v>
      </c>
      <c r="AR14" s="45">
        <f t="shared" si="10"/>
        <v>5.5399999999999998E-2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26.9</v>
      </c>
      <c r="F15" s="23">
        <v>7.3</v>
      </c>
      <c r="G15" s="41">
        <v>131</v>
      </c>
      <c r="H15" s="23">
        <v>8.1999999999999993</v>
      </c>
      <c r="I15" s="23">
        <v>1.3</v>
      </c>
      <c r="J15" s="23">
        <v>4.0999999999999996</v>
      </c>
      <c r="K15" s="37">
        <v>2.9</v>
      </c>
      <c r="L15" s="37">
        <v>3</v>
      </c>
      <c r="M15" s="37"/>
      <c r="N15" s="38">
        <f t="shared" si="0"/>
        <v>3</v>
      </c>
      <c r="O15" s="37">
        <v>2.6</v>
      </c>
      <c r="P15" s="37">
        <v>2.5</v>
      </c>
      <c r="Q15" s="38">
        <f t="shared" si="1"/>
        <v>2.6</v>
      </c>
      <c r="R15" s="17">
        <v>1.139</v>
      </c>
      <c r="S15" s="17">
        <v>1.1140000000000001</v>
      </c>
      <c r="T15" s="22">
        <f t="shared" si="2"/>
        <v>1.127</v>
      </c>
      <c r="U15" s="34">
        <v>0.98099999999999998</v>
      </c>
      <c r="V15" s="34">
        <v>0.996</v>
      </c>
      <c r="W15" s="33">
        <f t="shared" si="3"/>
        <v>0.98899999999999999</v>
      </c>
      <c r="X15" s="17">
        <v>3.5000000000000003E-2</v>
      </c>
      <c r="Y15" s="17">
        <v>3.4000000000000002E-2</v>
      </c>
      <c r="Z15" s="21">
        <f t="shared" si="4"/>
        <v>3.5000000000000003E-2</v>
      </c>
      <c r="AA15" s="19">
        <v>0.874</v>
      </c>
      <c r="AB15" s="19">
        <v>0.89800000000000002</v>
      </c>
      <c r="AC15" s="21">
        <f t="shared" si="5"/>
        <v>0.88600000000000001</v>
      </c>
      <c r="AD15" s="19">
        <v>9.4E-2</v>
      </c>
      <c r="AE15" s="19">
        <v>8.1000000000000003E-2</v>
      </c>
      <c r="AF15" s="21">
        <f t="shared" si="6"/>
        <v>8.7999999999999995E-2</v>
      </c>
      <c r="AG15" s="30">
        <v>5.2999999999999999E-2</v>
      </c>
      <c r="AH15" s="30">
        <v>0.06</v>
      </c>
      <c r="AI15" s="31">
        <f t="shared" si="7"/>
        <v>5.7000000000000002E-2</v>
      </c>
      <c r="AJ15" s="30">
        <v>4.9000000000000002E-2</v>
      </c>
      <c r="AK15" s="30">
        <v>0.05</v>
      </c>
      <c r="AL15" s="31">
        <f t="shared" si="8"/>
        <v>0.05</v>
      </c>
      <c r="AM15" s="19">
        <v>6.6550000000000002</v>
      </c>
      <c r="AN15" s="19">
        <v>6.7619999999999996</v>
      </c>
      <c r="AO15" s="21">
        <f t="shared" si="9"/>
        <v>6.7089999999999996</v>
      </c>
      <c r="AP15" s="46">
        <v>7.5499999999999998E-2</v>
      </c>
      <c r="AQ15" s="46">
        <v>7.8399999999999997E-2</v>
      </c>
      <c r="AR15" s="45">
        <f t="shared" si="10"/>
        <v>7.6999999999999999E-2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26.3</v>
      </c>
      <c r="F16" s="23">
        <v>7</v>
      </c>
      <c r="G16" s="41">
        <v>163</v>
      </c>
      <c r="H16" s="23">
        <v>7.1</v>
      </c>
      <c r="I16" s="23">
        <v>2.5</v>
      </c>
      <c r="J16" s="23">
        <v>8.1</v>
      </c>
      <c r="K16" s="37">
        <v>5.7</v>
      </c>
      <c r="L16" s="37">
        <v>6</v>
      </c>
      <c r="M16" s="37"/>
      <c r="N16" s="38">
        <f t="shared" si="0"/>
        <v>5.9</v>
      </c>
      <c r="O16" s="37">
        <v>4.7</v>
      </c>
      <c r="P16" s="37">
        <v>4.7</v>
      </c>
      <c r="Q16" s="38">
        <f t="shared" si="1"/>
        <v>4.7</v>
      </c>
      <c r="R16" s="17">
        <v>1.784</v>
      </c>
      <c r="S16" s="17">
        <v>1.7829999999999999</v>
      </c>
      <c r="T16" s="22">
        <f t="shared" si="2"/>
        <v>1.784</v>
      </c>
      <c r="U16" s="34">
        <v>1.631</v>
      </c>
      <c r="V16" s="34">
        <v>1.6379999999999999</v>
      </c>
      <c r="W16" s="33">
        <f t="shared" si="3"/>
        <v>1.635</v>
      </c>
      <c r="X16" s="17">
        <v>0.126</v>
      </c>
      <c r="Y16" s="17">
        <v>0.126</v>
      </c>
      <c r="Z16" s="21">
        <f t="shared" si="4"/>
        <v>0.126</v>
      </c>
      <c r="AA16" s="19">
        <v>1.1379999999999999</v>
      </c>
      <c r="AB16" s="19">
        <v>1.1950000000000001</v>
      </c>
      <c r="AC16" s="21">
        <f t="shared" si="5"/>
        <v>1.167</v>
      </c>
      <c r="AD16" s="19">
        <v>0.187</v>
      </c>
      <c r="AE16" s="19">
        <v>0.16900000000000001</v>
      </c>
      <c r="AF16" s="21">
        <f t="shared" si="6"/>
        <v>0.17799999999999999</v>
      </c>
      <c r="AG16" s="30">
        <v>0.10299999999999999</v>
      </c>
      <c r="AH16" s="30">
        <v>0.106</v>
      </c>
      <c r="AI16" s="31">
        <f t="shared" si="7"/>
        <v>0.105</v>
      </c>
      <c r="AJ16" s="30">
        <v>8.7999999999999995E-2</v>
      </c>
      <c r="AK16" s="30">
        <v>8.8999999999999996E-2</v>
      </c>
      <c r="AL16" s="31">
        <f t="shared" si="8"/>
        <v>8.8999999999999996E-2</v>
      </c>
      <c r="AM16" s="19">
        <v>9.9410000000000007</v>
      </c>
      <c r="AN16" s="19">
        <v>10.228999999999999</v>
      </c>
      <c r="AO16" s="21">
        <f t="shared" si="9"/>
        <v>10.085000000000001</v>
      </c>
      <c r="AP16" s="46">
        <v>0.1555</v>
      </c>
      <c r="AQ16" s="46">
        <v>0.158</v>
      </c>
      <c r="AR16" s="45">
        <f t="shared" si="10"/>
        <v>0.15679999999999999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27.7</v>
      </c>
      <c r="F17" s="23">
        <v>7</v>
      </c>
      <c r="G17" s="41">
        <v>128</v>
      </c>
      <c r="H17" s="23">
        <v>6.3</v>
      </c>
      <c r="I17" s="23">
        <v>1.8</v>
      </c>
      <c r="J17" s="23">
        <v>5</v>
      </c>
      <c r="K17" s="37">
        <v>3.7</v>
      </c>
      <c r="L17" s="37">
        <v>3.6</v>
      </c>
      <c r="M17" s="37"/>
      <c r="N17" s="38">
        <f t="shared" si="0"/>
        <v>3.7</v>
      </c>
      <c r="O17" s="37">
        <v>3.2</v>
      </c>
      <c r="P17" s="37">
        <v>3</v>
      </c>
      <c r="Q17" s="38">
        <f t="shared" si="1"/>
        <v>3.1</v>
      </c>
      <c r="R17" s="17">
        <v>1.26</v>
      </c>
      <c r="S17" s="17">
        <v>1.226</v>
      </c>
      <c r="T17" s="22">
        <f t="shared" si="2"/>
        <v>1.2430000000000001</v>
      </c>
      <c r="U17" s="34">
        <v>1.1619999999999999</v>
      </c>
      <c r="V17" s="34">
        <v>1.1759999999999999</v>
      </c>
      <c r="W17" s="33">
        <f t="shared" si="3"/>
        <v>1.169</v>
      </c>
      <c r="X17" s="17">
        <v>7.0999999999999994E-2</v>
      </c>
      <c r="Y17" s="17">
        <v>7.1999999999999995E-2</v>
      </c>
      <c r="Z17" s="21">
        <f t="shared" si="4"/>
        <v>7.1999999999999995E-2</v>
      </c>
      <c r="AA17" s="19">
        <v>0.88400000000000001</v>
      </c>
      <c r="AB17" s="19">
        <v>0.92200000000000004</v>
      </c>
      <c r="AC17" s="21">
        <f t="shared" si="5"/>
        <v>0.90300000000000002</v>
      </c>
      <c r="AD17" s="19">
        <v>0.13500000000000001</v>
      </c>
      <c r="AE17" s="19">
        <v>0.113</v>
      </c>
      <c r="AF17" s="21">
        <f t="shared" si="6"/>
        <v>0.124</v>
      </c>
      <c r="AG17" s="30">
        <v>8.3000000000000004E-2</v>
      </c>
      <c r="AH17" s="30">
        <v>8.5999999999999993E-2</v>
      </c>
      <c r="AI17" s="31">
        <f t="shared" si="7"/>
        <v>8.5000000000000006E-2</v>
      </c>
      <c r="AJ17" s="30">
        <v>7.3999999999999996E-2</v>
      </c>
      <c r="AK17" s="30">
        <v>7.3999999999999996E-2</v>
      </c>
      <c r="AL17" s="31">
        <f t="shared" si="8"/>
        <v>7.3999999999999996E-2</v>
      </c>
      <c r="AM17" s="19">
        <v>7.4349999999999996</v>
      </c>
      <c r="AN17" s="19">
        <v>7.6079999999999997</v>
      </c>
      <c r="AO17" s="21">
        <f t="shared" si="9"/>
        <v>7.5220000000000002</v>
      </c>
      <c r="AP17" s="46">
        <v>9.4600000000000004E-2</v>
      </c>
      <c r="AQ17" s="46">
        <v>9.8100000000000007E-2</v>
      </c>
      <c r="AR17" s="45">
        <f t="shared" si="10"/>
        <v>9.64E-2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26.2</v>
      </c>
      <c r="F18" s="23">
        <v>6.6</v>
      </c>
      <c r="G18" s="41">
        <v>129</v>
      </c>
      <c r="H18" s="23">
        <v>6.1</v>
      </c>
      <c r="I18" s="23">
        <v>2.2999999999999998</v>
      </c>
      <c r="J18" s="23">
        <v>6.6</v>
      </c>
      <c r="K18" s="37">
        <v>4.8</v>
      </c>
      <c r="L18" s="37">
        <v>4.9000000000000004</v>
      </c>
      <c r="M18" s="37"/>
      <c r="N18" s="38">
        <f t="shared" si="0"/>
        <v>4.9000000000000004</v>
      </c>
      <c r="O18" s="37">
        <v>4</v>
      </c>
      <c r="P18" s="37">
        <v>4</v>
      </c>
      <c r="Q18" s="38">
        <f t="shared" si="1"/>
        <v>4</v>
      </c>
      <c r="R18" s="17">
        <v>1.1839999999999999</v>
      </c>
      <c r="S18" s="17">
        <v>1.1619999999999999</v>
      </c>
      <c r="T18" s="22">
        <f t="shared" si="2"/>
        <v>1.173</v>
      </c>
      <c r="U18" s="34">
        <v>1.03</v>
      </c>
      <c r="V18" s="34">
        <v>1.056</v>
      </c>
      <c r="W18" s="33">
        <f t="shared" si="3"/>
        <v>1.0429999999999999</v>
      </c>
      <c r="X18" s="17">
        <v>8.7999999999999995E-2</v>
      </c>
      <c r="Y18" s="17">
        <v>8.6999999999999994E-2</v>
      </c>
      <c r="Z18" s="21">
        <f t="shared" si="4"/>
        <v>8.7999999999999995E-2</v>
      </c>
      <c r="AA18" s="19">
        <v>0.69299999999999995</v>
      </c>
      <c r="AB18" s="19">
        <v>0.71599999999999997</v>
      </c>
      <c r="AC18" s="21">
        <f t="shared" si="5"/>
        <v>0.70499999999999996</v>
      </c>
      <c r="AD18" s="19">
        <v>0.126</v>
      </c>
      <c r="AE18" s="19">
        <v>0.108</v>
      </c>
      <c r="AF18" s="21">
        <f t="shared" si="6"/>
        <v>0.11700000000000001</v>
      </c>
      <c r="AG18" s="30">
        <v>6.6000000000000003E-2</v>
      </c>
      <c r="AH18" s="30">
        <v>6.9000000000000006E-2</v>
      </c>
      <c r="AI18" s="31">
        <f t="shared" si="7"/>
        <v>6.8000000000000005E-2</v>
      </c>
      <c r="AJ18" s="30">
        <v>5.6000000000000001E-2</v>
      </c>
      <c r="AK18" s="30">
        <v>5.5E-2</v>
      </c>
      <c r="AL18" s="31">
        <f t="shared" si="8"/>
        <v>5.6000000000000001E-2</v>
      </c>
      <c r="AM18" s="19">
        <v>7.5110000000000001</v>
      </c>
      <c r="AN18" s="19">
        <v>7.6360000000000001</v>
      </c>
      <c r="AO18" s="21">
        <f t="shared" si="9"/>
        <v>7.5739999999999998</v>
      </c>
      <c r="AP18" s="46">
        <v>0.1255</v>
      </c>
      <c r="AQ18" s="46">
        <v>0.129</v>
      </c>
      <c r="AR18" s="45">
        <f t="shared" si="10"/>
        <v>0.1273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27.5</v>
      </c>
      <c r="F19" s="23">
        <v>6.6</v>
      </c>
      <c r="G19" s="41">
        <v>130</v>
      </c>
      <c r="H19" s="23">
        <v>6.5</v>
      </c>
      <c r="I19" s="23">
        <v>2.6</v>
      </c>
      <c r="J19" s="23">
        <v>5.4</v>
      </c>
      <c r="K19" s="37">
        <v>3.8</v>
      </c>
      <c r="L19" s="37">
        <v>3.9</v>
      </c>
      <c r="M19" s="37"/>
      <c r="N19" s="38">
        <f t="shared" si="0"/>
        <v>3.9</v>
      </c>
      <c r="O19" s="37">
        <v>3.1</v>
      </c>
      <c r="P19" s="37">
        <v>3.1</v>
      </c>
      <c r="Q19" s="38">
        <f t="shared" si="1"/>
        <v>3.1</v>
      </c>
      <c r="R19" s="17">
        <v>1.35</v>
      </c>
      <c r="S19" s="17">
        <v>1.3460000000000001</v>
      </c>
      <c r="T19" s="22">
        <f t="shared" si="2"/>
        <v>1.3480000000000001</v>
      </c>
      <c r="U19" s="34">
        <v>1.206</v>
      </c>
      <c r="V19" s="34">
        <v>1.1990000000000001</v>
      </c>
      <c r="W19" s="33">
        <f t="shared" si="3"/>
        <v>1.2030000000000001</v>
      </c>
      <c r="X19" s="17">
        <v>8.4000000000000005E-2</v>
      </c>
      <c r="Y19" s="17">
        <v>8.3000000000000004E-2</v>
      </c>
      <c r="Z19" s="21">
        <f t="shared" si="4"/>
        <v>8.4000000000000005E-2</v>
      </c>
      <c r="AA19" s="19">
        <v>0.91200000000000003</v>
      </c>
      <c r="AB19" s="19">
        <v>0.94799999999999995</v>
      </c>
      <c r="AC19" s="21">
        <f t="shared" si="5"/>
        <v>0.93</v>
      </c>
      <c r="AD19" s="19">
        <v>0.16200000000000001</v>
      </c>
      <c r="AE19" s="19">
        <v>0.14000000000000001</v>
      </c>
      <c r="AF19" s="21">
        <f t="shared" si="6"/>
        <v>0.151</v>
      </c>
      <c r="AG19" s="30">
        <v>0.104</v>
      </c>
      <c r="AH19" s="30">
        <v>0.10299999999999999</v>
      </c>
      <c r="AI19" s="31">
        <f t="shared" si="7"/>
        <v>0.104</v>
      </c>
      <c r="AJ19" s="30">
        <v>9.4E-2</v>
      </c>
      <c r="AK19" s="30">
        <v>9.5000000000000001E-2</v>
      </c>
      <c r="AL19" s="31">
        <f t="shared" si="8"/>
        <v>9.5000000000000001E-2</v>
      </c>
      <c r="AM19" s="19">
        <v>7.423</v>
      </c>
      <c r="AN19" s="19">
        <v>7.5259999999999998</v>
      </c>
      <c r="AO19" s="21">
        <f t="shared" si="9"/>
        <v>7.4749999999999996</v>
      </c>
      <c r="AP19" s="46">
        <v>9.8799999999999999E-2</v>
      </c>
      <c r="AQ19" s="46">
        <v>0.10249999999999999</v>
      </c>
      <c r="AR19" s="45">
        <f t="shared" si="10"/>
        <v>0.1007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26.1</v>
      </c>
      <c r="F20" s="23">
        <v>6.7</v>
      </c>
      <c r="G20" s="41">
        <v>198</v>
      </c>
      <c r="H20" s="23">
        <v>6.3</v>
      </c>
      <c r="I20" s="23">
        <v>1.5</v>
      </c>
      <c r="J20" s="23">
        <v>4.5</v>
      </c>
      <c r="K20" s="37">
        <v>3.1</v>
      </c>
      <c r="L20" s="37">
        <v>3.4</v>
      </c>
      <c r="M20" s="37"/>
      <c r="N20" s="38">
        <f t="shared" si="0"/>
        <v>3.3</v>
      </c>
      <c r="O20" s="37">
        <v>2.8</v>
      </c>
      <c r="P20" s="37">
        <v>2.7</v>
      </c>
      <c r="Q20" s="38">
        <f t="shared" si="1"/>
        <v>2.8</v>
      </c>
      <c r="R20" s="17">
        <v>0.76</v>
      </c>
      <c r="S20" s="17">
        <v>0.72399999999999998</v>
      </c>
      <c r="T20" s="22">
        <f t="shared" si="2"/>
        <v>0.74199999999999999</v>
      </c>
      <c r="U20" s="34">
        <v>0.65100000000000002</v>
      </c>
      <c r="V20" s="34">
        <v>0.67500000000000004</v>
      </c>
      <c r="W20" s="33">
        <f t="shared" si="3"/>
        <v>0.66300000000000003</v>
      </c>
      <c r="X20" s="17">
        <v>1.7999999999999999E-2</v>
      </c>
      <c r="Y20" s="17">
        <v>1.4E-2</v>
      </c>
      <c r="Z20" s="21">
        <f t="shared" si="4"/>
        <v>1.6E-2</v>
      </c>
      <c r="AA20" s="19">
        <v>0.55600000000000005</v>
      </c>
      <c r="AB20" s="19">
        <v>0.57899999999999996</v>
      </c>
      <c r="AC20" s="21">
        <f t="shared" si="5"/>
        <v>0.56799999999999995</v>
      </c>
      <c r="AD20" s="19">
        <v>4.1000000000000002E-2</v>
      </c>
      <c r="AE20" s="19">
        <v>3.3000000000000002E-2</v>
      </c>
      <c r="AF20" s="21">
        <f t="shared" si="6"/>
        <v>3.6999999999999998E-2</v>
      </c>
      <c r="AG20" s="30">
        <v>2.1000000000000001E-2</v>
      </c>
      <c r="AH20" s="30">
        <v>1.7999999999999999E-2</v>
      </c>
      <c r="AI20" s="31">
        <f t="shared" si="7"/>
        <v>0.02</v>
      </c>
      <c r="AJ20" s="30">
        <v>0.01</v>
      </c>
      <c r="AK20" s="30">
        <v>8.0000000000000002E-3</v>
      </c>
      <c r="AL20" s="31">
        <f t="shared" si="8"/>
        <v>8.9999999999999993E-3</v>
      </c>
      <c r="AM20" s="19">
        <v>6.165</v>
      </c>
      <c r="AN20" s="19">
        <v>6.2759999999999998</v>
      </c>
      <c r="AO20" s="21">
        <f t="shared" si="9"/>
        <v>6.2210000000000001</v>
      </c>
      <c r="AP20" s="46">
        <v>8.1100000000000005E-2</v>
      </c>
      <c r="AQ20" s="46">
        <v>8.4500000000000006E-2</v>
      </c>
      <c r="AR20" s="45">
        <f t="shared" si="10"/>
        <v>8.2799999999999999E-2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28.3</v>
      </c>
      <c r="F21" s="23">
        <v>6.9</v>
      </c>
      <c r="G21" s="41">
        <v>135</v>
      </c>
      <c r="H21" s="23">
        <v>7.4</v>
      </c>
      <c r="I21" s="23">
        <v>1.9</v>
      </c>
      <c r="J21" s="23">
        <v>5.2</v>
      </c>
      <c r="K21" s="37">
        <v>3.5</v>
      </c>
      <c r="L21" s="37">
        <v>3.5</v>
      </c>
      <c r="M21" s="37"/>
      <c r="N21" s="38">
        <f t="shared" si="0"/>
        <v>3.5</v>
      </c>
      <c r="O21" s="37">
        <v>3</v>
      </c>
      <c r="P21" s="37">
        <v>2.9</v>
      </c>
      <c r="Q21" s="38">
        <f t="shared" si="1"/>
        <v>3</v>
      </c>
      <c r="R21" s="17">
        <v>1.1719999999999999</v>
      </c>
      <c r="S21" s="17">
        <v>1.1459999999999999</v>
      </c>
      <c r="T21" s="22">
        <f t="shared" si="2"/>
        <v>1.159</v>
      </c>
      <c r="U21" s="34">
        <v>1.022</v>
      </c>
      <c r="V21" s="34">
        <v>1.0429999999999999</v>
      </c>
      <c r="W21" s="33">
        <f t="shared" si="3"/>
        <v>1.0329999999999999</v>
      </c>
      <c r="X21" s="17">
        <v>0.104</v>
      </c>
      <c r="Y21" s="17">
        <v>0.10299999999999999</v>
      </c>
      <c r="Z21" s="21">
        <f t="shared" si="4"/>
        <v>0.104</v>
      </c>
      <c r="AA21" s="19">
        <v>0.73899999999999999</v>
      </c>
      <c r="AB21" s="19">
        <v>0.76600000000000001</v>
      </c>
      <c r="AC21" s="21">
        <f t="shared" si="5"/>
        <v>0.753</v>
      </c>
      <c r="AD21" s="19">
        <v>0.16400000000000001</v>
      </c>
      <c r="AE21" s="19">
        <v>0.14199999999999999</v>
      </c>
      <c r="AF21" s="21">
        <f t="shared" si="6"/>
        <v>0.153</v>
      </c>
      <c r="AG21" s="30">
        <v>9.1999999999999998E-2</v>
      </c>
      <c r="AH21" s="30">
        <v>9.6000000000000002E-2</v>
      </c>
      <c r="AI21" s="31">
        <f t="shared" si="7"/>
        <v>9.4E-2</v>
      </c>
      <c r="AJ21" s="30">
        <v>8.5000000000000006E-2</v>
      </c>
      <c r="AK21" s="30">
        <v>8.6999999999999994E-2</v>
      </c>
      <c r="AL21" s="31">
        <f t="shared" si="8"/>
        <v>8.5999999999999993E-2</v>
      </c>
      <c r="AM21" s="19">
        <v>7.1529999999999996</v>
      </c>
      <c r="AN21" s="19">
        <v>7.2160000000000002</v>
      </c>
      <c r="AO21" s="21">
        <f t="shared" si="9"/>
        <v>7.1849999999999996</v>
      </c>
      <c r="AP21" s="46">
        <v>8.8900000000000007E-2</v>
      </c>
      <c r="AQ21" s="46">
        <v>9.1800000000000007E-2</v>
      </c>
      <c r="AR21" s="45">
        <f t="shared" si="10"/>
        <v>9.0399999999999994E-2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28.2</v>
      </c>
      <c r="F22" s="23">
        <v>7</v>
      </c>
      <c r="G22" s="41">
        <v>262</v>
      </c>
      <c r="H22" s="23">
        <v>7.5</v>
      </c>
      <c r="I22" s="23">
        <v>1.7</v>
      </c>
      <c r="J22" s="23">
        <v>4.3</v>
      </c>
      <c r="K22" s="37">
        <v>3.1</v>
      </c>
      <c r="L22" s="37">
        <v>3</v>
      </c>
      <c r="M22" s="37"/>
      <c r="N22" s="38">
        <f t="shared" si="0"/>
        <v>3.1</v>
      </c>
      <c r="O22" s="37">
        <v>2.4</v>
      </c>
      <c r="P22" s="37">
        <v>2.4</v>
      </c>
      <c r="Q22" s="38">
        <f t="shared" si="1"/>
        <v>2.4</v>
      </c>
      <c r="R22" s="17">
        <v>1.175</v>
      </c>
      <c r="S22" s="17">
        <v>1.135</v>
      </c>
      <c r="T22" s="22">
        <f t="shared" si="2"/>
        <v>1.155</v>
      </c>
      <c r="U22" s="34">
        <v>1.0469999999999999</v>
      </c>
      <c r="V22" s="34">
        <v>1.0369999999999999</v>
      </c>
      <c r="W22" s="33">
        <f t="shared" si="3"/>
        <v>1.042</v>
      </c>
      <c r="X22" s="17">
        <v>5.8999999999999997E-2</v>
      </c>
      <c r="Y22" s="17">
        <v>5.3999999999999999E-2</v>
      </c>
      <c r="Z22" s="21">
        <f t="shared" si="4"/>
        <v>5.7000000000000002E-2</v>
      </c>
      <c r="AA22" s="19">
        <v>0.85799999999999998</v>
      </c>
      <c r="AB22" s="19">
        <v>0.86099999999999999</v>
      </c>
      <c r="AC22" s="21">
        <f t="shared" si="5"/>
        <v>0.86</v>
      </c>
      <c r="AD22" s="19">
        <v>0.106</v>
      </c>
      <c r="AE22" s="19">
        <v>8.6999999999999994E-2</v>
      </c>
      <c r="AF22" s="21">
        <f t="shared" si="6"/>
        <v>9.7000000000000003E-2</v>
      </c>
      <c r="AG22" s="30">
        <v>5.7000000000000002E-2</v>
      </c>
      <c r="AH22" s="30">
        <v>5.6000000000000001E-2</v>
      </c>
      <c r="AI22" s="31">
        <f t="shared" si="7"/>
        <v>5.7000000000000002E-2</v>
      </c>
      <c r="AJ22" s="30">
        <v>4.7E-2</v>
      </c>
      <c r="AK22" s="30">
        <v>4.5999999999999999E-2</v>
      </c>
      <c r="AL22" s="31">
        <f t="shared" si="8"/>
        <v>4.7E-2</v>
      </c>
      <c r="AM22" s="19">
        <v>13.086</v>
      </c>
      <c r="AN22" s="19">
        <v>13.045</v>
      </c>
      <c r="AO22" s="21">
        <f t="shared" si="9"/>
        <v>13.066000000000001</v>
      </c>
      <c r="AP22" s="46">
        <v>6.4799999999999996E-2</v>
      </c>
      <c r="AQ22" s="46">
        <v>6.8900000000000003E-2</v>
      </c>
      <c r="AR22" s="45">
        <f t="shared" si="10"/>
        <v>6.6900000000000001E-2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28.7</v>
      </c>
      <c r="F23" s="23">
        <v>7</v>
      </c>
      <c r="G23" s="41">
        <v>194</v>
      </c>
      <c r="H23" s="23">
        <v>7</v>
      </c>
      <c r="I23" s="23">
        <v>2</v>
      </c>
      <c r="J23" s="23">
        <v>4.9000000000000004</v>
      </c>
      <c r="K23" s="37">
        <v>3.4</v>
      </c>
      <c r="L23" s="37">
        <v>3.6</v>
      </c>
      <c r="M23" s="37"/>
      <c r="N23" s="38">
        <f t="shared" si="0"/>
        <v>3.5</v>
      </c>
      <c r="O23" s="37">
        <v>2.8</v>
      </c>
      <c r="P23" s="37">
        <v>2.8</v>
      </c>
      <c r="Q23" s="38">
        <f t="shared" si="1"/>
        <v>2.8</v>
      </c>
      <c r="R23" s="17">
        <v>1.393</v>
      </c>
      <c r="S23" s="17">
        <v>1.34</v>
      </c>
      <c r="T23" s="22">
        <f t="shared" si="2"/>
        <v>1.367</v>
      </c>
      <c r="U23" s="34">
        <v>1.226</v>
      </c>
      <c r="V23" s="34">
        <v>1.2010000000000001</v>
      </c>
      <c r="W23" s="33">
        <f t="shared" si="3"/>
        <v>1.214</v>
      </c>
      <c r="X23" s="17">
        <v>0.107</v>
      </c>
      <c r="Y23" s="17">
        <v>0.109</v>
      </c>
      <c r="Z23" s="21">
        <f t="shared" si="4"/>
        <v>0.108</v>
      </c>
      <c r="AA23" s="19">
        <v>0.92400000000000004</v>
      </c>
      <c r="AB23" s="19">
        <v>0.95399999999999996</v>
      </c>
      <c r="AC23" s="21">
        <f t="shared" si="5"/>
        <v>0.93899999999999995</v>
      </c>
      <c r="AD23" s="19">
        <v>0.152</v>
      </c>
      <c r="AE23" s="19">
        <v>0.128</v>
      </c>
      <c r="AF23" s="21">
        <f t="shared" si="6"/>
        <v>0.14000000000000001</v>
      </c>
      <c r="AG23" s="30">
        <v>7.9000000000000001E-2</v>
      </c>
      <c r="AH23" s="30">
        <v>8.2000000000000003E-2</v>
      </c>
      <c r="AI23" s="31">
        <f t="shared" si="7"/>
        <v>8.1000000000000003E-2</v>
      </c>
      <c r="AJ23" s="30">
        <v>7.0000000000000007E-2</v>
      </c>
      <c r="AK23" s="30">
        <v>7.3999999999999996E-2</v>
      </c>
      <c r="AL23" s="31">
        <f t="shared" si="8"/>
        <v>7.1999999999999995E-2</v>
      </c>
      <c r="AM23" s="19">
        <v>10.933999999999999</v>
      </c>
      <c r="AN23" s="19">
        <v>11.074</v>
      </c>
      <c r="AO23" s="21">
        <f t="shared" si="9"/>
        <v>11.004</v>
      </c>
      <c r="AP23" s="46">
        <v>8.1100000000000005E-2</v>
      </c>
      <c r="AQ23" s="46">
        <v>8.3699999999999997E-2</v>
      </c>
      <c r="AR23" s="45">
        <f t="shared" si="10"/>
        <v>8.2400000000000001E-2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27.5</v>
      </c>
      <c r="F24" s="23">
        <v>6.8</v>
      </c>
      <c r="G24" s="41">
        <v>230</v>
      </c>
      <c r="H24" s="23">
        <v>7.5</v>
      </c>
      <c r="I24" s="23">
        <v>1</v>
      </c>
      <c r="J24" s="23">
        <v>3.7</v>
      </c>
      <c r="K24" s="37">
        <v>2.4</v>
      </c>
      <c r="L24" s="37">
        <v>2.6</v>
      </c>
      <c r="M24" s="37"/>
      <c r="N24" s="38">
        <f t="shared" si="0"/>
        <v>2.5</v>
      </c>
      <c r="O24" s="37">
        <v>2.2000000000000002</v>
      </c>
      <c r="P24" s="37">
        <v>2.1</v>
      </c>
      <c r="Q24" s="38">
        <f t="shared" si="1"/>
        <v>2.2000000000000002</v>
      </c>
      <c r="R24" s="17">
        <v>0.73799999999999999</v>
      </c>
      <c r="S24" s="17">
        <v>0.69799999999999995</v>
      </c>
      <c r="T24" s="22">
        <f t="shared" si="2"/>
        <v>0.71799999999999997</v>
      </c>
      <c r="U24" s="34">
        <v>0.67500000000000004</v>
      </c>
      <c r="V24" s="34">
        <v>0.67600000000000005</v>
      </c>
      <c r="W24" s="33">
        <f t="shared" si="3"/>
        <v>0.67600000000000005</v>
      </c>
      <c r="X24" s="17">
        <v>1.9E-2</v>
      </c>
      <c r="Y24" s="17">
        <v>1.7999999999999999E-2</v>
      </c>
      <c r="Z24" s="21">
        <f t="shared" si="4"/>
        <v>1.9E-2</v>
      </c>
      <c r="AA24" s="19">
        <v>0.52100000000000002</v>
      </c>
      <c r="AB24" s="19">
        <v>0.53300000000000003</v>
      </c>
      <c r="AC24" s="21">
        <f t="shared" si="5"/>
        <v>0.52700000000000002</v>
      </c>
      <c r="AD24" s="19">
        <v>5.3999999999999999E-2</v>
      </c>
      <c r="AE24" s="19">
        <v>4.4999999999999998E-2</v>
      </c>
      <c r="AF24" s="21">
        <f t="shared" si="6"/>
        <v>0.05</v>
      </c>
      <c r="AG24" s="30">
        <v>0.04</v>
      </c>
      <c r="AH24" s="30">
        <v>3.7999999999999999E-2</v>
      </c>
      <c r="AI24" s="31">
        <f t="shared" si="7"/>
        <v>3.9E-2</v>
      </c>
      <c r="AJ24" s="30">
        <v>0.03</v>
      </c>
      <c r="AK24" s="30">
        <v>2.8000000000000001E-2</v>
      </c>
      <c r="AL24" s="31">
        <f t="shared" si="8"/>
        <v>2.9000000000000001E-2</v>
      </c>
      <c r="AM24" s="19">
        <v>24.783999999999999</v>
      </c>
      <c r="AN24" s="19">
        <v>24.831</v>
      </c>
      <c r="AO24" s="21">
        <f t="shared" si="9"/>
        <v>24.808</v>
      </c>
      <c r="AP24" s="46">
        <v>5.6599999999999998E-2</v>
      </c>
      <c r="AQ24" s="46">
        <v>5.9900000000000002E-2</v>
      </c>
      <c r="AR24" s="45">
        <f t="shared" si="10"/>
        <v>5.8299999999999998E-2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29.2</v>
      </c>
      <c r="F25" s="23">
        <v>7</v>
      </c>
      <c r="G25" s="41">
        <v>188</v>
      </c>
      <c r="H25" s="23">
        <v>7.7</v>
      </c>
      <c r="I25" s="23">
        <v>1.7</v>
      </c>
      <c r="J25" s="23">
        <v>4.9000000000000004</v>
      </c>
      <c r="K25" s="37">
        <v>3.6</v>
      </c>
      <c r="L25" s="37">
        <v>3.5</v>
      </c>
      <c r="M25" s="37"/>
      <c r="N25" s="38">
        <f t="shared" si="0"/>
        <v>3.6</v>
      </c>
      <c r="O25" s="37">
        <v>2.8</v>
      </c>
      <c r="P25" s="37">
        <v>2.8</v>
      </c>
      <c r="Q25" s="38">
        <f t="shared" si="1"/>
        <v>2.8</v>
      </c>
      <c r="R25" s="17">
        <v>1.3049999999999999</v>
      </c>
      <c r="S25" s="17">
        <v>1.2729999999999999</v>
      </c>
      <c r="T25" s="22">
        <f t="shared" si="2"/>
        <v>1.2889999999999999</v>
      </c>
      <c r="U25" s="34">
        <v>1.1579999999999999</v>
      </c>
      <c r="V25" s="34">
        <v>1.1659999999999999</v>
      </c>
      <c r="W25" s="33">
        <f t="shared" si="3"/>
        <v>1.1619999999999999</v>
      </c>
      <c r="X25" s="17">
        <v>8.3000000000000004E-2</v>
      </c>
      <c r="Y25" s="17">
        <v>8.1000000000000003E-2</v>
      </c>
      <c r="Z25" s="21">
        <f t="shared" si="4"/>
        <v>8.2000000000000003E-2</v>
      </c>
      <c r="AA25" s="19">
        <v>0.89</v>
      </c>
      <c r="AB25" s="19">
        <v>0.91500000000000004</v>
      </c>
      <c r="AC25" s="21">
        <f t="shared" si="5"/>
        <v>0.90300000000000002</v>
      </c>
      <c r="AD25" s="19">
        <v>0.14000000000000001</v>
      </c>
      <c r="AE25" s="19">
        <v>0.121</v>
      </c>
      <c r="AF25" s="21">
        <f t="shared" si="6"/>
        <v>0.13100000000000001</v>
      </c>
      <c r="AG25" s="30">
        <v>0.08</v>
      </c>
      <c r="AH25" s="30">
        <v>8.3000000000000004E-2</v>
      </c>
      <c r="AI25" s="31">
        <f t="shared" si="7"/>
        <v>8.2000000000000003E-2</v>
      </c>
      <c r="AJ25" s="30">
        <v>7.1999999999999995E-2</v>
      </c>
      <c r="AK25" s="30">
        <v>7.3999999999999996E-2</v>
      </c>
      <c r="AL25" s="31">
        <f t="shared" si="8"/>
        <v>7.2999999999999995E-2</v>
      </c>
      <c r="AM25" s="19">
        <v>10.702</v>
      </c>
      <c r="AN25" s="19">
        <v>10.906000000000001</v>
      </c>
      <c r="AO25" s="21">
        <f t="shared" si="9"/>
        <v>10.804</v>
      </c>
      <c r="AP25" s="46">
        <v>7.8E-2</v>
      </c>
      <c r="AQ25" s="46">
        <v>8.1000000000000003E-2</v>
      </c>
      <c r="AR25" s="45">
        <f t="shared" si="10"/>
        <v>7.9500000000000001E-2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27.5</v>
      </c>
      <c r="F26" s="23">
        <v>7.1</v>
      </c>
      <c r="G26" s="41">
        <v>200</v>
      </c>
      <c r="H26" s="23">
        <v>7.1</v>
      </c>
      <c r="I26" s="23">
        <v>1.2</v>
      </c>
      <c r="J26" s="23">
        <v>5.0999999999999996</v>
      </c>
      <c r="K26" s="37">
        <v>3.6</v>
      </c>
      <c r="L26" s="37">
        <v>3.8</v>
      </c>
      <c r="M26" s="37"/>
      <c r="N26" s="38">
        <f t="shared" si="0"/>
        <v>3.7</v>
      </c>
      <c r="O26" s="37">
        <v>3.4</v>
      </c>
      <c r="P26" s="37">
        <v>3.4</v>
      </c>
      <c r="Q26" s="38">
        <f t="shared" si="1"/>
        <v>3.4</v>
      </c>
      <c r="R26" s="17">
        <v>1.1499999999999999</v>
      </c>
      <c r="S26" s="17">
        <v>1.1140000000000001</v>
      </c>
      <c r="T26" s="22">
        <f t="shared" si="2"/>
        <v>1.1319999999999999</v>
      </c>
      <c r="U26" s="34">
        <v>1.014</v>
      </c>
      <c r="V26" s="34">
        <v>1.034</v>
      </c>
      <c r="W26" s="33">
        <f t="shared" si="3"/>
        <v>1.024</v>
      </c>
      <c r="X26" s="17">
        <v>5.8000000000000003E-2</v>
      </c>
      <c r="Y26" s="17">
        <v>0.06</v>
      </c>
      <c r="Z26" s="21">
        <f t="shared" si="4"/>
        <v>5.8999999999999997E-2</v>
      </c>
      <c r="AA26" s="19">
        <v>0.76800000000000002</v>
      </c>
      <c r="AB26" s="19">
        <v>0.78700000000000003</v>
      </c>
      <c r="AC26" s="21">
        <f t="shared" si="5"/>
        <v>0.77800000000000002</v>
      </c>
      <c r="AD26" s="19">
        <v>0.11600000000000001</v>
      </c>
      <c r="AE26" s="19">
        <v>0.1</v>
      </c>
      <c r="AF26" s="21">
        <f t="shared" si="6"/>
        <v>0.108</v>
      </c>
      <c r="AG26" s="30">
        <v>6.2E-2</v>
      </c>
      <c r="AH26" s="30">
        <v>6.2E-2</v>
      </c>
      <c r="AI26" s="31">
        <f t="shared" si="7"/>
        <v>6.2E-2</v>
      </c>
      <c r="AJ26" s="30">
        <v>5.2999999999999999E-2</v>
      </c>
      <c r="AK26" s="30">
        <v>5.2999999999999999E-2</v>
      </c>
      <c r="AL26" s="31">
        <f t="shared" si="8"/>
        <v>5.2999999999999999E-2</v>
      </c>
      <c r="AM26" s="19">
        <v>9.8949999999999996</v>
      </c>
      <c r="AN26" s="19">
        <v>9.9649999999999999</v>
      </c>
      <c r="AO26" s="21">
        <f t="shared" si="9"/>
        <v>9.93</v>
      </c>
      <c r="AP26" s="46">
        <v>0.10059999999999999</v>
      </c>
      <c r="AQ26" s="46">
        <v>0.1041</v>
      </c>
      <c r="AR26" s="45">
        <f t="shared" si="10"/>
        <v>0.1024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28.2</v>
      </c>
      <c r="F27" s="23">
        <v>7</v>
      </c>
      <c r="G27" s="41">
        <v>185</v>
      </c>
      <c r="H27" s="23">
        <v>7.2</v>
      </c>
      <c r="I27" s="23">
        <v>1.3</v>
      </c>
      <c r="J27" s="23">
        <v>5.2</v>
      </c>
      <c r="K27" s="37">
        <v>3.4</v>
      </c>
      <c r="L27" s="37">
        <v>3.4</v>
      </c>
      <c r="M27" s="37"/>
      <c r="N27" s="38">
        <f t="shared" si="0"/>
        <v>3.4</v>
      </c>
      <c r="O27" s="37">
        <v>3.1</v>
      </c>
      <c r="P27" s="37">
        <v>3</v>
      </c>
      <c r="Q27" s="38">
        <f t="shared" si="1"/>
        <v>3.1</v>
      </c>
      <c r="R27" s="17">
        <v>1.2829999999999999</v>
      </c>
      <c r="S27" s="17">
        <v>1.2709999999999999</v>
      </c>
      <c r="T27" s="22">
        <f t="shared" si="2"/>
        <v>1.2769999999999999</v>
      </c>
      <c r="U27" s="34">
        <v>1.167</v>
      </c>
      <c r="V27" s="34">
        <v>1.1859999999999999</v>
      </c>
      <c r="W27" s="33">
        <f t="shared" si="3"/>
        <v>1.177</v>
      </c>
      <c r="X27" s="17">
        <v>6.8000000000000005E-2</v>
      </c>
      <c r="Y27" s="17">
        <v>6.6000000000000003E-2</v>
      </c>
      <c r="Z27" s="21">
        <f t="shared" si="4"/>
        <v>6.7000000000000004E-2</v>
      </c>
      <c r="AA27" s="19">
        <v>0.90900000000000003</v>
      </c>
      <c r="AB27" s="19">
        <v>0.92100000000000004</v>
      </c>
      <c r="AC27" s="21">
        <f t="shared" si="5"/>
        <v>0.91500000000000004</v>
      </c>
      <c r="AD27" s="19">
        <v>0.14199999999999999</v>
      </c>
      <c r="AE27" s="19">
        <v>0.128</v>
      </c>
      <c r="AF27" s="21">
        <f t="shared" si="6"/>
        <v>0.13500000000000001</v>
      </c>
      <c r="AG27" s="30">
        <v>8.7999999999999995E-2</v>
      </c>
      <c r="AH27" s="30">
        <v>9.0999999999999998E-2</v>
      </c>
      <c r="AI27" s="31">
        <f t="shared" si="7"/>
        <v>0.09</v>
      </c>
      <c r="AJ27" s="30">
        <v>8.1000000000000003E-2</v>
      </c>
      <c r="AK27" s="30">
        <v>8.1000000000000003E-2</v>
      </c>
      <c r="AL27" s="31">
        <f t="shared" si="8"/>
        <v>8.1000000000000003E-2</v>
      </c>
      <c r="AM27" s="19">
        <v>10.563000000000001</v>
      </c>
      <c r="AN27" s="19">
        <v>10.582000000000001</v>
      </c>
      <c r="AO27" s="21">
        <f t="shared" si="9"/>
        <v>10.573</v>
      </c>
      <c r="AP27" s="46">
        <v>8.2699999999999996E-2</v>
      </c>
      <c r="AQ27" s="46">
        <v>8.5900000000000004E-2</v>
      </c>
      <c r="AR27" s="45">
        <f t="shared" si="10"/>
        <v>8.43E-2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27.3</v>
      </c>
      <c r="F28" s="23">
        <v>6.9</v>
      </c>
      <c r="G28" s="41">
        <v>160</v>
      </c>
      <c r="H28" s="23">
        <v>6.8</v>
      </c>
      <c r="I28" s="23">
        <v>0.8</v>
      </c>
      <c r="J28" s="23">
        <v>4.9000000000000004</v>
      </c>
      <c r="K28" s="37">
        <v>3.5</v>
      </c>
      <c r="L28" s="37">
        <v>3.7</v>
      </c>
      <c r="M28" s="37"/>
      <c r="N28" s="38">
        <f t="shared" si="0"/>
        <v>3.6</v>
      </c>
      <c r="O28" s="37">
        <v>3.3</v>
      </c>
      <c r="P28" s="37">
        <v>3.4</v>
      </c>
      <c r="Q28" s="38">
        <f t="shared" si="1"/>
        <v>3.4</v>
      </c>
      <c r="R28" s="17">
        <v>0.81100000000000005</v>
      </c>
      <c r="S28" s="17">
        <v>0.78900000000000003</v>
      </c>
      <c r="T28" s="22">
        <f t="shared" si="2"/>
        <v>0.8</v>
      </c>
      <c r="U28" s="34">
        <v>0.746</v>
      </c>
      <c r="V28" s="34">
        <v>0.73099999999999998</v>
      </c>
      <c r="W28" s="33">
        <f t="shared" si="3"/>
        <v>0.73899999999999999</v>
      </c>
      <c r="X28" s="17">
        <v>0.04</v>
      </c>
      <c r="Y28" s="17">
        <v>3.4000000000000002E-2</v>
      </c>
      <c r="Z28" s="21">
        <f t="shared" si="4"/>
        <v>3.6999999999999998E-2</v>
      </c>
      <c r="AA28" s="19">
        <v>0.50600000000000001</v>
      </c>
      <c r="AB28" s="19">
        <v>0.51300000000000001</v>
      </c>
      <c r="AC28" s="21">
        <f t="shared" si="5"/>
        <v>0.51</v>
      </c>
      <c r="AD28" s="19">
        <v>0.113</v>
      </c>
      <c r="AE28" s="19">
        <v>9.8000000000000004E-2</v>
      </c>
      <c r="AF28" s="21">
        <f t="shared" si="6"/>
        <v>0.106</v>
      </c>
      <c r="AG28" s="30">
        <v>7.5999999999999998E-2</v>
      </c>
      <c r="AH28" s="30">
        <v>7.5999999999999998E-2</v>
      </c>
      <c r="AI28" s="31">
        <f t="shared" si="7"/>
        <v>7.5999999999999998E-2</v>
      </c>
      <c r="AJ28" s="30">
        <v>6.8000000000000005E-2</v>
      </c>
      <c r="AK28" s="30">
        <v>6.8000000000000005E-2</v>
      </c>
      <c r="AL28" s="31">
        <f t="shared" si="8"/>
        <v>6.8000000000000005E-2</v>
      </c>
      <c r="AM28" s="19">
        <v>9.6590000000000007</v>
      </c>
      <c r="AN28" s="19">
        <v>9.6110000000000007</v>
      </c>
      <c r="AO28" s="21">
        <f t="shared" si="9"/>
        <v>9.6349999999999998</v>
      </c>
      <c r="AP28" s="46">
        <v>8.9599999999999999E-2</v>
      </c>
      <c r="AQ28" s="46">
        <v>9.2700000000000005E-2</v>
      </c>
      <c r="AR28" s="45">
        <f t="shared" si="10"/>
        <v>9.1200000000000003E-2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28.8</v>
      </c>
      <c r="F29" s="23">
        <v>6.8</v>
      </c>
      <c r="G29" s="41">
        <v>189</v>
      </c>
      <c r="H29" s="23">
        <v>7</v>
      </c>
      <c r="I29" s="23">
        <v>1.8</v>
      </c>
      <c r="J29" s="23">
        <v>5.0999999999999996</v>
      </c>
      <c r="K29" s="37">
        <v>3.9</v>
      </c>
      <c r="L29" s="37">
        <v>3.5</v>
      </c>
      <c r="M29" s="37"/>
      <c r="N29" s="38">
        <f t="shared" si="0"/>
        <v>3.7</v>
      </c>
      <c r="O29" s="37">
        <v>3.2</v>
      </c>
      <c r="P29" s="37">
        <v>3.1</v>
      </c>
      <c r="Q29" s="38">
        <f t="shared" si="1"/>
        <v>3.2</v>
      </c>
      <c r="R29" s="17">
        <v>1.6419999999999999</v>
      </c>
      <c r="S29" s="17">
        <v>1.593</v>
      </c>
      <c r="T29" s="22">
        <f t="shared" si="2"/>
        <v>1.6180000000000001</v>
      </c>
      <c r="U29" s="34">
        <v>1.4319999999999999</v>
      </c>
      <c r="V29" s="34">
        <v>1.45</v>
      </c>
      <c r="W29" s="33">
        <f t="shared" si="3"/>
        <v>1.4410000000000001</v>
      </c>
      <c r="X29" s="17">
        <v>5.0999999999999997E-2</v>
      </c>
      <c r="Y29" s="17">
        <v>5.2999999999999999E-2</v>
      </c>
      <c r="Z29" s="21">
        <f t="shared" si="4"/>
        <v>5.1999999999999998E-2</v>
      </c>
      <c r="AA29" s="19">
        <v>1.163</v>
      </c>
      <c r="AB29" s="19">
        <v>1.17</v>
      </c>
      <c r="AC29" s="21">
        <f t="shared" si="5"/>
        <v>1.167</v>
      </c>
      <c r="AD29" s="19">
        <v>0.154</v>
      </c>
      <c r="AE29" s="19">
        <v>0.13200000000000001</v>
      </c>
      <c r="AF29" s="21">
        <f t="shared" si="6"/>
        <v>0.14299999999999999</v>
      </c>
      <c r="AG29" s="30">
        <v>7.9000000000000001E-2</v>
      </c>
      <c r="AH29" s="30">
        <v>8.1000000000000003E-2</v>
      </c>
      <c r="AI29" s="31">
        <f t="shared" si="7"/>
        <v>0.08</v>
      </c>
      <c r="AJ29" s="30">
        <v>7.0999999999999994E-2</v>
      </c>
      <c r="AK29" s="30">
        <v>7.0000000000000007E-2</v>
      </c>
      <c r="AL29" s="31">
        <f t="shared" si="8"/>
        <v>7.0999999999999994E-2</v>
      </c>
      <c r="AM29" s="19">
        <v>11.763999999999999</v>
      </c>
      <c r="AN29" s="19">
        <v>11.648</v>
      </c>
      <c r="AO29" s="21">
        <f t="shared" si="9"/>
        <v>11.706</v>
      </c>
      <c r="AP29" s="46">
        <v>8.1799999999999998E-2</v>
      </c>
      <c r="AQ29" s="46">
        <v>8.5199999999999998E-2</v>
      </c>
      <c r="AR29" s="45">
        <f t="shared" si="10"/>
        <v>8.3500000000000005E-2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26.6</v>
      </c>
      <c r="F30" s="23">
        <v>7.1</v>
      </c>
      <c r="G30" s="41">
        <v>220</v>
      </c>
      <c r="H30" s="23">
        <v>7.1</v>
      </c>
      <c r="I30" s="23">
        <v>1.2</v>
      </c>
      <c r="J30" s="23">
        <v>5.2</v>
      </c>
      <c r="K30" s="37">
        <v>3.6</v>
      </c>
      <c r="L30" s="37">
        <v>3.9</v>
      </c>
      <c r="M30" s="37"/>
      <c r="N30" s="38">
        <f t="shared" si="0"/>
        <v>3.8</v>
      </c>
      <c r="O30" s="37">
        <v>3.4</v>
      </c>
      <c r="P30" s="37">
        <v>3.3</v>
      </c>
      <c r="Q30" s="38">
        <f t="shared" si="1"/>
        <v>3.4</v>
      </c>
      <c r="R30" s="17">
        <v>1.409</v>
      </c>
      <c r="S30" s="17">
        <v>1.3819999999999999</v>
      </c>
      <c r="T30" s="22">
        <f t="shared" si="2"/>
        <v>1.3959999999999999</v>
      </c>
      <c r="U30" s="34">
        <v>1.2949999999999999</v>
      </c>
      <c r="V30" s="34">
        <v>1.306</v>
      </c>
      <c r="W30" s="33">
        <f t="shared" si="3"/>
        <v>1.3009999999999999</v>
      </c>
      <c r="X30" s="17">
        <v>5.2999999999999999E-2</v>
      </c>
      <c r="Y30" s="17">
        <v>5.1999999999999998E-2</v>
      </c>
      <c r="Z30" s="21">
        <f t="shared" si="4"/>
        <v>5.2999999999999999E-2</v>
      </c>
      <c r="AA30" s="19">
        <v>1.0429999999999999</v>
      </c>
      <c r="AB30" s="19">
        <v>1.0649999999999999</v>
      </c>
      <c r="AC30" s="21">
        <f t="shared" si="5"/>
        <v>1.054</v>
      </c>
      <c r="AD30" s="19">
        <v>9.8000000000000004E-2</v>
      </c>
      <c r="AE30" s="19">
        <v>8.5999999999999993E-2</v>
      </c>
      <c r="AF30" s="21">
        <f t="shared" si="6"/>
        <v>9.1999999999999998E-2</v>
      </c>
      <c r="AG30" s="30">
        <v>5.7000000000000002E-2</v>
      </c>
      <c r="AH30" s="30">
        <v>5.7000000000000002E-2</v>
      </c>
      <c r="AI30" s="31">
        <f t="shared" si="7"/>
        <v>5.7000000000000002E-2</v>
      </c>
      <c r="AJ30" s="30">
        <v>4.7E-2</v>
      </c>
      <c r="AK30" s="30">
        <v>4.5999999999999999E-2</v>
      </c>
      <c r="AL30" s="31">
        <f t="shared" si="8"/>
        <v>4.7E-2</v>
      </c>
      <c r="AM30" s="19">
        <v>13.116</v>
      </c>
      <c r="AN30" s="19">
        <v>13.243</v>
      </c>
      <c r="AO30" s="21">
        <f t="shared" si="9"/>
        <v>13.18</v>
      </c>
      <c r="AP30" s="46">
        <v>8.9399999999999993E-2</v>
      </c>
      <c r="AQ30" s="46">
        <v>9.2799999999999994E-2</v>
      </c>
      <c r="AR30" s="45">
        <f t="shared" si="10"/>
        <v>9.11E-2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29.3</v>
      </c>
      <c r="F31" s="23">
        <v>6.3</v>
      </c>
      <c r="G31" s="41">
        <v>196</v>
      </c>
      <c r="H31" s="23">
        <v>6.9</v>
      </c>
      <c r="I31" s="23">
        <v>1.7</v>
      </c>
      <c r="J31" s="23">
        <v>5.3</v>
      </c>
      <c r="K31" s="37">
        <v>3.8</v>
      </c>
      <c r="L31" s="37">
        <v>4</v>
      </c>
      <c r="M31" s="37"/>
      <c r="N31" s="38">
        <f t="shared" si="0"/>
        <v>3.9</v>
      </c>
      <c r="O31" s="37">
        <v>3.3</v>
      </c>
      <c r="P31" s="37">
        <v>3.1</v>
      </c>
      <c r="Q31" s="38">
        <f t="shared" si="1"/>
        <v>3.2</v>
      </c>
      <c r="R31" s="17">
        <v>1.6080000000000001</v>
      </c>
      <c r="S31" s="17">
        <v>1.5609999999999999</v>
      </c>
      <c r="T31" s="22">
        <f t="shared" si="2"/>
        <v>1.585</v>
      </c>
      <c r="U31" s="34">
        <v>1.399</v>
      </c>
      <c r="V31" s="34">
        <v>1.385</v>
      </c>
      <c r="W31" s="33">
        <f t="shared" si="3"/>
        <v>1.3919999999999999</v>
      </c>
      <c r="X31" s="17">
        <v>4.4999999999999998E-2</v>
      </c>
      <c r="Y31" s="17">
        <v>4.4999999999999998E-2</v>
      </c>
      <c r="Z31" s="21">
        <f t="shared" si="4"/>
        <v>4.4999999999999998E-2</v>
      </c>
      <c r="AA31" s="19">
        <v>1.2010000000000001</v>
      </c>
      <c r="AB31" s="19">
        <v>1.208</v>
      </c>
      <c r="AC31" s="21">
        <f t="shared" si="5"/>
        <v>1.2050000000000001</v>
      </c>
      <c r="AD31" s="19">
        <v>0.17399999999999999</v>
      </c>
      <c r="AE31" s="19">
        <v>0.153</v>
      </c>
      <c r="AF31" s="21">
        <f t="shared" si="6"/>
        <v>0.16400000000000001</v>
      </c>
      <c r="AG31" s="30">
        <v>0.111</v>
      </c>
      <c r="AH31" s="30">
        <v>0.105</v>
      </c>
      <c r="AI31" s="31">
        <f t="shared" si="7"/>
        <v>0.108</v>
      </c>
      <c r="AJ31" s="30">
        <v>9.8000000000000004E-2</v>
      </c>
      <c r="AK31" s="30">
        <v>9.7000000000000003E-2</v>
      </c>
      <c r="AL31" s="31">
        <f t="shared" si="8"/>
        <v>9.8000000000000004E-2</v>
      </c>
      <c r="AM31" s="19">
        <v>12.558</v>
      </c>
      <c r="AN31" s="19">
        <v>12.528</v>
      </c>
      <c r="AO31" s="21">
        <f t="shared" si="9"/>
        <v>12.542999999999999</v>
      </c>
      <c r="AP31" s="46">
        <v>8.5599999999999996E-2</v>
      </c>
      <c r="AQ31" s="46">
        <v>8.8599999999999998E-2</v>
      </c>
      <c r="AR31" s="45">
        <f t="shared" si="10"/>
        <v>8.7099999999999997E-2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25.2</v>
      </c>
      <c r="F32" s="23">
        <v>6.7</v>
      </c>
      <c r="G32" s="41">
        <v>174</v>
      </c>
      <c r="H32" s="23">
        <v>4.4000000000000004</v>
      </c>
      <c r="I32" s="23">
        <v>1.3</v>
      </c>
      <c r="J32" s="23">
        <v>4.2</v>
      </c>
      <c r="K32" s="37">
        <v>2.2999999999999998</v>
      </c>
      <c r="L32" s="37">
        <v>2.2999999999999998</v>
      </c>
      <c r="M32" s="37"/>
      <c r="N32" s="38">
        <f t="shared" si="0"/>
        <v>2.2999999999999998</v>
      </c>
      <c r="O32" s="37">
        <v>1.9</v>
      </c>
      <c r="P32" s="37">
        <v>1.9</v>
      </c>
      <c r="Q32" s="38">
        <f t="shared" si="1"/>
        <v>1.9</v>
      </c>
      <c r="R32" s="17">
        <v>0.38300000000000001</v>
      </c>
      <c r="S32" s="17">
        <v>0.38900000000000001</v>
      </c>
      <c r="T32" s="22">
        <f t="shared" si="2"/>
        <v>0.38600000000000001</v>
      </c>
      <c r="U32" s="34">
        <v>0.28100000000000003</v>
      </c>
      <c r="V32" s="34">
        <v>0.28499999999999998</v>
      </c>
      <c r="W32" s="33">
        <f t="shared" si="3"/>
        <v>0.28299999999999997</v>
      </c>
      <c r="X32" s="17">
        <v>1.9E-2</v>
      </c>
      <c r="Y32" s="17">
        <v>1.7999999999999999E-2</v>
      </c>
      <c r="Z32" s="21">
        <f t="shared" si="4"/>
        <v>1.9E-2</v>
      </c>
      <c r="AA32" s="19">
        <v>0.20699999999999999</v>
      </c>
      <c r="AB32" s="19">
        <v>0.21</v>
      </c>
      <c r="AC32" s="21">
        <f t="shared" si="5"/>
        <v>0.20899999999999999</v>
      </c>
      <c r="AD32" s="19">
        <v>8.1000000000000003E-2</v>
      </c>
      <c r="AE32" s="19">
        <v>7.4999999999999997E-2</v>
      </c>
      <c r="AF32" s="21">
        <f t="shared" si="6"/>
        <v>7.8E-2</v>
      </c>
      <c r="AG32" s="30">
        <v>4.1000000000000002E-2</v>
      </c>
      <c r="AH32" s="30">
        <v>4.2999999999999997E-2</v>
      </c>
      <c r="AI32" s="31">
        <f t="shared" si="7"/>
        <v>4.2000000000000003E-2</v>
      </c>
      <c r="AJ32" s="30">
        <v>3.6999999999999998E-2</v>
      </c>
      <c r="AK32" s="30">
        <v>3.5999999999999997E-2</v>
      </c>
      <c r="AL32" s="31">
        <f t="shared" si="8"/>
        <v>3.6999999999999998E-2</v>
      </c>
      <c r="AM32" s="19">
        <v>8.2080000000000002</v>
      </c>
      <c r="AN32" s="19">
        <v>8.2850000000000001</v>
      </c>
      <c r="AO32" s="21">
        <f t="shared" si="9"/>
        <v>8.2469999999999999</v>
      </c>
      <c r="AP32" s="46">
        <v>5.0799999999999998E-2</v>
      </c>
      <c r="AQ32" s="46">
        <v>5.3699999999999998E-2</v>
      </c>
      <c r="AR32" s="45">
        <f t="shared" si="10"/>
        <v>5.2299999999999999E-2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28.8</v>
      </c>
      <c r="F33" s="23">
        <v>6.5</v>
      </c>
      <c r="G33" s="41">
        <v>201</v>
      </c>
      <c r="H33" s="23">
        <v>7</v>
      </c>
      <c r="I33" s="23">
        <v>1.4</v>
      </c>
      <c r="J33" s="23">
        <v>5.3</v>
      </c>
      <c r="K33" s="37">
        <v>3.6</v>
      </c>
      <c r="L33" s="37">
        <v>3.7</v>
      </c>
      <c r="M33" s="37"/>
      <c r="N33" s="38">
        <f t="shared" si="0"/>
        <v>3.7</v>
      </c>
      <c r="O33" s="37">
        <v>3.2</v>
      </c>
      <c r="P33" s="37">
        <v>3.1</v>
      </c>
      <c r="Q33" s="38">
        <f t="shared" si="1"/>
        <v>3.2</v>
      </c>
      <c r="R33" s="17">
        <v>1.292</v>
      </c>
      <c r="S33" s="17">
        <v>1.2150000000000001</v>
      </c>
      <c r="T33" s="22">
        <f t="shared" si="2"/>
        <v>1.254</v>
      </c>
      <c r="U33" s="34">
        <v>1.109</v>
      </c>
      <c r="V33" s="34">
        <v>1.115</v>
      </c>
      <c r="W33" s="33">
        <f t="shared" si="3"/>
        <v>1.1120000000000001</v>
      </c>
      <c r="X33" s="17">
        <v>3.1E-2</v>
      </c>
      <c r="Y33" s="17">
        <v>3.1E-2</v>
      </c>
      <c r="Z33" s="21">
        <f t="shared" si="4"/>
        <v>3.1E-2</v>
      </c>
      <c r="AA33" s="19">
        <v>0.90500000000000003</v>
      </c>
      <c r="AB33" s="19">
        <v>0.90800000000000003</v>
      </c>
      <c r="AC33" s="21">
        <f t="shared" si="5"/>
        <v>0.90700000000000003</v>
      </c>
      <c r="AD33" s="19">
        <v>0.14000000000000001</v>
      </c>
      <c r="AE33" s="19">
        <v>0.12</v>
      </c>
      <c r="AF33" s="21">
        <f t="shared" si="6"/>
        <v>0.13</v>
      </c>
      <c r="AG33" s="30">
        <v>8.1000000000000003E-2</v>
      </c>
      <c r="AH33" s="30">
        <v>8.7999999999999995E-2</v>
      </c>
      <c r="AI33" s="31">
        <f t="shared" si="7"/>
        <v>8.5000000000000006E-2</v>
      </c>
      <c r="AJ33" s="30">
        <v>7.5999999999999998E-2</v>
      </c>
      <c r="AK33" s="30">
        <v>7.9000000000000001E-2</v>
      </c>
      <c r="AL33" s="31">
        <f t="shared" si="8"/>
        <v>7.8E-2</v>
      </c>
      <c r="AM33" s="19">
        <v>11.885999999999999</v>
      </c>
      <c r="AN33" s="19">
        <v>11.756</v>
      </c>
      <c r="AO33" s="21">
        <f t="shared" si="9"/>
        <v>11.821</v>
      </c>
      <c r="AP33" s="46">
        <v>8.4900000000000003E-2</v>
      </c>
      <c r="AQ33" s="46">
        <v>8.77E-2</v>
      </c>
      <c r="AR33" s="45">
        <f t="shared" si="10"/>
        <v>8.6300000000000002E-2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28.7</v>
      </c>
      <c r="F34" s="23">
        <v>6.6</v>
      </c>
      <c r="G34" s="41">
        <v>204</v>
      </c>
      <c r="H34" s="23">
        <v>5.4</v>
      </c>
      <c r="I34" s="23">
        <v>1</v>
      </c>
      <c r="J34" s="23">
        <v>5.3</v>
      </c>
      <c r="K34" s="37">
        <v>3.7</v>
      </c>
      <c r="L34" s="37">
        <v>4</v>
      </c>
      <c r="M34" s="37"/>
      <c r="N34" s="38">
        <f t="shared" si="0"/>
        <v>3.9</v>
      </c>
      <c r="O34" s="37">
        <v>3.3</v>
      </c>
      <c r="P34" s="37">
        <v>3.2</v>
      </c>
      <c r="Q34" s="38">
        <f t="shared" si="1"/>
        <v>3.3</v>
      </c>
      <c r="R34" s="17">
        <v>1.0209999999999999</v>
      </c>
      <c r="S34" s="17">
        <v>0.95</v>
      </c>
      <c r="T34" s="22">
        <f t="shared" si="2"/>
        <v>0.98599999999999999</v>
      </c>
      <c r="U34" s="34">
        <v>0.91300000000000003</v>
      </c>
      <c r="V34" s="34">
        <v>0.90400000000000003</v>
      </c>
      <c r="W34" s="33">
        <f t="shared" si="3"/>
        <v>0.90900000000000003</v>
      </c>
      <c r="X34" s="17">
        <v>3.5999999999999997E-2</v>
      </c>
      <c r="Y34" s="17">
        <v>3.6999999999999998E-2</v>
      </c>
      <c r="Z34" s="21">
        <f t="shared" si="4"/>
        <v>3.6999999999999998E-2</v>
      </c>
      <c r="AA34" s="19">
        <v>0.66800000000000004</v>
      </c>
      <c r="AB34" s="19">
        <v>0.68799999999999994</v>
      </c>
      <c r="AC34" s="21">
        <f t="shared" si="5"/>
        <v>0.67800000000000005</v>
      </c>
      <c r="AD34" s="19">
        <v>0.182</v>
      </c>
      <c r="AE34" s="19">
        <v>0.152</v>
      </c>
      <c r="AF34" s="21">
        <f t="shared" si="6"/>
        <v>0.16700000000000001</v>
      </c>
      <c r="AG34" s="30">
        <v>0.13100000000000001</v>
      </c>
      <c r="AH34" s="30">
        <v>0.127</v>
      </c>
      <c r="AI34" s="31">
        <f t="shared" si="7"/>
        <v>0.129</v>
      </c>
      <c r="AJ34" s="30">
        <v>0.123</v>
      </c>
      <c r="AK34" s="30">
        <v>0.124</v>
      </c>
      <c r="AL34" s="31">
        <f t="shared" si="8"/>
        <v>0.124</v>
      </c>
      <c r="AM34" s="19">
        <v>11.936999999999999</v>
      </c>
      <c r="AN34" s="19">
        <v>12.034000000000001</v>
      </c>
      <c r="AO34" s="21">
        <f t="shared" si="9"/>
        <v>11.986000000000001</v>
      </c>
      <c r="AP34" s="46">
        <v>9.3299999999999994E-2</v>
      </c>
      <c r="AQ34" s="46">
        <v>9.6699999999999994E-2</v>
      </c>
      <c r="AR34" s="45">
        <f t="shared" si="10"/>
        <v>9.5000000000000001E-2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28.9</v>
      </c>
      <c r="F35" s="23">
        <v>6.7</v>
      </c>
      <c r="G35" s="41">
        <v>269</v>
      </c>
      <c r="H35" s="23">
        <v>7.8</v>
      </c>
      <c r="I35" s="23">
        <v>2.2000000000000002</v>
      </c>
      <c r="J35" s="23">
        <v>6.1</v>
      </c>
      <c r="K35" s="37">
        <v>4.4000000000000004</v>
      </c>
      <c r="L35" s="37">
        <v>4.7</v>
      </c>
      <c r="M35" s="37"/>
      <c r="N35" s="38">
        <f t="shared" si="0"/>
        <v>4.5999999999999996</v>
      </c>
      <c r="O35" s="37">
        <v>3.6</v>
      </c>
      <c r="P35" s="37">
        <v>3.7</v>
      </c>
      <c r="Q35" s="38">
        <f t="shared" si="1"/>
        <v>3.7</v>
      </c>
      <c r="R35" s="17">
        <v>1.61</v>
      </c>
      <c r="S35" s="17">
        <v>1.5429999999999999</v>
      </c>
      <c r="T35" s="22">
        <f t="shared" si="2"/>
        <v>1.577</v>
      </c>
      <c r="U35" s="34">
        <v>1.395</v>
      </c>
      <c r="V35" s="34">
        <v>1.4019999999999999</v>
      </c>
      <c r="W35" s="33">
        <f t="shared" si="3"/>
        <v>1.399</v>
      </c>
      <c r="X35" s="17">
        <v>0.08</v>
      </c>
      <c r="Y35" s="17">
        <v>9.1999999999999998E-2</v>
      </c>
      <c r="Z35" s="21">
        <f t="shared" si="4"/>
        <v>8.5999999999999993E-2</v>
      </c>
      <c r="AA35" s="19">
        <v>1.0389999999999999</v>
      </c>
      <c r="AB35" s="19">
        <v>1.0620000000000001</v>
      </c>
      <c r="AC35" s="21">
        <f t="shared" si="5"/>
        <v>1.0509999999999999</v>
      </c>
      <c r="AD35" s="19">
        <v>0.16</v>
      </c>
      <c r="AE35" s="19">
        <v>0.14099999999999999</v>
      </c>
      <c r="AF35" s="21">
        <f t="shared" si="6"/>
        <v>0.151</v>
      </c>
      <c r="AG35" s="30">
        <v>8.5000000000000006E-2</v>
      </c>
      <c r="AH35" s="30">
        <v>8.3000000000000004E-2</v>
      </c>
      <c r="AI35" s="31">
        <f t="shared" si="7"/>
        <v>8.4000000000000005E-2</v>
      </c>
      <c r="AJ35" s="30">
        <v>7.2999999999999995E-2</v>
      </c>
      <c r="AK35" s="30">
        <v>7.4999999999999997E-2</v>
      </c>
      <c r="AL35" s="31">
        <f t="shared" si="8"/>
        <v>7.3999999999999996E-2</v>
      </c>
      <c r="AM35" s="19">
        <v>28.738</v>
      </c>
      <c r="AN35" s="19">
        <v>29.033999999999999</v>
      </c>
      <c r="AO35" s="21">
        <f t="shared" si="9"/>
        <v>28.885999999999999</v>
      </c>
      <c r="AP35" s="46">
        <v>9.5200000000000007E-2</v>
      </c>
      <c r="AQ35" s="46">
        <v>9.8500000000000004E-2</v>
      </c>
      <c r="AR35" s="45">
        <f t="shared" si="10"/>
        <v>9.69E-2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29.4</v>
      </c>
      <c r="F36" s="23">
        <v>7.1</v>
      </c>
      <c r="G36" s="41">
        <v>201</v>
      </c>
      <c r="H36" s="23">
        <v>7.6</v>
      </c>
      <c r="I36" s="23">
        <v>1.3</v>
      </c>
      <c r="J36" s="23">
        <v>4.8</v>
      </c>
      <c r="K36" s="37">
        <v>3.5</v>
      </c>
      <c r="L36" s="37">
        <v>3.7</v>
      </c>
      <c r="M36" s="37"/>
      <c r="N36" s="38">
        <f t="shared" si="0"/>
        <v>3.6</v>
      </c>
      <c r="O36" s="37">
        <v>3.2</v>
      </c>
      <c r="P36" s="37">
        <v>3.2</v>
      </c>
      <c r="Q36" s="38">
        <f t="shared" si="1"/>
        <v>3.2</v>
      </c>
      <c r="R36" s="17">
        <v>1.1140000000000001</v>
      </c>
      <c r="S36" s="17">
        <v>1.0840000000000001</v>
      </c>
      <c r="T36" s="22">
        <f t="shared" si="2"/>
        <v>1.099</v>
      </c>
      <c r="U36" s="34">
        <v>0.98699999999999999</v>
      </c>
      <c r="V36" s="34">
        <v>0.98599999999999999</v>
      </c>
      <c r="W36" s="33">
        <f t="shared" si="3"/>
        <v>0.98699999999999999</v>
      </c>
      <c r="X36" s="17">
        <v>2.8000000000000001E-2</v>
      </c>
      <c r="Y36" s="17">
        <v>2.8000000000000001E-2</v>
      </c>
      <c r="Z36" s="21">
        <f t="shared" si="4"/>
        <v>2.8000000000000001E-2</v>
      </c>
      <c r="AA36" s="19">
        <v>0.74399999999999999</v>
      </c>
      <c r="AB36" s="19">
        <v>0.76200000000000001</v>
      </c>
      <c r="AC36" s="21">
        <f t="shared" si="5"/>
        <v>0.753</v>
      </c>
      <c r="AD36" s="19">
        <v>0.13200000000000001</v>
      </c>
      <c r="AE36" s="19">
        <v>0.11700000000000001</v>
      </c>
      <c r="AF36" s="21">
        <f t="shared" si="6"/>
        <v>0.125</v>
      </c>
      <c r="AG36" s="30">
        <v>0.09</v>
      </c>
      <c r="AH36" s="30">
        <v>8.8999999999999996E-2</v>
      </c>
      <c r="AI36" s="31">
        <f t="shared" si="7"/>
        <v>0.09</v>
      </c>
      <c r="AJ36" s="30">
        <v>8.1000000000000003E-2</v>
      </c>
      <c r="AK36" s="30">
        <v>0.08</v>
      </c>
      <c r="AL36" s="31">
        <f t="shared" si="8"/>
        <v>8.1000000000000003E-2</v>
      </c>
      <c r="AM36" s="19">
        <v>11.881</v>
      </c>
      <c r="AN36" s="19">
        <v>11.952</v>
      </c>
      <c r="AO36" s="21">
        <f t="shared" si="9"/>
        <v>11.917</v>
      </c>
      <c r="AP36" s="46">
        <v>8.6400000000000005E-2</v>
      </c>
      <c r="AQ36" s="46">
        <v>8.9300000000000004E-2</v>
      </c>
      <c r="AR36" s="45">
        <f t="shared" si="10"/>
        <v>8.7900000000000006E-2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27.9</v>
      </c>
      <c r="F37" s="23">
        <v>7.1</v>
      </c>
      <c r="G37" s="41">
        <v>222</v>
      </c>
      <c r="H37" s="23">
        <v>6</v>
      </c>
      <c r="I37" s="23">
        <v>1.3</v>
      </c>
      <c r="J37" s="23">
        <v>6.1</v>
      </c>
      <c r="K37" s="37">
        <v>4.3</v>
      </c>
      <c r="L37" s="37">
        <v>4.5999999999999996</v>
      </c>
      <c r="M37" s="37"/>
      <c r="N37" s="38">
        <f t="shared" si="0"/>
        <v>4.5</v>
      </c>
      <c r="O37" s="37">
        <v>3.9</v>
      </c>
      <c r="P37" s="37">
        <v>3.9</v>
      </c>
      <c r="Q37" s="38">
        <f t="shared" si="1"/>
        <v>3.9</v>
      </c>
      <c r="R37" s="17">
        <v>1.3939999999999999</v>
      </c>
      <c r="S37" s="17">
        <v>1.31</v>
      </c>
      <c r="T37" s="22">
        <f t="shared" si="2"/>
        <v>1.3520000000000001</v>
      </c>
      <c r="U37" s="34">
        <v>1.2190000000000001</v>
      </c>
      <c r="V37" s="34">
        <v>1.2</v>
      </c>
      <c r="W37" s="33">
        <f t="shared" si="3"/>
        <v>1.21</v>
      </c>
      <c r="X37" s="17">
        <v>5.1999999999999998E-2</v>
      </c>
      <c r="Y37" s="17">
        <v>5.2999999999999999E-2</v>
      </c>
      <c r="Z37" s="21">
        <f t="shared" si="4"/>
        <v>5.2999999999999999E-2</v>
      </c>
      <c r="AA37" s="19">
        <v>0.88400000000000001</v>
      </c>
      <c r="AB37" s="19">
        <v>0.90300000000000002</v>
      </c>
      <c r="AC37" s="21">
        <f t="shared" si="5"/>
        <v>0.89400000000000002</v>
      </c>
      <c r="AD37" s="19">
        <v>0.16900000000000001</v>
      </c>
      <c r="AE37" s="19">
        <v>0.14799999999999999</v>
      </c>
      <c r="AF37" s="21">
        <f t="shared" si="6"/>
        <v>0.159</v>
      </c>
      <c r="AG37" s="30">
        <v>9.7000000000000003E-2</v>
      </c>
      <c r="AH37" s="30">
        <v>9.2999999999999999E-2</v>
      </c>
      <c r="AI37" s="31">
        <f t="shared" si="7"/>
        <v>9.5000000000000001E-2</v>
      </c>
      <c r="AJ37" s="30">
        <v>8.7999999999999995E-2</v>
      </c>
      <c r="AK37" s="30">
        <v>8.5000000000000006E-2</v>
      </c>
      <c r="AL37" s="31">
        <f t="shared" si="8"/>
        <v>8.6999999999999994E-2</v>
      </c>
      <c r="AM37" s="19">
        <v>15.331</v>
      </c>
      <c r="AN37" s="19">
        <v>15.474</v>
      </c>
      <c r="AO37" s="21">
        <f t="shared" si="9"/>
        <v>15.403</v>
      </c>
      <c r="AP37" s="46">
        <v>0.11509999999999999</v>
      </c>
      <c r="AQ37" s="46">
        <v>0.11799999999999999</v>
      </c>
      <c r="AR37" s="45">
        <f t="shared" si="10"/>
        <v>0.1166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29.3</v>
      </c>
      <c r="F38" s="23">
        <v>6.9</v>
      </c>
      <c r="G38" s="41">
        <v>204</v>
      </c>
      <c r="H38" s="23">
        <v>7.7</v>
      </c>
      <c r="I38" s="23">
        <v>1.3</v>
      </c>
      <c r="J38" s="23">
        <v>5.3</v>
      </c>
      <c r="K38" s="37">
        <v>3.5</v>
      </c>
      <c r="L38" s="37">
        <v>4.2</v>
      </c>
      <c r="M38" s="37"/>
      <c r="N38" s="38">
        <f t="shared" si="0"/>
        <v>3.9</v>
      </c>
      <c r="O38" s="37">
        <v>3.2</v>
      </c>
      <c r="P38" s="37">
        <v>3.2</v>
      </c>
      <c r="Q38" s="38">
        <f t="shared" si="1"/>
        <v>3.2</v>
      </c>
      <c r="R38" s="17">
        <v>1.3120000000000001</v>
      </c>
      <c r="S38" s="17">
        <v>1.234</v>
      </c>
      <c r="T38" s="22">
        <f t="shared" si="2"/>
        <v>1.2729999999999999</v>
      </c>
      <c r="U38" s="34">
        <v>1.1339999999999999</v>
      </c>
      <c r="V38" s="34">
        <v>1.1200000000000001</v>
      </c>
      <c r="W38" s="33">
        <f t="shared" si="3"/>
        <v>1.127</v>
      </c>
      <c r="X38" s="17">
        <v>0.04</v>
      </c>
      <c r="Y38" s="17">
        <v>0.04</v>
      </c>
      <c r="Z38" s="21">
        <f t="shared" si="4"/>
        <v>0.04</v>
      </c>
      <c r="AA38" s="19">
        <v>0.90500000000000003</v>
      </c>
      <c r="AB38" s="19">
        <v>0.92600000000000005</v>
      </c>
      <c r="AC38" s="21">
        <f t="shared" si="5"/>
        <v>0.91600000000000004</v>
      </c>
      <c r="AD38" s="19">
        <v>0.14299999999999999</v>
      </c>
      <c r="AE38" s="19">
        <v>0.11899999999999999</v>
      </c>
      <c r="AF38" s="21">
        <f t="shared" si="6"/>
        <v>0.13100000000000001</v>
      </c>
      <c r="AG38" s="30">
        <v>8.2000000000000003E-2</v>
      </c>
      <c r="AH38" s="30">
        <v>7.9000000000000001E-2</v>
      </c>
      <c r="AI38" s="31">
        <f t="shared" si="7"/>
        <v>8.1000000000000003E-2</v>
      </c>
      <c r="AJ38" s="30">
        <v>7.4999999999999997E-2</v>
      </c>
      <c r="AK38" s="30">
        <v>7.6999999999999999E-2</v>
      </c>
      <c r="AL38" s="31">
        <f t="shared" si="8"/>
        <v>7.5999999999999998E-2</v>
      </c>
      <c r="AM38" s="19">
        <v>12.521000000000001</v>
      </c>
      <c r="AN38" s="19">
        <v>12.545999999999999</v>
      </c>
      <c r="AO38" s="21">
        <f t="shared" si="9"/>
        <v>12.534000000000001</v>
      </c>
      <c r="AP38" s="46">
        <v>8.8300000000000003E-2</v>
      </c>
      <c r="AQ38" s="46">
        <v>9.1399999999999995E-2</v>
      </c>
      <c r="AR38" s="45">
        <f t="shared" si="10"/>
        <v>8.9899999999999994E-2</v>
      </c>
    </row>
    <row r="39" spans="1:44">
      <c r="A39" s="7" t="s">
        <v>137</v>
      </c>
      <c r="B39" s="5" t="s">
        <v>138</v>
      </c>
      <c r="C39" s="6"/>
      <c r="D39" s="6"/>
      <c r="E39" s="23">
        <v>26.8</v>
      </c>
      <c r="F39" s="23">
        <v>6.8</v>
      </c>
      <c r="G39" s="41">
        <v>345</v>
      </c>
      <c r="H39" s="23">
        <v>6.6</v>
      </c>
      <c r="I39" s="23">
        <v>9.4</v>
      </c>
      <c r="J39" s="23">
        <v>12.9</v>
      </c>
      <c r="K39" s="37">
        <v>9.1999999999999993</v>
      </c>
      <c r="L39" s="37">
        <v>7.4</v>
      </c>
      <c r="M39" s="37">
        <v>9.6999999999999993</v>
      </c>
      <c r="N39" s="38">
        <f t="shared" si="0"/>
        <v>8.8000000000000007</v>
      </c>
      <c r="O39" s="37">
        <v>5.2</v>
      </c>
      <c r="P39" s="37">
        <v>5.2</v>
      </c>
      <c r="Q39" s="38">
        <f t="shared" si="1"/>
        <v>5.2</v>
      </c>
      <c r="R39" s="17">
        <v>7.2930000000000001</v>
      </c>
      <c r="S39" s="17">
        <v>7.3179999999999996</v>
      </c>
      <c r="T39" s="22">
        <f t="shared" si="2"/>
        <v>7.306</v>
      </c>
      <c r="U39" s="34">
        <v>6.2249999999999996</v>
      </c>
      <c r="V39" s="34">
        <v>6.2460000000000004</v>
      </c>
      <c r="W39" s="33">
        <f t="shared" si="3"/>
        <v>6.2359999999999998</v>
      </c>
      <c r="X39" s="17">
        <v>2.4500000000000002</v>
      </c>
      <c r="Y39" s="17">
        <v>2.4390000000000001</v>
      </c>
      <c r="Z39" s="21">
        <f t="shared" si="4"/>
        <v>2.4449999999999998</v>
      </c>
      <c r="AA39" s="19">
        <v>3.38</v>
      </c>
      <c r="AB39" s="19">
        <v>3.41</v>
      </c>
      <c r="AC39" s="21">
        <f t="shared" si="5"/>
        <v>3.395</v>
      </c>
      <c r="AD39" s="19">
        <v>0.57299999999999995</v>
      </c>
      <c r="AE39" s="19">
        <v>0.59199999999999997</v>
      </c>
      <c r="AF39" s="21">
        <f t="shared" si="6"/>
        <v>0.58299999999999996</v>
      </c>
      <c r="AG39" s="30">
        <v>0.26800000000000002</v>
      </c>
      <c r="AH39" s="30">
        <v>0.26500000000000001</v>
      </c>
      <c r="AI39" s="31">
        <f t="shared" si="7"/>
        <v>0.26700000000000002</v>
      </c>
      <c r="AJ39" s="30">
        <v>0.24399999999999999</v>
      </c>
      <c r="AK39" s="30">
        <v>0.24299999999999999</v>
      </c>
      <c r="AL39" s="31">
        <f t="shared" si="8"/>
        <v>0.24399999999999999</v>
      </c>
      <c r="AM39" s="19">
        <v>42.511000000000003</v>
      </c>
      <c r="AN39" s="19">
        <v>42.731000000000002</v>
      </c>
      <c r="AO39" s="21">
        <f t="shared" si="9"/>
        <v>42.621000000000002</v>
      </c>
      <c r="AP39" s="46">
        <v>0.11</v>
      </c>
      <c r="AQ39" s="46">
        <v>0.1132</v>
      </c>
      <c r="AR39" s="45">
        <f t="shared" si="10"/>
        <v>0.1116</v>
      </c>
    </row>
    <row r="40" spans="1:44">
      <c r="A40" s="7" t="s">
        <v>158</v>
      </c>
      <c r="B40" s="5" t="s">
        <v>159</v>
      </c>
      <c r="C40" s="6"/>
      <c r="D40" s="6"/>
      <c r="E40" s="23"/>
      <c r="F40" s="23"/>
      <c r="G40" s="41"/>
      <c r="H40" s="23"/>
      <c r="I40" s="23">
        <v>2.5</v>
      </c>
      <c r="J40" s="23">
        <v>6.7</v>
      </c>
      <c r="K40" s="37">
        <v>4.5999999999999996</v>
      </c>
      <c r="L40" s="37">
        <v>4.8</v>
      </c>
      <c r="M40" s="37"/>
      <c r="N40" s="38">
        <f t="shared" si="0"/>
        <v>4.7</v>
      </c>
      <c r="O40" s="37">
        <v>4</v>
      </c>
      <c r="P40" s="37">
        <v>3.9</v>
      </c>
      <c r="Q40" s="38">
        <f t="shared" si="1"/>
        <v>4</v>
      </c>
      <c r="R40" s="17">
        <v>2.77</v>
      </c>
      <c r="S40" s="17">
        <v>2.6859999999999999</v>
      </c>
      <c r="T40" s="22">
        <f t="shared" si="2"/>
        <v>2.7280000000000002</v>
      </c>
      <c r="U40" s="34">
        <v>2.452</v>
      </c>
      <c r="V40" s="34">
        <v>2.4409999999999998</v>
      </c>
      <c r="W40" s="33">
        <f t="shared" si="3"/>
        <v>2.4470000000000001</v>
      </c>
      <c r="X40" s="17">
        <v>0.48099999999999998</v>
      </c>
      <c r="Y40" s="17">
        <v>0.48699999999999999</v>
      </c>
      <c r="Z40" s="21">
        <f t="shared" si="4"/>
        <v>0.48399999999999999</v>
      </c>
      <c r="AA40" s="19">
        <v>1.633</v>
      </c>
      <c r="AB40" s="19">
        <v>1.637</v>
      </c>
      <c r="AC40" s="21">
        <f t="shared" si="5"/>
        <v>1.635</v>
      </c>
      <c r="AD40" s="19">
        <v>0.10199999999999999</v>
      </c>
      <c r="AE40" s="19">
        <v>9.2999999999999999E-2</v>
      </c>
      <c r="AF40" s="21">
        <f t="shared" si="6"/>
        <v>9.8000000000000004E-2</v>
      </c>
      <c r="AG40" s="30">
        <v>3.5000000000000003E-2</v>
      </c>
      <c r="AH40" s="30">
        <v>3.2000000000000001E-2</v>
      </c>
      <c r="AI40" s="31">
        <f t="shared" si="7"/>
        <v>3.4000000000000002E-2</v>
      </c>
      <c r="AJ40" s="30">
        <v>1.0999999999999999E-2</v>
      </c>
      <c r="AK40" s="30">
        <v>8.9999999999999993E-3</v>
      </c>
      <c r="AL40" s="31">
        <f t="shared" si="8"/>
        <v>0.01</v>
      </c>
      <c r="AM40" s="19">
        <v>67.558000000000007</v>
      </c>
      <c r="AN40" s="19">
        <v>67.617000000000004</v>
      </c>
      <c r="AO40" s="21">
        <f t="shared" si="9"/>
        <v>67.587999999999994</v>
      </c>
      <c r="AP40" s="46">
        <v>9.5000000000000001E-2</v>
      </c>
      <c r="AQ40" s="46">
        <v>9.7799999999999998E-2</v>
      </c>
      <c r="AR40" s="45">
        <f t="shared" si="10"/>
        <v>9.64E-2</v>
      </c>
    </row>
  </sheetData>
  <mergeCells count="18">
    <mergeCell ref="I1:I2"/>
    <mergeCell ref="A1:A2"/>
    <mergeCell ref="B1:B2"/>
    <mergeCell ref="C1:C2"/>
    <mergeCell ref="D1:D2"/>
    <mergeCell ref="E1:H1"/>
    <mergeCell ref="AP1:AR1"/>
    <mergeCell ref="J1:J2"/>
    <mergeCell ref="K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40"/>
  <sheetViews>
    <sheetView topLeftCell="A3" zoomScale="85" zoomScaleNormal="85" workbookViewId="0">
      <selection activeCell="F38" sqref="F38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20" width="9" style="1"/>
    <col min="21" max="21" width="9" style="3"/>
    <col min="22" max="31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8"/>
      <c r="U1" s="76" t="s">
        <v>126</v>
      </c>
      <c r="V1" s="77"/>
      <c r="W1" s="78"/>
      <c r="X1" s="76" t="s">
        <v>127</v>
      </c>
      <c r="Y1" s="77"/>
      <c r="Z1" s="78"/>
      <c r="AA1" s="76" t="s">
        <v>128</v>
      </c>
      <c r="AB1" s="77"/>
      <c r="AC1" s="78"/>
      <c r="AD1" s="76" t="s">
        <v>129</v>
      </c>
      <c r="AE1" s="77"/>
      <c r="AF1" s="78"/>
      <c r="AG1" s="76" t="s">
        <v>130</v>
      </c>
      <c r="AH1" s="77"/>
      <c r="AI1" s="78"/>
      <c r="AJ1" s="76" t="s">
        <v>131</v>
      </c>
      <c r="AK1" s="77"/>
      <c r="AL1" s="78"/>
      <c r="AM1" s="76" t="s">
        <v>132</v>
      </c>
      <c r="AN1" s="77"/>
      <c r="AO1" s="78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113</v>
      </c>
      <c r="H2" s="12" t="s">
        <v>112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136</v>
      </c>
      <c r="B3" s="9" t="s">
        <v>34</v>
      </c>
      <c r="C3" s="10" t="s">
        <v>35</v>
      </c>
      <c r="D3" s="10" t="s">
        <v>36</v>
      </c>
      <c r="E3" s="20">
        <v>25.8</v>
      </c>
      <c r="F3" s="20">
        <v>7.6</v>
      </c>
      <c r="G3" s="40">
        <v>152</v>
      </c>
      <c r="H3" s="20">
        <v>7.8</v>
      </c>
      <c r="I3" s="20">
        <v>1.1000000000000001</v>
      </c>
      <c r="J3" s="20">
        <v>4.5999999999999996</v>
      </c>
      <c r="K3" s="14">
        <v>3</v>
      </c>
      <c r="L3" s="14">
        <v>2.4</v>
      </c>
      <c r="M3" s="14"/>
      <c r="N3" s="20">
        <f>ROUND(AVERAGE(K3:M3),1)</f>
        <v>2.7</v>
      </c>
      <c r="O3" s="36">
        <v>2.2000000000000002</v>
      </c>
      <c r="P3" s="36">
        <v>2.1</v>
      </c>
      <c r="Q3" s="38">
        <f>ROUND(AVERAGE(O3:P3),1)</f>
        <v>2.2000000000000002</v>
      </c>
      <c r="R3" s="16">
        <v>0.47</v>
      </c>
      <c r="S3" s="16">
        <v>0.47299999999999998</v>
      </c>
      <c r="T3" s="22">
        <f>ROUND(AVERAGE(R3:S3),3)</f>
        <v>0.47199999999999998</v>
      </c>
      <c r="U3" s="32">
        <v>0.36099999999999999</v>
      </c>
      <c r="V3" s="32">
        <v>0.35299999999999998</v>
      </c>
      <c r="W3" s="33">
        <f>ROUND(AVERAGE(U3:V3),3)</f>
        <v>0.35699999999999998</v>
      </c>
      <c r="X3" s="16">
        <v>0.04</v>
      </c>
      <c r="Y3" s="16">
        <v>4.1000000000000002E-2</v>
      </c>
      <c r="Z3" s="21">
        <f>ROUND(AVERAGE(X3:Y3),3)</f>
        <v>4.1000000000000002E-2</v>
      </c>
      <c r="AA3" s="18">
        <v>0.218</v>
      </c>
      <c r="AB3" s="18">
        <v>0.215</v>
      </c>
      <c r="AC3" s="21">
        <f>ROUND(AVERAGE(AA3:AB3),3)</f>
        <v>0.217</v>
      </c>
      <c r="AD3" s="18">
        <v>5.1999999999999998E-2</v>
      </c>
      <c r="AE3" s="18">
        <v>4.9000000000000002E-2</v>
      </c>
      <c r="AF3" s="21">
        <f>ROUND(AVERAGE(AD3:AE3),3)</f>
        <v>5.0999999999999997E-2</v>
      </c>
      <c r="AG3" s="29">
        <v>2.7E-2</v>
      </c>
      <c r="AH3" s="29">
        <v>2.3E-2</v>
      </c>
      <c r="AI3" s="31">
        <f>ROUND(AVERAGE(AG3:AH3),3)</f>
        <v>2.5000000000000001E-2</v>
      </c>
      <c r="AJ3" s="29">
        <v>1.0999999999999999E-2</v>
      </c>
      <c r="AK3" s="29">
        <v>8.9999999999999993E-3</v>
      </c>
      <c r="AL3" s="31">
        <f>ROUND(AVERAGE(AJ3:AK3),3)</f>
        <v>0.01</v>
      </c>
      <c r="AM3" s="18">
        <v>11.629</v>
      </c>
      <c r="AN3" s="18">
        <v>11.726000000000001</v>
      </c>
      <c r="AO3" s="21">
        <f>ROUND(AVERAGE(AM3:AN3),3)</f>
        <v>11.678000000000001</v>
      </c>
      <c r="AP3" s="44">
        <v>6.6500000000000004E-2</v>
      </c>
      <c r="AQ3" s="44">
        <v>6.3700000000000007E-2</v>
      </c>
      <c r="AR3" s="45">
        <f>ROUND(AVERAGE(AP3:AQ3),4)</f>
        <v>6.5100000000000005E-2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26.2</v>
      </c>
      <c r="F4" s="23">
        <v>6.9</v>
      </c>
      <c r="G4" s="41">
        <v>120</v>
      </c>
      <c r="H4" s="23">
        <v>6</v>
      </c>
      <c r="I4" s="23">
        <v>0.8</v>
      </c>
      <c r="J4" s="23">
        <v>3.5</v>
      </c>
      <c r="K4" s="15">
        <v>2.5</v>
      </c>
      <c r="L4" s="15">
        <v>2.1</v>
      </c>
      <c r="M4" s="15"/>
      <c r="N4" s="20">
        <f t="shared" ref="N4:N40" si="0">ROUND(AVERAGE(K4:M4),1)</f>
        <v>2.2999999999999998</v>
      </c>
      <c r="O4" s="37">
        <v>2.1</v>
      </c>
      <c r="P4" s="37">
        <v>2.1</v>
      </c>
      <c r="Q4" s="38">
        <f t="shared" ref="Q4:Q40" si="1">ROUND(AVERAGE(O4:P4),1)</f>
        <v>2.1</v>
      </c>
      <c r="R4" s="17">
        <v>0.42899999999999999</v>
      </c>
      <c r="S4" s="17">
        <v>0.45300000000000001</v>
      </c>
      <c r="T4" s="22">
        <f t="shared" ref="T4:T40" si="2">ROUND(AVERAGE(R4:S4),3)</f>
        <v>0.441</v>
      </c>
      <c r="U4" s="34">
        <v>0.39800000000000002</v>
      </c>
      <c r="V4" s="34">
        <v>0.39300000000000002</v>
      </c>
      <c r="W4" s="33">
        <f t="shared" ref="W4:W40" si="3">ROUND(AVERAGE(U4:V4),3)</f>
        <v>0.39600000000000002</v>
      </c>
      <c r="X4" s="17">
        <v>2.1999999999999999E-2</v>
      </c>
      <c r="Y4" s="17">
        <v>2.3E-2</v>
      </c>
      <c r="Z4" s="21">
        <f t="shared" ref="Z4:Z40" si="4">ROUND(AVERAGE(X4:Y4),3)</f>
        <v>2.3E-2</v>
      </c>
      <c r="AA4" s="19">
        <v>0.26600000000000001</v>
      </c>
      <c r="AB4" s="19">
        <v>0.26200000000000001</v>
      </c>
      <c r="AC4" s="21">
        <f t="shared" ref="AC4:AC40" si="5">ROUND(AVERAGE(AA4:AB4),3)</f>
        <v>0.26400000000000001</v>
      </c>
      <c r="AD4" s="19">
        <v>0.03</v>
      </c>
      <c r="AE4" s="19">
        <v>2.5000000000000001E-2</v>
      </c>
      <c r="AF4" s="21">
        <f t="shared" ref="AF4:AF40" si="6">ROUND(AVERAGE(AD4:AE4),3)</f>
        <v>2.8000000000000001E-2</v>
      </c>
      <c r="AG4" s="30">
        <v>1.7999999999999999E-2</v>
      </c>
      <c r="AH4" s="30">
        <v>1.7999999999999999E-2</v>
      </c>
      <c r="AI4" s="31">
        <f t="shared" ref="AI4:AI40" si="7">ROUND(AVERAGE(AG4:AH4),3)</f>
        <v>1.7999999999999999E-2</v>
      </c>
      <c r="AJ4" s="30">
        <v>7.0000000000000001E-3</v>
      </c>
      <c r="AK4" s="30">
        <v>6.0000000000000001E-3</v>
      </c>
      <c r="AL4" s="31">
        <f t="shared" ref="AL4:AL40" si="8">ROUND(AVERAGE(AJ4:AK4),3)</f>
        <v>7.0000000000000001E-3</v>
      </c>
      <c r="AM4" s="19">
        <v>5.9459999999999997</v>
      </c>
      <c r="AN4" s="19">
        <v>5.9820000000000002</v>
      </c>
      <c r="AO4" s="21">
        <f t="shared" ref="AO4:AO40" si="9">ROUND(AVERAGE(AM4:AN4),3)</f>
        <v>5.9640000000000004</v>
      </c>
      <c r="AP4" s="46">
        <v>6.2100000000000002E-2</v>
      </c>
      <c r="AQ4" s="46">
        <v>5.9799999999999999E-2</v>
      </c>
      <c r="AR4" s="45">
        <f t="shared" ref="AR4:AR40" si="10">ROUND(AVERAGE(AP4:AQ4),4)</f>
        <v>6.0999999999999999E-2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26.7</v>
      </c>
      <c r="F5" s="23">
        <v>6.9</v>
      </c>
      <c r="G5" s="41">
        <v>138</v>
      </c>
      <c r="H5" s="23">
        <v>8</v>
      </c>
      <c r="I5" s="23">
        <v>0.9</v>
      </c>
      <c r="J5" s="23">
        <v>3.2</v>
      </c>
      <c r="K5" s="15">
        <v>2.5</v>
      </c>
      <c r="L5" s="15">
        <v>2.2000000000000002</v>
      </c>
      <c r="M5" s="15"/>
      <c r="N5" s="20">
        <f t="shared" si="0"/>
        <v>2.4</v>
      </c>
      <c r="O5" s="37">
        <v>2</v>
      </c>
      <c r="P5" s="37">
        <v>1.9</v>
      </c>
      <c r="Q5" s="38">
        <f t="shared" si="1"/>
        <v>2</v>
      </c>
      <c r="R5" s="17">
        <v>0.40300000000000002</v>
      </c>
      <c r="S5" s="17">
        <v>0.42</v>
      </c>
      <c r="T5" s="22">
        <f t="shared" si="2"/>
        <v>0.41199999999999998</v>
      </c>
      <c r="U5" s="34">
        <v>0.32100000000000001</v>
      </c>
      <c r="V5" s="34">
        <v>0.316</v>
      </c>
      <c r="W5" s="33">
        <f t="shared" si="3"/>
        <v>0.31900000000000001</v>
      </c>
      <c r="X5" s="17">
        <v>3.4000000000000002E-2</v>
      </c>
      <c r="Y5" s="17">
        <v>3.5000000000000003E-2</v>
      </c>
      <c r="Z5" s="21">
        <f t="shared" si="4"/>
        <v>3.5000000000000003E-2</v>
      </c>
      <c r="AA5" s="19">
        <v>0.21099999999999999</v>
      </c>
      <c r="AB5" s="19">
        <v>0.20599999999999999</v>
      </c>
      <c r="AC5" s="21">
        <f t="shared" si="5"/>
        <v>0.20899999999999999</v>
      </c>
      <c r="AD5" s="19">
        <v>3.6999999999999998E-2</v>
      </c>
      <c r="AE5" s="19">
        <v>3.2000000000000001E-2</v>
      </c>
      <c r="AF5" s="21">
        <f t="shared" si="6"/>
        <v>3.5000000000000003E-2</v>
      </c>
      <c r="AG5" s="30">
        <v>1.7000000000000001E-2</v>
      </c>
      <c r="AH5" s="30">
        <v>1.7000000000000001E-2</v>
      </c>
      <c r="AI5" s="31">
        <f t="shared" si="7"/>
        <v>1.7000000000000001E-2</v>
      </c>
      <c r="AJ5" s="30">
        <v>5.0000000000000001E-3</v>
      </c>
      <c r="AK5" s="30">
        <v>4.0000000000000001E-3</v>
      </c>
      <c r="AL5" s="31">
        <f t="shared" si="8"/>
        <v>5.0000000000000001E-3</v>
      </c>
      <c r="AM5" s="19">
        <v>8.7859999999999996</v>
      </c>
      <c r="AN5" s="19">
        <v>8.8580000000000005</v>
      </c>
      <c r="AO5" s="21">
        <f t="shared" si="9"/>
        <v>8.8219999999999992</v>
      </c>
      <c r="AP5" s="46">
        <v>5.7799999999999997E-2</v>
      </c>
      <c r="AQ5" s="46">
        <v>5.5800000000000002E-2</v>
      </c>
      <c r="AR5" s="45">
        <f t="shared" si="10"/>
        <v>5.6800000000000003E-2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25.9</v>
      </c>
      <c r="F6" s="23">
        <v>7.2</v>
      </c>
      <c r="G6" s="41">
        <v>85</v>
      </c>
      <c r="H6" s="23">
        <v>7.7</v>
      </c>
      <c r="I6" s="23">
        <v>0.8</v>
      </c>
      <c r="J6" s="23">
        <v>4.5</v>
      </c>
      <c r="K6" s="15">
        <v>2.9</v>
      </c>
      <c r="L6" s="15">
        <v>2.5</v>
      </c>
      <c r="M6" s="15"/>
      <c r="N6" s="20">
        <f t="shared" si="0"/>
        <v>2.7</v>
      </c>
      <c r="O6" s="37">
        <v>2.4</v>
      </c>
      <c r="P6" s="37">
        <v>2.2999999999999998</v>
      </c>
      <c r="Q6" s="38">
        <f t="shared" si="1"/>
        <v>2.4</v>
      </c>
      <c r="R6" s="17">
        <v>0.42399999999999999</v>
      </c>
      <c r="S6" s="17">
        <v>0.43</v>
      </c>
      <c r="T6" s="22">
        <f t="shared" si="2"/>
        <v>0.42699999999999999</v>
      </c>
      <c r="U6" s="34">
        <v>0.32100000000000001</v>
      </c>
      <c r="V6" s="34">
        <v>0.317</v>
      </c>
      <c r="W6" s="33">
        <f t="shared" si="3"/>
        <v>0.31900000000000001</v>
      </c>
      <c r="X6" s="17">
        <v>4.2000000000000003E-2</v>
      </c>
      <c r="Y6" s="17">
        <v>4.2000000000000003E-2</v>
      </c>
      <c r="Z6" s="21">
        <f t="shared" si="4"/>
        <v>4.2000000000000003E-2</v>
      </c>
      <c r="AA6" s="19">
        <v>0.19900000000000001</v>
      </c>
      <c r="AB6" s="19">
        <v>0.19500000000000001</v>
      </c>
      <c r="AC6" s="21">
        <f t="shared" si="5"/>
        <v>0.19700000000000001</v>
      </c>
      <c r="AD6" s="19">
        <v>4.4999999999999998E-2</v>
      </c>
      <c r="AE6" s="19">
        <v>0.04</v>
      </c>
      <c r="AF6" s="21">
        <f t="shared" si="6"/>
        <v>4.2999999999999997E-2</v>
      </c>
      <c r="AG6" s="30">
        <v>2.4E-2</v>
      </c>
      <c r="AH6" s="30">
        <v>2.3E-2</v>
      </c>
      <c r="AI6" s="31">
        <f t="shared" si="7"/>
        <v>2.4E-2</v>
      </c>
      <c r="AJ6" s="30">
        <v>8.0000000000000002E-3</v>
      </c>
      <c r="AK6" s="30">
        <v>8.0000000000000002E-3</v>
      </c>
      <c r="AL6" s="31">
        <f t="shared" si="8"/>
        <v>8.0000000000000002E-3</v>
      </c>
      <c r="AM6" s="19">
        <v>4.8959999999999999</v>
      </c>
      <c r="AN6" s="19">
        <v>4.9329999999999998</v>
      </c>
      <c r="AO6" s="21">
        <f t="shared" si="9"/>
        <v>4.915</v>
      </c>
      <c r="AP6" s="46">
        <v>9.1800000000000007E-2</v>
      </c>
      <c r="AQ6" s="46">
        <v>8.9399999999999993E-2</v>
      </c>
      <c r="AR6" s="45">
        <f t="shared" si="10"/>
        <v>9.06E-2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27.7</v>
      </c>
      <c r="F7" s="23">
        <v>7</v>
      </c>
      <c r="G7" s="41">
        <v>126</v>
      </c>
      <c r="H7" s="23">
        <v>7</v>
      </c>
      <c r="I7" s="23">
        <v>1</v>
      </c>
      <c r="J7" s="23">
        <v>4.0999999999999996</v>
      </c>
      <c r="K7" s="15">
        <v>2.8</v>
      </c>
      <c r="L7" s="15">
        <v>2.6</v>
      </c>
      <c r="M7" s="15"/>
      <c r="N7" s="20">
        <f t="shared" si="0"/>
        <v>2.7</v>
      </c>
      <c r="O7" s="37">
        <v>2.2999999999999998</v>
      </c>
      <c r="P7" s="37">
        <v>2.2000000000000002</v>
      </c>
      <c r="Q7" s="38">
        <f t="shared" si="1"/>
        <v>2.2999999999999998</v>
      </c>
      <c r="R7" s="17">
        <v>0.47399999999999998</v>
      </c>
      <c r="S7" s="17">
        <v>0.48299999999999998</v>
      </c>
      <c r="T7" s="22">
        <f t="shared" si="2"/>
        <v>0.47899999999999998</v>
      </c>
      <c r="U7" s="34">
        <v>0.373</v>
      </c>
      <c r="V7" s="34">
        <v>0.38200000000000001</v>
      </c>
      <c r="W7" s="33">
        <f t="shared" si="3"/>
        <v>0.378</v>
      </c>
      <c r="X7" s="17">
        <v>6.4000000000000001E-2</v>
      </c>
      <c r="Y7" s="17">
        <v>6.5000000000000002E-2</v>
      </c>
      <c r="Z7" s="21">
        <f t="shared" si="4"/>
        <v>6.5000000000000002E-2</v>
      </c>
      <c r="AA7" s="19">
        <v>0.23200000000000001</v>
      </c>
      <c r="AB7" s="19">
        <v>0.22700000000000001</v>
      </c>
      <c r="AC7" s="21">
        <f t="shared" si="5"/>
        <v>0.23</v>
      </c>
      <c r="AD7" s="19">
        <v>4.9000000000000002E-2</v>
      </c>
      <c r="AE7" s="19">
        <v>4.2999999999999997E-2</v>
      </c>
      <c r="AF7" s="21">
        <f t="shared" si="6"/>
        <v>4.5999999999999999E-2</v>
      </c>
      <c r="AG7" s="30">
        <v>2.5999999999999999E-2</v>
      </c>
      <c r="AH7" s="30">
        <v>2.7E-2</v>
      </c>
      <c r="AI7" s="31">
        <f t="shared" si="7"/>
        <v>2.7E-2</v>
      </c>
      <c r="AJ7" s="30">
        <v>1.0999999999999999E-2</v>
      </c>
      <c r="AK7" s="30">
        <v>1.0999999999999999E-2</v>
      </c>
      <c r="AL7" s="31">
        <f t="shared" si="8"/>
        <v>1.0999999999999999E-2</v>
      </c>
      <c r="AM7" s="19">
        <v>8.2390000000000008</v>
      </c>
      <c r="AN7" s="19">
        <v>8.2919999999999998</v>
      </c>
      <c r="AO7" s="21">
        <f t="shared" si="9"/>
        <v>8.266</v>
      </c>
      <c r="AP7" s="46">
        <v>7.2700000000000001E-2</v>
      </c>
      <c r="AQ7" s="46">
        <v>7.0599999999999996E-2</v>
      </c>
      <c r="AR7" s="45">
        <f t="shared" si="10"/>
        <v>7.17E-2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26.4</v>
      </c>
      <c r="F8" s="23">
        <v>7.3</v>
      </c>
      <c r="G8" s="41">
        <v>113</v>
      </c>
      <c r="H8" s="23">
        <v>7.7</v>
      </c>
      <c r="I8" s="23">
        <v>1</v>
      </c>
      <c r="J8" s="23">
        <v>4.2</v>
      </c>
      <c r="K8" s="15">
        <v>3</v>
      </c>
      <c r="L8" s="15">
        <v>2.7</v>
      </c>
      <c r="M8" s="15"/>
      <c r="N8" s="20">
        <f t="shared" si="0"/>
        <v>2.9</v>
      </c>
      <c r="O8" s="37">
        <v>2.4</v>
      </c>
      <c r="P8" s="37">
        <v>2.2999999999999998</v>
      </c>
      <c r="Q8" s="38">
        <f t="shared" si="1"/>
        <v>2.4</v>
      </c>
      <c r="R8" s="17">
        <v>0.41799999999999998</v>
      </c>
      <c r="S8" s="17">
        <v>0.46800000000000003</v>
      </c>
      <c r="T8" s="22">
        <f t="shared" si="2"/>
        <v>0.443</v>
      </c>
      <c r="U8" s="34">
        <v>0.432</v>
      </c>
      <c r="V8" s="34">
        <v>0.43099999999999999</v>
      </c>
      <c r="W8" s="33">
        <f t="shared" si="3"/>
        <v>0.432</v>
      </c>
      <c r="X8" s="17">
        <v>4.7E-2</v>
      </c>
      <c r="Y8" s="17">
        <v>4.5999999999999999E-2</v>
      </c>
      <c r="Z8" s="21">
        <f t="shared" si="4"/>
        <v>4.7E-2</v>
      </c>
      <c r="AA8" s="19">
        <v>0.28199999999999997</v>
      </c>
      <c r="AB8" s="19">
        <v>0.27600000000000002</v>
      </c>
      <c r="AC8" s="21">
        <f t="shared" si="5"/>
        <v>0.27900000000000003</v>
      </c>
      <c r="AD8" s="19">
        <v>5.3999999999999999E-2</v>
      </c>
      <c r="AE8" s="19">
        <v>4.5999999999999999E-2</v>
      </c>
      <c r="AF8" s="21">
        <f t="shared" si="6"/>
        <v>0.05</v>
      </c>
      <c r="AG8" s="30">
        <v>2.7E-2</v>
      </c>
      <c r="AH8" s="30">
        <v>2.5999999999999999E-2</v>
      </c>
      <c r="AI8" s="31">
        <f t="shared" si="7"/>
        <v>2.7E-2</v>
      </c>
      <c r="AJ8" s="30">
        <v>1.2E-2</v>
      </c>
      <c r="AK8" s="30">
        <v>1.2E-2</v>
      </c>
      <c r="AL8" s="31">
        <f t="shared" si="8"/>
        <v>1.2E-2</v>
      </c>
      <c r="AM8" s="19">
        <v>6.7290000000000001</v>
      </c>
      <c r="AN8" s="19">
        <v>6.7629999999999999</v>
      </c>
      <c r="AO8" s="21">
        <f t="shared" si="9"/>
        <v>6.7460000000000004</v>
      </c>
      <c r="AP8" s="46">
        <v>8.1699999999999995E-2</v>
      </c>
      <c r="AQ8" s="46">
        <v>7.9500000000000001E-2</v>
      </c>
      <c r="AR8" s="45">
        <f t="shared" si="10"/>
        <v>8.0600000000000005E-2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27.9</v>
      </c>
      <c r="F9" s="23">
        <v>7</v>
      </c>
      <c r="G9" s="41">
        <v>124</v>
      </c>
      <c r="H9" s="23">
        <v>6.8</v>
      </c>
      <c r="I9" s="23">
        <v>0.8</v>
      </c>
      <c r="J9" s="23">
        <v>3.6</v>
      </c>
      <c r="K9" s="15">
        <v>2.8</v>
      </c>
      <c r="L9" s="15">
        <v>2.5</v>
      </c>
      <c r="M9" s="15"/>
      <c r="N9" s="20">
        <f t="shared" si="0"/>
        <v>2.7</v>
      </c>
      <c r="O9" s="37">
        <v>2.2999999999999998</v>
      </c>
      <c r="P9" s="37">
        <v>2.2000000000000002</v>
      </c>
      <c r="Q9" s="38">
        <f t="shared" si="1"/>
        <v>2.2999999999999998</v>
      </c>
      <c r="R9" s="17">
        <v>0.45200000000000001</v>
      </c>
      <c r="S9" s="17">
        <v>0.46300000000000002</v>
      </c>
      <c r="T9" s="22">
        <f t="shared" si="2"/>
        <v>0.45800000000000002</v>
      </c>
      <c r="U9" s="34">
        <v>0.38300000000000001</v>
      </c>
      <c r="V9" s="34">
        <v>0.38600000000000001</v>
      </c>
      <c r="W9" s="33">
        <f t="shared" si="3"/>
        <v>0.38500000000000001</v>
      </c>
      <c r="X9" s="17">
        <v>3.5999999999999997E-2</v>
      </c>
      <c r="Y9" s="17">
        <v>3.5999999999999997E-2</v>
      </c>
      <c r="Z9" s="21">
        <f t="shared" si="4"/>
        <v>3.5999999999999997E-2</v>
      </c>
      <c r="AA9" s="19">
        <v>0.248</v>
      </c>
      <c r="AB9" s="19">
        <v>0.24299999999999999</v>
      </c>
      <c r="AC9" s="21">
        <f t="shared" si="5"/>
        <v>0.246</v>
      </c>
      <c r="AD9" s="19">
        <v>4.4999999999999998E-2</v>
      </c>
      <c r="AE9" s="19">
        <v>3.5999999999999997E-2</v>
      </c>
      <c r="AF9" s="21">
        <f t="shared" si="6"/>
        <v>4.1000000000000002E-2</v>
      </c>
      <c r="AG9" s="30">
        <v>2.4E-2</v>
      </c>
      <c r="AH9" s="30">
        <v>2.4E-2</v>
      </c>
      <c r="AI9" s="31">
        <f t="shared" si="7"/>
        <v>2.4E-2</v>
      </c>
      <c r="AJ9" s="30">
        <v>0.01</v>
      </c>
      <c r="AK9" s="30">
        <v>1.0999999999999999E-2</v>
      </c>
      <c r="AL9" s="31">
        <f t="shared" si="8"/>
        <v>1.0999999999999999E-2</v>
      </c>
      <c r="AM9" s="19">
        <v>7.9390000000000001</v>
      </c>
      <c r="AN9" s="19">
        <v>7.9950000000000001</v>
      </c>
      <c r="AO9" s="21">
        <f t="shared" si="9"/>
        <v>7.9669999999999996</v>
      </c>
      <c r="AP9" s="46">
        <v>7.5999999999999998E-2</v>
      </c>
      <c r="AQ9" s="46">
        <v>7.3400000000000007E-2</v>
      </c>
      <c r="AR9" s="45">
        <f t="shared" si="10"/>
        <v>7.4700000000000003E-2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26.6</v>
      </c>
      <c r="F10" s="23">
        <v>6.6</v>
      </c>
      <c r="G10" s="41">
        <v>145</v>
      </c>
      <c r="H10" s="23">
        <v>6.2</v>
      </c>
      <c r="I10" s="23">
        <v>0.9</v>
      </c>
      <c r="J10" s="23">
        <v>4.3</v>
      </c>
      <c r="K10" s="15">
        <v>2.8</v>
      </c>
      <c r="L10" s="15">
        <v>2.5</v>
      </c>
      <c r="M10" s="15"/>
      <c r="N10" s="20">
        <f t="shared" si="0"/>
        <v>2.7</v>
      </c>
      <c r="O10" s="37">
        <v>2.2000000000000002</v>
      </c>
      <c r="P10" s="37">
        <v>2.1</v>
      </c>
      <c r="Q10" s="38">
        <f t="shared" si="1"/>
        <v>2.2000000000000002</v>
      </c>
      <c r="R10" s="17">
        <v>1.768</v>
      </c>
      <c r="S10" s="17">
        <v>1.7669999999999999</v>
      </c>
      <c r="T10" s="22">
        <f t="shared" si="2"/>
        <v>1.768</v>
      </c>
      <c r="U10" s="34">
        <v>1.677</v>
      </c>
      <c r="V10" s="34">
        <v>1.6719999999999999</v>
      </c>
      <c r="W10" s="33">
        <f t="shared" si="3"/>
        <v>1.675</v>
      </c>
      <c r="X10" s="17">
        <v>7.4999999999999997E-2</v>
      </c>
      <c r="Y10" s="17">
        <v>7.6999999999999999E-2</v>
      </c>
      <c r="Z10" s="21">
        <f t="shared" si="4"/>
        <v>7.5999999999999998E-2</v>
      </c>
      <c r="AA10" s="19">
        <v>1.486</v>
      </c>
      <c r="AB10" s="19">
        <v>1.4710000000000001</v>
      </c>
      <c r="AC10" s="21">
        <f t="shared" si="5"/>
        <v>1.4790000000000001</v>
      </c>
      <c r="AD10" s="19">
        <v>0.214</v>
      </c>
      <c r="AE10" s="19">
        <v>0.20699999999999999</v>
      </c>
      <c r="AF10" s="21">
        <f t="shared" si="6"/>
        <v>0.21099999999999999</v>
      </c>
      <c r="AG10" s="30">
        <v>0.17299999999999999</v>
      </c>
      <c r="AH10" s="30">
        <v>0.18</v>
      </c>
      <c r="AI10" s="31">
        <f t="shared" si="7"/>
        <v>0.17699999999999999</v>
      </c>
      <c r="AJ10" s="30">
        <v>0.16800000000000001</v>
      </c>
      <c r="AK10" s="30">
        <v>0.17100000000000001</v>
      </c>
      <c r="AL10" s="31">
        <f t="shared" si="8"/>
        <v>0.17</v>
      </c>
      <c r="AM10" s="19">
        <v>8.5579999999999998</v>
      </c>
      <c r="AN10" s="19">
        <v>8.6110000000000007</v>
      </c>
      <c r="AO10" s="21">
        <f t="shared" si="9"/>
        <v>8.5850000000000009</v>
      </c>
      <c r="AP10" s="46">
        <v>6.83E-2</v>
      </c>
      <c r="AQ10" s="46">
        <v>6.5699999999999995E-2</v>
      </c>
      <c r="AR10" s="45">
        <f t="shared" si="10"/>
        <v>6.7000000000000004E-2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28.3</v>
      </c>
      <c r="F11" s="23">
        <v>6.7</v>
      </c>
      <c r="G11" s="41">
        <v>125</v>
      </c>
      <c r="H11" s="23">
        <v>6.6</v>
      </c>
      <c r="I11" s="23">
        <v>0.7</v>
      </c>
      <c r="J11" s="23">
        <v>4.3</v>
      </c>
      <c r="K11" s="15">
        <v>3</v>
      </c>
      <c r="L11" s="15">
        <v>2.9</v>
      </c>
      <c r="M11" s="15"/>
      <c r="N11" s="20">
        <f t="shared" si="0"/>
        <v>3</v>
      </c>
      <c r="O11" s="37">
        <v>2.5</v>
      </c>
      <c r="P11" s="37">
        <v>2.5</v>
      </c>
      <c r="Q11" s="38">
        <f t="shared" si="1"/>
        <v>2.5</v>
      </c>
      <c r="R11" s="17">
        <v>0.78</v>
      </c>
      <c r="S11" s="17">
        <v>0.79200000000000004</v>
      </c>
      <c r="T11" s="22">
        <f t="shared" si="2"/>
        <v>0.78600000000000003</v>
      </c>
      <c r="U11" s="34">
        <v>0.66900000000000004</v>
      </c>
      <c r="V11" s="34">
        <v>0.68</v>
      </c>
      <c r="W11" s="33">
        <f t="shared" si="3"/>
        <v>0.67500000000000004</v>
      </c>
      <c r="X11" s="17">
        <v>6.4000000000000001E-2</v>
      </c>
      <c r="Y11" s="17">
        <v>6.4000000000000001E-2</v>
      </c>
      <c r="Z11" s="21">
        <f t="shared" si="4"/>
        <v>6.4000000000000001E-2</v>
      </c>
      <c r="AA11" s="19">
        <v>0.47699999999999998</v>
      </c>
      <c r="AB11" s="19">
        <v>0.46899999999999997</v>
      </c>
      <c r="AC11" s="21">
        <f t="shared" si="5"/>
        <v>0.47299999999999998</v>
      </c>
      <c r="AD11" s="19">
        <v>9.7000000000000003E-2</v>
      </c>
      <c r="AE11" s="19">
        <v>8.7999999999999995E-2</v>
      </c>
      <c r="AF11" s="21">
        <f t="shared" si="6"/>
        <v>9.2999999999999999E-2</v>
      </c>
      <c r="AG11" s="30">
        <v>6.9000000000000006E-2</v>
      </c>
      <c r="AH11" s="30">
        <v>6.9000000000000006E-2</v>
      </c>
      <c r="AI11" s="31">
        <f t="shared" si="7"/>
        <v>6.9000000000000006E-2</v>
      </c>
      <c r="AJ11" s="30">
        <v>5.1999999999999998E-2</v>
      </c>
      <c r="AK11" s="30">
        <v>5.8000000000000003E-2</v>
      </c>
      <c r="AL11" s="31">
        <f t="shared" si="8"/>
        <v>5.5E-2</v>
      </c>
      <c r="AM11" s="19">
        <v>8.1509999999999998</v>
      </c>
      <c r="AN11" s="19">
        <v>8.1969999999999992</v>
      </c>
      <c r="AO11" s="21">
        <f t="shared" si="9"/>
        <v>8.1739999999999995</v>
      </c>
      <c r="AP11" s="46">
        <v>7.6999999999999999E-2</v>
      </c>
      <c r="AQ11" s="46">
        <v>7.4700000000000003E-2</v>
      </c>
      <c r="AR11" s="45">
        <f t="shared" si="10"/>
        <v>7.5899999999999995E-2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28.1</v>
      </c>
      <c r="F12" s="23">
        <v>6.9</v>
      </c>
      <c r="G12" s="41">
        <v>173</v>
      </c>
      <c r="H12" s="23">
        <v>7</v>
      </c>
      <c r="I12" s="23">
        <v>1.2</v>
      </c>
      <c r="J12" s="23">
        <v>4.7</v>
      </c>
      <c r="K12" s="15">
        <v>3.6</v>
      </c>
      <c r="L12" s="15">
        <v>3.3</v>
      </c>
      <c r="M12" s="15"/>
      <c r="N12" s="20">
        <f t="shared" si="0"/>
        <v>3.5</v>
      </c>
      <c r="O12" s="37">
        <v>2.7</v>
      </c>
      <c r="P12" s="37">
        <v>2.6</v>
      </c>
      <c r="Q12" s="38">
        <f t="shared" si="1"/>
        <v>2.7</v>
      </c>
      <c r="R12" s="17">
        <v>1.3779999999999999</v>
      </c>
      <c r="S12" s="17">
        <v>1.363</v>
      </c>
      <c r="T12" s="22">
        <f t="shared" si="2"/>
        <v>1.371</v>
      </c>
      <c r="U12" s="34">
        <v>1.2230000000000001</v>
      </c>
      <c r="V12" s="34">
        <v>1.2110000000000001</v>
      </c>
      <c r="W12" s="33">
        <f t="shared" si="3"/>
        <v>1.2170000000000001</v>
      </c>
      <c r="X12" s="17">
        <v>0.191</v>
      </c>
      <c r="Y12" s="17">
        <v>0.19400000000000001</v>
      </c>
      <c r="Z12" s="21">
        <f t="shared" si="4"/>
        <v>0.193</v>
      </c>
      <c r="AA12" s="19">
        <v>0.85599999999999998</v>
      </c>
      <c r="AB12" s="19">
        <v>0.84799999999999998</v>
      </c>
      <c r="AC12" s="21">
        <f t="shared" si="5"/>
        <v>0.85199999999999998</v>
      </c>
      <c r="AD12" s="19">
        <v>0.17399999999999999</v>
      </c>
      <c r="AE12" s="19">
        <v>0.16500000000000001</v>
      </c>
      <c r="AF12" s="21">
        <f t="shared" si="6"/>
        <v>0.17</v>
      </c>
      <c r="AG12" s="30">
        <v>0.125</v>
      </c>
      <c r="AH12" s="30">
        <v>0.12</v>
      </c>
      <c r="AI12" s="31">
        <f t="shared" si="7"/>
        <v>0.123</v>
      </c>
      <c r="AJ12" s="30">
        <v>0.114</v>
      </c>
      <c r="AK12" s="30">
        <v>0.11600000000000001</v>
      </c>
      <c r="AL12" s="31">
        <f t="shared" si="8"/>
        <v>0.115</v>
      </c>
      <c r="AM12" s="19">
        <v>11.505000000000001</v>
      </c>
      <c r="AN12" s="19">
        <v>11.566000000000001</v>
      </c>
      <c r="AO12" s="21">
        <f t="shared" si="9"/>
        <v>11.536</v>
      </c>
      <c r="AP12" s="46">
        <v>8.4900000000000003E-2</v>
      </c>
      <c r="AQ12" s="46">
        <v>8.2799999999999999E-2</v>
      </c>
      <c r="AR12" s="45">
        <f t="shared" si="10"/>
        <v>8.3900000000000002E-2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28.1</v>
      </c>
      <c r="F13" s="23">
        <v>7</v>
      </c>
      <c r="G13" s="41">
        <v>147</v>
      </c>
      <c r="H13" s="23">
        <v>7.2</v>
      </c>
      <c r="I13" s="23">
        <v>1</v>
      </c>
      <c r="J13" s="23">
        <v>5</v>
      </c>
      <c r="K13" s="15">
        <v>3.6</v>
      </c>
      <c r="L13" s="15">
        <v>3.4</v>
      </c>
      <c r="M13" s="15"/>
      <c r="N13" s="20">
        <f t="shared" si="0"/>
        <v>3.5</v>
      </c>
      <c r="O13" s="37">
        <v>2.7</v>
      </c>
      <c r="P13" s="37">
        <v>2.6</v>
      </c>
      <c r="Q13" s="38">
        <f t="shared" si="1"/>
        <v>2.7</v>
      </c>
      <c r="R13" s="17">
        <v>1.5009999999999999</v>
      </c>
      <c r="S13" s="17">
        <v>1.494</v>
      </c>
      <c r="T13" s="22">
        <f t="shared" si="2"/>
        <v>1.498</v>
      </c>
      <c r="U13" s="34">
        <v>1.335</v>
      </c>
      <c r="V13" s="34">
        <v>1.325</v>
      </c>
      <c r="W13" s="33">
        <f t="shared" si="3"/>
        <v>1.33</v>
      </c>
      <c r="X13" s="17">
        <v>0.08</v>
      </c>
      <c r="Y13" s="17">
        <v>0.08</v>
      </c>
      <c r="Z13" s="21">
        <f t="shared" si="4"/>
        <v>0.08</v>
      </c>
      <c r="AA13" s="19">
        <v>1.0940000000000001</v>
      </c>
      <c r="AB13" s="19">
        <v>1.0840000000000001</v>
      </c>
      <c r="AC13" s="21">
        <f t="shared" si="5"/>
        <v>1.089</v>
      </c>
      <c r="AD13" s="19">
        <v>0.2</v>
      </c>
      <c r="AE13" s="19">
        <v>0.193</v>
      </c>
      <c r="AF13" s="21">
        <f t="shared" si="6"/>
        <v>0.19700000000000001</v>
      </c>
      <c r="AG13" s="30">
        <v>0.14099999999999999</v>
      </c>
      <c r="AH13" s="30">
        <v>0.151</v>
      </c>
      <c r="AI13" s="31">
        <f t="shared" si="7"/>
        <v>0.14599999999999999</v>
      </c>
      <c r="AJ13" s="30">
        <v>0.13900000000000001</v>
      </c>
      <c r="AK13" s="30">
        <v>0.14199999999999999</v>
      </c>
      <c r="AL13" s="31">
        <f t="shared" si="8"/>
        <v>0.14099999999999999</v>
      </c>
      <c r="AM13" s="19">
        <v>9.0210000000000008</v>
      </c>
      <c r="AN13" s="19">
        <v>9.0570000000000004</v>
      </c>
      <c r="AO13" s="21">
        <f t="shared" si="9"/>
        <v>9.0389999999999997</v>
      </c>
      <c r="AP13" s="46">
        <v>8.5300000000000001E-2</v>
      </c>
      <c r="AQ13" s="46">
        <v>8.3099999999999993E-2</v>
      </c>
      <c r="AR13" s="45">
        <f t="shared" si="10"/>
        <v>8.4199999999999997E-2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27.4</v>
      </c>
      <c r="F14" s="23">
        <v>7.2</v>
      </c>
      <c r="G14" s="41">
        <v>118</v>
      </c>
      <c r="H14" s="23">
        <v>8</v>
      </c>
      <c r="I14" s="23">
        <v>1</v>
      </c>
      <c r="J14" s="23">
        <v>3.6</v>
      </c>
      <c r="K14" s="15">
        <v>2.2999999999999998</v>
      </c>
      <c r="L14" s="15">
        <v>2.6</v>
      </c>
      <c r="M14" s="15"/>
      <c r="N14" s="20">
        <f t="shared" si="0"/>
        <v>2.5</v>
      </c>
      <c r="O14" s="37">
        <v>1.7</v>
      </c>
      <c r="P14" s="37">
        <v>1.6</v>
      </c>
      <c r="Q14" s="38">
        <f t="shared" si="1"/>
        <v>1.7</v>
      </c>
      <c r="R14" s="17">
        <v>0.75800000000000001</v>
      </c>
      <c r="S14" s="17">
        <v>0.753</v>
      </c>
      <c r="T14" s="22">
        <f t="shared" si="2"/>
        <v>0.75600000000000001</v>
      </c>
      <c r="U14" s="34">
        <v>0.628</v>
      </c>
      <c r="V14" s="34">
        <v>0.61699999999999999</v>
      </c>
      <c r="W14" s="33">
        <f t="shared" si="3"/>
        <v>0.623</v>
      </c>
      <c r="X14" s="17">
        <v>4.1000000000000002E-2</v>
      </c>
      <c r="Y14" s="17">
        <v>4.1000000000000002E-2</v>
      </c>
      <c r="Z14" s="21">
        <f t="shared" si="4"/>
        <v>4.1000000000000002E-2</v>
      </c>
      <c r="AA14" s="19">
        <v>0.51100000000000001</v>
      </c>
      <c r="AB14" s="19">
        <v>0.5</v>
      </c>
      <c r="AC14" s="21">
        <f t="shared" si="5"/>
        <v>0.50600000000000001</v>
      </c>
      <c r="AD14" s="19">
        <v>6.4000000000000001E-2</v>
      </c>
      <c r="AE14" s="19">
        <v>5.1999999999999998E-2</v>
      </c>
      <c r="AF14" s="21">
        <f t="shared" si="6"/>
        <v>5.8000000000000003E-2</v>
      </c>
      <c r="AG14" s="30">
        <v>2.5999999999999999E-2</v>
      </c>
      <c r="AH14" s="30">
        <v>2.1000000000000001E-2</v>
      </c>
      <c r="AI14" s="31">
        <f t="shared" si="7"/>
        <v>2.4E-2</v>
      </c>
      <c r="AJ14" s="30">
        <v>1.2999999999999999E-2</v>
      </c>
      <c r="AK14" s="30">
        <v>0.01</v>
      </c>
      <c r="AL14" s="31">
        <f t="shared" si="8"/>
        <v>1.2E-2</v>
      </c>
      <c r="AM14" s="19">
        <v>5.0069999999999997</v>
      </c>
      <c r="AN14" s="19">
        <v>5.0229999999999997</v>
      </c>
      <c r="AO14" s="21">
        <f t="shared" si="9"/>
        <v>5.0149999999999997</v>
      </c>
      <c r="AP14" s="46">
        <v>4.9099999999999998E-2</v>
      </c>
      <c r="AQ14" s="46">
        <v>4.7100000000000003E-2</v>
      </c>
      <c r="AR14" s="45">
        <f t="shared" si="10"/>
        <v>4.8099999999999997E-2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28.1</v>
      </c>
      <c r="F15" s="23">
        <v>7.6</v>
      </c>
      <c r="G15" s="41">
        <v>139</v>
      </c>
      <c r="H15" s="23">
        <v>8.9</v>
      </c>
      <c r="I15" s="23">
        <v>0.4</v>
      </c>
      <c r="J15" s="23">
        <v>3.9</v>
      </c>
      <c r="K15" s="15">
        <v>2.9</v>
      </c>
      <c r="L15" s="15">
        <v>2.8</v>
      </c>
      <c r="M15" s="15"/>
      <c r="N15" s="20">
        <f t="shared" si="0"/>
        <v>2.9</v>
      </c>
      <c r="O15" s="37">
        <v>2.5</v>
      </c>
      <c r="P15" s="37">
        <v>2.5</v>
      </c>
      <c r="Q15" s="38">
        <f t="shared" si="1"/>
        <v>2.5</v>
      </c>
      <c r="R15" s="17">
        <v>1.173</v>
      </c>
      <c r="S15" s="17">
        <v>1.167</v>
      </c>
      <c r="T15" s="22">
        <f t="shared" si="2"/>
        <v>1.17</v>
      </c>
      <c r="U15" s="34">
        <v>1.085</v>
      </c>
      <c r="V15" s="34">
        <v>1.081</v>
      </c>
      <c r="W15" s="33">
        <f t="shared" si="3"/>
        <v>1.083</v>
      </c>
      <c r="X15" s="17">
        <v>2.1000000000000001E-2</v>
      </c>
      <c r="Y15" s="17">
        <v>2.1000000000000001E-2</v>
      </c>
      <c r="Z15" s="21">
        <f t="shared" si="4"/>
        <v>2.1000000000000001E-2</v>
      </c>
      <c r="AA15" s="19">
        <v>0.9</v>
      </c>
      <c r="AB15" s="19">
        <v>0.88800000000000001</v>
      </c>
      <c r="AC15" s="21">
        <f t="shared" si="5"/>
        <v>0.89400000000000002</v>
      </c>
      <c r="AD15" s="19">
        <v>0.11600000000000001</v>
      </c>
      <c r="AE15" s="19">
        <v>0.104</v>
      </c>
      <c r="AF15" s="21">
        <f t="shared" si="6"/>
        <v>0.11</v>
      </c>
      <c r="AG15" s="30">
        <v>8.5999999999999993E-2</v>
      </c>
      <c r="AH15" s="30">
        <v>8.7999999999999995E-2</v>
      </c>
      <c r="AI15" s="31">
        <f t="shared" si="7"/>
        <v>8.6999999999999994E-2</v>
      </c>
      <c r="AJ15" s="30">
        <v>8.4000000000000005E-2</v>
      </c>
      <c r="AK15" s="30">
        <v>8.3000000000000004E-2</v>
      </c>
      <c r="AL15" s="31">
        <f t="shared" si="8"/>
        <v>8.4000000000000005E-2</v>
      </c>
      <c r="AM15" s="19">
        <v>7.6710000000000003</v>
      </c>
      <c r="AN15" s="19">
        <v>7.6970000000000001</v>
      </c>
      <c r="AO15" s="21">
        <f t="shared" si="9"/>
        <v>7.6840000000000002</v>
      </c>
      <c r="AP15" s="46">
        <v>7.9200000000000007E-2</v>
      </c>
      <c r="AQ15" s="46">
        <v>7.6200000000000004E-2</v>
      </c>
      <c r="AR15" s="45">
        <f t="shared" si="10"/>
        <v>7.7700000000000005E-2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27</v>
      </c>
      <c r="F16" s="23">
        <v>6.6</v>
      </c>
      <c r="G16" s="41">
        <v>194</v>
      </c>
      <c r="H16" s="23">
        <v>7.5</v>
      </c>
      <c r="I16" s="23">
        <v>0.7</v>
      </c>
      <c r="J16" s="23">
        <v>4.9000000000000004</v>
      </c>
      <c r="K16" s="15">
        <v>3.5</v>
      </c>
      <c r="L16" s="15">
        <v>3.3</v>
      </c>
      <c r="M16" s="15"/>
      <c r="N16" s="20">
        <f t="shared" si="0"/>
        <v>3.4</v>
      </c>
      <c r="O16" s="37">
        <v>2.7</v>
      </c>
      <c r="P16" s="37">
        <v>2.7</v>
      </c>
      <c r="Q16" s="38">
        <f t="shared" si="1"/>
        <v>2.7</v>
      </c>
      <c r="R16" s="17">
        <v>1.5009999999999999</v>
      </c>
      <c r="S16" s="17">
        <v>1.4710000000000001</v>
      </c>
      <c r="T16" s="22">
        <f t="shared" si="2"/>
        <v>1.486</v>
      </c>
      <c r="U16" s="34">
        <v>1.3440000000000001</v>
      </c>
      <c r="V16" s="34">
        <v>1.3340000000000001</v>
      </c>
      <c r="W16" s="33">
        <f t="shared" si="3"/>
        <v>1.339</v>
      </c>
      <c r="X16" s="17">
        <v>9.9000000000000005E-2</v>
      </c>
      <c r="Y16" s="17">
        <v>9.9000000000000005E-2</v>
      </c>
      <c r="Z16" s="21">
        <f t="shared" si="4"/>
        <v>9.9000000000000005E-2</v>
      </c>
      <c r="AA16" s="19">
        <v>1.0820000000000001</v>
      </c>
      <c r="AB16" s="19">
        <v>1.0680000000000001</v>
      </c>
      <c r="AC16" s="21">
        <f t="shared" si="5"/>
        <v>1.075</v>
      </c>
      <c r="AD16" s="19">
        <v>0.111</v>
      </c>
      <c r="AE16" s="19">
        <v>0.1</v>
      </c>
      <c r="AF16" s="21">
        <f t="shared" si="6"/>
        <v>0.106</v>
      </c>
      <c r="AG16" s="30">
        <v>7.0999999999999994E-2</v>
      </c>
      <c r="AH16" s="30">
        <v>6.7000000000000004E-2</v>
      </c>
      <c r="AI16" s="31">
        <f t="shared" si="7"/>
        <v>6.9000000000000006E-2</v>
      </c>
      <c r="AJ16" s="30">
        <v>0.06</v>
      </c>
      <c r="AK16" s="30">
        <v>5.8999999999999997E-2</v>
      </c>
      <c r="AL16" s="31">
        <f t="shared" si="8"/>
        <v>0.06</v>
      </c>
      <c r="AM16" s="19">
        <v>10.018000000000001</v>
      </c>
      <c r="AN16" s="19">
        <v>10.077999999999999</v>
      </c>
      <c r="AO16" s="21">
        <f t="shared" si="9"/>
        <v>10.048</v>
      </c>
      <c r="AP16" s="46">
        <v>8.9200000000000002E-2</v>
      </c>
      <c r="AQ16" s="46">
        <v>8.6699999999999999E-2</v>
      </c>
      <c r="AR16" s="45">
        <f t="shared" si="10"/>
        <v>8.7999999999999995E-2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28.9</v>
      </c>
      <c r="F17" s="23">
        <v>6.7</v>
      </c>
      <c r="G17" s="41">
        <v>146</v>
      </c>
      <c r="H17" s="23">
        <v>6.3</v>
      </c>
      <c r="I17" s="23">
        <v>0.5</v>
      </c>
      <c r="J17" s="23">
        <v>4.5999999999999996</v>
      </c>
      <c r="K17" s="15">
        <v>3.3</v>
      </c>
      <c r="L17" s="15">
        <v>3.3</v>
      </c>
      <c r="M17" s="15"/>
      <c r="N17" s="20">
        <f t="shared" si="0"/>
        <v>3.3</v>
      </c>
      <c r="O17" s="37">
        <v>2.9</v>
      </c>
      <c r="P17" s="37">
        <v>2.9</v>
      </c>
      <c r="Q17" s="38">
        <f t="shared" si="1"/>
        <v>2.9</v>
      </c>
      <c r="R17" s="17">
        <v>1.171</v>
      </c>
      <c r="S17" s="17">
        <v>1.129</v>
      </c>
      <c r="T17" s="22">
        <f t="shared" si="2"/>
        <v>1.1499999999999999</v>
      </c>
      <c r="U17" s="34">
        <v>1.0469999999999999</v>
      </c>
      <c r="V17" s="34">
        <v>1.0269999999999999</v>
      </c>
      <c r="W17" s="33">
        <f t="shared" si="3"/>
        <v>1.0369999999999999</v>
      </c>
      <c r="X17" s="17">
        <v>4.2000000000000003E-2</v>
      </c>
      <c r="Y17" s="17">
        <v>4.4999999999999998E-2</v>
      </c>
      <c r="Z17" s="21">
        <f t="shared" si="4"/>
        <v>4.3999999999999997E-2</v>
      </c>
      <c r="AA17" s="19">
        <v>0.85399999999999998</v>
      </c>
      <c r="AB17" s="19">
        <v>0.83799999999999997</v>
      </c>
      <c r="AC17" s="21">
        <f t="shared" si="5"/>
        <v>0.84599999999999997</v>
      </c>
      <c r="AD17" s="19">
        <v>0.113</v>
      </c>
      <c r="AE17" s="19">
        <v>0.10100000000000001</v>
      </c>
      <c r="AF17" s="21">
        <f t="shared" si="6"/>
        <v>0.107</v>
      </c>
      <c r="AG17" s="30">
        <v>8.2000000000000003E-2</v>
      </c>
      <c r="AH17" s="30">
        <v>8.2000000000000003E-2</v>
      </c>
      <c r="AI17" s="31">
        <f t="shared" si="7"/>
        <v>8.2000000000000003E-2</v>
      </c>
      <c r="AJ17" s="30">
        <v>7.5999999999999998E-2</v>
      </c>
      <c r="AK17" s="30">
        <v>7.6999999999999999E-2</v>
      </c>
      <c r="AL17" s="31">
        <f t="shared" si="8"/>
        <v>7.6999999999999999E-2</v>
      </c>
      <c r="AM17" s="19">
        <v>8.3059999999999992</v>
      </c>
      <c r="AN17" s="19">
        <v>8.35</v>
      </c>
      <c r="AO17" s="21">
        <f t="shared" si="9"/>
        <v>8.3279999999999994</v>
      </c>
      <c r="AP17" s="46">
        <v>9.3200000000000005E-2</v>
      </c>
      <c r="AQ17" s="46">
        <v>9.0899999999999995E-2</v>
      </c>
      <c r="AR17" s="45">
        <f t="shared" si="10"/>
        <v>9.2100000000000001E-2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26.8</v>
      </c>
      <c r="F18" s="23">
        <v>6.7</v>
      </c>
      <c r="G18" s="41">
        <v>162</v>
      </c>
      <c r="H18" s="23">
        <v>7.1</v>
      </c>
      <c r="I18" s="23">
        <v>0.7</v>
      </c>
      <c r="J18" s="23">
        <v>5.8</v>
      </c>
      <c r="K18" s="15">
        <v>4.0999999999999996</v>
      </c>
      <c r="L18" s="15">
        <v>4</v>
      </c>
      <c r="M18" s="15"/>
      <c r="N18" s="20">
        <f t="shared" si="0"/>
        <v>4.0999999999999996</v>
      </c>
      <c r="O18" s="37">
        <v>3.5</v>
      </c>
      <c r="P18" s="37">
        <v>3.4</v>
      </c>
      <c r="Q18" s="38">
        <f t="shared" si="1"/>
        <v>3.5</v>
      </c>
      <c r="R18" s="17">
        <v>1.29</v>
      </c>
      <c r="S18" s="17">
        <v>1.3149999999999999</v>
      </c>
      <c r="T18" s="22">
        <f t="shared" si="2"/>
        <v>1.3029999999999999</v>
      </c>
      <c r="U18" s="34">
        <v>1.1879999999999999</v>
      </c>
      <c r="V18" s="34">
        <v>1.198</v>
      </c>
      <c r="W18" s="33">
        <f t="shared" si="3"/>
        <v>1.1930000000000001</v>
      </c>
      <c r="X18" s="17">
        <v>4.8000000000000001E-2</v>
      </c>
      <c r="Y18" s="17">
        <v>4.8000000000000001E-2</v>
      </c>
      <c r="Z18" s="21">
        <f t="shared" si="4"/>
        <v>4.8000000000000001E-2</v>
      </c>
      <c r="AA18" s="19">
        <v>0.88600000000000001</v>
      </c>
      <c r="AB18" s="19">
        <v>0.877</v>
      </c>
      <c r="AC18" s="21">
        <f t="shared" si="5"/>
        <v>0.88200000000000001</v>
      </c>
      <c r="AD18" s="19">
        <v>9.7000000000000003E-2</v>
      </c>
      <c r="AE18" s="19">
        <v>8.5000000000000006E-2</v>
      </c>
      <c r="AF18" s="21">
        <f t="shared" si="6"/>
        <v>9.0999999999999998E-2</v>
      </c>
      <c r="AG18" s="30">
        <v>6.3E-2</v>
      </c>
      <c r="AH18" s="30">
        <v>6.3E-2</v>
      </c>
      <c r="AI18" s="31">
        <f t="shared" si="7"/>
        <v>6.3E-2</v>
      </c>
      <c r="AJ18" s="30">
        <v>0.05</v>
      </c>
      <c r="AK18" s="30">
        <v>4.9000000000000002E-2</v>
      </c>
      <c r="AL18" s="31">
        <f t="shared" si="8"/>
        <v>0.05</v>
      </c>
      <c r="AM18" s="19">
        <v>8.6890000000000001</v>
      </c>
      <c r="AN18" s="19">
        <v>8.7460000000000004</v>
      </c>
      <c r="AO18" s="21">
        <f t="shared" si="9"/>
        <v>8.718</v>
      </c>
      <c r="AP18" s="46">
        <v>0.1171</v>
      </c>
      <c r="AQ18" s="46">
        <v>0.114</v>
      </c>
      <c r="AR18" s="45">
        <f t="shared" si="10"/>
        <v>0.11559999999999999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28.6</v>
      </c>
      <c r="F19" s="23">
        <v>6.8</v>
      </c>
      <c r="G19" s="41">
        <v>150</v>
      </c>
      <c r="H19" s="23">
        <v>6.7</v>
      </c>
      <c r="I19" s="23">
        <v>0.5</v>
      </c>
      <c r="J19" s="23">
        <v>5.0999999999999996</v>
      </c>
      <c r="K19" s="15">
        <v>3.6</v>
      </c>
      <c r="L19" s="15">
        <v>3.5</v>
      </c>
      <c r="M19" s="15"/>
      <c r="N19" s="20">
        <f t="shared" si="0"/>
        <v>3.6</v>
      </c>
      <c r="O19" s="37">
        <v>3.1</v>
      </c>
      <c r="P19" s="37">
        <v>3</v>
      </c>
      <c r="Q19" s="38">
        <f t="shared" si="1"/>
        <v>3.1</v>
      </c>
      <c r="R19" s="17">
        <v>1.323</v>
      </c>
      <c r="S19" s="17">
        <v>1.278</v>
      </c>
      <c r="T19" s="22">
        <f t="shared" si="2"/>
        <v>1.3009999999999999</v>
      </c>
      <c r="U19" s="34">
        <v>1.1930000000000001</v>
      </c>
      <c r="V19" s="34">
        <v>1.198</v>
      </c>
      <c r="W19" s="33">
        <f t="shared" si="3"/>
        <v>1.196</v>
      </c>
      <c r="X19" s="17">
        <v>0.05</v>
      </c>
      <c r="Y19" s="17">
        <v>0.05</v>
      </c>
      <c r="Z19" s="21">
        <f t="shared" si="4"/>
        <v>0.05</v>
      </c>
      <c r="AA19" s="19">
        <v>0.96</v>
      </c>
      <c r="AB19" s="19">
        <v>0.95299999999999996</v>
      </c>
      <c r="AC19" s="21">
        <f t="shared" si="5"/>
        <v>0.95699999999999996</v>
      </c>
      <c r="AD19" s="19">
        <v>0.14099999999999999</v>
      </c>
      <c r="AE19" s="19">
        <v>0.126</v>
      </c>
      <c r="AF19" s="21">
        <f t="shared" si="6"/>
        <v>0.13400000000000001</v>
      </c>
      <c r="AG19" s="30">
        <v>0.109</v>
      </c>
      <c r="AH19" s="30">
        <v>0.112</v>
      </c>
      <c r="AI19" s="31">
        <f t="shared" si="7"/>
        <v>0.111</v>
      </c>
      <c r="AJ19" s="30">
        <v>0.105</v>
      </c>
      <c r="AK19" s="30">
        <v>0.108</v>
      </c>
      <c r="AL19" s="31">
        <f t="shared" si="8"/>
        <v>0.107</v>
      </c>
      <c r="AM19" s="19">
        <v>8.3979999999999997</v>
      </c>
      <c r="AN19" s="19">
        <v>8.4280000000000008</v>
      </c>
      <c r="AO19" s="21">
        <f t="shared" si="9"/>
        <v>8.4130000000000003</v>
      </c>
      <c r="AP19" s="46">
        <v>9.9699999999999997E-2</v>
      </c>
      <c r="AQ19" s="46">
        <v>9.7699999999999995E-2</v>
      </c>
      <c r="AR19" s="45">
        <f t="shared" si="10"/>
        <v>9.8699999999999996E-2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26.6</v>
      </c>
      <c r="F20" s="23">
        <v>6.8</v>
      </c>
      <c r="G20" s="41">
        <v>197</v>
      </c>
      <c r="H20" s="23">
        <v>6.6</v>
      </c>
      <c r="I20" s="23">
        <v>0.4</v>
      </c>
      <c r="J20" s="23">
        <v>4.7</v>
      </c>
      <c r="K20" s="15">
        <v>3.1</v>
      </c>
      <c r="L20" s="15">
        <v>3</v>
      </c>
      <c r="M20" s="15"/>
      <c r="N20" s="20">
        <f t="shared" si="0"/>
        <v>3.1</v>
      </c>
      <c r="O20" s="37">
        <v>2.6</v>
      </c>
      <c r="P20" s="37">
        <v>2.5</v>
      </c>
      <c r="Q20" s="38">
        <f t="shared" si="1"/>
        <v>2.6</v>
      </c>
      <c r="R20" s="17">
        <v>0.873</v>
      </c>
      <c r="S20" s="17">
        <v>0.871</v>
      </c>
      <c r="T20" s="22">
        <f t="shared" si="2"/>
        <v>0.872</v>
      </c>
      <c r="U20" s="34">
        <v>0.81299999999999994</v>
      </c>
      <c r="V20" s="34">
        <v>0.81799999999999995</v>
      </c>
      <c r="W20" s="33">
        <f t="shared" si="3"/>
        <v>0.81599999999999995</v>
      </c>
      <c r="X20" s="17">
        <v>1.4999999999999999E-2</v>
      </c>
      <c r="Y20" s="17">
        <v>1.6E-2</v>
      </c>
      <c r="Z20" s="21">
        <f t="shared" si="4"/>
        <v>1.6E-2</v>
      </c>
      <c r="AA20" s="19">
        <v>0.66900000000000004</v>
      </c>
      <c r="AB20" s="19">
        <v>0.66100000000000003</v>
      </c>
      <c r="AC20" s="21">
        <f t="shared" si="5"/>
        <v>0.66500000000000004</v>
      </c>
      <c r="AD20" s="19">
        <v>4.2000000000000003E-2</v>
      </c>
      <c r="AE20" s="19">
        <v>0.03</v>
      </c>
      <c r="AF20" s="21">
        <f t="shared" si="6"/>
        <v>3.5999999999999997E-2</v>
      </c>
      <c r="AG20" s="30">
        <v>2.1000000000000001E-2</v>
      </c>
      <c r="AH20" s="30">
        <v>1.9E-2</v>
      </c>
      <c r="AI20" s="31">
        <f t="shared" si="7"/>
        <v>0.02</v>
      </c>
      <c r="AJ20" s="30">
        <v>0.01</v>
      </c>
      <c r="AK20" s="30">
        <v>7.0000000000000001E-3</v>
      </c>
      <c r="AL20" s="31">
        <f t="shared" si="8"/>
        <v>8.9999999999999993E-3</v>
      </c>
      <c r="AM20" s="19">
        <v>5.3150000000000004</v>
      </c>
      <c r="AN20" s="19">
        <v>5.3410000000000002</v>
      </c>
      <c r="AO20" s="21">
        <f t="shared" si="9"/>
        <v>5.3280000000000003</v>
      </c>
      <c r="AP20" s="46">
        <v>7.6999999999999999E-2</v>
      </c>
      <c r="AQ20" s="46">
        <v>7.51E-2</v>
      </c>
      <c r="AR20" s="45">
        <f t="shared" si="10"/>
        <v>7.6100000000000001E-2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28.2</v>
      </c>
      <c r="F21" s="23">
        <v>7</v>
      </c>
      <c r="G21" s="41">
        <v>152</v>
      </c>
      <c r="H21" s="23">
        <v>8.3000000000000007</v>
      </c>
      <c r="I21" s="23">
        <v>0.7</v>
      </c>
      <c r="J21" s="23">
        <v>5.7</v>
      </c>
      <c r="K21" s="15">
        <v>4</v>
      </c>
      <c r="L21" s="15">
        <v>4</v>
      </c>
      <c r="M21" s="15"/>
      <c r="N21" s="20">
        <f t="shared" si="0"/>
        <v>4</v>
      </c>
      <c r="O21" s="37">
        <v>3.5</v>
      </c>
      <c r="P21" s="37">
        <v>3.4</v>
      </c>
      <c r="Q21" s="38">
        <f t="shared" si="1"/>
        <v>3.5</v>
      </c>
      <c r="R21" s="17">
        <v>1.403</v>
      </c>
      <c r="S21" s="17">
        <v>1.399</v>
      </c>
      <c r="T21" s="22">
        <f t="shared" si="2"/>
        <v>1.401</v>
      </c>
      <c r="U21" s="34">
        <v>1.278</v>
      </c>
      <c r="V21" s="34">
        <v>1.2669999999999999</v>
      </c>
      <c r="W21" s="33">
        <f t="shared" si="3"/>
        <v>1.2729999999999999</v>
      </c>
      <c r="X21" s="17">
        <v>4.5999999999999999E-2</v>
      </c>
      <c r="Y21" s="17">
        <v>4.7E-2</v>
      </c>
      <c r="Z21" s="21">
        <f t="shared" si="4"/>
        <v>4.7E-2</v>
      </c>
      <c r="AA21" s="19">
        <v>0.997</v>
      </c>
      <c r="AB21" s="19">
        <v>0.99</v>
      </c>
      <c r="AC21" s="21">
        <f t="shared" si="5"/>
        <v>0.99399999999999999</v>
      </c>
      <c r="AD21" s="19">
        <v>0.115</v>
      </c>
      <c r="AE21" s="19">
        <v>0.10199999999999999</v>
      </c>
      <c r="AF21" s="21">
        <f t="shared" si="6"/>
        <v>0.109</v>
      </c>
      <c r="AG21" s="30">
        <v>0.08</v>
      </c>
      <c r="AH21" s="30">
        <v>0.08</v>
      </c>
      <c r="AI21" s="31">
        <f t="shared" si="7"/>
        <v>0.08</v>
      </c>
      <c r="AJ21" s="30">
        <v>6.9000000000000006E-2</v>
      </c>
      <c r="AK21" s="30">
        <v>7.1999999999999995E-2</v>
      </c>
      <c r="AL21" s="31">
        <f t="shared" si="8"/>
        <v>7.0999999999999994E-2</v>
      </c>
      <c r="AM21" s="19">
        <v>7.4139999999999997</v>
      </c>
      <c r="AN21" s="19">
        <v>7.4329999999999998</v>
      </c>
      <c r="AO21" s="21">
        <f t="shared" si="9"/>
        <v>7.4240000000000004</v>
      </c>
      <c r="AP21" s="46">
        <v>0.114</v>
      </c>
      <c r="AQ21" s="46">
        <v>0.1116</v>
      </c>
      <c r="AR21" s="45">
        <f t="shared" si="10"/>
        <v>0.1128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28.5</v>
      </c>
      <c r="F22" s="23">
        <v>7</v>
      </c>
      <c r="G22" s="41">
        <v>231</v>
      </c>
      <c r="H22" s="23">
        <v>7.4</v>
      </c>
      <c r="I22" s="23">
        <v>0.7</v>
      </c>
      <c r="J22" s="23">
        <v>4.8</v>
      </c>
      <c r="K22" s="15">
        <v>3.6</v>
      </c>
      <c r="L22" s="15">
        <v>3.3</v>
      </c>
      <c r="M22" s="15"/>
      <c r="N22" s="20">
        <f t="shared" si="0"/>
        <v>3.5</v>
      </c>
      <c r="O22" s="37">
        <v>2.9</v>
      </c>
      <c r="P22" s="37">
        <v>2.9</v>
      </c>
      <c r="Q22" s="38">
        <f t="shared" si="1"/>
        <v>2.9</v>
      </c>
      <c r="R22" s="17">
        <v>1.42</v>
      </c>
      <c r="S22" s="17">
        <v>1.413</v>
      </c>
      <c r="T22" s="22">
        <f t="shared" si="2"/>
        <v>1.417</v>
      </c>
      <c r="U22" s="34">
        <v>1.2629999999999999</v>
      </c>
      <c r="V22" s="34">
        <v>1.2509999999999999</v>
      </c>
      <c r="W22" s="33">
        <f t="shared" si="3"/>
        <v>1.2569999999999999</v>
      </c>
      <c r="X22" s="17">
        <v>6.7000000000000004E-2</v>
      </c>
      <c r="Y22" s="17">
        <v>6.7000000000000004E-2</v>
      </c>
      <c r="Z22" s="21">
        <f t="shared" si="4"/>
        <v>6.7000000000000004E-2</v>
      </c>
      <c r="AA22" s="19">
        <v>1.0269999999999999</v>
      </c>
      <c r="AB22" s="19">
        <v>1.02</v>
      </c>
      <c r="AC22" s="21">
        <f t="shared" si="5"/>
        <v>1.024</v>
      </c>
      <c r="AD22" s="19">
        <v>0.12</v>
      </c>
      <c r="AE22" s="19">
        <v>0.108</v>
      </c>
      <c r="AF22" s="21">
        <f t="shared" si="6"/>
        <v>0.114</v>
      </c>
      <c r="AG22" s="30">
        <v>8.4000000000000005E-2</v>
      </c>
      <c r="AH22" s="30">
        <v>0.08</v>
      </c>
      <c r="AI22" s="31">
        <f t="shared" si="7"/>
        <v>8.2000000000000003E-2</v>
      </c>
      <c r="AJ22" s="30">
        <v>7.4999999999999997E-2</v>
      </c>
      <c r="AK22" s="30">
        <v>7.8E-2</v>
      </c>
      <c r="AL22" s="31">
        <f t="shared" si="8"/>
        <v>7.6999999999999999E-2</v>
      </c>
      <c r="AM22" s="19">
        <v>10.234</v>
      </c>
      <c r="AN22" s="19">
        <v>10.227</v>
      </c>
      <c r="AO22" s="21">
        <f t="shared" si="9"/>
        <v>10.231</v>
      </c>
      <c r="AP22" s="46">
        <v>9.5000000000000001E-2</v>
      </c>
      <c r="AQ22" s="46">
        <v>9.2700000000000005E-2</v>
      </c>
      <c r="AR22" s="45">
        <f t="shared" si="10"/>
        <v>9.3899999999999997E-2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28.7</v>
      </c>
      <c r="F23" s="23">
        <v>7</v>
      </c>
      <c r="G23" s="41">
        <v>204</v>
      </c>
      <c r="H23" s="23">
        <v>7.1</v>
      </c>
      <c r="I23" s="23">
        <v>0.9</v>
      </c>
      <c r="J23" s="23">
        <v>5.6</v>
      </c>
      <c r="K23" s="15">
        <v>4.0999999999999996</v>
      </c>
      <c r="L23" s="15">
        <v>4</v>
      </c>
      <c r="M23" s="15"/>
      <c r="N23" s="20">
        <f t="shared" si="0"/>
        <v>4.0999999999999996</v>
      </c>
      <c r="O23" s="37">
        <v>3.4</v>
      </c>
      <c r="P23" s="37">
        <v>3.5</v>
      </c>
      <c r="Q23" s="38">
        <f t="shared" si="1"/>
        <v>3.5</v>
      </c>
      <c r="R23" s="17">
        <v>1.9650000000000001</v>
      </c>
      <c r="S23" s="17">
        <v>1.92</v>
      </c>
      <c r="T23" s="22">
        <f t="shared" si="2"/>
        <v>1.9430000000000001</v>
      </c>
      <c r="U23" s="34">
        <v>1.7949999999999999</v>
      </c>
      <c r="V23" s="34">
        <v>1.8029999999999999</v>
      </c>
      <c r="W23" s="33">
        <f t="shared" si="3"/>
        <v>1.7989999999999999</v>
      </c>
      <c r="X23" s="17">
        <v>0.16800000000000001</v>
      </c>
      <c r="Y23" s="17">
        <v>0.16600000000000001</v>
      </c>
      <c r="Z23" s="21">
        <f t="shared" si="4"/>
        <v>0.16700000000000001</v>
      </c>
      <c r="AA23" s="19">
        <v>1.365</v>
      </c>
      <c r="AB23" s="19">
        <v>1.3640000000000001</v>
      </c>
      <c r="AC23" s="21">
        <f t="shared" si="5"/>
        <v>1.365</v>
      </c>
      <c r="AD23" s="19">
        <v>0.16900000000000001</v>
      </c>
      <c r="AE23" s="19">
        <v>0.14899999999999999</v>
      </c>
      <c r="AF23" s="21">
        <f t="shared" si="6"/>
        <v>0.159</v>
      </c>
      <c r="AG23" s="30">
        <v>0.11899999999999999</v>
      </c>
      <c r="AH23" s="30">
        <v>0.125</v>
      </c>
      <c r="AI23" s="31">
        <f t="shared" si="7"/>
        <v>0.122</v>
      </c>
      <c r="AJ23" s="30">
        <v>0.111</v>
      </c>
      <c r="AK23" s="30">
        <v>0.11899999999999999</v>
      </c>
      <c r="AL23" s="31">
        <f t="shared" si="8"/>
        <v>0.115</v>
      </c>
      <c r="AM23" s="19">
        <v>11.401999999999999</v>
      </c>
      <c r="AN23" s="19">
        <v>11.378</v>
      </c>
      <c r="AO23" s="21">
        <f t="shared" si="9"/>
        <v>11.39</v>
      </c>
      <c r="AP23" s="46">
        <v>0.108</v>
      </c>
      <c r="AQ23" s="46">
        <v>0.10539999999999999</v>
      </c>
      <c r="AR23" s="45">
        <f t="shared" si="10"/>
        <v>0.1067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26.6</v>
      </c>
      <c r="F24" s="23">
        <v>6.9</v>
      </c>
      <c r="G24" s="41">
        <v>239</v>
      </c>
      <c r="H24" s="23">
        <v>7</v>
      </c>
      <c r="I24" s="23">
        <v>0.3</v>
      </c>
      <c r="J24" s="23">
        <v>3.5</v>
      </c>
      <c r="K24" s="15">
        <v>2.4</v>
      </c>
      <c r="L24" s="15">
        <v>2.2999999999999998</v>
      </c>
      <c r="M24" s="15"/>
      <c r="N24" s="20">
        <f t="shared" si="0"/>
        <v>2.4</v>
      </c>
      <c r="O24" s="37">
        <v>2</v>
      </c>
      <c r="P24" s="37">
        <v>2</v>
      </c>
      <c r="Q24" s="38">
        <f t="shared" si="1"/>
        <v>2</v>
      </c>
      <c r="R24" s="17">
        <v>1.163</v>
      </c>
      <c r="S24" s="17">
        <v>1.1140000000000001</v>
      </c>
      <c r="T24" s="22">
        <f t="shared" si="2"/>
        <v>1.139</v>
      </c>
      <c r="U24" s="34">
        <v>1.0820000000000001</v>
      </c>
      <c r="V24" s="34">
        <v>1.0629999999999999</v>
      </c>
      <c r="W24" s="33">
        <f t="shared" si="3"/>
        <v>1.073</v>
      </c>
      <c r="X24" s="17">
        <v>1.6E-2</v>
      </c>
      <c r="Y24" s="17">
        <v>1.4999999999999999E-2</v>
      </c>
      <c r="Z24" s="21">
        <f t="shared" si="4"/>
        <v>1.6E-2</v>
      </c>
      <c r="AA24" s="19">
        <v>0.90300000000000002</v>
      </c>
      <c r="AB24" s="19">
        <v>0.89900000000000002</v>
      </c>
      <c r="AC24" s="21">
        <f t="shared" si="5"/>
        <v>0.90100000000000002</v>
      </c>
      <c r="AD24" s="19">
        <v>4.8000000000000001E-2</v>
      </c>
      <c r="AE24" s="19">
        <v>3.6999999999999998E-2</v>
      </c>
      <c r="AF24" s="21">
        <f t="shared" si="6"/>
        <v>4.2999999999999997E-2</v>
      </c>
      <c r="AG24" s="30">
        <v>3.3000000000000002E-2</v>
      </c>
      <c r="AH24" s="30">
        <v>3.5999999999999997E-2</v>
      </c>
      <c r="AI24" s="31">
        <f t="shared" si="7"/>
        <v>3.5000000000000003E-2</v>
      </c>
      <c r="AJ24" s="30">
        <v>2.3E-2</v>
      </c>
      <c r="AK24" s="30">
        <v>2.1000000000000001E-2</v>
      </c>
      <c r="AL24" s="31">
        <f t="shared" si="8"/>
        <v>2.1999999999999999E-2</v>
      </c>
      <c r="AM24" s="19">
        <v>21.538</v>
      </c>
      <c r="AN24" s="19">
        <v>21.456</v>
      </c>
      <c r="AO24" s="21">
        <f t="shared" si="9"/>
        <v>21.497</v>
      </c>
      <c r="AP24" s="46">
        <v>5.6399999999999999E-2</v>
      </c>
      <c r="AQ24" s="46">
        <v>5.5100000000000003E-2</v>
      </c>
      <c r="AR24" s="45">
        <f t="shared" si="10"/>
        <v>5.5800000000000002E-2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28.7</v>
      </c>
      <c r="F25" s="23">
        <v>7</v>
      </c>
      <c r="G25" s="41">
        <v>187</v>
      </c>
      <c r="H25" s="23">
        <v>7.9</v>
      </c>
      <c r="I25" s="23">
        <v>0.8</v>
      </c>
      <c r="J25" s="23">
        <v>5.8</v>
      </c>
      <c r="K25" s="15">
        <v>4.0999999999999996</v>
      </c>
      <c r="L25" s="15">
        <v>3.9</v>
      </c>
      <c r="M25" s="15"/>
      <c r="N25" s="20">
        <f t="shared" si="0"/>
        <v>4</v>
      </c>
      <c r="O25" s="37">
        <v>3.6</v>
      </c>
      <c r="P25" s="37">
        <v>3.5</v>
      </c>
      <c r="Q25" s="38">
        <f t="shared" si="1"/>
        <v>3.6</v>
      </c>
      <c r="R25" s="17">
        <v>2.1030000000000002</v>
      </c>
      <c r="S25" s="17">
        <v>2.073</v>
      </c>
      <c r="T25" s="22">
        <f t="shared" si="2"/>
        <v>2.0880000000000001</v>
      </c>
      <c r="U25" s="34">
        <v>1.9670000000000001</v>
      </c>
      <c r="V25" s="34">
        <v>1.954</v>
      </c>
      <c r="W25" s="33">
        <f t="shared" si="3"/>
        <v>1.9610000000000001</v>
      </c>
      <c r="X25" s="17">
        <v>0.114</v>
      </c>
      <c r="Y25" s="17">
        <v>0.113</v>
      </c>
      <c r="Z25" s="21">
        <f t="shared" si="4"/>
        <v>0.114</v>
      </c>
      <c r="AA25" s="19">
        <v>1.587</v>
      </c>
      <c r="AB25" s="19">
        <v>1.595</v>
      </c>
      <c r="AC25" s="21">
        <f t="shared" si="5"/>
        <v>1.591</v>
      </c>
      <c r="AD25" s="19">
        <v>0.16900000000000001</v>
      </c>
      <c r="AE25" s="19">
        <v>0.158</v>
      </c>
      <c r="AF25" s="21">
        <f t="shared" si="6"/>
        <v>0.16400000000000001</v>
      </c>
      <c r="AG25" s="30">
        <v>0.13700000000000001</v>
      </c>
      <c r="AH25" s="30">
        <v>0.13900000000000001</v>
      </c>
      <c r="AI25" s="31">
        <f t="shared" si="7"/>
        <v>0.13800000000000001</v>
      </c>
      <c r="AJ25" s="30">
        <v>0.126</v>
      </c>
      <c r="AK25" s="30">
        <v>0.128</v>
      </c>
      <c r="AL25" s="31">
        <f t="shared" si="8"/>
        <v>0.127</v>
      </c>
      <c r="AM25" s="19">
        <v>10.387</v>
      </c>
      <c r="AN25" s="19">
        <v>10.324</v>
      </c>
      <c r="AO25" s="21">
        <f t="shared" si="9"/>
        <v>10.356</v>
      </c>
      <c r="AP25" s="46">
        <v>0.1135</v>
      </c>
      <c r="AQ25" s="46">
        <v>0.1108</v>
      </c>
      <c r="AR25" s="45">
        <f t="shared" si="10"/>
        <v>0.11219999999999999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27.8</v>
      </c>
      <c r="F26" s="23">
        <v>7.1</v>
      </c>
      <c r="G26" s="41">
        <v>182</v>
      </c>
      <c r="H26" s="23">
        <v>7.3</v>
      </c>
      <c r="I26" s="23">
        <v>0.6</v>
      </c>
      <c r="J26" s="23">
        <v>5.6</v>
      </c>
      <c r="K26" s="15">
        <v>3.9</v>
      </c>
      <c r="L26" s="15">
        <v>3.9</v>
      </c>
      <c r="M26" s="15"/>
      <c r="N26" s="20">
        <f t="shared" si="0"/>
        <v>3.9</v>
      </c>
      <c r="O26" s="37">
        <v>3.9</v>
      </c>
      <c r="P26" s="37">
        <v>3.8</v>
      </c>
      <c r="Q26" s="38">
        <f t="shared" si="1"/>
        <v>3.9</v>
      </c>
      <c r="R26" s="17">
        <v>1.5640000000000001</v>
      </c>
      <c r="S26" s="17">
        <v>1.5089999999999999</v>
      </c>
      <c r="T26" s="22">
        <f t="shared" si="2"/>
        <v>1.5369999999999999</v>
      </c>
      <c r="U26" s="34">
        <v>1.423</v>
      </c>
      <c r="V26" s="34">
        <v>1.429</v>
      </c>
      <c r="W26" s="33">
        <f t="shared" si="3"/>
        <v>1.4259999999999999</v>
      </c>
      <c r="X26" s="17">
        <v>4.8000000000000001E-2</v>
      </c>
      <c r="Y26" s="17">
        <v>4.4999999999999998E-2</v>
      </c>
      <c r="Z26" s="21">
        <f t="shared" si="4"/>
        <v>4.7E-2</v>
      </c>
      <c r="AA26" s="19">
        <v>1.111</v>
      </c>
      <c r="AB26" s="19">
        <v>1.1140000000000001</v>
      </c>
      <c r="AC26" s="21">
        <f t="shared" si="5"/>
        <v>1.113</v>
      </c>
      <c r="AD26" s="19">
        <v>0.11700000000000001</v>
      </c>
      <c r="AE26" s="19">
        <v>0.114</v>
      </c>
      <c r="AF26" s="21">
        <f t="shared" si="6"/>
        <v>0.11600000000000001</v>
      </c>
      <c r="AG26" s="30">
        <v>9.6000000000000002E-2</v>
      </c>
      <c r="AH26" s="30">
        <v>8.6999999999999994E-2</v>
      </c>
      <c r="AI26" s="31">
        <f t="shared" si="7"/>
        <v>9.1999999999999998E-2</v>
      </c>
      <c r="AJ26" s="30">
        <v>7.8E-2</v>
      </c>
      <c r="AK26" s="30">
        <v>7.6999999999999999E-2</v>
      </c>
      <c r="AL26" s="31">
        <f t="shared" si="8"/>
        <v>7.8E-2</v>
      </c>
      <c r="AM26" s="19">
        <v>8.9039999999999999</v>
      </c>
      <c r="AN26" s="19">
        <v>8.8520000000000003</v>
      </c>
      <c r="AO26" s="21">
        <f t="shared" si="9"/>
        <v>8.8780000000000001</v>
      </c>
      <c r="AP26" s="46">
        <v>0.113</v>
      </c>
      <c r="AQ26" s="46">
        <v>0.1109</v>
      </c>
      <c r="AR26" s="45">
        <f t="shared" si="10"/>
        <v>0.112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28.3</v>
      </c>
      <c r="F27" s="23">
        <v>7</v>
      </c>
      <c r="G27" s="41">
        <v>187</v>
      </c>
      <c r="H27" s="23">
        <v>7.7</v>
      </c>
      <c r="I27" s="23">
        <v>1.1000000000000001</v>
      </c>
      <c r="J27" s="23">
        <v>5.7</v>
      </c>
      <c r="K27" s="15">
        <v>4</v>
      </c>
      <c r="L27" s="15">
        <v>4</v>
      </c>
      <c r="M27" s="15"/>
      <c r="N27" s="20">
        <f t="shared" si="0"/>
        <v>4</v>
      </c>
      <c r="O27" s="37">
        <v>3.9</v>
      </c>
      <c r="P27" s="37">
        <v>3.7</v>
      </c>
      <c r="Q27" s="38">
        <f t="shared" si="1"/>
        <v>3.8</v>
      </c>
      <c r="R27" s="17">
        <v>1.865</v>
      </c>
      <c r="S27" s="17">
        <v>1.84</v>
      </c>
      <c r="T27" s="22">
        <f t="shared" si="2"/>
        <v>1.853</v>
      </c>
      <c r="U27" s="34">
        <v>1.766</v>
      </c>
      <c r="V27" s="34">
        <v>1.788</v>
      </c>
      <c r="W27" s="33">
        <f t="shared" si="3"/>
        <v>1.7769999999999999</v>
      </c>
      <c r="X27" s="17">
        <v>6.2E-2</v>
      </c>
      <c r="Y27" s="17">
        <v>0.06</v>
      </c>
      <c r="Z27" s="21">
        <f t="shared" si="4"/>
        <v>6.0999999999999999E-2</v>
      </c>
      <c r="AA27" s="19">
        <v>1.4530000000000001</v>
      </c>
      <c r="AB27" s="19">
        <v>1.4590000000000001</v>
      </c>
      <c r="AC27" s="21">
        <f t="shared" si="5"/>
        <v>1.456</v>
      </c>
      <c r="AD27" s="19">
        <v>0.15</v>
      </c>
      <c r="AE27" s="19">
        <v>0.13300000000000001</v>
      </c>
      <c r="AF27" s="21">
        <f t="shared" si="6"/>
        <v>0.14199999999999999</v>
      </c>
      <c r="AG27" s="30">
        <v>0.114</v>
      </c>
      <c r="AH27" s="30">
        <v>0.11600000000000001</v>
      </c>
      <c r="AI27" s="31">
        <f t="shared" si="7"/>
        <v>0.115</v>
      </c>
      <c r="AJ27" s="30">
        <v>0.111</v>
      </c>
      <c r="AK27" s="30">
        <v>0.111</v>
      </c>
      <c r="AL27" s="31">
        <f t="shared" si="8"/>
        <v>0.111</v>
      </c>
      <c r="AM27" s="19">
        <v>9.8940000000000001</v>
      </c>
      <c r="AN27" s="19">
        <v>9.8209999999999997</v>
      </c>
      <c r="AO27" s="21">
        <f t="shared" si="9"/>
        <v>9.8580000000000005</v>
      </c>
      <c r="AP27" s="46">
        <v>0.112</v>
      </c>
      <c r="AQ27" s="46">
        <v>0.10929999999999999</v>
      </c>
      <c r="AR27" s="45">
        <f t="shared" si="10"/>
        <v>0.11070000000000001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26.6</v>
      </c>
      <c r="F28" s="23">
        <v>7.3</v>
      </c>
      <c r="G28" s="41">
        <v>185</v>
      </c>
      <c r="H28" s="23">
        <v>7</v>
      </c>
      <c r="I28" s="23">
        <v>0.8</v>
      </c>
      <c r="J28" s="23">
        <v>5.4</v>
      </c>
      <c r="K28" s="15">
        <v>3.9</v>
      </c>
      <c r="L28" s="15">
        <v>3.8</v>
      </c>
      <c r="M28" s="15"/>
      <c r="N28" s="20">
        <f t="shared" si="0"/>
        <v>3.9</v>
      </c>
      <c r="O28" s="37">
        <v>3.6</v>
      </c>
      <c r="P28" s="37">
        <v>3.5</v>
      </c>
      <c r="Q28" s="38">
        <f t="shared" si="1"/>
        <v>3.6</v>
      </c>
      <c r="R28" s="17">
        <v>1.0009999999999999</v>
      </c>
      <c r="S28" s="17">
        <v>0.97599999999999998</v>
      </c>
      <c r="T28" s="22">
        <f t="shared" si="2"/>
        <v>0.98899999999999999</v>
      </c>
      <c r="U28" s="34">
        <v>0.94299999999999995</v>
      </c>
      <c r="V28" s="34">
        <v>0.95</v>
      </c>
      <c r="W28" s="33">
        <f t="shared" si="3"/>
        <v>0.94699999999999995</v>
      </c>
      <c r="X28" s="17">
        <v>0.03</v>
      </c>
      <c r="Y28" s="17">
        <v>0.03</v>
      </c>
      <c r="Z28" s="21">
        <f t="shared" si="4"/>
        <v>0.03</v>
      </c>
      <c r="AA28" s="19">
        <v>0.64600000000000002</v>
      </c>
      <c r="AB28" s="19">
        <v>0.65</v>
      </c>
      <c r="AC28" s="21">
        <f t="shared" si="5"/>
        <v>0.64800000000000002</v>
      </c>
      <c r="AD28" s="19">
        <v>0.104</v>
      </c>
      <c r="AE28" s="19">
        <v>9.4E-2</v>
      </c>
      <c r="AF28" s="21">
        <f t="shared" si="6"/>
        <v>9.9000000000000005E-2</v>
      </c>
      <c r="AG28" s="30">
        <v>7.9000000000000001E-2</v>
      </c>
      <c r="AH28" s="30">
        <v>7.9000000000000001E-2</v>
      </c>
      <c r="AI28" s="31">
        <f t="shared" si="7"/>
        <v>7.9000000000000001E-2</v>
      </c>
      <c r="AJ28" s="30">
        <v>7.1999999999999995E-2</v>
      </c>
      <c r="AK28" s="30">
        <v>7.0999999999999994E-2</v>
      </c>
      <c r="AL28" s="31">
        <f t="shared" si="8"/>
        <v>7.1999999999999995E-2</v>
      </c>
      <c r="AM28" s="19">
        <v>9.5370000000000008</v>
      </c>
      <c r="AN28" s="19">
        <v>9.4789999999999992</v>
      </c>
      <c r="AO28" s="21">
        <f t="shared" si="9"/>
        <v>9.5079999999999991</v>
      </c>
      <c r="AP28" s="46">
        <v>0.1077</v>
      </c>
      <c r="AQ28" s="46">
        <v>0.1053</v>
      </c>
      <c r="AR28" s="45">
        <f t="shared" si="10"/>
        <v>0.1065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28.9</v>
      </c>
      <c r="F29" s="23">
        <v>6.9</v>
      </c>
      <c r="G29" s="41">
        <v>199</v>
      </c>
      <c r="H29" s="23">
        <v>8.1</v>
      </c>
      <c r="I29" s="23">
        <v>1</v>
      </c>
      <c r="J29" s="23">
        <v>5.6</v>
      </c>
      <c r="K29" s="15">
        <v>3.9</v>
      </c>
      <c r="L29" s="15">
        <v>3.9</v>
      </c>
      <c r="M29" s="15"/>
      <c r="N29" s="20">
        <f t="shared" si="0"/>
        <v>3.9</v>
      </c>
      <c r="O29" s="37">
        <v>3.6</v>
      </c>
      <c r="P29" s="37">
        <v>3.5</v>
      </c>
      <c r="Q29" s="38">
        <f t="shared" si="1"/>
        <v>3.6</v>
      </c>
      <c r="R29" s="17">
        <v>2.097</v>
      </c>
      <c r="S29" s="17">
        <v>2.0760000000000001</v>
      </c>
      <c r="T29" s="22">
        <f t="shared" si="2"/>
        <v>2.0870000000000002</v>
      </c>
      <c r="U29" s="34">
        <v>2.0059999999999998</v>
      </c>
      <c r="V29" s="34">
        <v>2.0190000000000001</v>
      </c>
      <c r="W29" s="33">
        <f t="shared" si="3"/>
        <v>2.0129999999999999</v>
      </c>
      <c r="X29" s="17">
        <v>3.9E-2</v>
      </c>
      <c r="Y29" s="17">
        <v>4.1000000000000002E-2</v>
      </c>
      <c r="Z29" s="21">
        <f t="shared" si="4"/>
        <v>0.04</v>
      </c>
      <c r="AA29" s="19">
        <v>1.7030000000000001</v>
      </c>
      <c r="AB29" s="19">
        <v>1.7070000000000001</v>
      </c>
      <c r="AC29" s="21">
        <f t="shared" si="5"/>
        <v>1.7050000000000001</v>
      </c>
      <c r="AD29" s="19">
        <v>0.153</v>
      </c>
      <c r="AE29" s="19">
        <v>0.14899999999999999</v>
      </c>
      <c r="AF29" s="21">
        <f t="shared" si="6"/>
        <v>0.151</v>
      </c>
      <c r="AG29" s="30">
        <v>0.11899999999999999</v>
      </c>
      <c r="AH29" s="30">
        <v>0.11700000000000001</v>
      </c>
      <c r="AI29" s="31">
        <f t="shared" si="7"/>
        <v>0.11799999999999999</v>
      </c>
      <c r="AJ29" s="30">
        <v>0.114</v>
      </c>
      <c r="AK29" s="30">
        <v>0.114</v>
      </c>
      <c r="AL29" s="31">
        <f t="shared" si="8"/>
        <v>0.114</v>
      </c>
      <c r="AM29" s="19">
        <v>10.654999999999999</v>
      </c>
      <c r="AN29" s="19">
        <v>10.589</v>
      </c>
      <c r="AO29" s="21">
        <f t="shared" si="9"/>
        <v>10.622</v>
      </c>
      <c r="AP29" s="46">
        <v>0.1084</v>
      </c>
      <c r="AQ29" s="46">
        <v>0.1051</v>
      </c>
      <c r="AR29" s="45">
        <f t="shared" si="10"/>
        <v>0.10680000000000001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26.5</v>
      </c>
      <c r="F30" s="23">
        <v>6.8</v>
      </c>
      <c r="G30" s="41">
        <v>240</v>
      </c>
      <c r="H30" s="23">
        <v>7.1</v>
      </c>
      <c r="I30" s="23">
        <v>0.9</v>
      </c>
      <c r="J30" s="23">
        <v>4.9000000000000004</v>
      </c>
      <c r="K30" s="15">
        <v>3.1</v>
      </c>
      <c r="L30" s="15">
        <v>3.1</v>
      </c>
      <c r="M30" s="15"/>
      <c r="N30" s="20">
        <f t="shared" si="0"/>
        <v>3.1</v>
      </c>
      <c r="O30" s="37">
        <v>3</v>
      </c>
      <c r="P30" s="37">
        <v>2.9</v>
      </c>
      <c r="Q30" s="38">
        <f t="shared" si="1"/>
        <v>3</v>
      </c>
      <c r="R30" s="17">
        <v>1.6140000000000001</v>
      </c>
      <c r="S30" s="17">
        <v>1.5940000000000001</v>
      </c>
      <c r="T30" s="22">
        <f t="shared" si="2"/>
        <v>1.6040000000000001</v>
      </c>
      <c r="U30" s="34">
        <v>1.522</v>
      </c>
      <c r="V30" s="34">
        <v>1.5</v>
      </c>
      <c r="W30" s="33">
        <f t="shared" si="3"/>
        <v>1.5109999999999999</v>
      </c>
      <c r="X30" s="17">
        <v>3.7999999999999999E-2</v>
      </c>
      <c r="Y30" s="17">
        <v>3.7999999999999999E-2</v>
      </c>
      <c r="Z30" s="21">
        <f t="shared" si="4"/>
        <v>3.7999999999999999E-2</v>
      </c>
      <c r="AA30" s="19">
        <v>1.274</v>
      </c>
      <c r="AB30" s="19">
        <v>1.29</v>
      </c>
      <c r="AC30" s="21">
        <f t="shared" si="5"/>
        <v>1.282</v>
      </c>
      <c r="AD30" s="19">
        <v>7.4999999999999997E-2</v>
      </c>
      <c r="AE30" s="19">
        <v>6.7000000000000004E-2</v>
      </c>
      <c r="AF30" s="21">
        <f t="shared" si="6"/>
        <v>7.0999999999999994E-2</v>
      </c>
      <c r="AG30" s="30">
        <v>5.2999999999999999E-2</v>
      </c>
      <c r="AH30" s="30">
        <v>0.05</v>
      </c>
      <c r="AI30" s="31">
        <f t="shared" si="7"/>
        <v>5.1999999999999998E-2</v>
      </c>
      <c r="AJ30" s="30">
        <v>4.2000000000000003E-2</v>
      </c>
      <c r="AK30" s="30">
        <v>0.04</v>
      </c>
      <c r="AL30" s="31">
        <f t="shared" si="8"/>
        <v>4.1000000000000002E-2</v>
      </c>
      <c r="AM30" s="19">
        <v>12.965</v>
      </c>
      <c r="AN30" s="19">
        <v>12.848000000000001</v>
      </c>
      <c r="AO30" s="21">
        <f t="shared" si="9"/>
        <v>12.907</v>
      </c>
      <c r="AP30" s="46">
        <v>8.4099999999999994E-2</v>
      </c>
      <c r="AQ30" s="46">
        <v>8.0799999999999997E-2</v>
      </c>
      <c r="AR30" s="45">
        <f t="shared" si="10"/>
        <v>8.2500000000000004E-2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28.9</v>
      </c>
      <c r="F31" s="23">
        <v>6.5</v>
      </c>
      <c r="G31" s="41">
        <v>179</v>
      </c>
      <c r="H31" s="23">
        <v>6.9</v>
      </c>
      <c r="I31" s="23">
        <v>1</v>
      </c>
      <c r="J31" s="23">
        <v>5.9</v>
      </c>
      <c r="K31" s="15">
        <v>4.2</v>
      </c>
      <c r="L31" s="15">
        <v>4</v>
      </c>
      <c r="M31" s="15"/>
      <c r="N31" s="20">
        <f t="shared" si="0"/>
        <v>4.0999999999999996</v>
      </c>
      <c r="O31" s="37">
        <v>3.9</v>
      </c>
      <c r="P31" s="37">
        <v>3.8</v>
      </c>
      <c r="Q31" s="38">
        <f t="shared" si="1"/>
        <v>3.9</v>
      </c>
      <c r="R31" s="17">
        <v>1.81</v>
      </c>
      <c r="S31" s="17">
        <v>1.772</v>
      </c>
      <c r="T31" s="22">
        <f t="shared" si="2"/>
        <v>1.7909999999999999</v>
      </c>
      <c r="U31" s="34">
        <v>1.7</v>
      </c>
      <c r="V31" s="34">
        <v>1.6910000000000001</v>
      </c>
      <c r="W31" s="33">
        <f t="shared" si="3"/>
        <v>1.696</v>
      </c>
      <c r="X31" s="17">
        <v>7.1999999999999995E-2</v>
      </c>
      <c r="Y31" s="17">
        <v>7.2999999999999995E-2</v>
      </c>
      <c r="Z31" s="21">
        <f t="shared" si="4"/>
        <v>7.2999999999999995E-2</v>
      </c>
      <c r="AA31" s="19">
        <v>1.3420000000000001</v>
      </c>
      <c r="AB31" s="19">
        <v>1.3520000000000001</v>
      </c>
      <c r="AC31" s="21">
        <f t="shared" si="5"/>
        <v>1.347</v>
      </c>
      <c r="AD31" s="19">
        <v>0.16600000000000001</v>
      </c>
      <c r="AE31" s="19">
        <v>0.154</v>
      </c>
      <c r="AF31" s="21">
        <f t="shared" si="6"/>
        <v>0.16</v>
      </c>
      <c r="AG31" s="30">
        <v>0.13400000000000001</v>
      </c>
      <c r="AH31" s="30">
        <v>0.13700000000000001</v>
      </c>
      <c r="AI31" s="31">
        <f t="shared" si="7"/>
        <v>0.13600000000000001</v>
      </c>
      <c r="AJ31" s="30">
        <v>0.13100000000000001</v>
      </c>
      <c r="AK31" s="30">
        <v>0.13200000000000001</v>
      </c>
      <c r="AL31" s="31">
        <f t="shared" si="8"/>
        <v>0.13200000000000001</v>
      </c>
      <c r="AM31" s="19">
        <v>9.3729999999999993</v>
      </c>
      <c r="AN31" s="19">
        <v>9.3059999999999992</v>
      </c>
      <c r="AO31" s="21">
        <f t="shared" si="9"/>
        <v>9.34</v>
      </c>
      <c r="AP31" s="46">
        <v>0.1197</v>
      </c>
      <c r="AQ31" s="46">
        <v>0.1154</v>
      </c>
      <c r="AR31" s="45">
        <f t="shared" si="10"/>
        <v>0.1176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25.4</v>
      </c>
      <c r="F32" s="23">
        <v>7.5</v>
      </c>
      <c r="G32" s="41">
        <v>187</v>
      </c>
      <c r="H32" s="23">
        <v>4.2</v>
      </c>
      <c r="I32" s="23">
        <v>0.7</v>
      </c>
      <c r="J32" s="23">
        <v>3</v>
      </c>
      <c r="K32" s="15">
        <v>2.2999999999999998</v>
      </c>
      <c r="L32" s="15">
        <v>2.1</v>
      </c>
      <c r="M32" s="15"/>
      <c r="N32" s="20">
        <f t="shared" si="0"/>
        <v>2.2000000000000002</v>
      </c>
      <c r="O32" s="37">
        <v>2.1</v>
      </c>
      <c r="P32" s="37">
        <v>1.9</v>
      </c>
      <c r="Q32" s="38">
        <f t="shared" si="1"/>
        <v>2</v>
      </c>
      <c r="R32" s="17">
        <v>0.27300000000000002</v>
      </c>
      <c r="S32" s="17">
        <v>0.27200000000000002</v>
      </c>
      <c r="T32" s="22">
        <f t="shared" si="2"/>
        <v>0.27300000000000002</v>
      </c>
      <c r="U32" s="34">
        <v>0.24</v>
      </c>
      <c r="V32" s="34">
        <v>0.22600000000000001</v>
      </c>
      <c r="W32" s="33">
        <f t="shared" si="3"/>
        <v>0.23300000000000001</v>
      </c>
      <c r="X32" s="17">
        <v>2.1999999999999999E-2</v>
      </c>
      <c r="Y32" s="17">
        <v>2.3E-2</v>
      </c>
      <c r="Z32" s="21">
        <f t="shared" si="4"/>
        <v>2.3E-2</v>
      </c>
      <c r="AA32" s="19">
        <v>0.104</v>
      </c>
      <c r="AB32" s="19">
        <v>0.104</v>
      </c>
      <c r="AC32" s="21">
        <f t="shared" si="5"/>
        <v>0.104</v>
      </c>
      <c r="AD32" s="19">
        <v>6.7000000000000004E-2</v>
      </c>
      <c r="AE32" s="19">
        <v>5.8999999999999997E-2</v>
      </c>
      <c r="AF32" s="21">
        <f t="shared" si="6"/>
        <v>6.3E-2</v>
      </c>
      <c r="AG32" s="30">
        <v>4.3999999999999997E-2</v>
      </c>
      <c r="AH32" s="30">
        <v>4.1000000000000002E-2</v>
      </c>
      <c r="AI32" s="31">
        <f t="shared" si="7"/>
        <v>4.2999999999999997E-2</v>
      </c>
      <c r="AJ32" s="30">
        <v>3.5000000000000003E-2</v>
      </c>
      <c r="AK32" s="30">
        <v>3.3000000000000002E-2</v>
      </c>
      <c r="AL32" s="31">
        <f t="shared" si="8"/>
        <v>3.4000000000000002E-2</v>
      </c>
      <c r="AM32" s="19">
        <v>8.7810000000000006</v>
      </c>
      <c r="AN32" s="19">
        <v>8.7140000000000004</v>
      </c>
      <c r="AO32" s="21">
        <f t="shared" si="9"/>
        <v>8.7479999999999993</v>
      </c>
      <c r="AP32" s="46">
        <v>5.8700000000000002E-2</v>
      </c>
      <c r="AQ32" s="46">
        <v>5.7700000000000001E-2</v>
      </c>
      <c r="AR32" s="45">
        <f t="shared" si="10"/>
        <v>5.8200000000000002E-2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28.9</v>
      </c>
      <c r="F33" s="23">
        <v>7.2</v>
      </c>
      <c r="G33" s="41">
        <v>189</v>
      </c>
      <c r="H33" s="23">
        <v>6.5</v>
      </c>
      <c r="I33" s="23">
        <v>2.1</v>
      </c>
      <c r="J33" s="23">
        <v>5.6</v>
      </c>
      <c r="K33" s="15">
        <v>4</v>
      </c>
      <c r="L33" s="15">
        <v>4.0999999999999996</v>
      </c>
      <c r="M33" s="15"/>
      <c r="N33" s="20">
        <f t="shared" si="0"/>
        <v>4.0999999999999996</v>
      </c>
      <c r="O33" s="37">
        <v>3.8</v>
      </c>
      <c r="P33" s="37">
        <v>3.7</v>
      </c>
      <c r="Q33" s="38">
        <f t="shared" si="1"/>
        <v>3.8</v>
      </c>
      <c r="R33" s="17">
        <v>1.68</v>
      </c>
      <c r="S33" s="17">
        <v>1.67</v>
      </c>
      <c r="T33" s="22">
        <f t="shared" si="2"/>
        <v>1.675</v>
      </c>
      <c r="U33" s="34">
        <v>1.552</v>
      </c>
      <c r="V33" s="34">
        <v>1.5660000000000001</v>
      </c>
      <c r="W33" s="33">
        <f t="shared" si="3"/>
        <v>1.5589999999999999</v>
      </c>
      <c r="X33" s="17">
        <v>5.8999999999999997E-2</v>
      </c>
      <c r="Y33" s="17">
        <v>5.8999999999999997E-2</v>
      </c>
      <c r="Z33" s="21">
        <f t="shared" si="4"/>
        <v>5.8999999999999997E-2</v>
      </c>
      <c r="AA33" s="19">
        <v>1.224</v>
      </c>
      <c r="AB33" s="19">
        <v>1.23</v>
      </c>
      <c r="AC33" s="21">
        <f t="shared" si="5"/>
        <v>1.2270000000000001</v>
      </c>
      <c r="AD33" s="19">
        <v>0.14699999999999999</v>
      </c>
      <c r="AE33" s="19">
        <v>0.13800000000000001</v>
      </c>
      <c r="AF33" s="21">
        <f t="shared" si="6"/>
        <v>0.14299999999999999</v>
      </c>
      <c r="AG33" s="30">
        <v>0.107</v>
      </c>
      <c r="AH33" s="30">
        <v>0.114</v>
      </c>
      <c r="AI33" s="31">
        <f t="shared" si="7"/>
        <v>0.111</v>
      </c>
      <c r="AJ33" s="30">
        <v>0.105</v>
      </c>
      <c r="AK33" s="30">
        <v>0.11</v>
      </c>
      <c r="AL33" s="31">
        <f t="shared" si="8"/>
        <v>0.108</v>
      </c>
      <c r="AM33" s="19">
        <v>9.1890000000000001</v>
      </c>
      <c r="AN33" s="19">
        <v>9.1210000000000004</v>
      </c>
      <c r="AO33" s="21">
        <f t="shared" si="9"/>
        <v>9.1549999999999994</v>
      </c>
      <c r="AP33" s="46">
        <v>0.1154</v>
      </c>
      <c r="AQ33" s="46">
        <v>0.1118</v>
      </c>
      <c r="AR33" s="45">
        <f t="shared" si="10"/>
        <v>0.11360000000000001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28.4</v>
      </c>
      <c r="F34" s="23">
        <v>7.9</v>
      </c>
      <c r="G34" s="41">
        <v>278</v>
      </c>
      <c r="H34" s="23">
        <v>4.4000000000000004</v>
      </c>
      <c r="I34" s="23">
        <v>1.4</v>
      </c>
      <c r="J34" s="23">
        <v>7.3</v>
      </c>
      <c r="K34" s="15">
        <v>5.0999999999999996</v>
      </c>
      <c r="L34" s="15">
        <v>4.8</v>
      </c>
      <c r="M34" s="15"/>
      <c r="N34" s="20">
        <f t="shared" si="0"/>
        <v>5</v>
      </c>
      <c r="O34" s="37">
        <v>4.5999999999999996</v>
      </c>
      <c r="P34" s="37">
        <v>4.5999999999999996</v>
      </c>
      <c r="Q34" s="38">
        <f t="shared" si="1"/>
        <v>4.5999999999999996</v>
      </c>
      <c r="R34" s="17">
        <v>1.248</v>
      </c>
      <c r="S34" s="17">
        <v>1.2050000000000001</v>
      </c>
      <c r="T34" s="22">
        <f t="shared" si="2"/>
        <v>1.2270000000000001</v>
      </c>
      <c r="U34" s="34">
        <v>1.083</v>
      </c>
      <c r="V34" s="34">
        <v>1.091</v>
      </c>
      <c r="W34" s="33">
        <f t="shared" si="3"/>
        <v>1.087</v>
      </c>
      <c r="X34" s="17">
        <v>0.17799999999999999</v>
      </c>
      <c r="Y34" s="17">
        <v>0.17699999999999999</v>
      </c>
      <c r="Z34" s="21">
        <f t="shared" si="4"/>
        <v>0.17799999999999999</v>
      </c>
      <c r="AA34" s="19">
        <v>0.51700000000000002</v>
      </c>
      <c r="AB34" s="19">
        <v>0.51900000000000002</v>
      </c>
      <c r="AC34" s="21">
        <f t="shared" si="5"/>
        <v>0.51800000000000002</v>
      </c>
      <c r="AD34" s="19">
        <v>0.36299999999999999</v>
      </c>
      <c r="AE34" s="19">
        <v>0.35199999999999998</v>
      </c>
      <c r="AF34" s="21">
        <f t="shared" si="6"/>
        <v>0.35799999999999998</v>
      </c>
      <c r="AG34" s="30">
        <v>0.30499999999999999</v>
      </c>
      <c r="AH34" s="30">
        <v>0.313</v>
      </c>
      <c r="AI34" s="31">
        <f t="shared" si="7"/>
        <v>0.309</v>
      </c>
      <c r="AJ34" s="30">
        <v>0.30299999999999999</v>
      </c>
      <c r="AK34" s="30">
        <v>0.309</v>
      </c>
      <c r="AL34" s="31">
        <f t="shared" si="8"/>
        <v>0.30599999999999999</v>
      </c>
      <c r="AM34" s="19">
        <v>15.602</v>
      </c>
      <c r="AN34" s="19">
        <v>15.502000000000001</v>
      </c>
      <c r="AO34" s="21">
        <f t="shared" si="9"/>
        <v>15.552</v>
      </c>
      <c r="AP34" s="46">
        <v>0.1348</v>
      </c>
      <c r="AQ34" s="46">
        <v>0.13150000000000001</v>
      </c>
      <c r="AR34" s="45">
        <f t="shared" si="10"/>
        <v>0.13320000000000001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29.9</v>
      </c>
      <c r="F35" s="23">
        <v>8.1</v>
      </c>
      <c r="G35" s="41">
        <v>291</v>
      </c>
      <c r="H35" s="23">
        <v>9.1</v>
      </c>
      <c r="I35" s="23">
        <v>1.7</v>
      </c>
      <c r="J35" s="23">
        <v>6.4</v>
      </c>
      <c r="K35" s="15">
        <v>4.8</v>
      </c>
      <c r="L35" s="15">
        <v>4.5999999999999996</v>
      </c>
      <c r="M35" s="15"/>
      <c r="N35" s="20">
        <f t="shared" si="0"/>
        <v>4.7</v>
      </c>
      <c r="O35" s="37">
        <v>4</v>
      </c>
      <c r="P35" s="37">
        <v>4.0999999999999996</v>
      </c>
      <c r="Q35" s="38">
        <f t="shared" si="1"/>
        <v>4.0999999999999996</v>
      </c>
      <c r="R35" s="17">
        <v>1.762</v>
      </c>
      <c r="S35" s="17">
        <v>1.73</v>
      </c>
      <c r="T35" s="22">
        <f t="shared" si="2"/>
        <v>1.746</v>
      </c>
      <c r="U35" s="34">
        <v>1.603</v>
      </c>
      <c r="V35" s="34">
        <v>1.5920000000000001</v>
      </c>
      <c r="W35" s="33">
        <f t="shared" si="3"/>
        <v>1.5980000000000001</v>
      </c>
      <c r="X35" s="17">
        <v>5.7000000000000002E-2</v>
      </c>
      <c r="Y35" s="17">
        <v>5.8000000000000003E-2</v>
      </c>
      <c r="Z35" s="21">
        <f t="shared" si="4"/>
        <v>5.8000000000000003E-2</v>
      </c>
      <c r="AA35" s="19">
        <v>1.1599999999999999</v>
      </c>
      <c r="AB35" s="19">
        <v>1.1639999999999999</v>
      </c>
      <c r="AC35" s="21">
        <f t="shared" si="5"/>
        <v>1.1619999999999999</v>
      </c>
      <c r="AD35" s="19">
        <v>0.126</v>
      </c>
      <c r="AE35" s="19">
        <v>0.122</v>
      </c>
      <c r="AF35" s="21">
        <f t="shared" si="6"/>
        <v>0.124</v>
      </c>
      <c r="AG35" s="30">
        <v>9.5000000000000001E-2</v>
      </c>
      <c r="AH35" s="30">
        <v>8.6999999999999994E-2</v>
      </c>
      <c r="AI35" s="31">
        <f t="shared" si="7"/>
        <v>9.0999999999999998E-2</v>
      </c>
      <c r="AJ35" s="30">
        <v>7.8E-2</v>
      </c>
      <c r="AK35" s="30">
        <v>7.5999999999999998E-2</v>
      </c>
      <c r="AL35" s="31">
        <f t="shared" si="8"/>
        <v>7.6999999999999999E-2</v>
      </c>
      <c r="AM35" s="19">
        <v>31.606000000000002</v>
      </c>
      <c r="AN35" s="19">
        <v>31.477</v>
      </c>
      <c r="AO35" s="21">
        <f t="shared" si="9"/>
        <v>31.542000000000002</v>
      </c>
      <c r="AP35" s="46">
        <v>0.1057</v>
      </c>
      <c r="AQ35" s="46">
        <v>0.10290000000000001</v>
      </c>
      <c r="AR35" s="45">
        <f t="shared" si="10"/>
        <v>0.1043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29.5</v>
      </c>
      <c r="F36" s="23">
        <v>8.1</v>
      </c>
      <c r="G36" s="41">
        <v>188</v>
      </c>
      <c r="H36" s="23">
        <v>7</v>
      </c>
      <c r="I36" s="23">
        <v>1</v>
      </c>
      <c r="J36" s="23">
        <v>6.2</v>
      </c>
      <c r="K36" s="15">
        <v>4.0999999999999996</v>
      </c>
      <c r="L36" s="15">
        <v>4</v>
      </c>
      <c r="M36" s="15"/>
      <c r="N36" s="20">
        <f t="shared" si="0"/>
        <v>4.0999999999999996</v>
      </c>
      <c r="O36" s="37">
        <v>3.8</v>
      </c>
      <c r="P36" s="37">
        <v>3.8</v>
      </c>
      <c r="Q36" s="38">
        <f t="shared" si="1"/>
        <v>3.8</v>
      </c>
      <c r="R36" s="17">
        <v>1.6639999999999999</v>
      </c>
      <c r="S36" s="17">
        <v>1.643</v>
      </c>
      <c r="T36" s="22">
        <f t="shared" si="2"/>
        <v>1.6539999999999999</v>
      </c>
      <c r="U36" s="34">
        <v>1.534</v>
      </c>
      <c r="V36" s="34">
        <v>1.514</v>
      </c>
      <c r="W36" s="33">
        <f t="shared" si="3"/>
        <v>1.524</v>
      </c>
      <c r="X36" s="17">
        <v>5.3999999999999999E-2</v>
      </c>
      <c r="Y36" s="17">
        <v>5.2999999999999999E-2</v>
      </c>
      <c r="Z36" s="21">
        <f t="shared" si="4"/>
        <v>5.3999999999999999E-2</v>
      </c>
      <c r="AA36" s="19">
        <v>1.2</v>
      </c>
      <c r="AB36" s="19">
        <v>1.2110000000000001</v>
      </c>
      <c r="AC36" s="21">
        <f t="shared" si="5"/>
        <v>1.206</v>
      </c>
      <c r="AD36" s="19">
        <v>0.14599999999999999</v>
      </c>
      <c r="AE36" s="19">
        <v>0.14000000000000001</v>
      </c>
      <c r="AF36" s="21">
        <f t="shared" si="6"/>
        <v>0.14299999999999999</v>
      </c>
      <c r="AG36" s="30">
        <v>0.11899999999999999</v>
      </c>
      <c r="AH36" s="30">
        <v>0.11899999999999999</v>
      </c>
      <c r="AI36" s="31">
        <f t="shared" si="7"/>
        <v>0.11899999999999999</v>
      </c>
      <c r="AJ36" s="30">
        <v>0.114</v>
      </c>
      <c r="AK36" s="30">
        <v>0.11600000000000001</v>
      </c>
      <c r="AL36" s="31">
        <f t="shared" si="8"/>
        <v>0.115</v>
      </c>
      <c r="AM36" s="19">
        <v>9.2560000000000002</v>
      </c>
      <c r="AN36" s="19">
        <v>9.2110000000000003</v>
      </c>
      <c r="AO36" s="21">
        <f t="shared" si="9"/>
        <v>9.234</v>
      </c>
      <c r="AP36" s="46">
        <v>0.1149</v>
      </c>
      <c r="AQ36" s="46">
        <v>0.1124</v>
      </c>
      <c r="AR36" s="45">
        <f t="shared" si="10"/>
        <v>0.1137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28.6</v>
      </c>
      <c r="F37" s="23">
        <v>8.8000000000000007</v>
      </c>
      <c r="G37" s="41">
        <v>211</v>
      </c>
      <c r="H37" s="23">
        <v>6.9</v>
      </c>
      <c r="I37" s="23">
        <v>0.9</v>
      </c>
      <c r="J37" s="23">
        <v>6.3</v>
      </c>
      <c r="K37" s="15">
        <v>4.3</v>
      </c>
      <c r="L37" s="15">
        <v>4.4000000000000004</v>
      </c>
      <c r="M37" s="15"/>
      <c r="N37" s="20">
        <f t="shared" si="0"/>
        <v>4.4000000000000004</v>
      </c>
      <c r="O37" s="37">
        <v>4.0999999999999996</v>
      </c>
      <c r="P37" s="37">
        <v>4.0999999999999996</v>
      </c>
      <c r="Q37" s="38">
        <f t="shared" si="1"/>
        <v>4.0999999999999996</v>
      </c>
      <c r="R37" s="17">
        <v>1.6459999999999999</v>
      </c>
      <c r="S37" s="17">
        <v>1.597</v>
      </c>
      <c r="T37" s="22">
        <f t="shared" si="2"/>
        <v>1.6220000000000001</v>
      </c>
      <c r="U37" s="34">
        <v>1.53</v>
      </c>
      <c r="V37" s="34">
        <v>1.514</v>
      </c>
      <c r="W37" s="33">
        <f t="shared" si="3"/>
        <v>1.522</v>
      </c>
      <c r="X37" s="17">
        <v>0.05</v>
      </c>
      <c r="Y37" s="17">
        <v>0.05</v>
      </c>
      <c r="Z37" s="21">
        <f t="shared" si="4"/>
        <v>0.05</v>
      </c>
      <c r="AA37" s="19">
        <v>1.1759999999999999</v>
      </c>
      <c r="AB37" s="19">
        <v>1.1819999999999999</v>
      </c>
      <c r="AC37" s="21">
        <f t="shared" si="5"/>
        <v>1.179</v>
      </c>
      <c r="AD37" s="19">
        <v>0.159</v>
      </c>
      <c r="AE37" s="19">
        <v>0.154</v>
      </c>
      <c r="AF37" s="21">
        <f t="shared" si="6"/>
        <v>0.157</v>
      </c>
      <c r="AG37" s="30">
        <v>0.123</v>
      </c>
      <c r="AH37" s="30">
        <v>0.12</v>
      </c>
      <c r="AI37" s="31">
        <f t="shared" si="7"/>
        <v>0.122</v>
      </c>
      <c r="AJ37" s="30">
        <v>0.115</v>
      </c>
      <c r="AK37" s="30">
        <v>0.11600000000000001</v>
      </c>
      <c r="AL37" s="31">
        <f t="shared" si="8"/>
        <v>0.11600000000000001</v>
      </c>
      <c r="AM37" s="19">
        <v>11.737</v>
      </c>
      <c r="AN37" s="19">
        <v>11.686999999999999</v>
      </c>
      <c r="AO37" s="21">
        <f t="shared" si="9"/>
        <v>11.712</v>
      </c>
      <c r="AP37" s="46">
        <v>0.1275</v>
      </c>
      <c r="AQ37" s="46">
        <v>0.12429999999999999</v>
      </c>
      <c r="AR37" s="45">
        <f t="shared" si="10"/>
        <v>0.12590000000000001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28.8</v>
      </c>
      <c r="F38" s="23">
        <v>8.4</v>
      </c>
      <c r="G38" s="41">
        <v>212</v>
      </c>
      <c r="H38" s="23">
        <v>7.3</v>
      </c>
      <c r="I38" s="23">
        <v>1</v>
      </c>
      <c r="J38" s="23">
        <v>6</v>
      </c>
      <c r="K38" s="15">
        <v>4</v>
      </c>
      <c r="L38" s="15">
        <v>4.0999999999999996</v>
      </c>
      <c r="M38" s="15"/>
      <c r="N38" s="20">
        <f t="shared" si="0"/>
        <v>4.0999999999999996</v>
      </c>
      <c r="O38" s="37">
        <v>3.8</v>
      </c>
      <c r="P38" s="37">
        <v>3.8</v>
      </c>
      <c r="Q38" s="38">
        <f t="shared" si="1"/>
        <v>3.8</v>
      </c>
      <c r="R38" s="17">
        <v>2.2069999999999999</v>
      </c>
      <c r="S38" s="17">
        <v>2.173</v>
      </c>
      <c r="T38" s="22">
        <f t="shared" si="2"/>
        <v>2.19</v>
      </c>
      <c r="U38" s="34">
        <v>2.069</v>
      </c>
      <c r="V38" s="34">
        <v>2.06</v>
      </c>
      <c r="W38" s="33">
        <f t="shared" si="3"/>
        <v>2.0649999999999999</v>
      </c>
      <c r="X38" s="17">
        <v>2.5000000000000001E-2</v>
      </c>
      <c r="Y38" s="17">
        <v>2.5000000000000001E-2</v>
      </c>
      <c r="Z38" s="21">
        <f t="shared" si="4"/>
        <v>2.5000000000000001E-2</v>
      </c>
      <c r="AA38" s="19">
        <v>1.764</v>
      </c>
      <c r="AB38" s="19">
        <v>1.776</v>
      </c>
      <c r="AC38" s="21">
        <f t="shared" si="5"/>
        <v>1.77</v>
      </c>
      <c r="AD38" s="19">
        <v>0.189</v>
      </c>
      <c r="AE38" s="19">
        <v>0.18</v>
      </c>
      <c r="AF38" s="21">
        <f t="shared" si="6"/>
        <v>0.185</v>
      </c>
      <c r="AG38" s="30">
        <v>0.154</v>
      </c>
      <c r="AH38" s="30">
        <v>0.155</v>
      </c>
      <c r="AI38" s="31">
        <f t="shared" si="7"/>
        <v>0.155</v>
      </c>
      <c r="AJ38" s="30">
        <v>0.153</v>
      </c>
      <c r="AK38" s="30">
        <v>0.14899999999999999</v>
      </c>
      <c r="AL38" s="31">
        <f t="shared" si="8"/>
        <v>0.151</v>
      </c>
      <c r="AM38" s="19">
        <v>11.637</v>
      </c>
      <c r="AN38" s="19">
        <v>11.6</v>
      </c>
      <c r="AO38" s="21">
        <f t="shared" si="9"/>
        <v>11.619</v>
      </c>
      <c r="AP38" s="46">
        <v>0.11459999999999999</v>
      </c>
      <c r="AQ38" s="46">
        <v>0.11169999999999999</v>
      </c>
      <c r="AR38" s="45">
        <f t="shared" si="10"/>
        <v>0.1132</v>
      </c>
    </row>
    <row r="39" spans="1:44">
      <c r="A39" s="7" t="s">
        <v>137</v>
      </c>
      <c r="B39" s="5" t="s">
        <v>138</v>
      </c>
      <c r="C39" s="6"/>
      <c r="D39" s="6"/>
      <c r="E39" s="23">
        <v>27.1</v>
      </c>
      <c r="F39" s="23">
        <v>6.9</v>
      </c>
      <c r="G39" s="41">
        <v>409</v>
      </c>
      <c r="H39" s="23">
        <v>6.7</v>
      </c>
      <c r="I39" s="23">
        <v>12</v>
      </c>
      <c r="J39" s="23">
        <v>17.7</v>
      </c>
      <c r="K39" s="4">
        <v>10.8</v>
      </c>
      <c r="L39" s="4">
        <v>10.3</v>
      </c>
      <c r="M39" s="4"/>
      <c r="N39" s="20">
        <f t="shared" si="0"/>
        <v>10.6</v>
      </c>
      <c r="O39" s="37">
        <v>5.8</v>
      </c>
      <c r="P39" s="37">
        <v>5.9</v>
      </c>
      <c r="Q39" s="38">
        <f t="shared" si="1"/>
        <v>5.9</v>
      </c>
      <c r="R39" s="17">
        <v>7.2220000000000004</v>
      </c>
      <c r="S39" s="17">
        <v>7.2380000000000004</v>
      </c>
      <c r="T39" s="22">
        <f t="shared" si="2"/>
        <v>7.23</v>
      </c>
      <c r="U39" s="34">
        <v>6.35</v>
      </c>
      <c r="V39" s="34">
        <v>6.3339999999999996</v>
      </c>
      <c r="W39" s="33">
        <f t="shared" si="3"/>
        <v>6.3419999999999996</v>
      </c>
      <c r="X39" s="17">
        <v>2.4369999999999998</v>
      </c>
      <c r="Y39" s="17">
        <v>2.4209999999999998</v>
      </c>
      <c r="Z39" s="21">
        <f t="shared" si="4"/>
        <v>2.4289999999999998</v>
      </c>
      <c r="AA39" s="19">
        <v>3.2559999999999998</v>
      </c>
      <c r="AB39" s="19">
        <v>3.2839999999999998</v>
      </c>
      <c r="AC39" s="21">
        <f t="shared" si="5"/>
        <v>3.27</v>
      </c>
      <c r="AD39" s="19">
        <v>0.621</v>
      </c>
      <c r="AE39" s="19">
        <v>0.59899999999999998</v>
      </c>
      <c r="AF39" s="21">
        <f t="shared" si="6"/>
        <v>0.61</v>
      </c>
      <c r="AG39" s="30">
        <v>0.28999999999999998</v>
      </c>
      <c r="AH39" s="30">
        <v>0.27900000000000003</v>
      </c>
      <c r="AI39" s="31">
        <f t="shared" si="7"/>
        <v>0.28499999999999998</v>
      </c>
      <c r="AJ39" s="30">
        <v>0.25900000000000001</v>
      </c>
      <c r="AK39" s="30">
        <v>0.255</v>
      </c>
      <c r="AL39" s="31">
        <f t="shared" si="8"/>
        <v>0.25700000000000001</v>
      </c>
      <c r="AM39" s="19">
        <v>40.01</v>
      </c>
      <c r="AN39" s="19">
        <v>39.904000000000003</v>
      </c>
      <c r="AO39" s="21">
        <f t="shared" si="9"/>
        <v>39.957000000000001</v>
      </c>
      <c r="AP39" s="46">
        <v>0.12809999999999999</v>
      </c>
      <c r="AQ39" s="46">
        <v>0.1249</v>
      </c>
      <c r="AR39" s="45">
        <f t="shared" si="10"/>
        <v>0.1265</v>
      </c>
    </row>
    <row r="40" spans="1:44">
      <c r="A40" s="7" t="s">
        <v>158</v>
      </c>
      <c r="B40" s="5" t="s">
        <v>159</v>
      </c>
      <c r="C40" s="6"/>
      <c r="D40" s="6"/>
      <c r="E40" s="23">
        <v>27.9</v>
      </c>
      <c r="F40" s="23">
        <v>6.9</v>
      </c>
      <c r="G40" s="41">
        <v>370</v>
      </c>
      <c r="H40" s="23">
        <v>7.1</v>
      </c>
      <c r="I40" s="23">
        <v>2.2999999999999998</v>
      </c>
      <c r="J40" s="23">
        <v>8.3000000000000007</v>
      </c>
      <c r="K40" s="15">
        <v>5.2</v>
      </c>
      <c r="L40" s="15">
        <v>5.2</v>
      </c>
      <c r="M40" s="15"/>
      <c r="N40" s="20">
        <f t="shared" si="0"/>
        <v>5.2</v>
      </c>
      <c r="O40" s="37">
        <v>4.2</v>
      </c>
      <c r="P40" s="37">
        <v>4.0999999999999996</v>
      </c>
      <c r="Q40" s="38">
        <f t="shared" si="1"/>
        <v>4.2</v>
      </c>
      <c r="R40" s="17">
        <v>2.411</v>
      </c>
      <c r="S40" s="17">
        <v>2.387</v>
      </c>
      <c r="T40" s="22">
        <f t="shared" si="2"/>
        <v>2.399</v>
      </c>
      <c r="U40" s="34">
        <v>2.0760000000000001</v>
      </c>
      <c r="V40" s="34">
        <v>2.0840000000000001</v>
      </c>
      <c r="W40" s="33">
        <f t="shared" si="3"/>
        <v>2.08</v>
      </c>
      <c r="X40" s="17">
        <v>9.7000000000000003E-2</v>
      </c>
      <c r="Y40" s="17">
        <v>9.8000000000000004E-2</v>
      </c>
      <c r="Z40" s="21">
        <f t="shared" si="4"/>
        <v>9.8000000000000004E-2</v>
      </c>
      <c r="AA40" s="19">
        <v>1.58</v>
      </c>
      <c r="AB40" s="19">
        <v>1.593</v>
      </c>
      <c r="AC40" s="21">
        <f t="shared" si="5"/>
        <v>1.587</v>
      </c>
      <c r="AD40" s="19">
        <v>0.16800000000000001</v>
      </c>
      <c r="AE40" s="19">
        <v>0.16600000000000001</v>
      </c>
      <c r="AF40" s="21">
        <f t="shared" si="6"/>
        <v>0.16700000000000001</v>
      </c>
      <c r="AG40" s="30">
        <v>0.08</v>
      </c>
      <c r="AH40" s="30">
        <v>0.08</v>
      </c>
      <c r="AI40" s="31">
        <f t="shared" si="7"/>
        <v>0.08</v>
      </c>
      <c r="AJ40" s="30">
        <v>5.5E-2</v>
      </c>
      <c r="AK40" s="30">
        <v>5.3999999999999999E-2</v>
      </c>
      <c r="AL40" s="31">
        <f t="shared" si="8"/>
        <v>5.5E-2</v>
      </c>
      <c r="AM40" s="19">
        <v>51.808</v>
      </c>
      <c r="AN40" s="19">
        <v>51.698</v>
      </c>
      <c r="AO40" s="21">
        <f t="shared" si="9"/>
        <v>51.753</v>
      </c>
      <c r="AP40" s="46">
        <v>0.1067</v>
      </c>
      <c r="AQ40" s="46">
        <v>0.1043</v>
      </c>
      <c r="AR40" s="45">
        <f t="shared" si="10"/>
        <v>0.1055</v>
      </c>
    </row>
  </sheetData>
  <mergeCells count="18">
    <mergeCell ref="I1:I2"/>
    <mergeCell ref="A1:A2"/>
    <mergeCell ref="B1:B2"/>
    <mergeCell ref="C1:C2"/>
    <mergeCell ref="D1:D2"/>
    <mergeCell ref="E1:H1"/>
    <mergeCell ref="AP1:AR1"/>
    <mergeCell ref="J1:J2"/>
    <mergeCell ref="K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40"/>
  <sheetViews>
    <sheetView topLeftCell="A3" zoomScale="85" zoomScaleNormal="85" workbookViewId="0">
      <selection activeCell="A3" sqref="A3:XFD40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20" width="9" style="1"/>
    <col min="21" max="21" width="9" style="3"/>
    <col min="22" max="31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8"/>
      <c r="U1" s="76" t="s">
        <v>126</v>
      </c>
      <c r="V1" s="77"/>
      <c r="W1" s="78"/>
      <c r="X1" s="76" t="s">
        <v>127</v>
      </c>
      <c r="Y1" s="77"/>
      <c r="Z1" s="78"/>
      <c r="AA1" s="76" t="s">
        <v>128</v>
      </c>
      <c r="AB1" s="77"/>
      <c r="AC1" s="78"/>
      <c r="AD1" s="76" t="s">
        <v>129</v>
      </c>
      <c r="AE1" s="77"/>
      <c r="AF1" s="78"/>
      <c r="AG1" s="76" t="s">
        <v>130</v>
      </c>
      <c r="AH1" s="77"/>
      <c r="AI1" s="78"/>
      <c r="AJ1" s="76" t="s">
        <v>131</v>
      </c>
      <c r="AK1" s="77"/>
      <c r="AL1" s="78"/>
      <c r="AM1" s="76" t="s">
        <v>132</v>
      </c>
      <c r="AN1" s="77"/>
      <c r="AO1" s="78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113</v>
      </c>
      <c r="H2" s="12" t="s">
        <v>112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136</v>
      </c>
      <c r="B3" s="9" t="s">
        <v>34</v>
      </c>
      <c r="C3" s="10" t="s">
        <v>35</v>
      </c>
      <c r="D3" s="10" t="s">
        <v>36</v>
      </c>
      <c r="E3" s="20">
        <v>20.6</v>
      </c>
      <c r="F3" s="20">
        <v>7.6</v>
      </c>
      <c r="G3" s="62">
        <v>106</v>
      </c>
      <c r="H3" s="38">
        <v>10.1</v>
      </c>
      <c r="I3" s="20">
        <v>0.6</v>
      </c>
      <c r="J3" s="20">
        <v>3.2</v>
      </c>
      <c r="K3" s="36">
        <v>2</v>
      </c>
      <c r="L3" s="36">
        <v>1.9</v>
      </c>
      <c r="M3" s="36"/>
      <c r="N3" s="38">
        <f>ROUND(AVERAGE(K3:M3),1)</f>
        <v>2</v>
      </c>
      <c r="O3" s="36">
        <v>1.9</v>
      </c>
      <c r="P3" s="36">
        <v>1.9</v>
      </c>
      <c r="Q3" s="38">
        <f>ROUND(AVERAGE(O3:P3),1)</f>
        <v>1.9</v>
      </c>
      <c r="R3" s="16">
        <v>1.288</v>
      </c>
      <c r="S3" s="16">
        <v>1.2989999999999999</v>
      </c>
      <c r="T3" s="22">
        <f>ROUND(AVERAGE(R3:S3),3)</f>
        <v>1.294</v>
      </c>
      <c r="U3" s="32">
        <v>1.2869999999999999</v>
      </c>
      <c r="V3" s="32">
        <v>1.2869999999999999</v>
      </c>
      <c r="W3" s="33">
        <f>ROUND(AVERAGE(U3:V3),3)</f>
        <v>1.2869999999999999</v>
      </c>
      <c r="X3" s="16">
        <v>2.1999999999999999E-2</v>
      </c>
      <c r="Y3" s="16">
        <v>2.3E-2</v>
      </c>
      <c r="Z3" s="21">
        <f>ROUND(AVERAGE(X3:Y3),3)</f>
        <v>2.3E-2</v>
      </c>
      <c r="AA3" s="18">
        <v>1.1619999999999999</v>
      </c>
      <c r="AB3" s="18">
        <v>1.151</v>
      </c>
      <c r="AC3" s="21">
        <f>ROUND(AVERAGE(AA3:AB3),3)</f>
        <v>1.157</v>
      </c>
      <c r="AD3" s="18">
        <v>3.2000000000000001E-2</v>
      </c>
      <c r="AE3" s="18">
        <v>3.1E-2</v>
      </c>
      <c r="AF3" s="21">
        <f>ROUND(AVERAGE(AD3:AE3),3)</f>
        <v>3.2000000000000001E-2</v>
      </c>
      <c r="AG3" s="29">
        <v>3.1E-2</v>
      </c>
      <c r="AH3" s="29">
        <v>3.1E-2</v>
      </c>
      <c r="AI3" s="31">
        <f>ROUND(AVERAGE(AG3:AH3),3)</f>
        <v>3.1E-2</v>
      </c>
      <c r="AJ3" s="29">
        <v>7.0000000000000001E-3</v>
      </c>
      <c r="AK3" s="29">
        <v>5.0000000000000001E-3</v>
      </c>
      <c r="AL3" s="31">
        <f>ROUND(AVERAGE(AJ3:AK3),3)</f>
        <v>6.0000000000000001E-3</v>
      </c>
      <c r="AM3" s="18">
        <v>7.798</v>
      </c>
      <c r="AN3" s="18">
        <v>7.8739999999999997</v>
      </c>
      <c r="AO3" s="21">
        <f>ROUND(AVERAGE(AM3:AN3),3)</f>
        <v>7.8360000000000003</v>
      </c>
      <c r="AP3" s="25">
        <v>6.9000000000000006E-2</v>
      </c>
      <c r="AQ3" s="25">
        <v>6.8199999999999997E-2</v>
      </c>
      <c r="AR3" s="26">
        <f>ROUND(AVERAGE(AP3:AQ3),4)</f>
        <v>6.8599999999999994E-2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21.5</v>
      </c>
      <c r="F4" s="23">
        <v>7.2</v>
      </c>
      <c r="G4" s="63">
        <v>70</v>
      </c>
      <c r="H4" s="39">
        <v>9.4</v>
      </c>
      <c r="I4" s="23">
        <v>0.8</v>
      </c>
      <c r="J4" s="23">
        <v>4.9000000000000004</v>
      </c>
      <c r="K4" s="37">
        <v>3.5</v>
      </c>
      <c r="L4" s="37">
        <v>3.5</v>
      </c>
      <c r="M4" s="37"/>
      <c r="N4" s="38">
        <f t="shared" ref="N4:N40" si="0">ROUND(AVERAGE(K4:M4),1)</f>
        <v>3.5</v>
      </c>
      <c r="O4" s="37">
        <v>2.7</v>
      </c>
      <c r="P4" s="37">
        <v>2.7</v>
      </c>
      <c r="Q4" s="38">
        <f t="shared" ref="Q4:Q40" si="1">ROUND(AVERAGE(O4:P4),1)</f>
        <v>2.7</v>
      </c>
      <c r="R4" s="17">
        <v>1.615</v>
      </c>
      <c r="S4" s="17">
        <v>1.599</v>
      </c>
      <c r="T4" s="22">
        <f t="shared" ref="T4:T40" si="2">ROUND(AVERAGE(R4:S4),3)</f>
        <v>1.607</v>
      </c>
      <c r="U4" s="34">
        <v>1.5229999999999999</v>
      </c>
      <c r="V4" s="34">
        <v>1.52</v>
      </c>
      <c r="W4" s="33">
        <f t="shared" ref="W4:W40" si="3">ROUND(AVERAGE(U4:V4),3)</f>
        <v>1.522</v>
      </c>
      <c r="X4" s="17">
        <v>3.9E-2</v>
      </c>
      <c r="Y4" s="17">
        <v>3.9E-2</v>
      </c>
      <c r="Z4" s="21">
        <f t="shared" ref="Z4:Z40" si="4">ROUND(AVERAGE(X4:Y4),3)</f>
        <v>3.9E-2</v>
      </c>
      <c r="AA4" s="19">
        <v>1.373</v>
      </c>
      <c r="AB4" s="19">
        <v>1.373</v>
      </c>
      <c r="AC4" s="21">
        <f t="shared" ref="AC4:AC40" si="5">ROUND(AVERAGE(AA4:AB4),3)</f>
        <v>1.373</v>
      </c>
      <c r="AD4" s="19">
        <v>8.6999999999999994E-2</v>
      </c>
      <c r="AE4" s="19">
        <v>8.4000000000000005E-2</v>
      </c>
      <c r="AF4" s="21">
        <f t="shared" ref="AF4:AF40" si="6">ROUND(AVERAGE(AD4:AE4),3)</f>
        <v>8.5999999999999993E-2</v>
      </c>
      <c r="AG4" s="30">
        <v>7.0000000000000007E-2</v>
      </c>
      <c r="AH4" s="30">
        <v>7.2999999999999995E-2</v>
      </c>
      <c r="AI4" s="31">
        <f t="shared" ref="AI4:AI40" si="7">ROUND(AVERAGE(AG4:AH4),3)</f>
        <v>7.1999999999999995E-2</v>
      </c>
      <c r="AJ4" s="30">
        <v>8.0000000000000002E-3</v>
      </c>
      <c r="AK4" s="30">
        <v>8.0000000000000002E-3</v>
      </c>
      <c r="AL4" s="31">
        <f t="shared" ref="AL4:AL40" si="8">ROUND(AVERAGE(AJ4:AK4),3)</f>
        <v>8.0000000000000002E-3</v>
      </c>
      <c r="AM4" s="19">
        <v>4.03</v>
      </c>
      <c r="AN4" s="19">
        <v>4.0460000000000003</v>
      </c>
      <c r="AO4" s="21">
        <f t="shared" ref="AO4:AO40" si="9">ROUND(AVERAGE(AM4:AN4),3)</f>
        <v>4.0380000000000003</v>
      </c>
      <c r="AP4" s="27">
        <v>0.12</v>
      </c>
      <c r="AQ4" s="27">
        <v>0.121</v>
      </c>
      <c r="AR4" s="26">
        <f t="shared" ref="AR4:AR40" si="10">ROUND(AVERAGE(AP4:AQ4),4)</f>
        <v>0.1205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21.4</v>
      </c>
      <c r="F5" s="23">
        <v>6.8</v>
      </c>
      <c r="G5" s="63">
        <v>84</v>
      </c>
      <c r="H5" s="39">
        <v>9.6</v>
      </c>
      <c r="I5" s="23">
        <v>0.8</v>
      </c>
      <c r="J5" s="23">
        <v>4.5999999999999996</v>
      </c>
      <c r="K5" s="37">
        <v>3.1</v>
      </c>
      <c r="L5" s="37">
        <v>3</v>
      </c>
      <c r="M5" s="37"/>
      <c r="N5" s="38">
        <f t="shared" si="0"/>
        <v>3.1</v>
      </c>
      <c r="O5" s="37">
        <v>2.5</v>
      </c>
      <c r="P5" s="37">
        <v>2.4</v>
      </c>
      <c r="Q5" s="38">
        <f t="shared" si="1"/>
        <v>2.5</v>
      </c>
      <c r="R5" s="17">
        <v>1.5209999999999999</v>
      </c>
      <c r="S5" s="17">
        <v>1.4930000000000001</v>
      </c>
      <c r="T5" s="22">
        <f t="shared" si="2"/>
        <v>1.5069999999999999</v>
      </c>
      <c r="U5" s="34">
        <v>1.44</v>
      </c>
      <c r="V5" s="34">
        <v>1.419</v>
      </c>
      <c r="W5" s="33">
        <f t="shared" si="3"/>
        <v>1.43</v>
      </c>
      <c r="X5" s="17">
        <v>0.03</v>
      </c>
      <c r="Y5" s="17">
        <v>0.03</v>
      </c>
      <c r="Z5" s="21">
        <f t="shared" si="4"/>
        <v>0.03</v>
      </c>
      <c r="AA5" s="19">
        <v>1.3169999999999999</v>
      </c>
      <c r="AB5" s="19">
        <v>1.3140000000000001</v>
      </c>
      <c r="AC5" s="21">
        <f t="shared" si="5"/>
        <v>1.3160000000000001</v>
      </c>
      <c r="AD5" s="19">
        <v>7.0000000000000007E-2</v>
      </c>
      <c r="AE5" s="19">
        <v>7.0999999999999994E-2</v>
      </c>
      <c r="AF5" s="21">
        <f t="shared" si="6"/>
        <v>7.0999999999999994E-2</v>
      </c>
      <c r="AG5" s="30">
        <v>6.9000000000000006E-2</v>
      </c>
      <c r="AH5" s="30">
        <v>7.0000000000000007E-2</v>
      </c>
      <c r="AI5" s="31">
        <f t="shared" si="7"/>
        <v>7.0000000000000007E-2</v>
      </c>
      <c r="AJ5" s="30">
        <v>7.0000000000000001E-3</v>
      </c>
      <c r="AK5" s="30">
        <v>7.0000000000000001E-3</v>
      </c>
      <c r="AL5" s="31">
        <f t="shared" si="8"/>
        <v>7.0000000000000001E-3</v>
      </c>
      <c r="AM5" s="19">
        <v>5.6139999999999999</v>
      </c>
      <c r="AN5" s="19">
        <v>5.6369999999999996</v>
      </c>
      <c r="AO5" s="21">
        <f t="shared" si="9"/>
        <v>5.6260000000000003</v>
      </c>
      <c r="AP5" s="27">
        <v>0.10009999999999999</v>
      </c>
      <c r="AQ5" s="27">
        <v>9.98E-2</v>
      </c>
      <c r="AR5" s="26">
        <f t="shared" si="10"/>
        <v>0.1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20.3</v>
      </c>
      <c r="F6" s="23">
        <v>7</v>
      </c>
      <c r="G6" s="63">
        <v>60</v>
      </c>
      <c r="H6" s="39">
        <v>10</v>
      </c>
      <c r="I6" s="23">
        <v>0.6</v>
      </c>
      <c r="J6" s="23">
        <v>3.5</v>
      </c>
      <c r="K6" s="37">
        <v>2.5</v>
      </c>
      <c r="L6" s="37">
        <v>2.2999999999999998</v>
      </c>
      <c r="M6" s="37"/>
      <c r="N6" s="38">
        <f t="shared" si="0"/>
        <v>2.4</v>
      </c>
      <c r="O6" s="37">
        <v>2.2000000000000002</v>
      </c>
      <c r="P6" s="37">
        <v>2.1</v>
      </c>
      <c r="Q6" s="38">
        <f t="shared" si="1"/>
        <v>2.2000000000000002</v>
      </c>
      <c r="R6" s="17">
        <v>1.123</v>
      </c>
      <c r="S6" s="17">
        <v>1.1339999999999999</v>
      </c>
      <c r="T6" s="22">
        <f t="shared" si="2"/>
        <v>1.129</v>
      </c>
      <c r="U6" s="34">
        <v>1.099</v>
      </c>
      <c r="V6" s="34">
        <v>1.087</v>
      </c>
      <c r="W6" s="33">
        <f t="shared" si="3"/>
        <v>1.093</v>
      </c>
      <c r="X6" s="17">
        <v>3.3000000000000002E-2</v>
      </c>
      <c r="Y6" s="17">
        <v>3.2000000000000001E-2</v>
      </c>
      <c r="Z6" s="21">
        <f t="shared" si="4"/>
        <v>3.3000000000000002E-2</v>
      </c>
      <c r="AA6" s="19">
        <v>0.96099999999999997</v>
      </c>
      <c r="AB6" s="19">
        <v>0.95799999999999996</v>
      </c>
      <c r="AC6" s="21">
        <f t="shared" si="5"/>
        <v>0.96</v>
      </c>
      <c r="AD6" s="19">
        <v>4.4999999999999998E-2</v>
      </c>
      <c r="AE6" s="19">
        <v>4.3999999999999997E-2</v>
      </c>
      <c r="AF6" s="21">
        <f t="shared" si="6"/>
        <v>4.4999999999999998E-2</v>
      </c>
      <c r="AG6" s="30">
        <v>4.3999999999999997E-2</v>
      </c>
      <c r="AH6" s="30">
        <v>4.2999999999999997E-2</v>
      </c>
      <c r="AI6" s="31">
        <f t="shared" si="7"/>
        <v>4.3999999999999997E-2</v>
      </c>
      <c r="AJ6" s="30">
        <v>4.0000000000000001E-3</v>
      </c>
      <c r="AK6" s="30">
        <v>4.0000000000000001E-3</v>
      </c>
      <c r="AL6" s="31">
        <f t="shared" si="8"/>
        <v>4.0000000000000001E-3</v>
      </c>
      <c r="AM6" s="19">
        <v>3.9380000000000002</v>
      </c>
      <c r="AN6" s="19">
        <v>3.9580000000000002</v>
      </c>
      <c r="AO6" s="21">
        <f t="shared" si="9"/>
        <v>3.948</v>
      </c>
      <c r="AP6" s="27">
        <v>0.1056</v>
      </c>
      <c r="AQ6" s="27">
        <v>0.1057</v>
      </c>
      <c r="AR6" s="26">
        <f t="shared" si="10"/>
        <v>0.1057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21.1</v>
      </c>
      <c r="F7" s="23">
        <v>7</v>
      </c>
      <c r="G7" s="63">
        <v>82</v>
      </c>
      <c r="H7" s="39">
        <v>9.6</v>
      </c>
      <c r="I7" s="23">
        <v>0.7</v>
      </c>
      <c r="J7" s="23">
        <v>4</v>
      </c>
      <c r="K7" s="37">
        <v>2.9</v>
      </c>
      <c r="L7" s="37">
        <v>2.6</v>
      </c>
      <c r="M7" s="37"/>
      <c r="N7" s="38">
        <f t="shared" si="0"/>
        <v>2.8</v>
      </c>
      <c r="O7" s="37">
        <v>2.2999999999999998</v>
      </c>
      <c r="P7" s="37">
        <v>2.2000000000000002</v>
      </c>
      <c r="Q7" s="38">
        <f t="shared" si="1"/>
        <v>2.2999999999999998</v>
      </c>
      <c r="R7" s="17">
        <v>1.4690000000000001</v>
      </c>
      <c r="S7" s="17">
        <v>1.4370000000000001</v>
      </c>
      <c r="T7" s="22">
        <f t="shared" si="2"/>
        <v>1.4530000000000001</v>
      </c>
      <c r="U7" s="34">
        <v>1.387</v>
      </c>
      <c r="V7" s="34">
        <v>1.3779999999999999</v>
      </c>
      <c r="W7" s="33">
        <f t="shared" si="3"/>
        <v>1.383</v>
      </c>
      <c r="X7" s="17">
        <v>3.5000000000000003E-2</v>
      </c>
      <c r="Y7" s="17">
        <v>3.4000000000000002E-2</v>
      </c>
      <c r="Z7" s="21">
        <f t="shared" si="4"/>
        <v>3.5000000000000003E-2</v>
      </c>
      <c r="AA7" s="19">
        <v>1.256</v>
      </c>
      <c r="AB7" s="19">
        <v>1.2529999999999999</v>
      </c>
      <c r="AC7" s="21">
        <f t="shared" si="5"/>
        <v>1.2549999999999999</v>
      </c>
      <c r="AD7" s="19">
        <v>6.0999999999999999E-2</v>
      </c>
      <c r="AE7" s="19">
        <v>5.8999999999999997E-2</v>
      </c>
      <c r="AF7" s="21">
        <f t="shared" si="6"/>
        <v>0.06</v>
      </c>
      <c r="AG7" s="30">
        <v>5.6000000000000001E-2</v>
      </c>
      <c r="AH7" s="30">
        <v>6.2E-2</v>
      </c>
      <c r="AI7" s="31">
        <f t="shared" si="7"/>
        <v>5.8999999999999997E-2</v>
      </c>
      <c r="AJ7" s="30">
        <v>8.0000000000000002E-3</v>
      </c>
      <c r="AK7" s="30">
        <v>8.0000000000000002E-3</v>
      </c>
      <c r="AL7" s="31">
        <f t="shared" si="8"/>
        <v>8.0000000000000002E-3</v>
      </c>
      <c r="AM7" s="19">
        <v>5.3609999999999998</v>
      </c>
      <c r="AN7" s="19">
        <v>5.3849999999999998</v>
      </c>
      <c r="AO7" s="21">
        <f t="shared" si="9"/>
        <v>5.3730000000000002</v>
      </c>
      <c r="AP7" s="27">
        <v>9.7699999999999995E-2</v>
      </c>
      <c r="AQ7" s="27">
        <v>9.7500000000000003E-2</v>
      </c>
      <c r="AR7" s="26">
        <f t="shared" si="10"/>
        <v>9.7600000000000006E-2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20.399999999999999</v>
      </c>
      <c r="F8" s="23">
        <v>7</v>
      </c>
      <c r="G8" s="63">
        <v>82</v>
      </c>
      <c r="H8" s="39">
        <v>9.9</v>
      </c>
      <c r="I8" s="23">
        <v>0.7</v>
      </c>
      <c r="J8" s="23">
        <v>2.9</v>
      </c>
      <c r="K8" s="37">
        <v>2</v>
      </c>
      <c r="L8" s="37">
        <v>1.9</v>
      </c>
      <c r="M8" s="37"/>
      <c r="N8" s="38">
        <f t="shared" si="0"/>
        <v>2</v>
      </c>
      <c r="O8" s="37">
        <v>1.8</v>
      </c>
      <c r="P8" s="37">
        <v>1.8</v>
      </c>
      <c r="Q8" s="38">
        <f t="shared" si="1"/>
        <v>1.8</v>
      </c>
      <c r="R8" s="17">
        <v>1.3520000000000001</v>
      </c>
      <c r="S8" s="17">
        <v>1.359</v>
      </c>
      <c r="T8" s="22">
        <f t="shared" si="2"/>
        <v>1.3560000000000001</v>
      </c>
      <c r="U8" s="34">
        <v>1.3069999999999999</v>
      </c>
      <c r="V8" s="34">
        <v>1.32</v>
      </c>
      <c r="W8" s="33">
        <f t="shared" si="3"/>
        <v>1.3140000000000001</v>
      </c>
      <c r="X8" s="17">
        <v>3.2000000000000001E-2</v>
      </c>
      <c r="Y8" s="17">
        <v>3.2000000000000001E-2</v>
      </c>
      <c r="Z8" s="21">
        <f t="shared" si="4"/>
        <v>3.2000000000000001E-2</v>
      </c>
      <c r="AA8" s="19">
        <v>1.2070000000000001</v>
      </c>
      <c r="AB8" s="19">
        <v>1.2050000000000001</v>
      </c>
      <c r="AC8" s="21">
        <f t="shared" si="5"/>
        <v>1.206</v>
      </c>
      <c r="AD8" s="19">
        <v>4.7E-2</v>
      </c>
      <c r="AE8" s="19">
        <v>4.4999999999999998E-2</v>
      </c>
      <c r="AF8" s="21">
        <f t="shared" si="6"/>
        <v>4.5999999999999999E-2</v>
      </c>
      <c r="AG8" s="30">
        <v>4.4999999999999998E-2</v>
      </c>
      <c r="AH8" s="30">
        <v>4.3999999999999997E-2</v>
      </c>
      <c r="AI8" s="31">
        <f t="shared" si="7"/>
        <v>4.4999999999999998E-2</v>
      </c>
      <c r="AJ8" s="30">
        <v>1.4E-2</v>
      </c>
      <c r="AK8" s="30">
        <v>1.4999999999999999E-2</v>
      </c>
      <c r="AL8" s="31">
        <f t="shared" si="8"/>
        <v>1.4999999999999999E-2</v>
      </c>
      <c r="AM8" s="19">
        <v>5.0369999999999999</v>
      </c>
      <c r="AN8" s="19">
        <v>5.0670000000000002</v>
      </c>
      <c r="AO8" s="21">
        <f t="shared" si="9"/>
        <v>5.0519999999999996</v>
      </c>
      <c r="AP8" s="27">
        <v>6.5799999999999997E-2</v>
      </c>
      <c r="AQ8" s="27">
        <v>6.54E-2</v>
      </c>
      <c r="AR8" s="26">
        <f t="shared" si="10"/>
        <v>6.5600000000000006E-2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20.9</v>
      </c>
      <c r="F9" s="23">
        <v>7</v>
      </c>
      <c r="G9" s="63">
        <v>85</v>
      </c>
      <c r="H9" s="39">
        <v>9.4</v>
      </c>
      <c r="I9" s="23">
        <v>0.7</v>
      </c>
      <c r="J9" s="23">
        <v>3.6</v>
      </c>
      <c r="K9" s="37">
        <v>2.4</v>
      </c>
      <c r="L9" s="37">
        <v>2.4</v>
      </c>
      <c r="M9" s="37"/>
      <c r="N9" s="38">
        <f t="shared" si="0"/>
        <v>2.4</v>
      </c>
      <c r="O9" s="37">
        <v>2.2000000000000002</v>
      </c>
      <c r="P9" s="37">
        <v>2.2000000000000002</v>
      </c>
      <c r="Q9" s="38">
        <f t="shared" si="1"/>
        <v>2.2000000000000002</v>
      </c>
      <c r="R9" s="17">
        <v>1.4650000000000001</v>
      </c>
      <c r="S9" s="17">
        <v>1.4810000000000001</v>
      </c>
      <c r="T9" s="22">
        <f t="shared" si="2"/>
        <v>1.4730000000000001</v>
      </c>
      <c r="U9" s="34">
        <v>1.4379999999999999</v>
      </c>
      <c r="V9" s="34">
        <v>1.4350000000000001</v>
      </c>
      <c r="W9" s="33">
        <f t="shared" si="3"/>
        <v>1.4370000000000001</v>
      </c>
      <c r="X9" s="17">
        <v>0.04</v>
      </c>
      <c r="Y9" s="17">
        <v>3.9E-2</v>
      </c>
      <c r="Z9" s="21">
        <f t="shared" si="4"/>
        <v>0.04</v>
      </c>
      <c r="AA9" s="19">
        <v>1.3069999999999999</v>
      </c>
      <c r="AB9" s="19">
        <v>1.306</v>
      </c>
      <c r="AC9" s="21">
        <f t="shared" si="5"/>
        <v>1.3069999999999999</v>
      </c>
      <c r="AD9" s="19">
        <v>4.2999999999999997E-2</v>
      </c>
      <c r="AE9" s="19">
        <v>4.1000000000000002E-2</v>
      </c>
      <c r="AF9" s="21">
        <f t="shared" si="6"/>
        <v>4.2000000000000003E-2</v>
      </c>
      <c r="AG9" s="30">
        <v>4.1000000000000002E-2</v>
      </c>
      <c r="AH9" s="30">
        <v>4.1000000000000002E-2</v>
      </c>
      <c r="AI9" s="31">
        <f t="shared" si="7"/>
        <v>4.1000000000000002E-2</v>
      </c>
      <c r="AJ9" s="30">
        <v>0.01</v>
      </c>
      <c r="AK9" s="30">
        <v>0.01</v>
      </c>
      <c r="AL9" s="31">
        <f t="shared" si="8"/>
        <v>0.01</v>
      </c>
      <c r="AM9" s="19">
        <v>5.4630000000000001</v>
      </c>
      <c r="AN9" s="19">
        <v>5.4820000000000002</v>
      </c>
      <c r="AO9" s="21">
        <f t="shared" si="9"/>
        <v>5.4729999999999999</v>
      </c>
      <c r="AP9" s="27">
        <v>8.2500000000000004E-2</v>
      </c>
      <c r="AQ9" s="27">
        <v>8.2600000000000007E-2</v>
      </c>
      <c r="AR9" s="26">
        <f t="shared" si="10"/>
        <v>8.2600000000000007E-2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21.5</v>
      </c>
      <c r="F10" s="23">
        <v>6.7</v>
      </c>
      <c r="G10" s="63">
        <v>93</v>
      </c>
      <c r="H10" s="39">
        <v>8.6</v>
      </c>
      <c r="I10" s="23">
        <v>0.8</v>
      </c>
      <c r="J10" s="23">
        <v>2.6</v>
      </c>
      <c r="K10" s="37">
        <v>1.8</v>
      </c>
      <c r="L10" s="37">
        <v>1.7</v>
      </c>
      <c r="M10" s="37"/>
      <c r="N10" s="38">
        <f t="shared" si="0"/>
        <v>1.8</v>
      </c>
      <c r="O10" s="37">
        <v>1.6</v>
      </c>
      <c r="P10" s="37">
        <v>1.5</v>
      </c>
      <c r="Q10" s="38">
        <f t="shared" si="1"/>
        <v>1.6</v>
      </c>
      <c r="R10" s="17">
        <v>2.04</v>
      </c>
      <c r="S10" s="17">
        <v>2.077</v>
      </c>
      <c r="T10" s="22">
        <f t="shared" si="2"/>
        <v>2.0590000000000002</v>
      </c>
      <c r="U10" s="34">
        <v>1.9950000000000001</v>
      </c>
      <c r="V10" s="34">
        <v>2.012</v>
      </c>
      <c r="W10" s="33">
        <f t="shared" si="3"/>
        <v>2.004</v>
      </c>
      <c r="X10" s="17">
        <v>0.04</v>
      </c>
      <c r="Y10" s="17">
        <v>0.04</v>
      </c>
      <c r="Z10" s="21">
        <f t="shared" si="4"/>
        <v>0.04</v>
      </c>
      <c r="AA10" s="19">
        <v>1.92</v>
      </c>
      <c r="AB10" s="19">
        <v>1.9159999999999999</v>
      </c>
      <c r="AC10" s="21">
        <f t="shared" si="5"/>
        <v>1.9179999999999999</v>
      </c>
      <c r="AD10" s="19">
        <v>0.108</v>
      </c>
      <c r="AE10" s="19">
        <v>0.107</v>
      </c>
      <c r="AF10" s="21">
        <f t="shared" si="6"/>
        <v>0.108</v>
      </c>
      <c r="AG10" s="30">
        <v>0.105</v>
      </c>
      <c r="AH10" s="30">
        <v>0.10100000000000001</v>
      </c>
      <c r="AI10" s="31">
        <f t="shared" si="7"/>
        <v>0.10299999999999999</v>
      </c>
      <c r="AJ10" s="30">
        <v>7.6999999999999999E-2</v>
      </c>
      <c r="AK10" s="30">
        <v>7.8E-2</v>
      </c>
      <c r="AL10" s="31">
        <f t="shared" si="8"/>
        <v>7.8E-2</v>
      </c>
      <c r="AM10" s="19">
        <v>5.4589999999999996</v>
      </c>
      <c r="AN10" s="19">
        <v>5.4779999999999998</v>
      </c>
      <c r="AO10" s="21">
        <f t="shared" si="9"/>
        <v>5.4690000000000003</v>
      </c>
      <c r="AP10" s="27">
        <v>5.0500000000000003E-2</v>
      </c>
      <c r="AQ10" s="27">
        <v>4.9700000000000001E-2</v>
      </c>
      <c r="AR10" s="26">
        <f t="shared" si="10"/>
        <v>5.0099999999999999E-2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21.7</v>
      </c>
      <c r="F11" s="23">
        <v>6.6</v>
      </c>
      <c r="G11" s="63">
        <v>94</v>
      </c>
      <c r="H11" s="39">
        <v>8.6999999999999993</v>
      </c>
      <c r="I11" s="23">
        <v>0.9</v>
      </c>
      <c r="J11" s="23">
        <v>3.4</v>
      </c>
      <c r="K11" s="37">
        <v>2.1</v>
      </c>
      <c r="L11" s="37">
        <v>2.2999999999999998</v>
      </c>
      <c r="M11" s="37"/>
      <c r="N11" s="38">
        <f t="shared" si="0"/>
        <v>2.2000000000000002</v>
      </c>
      <c r="O11" s="37">
        <v>1.9</v>
      </c>
      <c r="P11" s="37">
        <v>1.9</v>
      </c>
      <c r="Q11" s="38">
        <f t="shared" si="1"/>
        <v>1.9</v>
      </c>
      <c r="R11" s="17">
        <v>1.633</v>
      </c>
      <c r="S11" s="17">
        <v>1.671</v>
      </c>
      <c r="T11" s="22">
        <f t="shared" si="2"/>
        <v>1.6519999999999999</v>
      </c>
      <c r="U11" s="34">
        <v>1.6220000000000001</v>
      </c>
      <c r="V11" s="34">
        <v>1.5920000000000001</v>
      </c>
      <c r="W11" s="33">
        <f t="shared" si="3"/>
        <v>1.607</v>
      </c>
      <c r="X11" s="17">
        <v>3.9E-2</v>
      </c>
      <c r="Y11" s="17">
        <v>3.7999999999999999E-2</v>
      </c>
      <c r="Z11" s="21">
        <f t="shared" si="4"/>
        <v>3.9E-2</v>
      </c>
      <c r="AA11" s="19">
        <v>1.4830000000000001</v>
      </c>
      <c r="AB11" s="19">
        <v>1.48</v>
      </c>
      <c r="AC11" s="21">
        <f t="shared" si="5"/>
        <v>1.482</v>
      </c>
      <c r="AD11" s="19">
        <v>6.8000000000000005E-2</v>
      </c>
      <c r="AE11" s="19">
        <v>6.6000000000000003E-2</v>
      </c>
      <c r="AF11" s="21">
        <f t="shared" si="6"/>
        <v>6.7000000000000004E-2</v>
      </c>
      <c r="AG11" s="30">
        <v>6.6000000000000003E-2</v>
      </c>
      <c r="AH11" s="30">
        <v>6.5000000000000002E-2</v>
      </c>
      <c r="AI11" s="31">
        <f t="shared" si="7"/>
        <v>6.6000000000000003E-2</v>
      </c>
      <c r="AJ11" s="30">
        <v>0.03</v>
      </c>
      <c r="AK11" s="30">
        <v>0.03</v>
      </c>
      <c r="AL11" s="31">
        <f t="shared" si="8"/>
        <v>0.03</v>
      </c>
      <c r="AM11" s="19">
        <v>5.4930000000000003</v>
      </c>
      <c r="AN11" s="19">
        <v>5.51</v>
      </c>
      <c r="AO11" s="21">
        <f t="shared" si="9"/>
        <v>5.5019999999999998</v>
      </c>
      <c r="AP11" s="27">
        <v>7.0800000000000002E-2</v>
      </c>
      <c r="AQ11" s="27">
        <v>7.0800000000000002E-2</v>
      </c>
      <c r="AR11" s="26">
        <f t="shared" si="10"/>
        <v>7.0800000000000002E-2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21.8</v>
      </c>
      <c r="F12" s="23">
        <v>7</v>
      </c>
      <c r="G12" s="63">
        <v>76</v>
      </c>
      <c r="H12" s="39">
        <v>8.6</v>
      </c>
      <c r="I12" s="23">
        <v>0.7</v>
      </c>
      <c r="J12" s="23">
        <v>3.6</v>
      </c>
      <c r="K12" s="37">
        <v>2.2999999999999998</v>
      </c>
      <c r="L12" s="37">
        <v>2.1</v>
      </c>
      <c r="M12" s="37"/>
      <c r="N12" s="38">
        <f t="shared" si="0"/>
        <v>2.2000000000000002</v>
      </c>
      <c r="O12" s="37">
        <v>2.1</v>
      </c>
      <c r="P12" s="37">
        <v>2.1</v>
      </c>
      <c r="Q12" s="38">
        <f t="shared" si="1"/>
        <v>2.1</v>
      </c>
      <c r="R12" s="17">
        <v>1.004</v>
      </c>
      <c r="S12" s="17">
        <v>1.0289999999999999</v>
      </c>
      <c r="T12" s="22">
        <f t="shared" si="2"/>
        <v>1.0169999999999999</v>
      </c>
      <c r="U12" s="34">
        <v>0.96599999999999997</v>
      </c>
      <c r="V12" s="34">
        <v>0.96299999999999997</v>
      </c>
      <c r="W12" s="33">
        <f t="shared" si="3"/>
        <v>0.96499999999999997</v>
      </c>
      <c r="X12" s="17">
        <v>0.05</v>
      </c>
      <c r="Y12" s="17">
        <v>4.9000000000000002E-2</v>
      </c>
      <c r="Z12" s="21">
        <f t="shared" si="4"/>
        <v>0.05</v>
      </c>
      <c r="AA12" s="19">
        <v>0.85299999999999998</v>
      </c>
      <c r="AB12" s="19">
        <v>0.85299999999999998</v>
      </c>
      <c r="AC12" s="21">
        <f t="shared" si="5"/>
        <v>0.85299999999999998</v>
      </c>
      <c r="AD12" s="19">
        <v>4.3999999999999997E-2</v>
      </c>
      <c r="AE12" s="19">
        <v>4.2999999999999997E-2</v>
      </c>
      <c r="AF12" s="21">
        <f t="shared" si="6"/>
        <v>4.3999999999999997E-2</v>
      </c>
      <c r="AG12" s="30">
        <v>4.2999999999999997E-2</v>
      </c>
      <c r="AH12" s="30">
        <v>0.04</v>
      </c>
      <c r="AI12" s="31">
        <f t="shared" si="7"/>
        <v>4.2000000000000003E-2</v>
      </c>
      <c r="AJ12" s="30">
        <v>1.6E-2</v>
      </c>
      <c r="AK12" s="30">
        <v>1.4E-2</v>
      </c>
      <c r="AL12" s="31">
        <f t="shared" si="8"/>
        <v>1.4999999999999999E-2</v>
      </c>
      <c r="AM12" s="19">
        <v>5.085</v>
      </c>
      <c r="AN12" s="19">
        <v>5.0960000000000001</v>
      </c>
      <c r="AO12" s="21">
        <f t="shared" si="9"/>
        <v>5.0910000000000002</v>
      </c>
      <c r="AP12" s="27">
        <v>7.1300000000000002E-2</v>
      </c>
      <c r="AQ12" s="27">
        <v>7.1300000000000002E-2</v>
      </c>
      <c r="AR12" s="26">
        <f t="shared" si="10"/>
        <v>7.1300000000000002E-2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22.2</v>
      </c>
      <c r="F13" s="23">
        <v>6.9</v>
      </c>
      <c r="G13" s="63">
        <v>100</v>
      </c>
      <c r="H13" s="39">
        <v>8.4</v>
      </c>
      <c r="I13" s="23">
        <v>0.9</v>
      </c>
      <c r="J13" s="23">
        <v>3.7</v>
      </c>
      <c r="K13" s="37">
        <v>2.5</v>
      </c>
      <c r="L13" s="37">
        <v>2.4</v>
      </c>
      <c r="M13" s="37"/>
      <c r="N13" s="38">
        <f t="shared" si="0"/>
        <v>2.5</v>
      </c>
      <c r="O13" s="37">
        <v>2.1</v>
      </c>
      <c r="P13" s="37">
        <v>2</v>
      </c>
      <c r="Q13" s="38">
        <f t="shared" si="1"/>
        <v>2.1</v>
      </c>
      <c r="R13" s="17">
        <v>1.8049999999999999</v>
      </c>
      <c r="S13" s="17">
        <v>1.8149999999999999</v>
      </c>
      <c r="T13" s="22">
        <f t="shared" si="2"/>
        <v>1.81</v>
      </c>
      <c r="U13" s="34">
        <v>1.7130000000000001</v>
      </c>
      <c r="V13" s="34">
        <v>1.726</v>
      </c>
      <c r="W13" s="33">
        <f t="shared" si="3"/>
        <v>1.72</v>
      </c>
      <c r="X13" s="17">
        <v>6.0999999999999999E-2</v>
      </c>
      <c r="Y13" s="17">
        <v>0.06</v>
      </c>
      <c r="Z13" s="21">
        <f t="shared" si="4"/>
        <v>6.0999999999999999E-2</v>
      </c>
      <c r="AA13" s="19">
        <v>1.581</v>
      </c>
      <c r="AB13" s="19">
        <v>1.58</v>
      </c>
      <c r="AC13" s="21">
        <f t="shared" si="5"/>
        <v>1.581</v>
      </c>
      <c r="AD13" s="19">
        <v>0.104</v>
      </c>
      <c r="AE13" s="19">
        <v>0.10199999999999999</v>
      </c>
      <c r="AF13" s="21">
        <f t="shared" si="6"/>
        <v>0.10299999999999999</v>
      </c>
      <c r="AG13" s="30">
        <v>0.10100000000000001</v>
      </c>
      <c r="AH13" s="30">
        <v>0.10100000000000001</v>
      </c>
      <c r="AI13" s="31">
        <f t="shared" si="7"/>
        <v>0.10100000000000001</v>
      </c>
      <c r="AJ13" s="30">
        <v>5.5E-2</v>
      </c>
      <c r="AK13" s="30">
        <v>0.06</v>
      </c>
      <c r="AL13" s="31">
        <f t="shared" si="8"/>
        <v>5.8000000000000003E-2</v>
      </c>
      <c r="AM13" s="19">
        <v>5.75</v>
      </c>
      <c r="AN13" s="19">
        <v>5.7590000000000003</v>
      </c>
      <c r="AO13" s="21">
        <f t="shared" si="9"/>
        <v>5.7549999999999999</v>
      </c>
      <c r="AP13" s="27">
        <v>7.2099999999999997E-2</v>
      </c>
      <c r="AQ13" s="27">
        <v>7.2099999999999997E-2</v>
      </c>
      <c r="AR13" s="26">
        <f t="shared" si="10"/>
        <v>7.2099999999999997E-2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22.9</v>
      </c>
      <c r="F14" s="23">
        <v>6.8</v>
      </c>
      <c r="G14" s="63">
        <v>118</v>
      </c>
      <c r="H14" s="39">
        <v>8.4</v>
      </c>
      <c r="I14" s="23">
        <v>1</v>
      </c>
      <c r="J14" s="23">
        <v>3.5</v>
      </c>
      <c r="K14" s="37">
        <v>2</v>
      </c>
      <c r="L14" s="37">
        <v>2.2999999999999998</v>
      </c>
      <c r="M14" s="37"/>
      <c r="N14" s="38">
        <f t="shared" si="0"/>
        <v>2.2000000000000002</v>
      </c>
      <c r="O14" s="37">
        <v>2</v>
      </c>
      <c r="P14" s="37">
        <v>1.9</v>
      </c>
      <c r="Q14" s="38">
        <f t="shared" si="1"/>
        <v>2</v>
      </c>
      <c r="R14" s="17">
        <v>2.5539999999999998</v>
      </c>
      <c r="S14" s="17">
        <v>2.5739999999999998</v>
      </c>
      <c r="T14" s="22">
        <f t="shared" si="2"/>
        <v>2.5640000000000001</v>
      </c>
      <c r="U14" s="34">
        <v>2.5289999999999999</v>
      </c>
      <c r="V14" s="34">
        <v>2.5089999999999999</v>
      </c>
      <c r="W14" s="33">
        <f t="shared" si="3"/>
        <v>2.5190000000000001</v>
      </c>
      <c r="X14" s="17">
        <v>3.5999999999999997E-2</v>
      </c>
      <c r="Y14" s="17">
        <v>3.5000000000000003E-2</v>
      </c>
      <c r="Z14" s="21">
        <f t="shared" si="4"/>
        <v>3.5999999999999997E-2</v>
      </c>
      <c r="AA14" s="19">
        <v>2.3809999999999998</v>
      </c>
      <c r="AB14" s="19">
        <v>2.3969999999999998</v>
      </c>
      <c r="AC14" s="21">
        <f t="shared" si="5"/>
        <v>2.3889999999999998</v>
      </c>
      <c r="AD14" s="19">
        <v>2.7E-2</v>
      </c>
      <c r="AE14" s="19">
        <v>2.3E-2</v>
      </c>
      <c r="AF14" s="21">
        <f t="shared" si="6"/>
        <v>2.5000000000000001E-2</v>
      </c>
      <c r="AG14" s="30">
        <v>2.4500000000000001E-2</v>
      </c>
      <c r="AH14" s="30">
        <v>2.4E-2</v>
      </c>
      <c r="AI14" s="31">
        <f t="shared" si="7"/>
        <v>2.4E-2</v>
      </c>
      <c r="AJ14" s="30">
        <v>4.0000000000000001E-3</v>
      </c>
      <c r="AK14" s="30">
        <v>2E-3</v>
      </c>
      <c r="AL14" s="31">
        <f t="shared" si="8"/>
        <v>3.0000000000000001E-3</v>
      </c>
      <c r="AM14" s="19">
        <v>4.8479999999999999</v>
      </c>
      <c r="AN14" s="19">
        <v>4.851</v>
      </c>
      <c r="AO14" s="21">
        <f t="shared" si="9"/>
        <v>4.8499999999999996</v>
      </c>
      <c r="AP14" s="27">
        <v>5.6300000000000003E-2</v>
      </c>
      <c r="AQ14" s="27">
        <v>5.5899999999999998E-2</v>
      </c>
      <c r="AR14" s="26">
        <f t="shared" si="10"/>
        <v>5.6099999999999997E-2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22.2</v>
      </c>
      <c r="F15" s="23">
        <v>6.8</v>
      </c>
      <c r="G15" s="63">
        <v>105</v>
      </c>
      <c r="H15" s="39">
        <v>8.6</v>
      </c>
      <c r="I15" s="23">
        <v>0.9</v>
      </c>
      <c r="J15" s="23">
        <v>3.7</v>
      </c>
      <c r="K15" s="37">
        <v>2.2000000000000002</v>
      </c>
      <c r="L15" s="37">
        <v>2.2000000000000002</v>
      </c>
      <c r="M15" s="37"/>
      <c r="N15" s="38">
        <f t="shared" si="0"/>
        <v>2.2000000000000002</v>
      </c>
      <c r="O15" s="37">
        <v>2</v>
      </c>
      <c r="P15" s="37">
        <v>2</v>
      </c>
      <c r="Q15" s="38">
        <f t="shared" si="1"/>
        <v>2</v>
      </c>
      <c r="R15" s="17">
        <v>1.9319999999999999</v>
      </c>
      <c r="S15" s="17">
        <v>1.9330000000000001</v>
      </c>
      <c r="T15" s="22">
        <f t="shared" si="2"/>
        <v>1.9330000000000001</v>
      </c>
      <c r="U15" s="34">
        <v>1.895</v>
      </c>
      <c r="V15" s="34">
        <v>1.883</v>
      </c>
      <c r="W15" s="33">
        <f t="shared" si="3"/>
        <v>1.889</v>
      </c>
      <c r="X15" s="17">
        <v>4.3999999999999997E-2</v>
      </c>
      <c r="Y15" s="17">
        <v>4.2999999999999997E-2</v>
      </c>
      <c r="Z15" s="21">
        <f t="shared" si="4"/>
        <v>4.3999999999999997E-2</v>
      </c>
      <c r="AA15" s="19">
        <v>1.7350000000000001</v>
      </c>
      <c r="AB15" s="19">
        <v>1.736</v>
      </c>
      <c r="AC15" s="21">
        <f t="shared" si="5"/>
        <v>1.736</v>
      </c>
      <c r="AD15" s="19">
        <v>7.0999999999999994E-2</v>
      </c>
      <c r="AE15" s="19">
        <v>7.0000000000000007E-2</v>
      </c>
      <c r="AF15" s="21">
        <f t="shared" si="6"/>
        <v>7.0999999999999994E-2</v>
      </c>
      <c r="AG15" s="30">
        <v>7.0000000000000007E-2</v>
      </c>
      <c r="AH15" s="30">
        <v>6.8000000000000005E-2</v>
      </c>
      <c r="AI15" s="31">
        <f t="shared" si="7"/>
        <v>6.9000000000000006E-2</v>
      </c>
      <c r="AJ15" s="30">
        <v>3.4000000000000002E-2</v>
      </c>
      <c r="AK15" s="30">
        <v>3.5000000000000003E-2</v>
      </c>
      <c r="AL15" s="31">
        <f t="shared" si="8"/>
        <v>3.5000000000000003E-2</v>
      </c>
      <c r="AM15" s="19">
        <v>5.4489999999999998</v>
      </c>
      <c r="AN15" s="19">
        <v>5.4539999999999997</v>
      </c>
      <c r="AO15" s="21">
        <f t="shared" si="9"/>
        <v>5.452</v>
      </c>
      <c r="AP15" s="27">
        <v>7.17E-2</v>
      </c>
      <c r="AQ15" s="27">
        <v>7.17E-2</v>
      </c>
      <c r="AR15" s="26">
        <f t="shared" si="10"/>
        <v>7.17E-2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22.2</v>
      </c>
      <c r="F16" s="23">
        <v>6.7</v>
      </c>
      <c r="G16" s="63">
        <v>115</v>
      </c>
      <c r="H16" s="39">
        <v>8.5</v>
      </c>
      <c r="I16" s="23">
        <v>0.9</v>
      </c>
      <c r="J16" s="23">
        <v>4.7</v>
      </c>
      <c r="K16" s="37">
        <v>2.9</v>
      </c>
      <c r="L16" s="37">
        <v>2.9</v>
      </c>
      <c r="M16" s="37"/>
      <c r="N16" s="38">
        <f t="shared" si="0"/>
        <v>2.9</v>
      </c>
      <c r="O16" s="37">
        <v>2.5</v>
      </c>
      <c r="P16" s="37">
        <v>2.6</v>
      </c>
      <c r="Q16" s="38">
        <f t="shared" si="1"/>
        <v>2.6</v>
      </c>
      <c r="R16" s="17">
        <v>2.113</v>
      </c>
      <c r="S16" s="17">
        <v>2.1579999999999999</v>
      </c>
      <c r="T16" s="22">
        <f t="shared" si="2"/>
        <v>2.1360000000000001</v>
      </c>
      <c r="U16" s="34">
        <v>2.1019999999999999</v>
      </c>
      <c r="V16" s="34">
        <v>2.1150000000000002</v>
      </c>
      <c r="W16" s="33">
        <f t="shared" si="3"/>
        <v>2.109</v>
      </c>
      <c r="X16" s="17">
        <v>4.5999999999999999E-2</v>
      </c>
      <c r="Y16" s="17">
        <v>4.4999999999999998E-2</v>
      </c>
      <c r="Z16" s="21">
        <f t="shared" si="4"/>
        <v>4.5999999999999999E-2</v>
      </c>
      <c r="AA16" s="19">
        <v>1.9530000000000001</v>
      </c>
      <c r="AB16" s="19">
        <v>1.956</v>
      </c>
      <c r="AC16" s="21">
        <f t="shared" si="5"/>
        <v>1.9550000000000001</v>
      </c>
      <c r="AD16" s="19">
        <v>7.1999999999999995E-2</v>
      </c>
      <c r="AE16" s="19">
        <v>7.0999999999999994E-2</v>
      </c>
      <c r="AF16" s="21">
        <f t="shared" si="6"/>
        <v>7.1999999999999995E-2</v>
      </c>
      <c r="AG16" s="30">
        <v>6.7000000000000004E-2</v>
      </c>
      <c r="AH16" s="30">
        <v>6.9000000000000006E-2</v>
      </c>
      <c r="AI16" s="31">
        <f t="shared" si="7"/>
        <v>6.8000000000000005E-2</v>
      </c>
      <c r="AJ16" s="30">
        <v>3.1E-2</v>
      </c>
      <c r="AK16" s="30">
        <v>3.1E-2</v>
      </c>
      <c r="AL16" s="31">
        <f t="shared" si="8"/>
        <v>3.1E-2</v>
      </c>
      <c r="AM16" s="19">
        <v>5.8769999999999998</v>
      </c>
      <c r="AN16" s="19">
        <v>5.8869999999999996</v>
      </c>
      <c r="AO16" s="21">
        <f t="shared" si="9"/>
        <v>5.8819999999999997</v>
      </c>
      <c r="AP16" s="27">
        <v>0.1048</v>
      </c>
      <c r="AQ16" s="27">
        <v>0.1047</v>
      </c>
      <c r="AR16" s="26">
        <f t="shared" si="10"/>
        <v>0.1048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21.9</v>
      </c>
      <c r="F17" s="23">
        <v>7.3</v>
      </c>
      <c r="G17" s="63">
        <v>106</v>
      </c>
      <c r="H17" s="39">
        <v>8.6</v>
      </c>
      <c r="I17" s="23">
        <v>0.9</v>
      </c>
      <c r="J17" s="23">
        <v>4</v>
      </c>
      <c r="K17" s="37">
        <v>2.5</v>
      </c>
      <c r="L17" s="37">
        <v>2.6</v>
      </c>
      <c r="M17" s="37"/>
      <c r="N17" s="38">
        <f t="shared" si="0"/>
        <v>2.6</v>
      </c>
      <c r="O17" s="37">
        <v>2.2000000000000002</v>
      </c>
      <c r="P17" s="37">
        <v>2.2000000000000002</v>
      </c>
      <c r="Q17" s="38">
        <f t="shared" si="1"/>
        <v>2.2000000000000002</v>
      </c>
      <c r="R17" s="17">
        <v>2.0619999999999998</v>
      </c>
      <c r="S17" s="17">
        <v>2.0569999999999999</v>
      </c>
      <c r="T17" s="22">
        <f t="shared" si="2"/>
        <v>2.06</v>
      </c>
      <c r="U17" s="34">
        <v>2.0089999999999999</v>
      </c>
      <c r="V17" s="34">
        <v>1.9950000000000001</v>
      </c>
      <c r="W17" s="33">
        <f t="shared" si="3"/>
        <v>2.0019999999999998</v>
      </c>
      <c r="X17" s="17">
        <v>4.4999999999999998E-2</v>
      </c>
      <c r="Y17" s="17">
        <v>4.3999999999999997E-2</v>
      </c>
      <c r="Z17" s="21">
        <f t="shared" si="4"/>
        <v>4.4999999999999998E-2</v>
      </c>
      <c r="AA17" s="19">
        <v>1.8420000000000001</v>
      </c>
      <c r="AB17" s="19">
        <v>1.845</v>
      </c>
      <c r="AC17" s="21">
        <f t="shared" si="5"/>
        <v>1.8440000000000001</v>
      </c>
      <c r="AD17" s="19">
        <v>8.2000000000000003E-2</v>
      </c>
      <c r="AE17" s="19">
        <v>0.08</v>
      </c>
      <c r="AF17" s="21">
        <f t="shared" si="6"/>
        <v>8.1000000000000003E-2</v>
      </c>
      <c r="AG17" s="30">
        <v>7.8E-2</v>
      </c>
      <c r="AH17" s="30">
        <v>7.1999999999999995E-2</v>
      </c>
      <c r="AI17" s="31">
        <f t="shared" si="7"/>
        <v>7.4999999999999997E-2</v>
      </c>
      <c r="AJ17" s="30">
        <v>4.2000000000000003E-2</v>
      </c>
      <c r="AK17" s="30">
        <v>4.2000000000000003E-2</v>
      </c>
      <c r="AL17" s="31">
        <f t="shared" si="8"/>
        <v>4.2000000000000003E-2</v>
      </c>
      <c r="AM17" s="19">
        <v>5.5890000000000004</v>
      </c>
      <c r="AN17" s="19">
        <v>5.5890000000000004</v>
      </c>
      <c r="AO17" s="21">
        <f t="shared" si="9"/>
        <v>5.5890000000000004</v>
      </c>
      <c r="AP17" s="27">
        <v>7.9200000000000007E-2</v>
      </c>
      <c r="AQ17" s="27">
        <v>7.8899999999999998E-2</v>
      </c>
      <c r="AR17" s="26">
        <f t="shared" si="10"/>
        <v>7.9100000000000004E-2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22.4</v>
      </c>
      <c r="F18" s="23">
        <v>6.6</v>
      </c>
      <c r="G18" s="63">
        <v>143</v>
      </c>
      <c r="H18" s="39">
        <v>8</v>
      </c>
      <c r="I18" s="23">
        <v>1</v>
      </c>
      <c r="J18" s="23">
        <v>5.8</v>
      </c>
      <c r="K18" s="37">
        <v>4.0999999999999996</v>
      </c>
      <c r="L18" s="37">
        <v>4.0999999999999996</v>
      </c>
      <c r="M18" s="37"/>
      <c r="N18" s="38">
        <f t="shared" si="0"/>
        <v>4.0999999999999996</v>
      </c>
      <c r="O18" s="37">
        <v>3.7</v>
      </c>
      <c r="P18" s="37">
        <v>3.6</v>
      </c>
      <c r="Q18" s="38">
        <f t="shared" si="1"/>
        <v>3.7</v>
      </c>
      <c r="R18" s="17">
        <v>2.9790000000000001</v>
      </c>
      <c r="S18" s="17">
        <v>2.9860000000000002</v>
      </c>
      <c r="T18" s="22">
        <f t="shared" si="2"/>
        <v>2.9830000000000001</v>
      </c>
      <c r="U18" s="34">
        <v>2.93</v>
      </c>
      <c r="V18" s="34">
        <v>2.9449999999999998</v>
      </c>
      <c r="W18" s="33">
        <f t="shared" si="3"/>
        <v>2.9380000000000002</v>
      </c>
      <c r="X18" s="17">
        <v>7.8E-2</v>
      </c>
      <c r="Y18" s="17">
        <v>7.6999999999999999E-2</v>
      </c>
      <c r="Z18" s="21">
        <f t="shared" si="4"/>
        <v>7.8E-2</v>
      </c>
      <c r="AA18" s="19">
        <v>2.673</v>
      </c>
      <c r="AB18" s="19">
        <v>2.6720000000000002</v>
      </c>
      <c r="AC18" s="21">
        <f t="shared" si="5"/>
        <v>2.673</v>
      </c>
      <c r="AD18" s="19">
        <v>9.6000000000000002E-2</v>
      </c>
      <c r="AE18" s="19">
        <v>9.4E-2</v>
      </c>
      <c r="AF18" s="21">
        <f t="shared" si="6"/>
        <v>9.5000000000000001E-2</v>
      </c>
      <c r="AG18" s="30">
        <v>9.0999999999999998E-2</v>
      </c>
      <c r="AH18" s="30">
        <v>9.2999999999999999E-2</v>
      </c>
      <c r="AI18" s="31">
        <f t="shared" si="7"/>
        <v>9.1999999999999998E-2</v>
      </c>
      <c r="AJ18" s="30">
        <v>4.8000000000000001E-2</v>
      </c>
      <c r="AK18" s="30">
        <v>4.7E-2</v>
      </c>
      <c r="AL18" s="31">
        <f t="shared" si="8"/>
        <v>4.8000000000000001E-2</v>
      </c>
      <c r="AM18" s="19">
        <v>6.89</v>
      </c>
      <c r="AN18" s="19">
        <v>6.8940000000000001</v>
      </c>
      <c r="AO18" s="21">
        <f t="shared" si="9"/>
        <v>6.8920000000000003</v>
      </c>
      <c r="AP18" s="27">
        <v>0.14630000000000001</v>
      </c>
      <c r="AQ18" s="27">
        <v>0.1467</v>
      </c>
      <c r="AR18" s="26">
        <f t="shared" si="10"/>
        <v>0.14649999999999999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22</v>
      </c>
      <c r="F19" s="23">
        <v>6.7</v>
      </c>
      <c r="G19" s="63">
        <v>109</v>
      </c>
      <c r="H19" s="39">
        <v>8.5</v>
      </c>
      <c r="I19" s="23">
        <v>1</v>
      </c>
      <c r="J19" s="23">
        <v>3.9</v>
      </c>
      <c r="K19" s="37">
        <v>2.6</v>
      </c>
      <c r="L19" s="37">
        <v>2.8</v>
      </c>
      <c r="M19" s="37"/>
      <c r="N19" s="38">
        <f t="shared" si="0"/>
        <v>2.7</v>
      </c>
      <c r="O19" s="37">
        <v>2.5</v>
      </c>
      <c r="P19" s="37">
        <v>2.4</v>
      </c>
      <c r="Q19" s="38">
        <f t="shared" si="1"/>
        <v>2.5</v>
      </c>
      <c r="R19" s="17">
        <v>2.1549999999999998</v>
      </c>
      <c r="S19" s="17">
        <v>2.1850000000000001</v>
      </c>
      <c r="T19" s="22">
        <f t="shared" si="2"/>
        <v>2.17</v>
      </c>
      <c r="U19" s="34">
        <v>2.1349999999999998</v>
      </c>
      <c r="V19" s="34">
        <v>2.1</v>
      </c>
      <c r="W19" s="33">
        <f t="shared" si="3"/>
        <v>2.1179999999999999</v>
      </c>
      <c r="X19" s="17">
        <v>0.05</v>
      </c>
      <c r="Y19" s="17">
        <v>0.05</v>
      </c>
      <c r="Z19" s="21">
        <f t="shared" si="4"/>
        <v>0.05</v>
      </c>
      <c r="AA19" s="19">
        <v>1.944</v>
      </c>
      <c r="AB19" s="19">
        <v>1.9430000000000001</v>
      </c>
      <c r="AC19" s="21">
        <f t="shared" si="5"/>
        <v>1.944</v>
      </c>
      <c r="AD19" s="19">
        <v>8.7999999999999995E-2</v>
      </c>
      <c r="AE19" s="19">
        <v>8.7999999999999995E-2</v>
      </c>
      <c r="AF19" s="21">
        <f t="shared" si="6"/>
        <v>8.7999999999999995E-2</v>
      </c>
      <c r="AG19" s="30">
        <v>8.1000000000000003E-2</v>
      </c>
      <c r="AH19" s="30">
        <v>8.4000000000000005E-2</v>
      </c>
      <c r="AI19" s="31">
        <f t="shared" si="7"/>
        <v>8.3000000000000004E-2</v>
      </c>
      <c r="AJ19" s="30">
        <v>4.9000000000000002E-2</v>
      </c>
      <c r="AK19" s="30">
        <v>4.8000000000000001E-2</v>
      </c>
      <c r="AL19" s="31">
        <f t="shared" si="8"/>
        <v>4.9000000000000002E-2</v>
      </c>
      <c r="AM19" s="19">
        <v>5.69</v>
      </c>
      <c r="AN19" s="19">
        <v>5.6909999999999998</v>
      </c>
      <c r="AO19" s="21">
        <f t="shared" si="9"/>
        <v>5.6909999999999998</v>
      </c>
      <c r="AP19" s="27">
        <v>8.6499999999999994E-2</v>
      </c>
      <c r="AQ19" s="27">
        <v>8.5900000000000004E-2</v>
      </c>
      <c r="AR19" s="26">
        <f t="shared" si="10"/>
        <v>8.6199999999999999E-2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23.5</v>
      </c>
      <c r="F20" s="23">
        <v>6.6</v>
      </c>
      <c r="G20" s="63">
        <v>105</v>
      </c>
      <c r="H20" s="39">
        <v>8.1</v>
      </c>
      <c r="I20" s="23">
        <v>0.8</v>
      </c>
      <c r="J20" s="23">
        <v>6.4</v>
      </c>
      <c r="K20" s="37">
        <v>4.4000000000000004</v>
      </c>
      <c r="L20" s="37">
        <v>4.5</v>
      </c>
      <c r="M20" s="37"/>
      <c r="N20" s="38">
        <f t="shared" si="0"/>
        <v>4.5</v>
      </c>
      <c r="O20" s="37">
        <v>3.7</v>
      </c>
      <c r="P20" s="37">
        <v>3.6</v>
      </c>
      <c r="Q20" s="38">
        <f t="shared" si="1"/>
        <v>3.7</v>
      </c>
      <c r="R20" s="17">
        <v>1.6990000000000001</v>
      </c>
      <c r="S20" s="17">
        <v>1.712</v>
      </c>
      <c r="T20" s="22">
        <f t="shared" si="2"/>
        <v>1.706</v>
      </c>
      <c r="U20" s="34">
        <v>1.6120000000000001</v>
      </c>
      <c r="V20" s="34">
        <v>1.6120000000000001</v>
      </c>
      <c r="W20" s="33">
        <f t="shared" si="3"/>
        <v>1.6120000000000001</v>
      </c>
      <c r="X20" s="17">
        <v>4.5999999999999999E-2</v>
      </c>
      <c r="Y20" s="17">
        <v>4.5999999999999999E-2</v>
      </c>
      <c r="Z20" s="21">
        <f t="shared" si="4"/>
        <v>4.5999999999999999E-2</v>
      </c>
      <c r="AA20" s="19">
        <v>1.4219999999999999</v>
      </c>
      <c r="AB20" s="19">
        <v>1.413</v>
      </c>
      <c r="AC20" s="21">
        <f t="shared" si="5"/>
        <v>1.4179999999999999</v>
      </c>
      <c r="AD20" s="19">
        <v>9.2999999999999999E-2</v>
      </c>
      <c r="AE20" s="19">
        <v>9.4E-2</v>
      </c>
      <c r="AF20" s="21">
        <f t="shared" si="6"/>
        <v>9.4E-2</v>
      </c>
      <c r="AG20" s="30">
        <v>8.1000000000000003E-2</v>
      </c>
      <c r="AH20" s="30">
        <v>7.5999999999999998E-2</v>
      </c>
      <c r="AI20" s="31">
        <f t="shared" si="7"/>
        <v>7.9000000000000001E-2</v>
      </c>
      <c r="AJ20" s="30">
        <v>1.4E-2</v>
      </c>
      <c r="AK20" s="30">
        <v>1.2999999999999999E-2</v>
      </c>
      <c r="AL20" s="31">
        <f t="shared" si="8"/>
        <v>1.4E-2</v>
      </c>
      <c r="AM20" s="19">
        <v>3.5139999999999998</v>
      </c>
      <c r="AN20" s="19">
        <v>3.516</v>
      </c>
      <c r="AO20" s="21">
        <f t="shared" si="9"/>
        <v>3.5150000000000001</v>
      </c>
      <c r="AP20" s="27">
        <v>0.1656</v>
      </c>
      <c r="AQ20" s="27">
        <v>0.16569999999999999</v>
      </c>
      <c r="AR20" s="26">
        <f t="shared" si="10"/>
        <v>0.16569999999999999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22.6</v>
      </c>
      <c r="F21" s="23">
        <v>6.6</v>
      </c>
      <c r="G21" s="63">
        <v>109</v>
      </c>
      <c r="H21" s="39">
        <v>8.5</v>
      </c>
      <c r="I21" s="23">
        <v>0.6</v>
      </c>
      <c r="J21" s="23">
        <v>4.4000000000000004</v>
      </c>
      <c r="K21" s="37">
        <v>2.9</v>
      </c>
      <c r="L21" s="37">
        <v>3.2</v>
      </c>
      <c r="M21" s="37"/>
      <c r="N21" s="38">
        <f t="shared" si="0"/>
        <v>3.1</v>
      </c>
      <c r="O21" s="37">
        <v>2.7</v>
      </c>
      <c r="P21" s="37">
        <v>2.6</v>
      </c>
      <c r="Q21" s="38">
        <f t="shared" si="1"/>
        <v>2.7</v>
      </c>
      <c r="R21" s="17">
        <v>2.1019999999999999</v>
      </c>
      <c r="S21" s="17">
        <v>2.08</v>
      </c>
      <c r="T21" s="22">
        <f t="shared" si="2"/>
        <v>2.0910000000000002</v>
      </c>
      <c r="U21" s="34">
        <v>2.0339999999999998</v>
      </c>
      <c r="V21" s="34">
        <v>2.0499999999999998</v>
      </c>
      <c r="W21" s="33">
        <f t="shared" si="3"/>
        <v>2.0419999999999998</v>
      </c>
      <c r="X21" s="17">
        <v>5.0999999999999997E-2</v>
      </c>
      <c r="Y21" s="17">
        <v>0.05</v>
      </c>
      <c r="Z21" s="21">
        <f t="shared" si="4"/>
        <v>5.0999999999999997E-2</v>
      </c>
      <c r="AA21" s="19">
        <v>1.8560000000000001</v>
      </c>
      <c r="AB21" s="19">
        <v>1.8680000000000001</v>
      </c>
      <c r="AC21" s="21">
        <f t="shared" si="5"/>
        <v>1.8620000000000001</v>
      </c>
      <c r="AD21" s="19">
        <v>8.6999999999999994E-2</v>
      </c>
      <c r="AE21" s="19">
        <v>8.4000000000000005E-2</v>
      </c>
      <c r="AF21" s="21">
        <f t="shared" si="6"/>
        <v>8.5999999999999993E-2</v>
      </c>
      <c r="AG21" s="30">
        <v>8.3000000000000004E-2</v>
      </c>
      <c r="AH21" s="30">
        <v>8.3000000000000004E-2</v>
      </c>
      <c r="AI21" s="31">
        <f t="shared" si="7"/>
        <v>8.3000000000000004E-2</v>
      </c>
      <c r="AJ21" s="30">
        <v>3.7999999999999999E-2</v>
      </c>
      <c r="AK21" s="30">
        <v>3.9E-2</v>
      </c>
      <c r="AL21" s="31">
        <f t="shared" si="8"/>
        <v>3.9E-2</v>
      </c>
      <c r="AM21" s="19">
        <v>5.2910000000000004</v>
      </c>
      <c r="AN21" s="19">
        <v>5.2969999999999997</v>
      </c>
      <c r="AO21" s="21">
        <f t="shared" si="9"/>
        <v>5.2939999999999996</v>
      </c>
      <c r="AP21" s="27">
        <v>9.9500000000000005E-2</v>
      </c>
      <c r="AQ21" s="27">
        <v>9.9000000000000005E-2</v>
      </c>
      <c r="AR21" s="26">
        <f t="shared" si="10"/>
        <v>9.9299999999999999E-2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21.5</v>
      </c>
      <c r="F22" s="23">
        <v>6.7</v>
      </c>
      <c r="G22" s="63">
        <v>161</v>
      </c>
      <c r="H22" s="39">
        <v>8.8000000000000007</v>
      </c>
      <c r="I22" s="23">
        <v>0.5</v>
      </c>
      <c r="J22" s="23">
        <v>4</v>
      </c>
      <c r="K22" s="37">
        <v>2.7</v>
      </c>
      <c r="L22" s="37">
        <v>2.7</v>
      </c>
      <c r="M22" s="37"/>
      <c r="N22" s="38">
        <f t="shared" si="0"/>
        <v>2.7</v>
      </c>
      <c r="O22" s="37">
        <v>2.4</v>
      </c>
      <c r="P22" s="37">
        <v>2.2999999999999998</v>
      </c>
      <c r="Q22" s="38">
        <f t="shared" si="1"/>
        <v>2.4</v>
      </c>
      <c r="R22" s="17">
        <v>2.573</v>
      </c>
      <c r="S22" s="17">
        <v>2.5939999999999999</v>
      </c>
      <c r="T22" s="22">
        <f t="shared" si="2"/>
        <v>2.5840000000000001</v>
      </c>
      <c r="U22" s="34">
        <v>2.5289999999999999</v>
      </c>
      <c r="V22" s="34">
        <v>2.5350000000000001</v>
      </c>
      <c r="W22" s="33">
        <f t="shared" si="3"/>
        <v>2.532</v>
      </c>
      <c r="X22" s="17">
        <v>4.7E-2</v>
      </c>
      <c r="Y22" s="17">
        <v>4.8000000000000001E-2</v>
      </c>
      <c r="Z22" s="21">
        <f t="shared" si="4"/>
        <v>4.8000000000000001E-2</v>
      </c>
      <c r="AA22" s="19">
        <v>2.3719999999999999</v>
      </c>
      <c r="AB22" s="19">
        <v>2.375</v>
      </c>
      <c r="AC22" s="21">
        <f t="shared" si="5"/>
        <v>2.3740000000000001</v>
      </c>
      <c r="AD22" s="19">
        <v>8.3000000000000004E-2</v>
      </c>
      <c r="AE22" s="19">
        <v>8.5000000000000006E-2</v>
      </c>
      <c r="AF22" s="21">
        <f t="shared" si="6"/>
        <v>8.4000000000000005E-2</v>
      </c>
      <c r="AG22" s="30">
        <v>8.2000000000000003E-2</v>
      </c>
      <c r="AH22" s="30">
        <v>8.3000000000000004E-2</v>
      </c>
      <c r="AI22" s="31">
        <f t="shared" si="7"/>
        <v>8.3000000000000004E-2</v>
      </c>
      <c r="AJ22" s="30">
        <v>4.2000000000000003E-2</v>
      </c>
      <c r="AK22" s="30">
        <v>4.2999999999999997E-2</v>
      </c>
      <c r="AL22" s="31">
        <f t="shared" si="8"/>
        <v>4.2999999999999997E-2</v>
      </c>
      <c r="AM22" s="19">
        <v>7.2279999999999998</v>
      </c>
      <c r="AN22" s="19">
        <v>7.2229999999999999</v>
      </c>
      <c r="AO22" s="21">
        <f t="shared" si="9"/>
        <v>7.226</v>
      </c>
      <c r="AP22" s="27">
        <v>8.6599999999999996E-2</v>
      </c>
      <c r="AQ22" s="27">
        <v>8.6300000000000002E-2</v>
      </c>
      <c r="AR22" s="26">
        <f t="shared" si="10"/>
        <v>8.6499999999999994E-2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22.7</v>
      </c>
      <c r="F23" s="23">
        <v>7</v>
      </c>
      <c r="G23" s="63">
        <v>136</v>
      </c>
      <c r="H23" s="39">
        <v>8.3000000000000007</v>
      </c>
      <c r="I23" s="23">
        <v>0.8</v>
      </c>
      <c r="J23" s="23">
        <v>4.5999999999999996</v>
      </c>
      <c r="K23" s="37">
        <v>3.1</v>
      </c>
      <c r="L23" s="37">
        <v>3</v>
      </c>
      <c r="M23" s="37"/>
      <c r="N23" s="38">
        <f t="shared" si="0"/>
        <v>3.1</v>
      </c>
      <c r="O23" s="37">
        <v>2.6</v>
      </c>
      <c r="P23" s="37">
        <v>2.7</v>
      </c>
      <c r="Q23" s="38">
        <f t="shared" si="1"/>
        <v>2.7</v>
      </c>
      <c r="R23" s="17">
        <v>2.4590000000000001</v>
      </c>
      <c r="S23" s="17">
        <v>2.4569999999999999</v>
      </c>
      <c r="T23" s="22">
        <f t="shared" si="2"/>
        <v>2.4580000000000002</v>
      </c>
      <c r="U23" s="34">
        <v>2.3570000000000002</v>
      </c>
      <c r="V23" s="34">
        <v>2.3780000000000001</v>
      </c>
      <c r="W23" s="33">
        <f t="shared" si="3"/>
        <v>2.3679999999999999</v>
      </c>
      <c r="X23" s="17">
        <v>8.5999999999999993E-2</v>
      </c>
      <c r="Y23" s="17">
        <v>8.4000000000000005E-2</v>
      </c>
      <c r="Z23" s="21">
        <f t="shared" si="4"/>
        <v>8.5000000000000006E-2</v>
      </c>
      <c r="AA23" s="19">
        <v>2.145</v>
      </c>
      <c r="AB23" s="19">
        <v>2.1419999999999999</v>
      </c>
      <c r="AC23" s="21">
        <f t="shared" si="5"/>
        <v>2.1440000000000001</v>
      </c>
      <c r="AD23" s="19">
        <v>9.6000000000000002E-2</v>
      </c>
      <c r="AE23" s="19">
        <v>9.7000000000000003E-2</v>
      </c>
      <c r="AF23" s="21">
        <f t="shared" si="6"/>
        <v>9.7000000000000003E-2</v>
      </c>
      <c r="AG23" s="30">
        <v>9.1999999999999998E-2</v>
      </c>
      <c r="AH23" s="30">
        <v>8.8999999999999996E-2</v>
      </c>
      <c r="AI23" s="31">
        <f t="shared" si="7"/>
        <v>9.0999999999999998E-2</v>
      </c>
      <c r="AJ23" s="30">
        <v>4.2999999999999997E-2</v>
      </c>
      <c r="AK23" s="30">
        <v>4.7E-2</v>
      </c>
      <c r="AL23" s="31">
        <f t="shared" si="8"/>
        <v>4.4999999999999998E-2</v>
      </c>
      <c r="AM23" s="19">
        <v>6.5620000000000003</v>
      </c>
      <c r="AN23" s="19">
        <v>6.569</v>
      </c>
      <c r="AO23" s="21">
        <f t="shared" si="9"/>
        <v>6.5659999999999998</v>
      </c>
      <c r="AP23" s="27">
        <v>9.5399999999999999E-2</v>
      </c>
      <c r="AQ23" s="27">
        <v>9.5100000000000004E-2</v>
      </c>
      <c r="AR23" s="26">
        <f t="shared" si="10"/>
        <v>9.5299999999999996E-2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22.4</v>
      </c>
      <c r="F24" s="23">
        <v>7.2</v>
      </c>
      <c r="G24" s="63">
        <v>179</v>
      </c>
      <c r="H24" s="39">
        <v>8.5</v>
      </c>
      <c r="I24" s="23">
        <v>0.4</v>
      </c>
      <c r="J24" s="23">
        <v>3.7</v>
      </c>
      <c r="K24" s="37">
        <v>2.6</v>
      </c>
      <c r="L24" s="37">
        <v>2.8</v>
      </c>
      <c r="M24" s="37"/>
      <c r="N24" s="38">
        <f t="shared" si="0"/>
        <v>2.7</v>
      </c>
      <c r="O24" s="37">
        <v>2.5</v>
      </c>
      <c r="P24" s="37">
        <v>2.5</v>
      </c>
      <c r="Q24" s="38">
        <f t="shared" si="1"/>
        <v>2.5</v>
      </c>
      <c r="R24" s="17">
        <v>3.5659999999999998</v>
      </c>
      <c r="S24" s="17">
        <v>3.5390000000000001</v>
      </c>
      <c r="T24" s="22">
        <f t="shared" si="2"/>
        <v>3.5529999999999999</v>
      </c>
      <c r="U24" s="34">
        <v>3.548</v>
      </c>
      <c r="V24" s="34">
        <v>3.5350000000000001</v>
      </c>
      <c r="W24" s="33">
        <f t="shared" si="3"/>
        <v>3.5419999999999998</v>
      </c>
      <c r="X24" s="17">
        <v>0.02</v>
      </c>
      <c r="Y24" s="17">
        <v>0.02</v>
      </c>
      <c r="Z24" s="21">
        <f t="shared" si="4"/>
        <v>0.02</v>
      </c>
      <c r="AA24" s="19">
        <v>3.4169999999999998</v>
      </c>
      <c r="AB24" s="19">
        <v>3.411</v>
      </c>
      <c r="AC24" s="21">
        <f t="shared" si="5"/>
        <v>3.4140000000000001</v>
      </c>
      <c r="AD24" s="19">
        <v>6.6000000000000003E-2</v>
      </c>
      <c r="AE24" s="19">
        <v>3.7999999999999999E-2</v>
      </c>
      <c r="AF24" s="21">
        <f t="shared" si="6"/>
        <v>5.1999999999999998E-2</v>
      </c>
      <c r="AG24" s="30">
        <v>4.9000000000000002E-2</v>
      </c>
      <c r="AH24" s="30">
        <v>4.8000000000000001E-2</v>
      </c>
      <c r="AI24" s="31">
        <f t="shared" si="7"/>
        <v>4.9000000000000002E-2</v>
      </c>
      <c r="AJ24" s="30">
        <v>4.2000000000000003E-2</v>
      </c>
      <c r="AK24" s="30">
        <v>4.2999999999999997E-2</v>
      </c>
      <c r="AL24" s="31">
        <f t="shared" si="8"/>
        <v>4.2999999999999997E-2</v>
      </c>
      <c r="AM24" s="19">
        <v>10.074</v>
      </c>
      <c r="AN24" s="19">
        <v>10.071</v>
      </c>
      <c r="AO24" s="21">
        <f t="shared" si="9"/>
        <v>10.073</v>
      </c>
      <c r="AP24" s="27">
        <v>7.1400000000000005E-2</v>
      </c>
      <c r="AQ24" s="27">
        <v>7.0699999999999999E-2</v>
      </c>
      <c r="AR24" s="26">
        <f t="shared" si="10"/>
        <v>7.1099999999999997E-2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22.6</v>
      </c>
      <c r="F25" s="23">
        <v>7.4</v>
      </c>
      <c r="G25" s="63">
        <v>139</v>
      </c>
      <c r="H25" s="39">
        <v>8.3000000000000007</v>
      </c>
      <c r="I25" s="23">
        <v>0.8</v>
      </c>
      <c r="J25" s="23">
        <v>4.5</v>
      </c>
      <c r="K25" s="37">
        <v>3.3</v>
      </c>
      <c r="L25" s="37">
        <v>3.3</v>
      </c>
      <c r="M25" s="37"/>
      <c r="N25" s="38">
        <f t="shared" si="0"/>
        <v>3.3</v>
      </c>
      <c r="O25" s="37">
        <v>2.7</v>
      </c>
      <c r="P25" s="37">
        <v>2.6</v>
      </c>
      <c r="Q25" s="38">
        <f t="shared" si="1"/>
        <v>2.7</v>
      </c>
      <c r="R25" s="17">
        <v>2.4039999999999999</v>
      </c>
      <c r="S25" s="17">
        <v>2.4239999999999999</v>
      </c>
      <c r="T25" s="22">
        <f t="shared" si="2"/>
        <v>2.4140000000000001</v>
      </c>
      <c r="U25" s="34">
        <v>2.3410000000000002</v>
      </c>
      <c r="V25" s="34">
        <v>2.3450000000000002</v>
      </c>
      <c r="W25" s="33">
        <f t="shared" si="3"/>
        <v>2.343</v>
      </c>
      <c r="X25" s="17">
        <v>7.9000000000000001E-2</v>
      </c>
      <c r="Y25" s="17">
        <v>7.8E-2</v>
      </c>
      <c r="Z25" s="21">
        <f t="shared" si="4"/>
        <v>7.9000000000000001E-2</v>
      </c>
      <c r="AA25" s="19">
        <v>2.129</v>
      </c>
      <c r="AB25" s="19">
        <v>2.1309999999999998</v>
      </c>
      <c r="AC25" s="21">
        <f t="shared" si="5"/>
        <v>2.13</v>
      </c>
      <c r="AD25" s="19">
        <v>9.8000000000000004E-2</v>
      </c>
      <c r="AE25" s="19">
        <v>9.9000000000000005E-2</v>
      </c>
      <c r="AF25" s="21">
        <f t="shared" si="6"/>
        <v>9.9000000000000005E-2</v>
      </c>
      <c r="AG25" s="30">
        <v>9.0999999999999998E-2</v>
      </c>
      <c r="AH25" s="30">
        <v>9.6000000000000002E-2</v>
      </c>
      <c r="AI25" s="31">
        <f t="shared" si="7"/>
        <v>9.4E-2</v>
      </c>
      <c r="AJ25" s="30">
        <v>4.8000000000000001E-2</v>
      </c>
      <c r="AK25" s="30">
        <v>4.9000000000000002E-2</v>
      </c>
      <c r="AL25" s="31">
        <f t="shared" si="8"/>
        <v>4.9000000000000002E-2</v>
      </c>
      <c r="AM25" s="19">
        <v>6.48</v>
      </c>
      <c r="AN25" s="19">
        <v>6.492</v>
      </c>
      <c r="AO25" s="21">
        <f t="shared" si="9"/>
        <v>6.4859999999999998</v>
      </c>
      <c r="AP25" s="27">
        <v>9.5799999999999996E-2</v>
      </c>
      <c r="AQ25" s="27">
        <v>9.5399999999999999E-2</v>
      </c>
      <c r="AR25" s="26">
        <f t="shared" si="10"/>
        <v>9.5600000000000004E-2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22</v>
      </c>
      <c r="F26" s="23">
        <v>7.4</v>
      </c>
      <c r="G26" s="63">
        <v>162</v>
      </c>
      <c r="H26" s="39">
        <v>8.1999999999999993</v>
      </c>
      <c r="I26" s="23">
        <v>0.8</v>
      </c>
      <c r="J26" s="23">
        <v>5.9</v>
      </c>
      <c r="K26" s="37">
        <v>4.0999999999999996</v>
      </c>
      <c r="L26" s="37">
        <v>4.0999999999999996</v>
      </c>
      <c r="M26" s="37"/>
      <c r="N26" s="38">
        <f t="shared" si="0"/>
        <v>4.0999999999999996</v>
      </c>
      <c r="O26" s="37">
        <v>3.9</v>
      </c>
      <c r="P26" s="37">
        <v>3.8</v>
      </c>
      <c r="Q26" s="38">
        <f t="shared" si="1"/>
        <v>3.9</v>
      </c>
      <c r="R26" s="17">
        <v>3.6619999999999999</v>
      </c>
      <c r="S26" s="17">
        <v>3.6840000000000002</v>
      </c>
      <c r="T26" s="22">
        <f t="shared" si="2"/>
        <v>3.673</v>
      </c>
      <c r="U26" s="34">
        <v>3.6309999999999998</v>
      </c>
      <c r="V26" s="34">
        <v>3.657</v>
      </c>
      <c r="W26" s="33">
        <f t="shared" si="3"/>
        <v>3.6440000000000001</v>
      </c>
      <c r="X26" s="17">
        <v>8.5000000000000006E-2</v>
      </c>
      <c r="Y26" s="17">
        <v>8.5000000000000006E-2</v>
      </c>
      <c r="Z26" s="21">
        <f t="shared" si="4"/>
        <v>8.5000000000000006E-2</v>
      </c>
      <c r="AA26" s="19">
        <v>3.3860000000000001</v>
      </c>
      <c r="AB26" s="19">
        <v>3.3959999999999999</v>
      </c>
      <c r="AC26" s="21">
        <f t="shared" si="5"/>
        <v>3.391</v>
      </c>
      <c r="AD26" s="19">
        <v>0.105</v>
      </c>
      <c r="AE26" s="19">
        <v>0.105</v>
      </c>
      <c r="AF26" s="21">
        <f t="shared" si="6"/>
        <v>0.105</v>
      </c>
      <c r="AG26" s="30">
        <v>0.1</v>
      </c>
      <c r="AH26" s="30">
        <v>9.7000000000000003E-2</v>
      </c>
      <c r="AI26" s="31">
        <f t="shared" si="7"/>
        <v>9.9000000000000005E-2</v>
      </c>
      <c r="AJ26" s="30">
        <v>6.4000000000000001E-2</v>
      </c>
      <c r="AK26" s="30">
        <v>6.4000000000000001E-2</v>
      </c>
      <c r="AL26" s="31">
        <f t="shared" si="8"/>
        <v>6.4000000000000001E-2</v>
      </c>
      <c r="AM26" s="19">
        <v>7.0010000000000003</v>
      </c>
      <c r="AN26" s="19">
        <v>7.0010000000000003</v>
      </c>
      <c r="AO26" s="21">
        <f t="shared" si="9"/>
        <v>7.0010000000000003</v>
      </c>
      <c r="AP26" s="27">
        <v>0.14419999999999999</v>
      </c>
      <c r="AQ26" s="27">
        <v>0.14549999999999999</v>
      </c>
      <c r="AR26" s="26">
        <f t="shared" si="10"/>
        <v>0.1449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22.4</v>
      </c>
      <c r="F27" s="23">
        <v>7.4</v>
      </c>
      <c r="G27" s="63">
        <v>138</v>
      </c>
      <c r="H27" s="39">
        <v>8.1999999999999993</v>
      </c>
      <c r="I27" s="23">
        <v>0.8</v>
      </c>
      <c r="J27" s="23">
        <v>4.9000000000000004</v>
      </c>
      <c r="K27" s="37">
        <v>2.9</v>
      </c>
      <c r="L27" s="37">
        <v>3.4</v>
      </c>
      <c r="M27" s="37"/>
      <c r="N27" s="38">
        <f t="shared" si="0"/>
        <v>3.2</v>
      </c>
      <c r="O27" s="37">
        <v>2.8</v>
      </c>
      <c r="P27" s="37">
        <v>2.8</v>
      </c>
      <c r="Q27" s="38">
        <f t="shared" si="1"/>
        <v>2.8</v>
      </c>
      <c r="R27" s="17">
        <v>2.4079999999999999</v>
      </c>
      <c r="S27" s="17">
        <v>2.3759999999999999</v>
      </c>
      <c r="T27" s="22">
        <f t="shared" si="2"/>
        <v>2.3919999999999999</v>
      </c>
      <c r="U27" s="34">
        <v>2.387</v>
      </c>
      <c r="V27" s="34">
        <v>2.3769999999999998</v>
      </c>
      <c r="W27" s="33">
        <f t="shared" si="3"/>
        <v>2.3820000000000001</v>
      </c>
      <c r="X27" s="17">
        <v>8.3000000000000004E-2</v>
      </c>
      <c r="Y27" s="17">
        <v>8.3000000000000004E-2</v>
      </c>
      <c r="Z27" s="21">
        <f t="shared" si="4"/>
        <v>8.3000000000000004E-2</v>
      </c>
      <c r="AA27" s="19">
        <v>2.1440000000000001</v>
      </c>
      <c r="AB27" s="19">
        <v>2.1459999999999999</v>
      </c>
      <c r="AC27" s="21">
        <f t="shared" si="5"/>
        <v>2.145</v>
      </c>
      <c r="AD27" s="19">
        <v>0.115</v>
      </c>
      <c r="AE27" s="19">
        <v>0.11799999999999999</v>
      </c>
      <c r="AF27" s="21">
        <f t="shared" si="6"/>
        <v>0.11700000000000001</v>
      </c>
      <c r="AG27" s="30">
        <v>0.111</v>
      </c>
      <c r="AH27" s="30">
        <v>0.107</v>
      </c>
      <c r="AI27" s="31">
        <f t="shared" si="7"/>
        <v>0.109</v>
      </c>
      <c r="AJ27" s="30">
        <v>5.8999999999999997E-2</v>
      </c>
      <c r="AK27" s="30">
        <v>5.8000000000000003E-2</v>
      </c>
      <c r="AL27" s="31">
        <f t="shared" si="8"/>
        <v>5.8999999999999997E-2</v>
      </c>
      <c r="AM27" s="19">
        <v>6.3639999999999999</v>
      </c>
      <c r="AN27" s="19">
        <v>6.3739999999999997</v>
      </c>
      <c r="AO27" s="21">
        <f t="shared" si="9"/>
        <v>6.3689999999999998</v>
      </c>
      <c r="AP27" s="27">
        <v>0.1002</v>
      </c>
      <c r="AQ27" s="27">
        <v>9.9099999999999994E-2</v>
      </c>
      <c r="AR27" s="26">
        <f t="shared" si="10"/>
        <v>9.9699999999999997E-2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22.6</v>
      </c>
      <c r="F28" s="23">
        <v>7.3</v>
      </c>
      <c r="G28" s="63">
        <v>169</v>
      </c>
      <c r="H28" s="39">
        <v>7.1</v>
      </c>
      <c r="I28" s="23">
        <v>0.6</v>
      </c>
      <c r="J28" s="23">
        <v>6.3</v>
      </c>
      <c r="K28" s="37">
        <v>4.3</v>
      </c>
      <c r="L28" s="37">
        <v>4.5999999999999996</v>
      </c>
      <c r="M28" s="37"/>
      <c r="N28" s="38">
        <f t="shared" si="0"/>
        <v>4.5</v>
      </c>
      <c r="O28" s="37">
        <v>4</v>
      </c>
      <c r="P28" s="37">
        <v>3.8</v>
      </c>
      <c r="Q28" s="38">
        <f t="shared" si="1"/>
        <v>3.9</v>
      </c>
      <c r="R28" s="17">
        <v>2.5950000000000002</v>
      </c>
      <c r="S28" s="17">
        <v>2.5609999999999999</v>
      </c>
      <c r="T28" s="22">
        <f t="shared" si="2"/>
        <v>2.5779999999999998</v>
      </c>
      <c r="U28" s="34">
        <v>2.5470000000000002</v>
      </c>
      <c r="V28" s="34">
        <v>2.5270000000000001</v>
      </c>
      <c r="W28" s="33">
        <f t="shared" si="3"/>
        <v>2.5369999999999999</v>
      </c>
      <c r="X28" s="17">
        <v>8.3000000000000004E-2</v>
      </c>
      <c r="Y28" s="17">
        <v>8.2000000000000003E-2</v>
      </c>
      <c r="Z28" s="21">
        <f t="shared" si="4"/>
        <v>8.3000000000000004E-2</v>
      </c>
      <c r="AA28" s="19">
        <v>2.1779999999999999</v>
      </c>
      <c r="AB28" s="19">
        <v>2.1819999999999999</v>
      </c>
      <c r="AC28" s="21">
        <f t="shared" si="5"/>
        <v>2.1800000000000002</v>
      </c>
      <c r="AD28" s="19">
        <v>0.14499999999999999</v>
      </c>
      <c r="AE28" s="19">
        <v>0.14000000000000001</v>
      </c>
      <c r="AF28" s="21">
        <f t="shared" si="6"/>
        <v>0.14299999999999999</v>
      </c>
      <c r="AG28" s="30">
        <v>0.13700000000000001</v>
      </c>
      <c r="AH28" s="30">
        <v>0.13800000000000001</v>
      </c>
      <c r="AI28" s="31">
        <f t="shared" si="7"/>
        <v>0.13800000000000001</v>
      </c>
      <c r="AJ28" s="30">
        <v>9.7000000000000003E-2</v>
      </c>
      <c r="AK28" s="30">
        <v>0.10100000000000001</v>
      </c>
      <c r="AL28" s="31">
        <f t="shared" si="8"/>
        <v>9.9000000000000005E-2</v>
      </c>
      <c r="AM28" s="19">
        <v>7.7560000000000002</v>
      </c>
      <c r="AN28" s="19">
        <v>7.766</v>
      </c>
      <c r="AO28" s="21">
        <f t="shared" si="9"/>
        <v>7.7610000000000001</v>
      </c>
      <c r="AP28" s="27">
        <v>0.15659999999999999</v>
      </c>
      <c r="AQ28" s="27">
        <v>0.15759999999999999</v>
      </c>
      <c r="AR28" s="26">
        <f t="shared" si="10"/>
        <v>0.15709999999999999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22.8</v>
      </c>
      <c r="F29" s="23">
        <v>7.4</v>
      </c>
      <c r="G29" s="63">
        <v>145</v>
      </c>
      <c r="H29" s="39">
        <v>7.9</v>
      </c>
      <c r="I29" s="23">
        <v>0.5</v>
      </c>
      <c r="J29" s="23">
        <v>4.7</v>
      </c>
      <c r="K29" s="37">
        <v>3.2</v>
      </c>
      <c r="L29" s="37">
        <v>3.3</v>
      </c>
      <c r="M29" s="37"/>
      <c r="N29" s="38">
        <f t="shared" si="0"/>
        <v>3.3</v>
      </c>
      <c r="O29" s="37">
        <v>2.7</v>
      </c>
      <c r="P29" s="37">
        <v>2.6</v>
      </c>
      <c r="Q29" s="38">
        <f t="shared" si="1"/>
        <v>2.7</v>
      </c>
      <c r="R29" s="17">
        <v>2.621</v>
      </c>
      <c r="S29" s="17">
        <v>2.637</v>
      </c>
      <c r="T29" s="22">
        <f t="shared" si="2"/>
        <v>2.629</v>
      </c>
      <c r="U29" s="34">
        <v>2.5819999999999999</v>
      </c>
      <c r="V29" s="34">
        <v>2.5790000000000002</v>
      </c>
      <c r="W29" s="33">
        <f t="shared" si="3"/>
        <v>2.581</v>
      </c>
      <c r="X29" s="17">
        <v>0.08</v>
      </c>
      <c r="Y29" s="17">
        <v>8.1000000000000003E-2</v>
      </c>
      <c r="Z29" s="21">
        <f t="shared" si="4"/>
        <v>8.1000000000000003E-2</v>
      </c>
      <c r="AA29" s="19">
        <v>2.3140000000000001</v>
      </c>
      <c r="AB29" s="19">
        <v>2.319</v>
      </c>
      <c r="AC29" s="21">
        <f t="shared" si="5"/>
        <v>2.3170000000000002</v>
      </c>
      <c r="AD29" s="19">
        <v>0.10100000000000001</v>
      </c>
      <c r="AE29" s="19">
        <v>0.10299999999999999</v>
      </c>
      <c r="AF29" s="21">
        <f t="shared" si="6"/>
        <v>0.10199999999999999</v>
      </c>
      <c r="AG29" s="30">
        <v>9.9000000000000005E-2</v>
      </c>
      <c r="AH29" s="30">
        <v>9.5000000000000001E-2</v>
      </c>
      <c r="AI29" s="31">
        <f t="shared" si="7"/>
        <v>9.7000000000000003E-2</v>
      </c>
      <c r="AJ29" s="30">
        <v>5.1999999999999998E-2</v>
      </c>
      <c r="AK29" s="30">
        <v>0.05</v>
      </c>
      <c r="AL29" s="31">
        <f t="shared" si="8"/>
        <v>5.0999999999999997E-2</v>
      </c>
      <c r="AM29" s="19">
        <v>6.7969999999999997</v>
      </c>
      <c r="AN29" s="19">
        <v>6.7969999999999997</v>
      </c>
      <c r="AO29" s="21">
        <f t="shared" si="9"/>
        <v>6.7969999999999997</v>
      </c>
      <c r="AP29" s="27">
        <v>9.5000000000000001E-2</v>
      </c>
      <c r="AQ29" s="27">
        <v>9.4600000000000004E-2</v>
      </c>
      <c r="AR29" s="26">
        <f t="shared" si="10"/>
        <v>9.4799999999999995E-2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21.8</v>
      </c>
      <c r="F30" s="23">
        <v>7.1</v>
      </c>
      <c r="G30" s="63">
        <v>273</v>
      </c>
      <c r="H30" s="39">
        <v>7.9</v>
      </c>
      <c r="I30" s="23">
        <v>0.5</v>
      </c>
      <c r="J30" s="23">
        <v>4.7</v>
      </c>
      <c r="K30" s="37">
        <v>3.5</v>
      </c>
      <c r="L30" s="37">
        <v>3.8</v>
      </c>
      <c r="M30" s="37"/>
      <c r="N30" s="38">
        <f t="shared" si="0"/>
        <v>3.7</v>
      </c>
      <c r="O30" s="37">
        <v>3.3</v>
      </c>
      <c r="P30" s="37">
        <v>3.2</v>
      </c>
      <c r="Q30" s="38">
        <f t="shared" si="1"/>
        <v>3.3</v>
      </c>
      <c r="R30" s="17">
        <v>5.6050000000000004</v>
      </c>
      <c r="S30" s="17">
        <v>5.6280000000000001</v>
      </c>
      <c r="T30" s="22">
        <f t="shared" si="2"/>
        <v>5.617</v>
      </c>
      <c r="U30" s="34">
        <v>5.5410000000000004</v>
      </c>
      <c r="V30" s="34">
        <v>5.5609999999999999</v>
      </c>
      <c r="W30" s="33">
        <f t="shared" si="3"/>
        <v>5.5510000000000002</v>
      </c>
      <c r="X30" s="17">
        <v>3.4000000000000002E-2</v>
      </c>
      <c r="Y30" s="17">
        <v>3.3000000000000002E-2</v>
      </c>
      <c r="Z30" s="21">
        <f t="shared" si="4"/>
        <v>3.4000000000000002E-2</v>
      </c>
      <c r="AA30" s="19">
        <v>5.5149999999999997</v>
      </c>
      <c r="AB30" s="19">
        <v>5.5140000000000002</v>
      </c>
      <c r="AC30" s="21">
        <f t="shared" si="5"/>
        <v>5.5149999999999997</v>
      </c>
      <c r="AD30" s="19">
        <v>9.8000000000000004E-2</v>
      </c>
      <c r="AE30" s="19">
        <v>9.9000000000000005E-2</v>
      </c>
      <c r="AF30" s="21">
        <f t="shared" si="6"/>
        <v>9.9000000000000005E-2</v>
      </c>
      <c r="AG30" s="30">
        <v>9.0999999999999998E-2</v>
      </c>
      <c r="AH30" s="30">
        <v>9.5000000000000001E-2</v>
      </c>
      <c r="AI30" s="31">
        <f t="shared" si="7"/>
        <v>9.2999999999999999E-2</v>
      </c>
      <c r="AJ30" s="30">
        <v>6.2E-2</v>
      </c>
      <c r="AK30" s="30">
        <v>6.0999999999999999E-2</v>
      </c>
      <c r="AL30" s="31">
        <f t="shared" si="8"/>
        <v>6.2E-2</v>
      </c>
      <c r="AM30" s="19">
        <v>11.885</v>
      </c>
      <c r="AN30" s="19">
        <v>11.891999999999999</v>
      </c>
      <c r="AO30" s="21">
        <f t="shared" si="9"/>
        <v>11.888999999999999</v>
      </c>
      <c r="AP30" s="27">
        <v>9.9900000000000003E-2</v>
      </c>
      <c r="AQ30" s="27">
        <v>0.1</v>
      </c>
      <c r="AR30" s="26">
        <f t="shared" si="10"/>
        <v>0.1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22.5</v>
      </c>
      <c r="F31" s="23">
        <v>7</v>
      </c>
      <c r="G31" s="63">
        <v>140</v>
      </c>
      <c r="H31" s="39">
        <v>7.8</v>
      </c>
      <c r="I31" s="23">
        <v>0.8</v>
      </c>
      <c r="J31" s="23">
        <v>4.7</v>
      </c>
      <c r="K31" s="37">
        <v>3.5</v>
      </c>
      <c r="L31" s="37">
        <v>3.7</v>
      </c>
      <c r="M31" s="37"/>
      <c r="N31" s="38">
        <f t="shared" si="0"/>
        <v>3.6</v>
      </c>
      <c r="O31" s="37">
        <v>3.2</v>
      </c>
      <c r="P31" s="37">
        <v>3.1</v>
      </c>
      <c r="Q31" s="38">
        <f t="shared" si="1"/>
        <v>3.2</v>
      </c>
      <c r="R31" s="17">
        <v>2.68</v>
      </c>
      <c r="S31" s="17">
        <v>2.625</v>
      </c>
      <c r="T31" s="22">
        <f t="shared" si="2"/>
        <v>2.653</v>
      </c>
      <c r="U31" s="34">
        <v>2.6560000000000001</v>
      </c>
      <c r="V31" s="34">
        <v>2.6379999999999999</v>
      </c>
      <c r="W31" s="33">
        <f t="shared" si="3"/>
        <v>2.6469999999999998</v>
      </c>
      <c r="X31" s="17">
        <v>0.109</v>
      </c>
      <c r="Y31" s="17">
        <v>0.108</v>
      </c>
      <c r="Z31" s="21">
        <f t="shared" si="4"/>
        <v>0.109</v>
      </c>
      <c r="AA31" s="19">
        <v>2.3540000000000001</v>
      </c>
      <c r="AB31" s="19">
        <v>2.359</v>
      </c>
      <c r="AC31" s="21">
        <f t="shared" si="5"/>
        <v>2.3570000000000002</v>
      </c>
      <c r="AD31" s="19">
        <v>0.11</v>
      </c>
      <c r="AE31" s="19">
        <v>0.106</v>
      </c>
      <c r="AF31" s="21">
        <f t="shared" si="6"/>
        <v>0.108</v>
      </c>
      <c r="AG31" s="30">
        <v>9.9000000000000005E-2</v>
      </c>
      <c r="AH31" s="30">
        <v>0.1</v>
      </c>
      <c r="AI31" s="31">
        <f t="shared" si="7"/>
        <v>0.1</v>
      </c>
      <c r="AJ31" s="30">
        <v>6.0999999999999999E-2</v>
      </c>
      <c r="AK31" s="30">
        <v>6.2E-2</v>
      </c>
      <c r="AL31" s="31">
        <f t="shared" si="8"/>
        <v>6.2E-2</v>
      </c>
      <c r="AM31" s="19">
        <v>6.819</v>
      </c>
      <c r="AN31" s="19">
        <v>6.8319999999999999</v>
      </c>
      <c r="AO31" s="21">
        <f t="shared" si="9"/>
        <v>6.8259999999999996</v>
      </c>
      <c r="AP31" s="27">
        <v>0.106</v>
      </c>
      <c r="AQ31" s="27">
        <v>0.1061</v>
      </c>
      <c r="AR31" s="26">
        <f t="shared" si="10"/>
        <v>0.1061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21.8</v>
      </c>
      <c r="F32" s="23">
        <v>7.1</v>
      </c>
      <c r="G32" s="63">
        <v>204</v>
      </c>
      <c r="H32" s="39">
        <v>8</v>
      </c>
      <c r="I32" s="23">
        <v>0.2</v>
      </c>
      <c r="J32" s="23">
        <v>3.9</v>
      </c>
      <c r="K32" s="37">
        <v>2.8</v>
      </c>
      <c r="L32" s="37">
        <v>2.8</v>
      </c>
      <c r="M32" s="37"/>
      <c r="N32" s="38">
        <f t="shared" si="0"/>
        <v>2.8</v>
      </c>
      <c r="O32" s="37">
        <v>2.6</v>
      </c>
      <c r="P32" s="37">
        <v>2.6</v>
      </c>
      <c r="Q32" s="38">
        <f t="shared" si="1"/>
        <v>2.6</v>
      </c>
      <c r="R32" s="17">
        <v>6.9459999999999997</v>
      </c>
      <c r="S32" s="17">
        <v>6.9290000000000003</v>
      </c>
      <c r="T32" s="22">
        <f t="shared" si="2"/>
        <v>6.9379999999999997</v>
      </c>
      <c r="U32" s="34">
        <v>6.89</v>
      </c>
      <c r="V32" s="34">
        <v>6.8810000000000002</v>
      </c>
      <c r="W32" s="33">
        <f t="shared" si="3"/>
        <v>6.8860000000000001</v>
      </c>
      <c r="X32" s="17">
        <v>0.02</v>
      </c>
      <c r="Y32" s="17">
        <v>0.02</v>
      </c>
      <c r="Z32" s="21">
        <f t="shared" si="4"/>
        <v>0.02</v>
      </c>
      <c r="AA32" s="19">
        <v>6.843</v>
      </c>
      <c r="AB32" s="19">
        <v>6.8440000000000003</v>
      </c>
      <c r="AC32" s="21">
        <f t="shared" si="5"/>
        <v>6.8440000000000003</v>
      </c>
      <c r="AD32" s="19">
        <v>7.2999999999999995E-2</v>
      </c>
      <c r="AE32" s="19">
        <v>7.4999999999999997E-2</v>
      </c>
      <c r="AF32" s="21">
        <f t="shared" si="6"/>
        <v>7.3999999999999996E-2</v>
      </c>
      <c r="AG32" s="30">
        <v>7.0000000000000007E-2</v>
      </c>
      <c r="AH32" s="30">
        <v>6.9000000000000006E-2</v>
      </c>
      <c r="AI32" s="31">
        <f t="shared" si="7"/>
        <v>7.0000000000000007E-2</v>
      </c>
      <c r="AJ32" s="30">
        <v>4.7E-2</v>
      </c>
      <c r="AK32" s="30">
        <v>4.3999999999999997E-2</v>
      </c>
      <c r="AL32" s="31">
        <f t="shared" si="8"/>
        <v>4.5999999999999999E-2</v>
      </c>
      <c r="AM32" s="19">
        <v>9.92</v>
      </c>
      <c r="AN32" s="19">
        <v>9.93</v>
      </c>
      <c r="AO32" s="21">
        <f t="shared" si="9"/>
        <v>9.9250000000000007</v>
      </c>
      <c r="AP32" s="27">
        <v>7.6499999999999999E-2</v>
      </c>
      <c r="AQ32" s="27">
        <v>7.6399999999999996E-2</v>
      </c>
      <c r="AR32" s="26">
        <f t="shared" si="10"/>
        <v>7.6499999999999999E-2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22.9</v>
      </c>
      <c r="F33" s="23">
        <v>6.8</v>
      </c>
      <c r="G33" s="63">
        <v>139</v>
      </c>
      <c r="H33" s="39">
        <v>8.1</v>
      </c>
      <c r="I33" s="23">
        <v>0.6</v>
      </c>
      <c r="J33" s="23">
        <v>4.7</v>
      </c>
      <c r="K33" s="37">
        <v>3.1</v>
      </c>
      <c r="L33" s="37">
        <v>3.4</v>
      </c>
      <c r="M33" s="37"/>
      <c r="N33" s="38">
        <f t="shared" si="0"/>
        <v>3.3</v>
      </c>
      <c r="O33" s="37">
        <v>3</v>
      </c>
      <c r="P33" s="37">
        <v>3</v>
      </c>
      <c r="Q33" s="38">
        <f t="shared" si="1"/>
        <v>3</v>
      </c>
      <c r="R33" s="17">
        <v>2.718</v>
      </c>
      <c r="S33" s="17">
        <v>2.7170000000000001</v>
      </c>
      <c r="T33" s="22">
        <f t="shared" si="2"/>
        <v>2.718</v>
      </c>
      <c r="U33" s="34">
        <v>2.6909999999999998</v>
      </c>
      <c r="V33" s="34">
        <v>2.6829999999999998</v>
      </c>
      <c r="W33" s="33">
        <f t="shared" si="3"/>
        <v>2.6869999999999998</v>
      </c>
      <c r="X33" s="17">
        <v>9.0999999999999998E-2</v>
      </c>
      <c r="Y33" s="17">
        <v>9.0999999999999998E-2</v>
      </c>
      <c r="Z33" s="21">
        <f t="shared" si="4"/>
        <v>9.0999999999999998E-2</v>
      </c>
      <c r="AA33" s="19">
        <v>2.4390000000000001</v>
      </c>
      <c r="AB33" s="19">
        <v>2.4359999999999999</v>
      </c>
      <c r="AC33" s="21">
        <f t="shared" si="5"/>
        <v>2.4380000000000002</v>
      </c>
      <c r="AD33" s="19">
        <v>0.11700000000000001</v>
      </c>
      <c r="AE33" s="19">
        <v>0.11700000000000001</v>
      </c>
      <c r="AF33" s="21">
        <f t="shared" si="6"/>
        <v>0.11700000000000001</v>
      </c>
      <c r="AG33" s="30">
        <v>0.113</v>
      </c>
      <c r="AH33" s="30">
        <v>0.11</v>
      </c>
      <c r="AI33" s="31">
        <f t="shared" si="7"/>
        <v>0.112</v>
      </c>
      <c r="AJ33" s="30">
        <v>5.6000000000000001E-2</v>
      </c>
      <c r="AK33" s="30">
        <v>5.8999999999999997E-2</v>
      </c>
      <c r="AL33" s="31">
        <f t="shared" si="8"/>
        <v>5.8000000000000003E-2</v>
      </c>
      <c r="AM33" s="19">
        <v>6.766</v>
      </c>
      <c r="AN33" s="19">
        <v>6.7690000000000001</v>
      </c>
      <c r="AO33" s="21">
        <f t="shared" si="9"/>
        <v>6.7679999999999998</v>
      </c>
      <c r="AP33" s="27">
        <v>0.1066</v>
      </c>
      <c r="AQ33" s="27">
        <v>0.107</v>
      </c>
      <c r="AR33" s="26">
        <f t="shared" si="10"/>
        <v>0.10680000000000001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21.6</v>
      </c>
      <c r="F34" s="23">
        <v>6.8</v>
      </c>
      <c r="G34" s="63">
        <v>206</v>
      </c>
      <c r="H34" s="39">
        <v>6.8</v>
      </c>
      <c r="I34" s="23">
        <v>0.5</v>
      </c>
      <c r="J34" s="23">
        <v>4.9000000000000004</v>
      </c>
      <c r="K34" s="37">
        <v>3.6</v>
      </c>
      <c r="L34" s="37">
        <v>3.9</v>
      </c>
      <c r="M34" s="37"/>
      <c r="N34" s="38">
        <f t="shared" si="0"/>
        <v>3.8</v>
      </c>
      <c r="O34" s="37">
        <v>3.2</v>
      </c>
      <c r="P34" s="37">
        <v>3.2</v>
      </c>
      <c r="Q34" s="38">
        <f t="shared" si="1"/>
        <v>3.2</v>
      </c>
      <c r="R34" s="17">
        <v>4.6890000000000001</v>
      </c>
      <c r="S34" s="17">
        <v>4.6500000000000004</v>
      </c>
      <c r="T34" s="22">
        <f t="shared" si="2"/>
        <v>4.67</v>
      </c>
      <c r="U34" s="34">
        <v>4.657</v>
      </c>
      <c r="V34" s="34">
        <v>4.6550000000000002</v>
      </c>
      <c r="W34" s="33">
        <f t="shared" si="3"/>
        <v>4.6559999999999997</v>
      </c>
      <c r="X34" s="17">
        <v>6.3E-2</v>
      </c>
      <c r="Y34" s="17">
        <v>6.3E-2</v>
      </c>
      <c r="Z34" s="21">
        <f t="shared" si="4"/>
        <v>6.3E-2</v>
      </c>
      <c r="AA34" s="19">
        <v>4.4889999999999999</v>
      </c>
      <c r="AB34" s="19">
        <v>4.4720000000000004</v>
      </c>
      <c r="AC34" s="21">
        <f t="shared" si="5"/>
        <v>4.4809999999999999</v>
      </c>
      <c r="AD34" s="19">
        <v>0.154</v>
      </c>
      <c r="AE34" s="19">
        <v>0.152</v>
      </c>
      <c r="AF34" s="21">
        <f t="shared" si="6"/>
        <v>0.153</v>
      </c>
      <c r="AG34" s="30">
        <v>0.14499999999999999</v>
      </c>
      <c r="AH34" s="30">
        <v>0.14099999999999999</v>
      </c>
      <c r="AI34" s="31">
        <f t="shared" si="7"/>
        <v>0.14299999999999999</v>
      </c>
      <c r="AJ34" s="30">
        <v>0.10100000000000001</v>
      </c>
      <c r="AK34" s="30">
        <v>0.10199999999999999</v>
      </c>
      <c r="AL34" s="31">
        <f t="shared" si="8"/>
        <v>0.10199999999999999</v>
      </c>
      <c r="AM34" s="19">
        <v>11.304</v>
      </c>
      <c r="AN34" s="19">
        <v>11.321999999999999</v>
      </c>
      <c r="AO34" s="21">
        <f t="shared" si="9"/>
        <v>11.313000000000001</v>
      </c>
      <c r="AP34" s="27">
        <v>9.6699999999999994E-2</v>
      </c>
      <c r="AQ34" s="27">
        <v>9.6600000000000005E-2</v>
      </c>
      <c r="AR34" s="26">
        <f t="shared" si="10"/>
        <v>9.6699999999999994E-2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23.5</v>
      </c>
      <c r="F35" s="23">
        <v>7</v>
      </c>
      <c r="G35" s="63">
        <v>219</v>
      </c>
      <c r="H35" s="39">
        <v>8.3000000000000007</v>
      </c>
      <c r="I35" s="23">
        <v>1.4</v>
      </c>
      <c r="J35" s="23">
        <v>6.5</v>
      </c>
      <c r="K35" s="37">
        <v>4.3</v>
      </c>
      <c r="L35" s="37">
        <v>4.5999999999999996</v>
      </c>
      <c r="M35" s="37"/>
      <c r="N35" s="38">
        <f t="shared" si="0"/>
        <v>4.5</v>
      </c>
      <c r="O35" s="37">
        <v>3.7</v>
      </c>
      <c r="P35" s="37">
        <v>3.6</v>
      </c>
      <c r="Q35" s="38">
        <f t="shared" si="1"/>
        <v>3.7</v>
      </c>
      <c r="R35" s="17">
        <v>3.1219999999999999</v>
      </c>
      <c r="S35" s="17">
        <v>3.11</v>
      </c>
      <c r="T35" s="22">
        <f t="shared" si="2"/>
        <v>3.1160000000000001</v>
      </c>
      <c r="U35" s="34">
        <v>3.0329999999999999</v>
      </c>
      <c r="V35" s="34">
        <v>3.05</v>
      </c>
      <c r="W35" s="33">
        <f t="shared" si="3"/>
        <v>3.0419999999999998</v>
      </c>
      <c r="X35" s="17">
        <v>0.20499999999999999</v>
      </c>
      <c r="Y35" s="17">
        <v>0.20499999999999999</v>
      </c>
      <c r="Z35" s="21">
        <f t="shared" si="4"/>
        <v>0.20499999999999999</v>
      </c>
      <c r="AA35" s="19">
        <v>2.496</v>
      </c>
      <c r="AB35" s="19">
        <v>2.4940000000000002</v>
      </c>
      <c r="AC35" s="21">
        <f t="shared" si="5"/>
        <v>2.4950000000000001</v>
      </c>
      <c r="AD35" s="19">
        <v>0.20300000000000001</v>
      </c>
      <c r="AE35" s="19">
        <v>0.20100000000000001</v>
      </c>
      <c r="AF35" s="21">
        <f t="shared" si="6"/>
        <v>0.20200000000000001</v>
      </c>
      <c r="AG35" s="30">
        <v>0.17299999999999999</v>
      </c>
      <c r="AH35" s="30">
        <v>0.159</v>
      </c>
      <c r="AI35" s="31">
        <f t="shared" si="7"/>
        <v>0.16600000000000001</v>
      </c>
      <c r="AJ35" s="30">
        <v>0.107</v>
      </c>
      <c r="AK35" s="30">
        <v>0.105</v>
      </c>
      <c r="AL35" s="31">
        <f t="shared" si="8"/>
        <v>0.106</v>
      </c>
      <c r="AM35" s="19">
        <v>15.879</v>
      </c>
      <c r="AN35" s="19">
        <v>15.875999999999999</v>
      </c>
      <c r="AO35" s="21">
        <f t="shared" si="9"/>
        <v>15.878</v>
      </c>
      <c r="AP35" s="27">
        <v>0.11849999999999999</v>
      </c>
      <c r="AQ35" s="27">
        <v>0.1182</v>
      </c>
      <c r="AR35" s="26">
        <f t="shared" si="10"/>
        <v>0.11840000000000001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22.9</v>
      </c>
      <c r="F36" s="23">
        <v>7.2</v>
      </c>
      <c r="G36" s="63">
        <v>139</v>
      </c>
      <c r="H36" s="39">
        <v>8.3000000000000007</v>
      </c>
      <c r="I36" s="23">
        <v>0.5</v>
      </c>
      <c r="J36" s="23">
        <v>4.7</v>
      </c>
      <c r="K36" s="37">
        <v>3.2</v>
      </c>
      <c r="L36" s="37">
        <v>3.4</v>
      </c>
      <c r="M36" s="37"/>
      <c r="N36" s="38">
        <f t="shared" si="0"/>
        <v>3.3</v>
      </c>
      <c r="O36" s="37">
        <v>3</v>
      </c>
      <c r="P36" s="37">
        <v>3</v>
      </c>
      <c r="Q36" s="38">
        <f t="shared" si="1"/>
        <v>3</v>
      </c>
      <c r="R36" s="17">
        <v>2.7839999999999998</v>
      </c>
      <c r="S36" s="17">
        <v>2.774</v>
      </c>
      <c r="T36" s="22">
        <f t="shared" si="2"/>
        <v>2.7789999999999999</v>
      </c>
      <c r="U36" s="34">
        <v>2.7290000000000001</v>
      </c>
      <c r="V36" s="34">
        <v>2.7069999999999999</v>
      </c>
      <c r="W36" s="33">
        <f t="shared" si="3"/>
        <v>2.718</v>
      </c>
      <c r="X36" s="17">
        <v>8.5999999999999993E-2</v>
      </c>
      <c r="Y36" s="17">
        <v>8.5999999999999993E-2</v>
      </c>
      <c r="Z36" s="21">
        <f t="shared" si="4"/>
        <v>8.5999999999999993E-2</v>
      </c>
      <c r="AA36" s="19">
        <v>2.4460000000000002</v>
      </c>
      <c r="AB36" s="19">
        <v>2.4409999999999998</v>
      </c>
      <c r="AC36" s="21">
        <f t="shared" si="5"/>
        <v>2.444</v>
      </c>
      <c r="AD36" s="19">
        <v>0.11</v>
      </c>
      <c r="AE36" s="19">
        <v>0.112</v>
      </c>
      <c r="AF36" s="21">
        <f t="shared" si="6"/>
        <v>0.111</v>
      </c>
      <c r="AG36" s="30">
        <v>9.8000000000000004E-2</v>
      </c>
      <c r="AH36" s="30">
        <v>0.104</v>
      </c>
      <c r="AI36" s="31">
        <f t="shared" si="7"/>
        <v>0.10100000000000001</v>
      </c>
      <c r="AJ36" s="30">
        <v>6.8000000000000005E-2</v>
      </c>
      <c r="AK36" s="30">
        <v>6.4000000000000001E-2</v>
      </c>
      <c r="AL36" s="31">
        <f t="shared" si="8"/>
        <v>6.6000000000000003E-2</v>
      </c>
      <c r="AM36" s="19">
        <v>6.8230000000000004</v>
      </c>
      <c r="AN36" s="19">
        <v>6.8250000000000002</v>
      </c>
      <c r="AO36" s="21">
        <f t="shared" si="9"/>
        <v>6.8239999999999998</v>
      </c>
      <c r="AP36" s="27">
        <v>0.1081</v>
      </c>
      <c r="AQ36" s="27">
        <v>0.1081</v>
      </c>
      <c r="AR36" s="26">
        <f t="shared" si="10"/>
        <v>0.1081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23.3</v>
      </c>
      <c r="F37" s="23">
        <v>7.2</v>
      </c>
      <c r="G37" s="63">
        <v>166</v>
      </c>
      <c r="H37" s="39">
        <v>6.3</v>
      </c>
      <c r="I37" s="23">
        <v>0.8</v>
      </c>
      <c r="J37" s="23">
        <v>7.4</v>
      </c>
      <c r="K37" s="37">
        <v>5</v>
      </c>
      <c r="L37" s="37">
        <v>5.3</v>
      </c>
      <c r="M37" s="37"/>
      <c r="N37" s="38">
        <f t="shared" si="0"/>
        <v>5.2</v>
      </c>
      <c r="O37" s="37">
        <v>4.5</v>
      </c>
      <c r="P37" s="37">
        <v>4.4000000000000004</v>
      </c>
      <c r="Q37" s="38">
        <f t="shared" si="1"/>
        <v>4.5</v>
      </c>
      <c r="R37" s="17">
        <v>2.2069999999999999</v>
      </c>
      <c r="S37" s="17">
        <v>2.1960000000000002</v>
      </c>
      <c r="T37" s="22">
        <f t="shared" si="2"/>
        <v>2.202</v>
      </c>
      <c r="U37" s="34">
        <v>2.12</v>
      </c>
      <c r="V37" s="34">
        <v>2.1</v>
      </c>
      <c r="W37" s="33">
        <f t="shared" si="3"/>
        <v>2.11</v>
      </c>
      <c r="X37" s="17">
        <v>7.0999999999999994E-2</v>
      </c>
      <c r="Y37" s="17">
        <v>7.1999999999999995E-2</v>
      </c>
      <c r="Z37" s="21">
        <f t="shared" si="4"/>
        <v>7.1999999999999995E-2</v>
      </c>
      <c r="AA37" s="19">
        <v>1.6739999999999999</v>
      </c>
      <c r="AB37" s="19">
        <v>1.669</v>
      </c>
      <c r="AC37" s="21">
        <f t="shared" si="5"/>
        <v>1.6719999999999999</v>
      </c>
      <c r="AD37" s="19">
        <v>0.20399999999999999</v>
      </c>
      <c r="AE37" s="19">
        <v>0.20599999999999999</v>
      </c>
      <c r="AF37" s="21">
        <f t="shared" si="6"/>
        <v>0.20499999999999999</v>
      </c>
      <c r="AG37" s="30">
        <v>0.17</v>
      </c>
      <c r="AH37" s="30">
        <v>0.17399999999999999</v>
      </c>
      <c r="AI37" s="31">
        <f t="shared" si="7"/>
        <v>0.17199999999999999</v>
      </c>
      <c r="AJ37" s="30">
        <v>0.106</v>
      </c>
      <c r="AK37" s="30">
        <v>0.106</v>
      </c>
      <c r="AL37" s="31">
        <f t="shared" si="8"/>
        <v>0.106</v>
      </c>
      <c r="AM37" s="19">
        <v>8.7940000000000005</v>
      </c>
      <c r="AN37" s="19">
        <v>8.8010000000000002</v>
      </c>
      <c r="AO37" s="21">
        <f t="shared" si="9"/>
        <v>8.798</v>
      </c>
      <c r="AP37" s="27">
        <v>0.20050000000000001</v>
      </c>
      <c r="AQ37" s="27">
        <v>0.20100000000000001</v>
      </c>
      <c r="AR37" s="26">
        <f t="shared" si="10"/>
        <v>0.20080000000000001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23.2</v>
      </c>
      <c r="F38" s="23">
        <v>7.3</v>
      </c>
      <c r="G38" s="63">
        <v>143</v>
      </c>
      <c r="H38" s="39">
        <v>8.4</v>
      </c>
      <c r="I38" s="23">
        <v>0.6</v>
      </c>
      <c r="J38" s="23">
        <v>5.2</v>
      </c>
      <c r="K38" s="37">
        <v>3.3</v>
      </c>
      <c r="L38" s="37">
        <v>3.7</v>
      </c>
      <c r="M38" s="37"/>
      <c r="N38" s="38">
        <f t="shared" si="0"/>
        <v>3.5</v>
      </c>
      <c r="O38" s="37">
        <v>3.2</v>
      </c>
      <c r="P38" s="37">
        <v>3</v>
      </c>
      <c r="Q38" s="38">
        <f t="shared" si="1"/>
        <v>3.1</v>
      </c>
      <c r="R38" s="17">
        <v>2.89</v>
      </c>
      <c r="S38" s="17">
        <v>2.8740000000000001</v>
      </c>
      <c r="T38" s="22">
        <f t="shared" si="2"/>
        <v>2.8820000000000001</v>
      </c>
      <c r="U38" s="34">
        <v>2.7589999999999999</v>
      </c>
      <c r="V38" s="34">
        <v>2.7789999999999999</v>
      </c>
      <c r="W38" s="33">
        <f t="shared" si="3"/>
        <v>2.7690000000000001</v>
      </c>
      <c r="X38" s="17">
        <v>9.0999999999999998E-2</v>
      </c>
      <c r="Y38" s="17">
        <v>8.8999999999999996E-2</v>
      </c>
      <c r="Z38" s="21">
        <f t="shared" si="4"/>
        <v>0.09</v>
      </c>
      <c r="AA38" s="19">
        <v>2.524</v>
      </c>
      <c r="AB38" s="19">
        <v>2.5110000000000001</v>
      </c>
      <c r="AC38" s="21">
        <f t="shared" si="5"/>
        <v>2.5179999999999998</v>
      </c>
      <c r="AD38" s="19">
        <v>0.14399999999999999</v>
      </c>
      <c r="AE38" s="19">
        <v>0.14199999999999999</v>
      </c>
      <c r="AF38" s="21">
        <f t="shared" si="6"/>
        <v>0.14299999999999999</v>
      </c>
      <c r="AG38" s="30">
        <v>0.128</v>
      </c>
      <c r="AH38" s="30">
        <v>0.14000000000000001</v>
      </c>
      <c r="AI38" s="31">
        <f t="shared" si="7"/>
        <v>0.13400000000000001</v>
      </c>
      <c r="AJ38" s="30">
        <v>8.2000000000000003E-2</v>
      </c>
      <c r="AK38" s="30">
        <v>8.1000000000000003E-2</v>
      </c>
      <c r="AL38" s="31">
        <f t="shared" si="8"/>
        <v>8.2000000000000003E-2</v>
      </c>
      <c r="AM38" s="19">
        <v>7.1150000000000002</v>
      </c>
      <c r="AN38" s="19">
        <v>7.0960000000000001</v>
      </c>
      <c r="AO38" s="21">
        <f t="shared" si="9"/>
        <v>7.1059999999999999</v>
      </c>
      <c r="AP38" s="27">
        <v>0.11310000000000001</v>
      </c>
      <c r="AQ38" s="27">
        <v>0.1124</v>
      </c>
      <c r="AR38" s="26">
        <f t="shared" si="10"/>
        <v>0.1128</v>
      </c>
    </row>
    <row r="39" spans="1:44">
      <c r="A39" s="7" t="s">
        <v>137</v>
      </c>
      <c r="B39" s="5" t="s">
        <v>138</v>
      </c>
      <c r="C39" s="6"/>
      <c r="D39" s="6"/>
      <c r="E39" s="23">
        <v>23.8</v>
      </c>
      <c r="F39" s="23">
        <v>6.7</v>
      </c>
      <c r="G39" s="63">
        <v>327</v>
      </c>
      <c r="H39" s="39">
        <v>7.8</v>
      </c>
      <c r="I39" s="23">
        <v>10.9</v>
      </c>
      <c r="J39" s="23">
        <v>12.7</v>
      </c>
      <c r="K39" s="37">
        <v>9.9</v>
      </c>
      <c r="L39" s="37">
        <v>8.8000000000000007</v>
      </c>
      <c r="M39" s="37">
        <v>8</v>
      </c>
      <c r="N39" s="38">
        <f t="shared" si="0"/>
        <v>8.9</v>
      </c>
      <c r="O39" s="37">
        <v>5.3</v>
      </c>
      <c r="P39" s="37">
        <v>5.2</v>
      </c>
      <c r="Q39" s="38">
        <f t="shared" si="1"/>
        <v>5.3</v>
      </c>
      <c r="R39" s="17">
        <v>11.406000000000001</v>
      </c>
      <c r="S39" s="17">
        <v>11.42</v>
      </c>
      <c r="T39" s="22">
        <f t="shared" si="2"/>
        <v>11.413</v>
      </c>
      <c r="U39" s="34">
        <v>10.449</v>
      </c>
      <c r="V39" s="34">
        <v>10.445</v>
      </c>
      <c r="W39" s="33">
        <f t="shared" si="3"/>
        <v>10.446999999999999</v>
      </c>
      <c r="X39" s="17">
        <v>3.0430000000000001</v>
      </c>
      <c r="Y39" s="17">
        <v>3.0680000000000001</v>
      </c>
      <c r="Z39" s="21">
        <f t="shared" si="4"/>
        <v>3.056</v>
      </c>
      <c r="AA39" s="19">
        <v>7.2249999999999996</v>
      </c>
      <c r="AB39" s="19">
        <v>7.2460000000000004</v>
      </c>
      <c r="AC39" s="21">
        <f t="shared" si="5"/>
        <v>7.2359999999999998</v>
      </c>
      <c r="AD39" s="19">
        <v>0.60099999999999998</v>
      </c>
      <c r="AE39" s="19">
        <v>0.59799999999999998</v>
      </c>
      <c r="AF39" s="21">
        <f t="shared" si="6"/>
        <v>0.6</v>
      </c>
      <c r="AG39" s="30">
        <v>0.36199999999999999</v>
      </c>
      <c r="AH39" s="30">
        <v>0.36599999999999999</v>
      </c>
      <c r="AI39" s="31">
        <f t="shared" si="7"/>
        <v>0.36399999999999999</v>
      </c>
      <c r="AJ39" s="30">
        <v>0.27200000000000002</v>
      </c>
      <c r="AK39" s="30">
        <v>0.27400000000000002</v>
      </c>
      <c r="AL39" s="31">
        <f t="shared" si="8"/>
        <v>0.27300000000000002</v>
      </c>
      <c r="AM39" s="19">
        <v>31.702999999999999</v>
      </c>
      <c r="AN39" s="19">
        <v>31.765999999999998</v>
      </c>
      <c r="AO39" s="21">
        <f t="shared" si="9"/>
        <v>31.734999999999999</v>
      </c>
      <c r="AP39" s="27">
        <v>0.1168</v>
      </c>
      <c r="AQ39" s="27">
        <v>0.1169</v>
      </c>
      <c r="AR39" s="26">
        <f t="shared" si="10"/>
        <v>0.1169</v>
      </c>
    </row>
    <row r="40" spans="1:44">
      <c r="A40" s="7" t="s">
        <v>158</v>
      </c>
      <c r="B40" s="5" t="s">
        <v>159</v>
      </c>
      <c r="C40" s="6"/>
      <c r="D40" s="6"/>
      <c r="E40" s="23">
        <v>25.8</v>
      </c>
      <c r="F40" s="23">
        <v>6.5</v>
      </c>
      <c r="G40" s="63">
        <v>151</v>
      </c>
      <c r="H40" s="39">
        <v>6.4</v>
      </c>
      <c r="I40" s="23">
        <v>1</v>
      </c>
      <c r="J40" s="23">
        <v>5</v>
      </c>
      <c r="K40" s="37">
        <v>3.4</v>
      </c>
      <c r="L40" s="37">
        <v>3.4</v>
      </c>
      <c r="M40" s="37"/>
      <c r="N40" s="38">
        <f t="shared" si="0"/>
        <v>3.4</v>
      </c>
      <c r="O40" s="37">
        <v>3</v>
      </c>
      <c r="P40" s="37">
        <v>2.9</v>
      </c>
      <c r="Q40" s="38">
        <f t="shared" si="1"/>
        <v>3</v>
      </c>
      <c r="R40" s="17">
        <v>1.3740000000000001</v>
      </c>
      <c r="S40" s="17">
        <v>1.365</v>
      </c>
      <c r="T40" s="22">
        <f t="shared" si="2"/>
        <v>1.37</v>
      </c>
      <c r="U40" s="34">
        <v>1.208</v>
      </c>
      <c r="V40" s="34">
        <v>1.1859999999999999</v>
      </c>
      <c r="W40" s="33">
        <f t="shared" si="3"/>
        <v>1.1970000000000001</v>
      </c>
      <c r="X40" s="17">
        <v>2.3E-2</v>
      </c>
      <c r="Y40" s="17">
        <v>2.1999999999999999E-2</v>
      </c>
      <c r="Z40" s="21">
        <f t="shared" si="4"/>
        <v>2.3E-2</v>
      </c>
      <c r="AA40" s="19">
        <v>0.83599999999999997</v>
      </c>
      <c r="AB40" s="19">
        <v>0.83399999999999996</v>
      </c>
      <c r="AC40" s="21">
        <f t="shared" si="5"/>
        <v>0.83499999999999996</v>
      </c>
      <c r="AD40" s="19">
        <v>9.9000000000000005E-2</v>
      </c>
      <c r="AE40" s="19">
        <v>9.8000000000000004E-2</v>
      </c>
      <c r="AF40" s="21">
        <f t="shared" si="6"/>
        <v>9.9000000000000005E-2</v>
      </c>
      <c r="AG40" s="30">
        <v>8.2000000000000003E-2</v>
      </c>
      <c r="AH40" s="30">
        <v>7.2999999999999995E-2</v>
      </c>
      <c r="AI40" s="31">
        <f t="shared" si="7"/>
        <v>7.8E-2</v>
      </c>
      <c r="AJ40" s="30">
        <v>1.6E-2</v>
      </c>
      <c r="AK40" s="30">
        <v>1.4E-2</v>
      </c>
      <c r="AL40" s="31">
        <f t="shared" si="8"/>
        <v>1.4999999999999999E-2</v>
      </c>
      <c r="AM40" s="19">
        <v>27.614999999999998</v>
      </c>
      <c r="AN40" s="19">
        <v>27.693000000000001</v>
      </c>
      <c r="AO40" s="21">
        <f t="shared" si="9"/>
        <v>27.654</v>
      </c>
      <c r="AP40" s="27">
        <v>7.1999999999999995E-2</v>
      </c>
      <c r="AQ40" s="27">
        <v>7.1800000000000003E-2</v>
      </c>
      <c r="AR40" s="26">
        <f t="shared" si="10"/>
        <v>7.1900000000000006E-2</v>
      </c>
    </row>
  </sheetData>
  <mergeCells count="18">
    <mergeCell ref="I1:I2"/>
    <mergeCell ref="A1:A2"/>
    <mergeCell ref="B1:B2"/>
    <mergeCell ref="C1:C2"/>
    <mergeCell ref="D1:D2"/>
    <mergeCell ref="E1:H1"/>
    <mergeCell ref="AP1:AR1"/>
    <mergeCell ref="J1:J2"/>
    <mergeCell ref="K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39"/>
  <sheetViews>
    <sheetView zoomScale="85" zoomScaleNormal="85" workbookViewId="0">
      <selection activeCell="E1" sqref="A1:XFD2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22" width="9" style="1"/>
    <col min="23" max="23" width="9" style="3"/>
    <col min="24" max="33" width="9" style="1"/>
  </cols>
  <sheetData>
    <row r="1" spans="1:46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7"/>
      <c r="R1" s="77"/>
      <c r="S1" s="78"/>
      <c r="T1" s="76" t="s">
        <v>135</v>
      </c>
      <c r="U1" s="77"/>
      <c r="V1" s="78"/>
      <c r="W1" s="76" t="s">
        <v>126</v>
      </c>
      <c r="X1" s="77"/>
      <c r="Y1" s="78"/>
      <c r="Z1" s="76" t="s">
        <v>127</v>
      </c>
      <c r="AA1" s="77"/>
      <c r="AB1" s="78"/>
      <c r="AC1" s="76" t="s">
        <v>128</v>
      </c>
      <c r="AD1" s="77"/>
      <c r="AE1" s="78"/>
      <c r="AF1" s="76" t="s">
        <v>129</v>
      </c>
      <c r="AG1" s="77"/>
      <c r="AH1" s="78"/>
      <c r="AI1" s="76" t="s">
        <v>130</v>
      </c>
      <c r="AJ1" s="77"/>
      <c r="AK1" s="78"/>
      <c r="AL1" s="76" t="s">
        <v>131</v>
      </c>
      <c r="AM1" s="77"/>
      <c r="AN1" s="78"/>
      <c r="AO1" s="76" t="s">
        <v>132</v>
      </c>
      <c r="AP1" s="77"/>
      <c r="AQ1" s="78"/>
      <c r="AR1" s="76" t="s">
        <v>134</v>
      </c>
      <c r="AS1" s="77"/>
      <c r="AT1" s="78"/>
    </row>
    <row r="2" spans="1:46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113</v>
      </c>
      <c r="H2" s="12" t="s">
        <v>112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3" t="s">
        <v>164</v>
      </c>
      <c r="R2" s="13" t="s">
        <v>165</v>
      </c>
      <c r="S2" s="12" t="s">
        <v>114</v>
      </c>
      <c r="T2" s="13" t="s">
        <v>115</v>
      </c>
      <c r="U2" s="13" t="s">
        <v>116</v>
      </c>
      <c r="V2" s="12" t="s">
        <v>114</v>
      </c>
      <c r="W2" s="13" t="s">
        <v>115</v>
      </c>
      <c r="X2" s="13" t="s">
        <v>116</v>
      </c>
      <c r="Y2" s="12" t="s">
        <v>114</v>
      </c>
      <c r="Z2" s="13" t="s">
        <v>115</v>
      </c>
      <c r="AA2" s="13" t="s">
        <v>116</v>
      </c>
      <c r="AB2" s="12" t="s">
        <v>114</v>
      </c>
      <c r="AC2" s="13" t="s">
        <v>115</v>
      </c>
      <c r="AD2" s="13" t="s">
        <v>116</v>
      </c>
      <c r="AE2" s="12" t="s">
        <v>114</v>
      </c>
      <c r="AF2" s="13" t="s">
        <v>115</v>
      </c>
      <c r="AG2" s="13" t="s">
        <v>116</v>
      </c>
      <c r="AH2" s="12" t="s">
        <v>114</v>
      </c>
      <c r="AI2" s="13" t="s">
        <v>115</v>
      </c>
      <c r="AJ2" s="13" t="s">
        <v>116</v>
      </c>
      <c r="AK2" s="12" t="s">
        <v>114</v>
      </c>
      <c r="AL2" s="13" t="s">
        <v>115</v>
      </c>
      <c r="AM2" s="13" t="s">
        <v>116</v>
      </c>
      <c r="AN2" s="12" t="s">
        <v>114</v>
      </c>
      <c r="AO2" s="13" t="s">
        <v>115</v>
      </c>
      <c r="AP2" s="13" t="s">
        <v>116</v>
      </c>
      <c r="AQ2" s="12" t="s">
        <v>114</v>
      </c>
      <c r="AR2" s="13" t="s">
        <v>115</v>
      </c>
      <c r="AS2" s="13" t="s">
        <v>116</v>
      </c>
      <c r="AT2" s="12" t="s">
        <v>114</v>
      </c>
    </row>
    <row r="3" spans="1:46">
      <c r="A3" s="8" t="s">
        <v>136</v>
      </c>
      <c r="B3" s="9" t="s">
        <v>34</v>
      </c>
      <c r="C3" s="10" t="s">
        <v>35</v>
      </c>
      <c r="D3" s="10" t="s">
        <v>36</v>
      </c>
      <c r="E3" s="20">
        <v>18.899999999999999</v>
      </c>
      <c r="F3" s="20">
        <v>7.5</v>
      </c>
      <c r="G3" s="40">
        <v>122</v>
      </c>
      <c r="H3" s="20">
        <v>9.5</v>
      </c>
      <c r="I3" s="20">
        <v>0.8</v>
      </c>
      <c r="J3" s="20">
        <v>3.9</v>
      </c>
      <c r="K3" s="36">
        <v>2.6</v>
      </c>
      <c r="L3" s="36">
        <v>2.6</v>
      </c>
      <c r="M3" s="36"/>
      <c r="N3" s="38">
        <f>ROUND(AVERAGE(K3:M3),1)</f>
        <v>2.6</v>
      </c>
      <c r="O3" s="36">
        <v>2.2999999999999998</v>
      </c>
      <c r="P3" s="36">
        <v>2.2000000000000002</v>
      </c>
      <c r="Q3" s="36"/>
      <c r="R3" s="36"/>
      <c r="S3" s="38">
        <f>ROUND(AVERAGE(O3:R3),1)</f>
        <v>2.2999999999999998</v>
      </c>
      <c r="T3" s="16">
        <v>1.506</v>
      </c>
      <c r="U3" s="16">
        <v>1.5469999999999999</v>
      </c>
      <c r="V3" s="22">
        <f>ROUND(AVERAGE(T3:U3),3)</f>
        <v>1.5269999999999999</v>
      </c>
      <c r="W3" s="32">
        <v>0.95399999999999996</v>
      </c>
      <c r="X3" s="32">
        <v>0.94399999999999995</v>
      </c>
      <c r="Y3" s="33">
        <f>ROUND(AVERAGE(W3:X3),3)</f>
        <v>0.94899999999999995</v>
      </c>
      <c r="Z3" s="16">
        <v>1.7999999999999999E-2</v>
      </c>
      <c r="AA3" s="16">
        <v>1.7999999999999999E-2</v>
      </c>
      <c r="AB3" s="21">
        <f>ROUND(AVERAGE(Z3:AA3),3)</f>
        <v>1.7999999999999999E-2</v>
      </c>
      <c r="AC3" s="18">
        <v>0.84399999999999997</v>
      </c>
      <c r="AD3" s="18">
        <v>0.83399999999999996</v>
      </c>
      <c r="AE3" s="21">
        <f>ROUND(AVERAGE(AC3:AD3),3)</f>
        <v>0.83899999999999997</v>
      </c>
      <c r="AF3" s="18">
        <v>2.9000000000000001E-2</v>
      </c>
      <c r="AG3" s="18">
        <v>2.9000000000000001E-2</v>
      </c>
      <c r="AH3" s="21">
        <f>ROUND(AVERAGE(AF3:AG3),3)</f>
        <v>2.9000000000000001E-2</v>
      </c>
      <c r="AI3" s="29">
        <v>1.7000000000000001E-2</v>
      </c>
      <c r="AJ3" s="29">
        <v>1.4999999999999999E-2</v>
      </c>
      <c r="AK3" s="31">
        <f>ROUND(AVERAGE(AI3:AJ3),3)</f>
        <v>1.6E-2</v>
      </c>
      <c r="AL3" s="29">
        <v>5.0000000000000001E-3</v>
      </c>
      <c r="AM3" s="29">
        <v>4.0000000000000001E-3</v>
      </c>
      <c r="AN3" s="31">
        <f>ROUND(AVERAGE(AL3:AM3),3)</f>
        <v>5.0000000000000001E-3</v>
      </c>
      <c r="AO3" s="18">
        <v>9.0310000000000006</v>
      </c>
      <c r="AP3" s="18">
        <v>9.0120000000000005</v>
      </c>
      <c r="AQ3" s="21">
        <f>ROUND(AVERAGE(AO3:AP3),3)</f>
        <v>9.0220000000000002</v>
      </c>
      <c r="AR3" s="44">
        <v>6.7000000000000004E-2</v>
      </c>
      <c r="AS3" s="44">
        <v>6.6500000000000004E-2</v>
      </c>
      <c r="AT3" s="45">
        <f>ROUND(AVERAGE(AR3:AS3),4)</f>
        <v>6.6799999999999998E-2</v>
      </c>
    </row>
    <row r="4" spans="1:46">
      <c r="A4" s="7" t="s">
        <v>37</v>
      </c>
      <c r="B4" s="5" t="s">
        <v>38</v>
      </c>
      <c r="C4" s="6" t="s">
        <v>39</v>
      </c>
      <c r="D4" s="6" t="s">
        <v>40</v>
      </c>
      <c r="E4" s="23">
        <v>19.399999999999999</v>
      </c>
      <c r="F4" s="23">
        <v>7.1</v>
      </c>
      <c r="G4" s="41">
        <v>87</v>
      </c>
      <c r="H4" s="23">
        <v>8.8000000000000007</v>
      </c>
      <c r="I4" s="23">
        <v>1.2</v>
      </c>
      <c r="J4" s="23">
        <v>4.7</v>
      </c>
      <c r="K4" s="37">
        <v>3.4</v>
      </c>
      <c r="L4" s="37">
        <v>3.5</v>
      </c>
      <c r="M4" s="37"/>
      <c r="N4" s="38">
        <f t="shared" ref="N4:N39" si="0">ROUND(AVERAGE(K4:M4),1)</f>
        <v>3.5</v>
      </c>
      <c r="O4" s="37">
        <v>2.9</v>
      </c>
      <c r="P4" s="37">
        <v>3</v>
      </c>
      <c r="Q4" s="36"/>
      <c r="R4" s="36"/>
      <c r="S4" s="38">
        <f t="shared" ref="S4:S39" si="1">ROUND(AVERAGE(O4:R4),1)</f>
        <v>3</v>
      </c>
      <c r="T4" s="17">
        <v>1.0880000000000001</v>
      </c>
      <c r="U4" s="17">
        <v>1.091</v>
      </c>
      <c r="V4" s="22">
        <f t="shared" ref="V4:V39" si="2">ROUND(AVERAGE(T4:U4),3)</f>
        <v>1.0900000000000001</v>
      </c>
      <c r="W4" s="34">
        <v>0.96099999999999997</v>
      </c>
      <c r="X4" s="34">
        <v>0.96299999999999997</v>
      </c>
      <c r="Y4" s="33">
        <f t="shared" ref="Y4:Y39" si="3">ROUND(AVERAGE(W4:X4),3)</f>
        <v>0.96199999999999997</v>
      </c>
      <c r="Z4" s="17">
        <v>3.9E-2</v>
      </c>
      <c r="AA4" s="17">
        <v>3.6999999999999998E-2</v>
      </c>
      <c r="AB4" s="21">
        <f t="shared" ref="AB4:AB39" si="4">ROUND(AVERAGE(Z4:AA4),3)</f>
        <v>3.7999999999999999E-2</v>
      </c>
      <c r="AC4" s="19">
        <v>0.78500000000000003</v>
      </c>
      <c r="AD4" s="19">
        <v>0.78900000000000003</v>
      </c>
      <c r="AE4" s="21">
        <f t="shared" ref="AE4:AE39" si="5">ROUND(AVERAGE(AC4:AD4),3)</f>
        <v>0.78700000000000003</v>
      </c>
      <c r="AF4" s="19">
        <v>5.8000000000000003E-2</v>
      </c>
      <c r="AG4" s="19">
        <v>5.6000000000000001E-2</v>
      </c>
      <c r="AH4" s="21">
        <f t="shared" ref="AH4:AH39" si="6">ROUND(AVERAGE(AF4:AG4),3)</f>
        <v>5.7000000000000002E-2</v>
      </c>
      <c r="AI4" s="30">
        <v>2.9000000000000001E-2</v>
      </c>
      <c r="AJ4" s="30">
        <v>3.1E-2</v>
      </c>
      <c r="AK4" s="31">
        <f t="shared" ref="AK4:AK39" si="7">ROUND(AVERAGE(AI4:AJ4),3)</f>
        <v>0.03</v>
      </c>
      <c r="AL4" s="30">
        <v>1.6E-2</v>
      </c>
      <c r="AM4" s="30">
        <v>1.6E-2</v>
      </c>
      <c r="AN4" s="31">
        <f t="shared" ref="AN4:AN39" si="8">ROUND(AVERAGE(AL4:AM4),3)</f>
        <v>1.6E-2</v>
      </c>
      <c r="AO4" s="19">
        <v>5.3890000000000002</v>
      </c>
      <c r="AP4" s="19">
        <v>5.3659999999999997</v>
      </c>
      <c r="AQ4" s="21">
        <f t="shared" ref="AQ4:AQ39" si="9">ROUND(AVERAGE(AO4:AP4),3)</f>
        <v>5.3780000000000001</v>
      </c>
      <c r="AR4" s="46">
        <v>8.9300000000000004E-2</v>
      </c>
      <c r="AS4" s="46">
        <v>8.8999999999999996E-2</v>
      </c>
      <c r="AT4" s="45">
        <f t="shared" ref="AT4:AT39" si="10">ROUND(AVERAGE(AR4:AS4),4)</f>
        <v>8.9200000000000002E-2</v>
      </c>
    </row>
    <row r="5" spans="1:46">
      <c r="A5" s="7" t="s">
        <v>0</v>
      </c>
      <c r="B5" s="5" t="s">
        <v>41</v>
      </c>
      <c r="C5" s="6" t="s">
        <v>42</v>
      </c>
      <c r="D5" s="6" t="s">
        <v>36</v>
      </c>
      <c r="E5" s="23">
        <v>19.399999999999999</v>
      </c>
      <c r="F5" s="23">
        <v>6.8</v>
      </c>
      <c r="G5" s="41">
        <v>104</v>
      </c>
      <c r="H5" s="23">
        <v>8.9</v>
      </c>
      <c r="I5" s="23">
        <v>1</v>
      </c>
      <c r="J5" s="23">
        <v>4.3</v>
      </c>
      <c r="K5" s="37">
        <v>3.1</v>
      </c>
      <c r="L5" s="37">
        <v>3.2</v>
      </c>
      <c r="M5" s="37"/>
      <c r="N5" s="38">
        <f t="shared" si="0"/>
        <v>3.2</v>
      </c>
      <c r="O5" s="37">
        <v>2.8</v>
      </c>
      <c r="P5" s="37">
        <v>2.8</v>
      </c>
      <c r="Q5" s="36"/>
      <c r="R5" s="36"/>
      <c r="S5" s="38">
        <f t="shared" si="1"/>
        <v>2.8</v>
      </c>
      <c r="T5" s="17">
        <v>1.0229999999999999</v>
      </c>
      <c r="U5" s="17">
        <v>1.04</v>
      </c>
      <c r="V5" s="22">
        <f t="shared" si="2"/>
        <v>1.032</v>
      </c>
      <c r="W5" s="34">
        <v>0.94599999999999995</v>
      </c>
      <c r="X5" s="34">
        <v>0.95799999999999996</v>
      </c>
      <c r="Y5" s="33">
        <f t="shared" si="3"/>
        <v>0.95199999999999996</v>
      </c>
      <c r="Z5" s="17">
        <v>3.7999999999999999E-2</v>
      </c>
      <c r="AA5" s="17">
        <v>3.6999999999999998E-2</v>
      </c>
      <c r="AB5" s="21">
        <f t="shared" si="4"/>
        <v>3.7999999999999999E-2</v>
      </c>
      <c r="AC5" s="19">
        <v>0.78700000000000003</v>
      </c>
      <c r="AD5" s="19">
        <v>0.77300000000000002</v>
      </c>
      <c r="AE5" s="21">
        <f t="shared" si="5"/>
        <v>0.78</v>
      </c>
      <c r="AF5" s="19">
        <v>5.1999999999999998E-2</v>
      </c>
      <c r="AG5" s="19">
        <v>5.0999999999999997E-2</v>
      </c>
      <c r="AH5" s="21">
        <f t="shared" si="6"/>
        <v>5.1999999999999998E-2</v>
      </c>
      <c r="AI5" s="30">
        <v>2.7E-2</v>
      </c>
      <c r="AJ5" s="30">
        <v>2.8000000000000001E-2</v>
      </c>
      <c r="AK5" s="31">
        <f t="shared" si="7"/>
        <v>2.8000000000000001E-2</v>
      </c>
      <c r="AL5" s="30">
        <v>1.2999999999999999E-2</v>
      </c>
      <c r="AM5" s="30">
        <v>1.2E-2</v>
      </c>
      <c r="AN5" s="31">
        <f t="shared" si="8"/>
        <v>1.2999999999999999E-2</v>
      </c>
      <c r="AO5" s="19">
        <v>7.0279999999999996</v>
      </c>
      <c r="AP5" s="19">
        <v>6.9829999999999997</v>
      </c>
      <c r="AQ5" s="21">
        <f t="shared" si="9"/>
        <v>7.0060000000000002</v>
      </c>
      <c r="AR5" s="46">
        <v>8.2500000000000004E-2</v>
      </c>
      <c r="AS5" s="46">
        <v>8.2500000000000004E-2</v>
      </c>
      <c r="AT5" s="45">
        <f t="shared" si="10"/>
        <v>8.2500000000000004E-2</v>
      </c>
    </row>
    <row r="6" spans="1:46">
      <c r="A6" s="7" t="s">
        <v>1</v>
      </c>
      <c r="B6" s="5" t="s">
        <v>43</v>
      </c>
      <c r="C6" s="6" t="s">
        <v>44</v>
      </c>
      <c r="D6" s="6" t="s">
        <v>45</v>
      </c>
      <c r="E6" s="23">
        <v>18.7</v>
      </c>
      <c r="F6" s="23">
        <v>6.9</v>
      </c>
      <c r="G6" s="41">
        <v>88</v>
      </c>
      <c r="H6" s="23">
        <v>9.3000000000000007</v>
      </c>
      <c r="I6" s="23">
        <v>1.5</v>
      </c>
      <c r="J6" s="23">
        <v>6.4</v>
      </c>
      <c r="K6" s="37">
        <v>4.4000000000000004</v>
      </c>
      <c r="L6" s="37">
        <v>4.3</v>
      </c>
      <c r="M6" s="37"/>
      <c r="N6" s="38">
        <f t="shared" si="0"/>
        <v>4.4000000000000004</v>
      </c>
      <c r="O6" s="37">
        <v>4</v>
      </c>
      <c r="P6" s="37">
        <v>3.6</v>
      </c>
      <c r="Q6" s="36">
        <v>3.9</v>
      </c>
      <c r="R6" s="36">
        <v>3.7</v>
      </c>
      <c r="S6" s="38">
        <f t="shared" si="1"/>
        <v>3.8</v>
      </c>
      <c r="T6" s="17">
        <v>0.91100000000000003</v>
      </c>
      <c r="U6" s="17">
        <v>0.90500000000000003</v>
      </c>
      <c r="V6" s="22">
        <f t="shared" si="2"/>
        <v>0.90800000000000003</v>
      </c>
      <c r="W6" s="34">
        <v>0.81599999999999995</v>
      </c>
      <c r="X6" s="34">
        <v>0.81899999999999995</v>
      </c>
      <c r="Y6" s="33">
        <f t="shared" si="3"/>
        <v>0.81799999999999995</v>
      </c>
      <c r="Z6" s="17">
        <v>2.1000000000000001E-2</v>
      </c>
      <c r="AA6" s="17">
        <v>2.1000000000000001E-2</v>
      </c>
      <c r="AB6" s="21">
        <f t="shared" si="4"/>
        <v>2.1000000000000001E-2</v>
      </c>
      <c r="AC6" s="19">
        <v>0.65300000000000002</v>
      </c>
      <c r="AD6" s="19">
        <v>0.64700000000000002</v>
      </c>
      <c r="AE6" s="21">
        <f t="shared" si="5"/>
        <v>0.65</v>
      </c>
      <c r="AF6" s="19">
        <v>6.6000000000000003E-2</v>
      </c>
      <c r="AG6" s="19">
        <v>6.4000000000000001E-2</v>
      </c>
      <c r="AH6" s="21">
        <f t="shared" si="6"/>
        <v>6.5000000000000002E-2</v>
      </c>
      <c r="AI6" s="30">
        <v>3.5000000000000003E-2</v>
      </c>
      <c r="AJ6" s="30">
        <v>3.5000000000000003E-2</v>
      </c>
      <c r="AK6" s="31">
        <f t="shared" si="7"/>
        <v>3.5000000000000003E-2</v>
      </c>
      <c r="AL6" s="30">
        <v>1.7999999999999999E-2</v>
      </c>
      <c r="AM6" s="30">
        <v>1.7999999999999999E-2</v>
      </c>
      <c r="AN6" s="31">
        <f t="shared" si="8"/>
        <v>1.7999999999999999E-2</v>
      </c>
      <c r="AO6" s="19">
        <v>6.2779999999999996</v>
      </c>
      <c r="AP6" s="19">
        <v>6.2549999999999999</v>
      </c>
      <c r="AQ6" s="21">
        <f t="shared" si="9"/>
        <v>6.2670000000000003</v>
      </c>
      <c r="AR6" s="46">
        <v>0.12820000000000001</v>
      </c>
      <c r="AS6" s="46">
        <v>0.1288</v>
      </c>
      <c r="AT6" s="45">
        <f t="shared" si="10"/>
        <v>0.1285</v>
      </c>
    </row>
    <row r="7" spans="1:46">
      <c r="A7" s="7" t="s">
        <v>2</v>
      </c>
      <c r="B7" s="5" t="s">
        <v>46</v>
      </c>
      <c r="C7" s="6" t="s">
        <v>47</v>
      </c>
      <c r="D7" s="6" t="s">
        <v>36</v>
      </c>
      <c r="E7" s="23">
        <v>19.2</v>
      </c>
      <c r="F7" s="23">
        <v>6.8</v>
      </c>
      <c r="G7" s="41">
        <v>100</v>
      </c>
      <c r="H7" s="23">
        <v>9</v>
      </c>
      <c r="I7" s="23">
        <v>1.3</v>
      </c>
      <c r="J7" s="23">
        <v>4.7</v>
      </c>
      <c r="K7" s="37">
        <v>3.6</v>
      </c>
      <c r="L7" s="37">
        <v>3.4</v>
      </c>
      <c r="M7" s="37"/>
      <c r="N7" s="38">
        <f t="shared" si="0"/>
        <v>3.5</v>
      </c>
      <c r="O7" s="37">
        <v>2.8</v>
      </c>
      <c r="P7" s="37">
        <v>2.8</v>
      </c>
      <c r="Q7" s="36"/>
      <c r="R7" s="36"/>
      <c r="S7" s="38">
        <f t="shared" si="1"/>
        <v>2.8</v>
      </c>
      <c r="T7" s="17">
        <v>1.0620000000000001</v>
      </c>
      <c r="U7" s="17">
        <v>1.0840000000000001</v>
      </c>
      <c r="V7" s="22">
        <f t="shared" si="2"/>
        <v>1.073</v>
      </c>
      <c r="W7" s="34">
        <v>0.97099999999999997</v>
      </c>
      <c r="X7" s="34">
        <v>0.97299999999999998</v>
      </c>
      <c r="Y7" s="33">
        <f t="shared" si="3"/>
        <v>0.97199999999999998</v>
      </c>
      <c r="Z7" s="17">
        <v>4.3999999999999997E-2</v>
      </c>
      <c r="AA7" s="17">
        <v>4.2999999999999997E-2</v>
      </c>
      <c r="AB7" s="21">
        <f t="shared" si="4"/>
        <v>4.3999999999999997E-2</v>
      </c>
      <c r="AC7" s="19">
        <v>0.79700000000000004</v>
      </c>
      <c r="AD7" s="19">
        <v>0.78700000000000003</v>
      </c>
      <c r="AE7" s="21">
        <f t="shared" si="5"/>
        <v>0.79200000000000004</v>
      </c>
      <c r="AF7" s="19">
        <v>6.3E-2</v>
      </c>
      <c r="AG7" s="19">
        <v>6.2E-2</v>
      </c>
      <c r="AH7" s="21">
        <f t="shared" si="6"/>
        <v>6.3E-2</v>
      </c>
      <c r="AI7" s="30">
        <v>3.5999999999999997E-2</v>
      </c>
      <c r="AJ7" s="30">
        <v>3.5999999999999997E-2</v>
      </c>
      <c r="AK7" s="31">
        <f t="shared" si="7"/>
        <v>3.5999999999999997E-2</v>
      </c>
      <c r="AL7" s="30">
        <v>2.1999999999999999E-2</v>
      </c>
      <c r="AM7" s="30">
        <v>2.3E-2</v>
      </c>
      <c r="AN7" s="31">
        <f t="shared" si="8"/>
        <v>2.3E-2</v>
      </c>
      <c r="AO7" s="19">
        <v>6.8440000000000003</v>
      </c>
      <c r="AP7" s="19">
        <v>6.81</v>
      </c>
      <c r="AQ7" s="21">
        <f t="shared" si="9"/>
        <v>6.827</v>
      </c>
      <c r="AR7" s="46">
        <v>9.2399999999999996E-2</v>
      </c>
      <c r="AS7" s="46">
        <v>9.1300000000000006E-2</v>
      </c>
      <c r="AT7" s="45">
        <f t="shared" si="10"/>
        <v>9.1899999999999996E-2</v>
      </c>
    </row>
    <row r="8" spans="1:46">
      <c r="A8" s="7" t="s">
        <v>3</v>
      </c>
      <c r="B8" s="5" t="s">
        <v>46</v>
      </c>
      <c r="C8" s="6" t="s">
        <v>44</v>
      </c>
      <c r="D8" s="6" t="s">
        <v>48</v>
      </c>
      <c r="E8" s="23">
        <v>19.100000000000001</v>
      </c>
      <c r="F8" s="23">
        <v>7</v>
      </c>
      <c r="G8" s="41">
        <v>102</v>
      </c>
      <c r="H8" s="23">
        <v>9.3000000000000007</v>
      </c>
      <c r="I8" s="23">
        <v>1.3</v>
      </c>
      <c r="J8" s="23">
        <v>5.6</v>
      </c>
      <c r="K8" s="37">
        <v>3.8</v>
      </c>
      <c r="L8" s="37">
        <v>3.6</v>
      </c>
      <c r="M8" s="37"/>
      <c r="N8" s="38">
        <f t="shared" si="0"/>
        <v>3.7</v>
      </c>
      <c r="O8" s="37">
        <v>3.3</v>
      </c>
      <c r="P8" s="37">
        <v>3.1</v>
      </c>
      <c r="Q8" s="36"/>
      <c r="R8" s="36"/>
      <c r="S8" s="38">
        <f t="shared" si="1"/>
        <v>3.2</v>
      </c>
      <c r="T8" s="17">
        <v>1.1950000000000001</v>
      </c>
      <c r="U8" s="17">
        <v>1.204</v>
      </c>
      <c r="V8" s="22">
        <f t="shared" si="2"/>
        <v>1.2</v>
      </c>
      <c r="W8" s="34">
        <v>1.149</v>
      </c>
      <c r="X8" s="34">
        <v>1.129</v>
      </c>
      <c r="Y8" s="33">
        <f t="shared" si="3"/>
        <v>1.139</v>
      </c>
      <c r="Z8" s="17">
        <v>3.1E-2</v>
      </c>
      <c r="AA8" s="17">
        <v>3.1E-2</v>
      </c>
      <c r="AB8" s="21">
        <f t="shared" si="4"/>
        <v>3.1E-2</v>
      </c>
      <c r="AC8" s="19">
        <v>0.94299999999999995</v>
      </c>
      <c r="AD8" s="19">
        <v>0.93400000000000005</v>
      </c>
      <c r="AE8" s="21">
        <f t="shared" si="5"/>
        <v>0.93899999999999995</v>
      </c>
      <c r="AF8" s="19">
        <v>7.2999999999999995E-2</v>
      </c>
      <c r="AG8" s="19">
        <v>7.0999999999999994E-2</v>
      </c>
      <c r="AH8" s="21">
        <f t="shared" si="6"/>
        <v>7.1999999999999995E-2</v>
      </c>
      <c r="AI8" s="30">
        <v>4.3999999999999997E-2</v>
      </c>
      <c r="AJ8" s="30">
        <v>4.3999999999999997E-2</v>
      </c>
      <c r="AK8" s="31">
        <f t="shared" si="7"/>
        <v>4.3999999999999997E-2</v>
      </c>
      <c r="AL8" s="30">
        <v>3.1E-2</v>
      </c>
      <c r="AM8" s="30">
        <v>3.3000000000000002E-2</v>
      </c>
      <c r="AN8" s="31">
        <f t="shared" si="8"/>
        <v>3.2000000000000001E-2</v>
      </c>
      <c r="AO8" s="19">
        <v>6.5919999999999996</v>
      </c>
      <c r="AP8" s="19">
        <v>6.5659999999999998</v>
      </c>
      <c r="AQ8" s="21">
        <f t="shared" si="9"/>
        <v>6.5789999999999997</v>
      </c>
      <c r="AR8" s="46">
        <v>9.9900000000000003E-2</v>
      </c>
      <c r="AS8" s="46">
        <v>9.98E-2</v>
      </c>
      <c r="AT8" s="45">
        <f t="shared" si="10"/>
        <v>9.9900000000000003E-2</v>
      </c>
    </row>
    <row r="9" spans="1:46">
      <c r="A9" s="7" t="s">
        <v>4</v>
      </c>
      <c r="B9" s="5" t="s">
        <v>49</v>
      </c>
      <c r="C9" s="6" t="s">
        <v>44</v>
      </c>
      <c r="D9" s="6" t="s">
        <v>36</v>
      </c>
      <c r="E9" s="23">
        <v>19.100000000000001</v>
      </c>
      <c r="F9" s="23">
        <v>6.9</v>
      </c>
      <c r="G9" s="41">
        <v>103</v>
      </c>
      <c r="H9" s="23">
        <v>8.5</v>
      </c>
      <c r="I9" s="23">
        <v>1</v>
      </c>
      <c r="J9" s="23">
        <v>4.2</v>
      </c>
      <c r="K9" s="37">
        <v>2.9</v>
      </c>
      <c r="L9" s="37">
        <v>3</v>
      </c>
      <c r="M9" s="37"/>
      <c r="N9" s="38">
        <f t="shared" si="0"/>
        <v>3</v>
      </c>
      <c r="O9" s="37">
        <v>2.6</v>
      </c>
      <c r="P9" s="37">
        <v>2.5</v>
      </c>
      <c r="Q9" s="36"/>
      <c r="R9" s="36"/>
      <c r="S9" s="38">
        <f t="shared" si="1"/>
        <v>2.6</v>
      </c>
      <c r="T9" s="17">
        <v>1.0660000000000001</v>
      </c>
      <c r="U9" s="17">
        <v>1.0960000000000001</v>
      </c>
      <c r="V9" s="22">
        <f t="shared" si="2"/>
        <v>1.081</v>
      </c>
      <c r="W9" s="34">
        <v>0.99199999999999999</v>
      </c>
      <c r="X9" s="34">
        <v>1.004</v>
      </c>
      <c r="Y9" s="33">
        <f t="shared" si="3"/>
        <v>0.998</v>
      </c>
      <c r="Z9" s="17">
        <v>4.1000000000000002E-2</v>
      </c>
      <c r="AA9" s="17">
        <v>4.2000000000000003E-2</v>
      </c>
      <c r="AB9" s="21">
        <f t="shared" si="4"/>
        <v>4.2000000000000003E-2</v>
      </c>
      <c r="AC9" s="19">
        <v>0.84</v>
      </c>
      <c r="AD9" s="19">
        <v>0.83099999999999996</v>
      </c>
      <c r="AE9" s="21">
        <f t="shared" si="5"/>
        <v>0.83599999999999997</v>
      </c>
      <c r="AF9" s="19">
        <v>6.9000000000000006E-2</v>
      </c>
      <c r="AG9" s="19">
        <v>6.7000000000000004E-2</v>
      </c>
      <c r="AH9" s="21">
        <f t="shared" si="6"/>
        <v>6.8000000000000005E-2</v>
      </c>
      <c r="AI9" s="30">
        <v>3.9E-2</v>
      </c>
      <c r="AJ9" s="30">
        <v>0.04</v>
      </c>
      <c r="AK9" s="31">
        <f t="shared" si="7"/>
        <v>0.04</v>
      </c>
      <c r="AL9" s="30">
        <v>0.03</v>
      </c>
      <c r="AM9" s="30">
        <v>3.1E-2</v>
      </c>
      <c r="AN9" s="31">
        <f t="shared" si="8"/>
        <v>3.1E-2</v>
      </c>
      <c r="AO9" s="19">
        <v>6.9930000000000003</v>
      </c>
      <c r="AP9" s="19">
        <v>6.9669999999999996</v>
      </c>
      <c r="AQ9" s="21">
        <f t="shared" si="9"/>
        <v>6.98</v>
      </c>
      <c r="AR9" s="46">
        <v>8.1199999999999994E-2</v>
      </c>
      <c r="AS9" s="46">
        <v>8.1199999999999994E-2</v>
      </c>
      <c r="AT9" s="45">
        <f t="shared" si="10"/>
        <v>8.1199999999999994E-2</v>
      </c>
    </row>
    <row r="10" spans="1:46">
      <c r="A10" s="7" t="s">
        <v>5</v>
      </c>
      <c r="B10" s="5" t="s">
        <v>50</v>
      </c>
      <c r="C10" s="6" t="s">
        <v>42</v>
      </c>
      <c r="D10" s="6" t="s">
        <v>51</v>
      </c>
      <c r="E10" s="23">
        <v>20.100000000000001</v>
      </c>
      <c r="F10" s="23">
        <v>7.1</v>
      </c>
      <c r="G10" s="41">
        <v>106</v>
      </c>
      <c r="H10" s="23">
        <v>8.1</v>
      </c>
      <c r="I10" s="23">
        <v>1.1000000000000001</v>
      </c>
      <c r="J10" s="23">
        <v>4.7</v>
      </c>
      <c r="K10" s="37">
        <v>3.3</v>
      </c>
      <c r="L10" s="37">
        <v>3.3</v>
      </c>
      <c r="M10" s="37"/>
      <c r="N10" s="38">
        <f t="shared" si="0"/>
        <v>3.3</v>
      </c>
      <c r="O10" s="37">
        <v>2.8</v>
      </c>
      <c r="P10" s="37">
        <v>2.7</v>
      </c>
      <c r="Q10" s="36"/>
      <c r="R10" s="36"/>
      <c r="S10" s="38">
        <f t="shared" si="1"/>
        <v>2.8</v>
      </c>
      <c r="T10" s="17">
        <v>1.9370000000000001</v>
      </c>
      <c r="U10" s="17">
        <v>1.944</v>
      </c>
      <c r="V10" s="22">
        <f t="shared" si="2"/>
        <v>1.9410000000000001</v>
      </c>
      <c r="W10" s="34">
        <v>1.847</v>
      </c>
      <c r="X10" s="34">
        <v>1.861</v>
      </c>
      <c r="Y10" s="33">
        <f t="shared" si="3"/>
        <v>1.8540000000000001</v>
      </c>
      <c r="Z10" s="17">
        <v>6.7000000000000004E-2</v>
      </c>
      <c r="AA10" s="17">
        <v>6.8000000000000005E-2</v>
      </c>
      <c r="AB10" s="21">
        <f t="shared" si="4"/>
        <v>6.8000000000000005E-2</v>
      </c>
      <c r="AC10" s="19">
        <v>1.556</v>
      </c>
      <c r="AD10" s="19">
        <v>1.54</v>
      </c>
      <c r="AE10" s="21">
        <f t="shared" si="5"/>
        <v>1.548</v>
      </c>
      <c r="AF10" s="19">
        <v>0.151</v>
      </c>
      <c r="AG10" s="19">
        <v>0.14899999999999999</v>
      </c>
      <c r="AH10" s="21">
        <f t="shared" si="6"/>
        <v>0.15</v>
      </c>
      <c r="AI10" s="30">
        <v>0.11700000000000001</v>
      </c>
      <c r="AJ10" s="30">
        <v>0.121</v>
      </c>
      <c r="AK10" s="31">
        <f t="shared" si="7"/>
        <v>0.11899999999999999</v>
      </c>
      <c r="AL10" s="30">
        <v>0.114</v>
      </c>
      <c r="AM10" s="30">
        <v>0.11600000000000001</v>
      </c>
      <c r="AN10" s="31">
        <f t="shared" si="8"/>
        <v>0.115</v>
      </c>
      <c r="AO10" s="19">
        <v>6.093</v>
      </c>
      <c r="AP10" s="19">
        <v>6.0670000000000002</v>
      </c>
      <c r="AQ10" s="21">
        <f t="shared" si="9"/>
        <v>6.08</v>
      </c>
      <c r="AR10" s="46">
        <v>8.4000000000000005E-2</v>
      </c>
      <c r="AS10" s="46">
        <v>8.4500000000000006E-2</v>
      </c>
      <c r="AT10" s="45">
        <f t="shared" si="10"/>
        <v>8.43E-2</v>
      </c>
    </row>
    <row r="11" spans="1:46">
      <c r="A11" s="7" t="s">
        <v>6</v>
      </c>
      <c r="B11" s="5" t="s">
        <v>52</v>
      </c>
      <c r="C11" s="6" t="s">
        <v>53</v>
      </c>
      <c r="D11" s="6" t="s">
        <v>36</v>
      </c>
      <c r="E11" s="23">
        <v>20</v>
      </c>
      <c r="F11" s="23">
        <v>6.8</v>
      </c>
      <c r="G11" s="41">
        <v>117</v>
      </c>
      <c r="H11" s="23">
        <v>9</v>
      </c>
      <c r="I11" s="23">
        <v>0.9</v>
      </c>
      <c r="J11" s="23">
        <v>3.9</v>
      </c>
      <c r="K11" s="37">
        <v>2.5</v>
      </c>
      <c r="L11" s="37">
        <v>2.2999999999999998</v>
      </c>
      <c r="M11" s="37"/>
      <c r="N11" s="38">
        <f t="shared" si="0"/>
        <v>2.4</v>
      </c>
      <c r="O11" s="37">
        <v>1.8</v>
      </c>
      <c r="P11" s="37">
        <v>1.9</v>
      </c>
      <c r="Q11" s="36"/>
      <c r="R11" s="36"/>
      <c r="S11" s="38">
        <f t="shared" si="1"/>
        <v>1.9</v>
      </c>
      <c r="T11" s="17">
        <v>1.5469999999999999</v>
      </c>
      <c r="U11" s="17">
        <v>1.5649999999999999</v>
      </c>
      <c r="V11" s="22">
        <f t="shared" si="2"/>
        <v>1.556</v>
      </c>
      <c r="W11" s="34">
        <v>1.474</v>
      </c>
      <c r="X11" s="34">
        <v>1.48</v>
      </c>
      <c r="Y11" s="33">
        <f t="shared" si="3"/>
        <v>1.4770000000000001</v>
      </c>
      <c r="Z11" s="17">
        <v>8.5000000000000006E-2</v>
      </c>
      <c r="AA11" s="17">
        <v>8.5999999999999993E-2</v>
      </c>
      <c r="AB11" s="21">
        <f t="shared" si="4"/>
        <v>8.5999999999999993E-2</v>
      </c>
      <c r="AC11" s="19">
        <v>1.232</v>
      </c>
      <c r="AD11" s="19">
        <v>1.22</v>
      </c>
      <c r="AE11" s="21">
        <f t="shared" si="5"/>
        <v>1.226</v>
      </c>
      <c r="AF11" s="19">
        <v>0.13200000000000001</v>
      </c>
      <c r="AG11" s="19">
        <v>0.129</v>
      </c>
      <c r="AH11" s="21">
        <f t="shared" si="6"/>
        <v>0.13100000000000001</v>
      </c>
      <c r="AI11" s="30">
        <v>9.7000000000000003E-2</v>
      </c>
      <c r="AJ11" s="30">
        <v>9.7000000000000003E-2</v>
      </c>
      <c r="AK11" s="31">
        <f t="shared" si="7"/>
        <v>9.7000000000000003E-2</v>
      </c>
      <c r="AL11" s="30">
        <v>9.7000000000000003E-2</v>
      </c>
      <c r="AM11" s="30">
        <v>9.7000000000000003E-2</v>
      </c>
      <c r="AN11" s="31">
        <f t="shared" si="8"/>
        <v>9.7000000000000003E-2</v>
      </c>
      <c r="AO11" s="19">
        <v>7.0629999999999997</v>
      </c>
      <c r="AP11" s="19">
        <v>7.0540000000000003</v>
      </c>
      <c r="AQ11" s="21">
        <f t="shared" si="9"/>
        <v>7.0590000000000002</v>
      </c>
      <c r="AR11" s="46">
        <v>5.5500000000000001E-2</v>
      </c>
      <c r="AS11" s="46">
        <v>5.4899999999999997E-2</v>
      </c>
      <c r="AT11" s="45">
        <f t="shared" si="10"/>
        <v>5.5199999999999999E-2</v>
      </c>
    </row>
    <row r="12" spans="1:46">
      <c r="A12" s="7" t="s">
        <v>7</v>
      </c>
      <c r="B12" s="5" t="s">
        <v>54</v>
      </c>
      <c r="C12" s="6" t="s">
        <v>55</v>
      </c>
      <c r="D12" s="6" t="s">
        <v>56</v>
      </c>
      <c r="E12" s="23">
        <v>19.3</v>
      </c>
      <c r="F12" s="23">
        <v>6.6</v>
      </c>
      <c r="G12" s="41">
        <v>111</v>
      </c>
      <c r="H12" s="23">
        <v>9.1</v>
      </c>
      <c r="I12" s="23">
        <v>1.1000000000000001</v>
      </c>
      <c r="J12" s="23">
        <v>4.4000000000000004</v>
      </c>
      <c r="K12" s="37">
        <v>2.9</v>
      </c>
      <c r="L12" s="37">
        <v>3.1</v>
      </c>
      <c r="M12" s="37"/>
      <c r="N12" s="38">
        <f t="shared" si="0"/>
        <v>3</v>
      </c>
      <c r="O12" s="37">
        <v>2.4</v>
      </c>
      <c r="P12" s="37">
        <v>2.4</v>
      </c>
      <c r="Q12" s="36"/>
      <c r="R12" s="36"/>
      <c r="S12" s="38">
        <f t="shared" si="1"/>
        <v>2.4</v>
      </c>
      <c r="T12" s="17">
        <v>1.3740000000000001</v>
      </c>
      <c r="U12" s="17">
        <v>1.3879999999999999</v>
      </c>
      <c r="V12" s="22">
        <f t="shared" si="2"/>
        <v>1.381</v>
      </c>
      <c r="W12" s="34">
        <v>1.3080000000000001</v>
      </c>
      <c r="X12" s="34">
        <v>1.2989999999999999</v>
      </c>
      <c r="Y12" s="33">
        <f t="shared" si="3"/>
        <v>1.304</v>
      </c>
      <c r="Z12" s="17">
        <v>7.2999999999999995E-2</v>
      </c>
      <c r="AA12" s="17">
        <v>7.3999999999999996E-2</v>
      </c>
      <c r="AB12" s="21">
        <f t="shared" si="4"/>
        <v>7.3999999999999996E-2</v>
      </c>
      <c r="AC12" s="19">
        <v>1.0720000000000001</v>
      </c>
      <c r="AD12" s="19">
        <v>1.0609999999999999</v>
      </c>
      <c r="AE12" s="21">
        <f t="shared" si="5"/>
        <v>1.0669999999999999</v>
      </c>
      <c r="AF12" s="19">
        <v>9.5000000000000001E-2</v>
      </c>
      <c r="AG12" s="19">
        <v>9.1999999999999998E-2</v>
      </c>
      <c r="AH12" s="21">
        <f t="shared" si="6"/>
        <v>9.4E-2</v>
      </c>
      <c r="AI12" s="30">
        <v>6.2E-2</v>
      </c>
      <c r="AJ12" s="30">
        <v>5.8999999999999997E-2</v>
      </c>
      <c r="AK12" s="31">
        <f t="shared" si="7"/>
        <v>6.0999999999999999E-2</v>
      </c>
      <c r="AL12" s="30">
        <v>6.2E-2</v>
      </c>
      <c r="AM12" s="30">
        <v>5.8999999999999997E-2</v>
      </c>
      <c r="AN12" s="31">
        <f t="shared" si="8"/>
        <v>6.0999999999999999E-2</v>
      </c>
      <c r="AO12" s="19">
        <v>6.992</v>
      </c>
      <c r="AP12" s="19">
        <v>6.97</v>
      </c>
      <c r="AQ12" s="21">
        <f t="shared" si="9"/>
        <v>6.9809999999999999</v>
      </c>
      <c r="AR12" s="46">
        <v>7.4399999999999994E-2</v>
      </c>
      <c r="AS12" s="46">
        <v>7.4399999999999994E-2</v>
      </c>
      <c r="AT12" s="45">
        <f t="shared" si="10"/>
        <v>7.4399999999999994E-2</v>
      </c>
    </row>
    <row r="13" spans="1:46">
      <c r="A13" s="7" t="s">
        <v>8</v>
      </c>
      <c r="B13" s="5" t="s">
        <v>54</v>
      </c>
      <c r="C13" s="6" t="s">
        <v>44</v>
      </c>
      <c r="D13" s="6" t="s">
        <v>36</v>
      </c>
      <c r="E13" s="23">
        <v>20.5</v>
      </c>
      <c r="F13" s="23">
        <v>6.8</v>
      </c>
      <c r="G13" s="41">
        <v>119</v>
      </c>
      <c r="H13" s="23">
        <v>8.8000000000000007</v>
      </c>
      <c r="I13" s="23">
        <v>1</v>
      </c>
      <c r="J13" s="23">
        <v>3.4</v>
      </c>
      <c r="K13" s="37">
        <v>2.6</v>
      </c>
      <c r="L13" s="37">
        <v>2.7</v>
      </c>
      <c r="M13" s="37"/>
      <c r="N13" s="38">
        <f t="shared" si="0"/>
        <v>2.7</v>
      </c>
      <c r="O13" s="37">
        <v>2.2000000000000002</v>
      </c>
      <c r="P13" s="37">
        <v>1.9</v>
      </c>
      <c r="Q13" s="36"/>
      <c r="R13" s="36"/>
      <c r="S13" s="38">
        <f t="shared" si="1"/>
        <v>2.1</v>
      </c>
      <c r="T13" s="17">
        <v>1.889</v>
      </c>
      <c r="U13" s="17">
        <v>1.9059999999999999</v>
      </c>
      <c r="V13" s="22">
        <f t="shared" si="2"/>
        <v>1.8979999999999999</v>
      </c>
      <c r="W13" s="34">
        <v>1.79</v>
      </c>
      <c r="X13" s="34">
        <v>1.806</v>
      </c>
      <c r="Y13" s="33">
        <f t="shared" si="3"/>
        <v>1.798</v>
      </c>
      <c r="Z13" s="17">
        <v>7.9000000000000001E-2</v>
      </c>
      <c r="AA13" s="17">
        <v>7.8E-2</v>
      </c>
      <c r="AB13" s="21">
        <f t="shared" si="4"/>
        <v>7.9000000000000001E-2</v>
      </c>
      <c r="AC13" s="19">
        <v>1.5329999999999999</v>
      </c>
      <c r="AD13" s="19">
        <v>1.516</v>
      </c>
      <c r="AE13" s="21">
        <f t="shared" si="5"/>
        <v>1.5249999999999999</v>
      </c>
      <c r="AF13" s="19">
        <v>0.16700000000000001</v>
      </c>
      <c r="AG13" s="19">
        <v>0.16500000000000001</v>
      </c>
      <c r="AH13" s="21">
        <f t="shared" si="6"/>
        <v>0.16600000000000001</v>
      </c>
      <c r="AI13" s="30">
        <v>0.11700000000000001</v>
      </c>
      <c r="AJ13" s="30">
        <v>0.125</v>
      </c>
      <c r="AK13" s="31">
        <f t="shared" si="7"/>
        <v>0.121</v>
      </c>
      <c r="AL13" s="30">
        <v>0.114</v>
      </c>
      <c r="AM13" s="30">
        <v>0.12</v>
      </c>
      <c r="AN13" s="31">
        <f t="shared" si="8"/>
        <v>0.11700000000000001</v>
      </c>
      <c r="AO13" s="19">
        <v>7.0430000000000001</v>
      </c>
      <c r="AP13" s="19">
        <v>7.0279999999999996</v>
      </c>
      <c r="AQ13" s="21">
        <f t="shared" si="9"/>
        <v>7.0359999999999996</v>
      </c>
      <c r="AR13" s="46">
        <v>5.7099999999999998E-2</v>
      </c>
      <c r="AS13" s="46">
        <v>5.6599999999999998E-2</v>
      </c>
      <c r="AT13" s="45">
        <f t="shared" si="10"/>
        <v>5.6899999999999999E-2</v>
      </c>
    </row>
    <row r="14" spans="1:46">
      <c r="A14" s="7" t="s">
        <v>9</v>
      </c>
      <c r="B14" s="5" t="s">
        <v>57</v>
      </c>
      <c r="C14" s="6" t="s">
        <v>58</v>
      </c>
      <c r="D14" s="6" t="s">
        <v>59</v>
      </c>
      <c r="E14" s="23">
        <v>21.3</v>
      </c>
      <c r="F14" s="23">
        <v>6.8</v>
      </c>
      <c r="G14" s="41">
        <v>190</v>
      </c>
      <c r="H14" s="23">
        <v>8.6</v>
      </c>
      <c r="I14" s="23">
        <v>0.3</v>
      </c>
      <c r="J14" s="23">
        <v>2.1</v>
      </c>
      <c r="K14" s="37">
        <v>1.5</v>
      </c>
      <c r="L14" s="37">
        <v>1.5</v>
      </c>
      <c r="M14" s="37"/>
      <c r="N14" s="38">
        <f t="shared" si="0"/>
        <v>1.5</v>
      </c>
      <c r="O14" s="37">
        <v>1.2</v>
      </c>
      <c r="P14" s="37">
        <v>1.2</v>
      </c>
      <c r="Q14" s="36"/>
      <c r="R14" s="36"/>
      <c r="S14" s="38">
        <f t="shared" si="1"/>
        <v>1.2</v>
      </c>
      <c r="T14" s="17">
        <v>1.6120000000000001</v>
      </c>
      <c r="U14" s="17">
        <v>1.653</v>
      </c>
      <c r="V14" s="22">
        <f t="shared" si="2"/>
        <v>1.633</v>
      </c>
      <c r="W14" s="34">
        <v>1.5469999999999999</v>
      </c>
      <c r="X14" s="34">
        <v>1.5609999999999999</v>
      </c>
      <c r="Y14" s="33">
        <f t="shared" si="3"/>
        <v>1.554</v>
      </c>
      <c r="Z14" s="17">
        <v>2.5999999999999999E-2</v>
      </c>
      <c r="AA14" s="17">
        <v>2.7E-2</v>
      </c>
      <c r="AB14" s="21">
        <f t="shared" si="4"/>
        <v>2.7E-2</v>
      </c>
      <c r="AC14" s="19">
        <v>1.411</v>
      </c>
      <c r="AD14" s="19">
        <v>1.3959999999999999</v>
      </c>
      <c r="AE14" s="21">
        <f t="shared" si="5"/>
        <v>1.4039999999999999</v>
      </c>
      <c r="AF14" s="19">
        <v>1.7999999999999999E-2</v>
      </c>
      <c r="AG14" s="19">
        <v>1.4999999999999999E-2</v>
      </c>
      <c r="AH14" s="21">
        <f t="shared" si="6"/>
        <v>1.7000000000000001E-2</v>
      </c>
      <c r="AI14" s="30">
        <v>7.0000000000000001E-3</v>
      </c>
      <c r="AJ14" s="30">
        <v>6.0000000000000001E-3</v>
      </c>
      <c r="AK14" s="31">
        <f t="shared" si="7"/>
        <v>7.0000000000000001E-3</v>
      </c>
      <c r="AL14" s="30">
        <v>2E-3</v>
      </c>
      <c r="AM14" s="30">
        <v>0</v>
      </c>
      <c r="AN14" s="31">
        <f t="shared" si="8"/>
        <v>1E-3</v>
      </c>
      <c r="AO14" s="19">
        <v>5.5380000000000003</v>
      </c>
      <c r="AP14" s="19">
        <v>5.5110000000000001</v>
      </c>
      <c r="AQ14" s="21">
        <f t="shared" si="9"/>
        <v>5.5250000000000004</v>
      </c>
      <c r="AR14" s="46">
        <v>2.8299999999999999E-2</v>
      </c>
      <c r="AS14" s="46">
        <v>2.8199999999999999E-2</v>
      </c>
      <c r="AT14" s="45">
        <f t="shared" si="10"/>
        <v>2.8299999999999999E-2</v>
      </c>
    </row>
    <row r="15" spans="1:46">
      <c r="A15" s="7" t="s">
        <v>10</v>
      </c>
      <c r="B15" s="5" t="s">
        <v>60</v>
      </c>
      <c r="C15" s="6" t="s">
        <v>61</v>
      </c>
      <c r="D15" s="6" t="s">
        <v>36</v>
      </c>
      <c r="E15" s="23">
        <v>20.6</v>
      </c>
      <c r="F15" s="23">
        <v>7</v>
      </c>
      <c r="G15" s="41">
        <v>140</v>
      </c>
      <c r="H15" s="23">
        <v>9.1</v>
      </c>
      <c r="I15" s="23">
        <v>0.8</v>
      </c>
      <c r="J15" s="23">
        <v>4</v>
      </c>
      <c r="K15" s="37">
        <v>2.6</v>
      </c>
      <c r="L15" s="37">
        <v>2.8</v>
      </c>
      <c r="M15" s="37"/>
      <c r="N15" s="38">
        <f t="shared" si="0"/>
        <v>2.7</v>
      </c>
      <c r="O15" s="37">
        <v>2.2000000000000002</v>
      </c>
      <c r="P15" s="37">
        <v>2.2000000000000002</v>
      </c>
      <c r="Q15" s="36"/>
      <c r="R15" s="36"/>
      <c r="S15" s="38">
        <f t="shared" si="1"/>
        <v>2.2000000000000002</v>
      </c>
      <c r="T15" s="17">
        <v>2.1419999999999999</v>
      </c>
      <c r="U15" s="17">
        <v>2.157</v>
      </c>
      <c r="V15" s="22">
        <f t="shared" si="2"/>
        <v>2.15</v>
      </c>
      <c r="W15" s="34">
        <v>2.0950000000000002</v>
      </c>
      <c r="X15" s="34">
        <v>2.0960000000000001</v>
      </c>
      <c r="Y15" s="33">
        <f t="shared" si="3"/>
        <v>2.0960000000000001</v>
      </c>
      <c r="Z15" s="17">
        <v>0.111</v>
      </c>
      <c r="AA15" s="17">
        <v>0.13700000000000001</v>
      </c>
      <c r="AB15" s="21">
        <f t="shared" si="4"/>
        <v>0.124</v>
      </c>
      <c r="AC15" s="19">
        <v>1.7430000000000001</v>
      </c>
      <c r="AD15" s="19">
        <v>1.722</v>
      </c>
      <c r="AE15" s="21">
        <f t="shared" si="5"/>
        <v>1.7330000000000001</v>
      </c>
      <c r="AF15" s="19">
        <v>0.20599999999999999</v>
      </c>
      <c r="AG15" s="19">
        <v>0.20300000000000001</v>
      </c>
      <c r="AH15" s="21">
        <f t="shared" si="6"/>
        <v>0.20499999999999999</v>
      </c>
      <c r="AI15" s="30">
        <v>0.158</v>
      </c>
      <c r="AJ15" s="30">
        <v>0.161</v>
      </c>
      <c r="AK15" s="31">
        <f t="shared" si="7"/>
        <v>0.16</v>
      </c>
      <c r="AL15" s="30">
        <v>0.156</v>
      </c>
      <c r="AM15" s="30">
        <v>0.158</v>
      </c>
      <c r="AN15" s="31">
        <f t="shared" si="8"/>
        <v>0.157</v>
      </c>
      <c r="AO15" s="19">
        <v>7.577</v>
      </c>
      <c r="AP15" s="19">
        <v>7.5410000000000004</v>
      </c>
      <c r="AQ15" s="21">
        <f t="shared" si="9"/>
        <v>7.5590000000000002</v>
      </c>
      <c r="AR15" s="46">
        <v>6.7599999999999993E-2</v>
      </c>
      <c r="AS15" s="46">
        <v>6.7900000000000002E-2</v>
      </c>
      <c r="AT15" s="45">
        <f t="shared" si="10"/>
        <v>6.7799999999999999E-2</v>
      </c>
    </row>
    <row r="16" spans="1:46">
      <c r="A16" s="7" t="s">
        <v>11</v>
      </c>
      <c r="B16" s="5" t="s">
        <v>108</v>
      </c>
      <c r="C16" s="6" t="s">
        <v>62</v>
      </c>
      <c r="D16" s="6" t="s">
        <v>63</v>
      </c>
      <c r="E16" s="23">
        <v>19.8</v>
      </c>
      <c r="F16" s="23">
        <v>6.9</v>
      </c>
      <c r="G16" s="41">
        <v>162</v>
      </c>
      <c r="H16" s="23">
        <v>8.8000000000000007</v>
      </c>
      <c r="I16" s="23">
        <v>1.3</v>
      </c>
      <c r="J16" s="23">
        <v>5.2</v>
      </c>
      <c r="K16" s="37">
        <v>4.2</v>
      </c>
      <c r="L16" s="37">
        <v>3.9</v>
      </c>
      <c r="M16" s="37"/>
      <c r="N16" s="38">
        <f t="shared" si="0"/>
        <v>4.0999999999999996</v>
      </c>
      <c r="O16" s="37">
        <v>3.2</v>
      </c>
      <c r="P16" s="37">
        <v>3.1</v>
      </c>
      <c r="Q16" s="36"/>
      <c r="R16" s="36"/>
      <c r="S16" s="38">
        <f t="shared" si="1"/>
        <v>3.2</v>
      </c>
      <c r="T16" s="17">
        <v>2.0209999999999999</v>
      </c>
      <c r="U16" s="17">
        <v>2.0630000000000002</v>
      </c>
      <c r="V16" s="22">
        <f t="shared" si="2"/>
        <v>2.0419999999999998</v>
      </c>
      <c r="W16" s="34">
        <v>1.964</v>
      </c>
      <c r="X16" s="34">
        <v>1.962</v>
      </c>
      <c r="Y16" s="33">
        <f t="shared" si="3"/>
        <v>1.9630000000000001</v>
      </c>
      <c r="Z16" s="17">
        <v>9.2999999999999999E-2</v>
      </c>
      <c r="AA16" s="17">
        <v>0.09</v>
      </c>
      <c r="AB16" s="21">
        <f t="shared" si="4"/>
        <v>9.1999999999999998E-2</v>
      </c>
      <c r="AC16" s="19">
        <v>1.556</v>
      </c>
      <c r="AD16" s="19">
        <v>1.546</v>
      </c>
      <c r="AE16" s="21">
        <f t="shared" si="5"/>
        <v>1.5509999999999999</v>
      </c>
      <c r="AF16" s="19">
        <v>0.127</v>
      </c>
      <c r="AG16" s="19">
        <v>0.128</v>
      </c>
      <c r="AH16" s="21">
        <f t="shared" si="6"/>
        <v>0.128</v>
      </c>
      <c r="AI16" s="30">
        <v>6.3E-2</v>
      </c>
      <c r="AJ16" s="30">
        <v>6.0999999999999999E-2</v>
      </c>
      <c r="AK16" s="31">
        <f t="shared" si="7"/>
        <v>6.2E-2</v>
      </c>
      <c r="AL16" s="30">
        <v>5.3999999999999999E-2</v>
      </c>
      <c r="AM16" s="30">
        <v>5.2999999999999999E-2</v>
      </c>
      <c r="AN16" s="31">
        <f t="shared" si="8"/>
        <v>5.3999999999999999E-2</v>
      </c>
      <c r="AO16" s="19">
        <v>10.000999999999999</v>
      </c>
      <c r="AP16" s="19">
        <v>9.984</v>
      </c>
      <c r="AQ16" s="21">
        <f t="shared" si="9"/>
        <v>9.9930000000000003</v>
      </c>
      <c r="AR16" s="46">
        <v>0.10639999999999999</v>
      </c>
      <c r="AS16" s="46">
        <v>0.10680000000000001</v>
      </c>
      <c r="AT16" s="45">
        <f t="shared" si="10"/>
        <v>0.1066</v>
      </c>
    </row>
    <row r="17" spans="1:46">
      <c r="A17" s="7" t="s">
        <v>12</v>
      </c>
      <c r="B17" s="5" t="s">
        <v>64</v>
      </c>
      <c r="C17" s="6" t="s">
        <v>65</v>
      </c>
      <c r="D17" s="6" t="s">
        <v>36</v>
      </c>
      <c r="E17" s="23">
        <v>20</v>
      </c>
      <c r="F17" s="23">
        <v>7.8</v>
      </c>
      <c r="G17" s="41">
        <v>156</v>
      </c>
      <c r="H17" s="23">
        <v>9.5</v>
      </c>
      <c r="I17" s="23">
        <v>0.7</v>
      </c>
      <c r="J17" s="23">
        <v>3.7</v>
      </c>
      <c r="K17" s="37">
        <v>2.4</v>
      </c>
      <c r="L17" s="37">
        <v>2.4</v>
      </c>
      <c r="M17" s="37"/>
      <c r="N17" s="38">
        <f t="shared" si="0"/>
        <v>2.4</v>
      </c>
      <c r="O17" s="37">
        <v>1.9</v>
      </c>
      <c r="P17" s="37">
        <v>1.9</v>
      </c>
      <c r="Q17" s="36"/>
      <c r="R17" s="36"/>
      <c r="S17" s="38">
        <f t="shared" si="1"/>
        <v>1.9</v>
      </c>
      <c r="T17" s="17">
        <v>1.8140000000000001</v>
      </c>
      <c r="U17" s="17">
        <v>1.8260000000000001</v>
      </c>
      <c r="V17" s="22">
        <f t="shared" si="2"/>
        <v>1.82</v>
      </c>
      <c r="W17" s="34">
        <v>1.7849999999999999</v>
      </c>
      <c r="X17" s="34">
        <v>1.7749999999999999</v>
      </c>
      <c r="Y17" s="33">
        <f t="shared" si="3"/>
        <v>1.78</v>
      </c>
      <c r="Z17" s="17">
        <v>5.3999999999999999E-2</v>
      </c>
      <c r="AA17" s="17">
        <v>5.3999999999999999E-2</v>
      </c>
      <c r="AB17" s="21">
        <f t="shared" si="4"/>
        <v>5.3999999999999999E-2</v>
      </c>
      <c r="AC17" s="19">
        <v>1.5069999999999999</v>
      </c>
      <c r="AD17" s="19">
        <v>1.5069999999999999</v>
      </c>
      <c r="AE17" s="21">
        <f t="shared" si="5"/>
        <v>1.5069999999999999</v>
      </c>
      <c r="AF17" s="19">
        <v>0.115</v>
      </c>
      <c r="AG17" s="19">
        <v>0.111</v>
      </c>
      <c r="AH17" s="21">
        <f t="shared" si="6"/>
        <v>0.113</v>
      </c>
      <c r="AI17" s="30">
        <v>0.08</v>
      </c>
      <c r="AJ17" s="30">
        <v>0.08</v>
      </c>
      <c r="AK17" s="31">
        <f t="shared" si="7"/>
        <v>0.08</v>
      </c>
      <c r="AL17" s="30">
        <v>7.5999999999999998E-2</v>
      </c>
      <c r="AM17" s="30">
        <v>7.6999999999999999E-2</v>
      </c>
      <c r="AN17" s="31">
        <f t="shared" si="8"/>
        <v>7.6999999999999999E-2</v>
      </c>
      <c r="AO17" s="19">
        <v>8.0250000000000004</v>
      </c>
      <c r="AP17" s="19">
        <v>8.0359999999999996</v>
      </c>
      <c r="AQ17" s="21">
        <f t="shared" si="9"/>
        <v>8.0310000000000006</v>
      </c>
      <c r="AR17" s="46">
        <v>5.4800000000000001E-2</v>
      </c>
      <c r="AS17" s="46">
        <v>5.7000000000000002E-2</v>
      </c>
      <c r="AT17" s="45">
        <f t="shared" si="10"/>
        <v>5.5899999999999998E-2</v>
      </c>
    </row>
    <row r="18" spans="1:46">
      <c r="A18" s="7" t="s">
        <v>13</v>
      </c>
      <c r="B18" s="5" t="s">
        <v>66</v>
      </c>
      <c r="C18" s="6" t="s">
        <v>44</v>
      </c>
      <c r="D18" s="6" t="s">
        <v>67</v>
      </c>
      <c r="E18" s="23">
        <v>20</v>
      </c>
      <c r="F18" s="23">
        <v>6.8</v>
      </c>
      <c r="G18" s="41">
        <v>201</v>
      </c>
      <c r="H18" s="23">
        <v>9.1</v>
      </c>
      <c r="I18" s="23">
        <v>1.7</v>
      </c>
      <c r="J18" s="23">
        <v>6</v>
      </c>
      <c r="K18" s="37">
        <v>4.8</v>
      </c>
      <c r="L18" s="37">
        <v>4.9000000000000004</v>
      </c>
      <c r="M18" s="37"/>
      <c r="N18" s="38">
        <f t="shared" si="0"/>
        <v>4.9000000000000004</v>
      </c>
      <c r="O18" s="37">
        <v>4</v>
      </c>
      <c r="P18" s="37">
        <v>3.9</v>
      </c>
      <c r="Q18" s="36"/>
      <c r="R18" s="36"/>
      <c r="S18" s="38">
        <f t="shared" si="1"/>
        <v>4</v>
      </c>
      <c r="T18" s="17">
        <v>2.3519999999999999</v>
      </c>
      <c r="U18" s="17">
        <v>2.331</v>
      </c>
      <c r="V18" s="22">
        <f t="shared" si="2"/>
        <v>2.3420000000000001</v>
      </c>
      <c r="W18" s="34">
        <v>2.2330000000000001</v>
      </c>
      <c r="X18" s="34">
        <v>2.222</v>
      </c>
      <c r="Y18" s="33">
        <f t="shared" si="3"/>
        <v>2.2280000000000002</v>
      </c>
      <c r="Z18" s="17">
        <v>0.11799999999999999</v>
      </c>
      <c r="AA18" s="17">
        <v>0.11899999999999999</v>
      </c>
      <c r="AB18" s="21">
        <f t="shared" si="4"/>
        <v>0.11899999999999999</v>
      </c>
      <c r="AC18" s="19">
        <v>1.714</v>
      </c>
      <c r="AD18" s="19">
        <v>1.6990000000000001</v>
      </c>
      <c r="AE18" s="21">
        <f t="shared" si="5"/>
        <v>1.7070000000000001</v>
      </c>
      <c r="AF18" s="19">
        <v>0.121</v>
      </c>
      <c r="AG18" s="19">
        <v>0.11799999999999999</v>
      </c>
      <c r="AH18" s="21">
        <f t="shared" si="6"/>
        <v>0.12</v>
      </c>
      <c r="AI18" s="30">
        <v>7.6999999999999999E-2</v>
      </c>
      <c r="AJ18" s="30">
        <v>7.6999999999999999E-2</v>
      </c>
      <c r="AK18" s="31">
        <f t="shared" si="7"/>
        <v>7.6999999999999999E-2</v>
      </c>
      <c r="AL18" s="30">
        <v>6.5000000000000002E-2</v>
      </c>
      <c r="AM18" s="30">
        <v>6.5000000000000002E-2</v>
      </c>
      <c r="AN18" s="31">
        <f t="shared" si="8"/>
        <v>6.5000000000000002E-2</v>
      </c>
      <c r="AO18" s="19">
        <v>11.042</v>
      </c>
      <c r="AP18" s="19">
        <v>10.994999999999999</v>
      </c>
      <c r="AQ18" s="21">
        <f t="shared" si="9"/>
        <v>11.019</v>
      </c>
      <c r="AR18" s="46">
        <v>0.1109</v>
      </c>
      <c r="AS18" s="46">
        <v>0.111</v>
      </c>
      <c r="AT18" s="45">
        <f t="shared" si="10"/>
        <v>0.111</v>
      </c>
    </row>
    <row r="19" spans="1:46">
      <c r="A19" s="7" t="s">
        <v>14</v>
      </c>
      <c r="B19" s="5" t="s">
        <v>64</v>
      </c>
      <c r="C19" s="6" t="s">
        <v>68</v>
      </c>
      <c r="D19" s="6" t="s">
        <v>36</v>
      </c>
      <c r="E19" s="23">
        <v>20.100000000000001</v>
      </c>
      <c r="F19" s="23">
        <v>6.8</v>
      </c>
      <c r="G19" s="41">
        <v>160</v>
      </c>
      <c r="H19" s="23">
        <v>9.3000000000000007</v>
      </c>
      <c r="I19" s="23">
        <v>1</v>
      </c>
      <c r="J19" s="23">
        <v>4</v>
      </c>
      <c r="K19" s="37">
        <v>2.8</v>
      </c>
      <c r="L19" s="37">
        <v>2.8</v>
      </c>
      <c r="M19" s="37"/>
      <c r="N19" s="38">
        <f t="shared" si="0"/>
        <v>2.8</v>
      </c>
      <c r="O19" s="37">
        <v>2.2000000000000002</v>
      </c>
      <c r="P19" s="37">
        <v>2.1</v>
      </c>
      <c r="Q19" s="36"/>
      <c r="R19" s="36"/>
      <c r="S19" s="38">
        <f t="shared" si="1"/>
        <v>2.2000000000000002</v>
      </c>
      <c r="T19" s="17">
        <v>2.0990000000000002</v>
      </c>
      <c r="U19" s="17">
        <v>2.1179999999999999</v>
      </c>
      <c r="V19" s="22">
        <f t="shared" si="2"/>
        <v>2.109</v>
      </c>
      <c r="W19" s="34">
        <v>2.0379999999999998</v>
      </c>
      <c r="X19" s="34">
        <v>2.0409999999999999</v>
      </c>
      <c r="Y19" s="33">
        <f t="shared" si="3"/>
        <v>2.04</v>
      </c>
      <c r="Z19" s="17">
        <v>7.3999999999999996E-2</v>
      </c>
      <c r="AA19" s="17">
        <v>8.5000000000000006E-2</v>
      </c>
      <c r="AB19" s="21">
        <f t="shared" si="4"/>
        <v>0.08</v>
      </c>
      <c r="AC19" s="19">
        <v>1.7010000000000001</v>
      </c>
      <c r="AD19" s="19">
        <v>1.69</v>
      </c>
      <c r="AE19" s="21">
        <f t="shared" si="5"/>
        <v>1.696</v>
      </c>
      <c r="AF19" s="19">
        <v>0.16200000000000001</v>
      </c>
      <c r="AG19" s="19">
        <v>0.16</v>
      </c>
      <c r="AH19" s="21">
        <f t="shared" si="6"/>
        <v>0.161</v>
      </c>
      <c r="AI19" s="30">
        <v>0.123</v>
      </c>
      <c r="AJ19" s="30">
        <v>0.124</v>
      </c>
      <c r="AK19" s="31">
        <f t="shared" si="7"/>
        <v>0.124</v>
      </c>
      <c r="AL19" s="30">
        <v>0.121</v>
      </c>
      <c r="AM19" s="30">
        <v>0.122</v>
      </c>
      <c r="AN19" s="31">
        <f t="shared" si="8"/>
        <v>0.122</v>
      </c>
      <c r="AO19" s="19">
        <v>8.2040000000000006</v>
      </c>
      <c r="AP19" s="19">
        <v>8.1890000000000001</v>
      </c>
      <c r="AQ19" s="21">
        <f t="shared" si="9"/>
        <v>8.1969999999999992</v>
      </c>
      <c r="AR19" s="46">
        <v>6.0900000000000003E-2</v>
      </c>
      <c r="AS19" s="46">
        <v>6.1199999999999997E-2</v>
      </c>
      <c r="AT19" s="45">
        <f t="shared" si="10"/>
        <v>6.1100000000000002E-2</v>
      </c>
    </row>
    <row r="20" spans="1:46">
      <c r="A20" s="7" t="s">
        <v>15</v>
      </c>
      <c r="B20" s="5" t="s">
        <v>69</v>
      </c>
      <c r="C20" s="6" t="s">
        <v>70</v>
      </c>
      <c r="D20" s="6" t="s">
        <v>71</v>
      </c>
      <c r="E20" s="23">
        <v>20.2</v>
      </c>
      <c r="F20" s="23">
        <v>6.8</v>
      </c>
      <c r="G20" s="41">
        <v>196</v>
      </c>
      <c r="H20" s="23">
        <v>9.1</v>
      </c>
      <c r="I20" s="23">
        <v>0.5</v>
      </c>
      <c r="J20" s="23">
        <v>3.6</v>
      </c>
      <c r="K20" s="37">
        <v>2.5</v>
      </c>
      <c r="L20" s="37">
        <v>2.6</v>
      </c>
      <c r="M20" s="37"/>
      <c r="N20" s="38">
        <f t="shared" si="0"/>
        <v>2.6</v>
      </c>
      <c r="O20" s="37">
        <v>3.1</v>
      </c>
      <c r="P20" s="37">
        <v>2.1</v>
      </c>
      <c r="Q20" s="36">
        <v>2.5</v>
      </c>
      <c r="R20" s="36">
        <v>2.4</v>
      </c>
      <c r="S20" s="38">
        <f t="shared" si="1"/>
        <v>2.5</v>
      </c>
      <c r="T20" s="17">
        <v>1.6080000000000001</v>
      </c>
      <c r="U20" s="17">
        <v>1.593</v>
      </c>
      <c r="V20" s="22">
        <f t="shared" si="2"/>
        <v>1.601</v>
      </c>
      <c r="W20" s="34">
        <v>1.5429999999999999</v>
      </c>
      <c r="X20" s="34">
        <v>1.5509999999999999</v>
      </c>
      <c r="Y20" s="33">
        <f t="shared" si="3"/>
        <v>1.5469999999999999</v>
      </c>
      <c r="Z20" s="17">
        <v>2.1999999999999999E-2</v>
      </c>
      <c r="AA20" s="17">
        <v>2.1000000000000001E-2</v>
      </c>
      <c r="AB20" s="21">
        <f t="shared" si="4"/>
        <v>2.1999999999999999E-2</v>
      </c>
      <c r="AC20" s="19">
        <v>1.3720000000000001</v>
      </c>
      <c r="AD20" s="19">
        <v>1.365</v>
      </c>
      <c r="AE20" s="21">
        <f t="shared" si="5"/>
        <v>1.369</v>
      </c>
      <c r="AF20" s="19">
        <v>4.1000000000000002E-2</v>
      </c>
      <c r="AG20" s="19">
        <v>3.9E-2</v>
      </c>
      <c r="AH20" s="21">
        <f t="shared" si="6"/>
        <v>0.04</v>
      </c>
      <c r="AI20" s="30">
        <v>2.8000000000000001E-2</v>
      </c>
      <c r="AJ20" s="30">
        <v>2.5999999999999999E-2</v>
      </c>
      <c r="AK20" s="31">
        <f t="shared" si="7"/>
        <v>2.7E-2</v>
      </c>
      <c r="AL20" s="30">
        <v>2.1999999999999999E-2</v>
      </c>
      <c r="AM20" s="30">
        <v>0.02</v>
      </c>
      <c r="AN20" s="31">
        <f t="shared" si="8"/>
        <v>2.1000000000000001E-2</v>
      </c>
      <c r="AO20" s="19">
        <v>6.2130000000000001</v>
      </c>
      <c r="AP20" s="19">
        <v>6.1890000000000001</v>
      </c>
      <c r="AQ20" s="21">
        <f t="shared" si="9"/>
        <v>6.2009999999999996</v>
      </c>
      <c r="AR20" s="46">
        <v>6.4699999999999994E-2</v>
      </c>
      <c r="AS20" s="46">
        <v>6.4699999999999994E-2</v>
      </c>
      <c r="AT20" s="45">
        <f t="shared" si="10"/>
        <v>6.4699999999999994E-2</v>
      </c>
    </row>
    <row r="21" spans="1:46">
      <c r="A21" s="7" t="s">
        <v>16</v>
      </c>
      <c r="B21" s="5" t="s">
        <v>72</v>
      </c>
      <c r="C21" s="6" t="s">
        <v>73</v>
      </c>
      <c r="D21" s="6" t="s">
        <v>36</v>
      </c>
      <c r="E21" s="23">
        <v>20.5</v>
      </c>
      <c r="F21" s="23">
        <v>7</v>
      </c>
      <c r="G21" s="41">
        <v>162</v>
      </c>
      <c r="H21" s="23">
        <v>10</v>
      </c>
      <c r="I21" s="23">
        <v>0.9</v>
      </c>
      <c r="J21" s="23">
        <v>3.9</v>
      </c>
      <c r="K21" s="37">
        <v>2.5</v>
      </c>
      <c r="L21" s="37">
        <v>2.6</v>
      </c>
      <c r="M21" s="37"/>
      <c r="N21" s="38">
        <f t="shared" si="0"/>
        <v>2.6</v>
      </c>
      <c r="O21" s="37">
        <v>2</v>
      </c>
      <c r="P21" s="37">
        <v>2.1</v>
      </c>
      <c r="Q21" s="36"/>
      <c r="R21" s="36"/>
      <c r="S21" s="38">
        <f t="shared" si="1"/>
        <v>2.1</v>
      </c>
      <c r="T21" s="17">
        <v>1.8360000000000001</v>
      </c>
      <c r="U21" s="17">
        <v>1.867</v>
      </c>
      <c r="V21" s="22">
        <f t="shared" si="2"/>
        <v>1.8520000000000001</v>
      </c>
      <c r="W21" s="34">
        <v>1.7869999999999999</v>
      </c>
      <c r="X21" s="34">
        <v>1.776</v>
      </c>
      <c r="Y21" s="33">
        <f t="shared" si="3"/>
        <v>1.782</v>
      </c>
      <c r="Z21" s="17">
        <v>2.4E-2</v>
      </c>
      <c r="AA21" s="17">
        <v>2.5000000000000001E-2</v>
      </c>
      <c r="AB21" s="21">
        <f t="shared" si="4"/>
        <v>2.5000000000000001E-2</v>
      </c>
      <c r="AC21" s="19">
        <v>1.5249999999999999</v>
      </c>
      <c r="AD21" s="19">
        <v>1.514</v>
      </c>
      <c r="AE21" s="21">
        <f t="shared" si="5"/>
        <v>1.52</v>
      </c>
      <c r="AF21" s="19">
        <v>0.115</v>
      </c>
      <c r="AG21" s="19">
        <v>0.111</v>
      </c>
      <c r="AH21" s="21">
        <f t="shared" si="6"/>
        <v>0.113</v>
      </c>
      <c r="AI21" s="30">
        <v>7.9000000000000001E-2</v>
      </c>
      <c r="AJ21" s="30">
        <v>8.3000000000000004E-2</v>
      </c>
      <c r="AK21" s="31">
        <f t="shared" si="7"/>
        <v>8.1000000000000003E-2</v>
      </c>
      <c r="AL21" s="30">
        <v>7.5999999999999998E-2</v>
      </c>
      <c r="AM21" s="30">
        <v>7.6999999999999999E-2</v>
      </c>
      <c r="AN21" s="31">
        <f t="shared" si="8"/>
        <v>7.6999999999999999E-2</v>
      </c>
      <c r="AO21" s="19">
        <v>8.1029999999999998</v>
      </c>
      <c r="AP21" s="19">
        <v>8.0790000000000006</v>
      </c>
      <c r="AQ21" s="21">
        <f t="shared" si="9"/>
        <v>8.0909999999999993</v>
      </c>
      <c r="AR21" s="46">
        <v>5.7599999999999998E-2</v>
      </c>
      <c r="AS21" s="46">
        <v>5.7200000000000001E-2</v>
      </c>
      <c r="AT21" s="45">
        <f t="shared" si="10"/>
        <v>5.74E-2</v>
      </c>
    </row>
    <row r="22" spans="1:46">
      <c r="A22" s="7" t="s">
        <v>17</v>
      </c>
      <c r="B22" s="5" t="s">
        <v>74</v>
      </c>
      <c r="C22" s="6" t="s">
        <v>75</v>
      </c>
      <c r="D22" s="6" t="s">
        <v>76</v>
      </c>
      <c r="E22" s="23">
        <v>20.2</v>
      </c>
      <c r="F22" s="23">
        <v>7</v>
      </c>
      <c r="G22" s="41">
        <v>286</v>
      </c>
      <c r="H22" s="23">
        <v>9.6999999999999993</v>
      </c>
      <c r="I22" s="23">
        <v>1.8</v>
      </c>
      <c r="J22" s="23">
        <v>4.4000000000000004</v>
      </c>
      <c r="K22" s="37">
        <v>3.4</v>
      </c>
      <c r="L22" s="37">
        <v>3.7</v>
      </c>
      <c r="M22" s="37"/>
      <c r="N22" s="38">
        <f t="shared" si="0"/>
        <v>3.6</v>
      </c>
      <c r="O22" s="37">
        <v>2.5</v>
      </c>
      <c r="P22" s="37">
        <v>2.5</v>
      </c>
      <c r="Q22" s="36"/>
      <c r="R22" s="36"/>
      <c r="S22" s="38">
        <f t="shared" si="1"/>
        <v>2.5</v>
      </c>
      <c r="T22" s="17">
        <v>1.7549999999999999</v>
      </c>
      <c r="U22" s="17">
        <v>1.766</v>
      </c>
      <c r="V22" s="22">
        <f t="shared" si="2"/>
        <v>1.7609999999999999</v>
      </c>
      <c r="W22" s="34">
        <v>1.645</v>
      </c>
      <c r="X22" s="34">
        <v>1.6539999999999999</v>
      </c>
      <c r="Y22" s="33">
        <f t="shared" si="3"/>
        <v>1.65</v>
      </c>
      <c r="Z22" s="17">
        <v>9.6000000000000002E-2</v>
      </c>
      <c r="AA22" s="17">
        <v>9.5000000000000001E-2</v>
      </c>
      <c r="AB22" s="21">
        <f t="shared" si="4"/>
        <v>9.6000000000000002E-2</v>
      </c>
      <c r="AC22" s="19">
        <v>1.2949999999999999</v>
      </c>
      <c r="AD22" s="19">
        <v>1.2889999999999999</v>
      </c>
      <c r="AE22" s="21">
        <f t="shared" si="5"/>
        <v>1.292</v>
      </c>
      <c r="AF22" s="19">
        <v>0.152</v>
      </c>
      <c r="AG22" s="19">
        <v>0.15</v>
      </c>
      <c r="AH22" s="21">
        <f t="shared" si="6"/>
        <v>0.151</v>
      </c>
      <c r="AI22" s="30">
        <v>0.1</v>
      </c>
      <c r="AJ22" s="30">
        <v>0.10199999999999999</v>
      </c>
      <c r="AK22" s="31">
        <f t="shared" si="7"/>
        <v>0.10100000000000001</v>
      </c>
      <c r="AL22" s="30">
        <v>9.9000000000000005E-2</v>
      </c>
      <c r="AM22" s="30">
        <v>9.9000000000000005E-2</v>
      </c>
      <c r="AN22" s="31">
        <f t="shared" si="8"/>
        <v>9.9000000000000005E-2</v>
      </c>
      <c r="AO22" s="19">
        <v>9.8620000000000001</v>
      </c>
      <c r="AP22" s="19">
        <v>9.8480000000000008</v>
      </c>
      <c r="AQ22" s="21">
        <f t="shared" si="9"/>
        <v>9.8550000000000004</v>
      </c>
      <c r="AR22" s="46">
        <v>6.5699999999999995E-2</v>
      </c>
      <c r="AS22" s="46">
        <v>6.5799999999999997E-2</v>
      </c>
      <c r="AT22" s="45">
        <f t="shared" si="10"/>
        <v>6.5799999999999997E-2</v>
      </c>
    </row>
    <row r="23" spans="1:46">
      <c r="A23" s="7" t="s">
        <v>18</v>
      </c>
      <c r="B23" s="5" t="s">
        <v>109</v>
      </c>
      <c r="C23" s="6" t="s">
        <v>77</v>
      </c>
      <c r="D23" s="6" t="s">
        <v>36</v>
      </c>
      <c r="E23" s="23">
        <v>20.8</v>
      </c>
      <c r="F23" s="23">
        <v>0.1</v>
      </c>
      <c r="G23" s="41">
        <v>228</v>
      </c>
      <c r="H23" s="23">
        <v>9.5</v>
      </c>
      <c r="I23" s="23">
        <v>1.6</v>
      </c>
      <c r="J23" s="23">
        <v>4.3</v>
      </c>
      <c r="K23" s="37">
        <v>3.4</v>
      </c>
      <c r="L23" s="37">
        <v>3.1</v>
      </c>
      <c r="M23" s="37"/>
      <c r="N23" s="38">
        <f t="shared" si="0"/>
        <v>3.3</v>
      </c>
      <c r="O23" s="37">
        <v>2.4</v>
      </c>
      <c r="P23" s="37">
        <v>2.2999999999999998</v>
      </c>
      <c r="Q23" s="36"/>
      <c r="R23" s="36"/>
      <c r="S23" s="38">
        <f t="shared" si="1"/>
        <v>2.4</v>
      </c>
      <c r="T23" s="17">
        <v>1.9690000000000001</v>
      </c>
      <c r="U23" s="17">
        <v>1.988</v>
      </c>
      <c r="V23" s="22">
        <f t="shared" si="2"/>
        <v>1.9790000000000001</v>
      </c>
      <c r="W23" s="34">
        <v>1.8879999999999999</v>
      </c>
      <c r="X23" s="34">
        <v>1.8759999999999999</v>
      </c>
      <c r="Y23" s="33">
        <f t="shared" si="3"/>
        <v>1.8819999999999999</v>
      </c>
      <c r="Z23" s="17">
        <v>0.106</v>
      </c>
      <c r="AA23" s="17">
        <v>0.106</v>
      </c>
      <c r="AB23" s="21">
        <f t="shared" si="4"/>
        <v>0.106</v>
      </c>
      <c r="AC23" s="19">
        <v>1.524</v>
      </c>
      <c r="AD23" s="19">
        <v>1.5109999999999999</v>
      </c>
      <c r="AE23" s="21">
        <f t="shared" si="5"/>
        <v>1.518</v>
      </c>
      <c r="AF23" s="19">
        <v>0.13</v>
      </c>
      <c r="AG23" s="19">
        <v>0.128</v>
      </c>
      <c r="AH23" s="21">
        <f t="shared" si="6"/>
        <v>0.129</v>
      </c>
      <c r="AI23" s="30">
        <v>7.9000000000000001E-2</v>
      </c>
      <c r="AJ23" s="30">
        <v>8.3000000000000004E-2</v>
      </c>
      <c r="AK23" s="31">
        <f t="shared" si="7"/>
        <v>8.1000000000000003E-2</v>
      </c>
      <c r="AL23" s="30">
        <v>7.6999999999999999E-2</v>
      </c>
      <c r="AM23" s="30">
        <v>0.08</v>
      </c>
      <c r="AN23" s="31">
        <f t="shared" si="8"/>
        <v>7.9000000000000001E-2</v>
      </c>
      <c r="AO23" s="19">
        <v>10.384</v>
      </c>
      <c r="AP23" s="19">
        <v>10.371</v>
      </c>
      <c r="AQ23" s="21">
        <f t="shared" si="9"/>
        <v>10.378</v>
      </c>
      <c r="AR23" s="46">
        <v>6.2600000000000003E-2</v>
      </c>
      <c r="AS23" s="46">
        <v>6.2399999999999997E-2</v>
      </c>
      <c r="AT23" s="45">
        <f t="shared" si="10"/>
        <v>6.25E-2</v>
      </c>
    </row>
    <row r="24" spans="1:46">
      <c r="A24" s="7" t="s">
        <v>19</v>
      </c>
      <c r="B24" s="5" t="s">
        <v>78</v>
      </c>
      <c r="C24" s="6" t="s">
        <v>44</v>
      </c>
      <c r="D24" s="6" t="s">
        <v>79</v>
      </c>
      <c r="E24" s="23">
        <v>20.7</v>
      </c>
      <c r="F24" s="23">
        <v>7.1</v>
      </c>
      <c r="G24" s="41">
        <v>216</v>
      </c>
      <c r="H24" s="23">
        <v>8.9</v>
      </c>
      <c r="I24" s="23">
        <v>0.7</v>
      </c>
      <c r="J24" s="23">
        <v>3.8</v>
      </c>
      <c r="K24" s="37">
        <v>2.9</v>
      </c>
      <c r="L24" s="37">
        <v>2.6</v>
      </c>
      <c r="M24" s="37"/>
      <c r="N24" s="38">
        <f t="shared" si="0"/>
        <v>2.8</v>
      </c>
      <c r="O24" s="37">
        <v>2.2999999999999998</v>
      </c>
      <c r="P24" s="37">
        <v>2.2000000000000002</v>
      </c>
      <c r="Q24" s="36"/>
      <c r="R24" s="36"/>
      <c r="S24" s="38">
        <f t="shared" si="1"/>
        <v>2.2999999999999998</v>
      </c>
      <c r="T24" s="17">
        <v>1.6279999999999999</v>
      </c>
      <c r="U24" s="17">
        <v>1.637</v>
      </c>
      <c r="V24" s="22">
        <f t="shared" si="2"/>
        <v>1.633</v>
      </c>
      <c r="W24" s="34">
        <v>1.6060000000000001</v>
      </c>
      <c r="X24" s="34">
        <v>1.62</v>
      </c>
      <c r="Y24" s="33">
        <f t="shared" si="3"/>
        <v>1.613</v>
      </c>
      <c r="Z24" s="17">
        <v>0.12</v>
      </c>
      <c r="AA24" s="17">
        <v>0.12</v>
      </c>
      <c r="AB24" s="21">
        <f t="shared" si="4"/>
        <v>0.12</v>
      </c>
      <c r="AC24" s="19">
        <v>1.236</v>
      </c>
      <c r="AD24" s="19">
        <v>1.226</v>
      </c>
      <c r="AE24" s="21">
        <f t="shared" si="5"/>
        <v>1.2310000000000001</v>
      </c>
      <c r="AF24" s="19">
        <v>6.2E-2</v>
      </c>
      <c r="AG24" s="19">
        <v>5.7000000000000002E-2</v>
      </c>
      <c r="AH24" s="21">
        <f t="shared" si="6"/>
        <v>0.06</v>
      </c>
      <c r="AI24" s="30">
        <v>3.9E-2</v>
      </c>
      <c r="AJ24" s="30">
        <v>3.7999999999999999E-2</v>
      </c>
      <c r="AK24" s="31">
        <f t="shared" si="7"/>
        <v>3.9E-2</v>
      </c>
      <c r="AL24" s="30">
        <v>3.4000000000000002E-2</v>
      </c>
      <c r="AM24" s="30">
        <v>3.4000000000000002E-2</v>
      </c>
      <c r="AN24" s="31">
        <f t="shared" si="8"/>
        <v>3.4000000000000002E-2</v>
      </c>
      <c r="AO24" s="19">
        <v>18.518000000000001</v>
      </c>
      <c r="AP24" s="19">
        <v>18.510999999999999</v>
      </c>
      <c r="AQ24" s="21">
        <f t="shared" si="9"/>
        <v>18.515000000000001</v>
      </c>
      <c r="AR24" s="46">
        <v>6.6299999999999998E-2</v>
      </c>
      <c r="AS24" s="46">
        <v>6.6500000000000004E-2</v>
      </c>
      <c r="AT24" s="45">
        <f t="shared" si="10"/>
        <v>6.6400000000000001E-2</v>
      </c>
    </row>
    <row r="25" spans="1:46">
      <c r="A25" s="7" t="s">
        <v>20</v>
      </c>
      <c r="B25" s="5" t="s">
        <v>80</v>
      </c>
      <c r="C25" s="6" t="s">
        <v>81</v>
      </c>
      <c r="D25" s="6" t="s">
        <v>36</v>
      </c>
      <c r="E25" s="23">
        <v>21</v>
      </c>
      <c r="F25" s="23">
        <v>7.3</v>
      </c>
      <c r="G25" s="41">
        <v>281</v>
      </c>
      <c r="H25" s="23">
        <v>8.5</v>
      </c>
      <c r="I25" s="23">
        <v>1.9</v>
      </c>
      <c r="J25" s="23">
        <v>4.2</v>
      </c>
      <c r="K25" s="37">
        <v>3.4</v>
      </c>
      <c r="L25" s="37">
        <v>3.5</v>
      </c>
      <c r="M25" s="37"/>
      <c r="N25" s="38">
        <f t="shared" si="0"/>
        <v>3.5</v>
      </c>
      <c r="O25" s="37">
        <v>2.5</v>
      </c>
      <c r="P25" s="37">
        <v>2.4</v>
      </c>
      <c r="Q25" s="36"/>
      <c r="R25" s="36"/>
      <c r="S25" s="38">
        <f t="shared" si="1"/>
        <v>2.5</v>
      </c>
      <c r="T25" s="17">
        <v>2.6339999999999999</v>
      </c>
      <c r="U25" s="17">
        <v>2.6269999999999998</v>
      </c>
      <c r="V25" s="22">
        <f t="shared" si="2"/>
        <v>2.6309999999999998</v>
      </c>
      <c r="W25" s="34">
        <v>2.4689999999999999</v>
      </c>
      <c r="X25" s="34">
        <v>2.48</v>
      </c>
      <c r="Y25" s="33">
        <f t="shared" si="3"/>
        <v>2.4750000000000001</v>
      </c>
      <c r="Z25" s="17">
        <v>0.378</v>
      </c>
      <c r="AA25" s="17">
        <v>0.378</v>
      </c>
      <c r="AB25" s="21">
        <f t="shared" si="4"/>
        <v>0.378</v>
      </c>
      <c r="AC25" s="19">
        <v>1.784</v>
      </c>
      <c r="AD25" s="19">
        <v>1.7709999999999999</v>
      </c>
      <c r="AE25" s="21">
        <f t="shared" si="5"/>
        <v>1.778</v>
      </c>
      <c r="AF25" s="19">
        <v>0.17599999999999999</v>
      </c>
      <c r="AG25" s="19">
        <v>0.17</v>
      </c>
      <c r="AH25" s="21">
        <f t="shared" si="6"/>
        <v>0.17299999999999999</v>
      </c>
      <c r="AI25" s="30">
        <v>0.11</v>
      </c>
      <c r="AJ25" s="30">
        <v>0.114</v>
      </c>
      <c r="AK25" s="31">
        <f t="shared" si="7"/>
        <v>0.112</v>
      </c>
      <c r="AL25" s="30">
        <v>0.109</v>
      </c>
      <c r="AM25" s="30">
        <v>0.11</v>
      </c>
      <c r="AN25" s="31">
        <f t="shared" si="8"/>
        <v>0.11</v>
      </c>
      <c r="AO25" s="19">
        <v>12.885</v>
      </c>
      <c r="AP25" s="19">
        <v>12.881</v>
      </c>
      <c r="AQ25" s="21">
        <f t="shared" si="9"/>
        <v>12.882999999999999</v>
      </c>
      <c r="AR25" s="46">
        <v>6.1600000000000002E-2</v>
      </c>
      <c r="AS25" s="46">
        <v>6.1800000000000001E-2</v>
      </c>
      <c r="AT25" s="45">
        <f t="shared" si="10"/>
        <v>6.1699999999999998E-2</v>
      </c>
    </row>
    <row r="26" spans="1:46">
      <c r="A26" s="7" t="s">
        <v>21</v>
      </c>
      <c r="B26" s="5" t="s">
        <v>82</v>
      </c>
      <c r="C26" s="6" t="s">
        <v>44</v>
      </c>
      <c r="D26" s="6" t="s">
        <v>83</v>
      </c>
      <c r="E26" s="23">
        <v>20.100000000000001</v>
      </c>
      <c r="F26" s="23">
        <v>7.2</v>
      </c>
      <c r="G26" s="41">
        <v>255</v>
      </c>
      <c r="H26" s="23">
        <v>8.4</v>
      </c>
      <c r="I26" s="23">
        <v>2.2000000000000002</v>
      </c>
      <c r="J26" s="23">
        <v>6.4</v>
      </c>
      <c r="K26" s="37">
        <v>4.7</v>
      </c>
      <c r="L26" s="37">
        <v>4.7</v>
      </c>
      <c r="M26" s="37"/>
      <c r="N26" s="38">
        <f t="shared" si="0"/>
        <v>4.7</v>
      </c>
      <c r="O26" s="37">
        <v>3.9</v>
      </c>
      <c r="P26" s="37">
        <v>3.9</v>
      </c>
      <c r="Q26" s="36"/>
      <c r="R26" s="36"/>
      <c r="S26" s="38">
        <f t="shared" si="1"/>
        <v>3.9</v>
      </c>
      <c r="T26" s="17">
        <v>3.6760000000000002</v>
      </c>
      <c r="U26" s="17">
        <v>3.6219999999999999</v>
      </c>
      <c r="V26" s="22">
        <f t="shared" si="2"/>
        <v>3.649</v>
      </c>
      <c r="W26" s="34">
        <v>3.488</v>
      </c>
      <c r="X26" s="34">
        <v>3.4990000000000001</v>
      </c>
      <c r="Y26" s="33">
        <f t="shared" si="3"/>
        <v>3.4940000000000002</v>
      </c>
      <c r="Z26" s="17">
        <v>0.71299999999999997</v>
      </c>
      <c r="AA26" s="17">
        <v>0.71399999999999997</v>
      </c>
      <c r="AB26" s="21">
        <f t="shared" si="4"/>
        <v>0.71399999999999997</v>
      </c>
      <c r="AC26" s="19">
        <v>2.2869999999999999</v>
      </c>
      <c r="AD26" s="19">
        <v>2.2749999999999999</v>
      </c>
      <c r="AE26" s="21">
        <f t="shared" si="5"/>
        <v>2.2810000000000001</v>
      </c>
      <c r="AF26" s="19">
        <v>0.32500000000000001</v>
      </c>
      <c r="AG26" s="19">
        <v>0.31900000000000001</v>
      </c>
      <c r="AH26" s="21">
        <f t="shared" si="6"/>
        <v>0.32200000000000001</v>
      </c>
      <c r="AI26" s="30">
        <v>0.23499999999999999</v>
      </c>
      <c r="AJ26" s="30">
        <v>0.248</v>
      </c>
      <c r="AK26" s="31">
        <f t="shared" si="7"/>
        <v>0.24199999999999999</v>
      </c>
      <c r="AL26" s="30">
        <v>0.23200000000000001</v>
      </c>
      <c r="AM26" s="30">
        <v>0.23699999999999999</v>
      </c>
      <c r="AN26" s="31">
        <f t="shared" si="8"/>
        <v>0.23499999999999999</v>
      </c>
      <c r="AO26" s="19">
        <v>14.923</v>
      </c>
      <c r="AP26" s="19">
        <v>14.901999999999999</v>
      </c>
      <c r="AQ26" s="21">
        <f t="shared" si="9"/>
        <v>14.913</v>
      </c>
      <c r="AR26" s="46">
        <v>0.1128</v>
      </c>
      <c r="AS26" s="46">
        <v>0.1132</v>
      </c>
      <c r="AT26" s="45">
        <f t="shared" si="10"/>
        <v>0.113</v>
      </c>
    </row>
    <row r="27" spans="1:46">
      <c r="A27" s="7" t="s">
        <v>22</v>
      </c>
      <c r="B27" s="5" t="s">
        <v>84</v>
      </c>
      <c r="C27" s="6" t="s">
        <v>85</v>
      </c>
      <c r="D27" s="6" t="s">
        <v>36</v>
      </c>
      <c r="E27" s="23">
        <v>20.5</v>
      </c>
      <c r="F27" s="23">
        <v>7.4</v>
      </c>
      <c r="G27" s="41">
        <v>279</v>
      </c>
      <c r="H27" s="23">
        <v>8.3000000000000007</v>
      </c>
      <c r="I27" s="23">
        <v>2.2000000000000002</v>
      </c>
      <c r="J27" s="23">
        <v>4.2</v>
      </c>
      <c r="K27" s="37">
        <v>3.3</v>
      </c>
      <c r="L27" s="37">
        <v>3.4</v>
      </c>
      <c r="M27" s="37"/>
      <c r="N27" s="38">
        <f t="shared" si="0"/>
        <v>3.4</v>
      </c>
      <c r="O27" s="37">
        <v>2.5</v>
      </c>
      <c r="P27" s="37">
        <v>2.4</v>
      </c>
      <c r="Q27" s="36"/>
      <c r="R27" s="36"/>
      <c r="S27" s="38">
        <f t="shared" si="1"/>
        <v>2.5</v>
      </c>
      <c r="T27" s="17">
        <v>2.86</v>
      </c>
      <c r="U27" s="17">
        <v>2.9049999999999998</v>
      </c>
      <c r="V27" s="22">
        <f t="shared" si="2"/>
        <v>2.883</v>
      </c>
      <c r="W27" s="34">
        <v>2.8029999999999999</v>
      </c>
      <c r="X27" s="34">
        <v>2.8079999999999998</v>
      </c>
      <c r="Y27" s="33">
        <f t="shared" si="3"/>
        <v>2.806</v>
      </c>
      <c r="Z27" s="17">
        <v>0.39400000000000002</v>
      </c>
      <c r="AA27" s="17">
        <v>0.39800000000000002</v>
      </c>
      <c r="AB27" s="21">
        <f t="shared" si="4"/>
        <v>0.39600000000000002</v>
      </c>
      <c r="AC27" s="19">
        <v>2.04</v>
      </c>
      <c r="AD27" s="19">
        <v>2.0209999999999999</v>
      </c>
      <c r="AE27" s="21">
        <f t="shared" si="5"/>
        <v>2.0310000000000001</v>
      </c>
      <c r="AF27" s="19">
        <v>0.19500000000000001</v>
      </c>
      <c r="AG27" s="19">
        <v>0.192</v>
      </c>
      <c r="AH27" s="21">
        <f t="shared" si="6"/>
        <v>0.19400000000000001</v>
      </c>
      <c r="AI27" s="30">
        <v>0.14000000000000001</v>
      </c>
      <c r="AJ27" s="30">
        <v>0.13500000000000001</v>
      </c>
      <c r="AK27" s="31">
        <f t="shared" si="7"/>
        <v>0.13800000000000001</v>
      </c>
      <c r="AL27" s="30">
        <v>0.13400000000000001</v>
      </c>
      <c r="AM27" s="30">
        <v>0.13200000000000001</v>
      </c>
      <c r="AN27" s="31">
        <f t="shared" si="8"/>
        <v>0.13300000000000001</v>
      </c>
      <c r="AO27" s="19">
        <v>13.250999999999999</v>
      </c>
      <c r="AP27" s="19">
        <v>13.244999999999999</v>
      </c>
      <c r="AQ27" s="21">
        <f t="shared" si="9"/>
        <v>13.247999999999999</v>
      </c>
      <c r="AR27" s="46">
        <v>8.3000000000000007</v>
      </c>
      <c r="AS27" s="46">
        <v>6.2100000000000002E-2</v>
      </c>
      <c r="AT27" s="45">
        <f t="shared" si="10"/>
        <v>4.1810999999999998</v>
      </c>
    </row>
    <row r="28" spans="1:46">
      <c r="A28" s="7" t="s">
        <v>23</v>
      </c>
      <c r="B28" s="5" t="s">
        <v>86</v>
      </c>
      <c r="C28" s="6" t="s">
        <v>87</v>
      </c>
      <c r="D28" s="6" t="s">
        <v>88</v>
      </c>
      <c r="E28" s="23">
        <v>20.399999999999999</v>
      </c>
      <c r="F28" s="23">
        <v>7.2</v>
      </c>
      <c r="G28" s="41">
        <v>153</v>
      </c>
      <c r="H28" s="23">
        <v>7.8</v>
      </c>
      <c r="I28" s="23">
        <v>1.3</v>
      </c>
      <c r="J28" s="23">
        <v>5.3</v>
      </c>
      <c r="K28" s="37">
        <v>4.0999999999999996</v>
      </c>
      <c r="L28" s="37">
        <v>3.9</v>
      </c>
      <c r="M28" s="37"/>
      <c r="N28" s="38">
        <f t="shared" si="0"/>
        <v>4</v>
      </c>
      <c r="O28" s="37">
        <v>3.4</v>
      </c>
      <c r="P28" s="37">
        <v>3.2</v>
      </c>
      <c r="Q28" s="36"/>
      <c r="R28" s="36"/>
      <c r="S28" s="38">
        <f t="shared" si="1"/>
        <v>3.3</v>
      </c>
      <c r="T28" s="17">
        <v>1.3460000000000001</v>
      </c>
      <c r="U28" s="17">
        <v>1.3740000000000001</v>
      </c>
      <c r="V28" s="22">
        <f t="shared" si="2"/>
        <v>1.36</v>
      </c>
      <c r="W28" s="34">
        <v>1.258</v>
      </c>
      <c r="X28" s="34">
        <v>1.256</v>
      </c>
      <c r="Y28" s="33">
        <f t="shared" si="3"/>
        <v>1.2569999999999999</v>
      </c>
      <c r="Z28" s="17">
        <v>4.3999999999999997E-2</v>
      </c>
      <c r="AA28" s="17">
        <v>4.2999999999999997E-2</v>
      </c>
      <c r="AB28" s="21">
        <f t="shared" si="4"/>
        <v>4.3999999999999997E-2</v>
      </c>
      <c r="AC28" s="19">
        <v>0.95899999999999996</v>
      </c>
      <c r="AD28" s="19">
        <v>0.94699999999999995</v>
      </c>
      <c r="AE28" s="21">
        <f t="shared" si="5"/>
        <v>0.95299999999999996</v>
      </c>
      <c r="AF28" s="19">
        <v>0.11700000000000001</v>
      </c>
      <c r="AG28" s="19">
        <v>0.113</v>
      </c>
      <c r="AH28" s="21">
        <f t="shared" si="6"/>
        <v>0.115</v>
      </c>
      <c r="AI28" s="30">
        <v>7.3999999999999996E-2</v>
      </c>
      <c r="AJ28" s="30">
        <v>7.1999999999999995E-2</v>
      </c>
      <c r="AK28" s="31">
        <f t="shared" si="7"/>
        <v>7.2999999999999995E-2</v>
      </c>
      <c r="AL28" s="30">
        <v>6.7000000000000004E-2</v>
      </c>
      <c r="AM28" s="30">
        <v>6.5000000000000002E-2</v>
      </c>
      <c r="AN28" s="31">
        <f t="shared" si="8"/>
        <v>6.6000000000000003E-2</v>
      </c>
      <c r="AO28" s="19">
        <v>8.0739999999999998</v>
      </c>
      <c r="AP28" s="19">
        <v>8.0489999999999995</v>
      </c>
      <c r="AQ28" s="21">
        <f t="shared" si="9"/>
        <v>8.0619999999999994</v>
      </c>
      <c r="AR28" s="46">
        <v>8.2900000000000001E-2</v>
      </c>
      <c r="AS28" s="46">
        <v>8.3400000000000002E-2</v>
      </c>
      <c r="AT28" s="45">
        <f t="shared" si="10"/>
        <v>8.3199999999999996E-2</v>
      </c>
    </row>
    <row r="29" spans="1:46">
      <c r="A29" s="7" t="s">
        <v>24</v>
      </c>
      <c r="B29" s="5" t="s">
        <v>89</v>
      </c>
      <c r="C29" s="6" t="s">
        <v>42</v>
      </c>
      <c r="D29" s="6" t="s">
        <v>36</v>
      </c>
      <c r="E29" s="23">
        <v>22.2</v>
      </c>
      <c r="F29" s="23">
        <v>7.1</v>
      </c>
      <c r="G29" s="41">
        <v>294</v>
      </c>
      <c r="H29" s="23">
        <v>9.4</v>
      </c>
      <c r="I29" s="23">
        <v>1.6</v>
      </c>
      <c r="J29" s="23">
        <v>6.2</v>
      </c>
      <c r="K29" s="37">
        <v>5.5</v>
      </c>
      <c r="L29" s="37">
        <v>5.0999999999999996</v>
      </c>
      <c r="M29" s="37"/>
      <c r="N29" s="38">
        <f t="shared" si="0"/>
        <v>5.3</v>
      </c>
      <c r="O29" s="37">
        <v>4.9000000000000004</v>
      </c>
      <c r="P29" s="37">
        <v>4.7</v>
      </c>
      <c r="Q29" s="36"/>
      <c r="R29" s="36"/>
      <c r="S29" s="38">
        <f t="shared" si="1"/>
        <v>4.8</v>
      </c>
      <c r="T29" s="17">
        <v>8.452</v>
      </c>
      <c r="U29" s="17">
        <v>8.48</v>
      </c>
      <c r="V29" s="22">
        <f t="shared" si="2"/>
        <v>8.4659999999999993</v>
      </c>
      <c r="W29" s="34">
        <v>8.3309999999999995</v>
      </c>
      <c r="X29" s="34">
        <v>8.3379999999999992</v>
      </c>
      <c r="Y29" s="33">
        <f t="shared" si="3"/>
        <v>8.3350000000000009</v>
      </c>
      <c r="Z29" s="17">
        <v>0.69799999999999995</v>
      </c>
      <c r="AA29" s="17">
        <v>0.70499999999999996</v>
      </c>
      <c r="AB29" s="21">
        <f t="shared" si="4"/>
        <v>0.70199999999999996</v>
      </c>
      <c r="AC29" s="19">
        <v>6.01</v>
      </c>
      <c r="AD29" s="19">
        <v>5.984</v>
      </c>
      <c r="AE29" s="21">
        <f t="shared" si="5"/>
        <v>5.9969999999999999</v>
      </c>
      <c r="AF29" s="19">
        <v>0.76</v>
      </c>
      <c r="AG29" s="19">
        <v>0.77400000000000002</v>
      </c>
      <c r="AH29" s="21">
        <f t="shared" si="6"/>
        <v>0.76700000000000002</v>
      </c>
      <c r="AI29" s="30">
        <v>0.70899999999999996</v>
      </c>
      <c r="AJ29" s="30">
        <v>0.72699999999999998</v>
      </c>
      <c r="AK29" s="31">
        <f t="shared" si="7"/>
        <v>0.71799999999999997</v>
      </c>
      <c r="AL29" s="30">
        <v>0.70399999999999996</v>
      </c>
      <c r="AM29" s="30">
        <v>0.71399999999999997</v>
      </c>
      <c r="AN29" s="31">
        <f t="shared" si="8"/>
        <v>0.70899999999999996</v>
      </c>
      <c r="AO29" s="19">
        <v>15.717000000000001</v>
      </c>
      <c r="AP29" s="19">
        <v>15.685</v>
      </c>
      <c r="AQ29" s="21">
        <f t="shared" si="9"/>
        <v>15.701000000000001</v>
      </c>
      <c r="AR29" s="46">
        <v>0.10639999999999999</v>
      </c>
      <c r="AS29" s="46">
        <v>0.1067</v>
      </c>
      <c r="AT29" s="45">
        <f t="shared" si="10"/>
        <v>0.1066</v>
      </c>
    </row>
    <row r="30" spans="1:46">
      <c r="A30" s="7" t="s">
        <v>25</v>
      </c>
      <c r="B30" s="5" t="s">
        <v>90</v>
      </c>
      <c r="C30" s="6" t="s">
        <v>44</v>
      </c>
      <c r="D30" s="6" t="s">
        <v>91</v>
      </c>
      <c r="E30" s="23">
        <v>19.5</v>
      </c>
      <c r="F30" s="23">
        <v>7</v>
      </c>
      <c r="G30" s="41">
        <v>301</v>
      </c>
      <c r="H30" s="23">
        <v>7.8</v>
      </c>
      <c r="I30" s="23">
        <v>0.8</v>
      </c>
      <c r="J30" s="23">
        <v>3.8</v>
      </c>
      <c r="K30" s="37">
        <v>3.3</v>
      </c>
      <c r="L30" s="37">
        <v>3.1</v>
      </c>
      <c r="M30" s="37"/>
      <c r="N30" s="38">
        <f t="shared" si="0"/>
        <v>3.2</v>
      </c>
      <c r="O30" s="37">
        <v>2.7</v>
      </c>
      <c r="P30" s="37">
        <v>2.7</v>
      </c>
      <c r="Q30" s="36"/>
      <c r="R30" s="36"/>
      <c r="S30" s="38">
        <f t="shared" si="1"/>
        <v>2.7</v>
      </c>
      <c r="T30" s="17">
        <v>2.6640000000000001</v>
      </c>
      <c r="U30" s="17">
        <v>2.6949999999999998</v>
      </c>
      <c r="V30" s="22">
        <f t="shared" si="2"/>
        <v>2.68</v>
      </c>
      <c r="W30" s="34">
        <v>2.6680000000000001</v>
      </c>
      <c r="X30" s="34">
        <v>2.6739999999999999</v>
      </c>
      <c r="Y30" s="33">
        <f t="shared" si="3"/>
        <v>2.6709999999999998</v>
      </c>
      <c r="Z30" s="17">
        <v>3.5999999999999997E-2</v>
      </c>
      <c r="AA30" s="17">
        <v>3.5999999999999997E-2</v>
      </c>
      <c r="AB30" s="21">
        <f t="shared" si="4"/>
        <v>3.5999999999999997E-2</v>
      </c>
      <c r="AC30" s="19">
        <v>2.4119999999999999</v>
      </c>
      <c r="AD30" s="19">
        <v>2.4049999999999998</v>
      </c>
      <c r="AE30" s="21">
        <f t="shared" si="5"/>
        <v>2.4089999999999998</v>
      </c>
      <c r="AF30" s="19">
        <v>0.107</v>
      </c>
      <c r="AG30" s="19">
        <v>0.10299999999999999</v>
      </c>
      <c r="AH30" s="21">
        <f t="shared" si="6"/>
        <v>0.105</v>
      </c>
      <c r="AI30" s="30">
        <v>0.08</v>
      </c>
      <c r="AJ30" s="30">
        <v>7.3999999999999996E-2</v>
      </c>
      <c r="AK30" s="31">
        <f t="shared" si="7"/>
        <v>7.6999999999999999E-2</v>
      </c>
      <c r="AL30" s="30">
        <v>7.4999999999999997E-2</v>
      </c>
      <c r="AM30" s="30">
        <v>7.1999999999999995E-2</v>
      </c>
      <c r="AN30" s="31">
        <f t="shared" si="8"/>
        <v>7.3999999999999996E-2</v>
      </c>
      <c r="AO30" s="19">
        <v>15.823</v>
      </c>
      <c r="AP30" s="19">
        <v>15.81</v>
      </c>
      <c r="AQ30" s="21">
        <f t="shared" si="9"/>
        <v>15.817</v>
      </c>
      <c r="AR30" s="46">
        <v>7.2499999999999995E-2</v>
      </c>
      <c r="AS30" s="46">
        <v>7.2800000000000004E-2</v>
      </c>
      <c r="AT30" s="45">
        <f t="shared" si="10"/>
        <v>7.2700000000000001E-2</v>
      </c>
    </row>
    <row r="31" spans="1:46">
      <c r="A31" s="7" t="s">
        <v>26</v>
      </c>
      <c r="B31" s="5" t="s">
        <v>92</v>
      </c>
      <c r="C31" s="6" t="s">
        <v>93</v>
      </c>
      <c r="D31" s="6" t="s">
        <v>36</v>
      </c>
      <c r="E31" s="23">
        <v>21.1</v>
      </c>
      <c r="F31" s="23">
        <v>6.3</v>
      </c>
      <c r="G31" s="41">
        <v>228</v>
      </c>
      <c r="H31" s="23">
        <v>8.8000000000000007</v>
      </c>
      <c r="I31" s="23">
        <v>1</v>
      </c>
      <c r="J31" s="23">
        <v>3.9</v>
      </c>
      <c r="K31" s="37">
        <v>3</v>
      </c>
      <c r="L31" s="37">
        <v>2.8</v>
      </c>
      <c r="M31" s="37"/>
      <c r="N31" s="38">
        <f t="shared" si="0"/>
        <v>2.9</v>
      </c>
      <c r="O31" s="37">
        <v>2.6</v>
      </c>
      <c r="P31" s="37">
        <v>2.5</v>
      </c>
      <c r="Q31" s="36"/>
      <c r="R31" s="36"/>
      <c r="S31" s="38">
        <f t="shared" si="1"/>
        <v>2.6</v>
      </c>
      <c r="T31" s="17">
        <v>2.38</v>
      </c>
      <c r="U31" s="17">
        <v>2.444</v>
      </c>
      <c r="V31" s="22">
        <f t="shared" si="2"/>
        <v>2.4119999999999999</v>
      </c>
      <c r="W31" s="34">
        <v>2.3330000000000002</v>
      </c>
      <c r="X31" s="34">
        <v>2.3119999999999998</v>
      </c>
      <c r="Y31" s="33">
        <f t="shared" si="3"/>
        <v>2.323</v>
      </c>
      <c r="Z31" s="17">
        <v>3.6999999999999998E-2</v>
      </c>
      <c r="AA31" s="17">
        <v>3.5999999999999997E-2</v>
      </c>
      <c r="AB31" s="21">
        <f t="shared" si="4"/>
        <v>3.6999999999999998E-2</v>
      </c>
      <c r="AC31" s="19">
        <v>2</v>
      </c>
      <c r="AD31" s="19">
        <v>2</v>
      </c>
      <c r="AE31" s="21">
        <f t="shared" si="5"/>
        <v>2</v>
      </c>
      <c r="AF31" s="19">
        <v>0.11600000000000001</v>
      </c>
      <c r="AG31" s="19">
        <v>0.113</v>
      </c>
      <c r="AH31" s="21">
        <f t="shared" si="6"/>
        <v>0.115</v>
      </c>
      <c r="AI31" s="30">
        <v>8.5000000000000006E-2</v>
      </c>
      <c r="AJ31" s="30">
        <v>8.1000000000000003E-2</v>
      </c>
      <c r="AK31" s="31">
        <f t="shared" si="7"/>
        <v>8.3000000000000004E-2</v>
      </c>
      <c r="AL31" s="30">
        <v>7.9000000000000001E-2</v>
      </c>
      <c r="AM31" s="30">
        <v>7.9000000000000001E-2</v>
      </c>
      <c r="AN31" s="31">
        <f t="shared" si="8"/>
        <v>7.9000000000000001E-2</v>
      </c>
      <c r="AO31" s="19">
        <v>13.097</v>
      </c>
      <c r="AP31" s="19">
        <v>13.085000000000001</v>
      </c>
      <c r="AQ31" s="21">
        <f t="shared" si="9"/>
        <v>13.090999999999999</v>
      </c>
      <c r="AR31" s="46">
        <v>5.9299999999999999E-2</v>
      </c>
      <c r="AS31" s="46">
        <v>5.9400000000000001E-2</v>
      </c>
      <c r="AT31" s="45">
        <f t="shared" si="10"/>
        <v>5.9400000000000001E-2</v>
      </c>
    </row>
    <row r="32" spans="1:46">
      <c r="A32" s="7" t="s">
        <v>27</v>
      </c>
      <c r="B32" s="5" t="s">
        <v>94</v>
      </c>
      <c r="C32" s="6" t="s">
        <v>95</v>
      </c>
      <c r="D32" s="6" t="s">
        <v>96</v>
      </c>
      <c r="E32" s="23">
        <v>19.8</v>
      </c>
      <c r="F32" s="23">
        <v>6.9</v>
      </c>
      <c r="G32" s="41">
        <v>158</v>
      </c>
      <c r="H32" s="23">
        <v>6.9</v>
      </c>
      <c r="I32" s="23">
        <v>0.9</v>
      </c>
      <c r="J32" s="23">
        <v>4.5999999999999996</v>
      </c>
      <c r="K32" s="37">
        <v>3.3</v>
      </c>
      <c r="L32" s="37">
        <v>3.3</v>
      </c>
      <c r="M32" s="37"/>
      <c r="N32" s="38">
        <f t="shared" si="0"/>
        <v>3.3</v>
      </c>
      <c r="O32" s="37">
        <v>3</v>
      </c>
      <c r="P32" s="37">
        <v>3</v>
      </c>
      <c r="Q32" s="36"/>
      <c r="R32" s="36"/>
      <c r="S32" s="38">
        <f t="shared" si="1"/>
        <v>3</v>
      </c>
      <c r="T32" s="17">
        <v>1.9159999999999999</v>
      </c>
      <c r="U32" s="17">
        <v>1.9330000000000001</v>
      </c>
      <c r="V32" s="22">
        <f t="shared" si="2"/>
        <v>1.925</v>
      </c>
      <c r="W32" s="34">
        <v>1.869</v>
      </c>
      <c r="X32" s="34">
        <v>1.8440000000000001</v>
      </c>
      <c r="Y32" s="33">
        <f t="shared" si="3"/>
        <v>1.857</v>
      </c>
      <c r="Z32" s="17">
        <v>2.5000000000000001E-2</v>
      </c>
      <c r="AA32" s="17">
        <v>2.4E-2</v>
      </c>
      <c r="AB32" s="21">
        <f t="shared" si="4"/>
        <v>2.5000000000000001E-2</v>
      </c>
      <c r="AC32" s="19">
        <v>1.577</v>
      </c>
      <c r="AD32" s="19">
        <v>1.57</v>
      </c>
      <c r="AE32" s="21">
        <f t="shared" si="5"/>
        <v>1.5740000000000001</v>
      </c>
      <c r="AF32" s="19">
        <v>0.114</v>
      </c>
      <c r="AG32" s="19">
        <v>0.111</v>
      </c>
      <c r="AH32" s="21">
        <f t="shared" si="6"/>
        <v>0.113</v>
      </c>
      <c r="AI32" s="30">
        <v>9.0999999999999998E-2</v>
      </c>
      <c r="AJ32" s="30">
        <v>0.09</v>
      </c>
      <c r="AK32" s="31">
        <f t="shared" si="7"/>
        <v>9.0999999999999998E-2</v>
      </c>
      <c r="AL32" s="30">
        <v>8.7999999999999995E-2</v>
      </c>
      <c r="AM32" s="30">
        <v>8.7999999999999995E-2</v>
      </c>
      <c r="AN32" s="31">
        <f t="shared" si="8"/>
        <v>8.7999999999999995E-2</v>
      </c>
      <c r="AO32" s="19">
        <v>8.5459999999999994</v>
      </c>
      <c r="AP32" s="19">
        <v>8.5399999999999991</v>
      </c>
      <c r="AQ32" s="21">
        <f t="shared" si="9"/>
        <v>8.5429999999999993</v>
      </c>
      <c r="AR32" s="46">
        <v>8.5099999999999995E-2</v>
      </c>
      <c r="AS32" s="46">
        <v>8.5400000000000004E-2</v>
      </c>
      <c r="AT32" s="45">
        <f t="shared" si="10"/>
        <v>8.5300000000000001E-2</v>
      </c>
    </row>
    <row r="33" spans="1:46">
      <c r="A33" s="7" t="s">
        <v>28</v>
      </c>
      <c r="B33" s="5" t="s">
        <v>97</v>
      </c>
      <c r="C33" s="6" t="s">
        <v>98</v>
      </c>
      <c r="D33" s="6" t="s">
        <v>36</v>
      </c>
      <c r="E33" s="23">
        <v>20.7</v>
      </c>
      <c r="F33" s="23">
        <v>6.8</v>
      </c>
      <c r="G33" s="41">
        <v>214</v>
      </c>
      <c r="H33" s="23">
        <v>8.3000000000000007</v>
      </c>
      <c r="I33" s="23">
        <v>2.2000000000000002</v>
      </c>
      <c r="J33" s="23">
        <v>4</v>
      </c>
      <c r="K33" s="37">
        <v>2.9</v>
      </c>
      <c r="L33" s="37">
        <v>2.8</v>
      </c>
      <c r="M33" s="37"/>
      <c r="N33" s="38">
        <f t="shared" si="0"/>
        <v>2.9</v>
      </c>
      <c r="O33" s="37">
        <v>2.5</v>
      </c>
      <c r="P33" s="37">
        <v>2.4</v>
      </c>
      <c r="Q33" s="36"/>
      <c r="R33" s="36"/>
      <c r="S33" s="38">
        <f t="shared" si="1"/>
        <v>2.5</v>
      </c>
      <c r="T33" s="17">
        <v>2.2610000000000001</v>
      </c>
      <c r="U33" s="17">
        <v>2.254</v>
      </c>
      <c r="V33" s="22">
        <f t="shared" si="2"/>
        <v>2.258</v>
      </c>
      <c r="W33" s="34">
        <v>2.14</v>
      </c>
      <c r="X33" s="34">
        <v>2.1429999999999998</v>
      </c>
      <c r="Y33" s="33">
        <f t="shared" si="3"/>
        <v>2.1419999999999999</v>
      </c>
      <c r="Z33" s="17">
        <v>2.7E-2</v>
      </c>
      <c r="AA33" s="17">
        <v>2.7E-2</v>
      </c>
      <c r="AB33" s="21">
        <f t="shared" si="4"/>
        <v>2.7E-2</v>
      </c>
      <c r="AC33" s="19">
        <v>1.86</v>
      </c>
      <c r="AD33" s="19">
        <v>1.851</v>
      </c>
      <c r="AE33" s="21">
        <f t="shared" si="5"/>
        <v>1.8560000000000001</v>
      </c>
      <c r="AF33" s="19">
        <v>0.11</v>
      </c>
      <c r="AG33" s="19">
        <v>0.109</v>
      </c>
      <c r="AH33" s="21">
        <f t="shared" si="6"/>
        <v>0.11</v>
      </c>
      <c r="AI33" s="30">
        <v>6.7000000000000004E-2</v>
      </c>
      <c r="AJ33" s="30">
        <v>7.0999999999999994E-2</v>
      </c>
      <c r="AK33" s="31">
        <f t="shared" si="7"/>
        <v>6.9000000000000006E-2</v>
      </c>
      <c r="AL33" s="30">
        <v>6.6000000000000003E-2</v>
      </c>
      <c r="AM33" s="30">
        <v>6.9000000000000006E-2</v>
      </c>
      <c r="AN33" s="31">
        <f t="shared" si="8"/>
        <v>6.8000000000000005E-2</v>
      </c>
      <c r="AO33" s="19">
        <v>11.958</v>
      </c>
      <c r="AP33" s="19">
        <v>11.98</v>
      </c>
      <c r="AQ33" s="21">
        <f t="shared" si="9"/>
        <v>11.968999999999999</v>
      </c>
      <c r="AR33" s="46">
        <v>5.9900000000000002E-2</v>
      </c>
      <c r="AS33" s="46">
        <v>5.9499999999999997E-2</v>
      </c>
      <c r="AT33" s="45">
        <f t="shared" si="10"/>
        <v>5.9700000000000003E-2</v>
      </c>
    </row>
    <row r="34" spans="1:46">
      <c r="A34" s="7" t="s">
        <v>29</v>
      </c>
      <c r="B34" s="5" t="s">
        <v>99</v>
      </c>
      <c r="C34" s="6" t="s">
        <v>44</v>
      </c>
      <c r="D34" s="6" t="s">
        <v>100</v>
      </c>
      <c r="E34" s="23">
        <v>19.2</v>
      </c>
      <c r="F34" s="23">
        <v>6.6</v>
      </c>
      <c r="G34" s="41">
        <v>143</v>
      </c>
      <c r="H34" s="23">
        <v>6.8</v>
      </c>
      <c r="I34" s="23">
        <v>2.6</v>
      </c>
      <c r="J34" s="23">
        <v>6.1</v>
      </c>
      <c r="K34" s="37">
        <v>5.0999999999999996</v>
      </c>
      <c r="L34" s="37">
        <v>4.7</v>
      </c>
      <c r="M34" s="37"/>
      <c r="N34" s="38">
        <f t="shared" si="0"/>
        <v>4.9000000000000004</v>
      </c>
      <c r="O34" s="37">
        <v>3.5</v>
      </c>
      <c r="P34" s="37">
        <v>3.5</v>
      </c>
      <c r="Q34" s="36"/>
      <c r="R34" s="36"/>
      <c r="S34" s="38">
        <f t="shared" si="1"/>
        <v>3.5</v>
      </c>
      <c r="T34" s="17">
        <v>2.5960000000000001</v>
      </c>
      <c r="U34" s="17">
        <v>2.548</v>
      </c>
      <c r="V34" s="22">
        <f t="shared" si="2"/>
        <v>2.5720000000000001</v>
      </c>
      <c r="W34" s="34">
        <v>2.3660000000000001</v>
      </c>
      <c r="X34" s="34">
        <v>2.3719999999999999</v>
      </c>
      <c r="Y34" s="33">
        <f t="shared" si="3"/>
        <v>2.3690000000000002</v>
      </c>
      <c r="Z34" s="17">
        <v>0.34200000000000003</v>
      </c>
      <c r="AA34" s="17">
        <v>0.34599999999999997</v>
      </c>
      <c r="AB34" s="21">
        <f t="shared" si="4"/>
        <v>0.34399999999999997</v>
      </c>
      <c r="AC34" s="19">
        <v>1.621</v>
      </c>
      <c r="AD34" s="19">
        <v>1.62</v>
      </c>
      <c r="AE34" s="21">
        <f t="shared" si="5"/>
        <v>1.621</v>
      </c>
      <c r="AF34" s="19">
        <v>0.40699999999999997</v>
      </c>
      <c r="AG34" s="19">
        <v>0.40200000000000002</v>
      </c>
      <c r="AH34" s="21">
        <f t="shared" si="6"/>
        <v>0.40500000000000003</v>
      </c>
      <c r="AI34" s="30">
        <v>0.27900000000000003</v>
      </c>
      <c r="AJ34" s="30">
        <v>0.28899999999999998</v>
      </c>
      <c r="AK34" s="31">
        <f t="shared" si="7"/>
        <v>0.28399999999999997</v>
      </c>
      <c r="AL34" s="30">
        <v>0.27800000000000002</v>
      </c>
      <c r="AM34" s="30">
        <v>0.28599999999999998</v>
      </c>
      <c r="AN34" s="31">
        <f t="shared" si="8"/>
        <v>0.28199999999999997</v>
      </c>
      <c r="AO34" s="19">
        <v>6.782</v>
      </c>
      <c r="AP34" s="19">
        <v>6.7910000000000004</v>
      </c>
      <c r="AQ34" s="21">
        <f t="shared" si="9"/>
        <v>6.7869999999999999</v>
      </c>
      <c r="AR34" s="46">
        <v>0.11119999999999999</v>
      </c>
      <c r="AS34" s="46">
        <v>0.11219999999999999</v>
      </c>
      <c r="AT34" s="45">
        <f t="shared" si="10"/>
        <v>0.11169999999999999</v>
      </c>
    </row>
    <row r="35" spans="1:46">
      <c r="A35" s="7" t="s">
        <v>30</v>
      </c>
      <c r="B35" s="5" t="s">
        <v>101</v>
      </c>
      <c r="C35" s="6" t="s">
        <v>44</v>
      </c>
      <c r="D35" s="6" t="s">
        <v>160</v>
      </c>
      <c r="E35" s="23">
        <v>19.899999999999999</v>
      </c>
      <c r="F35" s="23">
        <v>6.7</v>
      </c>
      <c r="G35" s="41">
        <v>171</v>
      </c>
      <c r="H35" s="23">
        <v>8.1</v>
      </c>
      <c r="I35" s="23">
        <v>3.4</v>
      </c>
      <c r="J35" s="23">
        <v>6.3</v>
      </c>
      <c r="K35" s="37">
        <v>5.2</v>
      </c>
      <c r="L35" s="37">
        <v>5.3</v>
      </c>
      <c r="M35" s="37"/>
      <c r="N35" s="38">
        <f t="shared" si="0"/>
        <v>5.3</v>
      </c>
      <c r="O35" s="37">
        <v>3.4</v>
      </c>
      <c r="P35" s="37">
        <v>3.3</v>
      </c>
      <c r="Q35" s="36"/>
      <c r="R35" s="36"/>
      <c r="S35" s="38">
        <f t="shared" si="1"/>
        <v>3.4</v>
      </c>
      <c r="T35" s="17">
        <v>2.5390000000000001</v>
      </c>
      <c r="U35" s="17">
        <v>2.5649999999999999</v>
      </c>
      <c r="V35" s="22">
        <f t="shared" si="2"/>
        <v>2.552</v>
      </c>
      <c r="W35" s="34">
        <v>2.254</v>
      </c>
      <c r="X35" s="34">
        <v>2.2440000000000002</v>
      </c>
      <c r="Y35" s="33">
        <f t="shared" si="3"/>
        <v>2.2490000000000001</v>
      </c>
      <c r="Z35" s="17">
        <v>0.40100000000000002</v>
      </c>
      <c r="AA35" s="17">
        <v>0.4</v>
      </c>
      <c r="AB35" s="21">
        <f t="shared" si="4"/>
        <v>0.40100000000000002</v>
      </c>
      <c r="AC35" s="19">
        <v>1.4690000000000001</v>
      </c>
      <c r="AD35" s="19">
        <v>1.458</v>
      </c>
      <c r="AE35" s="21">
        <f t="shared" si="5"/>
        <v>1.464</v>
      </c>
      <c r="AF35" s="19">
        <v>0.28100000000000003</v>
      </c>
      <c r="AG35" s="19">
        <v>0.28499999999999998</v>
      </c>
      <c r="AH35" s="21">
        <f t="shared" si="6"/>
        <v>0.28299999999999997</v>
      </c>
      <c r="AI35" s="30">
        <v>0.122</v>
      </c>
      <c r="AJ35" s="30">
        <v>0.11899999999999999</v>
      </c>
      <c r="AK35" s="31">
        <f t="shared" si="7"/>
        <v>0.121</v>
      </c>
      <c r="AL35" s="30">
        <v>0.113</v>
      </c>
      <c r="AM35" s="30">
        <v>0.111</v>
      </c>
      <c r="AN35" s="31">
        <f t="shared" si="8"/>
        <v>0.112</v>
      </c>
      <c r="AO35" s="19">
        <v>16.105</v>
      </c>
      <c r="AP35" s="19">
        <v>16.158999999999999</v>
      </c>
      <c r="AQ35" s="21">
        <f t="shared" si="9"/>
        <v>16.132000000000001</v>
      </c>
      <c r="AR35" s="46">
        <v>0.1052</v>
      </c>
      <c r="AS35" s="46">
        <v>0.1051</v>
      </c>
      <c r="AT35" s="45">
        <f t="shared" si="10"/>
        <v>0.1052</v>
      </c>
    </row>
    <row r="36" spans="1:46">
      <c r="A36" s="7" t="s">
        <v>31</v>
      </c>
      <c r="B36" s="5" t="s">
        <v>102</v>
      </c>
      <c r="C36" s="6" t="s">
        <v>103</v>
      </c>
      <c r="D36" s="6" t="s">
        <v>36</v>
      </c>
      <c r="E36" s="23">
        <v>20.8</v>
      </c>
      <c r="F36" s="23">
        <v>6.9</v>
      </c>
      <c r="G36" s="41">
        <v>203</v>
      </c>
      <c r="H36" s="23">
        <v>8.8000000000000007</v>
      </c>
      <c r="I36" s="23">
        <v>1.6</v>
      </c>
      <c r="J36" s="23">
        <v>3.8</v>
      </c>
      <c r="K36" s="37">
        <v>3</v>
      </c>
      <c r="L36" s="37">
        <v>2.7</v>
      </c>
      <c r="M36" s="37"/>
      <c r="N36" s="38">
        <f t="shared" si="0"/>
        <v>2.9</v>
      </c>
      <c r="O36" s="37">
        <v>2.2999999999999998</v>
      </c>
      <c r="P36" s="37">
        <v>2.2999999999999998</v>
      </c>
      <c r="Q36" s="36"/>
      <c r="R36" s="36"/>
      <c r="S36" s="38">
        <f t="shared" si="1"/>
        <v>2.2999999999999998</v>
      </c>
      <c r="T36" s="17">
        <v>2.1019999999999999</v>
      </c>
      <c r="U36" s="17">
        <v>2.0859999999999999</v>
      </c>
      <c r="V36" s="22">
        <f t="shared" si="2"/>
        <v>2.0939999999999999</v>
      </c>
      <c r="W36" s="34">
        <v>2.0150000000000001</v>
      </c>
      <c r="X36" s="34">
        <v>2.0110000000000001</v>
      </c>
      <c r="Y36" s="33">
        <f t="shared" si="3"/>
        <v>2.0129999999999999</v>
      </c>
      <c r="Z36" s="17">
        <v>0.03</v>
      </c>
      <c r="AA36" s="17">
        <v>2.8000000000000001E-2</v>
      </c>
      <c r="AB36" s="21">
        <f t="shared" si="4"/>
        <v>2.9000000000000001E-2</v>
      </c>
      <c r="AC36" s="19">
        <v>1.7190000000000001</v>
      </c>
      <c r="AD36" s="19">
        <v>1.7150000000000001</v>
      </c>
      <c r="AE36" s="21">
        <f t="shared" si="5"/>
        <v>1.7170000000000001</v>
      </c>
      <c r="AF36" s="19">
        <v>0.11</v>
      </c>
      <c r="AG36" s="19">
        <v>0.106</v>
      </c>
      <c r="AH36" s="21">
        <f t="shared" si="6"/>
        <v>0.108</v>
      </c>
      <c r="AI36" s="30">
        <v>6.4000000000000001E-2</v>
      </c>
      <c r="AJ36" s="30">
        <v>6.2E-2</v>
      </c>
      <c r="AK36" s="31">
        <f t="shared" si="7"/>
        <v>6.3E-2</v>
      </c>
      <c r="AL36" s="30">
        <v>6.2E-2</v>
      </c>
      <c r="AM36" s="30">
        <v>6.0999999999999999E-2</v>
      </c>
      <c r="AN36" s="31">
        <f t="shared" si="8"/>
        <v>6.2E-2</v>
      </c>
      <c r="AO36" s="19">
        <v>11.494</v>
      </c>
      <c r="AP36" s="19">
        <v>11.509</v>
      </c>
      <c r="AQ36" s="21">
        <f t="shared" si="9"/>
        <v>11.502000000000001</v>
      </c>
      <c r="AR36" s="46">
        <v>5.9400000000000001E-2</v>
      </c>
      <c r="AS36" s="46">
        <v>5.8599999999999999E-2</v>
      </c>
      <c r="AT36" s="45">
        <f t="shared" si="10"/>
        <v>5.8999999999999997E-2</v>
      </c>
    </row>
    <row r="37" spans="1:46">
      <c r="A37" s="7" t="s">
        <v>32</v>
      </c>
      <c r="B37" s="5" t="s">
        <v>104</v>
      </c>
      <c r="C37" s="6" t="s">
        <v>44</v>
      </c>
      <c r="D37" s="6" t="s">
        <v>105</v>
      </c>
      <c r="E37" s="23">
        <v>20.2</v>
      </c>
      <c r="F37" s="23">
        <v>7.2</v>
      </c>
      <c r="G37" s="41">
        <v>197</v>
      </c>
      <c r="H37" s="23">
        <v>7.9</v>
      </c>
      <c r="I37" s="23">
        <v>2.5</v>
      </c>
      <c r="J37" s="23">
        <v>6.6</v>
      </c>
      <c r="K37" s="37">
        <v>5.2</v>
      </c>
      <c r="L37" s="37">
        <v>5.4</v>
      </c>
      <c r="M37" s="37"/>
      <c r="N37" s="38">
        <f t="shared" si="0"/>
        <v>5.3</v>
      </c>
      <c r="O37" s="37">
        <v>4.3</v>
      </c>
      <c r="P37" s="37">
        <v>4.0999999999999996</v>
      </c>
      <c r="Q37" s="36"/>
      <c r="R37" s="36"/>
      <c r="S37" s="38">
        <f t="shared" si="1"/>
        <v>4.2</v>
      </c>
      <c r="T37" s="17">
        <v>2.1930000000000001</v>
      </c>
      <c r="U37" s="17">
        <v>2.226</v>
      </c>
      <c r="V37" s="22">
        <f t="shared" si="2"/>
        <v>2.21</v>
      </c>
      <c r="W37" s="34">
        <v>1.992</v>
      </c>
      <c r="X37" s="34">
        <v>1.972</v>
      </c>
      <c r="Y37" s="33">
        <f t="shared" si="3"/>
        <v>1.982</v>
      </c>
      <c r="Z37" s="17">
        <v>6.5000000000000002E-2</v>
      </c>
      <c r="AA37" s="17">
        <v>6.5000000000000002E-2</v>
      </c>
      <c r="AB37" s="21">
        <f t="shared" si="4"/>
        <v>6.5000000000000002E-2</v>
      </c>
      <c r="AC37" s="19">
        <v>1.591</v>
      </c>
      <c r="AD37" s="19">
        <v>1.59</v>
      </c>
      <c r="AE37" s="21">
        <f t="shared" si="5"/>
        <v>1.591</v>
      </c>
      <c r="AF37" s="19">
        <v>0.245</v>
      </c>
      <c r="AG37" s="19">
        <v>0.24099999999999999</v>
      </c>
      <c r="AH37" s="21">
        <f t="shared" si="6"/>
        <v>0.24299999999999999</v>
      </c>
      <c r="AI37" s="30">
        <v>0.14599999999999999</v>
      </c>
      <c r="AJ37" s="30">
        <v>0.14399999999999999</v>
      </c>
      <c r="AK37" s="31">
        <f t="shared" si="7"/>
        <v>0.14499999999999999</v>
      </c>
      <c r="AL37" s="30">
        <v>0.14000000000000001</v>
      </c>
      <c r="AM37" s="30">
        <v>0.14000000000000001</v>
      </c>
      <c r="AN37" s="31">
        <f t="shared" si="8"/>
        <v>0.14000000000000001</v>
      </c>
      <c r="AO37" s="19">
        <v>12.847</v>
      </c>
      <c r="AP37" s="19">
        <v>12.881</v>
      </c>
      <c r="AQ37" s="21">
        <f t="shared" si="9"/>
        <v>12.864000000000001</v>
      </c>
      <c r="AR37" s="46">
        <v>0.1439</v>
      </c>
      <c r="AS37" s="46">
        <v>0.14430000000000001</v>
      </c>
      <c r="AT37" s="45">
        <f t="shared" si="10"/>
        <v>0.14410000000000001</v>
      </c>
    </row>
    <row r="38" spans="1:46">
      <c r="A38" s="7" t="s">
        <v>33</v>
      </c>
      <c r="B38" s="5" t="s">
        <v>106</v>
      </c>
      <c r="C38" s="6" t="s">
        <v>107</v>
      </c>
      <c r="D38" s="6" t="s">
        <v>36</v>
      </c>
      <c r="E38" s="23">
        <v>20.8</v>
      </c>
      <c r="F38" s="23">
        <v>7.1</v>
      </c>
      <c r="G38" s="41">
        <v>207</v>
      </c>
      <c r="H38" s="23">
        <v>8.8000000000000007</v>
      </c>
      <c r="I38" s="23">
        <v>2.4</v>
      </c>
      <c r="J38" s="23">
        <v>5.2</v>
      </c>
      <c r="K38" s="37">
        <v>4.0999999999999996</v>
      </c>
      <c r="L38" s="37">
        <v>4</v>
      </c>
      <c r="M38" s="37"/>
      <c r="N38" s="38">
        <f t="shared" si="0"/>
        <v>4.0999999999999996</v>
      </c>
      <c r="O38" s="37">
        <v>2.7</v>
      </c>
      <c r="P38" s="37">
        <v>2.5</v>
      </c>
      <c r="Q38" s="36"/>
      <c r="R38" s="36"/>
      <c r="S38" s="38">
        <f t="shared" si="1"/>
        <v>2.6</v>
      </c>
      <c r="T38" s="17">
        <v>2.5870000000000002</v>
      </c>
      <c r="U38" s="17">
        <v>2.5449999999999999</v>
      </c>
      <c r="V38" s="22">
        <f t="shared" si="2"/>
        <v>2.5659999999999998</v>
      </c>
      <c r="W38" s="34">
        <v>2.3679999999999999</v>
      </c>
      <c r="X38" s="34">
        <v>2.3650000000000002</v>
      </c>
      <c r="Y38" s="33">
        <f t="shared" si="3"/>
        <v>2.367</v>
      </c>
      <c r="Z38" s="17">
        <v>8.6999999999999994E-2</v>
      </c>
      <c r="AA38" s="17">
        <v>8.7999999999999995E-2</v>
      </c>
      <c r="AB38" s="21">
        <f t="shared" si="4"/>
        <v>8.7999999999999995E-2</v>
      </c>
      <c r="AC38" s="19">
        <v>1.9530000000000001</v>
      </c>
      <c r="AD38" s="19">
        <v>1.9530000000000001</v>
      </c>
      <c r="AE38" s="21">
        <f t="shared" si="5"/>
        <v>1.9530000000000001</v>
      </c>
      <c r="AF38" s="19">
        <v>0.161</v>
      </c>
      <c r="AG38" s="19">
        <v>0.159</v>
      </c>
      <c r="AH38" s="21">
        <f t="shared" si="6"/>
        <v>0.16</v>
      </c>
      <c r="AI38" s="30">
        <v>0.08</v>
      </c>
      <c r="AJ38" s="30">
        <v>7.9000000000000001E-2</v>
      </c>
      <c r="AK38" s="31">
        <f t="shared" si="7"/>
        <v>0.08</v>
      </c>
      <c r="AL38" s="30">
        <v>7.5999999999999998E-2</v>
      </c>
      <c r="AM38" s="30">
        <v>7.3999999999999996E-2</v>
      </c>
      <c r="AN38" s="31">
        <f t="shared" si="8"/>
        <v>7.4999999999999997E-2</v>
      </c>
      <c r="AO38" s="19">
        <v>14.86</v>
      </c>
      <c r="AP38" s="19">
        <v>14.929</v>
      </c>
      <c r="AQ38" s="21">
        <f t="shared" si="9"/>
        <v>14.895</v>
      </c>
      <c r="AR38" s="46">
        <v>7.0699999999999999E-2</v>
      </c>
      <c r="AS38" s="46">
        <v>7.0099999999999996E-2</v>
      </c>
      <c r="AT38" s="45">
        <f t="shared" si="10"/>
        <v>7.0400000000000004E-2</v>
      </c>
    </row>
    <row r="39" spans="1:46">
      <c r="A39" s="7" t="s">
        <v>137</v>
      </c>
      <c r="B39" s="5" t="s">
        <v>138</v>
      </c>
      <c r="C39" s="6"/>
      <c r="D39" s="6"/>
      <c r="E39" s="23">
        <v>22.5</v>
      </c>
      <c r="F39" s="23">
        <v>6.9</v>
      </c>
      <c r="G39" s="41">
        <v>307</v>
      </c>
      <c r="H39" s="23">
        <v>8.6999999999999993</v>
      </c>
      <c r="I39" s="23">
        <v>7</v>
      </c>
      <c r="J39" s="23">
        <v>9.3000000000000007</v>
      </c>
      <c r="K39" s="37">
        <v>5.6</v>
      </c>
      <c r="L39" s="37">
        <v>6</v>
      </c>
      <c r="M39" s="37"/>
      <c r="N39" s="38">
        <f t="shared" si="0"/>
        <v>5.8</v>
      </c>
      <c r="O39" s="37">
        <v>3.8</v>
      </c>
      <c r="P39" s="37">
        <v>3.6</v>
      </c>
      <c r="Q39" s="36"/>
      <c r="R39" s="36"/>
      <c r="S39" s="38">
        <f t="shared" si="1"/>
        <v>3.7</v>
      </c>
      <c r="T39" s="17">
        <v>7.2030000000000003</v>
      </c>
      <c r="U39" s="17">
        <v>7.157</v>
      </c>
      <c r="V39" s="22">
        <f t="shared" si="2"/>
        <v>7.18</v>
      </c>
      <c r="W39" s="34">
        <v>6.6719999999999997</v>
      </c>
      <c r="X39" s="34">
        <v>6.6769999999999996</v>
      </c>
      <c r="Y39" s="33">
        <f t="shared" si="3"/>
        <v>6.6749999999999998</v>
      </c>
      <c r="Z39" s="17">
        <v>1.7809999999999999</v>
      </c>
      <c r="AA39" s="17">
        <v>1.7849999999999999</v>
      </c>
      <c r="AB39" s="21">
        <f t="shared" si="4"/>
        <v>1.7829999999999999</v>
      </c>
      <c r="AC39" s="19">
        <v>4.2039999999999997</v>
      </c>
      <c r="AD39" s="19">
        <v>4.2119999999999997</v>
      </c>
      <c r="AE39" s="21">
        <f t="shared" si="5"/>
        <v>4.2080000000000002</v>
      </c>
      <c r="AF39" s="19">
        <v>0.33600000000000002</v>
      </c>
      <c r="AG39" s="19">
        <v>0.34</v>
      </c>
      <c r="AH39" s="21">
        <f t="shared" si="6"/>
        <v>0.33800000000000002</v>
      </c>
      <c r="AI39" s="30">
        <v>0.152</v>
      </c>
      <c r="AJ39" s="30">
        <v>0.15</v>
      </c>
      <c r="AK39" s="31">
        <f t="shared" si="7"/>
        <v>0.151</v>
      </c>
      <c r="AL39" s="30">
        <v>0.14399999999999999</v>
      </c>
      <c r="AM39" s="30">
        <v>0.14000000000000001</v>
      </c>
      <c r="AN39" s="31">
        <f t="shared" si="8"/>
        <v>0.14199999999999999</v>
      </c>
      <c r="AO39" s="19">
        <v>33.35</v>
      </c>
      <c r="AP39" s="19">
        <v>33.453000000000003</v>
      </c>
      <c r="AQ39" s="21">
        <f t="shared" si="9"/>
        <v>33.402000000000001</v>
      </c>
      <c r="AR39" s="46">
        <v>7.5499999999999998E-2</v>
      </c>
      <c r="AS39" s="46">
        <v>7.5600000000000001E-2</v>
      </c>
      <c r="AT39" s="45">
        <f t="shared" si="10"/>
        <v>7.5600000000000001E-2</v>
      </c>
    </row>
  </sheetData>
  <mergeCells count="18">
    <mergeCell ref="AR1:AT1"/>
    <mergeCell ref="J1:J2"/>
    <mergeCell ref="K1:N1"/>
    <mergeCell ref="O1:S1"/>
    <mergeCell ref="T1:V1"/>
    <mergeCell ref="W1:Y1"/>
    <mergeCell ref="Z1:AB1"/>
    <mergeCell ref="AC1:AE1"/>
    <mergeCell ref="AF1:AH1"/>
    <mergeCell ref="AI1:AK1"/>
    <mergeCell ref="AL1:AN1"/>
    <mergeCell ref="AO1:AQ1"/>
    <mergeCell ref="I1:I2"/>
    <mergeCell ref="A1:A2"/>
    <mergeCell ref="B1:B2"/>
    <mergeCell ref="C1:C2"/>
    <mergeCell ref="D1:D2"/>
    <mergeCell ref="E1:H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R39"/>
  <sheetViews>
    <sheetView zoomScale="85" zoomScaleNormal="85" workbookViewId="0">
      <selection activeCell="E1" sqref="A1:XFD2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20" width="9" style="1"/>
    <col min="21" max="21" width="9" style="3"/>
    <col min="22" max="31" width="9" style="1"/>
  </cols>
  <sheetData>
    <row r="1" spans="1:44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8"/>
      <c r="R1" s="76" t="s">
        <v>135</v>
      </c>
      <c r="S1" s="77"/>
      <c r="T1" s="78"/>
      <c r="U1" s="76" t="s">
        <v>126</v>
      </c>
      <c r="V1" s="77"/>
      <c r="W1" s="78"/>
      <c r="X1" s="76" t="s">
        <v>127</v>
      </c>
      <c r="Y1" s="77"/>
      <c r="Z1" s="78"/>
      <c r="AA1" s="76" t="s">
        <v>128</v>
      </c>
      <c r="AB1" s="77"/>
      <c r="AC1" s="78"/>
      <c r="AD1" s="76" t="s">
        <v>129</v>
      </c>
      <c r="AE1" s="77"/>
      <c r="AF1" s="78"/>
      <c r="AG1" s="76" t="s">
        <v>130</v>
      </c>
      <c r="AH1" s="77"/>
      <c r="AI1" s="78"/>
      <c r="AJ1" s="76" t="s">
        <v>131</v>
      </c>
      <c r="AK1" s="77"/>
      <c r="AL1" s="78"/>
      <c r="AM1" s="76" t="s">
        <v>132</v>
      </c>
      <c r="AN1" s="77"/>
      <c r="AO1" s="78"/>
      <c r="AP1" s="76" t="s">
        <v>134</v>
      </c>
      <c r="AQ1" s="77"/>
      <c r="AR1" s="78"/>
    </row>
    <row r="2" spans="1:44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113</v>
      </c>
      <c r="H2" s="12" t="s">
        <v>112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2" t="s">
        <v>114</v>
      </c>
      <c r="R2" s="13" t="s">
        <v>115</v>
      </c>
      <c r="S2" s="13" t="s">
        <v>116</v>
      </c>
      <c r="T2" s="12" t="s">
        <v>114</v>
      </c>
      <c r="U2" s="13" t="s">
        <v>115</v>
      </c>
      <c r="V2" s="13" t="s">
        <v>116</v>
      </c>
      <c r="W2" s="12" t="s">
        <v>114</v>
      </c>
      <c r="X2" s="13" t="s">
        <v>115</v>
      </c>
      <c r="Y2" s="13" t="s">
        <v>116</v>
      </c>
      <c r="Z2" s="12" t="s">
        <v>114</v>
      </c>
      <c r="AA2" s="13" t="s">
        <v>115</v>
      </c>
      <c r="AB2" s="13" t="s">
        <v>116</v>
      </c>
      <c r="AC2" s="12" t="s">
        <v>114</v>
      </c>
      <c r="AD2" s="13" t="s">
        <v>115</v>
      </c>
      <c r="AE2" s="13" t="s">
        <v>116</v>
      </c>
      <c r="AF2" s="12" t="s">
        <v>114</v>
      </c>
      <c r="AG2" s="13" t="s">
        <v>115</v>
      </c>
      <c r="AH2" s="13" t="s">
        <v>116</v>
      </c>
      <c r="AI2" s="12" t="s">
        <v>114</v>
      </c>
      <c r="AJ2" s="13" t="s">
        <v>115</v>
      </c>
      <c r="AK2" s="13" t="s">
        <v>116</v>
      </c>
      <c r="AL2" s="12" t="s">
        <v>114</v>
      </c>
      <c r="AM2" s="13" t="s">
        <v>115</v>
      </c>
      <c r="AN2" s="13" t="s">
        <v>116</v>
      </c>
      <c r="AO2" s="12" t="s">
        <v>114</v>
      </c>
      <c r="AP2" s="13" t="s">
        <v>115</v>
      </c>
      <c r="AQ2" s="13" t="s">
        <v>116</v>
      </c>
      <c r="AR2" s="12" t="s">
        <v>114</v>
      </c>
    </row>
    <row r="3" spans="1:44">
      <c r="A3" s="8" t="s">
        <v>136</v>
      </c>
      <c r="B3" s="9" t="s">
        <v>34</v>
      </c>
      <c r="C3" s="10" t="s">
        <v>35</v>
      </c>
      <c r="D3" s="10" t="s">
        <v>36</v>
      </c>
      <c r="E3" s="20">
        <v>12.9</v>
      </c>
      <c r="F3" s="20">
        <v>7.7</v>
      </c>
      <c r="G3" s="40">
        <v>134</v>
      </c>
      <c r="H3" s="11">
        <v>10.9</v>
      </c>
      <c r="I3" s="20">
        <v>0.5</v>
      </c>
      <c r="J3" s="20">
        <v>1.9</v>
      </c>
      <c r="K3" s="14">
        <v>1.2</v>
      </c>
      <c r="L3" s="14">
        <v>1.3</v>
      </c>
      <c r="M3" s="14"/>
      <c r="N3" s="20">
        <f>ROUND(AVERAGE(K3:M3),1)</f>
        <v>1.3</v>
      </c>
      <c r="O3" s="36">
        <v>1.1000000000000001</v>
      </c>
      <c r="P3" s="36">
        <v>1</v>
      </c>
      <c r="Q3" s="38">
        <f>ROUND(AVERAGE(O3:P3),1)</f>
        <v>1.1000000000000001</v>
      </c>
      <c r="R3" s="16">
        <v>0.83199999999999996</v>
      </c>
      <c r="S3" s="16">
        <v>0.82899999999999996</v>
      </c>
      <c r="T3" s="22">
        <f>ROUND(AVERAGE(R3:S3),3)</f>
        <v>0.83099999999999996</v>
      </c>
      <c r="U3" s="16">
        <v>0.82599999999999996</v>
      </c>
      <c r="V3" s="16">
        <v>0.82699999999999996</v>
      </c>
      <c r="W3" s="22">
        <f>ROUND(AVERAGE(U3:V3),3)</f>
        <v>0.82699999999999996</v>
      </c>
      <c r="X3" s="16">
        <v>2.4E-2</v>
      </c>
      <c r="Y3" s="16">
        <v>2.4E-2</v>
      </c>
      <c r="Z3" s="21">
        <f>ROUND(AVERAGE(X3:Y3),3)</f>
        <v>2.4E-2</v>
      </c>
      <c r="AA3" s="18">
        <v>0.61199999999999999</v>
      </c>
      <c r="AB3" s="18">
        <v>0.60799999999999998</v>
      </c>
      <c r="AC3" s="21">
        <f>ROUND(AVERAGE(AA3:AB3),3)</f>
        <v>0.61</v>
      </c>
      <c r="AD3" s="18">
        <v>1.4E-2</v>
      </c>
      <c r="AE3" s="18">
        <v>1.7000000000000001E-2</v>
      </c>
      <c r="AF3" s="21">
        <f>ROUND(AVERAGE(AD3:AE3),3)</f>
        <v>1.6E-2</v>
      </c>
      <c r="AG3" s="18">
        <v>1.2E-2</v>
      </c>
      <c r="AH3" s="18">
        <v>8.0000000000000002E-3</v>
      </c>
      <c r="AI3" s="21">
        <f>ROUND(AVERAGE(AG3:AH3),3)</f>
        <v>0.01</v>
      </c>
      <c r="AJ3" s="18">
        <v>4.0000000000000001E-3</v>
      </c>
      <c r="AK3" s="18">
        <v>3.0000000000000001E-3</v>
      </c>
      <c r="AL3" s="21">
        <f>ROUND(AVERAGE(AJ3:AK3),3)</f>
        <v>4.0000000000000001E-3</v>
      </c>
      <c r="AM3" s="18">
        <v>9.4700000000000006</v>
      </c>
      <c r="AN3" s="18">
        <v>9.4730000000000008</v>
      </c>
      <c r="AO3" s="21">
        <f>ROUND(AVERAGE(AM3:AN3),3)</f>
        <v>9.4719999999999995</v>
      </c>
      <c r="AP3" s="44">
        <v>3.2300000000000002E-2</v>
      </c>
      <c r="AQ3" s="44">
        <v>3.4299999999999997E-2</v>
      </c>
      <c r="AR3" s="45">
        <f>ROUND(AVERAGE(AP3:AQ3),4)</f>
        <v>3.3300000000000003E-2</v>
      </c>
    </row>
    <row r="4" spans="1:44">
      <c r="A4" s="7" t="s">
        <v>37</v>
      </c>
      <c r="B4" s="5" t="s">
        <v>38</v>
      </c>
      <c r="C4" s="6" t="s">
        <v>39</v>
      </c>
      <c r="D4" s="6" t="s">
        <v>40</v>
      </c>
      <c r="E4" s="23">
        <v>13.7</v>
      </c>
      <c r="F4" s="23">
        <v>7.3</v>
      </c>
      <c r="G4" s="41">
        <v>87</v>
      </c>
      <c r="H4" s="24">
        <v>10.4</v>
      </c>
      <c r="I4" s="23">
        <v>0.6</v>
      </c>
      <c r="J4" s="23">
        <v>2.7</v>
      </c>
      <c r="K4" s="15">
        <v>1.8</v>
      </c>
      <c r="L4" s="15">
        <v>2.1</v>
      </c>
      <c r="M4" s="15"/>
      <c r="N4" s="20">
        <f t="shared" ref="N4:N39" si="0">ROUND(AVERAGE(K4:M4),1)</f>
        <v>2</v>
      </c>
      <c r="O4" s="37">
        <v>1.7</v>
      </c>
      <c r="P4" s="37">
        <v>1.6</v>
      </c>
      <c r="Q4" s="38">
        <f t="shared" ref="Q4:Q39" si="1">ROUND(AVERAGE(O4:P4),1)</f>
        <v>1.7</v>
      </c>
      <c r="R4" s="17">
        <v>0.92</v>
      </c>
      <c r="S4" s="17">
        <v>0.92100000000000004</v>
      </c>
      <c r="T4" s="22">
        <f t="shared" ref="T4:T39" si="2">ROUND(AVERAGE(R4:S4),3)</f>
        <v>0.92100000000000004</v>
      </c>
      <c r="U4" s="17">
        <v>0.91500000000000004</v>
      </c>
      <c r="V4" s="17">
        <v>0.91600000000000004</v>
      </c>
      <c r="W4" s="22">
        <f t="shared" ref="W4:W39" si="3">ROUND(AVERAGE(U4:V4),3)</f>
        <v>0.91600000000000004</v>
      </c>
      <c r="X4" s="17">
        <v>2.4E-2</v>
      </c>
      <c r="Y4" s="17">
        <v>2.3E-2</v>
      </c>
      <c r="Z4" s="21">
        <f t="shared" ref="Z4:Z39" si="4">ROUND(AVERAGE(X4:Y4),3)</f>
        <v>2.4E-2</v>
      </c>
      <c r="AA4" s="19">
        <v>0.63600000000000001</v>
      </c>
      <c r="AB4" s="19">
        <v>0.63700000000000001</v>
      </c>
      <c r="AC4" s="21">
        <f t="shared" ref="AC4:AC39" si="5">ROUND(AVERAGE(AA4:AB4),3)</f>
        <v>0.63700000000000001</v>
      </c>
      <c r="AD4" s="19">
        <v>2.1999999999999999E-2</v>
      </c>
      <c r="AE4" s="19">
        <v>2.3E-2</v>
      </c>
      <c r="AF4" s="21">
        <f t="shared" ref="AF4:AF39" si="6">ROUND(AVERAGE(AD4:AE4),3)</f>
        <v>2.3E-2</v>
      </c>
      <c r="AG4" s="19">
        <v>0.01</v>
      </c>
      <c r="AH4" s="19">
        <v>0.01</v>
      </c>
      <c r="AI4" s="21">
        <f t="shared" ref="AI4:AI39" si="7">ROUND(AVERAGE(AG4:AH4),3)</f>
        <v>0.01</v>
      </c>
      <c r="AJ4" s="19">
        <v>4.0000000000000001E-3</v>
      </c>
      <c r="AK4" s="19">
        <v>4.0000000000000001E-3</v>
      </c>
      <c r="AL4" s="21">
        <f t="shared" ref="AL4:AL39" si="8">ROUND(AVERAGE(AJ4:AK4),3)</f>
        <v>4.0000000000000001E-3</v>
      </c>
      <c r="AM4" s="19">
        <v>4.4429999999999996</v>
      </c>
      <c r="AN4" s="19">
        <v>4.431</v>
      </c>
      <c r="AO4" s="21">
        <f t="shared" ref="AO4:AO39" si="9">ROUND(AVERAGE(AM4:AN4),3)</f>
        <v>4.4370000000000003</v>
      </c>
      <c r="AP4" s="46">
        <v>5.2299999999999999E-2</v>
      </c>
      <c r="AQ4" s="46">
        <v>5.3199999999999997E-2</v>
      </c>
      <c r="AR4" s="45">
        <f t="shared" ref="AR4:AR39" si="10">ROUND(AVERAGE(AP4:AQ4),4)</f>
        <v>5.28E-2</v>
      </c>
    </row>
    <row r="5" spans="1:44">
      <c r="A5" s="7" t="s">
        <v>0</v>
      </c>
      <c r="B5" s="5" t="s">
        <v>41</v>
      </c>
      <c r="C5" s="6" t="s">
        <v>42</v>
      </c>
      <c r="D5" s="6" t="s">
        <v>36</v>
      </c>
      <c r="E5" s="23">
        <v>13.7</v>
      </c>
      <c r="F5" s="23">
        <v>7</v>
      </c>
      <c r="G5" s="41">
        <v>106</v>
      </c>
      <c r="H5" s="24">
        <v>10.3</v>
      </c>
      <c r="I5" s="23">
        <v>0.5</v>
      </c>
      <c r="J5" s="23">
        <v>2.2999999999999998</v>
      </c>
      <c r="K5" s="15">
        <v>1.7</v>
      </c>
      <c r="L5" s="15">
        <v>1.7</v>
      </c>
      <c r="M5" s="15"/>
      <c r="N5" s="20">
        <f t="shared" si="0"/>
        <v>1.7</v>
      </c>
      <c r="O5" s="37">
        <v>1.4</v>
      </c>
      <c r="P5" s="37">
        <v>1.4</v>
      </c>
      <c r="Q5" s="38">
        <f t="shared" si="1"/>
        <v>1.4</v>
      </c>
      <c r="R5" s="17">
        <v>0.91600000000000004</v>
      </c>
      <c r="S5" s="17">
        <v>0.93600000000000005</v>
      </c>
      <c r="T5" s="22">
        <f t="shared" si="2"/>
        <v>0.92600000000000005</v>
      </c>
      <c r="U5" s="17">
        <v>0.93200000000000005</v>
      </c>
      <c r="V5" s="17">
        <v>0.91800000000000004</v>
      </c>
      <c r="W5" s="22">
        <f t="shared" si="3"/>
        <v>0.92500000000000004</v>
      </c>
      <c r="X5" s="17">
        <v>2.5999999999999999E-2</v>
      </c>
      <c r="Y5" s="17">
        <v>2.5000000000000001E-2</v>
      </c>
      <c r="Z5" s="21">
        <f t="shared" si="4"/>
        <v>2.5999999999999999E-2</v>
      </c>
      <c r="AA5" s="19">
        <v>0.65300000000000002</v>
      </c>
      <c r="AB5" s="19">
        <v>0.65300000000000002</v>
      </c>
      <c r="AC5" s="21">
        <f t="shared" si="5"/>
        <v>0.65300000000000002</v>
      </c>
      <c r="AD5" s="19">
        <v>1.9E-2</v>
      </c>
      <c r="AE5" s="19">
        <v>2.3E-2</v>
      </c>
      <c r="AF5" s="21">
        <f t="shared" si="6"/>
        <v>2.1000000000000001E-2</v>
      </c>
      <c r="AG5" s="19">
        <v>8.9999999999999993E-3</v>
      </c>
      <c r="AH5" s="19">
        <v>8.9999999999999993E-3</v>
      </c>
      <c r="AI5" s="21">
        <f t="shared" si="7"/>
        <v>8.9999999999999993E-3</v>
      </c>
      <c r="AJ5" s="19">
        <v>4.0000000000000001E-3</v>
      </c>
      <c r="AK5" s="19">
        <v>4.0000000000000001E-3</v>
      </c>
      <c r="AL5" s="21">
        <f t="shared" si="8"/>
        <v>4.0000000000000001E-3</v>
      </c>
      <c r="AM5" s="19">
        <v>6.2880000000000003</v>
      </c>
      <c r="AN5" s="19">
        <v>6.2759999999999998</v>
      </c>
      <c r="AO5" s="21">
        <f t="shared" si="9"/>
        <v>6.282</v>
      </c>
      <c r="AP5" s="46">
        <v>4.4900000000000002E-2</v>
      </c>
      <c r="AQ5" s="46">
        <v>4.3999999999999997E-2</v>
      </c>
      <c r="AR5" s="45">
        <f t="shared" si="10"/>
        <v>4.4499999999999998E-2</v>
      </c>
    </row>
    <row r="6" spans="1:44">
      <c r="A6" s="7" t="s">
        <v>1</v>
      </c>
      <c r="B6" s="5" t="s">
        <v>43</v>
      </c>
      <c r="C6" s="6" t="s">
        <v>44</v>
      </c>
      <c r="D6" s="6" t="s">
        <v>45</v>
      </c>
      <c r="E6" s="23">
        <v>13</v>
      </c>
      <c r="F6" s="23">
        <v>7</v>
      </c>
      <c r="G6" s="41">
        <v>76</v>
      </c>
      <c r="H6" s="24">
        <v>10.7</v>
      </c>
      <c r="I6" s="23">
        <v>0.4</v>
      </c>
      <c r="J6" s="23">
        <v>2.4</v>
      </c>
      <c r="K6" s="15">
        <v>1.5</v>
      </c>
      <c r="L6" s="15">
        <v>1.6</v>
      </c>
      <c r="M6" s="15"/>
      <c r="N6" s="20">
        <f t="shared" si="0"/>
        <v>1.6</v>
      </c>
      <c r="O6" s="37">
        <v>1.4</v>
      </c>
      <c r="P6" s="37">
        <v>1.3</v>
      </c>
      <c r="Q6" s="38">
        <f t="shared" si="1"/>
        <v>1.4</v>
      </c>
      <c r="R6" s="17">
        <v>0.59199999999999997</v>
      </c>
      <c r="S6" s="17">
        <v>0.62</v>
      </c>
      <c r="T6" s="22">
        <f t="shared" si="2"/>
        <v>0.60599999999999998</v>
      </c>
      <c r="U6" s="17">
        <v>0.58699999999999997</v>
      </c>
      <c r="V6" s="17">
        <v>0.57899999999999996</v>
      </c>
      <c r="W6" s="22">
        <f t="shared" si="3"/>
        <v>0.58299999999999996</v>
      </c>
      <c r="X6" s="17">
        <v>1.7999999999999999E-2</v>
      </c>
      <c r="Y6" s="17">
        <v>1.7999999999999999E-2</v>
      </c>
      <c r="Z6" s="21">
        <f t="shared" si="4"/>
        <v>1.7999999999999999E-2</v>
      </c>
      <c r="AA6" s="19">
        <v>0.442</v>
      </c>
      <c r="AB6" s="19">
        <v>0.436</v>
      </c>
      <c r="AC6" s="21">
        <f t="shared" si="5"/>
        <v>0.439</v>
      </c>
      <c r="AD6" s="19">
        <v>0.02</v>
      </c>
      <c r="AE6" s="19">
        <v>2.1000000000000001E-2</v>
      </c>
      <c r="AF6" s="21">
        <f t="shared" si="6"/>
        <v>2.1000000000000001E-2</v>
      </c>
      <c r="AG6" s="19">
        <v>8.0000000000000002E-3</v>
      </c>
      <c r="AH6" s="19">
        <v>8.0000000000000002E-3</v>
      </c>
      <c r="AI6" s="21">
        <f t="shared" si="7"/>
        <v>8.0000000000000002E-3</v>
      </c>
      <c r="AJ6" s="19">
        <v>3.0000000000000001E-3</v>
      </c>
      <c r="AK6" s="19">
        <v>2E-3</v>
      </c>
      <c r="AL6" s="21">
        <f t="shared" si="8"/>
        <v>3.0000000000000001E-3</v>
      </c>
      <c r="AM6" s="19">
        <v>4.5469999999999997</v>
      </c>
      <c r="AN6" s="19">
        <v>4.5350000000000001</v>
      </c>
      <c r="AO6" s="21">
        <f t="shared" si="9"/>
        <v>4.5410000000000004</v>
      </c>
      <c r="AP6" s="46">
        <v>5.3900000000000003E-2</v>
      </c>
      <c r="AQ6" s="46">
        <v>5.6000000000000001E-2</v>
      </c>
      <c r="AR6" s="45">
        <f t="shared" si="10"/>
        <v>5.5E-2</v>
      </c>
    </row>
    <row r="7" spans="1:44">
      <c r="A7" s="7" t="s">
        <v>2</v>
      </c>
      <c r="B7" s="5" t="s">
        <v>46</v>
      </c>
      <c r="C7" s="6" t="s">
        <v>47</v>
      </c>
      <c r="D7" s="6" t="s">
        <v>36</v>
      </c>
      <c r="E7" s="23">
        <v>14.2</v>
      </c>
      <c r="F7" s="23">
        <v>7.2</v>
      </c>
      <c r="G7" s="41">
        <v>104</v>
      </c>
      <c r="H7" s="24">
        <v>10.199999999999999</v>
      </c>
      <c r="I7" s="23">
        <v>0.5</v>
      </c>
      <c r="J7" s="23">
        <v>2.2000000000000002</v>
      </c>
      <c r="K7" s="15">
        <v>1.5</v>
      </c>
      <c r="L7" s="15">
        <v>1.5</v>
      </c>
      <c r="M7" s="15"/>
      <c r="N7" s="20">
        <f t="shared" si="0"/>
        <v>1.5</v>
      </c>
      <c r="O7" s="37">
        <v>1.4</v>
      </c>
      <c r="P7" s="37">
        <v>1.3</v>
      </c>
      <c r="Q7" s="38">
        <f t="shared" si="1"/>
        <v>1.4</v>
      </c>
      <c r="R7" s="17">
        <v>0.874</v>
      </c>
      <c r="S7" s="17">
        <v>0.91700000000000004</v>
      </c>
      <c r="T7" s="22">
        <f t="shared" si="2"/>
        <v>0.89600000000000002</v>
      </c>
      <c r="U7" s="17">
        <v>0.871</v>
      </c>
      <c r="V7" s="17">
        <v>0.872</v>
      </c>
      <c r="W7" s="22">
        <f t="shared" si="3"/>
        <v>0.872</v>
      </c>
      <c r="X7" s="17">
        <v>2.1000000000000001E-2</v>
      </c>
      <c r="Y7" s="17">
        <v>0.02</v>
      </c>
      <c r="Z7" s="21">
        <f t="shared" si="4"/>
        <v>2.1000000000000001E-2</v>
      </c>
      <c r="AA7" s="19">
        <v>0.629</v>
      </c>
      <c r="AB7" s="19">
        <v>0.627</v>
      </c>
      <c r="AC7" s="21">
        <f t="shared" si="5"/>
        <v>0.628</v>
      </c>
      <c r="AD7" s="19">
        <v>2.1999999999999999E-2</v>
      </c>
      <c r="AE7" s="19">
        <v>2.7E-2</v>
      </c>
      <c r="AF7" s="21">
        <f t="shared" si="6"/>
        <v>2.5000000000000001E-2</v>
      </c>
      <c r="AG7" s="19">
        <v>1.0999999999999999E-2</v>
      </c>
      <c r="AH7" s="19">
        <v>1.0999999999999999E-2</v>
      </c>
      <c r="AI7" s="21">
        <f t="shared" si="7"/>
        <v>1.0999999999999999E-2</v>
      </c>
      <c r="AJ7" s="19">
        <v>5.0000000000000001E-3</v>
      </c>
      <c r="AK7" s="19">
        <v>5.0000000000000001E-3</v>
      </c>
      <c r="AL7" s="21">
        <f t="shared" si="8"/>
        <v>5.0000000000000001E-3</v>
      </c>
      <c r="AM7" s="19">
        <v>6.2389999999999999</v>
      </c>
      <c r="AN7" s="19">
        <v>6.218</v>
      </c>
      <c r="AO7" s="21">
        <f t="shared" si="9"/>
        <v>6.2290000000000001</v>
      </c>
      <c r="AP7" s="46">
        <v>4.4699999999999997E-2</v>
      </c>
      <c r="AQ7" s="46">
        <v>4.7E-2</v>
      </c>
      <c r="AR7" s="45">
        <f t="shared" si="10"/>
        <v>4.5900000000000003E-2</v>
      </c>
    </row>
    <row r="8" spans="1:44">
      <c r="A8" s="7" t="s">
        <v>3</v>
      </c>
      <c r="B8" s="5" t="s">
        <v>46</v>
      </c>
      <c r="C8" s="6" t="s">
        <v>44</v>
      </c>
      <c r="D8" s="6" t="s">
        <v>48</v>
      </c>
      <c r="E8" s="23">
        <v>12.9</v>
      </c>
      <c r="F8" s="23">
        <v>7.3</v>
      </c>
      <c r="G8" s="41">
        <v>103</v>
      </c>
      <c r="H8" s="24">
        <v>10.8</v>
      </c>
      <c r="I8" s="23">
        <v>0.5</v>
      </c>
      <c r="J8" s="23">
        <v>3.2</v>
      </c>
      <c r="K8" s="15">
        <v>1.4</v>
      </c>
      <c r="L8" s="15">
        <v>1.6</v>
      </c>
      <c r="M8" s="15"/>
      <c r="N8" s="20">
        <f t="shared" si="0"/>
        <v>1.5</v>
      </c>
      <c r="O8" s="37">
        <v>1.2</v>
      </c>
      <c r="P8" s="37">
        <v>1.2</v>
      </c>
      <c r="Q8" s="38">
        <f t="shared" si="1"/>
        <v>1.2</v>
      </c>
      <c r="R8" s="17">
        <v>0.95399999999999996</v>
      </c>
      <c r="S8" s="17">
        <v>0.98899999999999999</v>
      </c>
      <c r="T8" s="22">
        <f t="shared" si="2"/>
        <v>0.97199999999999998</v>
      </c>
      <c r="U8" s="17">
        <v>0.93300000000000005</v>
      </c>
      <c r="V8" s="17">
        <v>0.95099999999999996</v>
      </c>
      <c r="W8" s="22">
        <f t="shared" si="3"/>
        <v>0.94199999999999995</v>
      </c>
      <c r="X8" s="17">
        <v>2.4E-2</v>
      </c>
      <c r="Y8" s="17">
        <v>2.7E-2</v>
      </c>
      <c r="Z8" s="21">
        <f t="shared" si="4"/>
        <v>2.5999999999999999E-2</v>
      </c>
      <c r="AA8" s="19">
        <v>0.67400000000000004</v>
      </c>
      <c r="AB8" s="19">
        <v>0.67600000000000005</v>
      </c>
      <c r="AC8" s="21">
        <f t="shared" si="5"/>
        <v>0.67500000000000004</v>
      </c>
      <c r="AD8" s="19">
        <v>0.02</v>
      </c>
      <c r="AE8" s="19">
        <v>2.4E-2</v>
      </c>
      <c r="AF8" s="21">
        <f t="shared" si="6"/>
        <v>2.1999999999999999E-2</v>
      </c>
      <c r="AG8" s="19">
        <v>0.01</v>
      </c>
      <c r="AH8" s="19">
        <v>0.01</v>
      </c>
      <c r="AI8" s="21">
        <f t="shared" si="7"/>
        <v>0.01</v>
      </c>
      <c r="AJ8" s="19">
        <v>3.0000000000000001E-3</v>
      </c>
      <c r="AK8" s="19">
        <v>4.0000000000000001E-3</v>
      </c>
      <c r="AL8" s="21">
        <f t="shared" si="8"/>
        <v>4.0000000000000001E-3</v>
      </c>
      <c r="AM8" s="19">
        <v>6.3120000000000003</v>
      </c>
      <c r="AN8" s="19">
        <v>6.2990000000000004</v>
      </c>
      <c r="AO8" s="21">
        <f t="shared" si="9"/>
        <v>6.306</v>
      </c>
      <c r="AP8" s="46">
        <v>3.9100000000000003E-2</v>
      </c>
      <c r="AQ8" s="46">
        <v>0.04</v>
      </c>
      <c r="AR8" s="45">
        <f t="shared" si="10"/>
        <v>3.9600000000000003E-2</v>
      </c>
    </row>
    <row r="9" spans="1:44">
      <c r="A9" s="7" t="s">
        <v>4</v>
      </c>
      <c r="B9" s="5" t="s">
        <v>49</v>
      </c>
      <c r="C9" s="6" t="s">
        <v>44</v>
      </c>
      <c r="D9" s="6" t="s">
        <v>36</v>
      </c>
      <c r="E9" s="23">
        <v>14.4</v>
      </c>
      <c r="F9" s="23">
        <v>7</v>
      </c>
      <c r="G9" s="41">
        <v>106</v>
      </c>
      <c r="H9" s="24">
        <v>9.8000000000000007</v>
      </c>
      <c r="I9" s="23">
        <v>0.5</v>
      </c>
      <c r="J9" s="23">
        <v>1.8</v>
      </c>
      <c r="K9" s="15">
        <v>1.1000000000000001</v>
      </c>
      <c r="L9" s="15">
        <v>1.3</v>
      </c>
      <c r="M9" s="15"/>
      <c r="N9" s="20">
        <f t="shared" si="0"/>
        <v>1.2</v>
      </c>
      <c r="O9" s="37">
        <v>1.1000000000000001</v>
      </c>
      <c r="P9" s="37">
        <v>1</v>
      </c>
      <c r="Q9" s="38">
        <f t="shared" si="1"/>
        <v>1.1000000000000001</v>
      </c>
      <c r="R9" s="17">
        <v>0.92900000000000005</v>
      </c>
      <c r="S9" s="17">
        <v>0.95699999999999996</v>
      </c>
      <c r="T9" s="22">
        <f t="shared" si="2"/>
        <v>0.94299999999999995</v>
      </c>
      <c r="U9" s="17">
        <v>0.91200000000000003</v>
      </c>
      <c r="V9" s="17">
        <v>0.92100000000000004</v>
      </c>
      <c r="W9" s="22">
        <f t="shared" si="3"/>
        <v>0.91700000000000004</v>
      </c>
      <c r="X9" s="17">
        <v>2.4E-2</v>
      </c>
      <c r="Y9" s="17">
        <v>2.4E-2</v>
      </c>
      <c r="Z9" s="21">
        <f t="shared" si="4"/>
        <v>2.4E-2</v>
      </c>
      <c r="AA9" s="19">
        <v>0.65300000000000002</v>
      </c>
      <c r="AB9" s="19">
        <v>0.64900000000000002</v>
      </c>
      <c r="AC9" s="21">
        <f t="shared" si="5"/>
        <v>0.65100000000000002</v>
      </c>
      <c r="AD9" s="19">
        <v>2.4E-2</v>
      </c>
      <c r="AE9" s="19">
        <v>2.9000000000000001E-2</v>
      </c>
      <c r="AF9" s="21">
        <f t="shared" si="6"/>
        <v>2.7E-2</v>
      </c>
      <c r="AG9" s="19">
        <v>1.2999999999999999E-2</v>
      </c>
      <c r="AH9" s="19">
        <v>1.2999999999999999E-2</v>
      </c>
      <c r="AI9" s="21">
        <f t="shared" si="7"/>
        <v>1.2999999999999999E-2</v>
      </c>
      <c r="AJ9" s="19">
        <v>7.0000000000000001E-3</v>
      </c>
      <c r="AK9" s="19">
        <v>7.0000000000000001E-3</v>
      </c>
      <c r="AL9" s="21">
        <f t="shared" si="8"/>
        <v>7.0000000000000001E-3</v>
      </c>
      <c r="AM9" s="19">
        <v>5.7830000000000004</v>
      </c>
      <c r="AN9" s="19">
        <v>5.77</v>
      </c>
      <c r="AO9" s="21">
        <f t="shared" si="9"/>
        <v>5.7770000000000001</v>
      </c>
      <c r="AP9" s="46">
        <v>3.6299999999999999E-2</v>
      </c>
      <c r="AQ9" s="46">
        <v>3.6600000000000001E-2</v>
      </c>
      <c r="AR9" s="45">
        <f t="shared" si="10"/>
        <v>3.6499999999999998E-2</v>
      </c>
    </row>
    <row r="10" spans="1:44">
      <c r="A10" s="7" t="s">
        <v>5</v>
      </c>
      <c r="B10" s="5" t="s">
        <v>50</v>
      </c>
      <c r="C10" s="6" t="s">
        <v>42</v>
      </c>
      <c r="D10" s="6" t="s">
        <v>51</v>
      </c>
      <c r="E10" s="23">
        <v>14.9</v>
      </c>
      <c r="F10" s="23">
        <v>7.3</v>
      </c>
      <c r="G10" s="41">
        <v>114</v>
      </c>
      <c r="H10" s="24">
        <v>9.1999999999999993</v>
      </c>
      <c r="I10" s="23">
        <v>0.6</v>
      </c>
      <c r="J10" s="23">
        <v>1.9</v>
      </c>
      <c r="K10" s="15">
        <v>1.2</v>
      </c>
      <c r="L10" s="15">
        <v>1.2</v>
      </c>
      <c r="M10" s="15"/>
      <c r="N10" s="20">
        <f t="shared" si="0"/>
        <v>1.2</v>
      </c>
      <c r="O10" s="37">
        <v>1.1000000000000001</v>
      </c>
      <c r="P10" s="37">
        <v>1</v>
      </c>
      <c r="Q10" s="38">
        <f t="shared" si="1"/>
        <v>1.1000000000000001</v>
      </c>
      <c r="R10" s="17">
        <v>2.4089999999999998</v>
      </c>
      <c r="S10" s="17">
        <v>2.407</v>
      </c>
      <c r="T10" s="22">
        <f t="shared" si="2"/>
        <v>2.4079999999999999</v>
      </c>
      <c r="U10" s="17">
        <v>2.3969999999999998</v>
      </c>
      <c r="V10" s="17">
        <v>2.4</v>
      </c>
      <c r="W10" s="22">
        <f t="shared" si="3"/>
        <v>2.399</v>
      </c>
      <c r="X10" s="17">
        <v>4.3999999999999997E-2</v>
      </c>
      <c r="Y10" s="17">
        <v>0.04</v>
      </c>
      <c r="Z10" s="21">
        <f t="shared" si="4"/>
        <v>4.2000000000000003E-2</v>
      </c>
      <c r="AA10" s="19">
        <v>1.7070000000000001</v>
      </c>
      <c r="AB10" s="19">
        <v>1.7</v>
      </c>
      <c r="AC10" s="21">
        <f t="shared" si="5"/>
        <v>1.704</v>
      </c>
      <c r="AD10" s="19">
        <v>0.23</v>
      </c>
      <c r="AE10" s="19">
        <v>0.23100000000000001</v>
      </c>
      <c r="AF10" s="21">
        <f t="shared" si="6"/>
        <v>0.23100000000000001</v>
      </c>
      <c r="AG10" s="19">
        <v>0.184</v>
      </c>
      <c r="AH10" s="19">
        <v>0.193</v>
      </c>
      <c r="AI10" s="21">
        <f t="shared" si="7"/>
        <v>0.189</v>
      </c>
      <c r="AJ10" s="19">
        <v>0.183</v>
      </c>
      <c r="AK10" s="19">
        <v>0.186</v>
      </c>
      <c r="AL10" s="21">
        <f t="shared" si="8"/>
        <v>0.185</v>
      </c>
      <c r="AM10" s="19">
        <v>6.4790000000000001</v>
      </c>
      <c r="AN10" s="19">
        <v>6.4640000000000004</v>
      </c>
      <c r="AO10" s="21">
        <f t="shared" si="9"/>
        <v>6.4720000000000004</v>
      </c>
      <c r="AP10" s="46">
        <v>2.6599999999999999E-2</v>
      </c>
      <c r="AQ10" s="46">
        <v>2.6100000000000002E-2</v>
      </c>
      <c r="AR10" s="45">
        <f t="shared" si="10"/>
        <v>2.64E-2</v>
      </c>
    </row>
    <row r="11" spans="1:44">
      <c r="A11" s="7" t="s">
        <v>6</v>
      </c>
      <c r="B11" s="5" t="s">
        <v>52</v>
      </c>
      <c r="C11" s="6" t="s">
        <v>53</v>
      </c>
      <c r="D11" s="6" t="s">
        <v>36</v>
      </c>
      <c r="E11" s="23">
        <v>15.8</v>
      </c>
      <c r="F11" s="23">
        <v>7</v>
      </c>
      <c r="G11" s="41">
        <v>112</v>
      </c>
      <c r="H11" s="24">
        <v>10.1</v>
      </c>
      <c r="I11" s="23">
        <v>0.5</v>
      </c>
      <c r="J11" s="23">
        <v>2</v>
      </c>
      <c r="K11" s="15">
        <v>1.3</v>
      </c>
      <c r="L11" s="15">
        <v>1.3</v>
      </c>
      <c r="M11" s="15"/>
      <c r="N11" s="20">
        <f t="shared" si="0"/>
        <v>1.3</v>
      </c>
      <c r="O11" s="37">
        <v>1.1000000000000001</v>
      </c>
      <c r="P11" s="37">
        <v>1.2</v>
      </c>
      <c r="Q11" s="38">
        <f t="shared" si="1"/>
        <v>1.2</v>
      </c>
      <c r="R11" s="17">
        <v>1.4870000000000001</v>
      </c>
      <c r="S11" s="17">
        <v>1.5249999999999999</v>
      </c>
      <c r="T11" s="22">
        <f t="shared" si="2"/>
        <v>1.506</v>
      </c>
      <c r="U11" s="17">
        <v>1.504</v>
      </c>
      <c r="V11" s="17">
        <v>1.47</v>
      </c>
      <c r="W11" s="22">
        <f t="shared" si="3"/>
        <v>1.4870000000000001</v>
      </c>
      <c r="X11" s="17">
        <v>3.4000000000000002E-2</v>
      </c>
      <c r="Y11" s="17">
        <v>3.5000000000000003E-2</v>
      </c>
      <c r="Z11" s="21">
        <f t="shared" si="4"/>
        <v>3.5000000000000003E-2</v>
      </c>
      <c r="AA11" s="19">
        <v>1.0349999999999999</v>
      </c>
      <c r="AB11" s="19">
        <v>1.0309999999999999</v>
      </c>
      <c r="AC11" s="21">
        <f t="shared" si="5"/>
        <v>1.0329999999999999</v>
      </c>
      <c r="AD11" s="19">
        <v>7.9000000000000001E-2</v>
      </c>
      <c r="AE11" s="19">
        <v>8.5000000000000006E-2</v>
      </c>
      <c r="AF11" s="21">
        <f t="shared" si="6"/>
        <v>8.2000000000000003E-2</v>
      </c>
      <c r="AG11" s="19">
        <v>6.2E-2</v>
      </c>
      <c r="AH11" s="19">
        <v>5.8999999999999997E-2</v>
      </c>
      <c r="AI11" s="21">
        <f t="shared" si="7"/>
        <v>6.0999999999999999E-2</v>
      </c>
      <c r="AJ11" s="19">
        <v>5.6000000000000001E-2</v>
      </c>
      <c r="AK11" s="19">
        <v>5.5E-2</v>
      </c>
      <c r="AL11" s="21">
        <f t="shared" si="8"/>
        <v>5.6000000000000001E-2</v>
      </c>
      <c r="AM11" s="19">
        <v>6.7539999999999996</v>
      </c>
      <c r="AN11" s="19">
        <v>6.7409999999999997</v>
      </c>
      <c r="AO11" s="21">
        <f t="shared" si="9"/>
        <v>6.7480000000000002</v>
      </c>
      <c r="AP11" s="46">
        <v>3.4340000000000002E-2</v>
      </c>
      <c r="AQ11" s="46">
        <v>3.3799999999999997E-2</v>
      </c>
      <c r="AR11" s="45">
        <f t="shared" si="10"/>
        <v>3.4099999999999998E-2</v>
      </c>
    </row>
    <row r="12" spans="1:44">
      <c r="A12" s="7" t="s">
        <v>7</v>
      </c>
      <c r="B12" s="5" t="s">
        <v>54</v>
      </c>
      <c r="C12" s="6" t="s">
        <v>55</v>
      </c>
      <c r="D12" s="6" t="s">
        <v>56</v>
      </c>
      <c r="E12" s="23">
        <v>14.8</v>
      </c>
      <c r="F12" s="23">
        <v>6.8</v>
      </c>
      <c r="G12" s="41">
        <v>111</v>
      </c>
      <c r="H12" s="24">
        <v>10.4</v>
      </c>
      <c r="I12" s="23">
        <v>0.6</v>
      </c>
      <c r="J12" s="23">
        <v>1.9</v>
      </c>
      <c r="K12" s="15">
        <v>1.4</v>
      </c>
      <c r="L12" s="15">
        <v>1.4</v>
      </c>
      <c r="M12" s="15"/>
      <c r="N12" s="20">
        <f t="shared" si="0"/>
        <v>1.4</v>
      </c>
      <c r="O12" s="37">
        <v>1.1000000000000001</v>
      </c>
      <c r="P12" s="37">
        <v>1.1000000000000001</v>
      </c>
      <c r="Q12" s="38">
        <f t="shared" si="1"/>
        <v>1.1000000000000001</v>
      </c>
      <c r="R12" s="17">
        <v>0.92300000000000004</v>
      </c>
      <c r="S12" s="17">
        <v>0.95699999999999996</v>
      </c>
      <c r="T12" s="22">
        <f t="shared" si="2"/>
        <v>0.94</v>
      </c>
      <c r="U12" s="17">
        <v>0.91100000000000003</v>
      </c>
      <c r="V12" s="17">
        <v>0.91300000000000003</v>
      </c>
      <c r="W12" s="22">
        <f t="shared" si="3"/>
        <v>0.91200000000000003</v>
      </c>
      <c r="X12" s="17">
        <v>0.115</v>
      </c>
      <c r="Y12" s="17">
        <v>0.115</v>
      </c>
      <c r="Z12" s="21">
        <f t="shared" si="4"/>
        <v>0.115</v>
      </c>
      <c r="AA12" s="19">
        <v>0.57699999999999996</v>
      </c>
      <c r="AB12" s="19">
        <v>0.57699999999999996</v>
      </c>
      <c r="AC12" s="21">
        <f t="shared" si="5"/>
        <v>0.57699999999999996</v>
      </c>
      <c r="AD12" s="19">
        <v>5.1999999999999998E-2</v>
      </c>
      <c r="AE12" s="19">
        <v>5.8000000000000003E-2</v>
      </c>
      <c r="AF12" s="21">
        <f t="shared" si="6"/>
        <v>5.5E-2</v>
      </c>
      <c r="AG12" s="19">
        <v>3.7999999999999999E-2</v>
      </c>
      <c r="AH12" s="19">
        <v>3.6999999999999998E-2</v>
      </c>
      <c r="AI12" s="21">
        <f t="shared" si="7"/>
        <v>3.7999999999999999E-2</v>
      </c>
      <c r="AJ12" s="19">
        <v>3.4000000000000002E-2</v>
      </c>
      <c r="AK12" s="19">
        <v>3.3000000000000002E-2</v>
      </c>
      <c r="AL12" s="21">
        <f t="shared" si="8"/>
        <v>3.4000000000000002E-2</v>
      </c>
      <c r="AM12" s="19">
        <v>8.15</v>
      </c>
      <c r="AN12" s="19">
        <v>8.1289999999999996</v>
      </c>
      <c r="AO12" s="21">
        <f t="shared" si="9"/>
        <v>8.14</v>
      </c>
      <c r="AP12" s="46">
        <v>3.2899999999999999E-2</v>
      </c>
      <c r="AQ12" s="46">
        <v>3.27E-2</v>
      </c>
      <c r="AR12" s="45">
        <f t="shared" si="10"/>
        <v>3.2800000000000003E-2</v>
      </c>
    </row>
    <row r="13" spans="1:44">
      <c r="A13" s="7" t="s">
        <v>8</v>
      </c>
      <c r="B13" s="5" t="s">
        <v>54</v>
      </c>
      <c r="C13" s="6" t="s">
        <v>44</v>
      </c>
      <c r="D13" s="6" t="s">
        <v>36</v>
      </c>
      <c r="E13" s="23">
        <v>15.7</v>
      </c>
      <c r="F13" s="23">
        <v>7.1</v>
      </c>
      <c r="G13" s="41">
        <v>122</v>
      </c>
      <c r="H13" s="24">
        <v>10.1</v>
      </c>
      <c r="I13" s="23">
        <v>0.6</v>
      </c>
      <c r="J13" s="23">
        <v>2.2000000000000002</v>
      </c>
      <c r="K13" s="15">
        <v>1.6</v>
      </c>
      <c r="L13" s="15">
        <v>1.5</v>
      </c>
      <c r="M13" s="15"/>
      <c r="N13" s="20">
        <f t="shared" si="0"/>
        <v>1.6</v>
      </c>
      <c r="O13" s="37">
        <v>1.3</v>
      </c>
      <c r="P13" s="37">
        <v>1.2</v>
      </c>
      <c r="Q13" s="38">
        <f t="shared" si="1"/>
        <v>1.3</v>
      </c>
      <c r="R13" s="17">
        <v>1.909</v>
      </c>
      <c r="S13" s="17">
        <v>1.9510000000000001</v>
      </c>
      <c r="T13" s="22">
        <f t="shared" si="2"/>
        <v>1.93</v>
      </c>
      <c r="U13" s="17">
        <v>1.89</v>
      </c>
      <c r="V13" s="17">
        <v>1.8979999999999999</v>
      </c>
      <c r="W13" s="22">
        <f t="shared" si="3"/>
        <v>1.8939999999999999</v>
      </c>
      <c r="X13" s="17">
        <v>0.1</v>
      </c>
      <c r="Y13" s="17">
        <v>0.10100000000000001</v>
      </c>
      <c r="Z13" s="21">
        <f t="shared" si="4"/>
        <v>0.10100000000000001</v>
      </c>
      <c r="AA13" s="19">
        <v>1.266</v>
      </c>
      <c r="AB13" s="19">
        <v>1.256</v>
      </c>
      <c r="AC13" s="21">
        <f t="shared" si="5"/>
        <v>1.2609999999999999</v>
      </c>
      <c r="AD13" s="19">
        <v>0.159</v>
      </c>
      <c r="AE13" s="19">
        <v>0.16300000000000001</v>
      </c>
      <c r="AF13" s="21">
        <f t="shared" si="6"/>
        <v>0.161</v>
      </c>
      <c r="AG13" s="19">
        <v>0.11899999999999999</v>
      </c>
      <c r="AH13" s="19">
        <v>0.127</v>
      </c>
      <c r="AI13" s="21">
        <f t="shared" si="7"/>
        <v>0.123</v>
      </c>
      <c r="AJ13" s="19">
        <v>0.11899999999999999</v>
      </c>
      <c r="AK13" s="19">
        <v>0.123</v>
      </c>
      <c r="AL13" s="21">
        <f t="shared" si="8"/>
        <v>0.121</v>
      </c>
      <c r="AM13" s="19">
        <v>7.2960000000000003</v>
      </c>
      <c r="AN13" s="19">
        <v>7.274</v>
      </c>
      <c r="AO13" s="21">
        <f t="shared" si="9"/>
        <v>7.2850000000000001</v>
      </c>
      <c r="AP13" s="46">
        <v>3.5499999999999997E-2</v>
      </c>
      <c r="AQ13" s="46">
        <v>3.5700000000000003E-2</v>
      </c>
      <c r="AR13" s="45">
        <f t="shared" si="10"/>
        <v>3.56E-2</v>
      </c>
    </row>
    <row r="14" spans="1:44">
      <c r="A14" s="7" t="s">
        <v>9</v>
      </c>
      <c r="B14" s="5" t="s">
        <v>57</v>
      </c>
      <c r="C14" s="6" t="s">
        <v>58</v>
      </c>
      <c r="D14" s="6" t="s">
        <v>59</v>
      </c>
      <c r="E14" s="23">
        <v>17.100000000000001</v>
      </c>
      <c r="F14" s="23">
        <v>7.2</v>
      </c>
      <c r="G14" s="41">
        <v>139</v>
      </c>
      <c r="H14" s="24">
        <v>10.1</v>
      </c>
      <c r="I14" s="23">
        <v>0.3</v>
      </c>
      <c r="J14" s="23">
        <v>1.8</v>
      </c>
      <c r="K14" s="15">
        <v>1.3</v>
      </c>
      <c r="L14" s="15">
        <v>1.4</v>
      </c>
      <c r="M14" s="15"/>
      <c r="N14" s="20">
        <f t="shared" si="0"/>
        <v>1.4</v>
      </c>
      <c r="O14" s="37">
        <v>1.2</v>
      </c>
      <c r="P14" s="37">
        <v>1.2</v>
      </c>
      <c r="Q14" s="38">
        <f t="shared" si="1"/>
        <v>1.2</v>
      </c>
      <c r="R14" s="17">
        <v>1.6639999999999999</v>
      </c>
      <c r="S14" s="17">
        <v>1.6970000000000001</v>
      </c>
      <c r="T14" s="22">
        <f t="shared" si="2"/>
        <v>1.681</v>
      </c>
      <c r="U14" s="17">
        <v>1.66</v>
      </c>
      <c r="V14" s="17">
        <v>1.665</v>
      </c>
      <c r="W14" s="22">
        <f t="shared" si="3"/>
        <v>1.663</v>
      </c>
      <c r="X14" s="17">
        <v>1.9E-2</v>
      </c>
      <c r="Y14" s="17">
        <v>1.9E-2</v>
      </c>
      <c r="Z14" s="21">
        <f t="shared" si="4"/>
        <v>1.9E-2</v>
      </c>
      <c r="AA14" s="19">
        <v>1.1739999999999999</v>
      </c>
      <c r="AB14" s="19">
        <v>1.173</v>
      </c>
      <c r="AC14" s="21">
        <f t="shared" si="5"/>
        <v>1.1739999999999999</v>
      </c>
      <c r="AD14" s="19">
        <v>1.0999999999999999E-2</v>
      </c>
      <c r="AE14" s="19">
        <v>1.2E-2</v>
      </c>
      <c r="AF14" s="21">
        <f t="shared" si="6"/>
        <v>1.2E-2</v>
      </c>
      <c r="AG14" s="19">
        <v>6.0000000000000001E-3</v>
      </c>
      <c r="AH14" s="19">
        <v>4.0000000000000001E-3</v>
      </c>
      <c r="AI14" s="21">
        <f t="shared" si="7"/>
        <v>5.0000000000000001E-3</v>
      </c>
      <c r="AJ14" s="19">
        <v>2E-3</v>
      </c>
      <c r="AK14" s="19">
        <v>1E-3</v>
      </c>
      <c r="AL14" s="21">
        <f t="shared" si="8"/>
        <v>2E-3</v>
      </c>
      <c r="AM14" s="19">
        <v>4.8639999999999999</v>
      </c>
      <c r="AN14" s="19">
        <v>4.8470000000000004</v>
      </c>
      <c r="AO14" s="21">
        <f t="shared" si="9"/>
        <v>4.8559999999999999</v>
      </c>
      <c r="AP14" s="46">
        <v>2.87E-2</v>
      </c>
      <c r="AQ14" s="46">
        <v>2.9600000000000001E-2</v>
      </c>
      <c r="AR14" s="45">
        <f t="shared" si="10"/>
        <v>2.92E-2</v>
      </c>
    </row>
    <row r="15" spans="1:44">
      <c r="A15" s="7" t="s">
        <v>10</v>
      </c>
      <c r="B15" s="5" t="s">
        <v>60</v>
      </c>
      <c r="C15" s="6" t="s">
        <v>61</v>
      </c>
      <c r="D15" s="6" t="s">
        <v>36</v>
      </c>
      <c r="E15" s="23">
        <v>16</v>
      </c>
      <c r="F15" s="23">
        <v>7.3</v>
      </c>
      <c r="G15" s="41">
        <v>132</v>
      </c>
      <c r="H15" s="24">
        <v>10.8</v>
      </c>
      <c r="I15" s="23">
        <v>0.5</v>
      </c>
      <c r="J15" s="23">
        <v>2.5</v>
      </c>
      <c r="K15" s="15">
        <v>1.5</v>
      </c>
      <c r="L15" s="15">
        <v>1.5</v>
      </c>
      <c r="M15" s="15"/>
      <c r="N15" s="20">
        <f t="shared" si="0"/>
        <v>1.5</v>
      </c>
      <c r="O15" s="37">
        <v>1.3</v>
      </c>
      <c r="P15" s="37">
        <v>1.2</v>
      </c>
      <c r="Q15" s="38">
        <f t="shared" si="1"/>
        <v>1.3</v>
      </c>
      <c r="R15" s="17">
        <v>2.0179999999999998</v>
      </c>
      <c r="S15" s="17">
        <v>2.0299999999999998</v>
      </c>
      <c r="T15" s="22">
        <f t="shared" si="2"/>
        <v>2.024</v>
      </c>
      <c r="U15" s="17">
        <v>1.974</v>
      </c>
      <c r="V15" s="17">
        <v>1.9830000000000001</v>
      </c>
      <c r="W15" s="22">
        <f t="shared" si="3"/>
        <v>1.9790000000000001</v>
      </c>
      <c r="X15" s="17">
        <v>4.4999999999999998E-2</v>
      </c>
      <c r="Y15" s="17">
        <v>4.3999999999999997E-2</v>
      </c>
      <c r="Z15" s="21">
        <f t="shared" si="4"/>
        <v>4.4999999999999998E-2</v>
      </c>
      <c r="AA15" s="19">
        <v>1.375</v>
      </c>
      <c r="AB15" s="19">
        <v>1.367</v>
      </c>
      <c r="AC15" s="21">
        <f t="shared" si="5"/>
        <v>1.371</v>
      </c>
      <c r="AD15" s="19">
        <v>0.13200000000000001</v>
      </c>
      <c r="AE15" s="19">
        <v>0.13400000000000001</v>
      </c>
      <c r="AF15" s="21">
        <f t="shared" si="6"/>
        <v>0.13300000000000001</v>
      </c>
      <c r="AG15" s="19">
        <v>9.8000000000000004E-2</v>
      </c>
      <c r="AH15" s="19">
        <v>0.104</v>
      </c>
      <c r="AI15" s="21">
        <f t="shared" si="7"/>
        <v>0.10100000000000001</v>
      </c>
      <c r="AJ15" s="19">
        <v>9.7000000000000003E-2</v>
      </c>
      <c r="AK15" s="19">
        <v>0.10299999999999999</v>
      </c>
      <c r="AL15" s="21">
        <f t="shared" si="8"/>
        <v>0.1</v>
      </c>
      <c r="AM15" s="19">
        <v>7.0350000000000001</v>
      </c>
      <c r="AN15" s="19">
        <v>6.9989999999999997</v>
      </c>
      <c r="AO15" s="21">
        <f t="shared" si="9"/>
        <v>7.0170000000000003</v>
      </c>
      <c r="AP15" s="46">
        <v>3.5499999999999997E-2</v>
      </c>
      <c r="AQ15" s="46">
        <v>3.5400000000000001E-2</v>
      </c>
      <c r="AR15" s="45">
        <f t="shared" si="10"/>
        <v>3.5499999999999997E-2</v>
      </c>
    </row>
    <row r="16" spans="1:44">
      <c r="A16" s="7" t="s">
        <v>11</v>
      </c>
      <c r="B16" s="5" t="s">
        <v>108</v>
      </c>
      <c r="C16" s="6" t="s">
        <v>62</v>
      </c>
      <c r="D16" s="6" t="s">
        <v>63</v>
      </c>
      <c r="E16" s="23">
        <v>15.3</v>
      </c>
      <c r="F16" s="23">
        <v>7.4</v>
      </c>
      <c r="G16" s="41">
        <v>152</v>
      </c>
      <c r="H16" s="24">
        <v>11.2</v>
      </c>
      <c r="I16" s="23">
        <v>0.5</v>
      </c>
      <c r="J16" s="23">
        <v>2.8</v>
      </c>
      <c r="K16" s="15">
        <v>1.8</v>
      </c>
      <c r="L16" s="15">
        <v>2</v>
      </c>
      <c r="M16" s="15"/>
      <c r="N16" s="20">
        <f t="shared" si="0"/>
        <v>1.9</v>
      </c>
      <c r="O16" s="37">
        <v>1.6</v>
      </c>
      <c r="P16" s="37">
        <v>1.6</v>
      </c>
      <c r="Q16" s="38">
        <f t="shared" si="1"/>
        <v>1.6</v>
      </c>
      <c r="R16" s="17">
        <v>1.4850000000000001</v>
      </c>
      <c r="S16" s="17">
        <v>1.498</v>
      </c>
      <c r="T16" s="22">
        <f t="shared" si="2"/>
        <v>1.492</v>
      </c>
      <c r="U16" s="17">
        <v>1.4750000000000001</v>
      </c>
      <c r="V16" s="17">
        <v>1.4830000000000001</v>
      </c>
      <c r="W16" s="22">
        <f t="shared" si="3"/>
        <v>1.4790000000000001</v>
      </c>
      <c r="X16" s="17">
        <v>3.4000000000000002E-2</v>
      </c>
      <c r="Y16" s="17">
        <v>3.3000000000000002E-2</v>
      </c>
      <c r="Z16" s="21">
        <f t="shared" si="4"/>
        <v>3.4000000000000002E-2</v>
      </c>
      <c r="AA16" s="19">
        <v>0.99299999999999999</v>
      </c>
      <c r="AB16" s="19">
        <v>0.99299999999999999</v>
      </c>
      <c r="AC16" s="21">
        <f t="shared" si="5"/>
        <v>0.99299999999999999</v>
      </c>
      <c r="AD16" s="19">
        <v>2.9000000000000001E-2</v>
      </c>
      <c r="AE16" s="19">
        <v>0.03</v>
      </c>
      <c r="AF16" s="21">
        <f t="shared" si="6"/>
        <v>0.03</v>
      </c>
      <c r="AG16" s="19">
        <v>1.9E-2</v>
      </c>
      <c r="AH16" s="19">
        <v>1.7000000000000001E-2</v>
      </c>
      <c r="AI16" s="21">
        <f t="shared" si="7"/>
        <v>1.7999999999999999E-2</v>
      </c>
      <c r="AJ16" s="19">
        <v>1.2999999999999999E-2</v>
      </c>
      <c r="AK16" s="19">
        <v>1.2E-2</v>
      </c>
      <c r="AL16" s="21">
        <f t="shared" si="8"/>
        <v>1.2999999999999999E-2</v>
      </c>
      <c r="AM16" s="19">
        <v>8.3109999999999999</v>
      </c>
      <c r="AN16" s="19">
        <v>8.2810000000000006</v>
      </c>
      <c r="AO16" s="21">
        <f t="shared" si="9"/>
        <v>8.2959999999999994</v>
      </c>
      <c r="AP16" s="46">
        <v>4.2900000000000001E-2</v>
      </c>
      <c r="AQ16" s="46">
        <v>4.3299999999999998E-2</v>
      </c>
      <c r="AR16" s="45">
        <f t="shared" si="10"/>
        <v>4.3099999999999999E-2</v>
      </c>
    </row>
    <row r="17" spans="1:44">
      <c r="A17" s="7" t="s">
        <v>12</v>
      </c>
      <c r="B17" s="5" t="s">
        <v>64</v>
      </c>
      <c r="C17" s="6" t="s">
        <v>65</v>
      </c>
      <c r="D17" s="6" t="s">
        <v>36</v>
      </c>
      <c r="E17" s="23">
        <v>14.8</v>
      </c>
      <c r="F17" s="23">
        <v>6.9</v>
      </c>
      <c r="G17" s="41">
        <v>134</v>
      </c>
      <c r="H17" s="24">
        <v>9.8000000000000007</v>
      </c>
      <c r="I17" s="23">
        <v>0.5</v>
      </c>
      <c r="J17" s="23">
        <v>2.2999999999999998</v>
      </c>
      <c r="K17" s="15">
        <v>1.6</v>
      </c>
      <c r="L17" s="15">
        <v>1.8</v>
      </c>
      <c r="M17" s="15"/>
      <c r="N17" s="20">
        <f t="shared" si="0"/>
        <v>1.7</v>
      </c>
      <c r="O17" s="37">
        <v>1.4</v>
      </c>
      <c r="P17" s="37">
        <v>1.4</v>
      </c>
      <c r="Q17" s="38">
        <f t="shared" si="1"/>
        <v>1.4</v>
      </c>
      <c r="R17" s="17">
        <v>1.855</v>
      </c>
      <c r="S17" s="17">
        <v>1.8839999999999999</v>
      </c>
      <c r="T17" s="22">
        <f t="shared" si="2"/>
        <v>1.87</v>
      </c>
      <c r="U17" s="17">
        <v>1.833</v>
      </c>
      <c r="V17" s="17">
        <v>1.8280000000000001</v>
      </c>
      <c r="W17" s="22">
        <f t="shared" si="3"/>
        <v>1.831</v>
      </c>
      <c r="X17" s="17">
        <v>3.1E-2</v>
      </c>
      <c r="Y17" s="17">
        <v>0.03</v>
      </c>
      <c r="Z17" s="21">
        <f t="shared" si="4"/>
        <v>3.1E-2</v>
      </c>
      <c r="AA17" s="19">
        <v>1.2709999999999999</v>
      </c>
      <c r="AB17" s="19">
        <v>1.266</v>
      </c>
      <c r="AC17" s="21">
        <f t="shared" si="5"/>
        <v>1.2689999999999999</v>
      </c>
      <c r="AD17" s="19">
        <v>8.8999999999999996E-2</v>
      </c>
      <c r="AE17" s="19">
        <v>9.1999999999999998E-2</v>
      </c>
      <c r="AF17" s="21">
        <f t="shared" si="6"/>
        <v>9.0999999999999998E-2</v>
      </c>
      <c r="AG17" s="19">
        <v>6.4000000000000001E-2</v>
      </c>
      <c r="AH17" s="19">
        <v>6.6000000000000003E-2</v>
      </c>
      <c r="AI17" s="21">
        <f t="shared" si="7"/>
        <v>6.5000000000000002E-2</v>
      </c>
      <c r="AJ17" s="19">
        <v>6.3E-2</v>
      </c>
      <c r="AK17" s="19">
        <v>6.5000000000000002E-2</v>
      </c>
      <c r="AL17" s="21">
        <f t="shared" si="8"/>
        <v>6.4000000000000001E-2</v>
      </c>
      <c r="AM17" s="19">
        <v>7.282</v>
      </c>
      <c r="AN17" s="19">
        <v>7.25</v>
      </c>
      <c r="AO17" s="21">
        <f t="shared" si="9"/>
        <v>7.266</v>
      </c>
      <c r="AP17" s="46">
        <v>3.7499999999999999E-2</v>
      </c>
      <c r="AQ17" s="46">
        <v>3.6900000000000002E-2</v>
      </c>
      <c r="AR17" s="45">
        <f t="shared" si="10"/>
        <v>3.7199999999999997E-2</v>
      </c>
    </row>
    <row r="18" spans="1:44">
      <c r="A18" s="7" t="s">
        <v>13</v>
      </c>
      <c r="B18" s="5" t="s">
        <v>66</v>
      </c>
      <c r="C18" s="6" t="s">
        <v>44</v>
      </c>
      <c r="D18" s="6" t="s">
        <v>67</v>
      </c>
      <c r="E18" s="23">
        <v>14.9</v>
      </c>
      <c r="F18" s="23">
        <v>6.8</v>
      </c>
      <c r="G18" s="41">
        <v>213</v>
      </c>
      <c r="H18" s="24">
        <v>11.3</v>
      </c>
      <c r="I18" s="23">
        <v>0.8</v>
      </c>
      <c r="J18" s="23">
        <v>3.9</v>
      </c>
      <c r="K18" s="15">
        <v>2.9</v>
      </c>
      <c r="L18" s="15">
        <v>3.1</v>
      </c>
      <c r="M18" s="15"/>
      <c r="N18" s="20">
        <f t="shared" si="0"/>
        <v>3</v>
      </c>
      <c r="O18" s="37">
        <v>2.6</v>
      </c>
      <c r="P18" s="37">
        <v>2.5</v>
      </c>
      <c r="Q18" s="38">
        <f t="shared" si="1"/>
        <v>2.6</v>
      </c>
      <c r="R18" s="17">
        <v>2.4980000000000002</v>
      </c>
      <c r="S18" s="17">
        <v>2.492</v>
      </c>
      <c r="T18" s="22">
        <f t="shared" si="2"/>
        <v>2.4950000000000001</v>
      </c>
      <c r="U18" s="17">
        <v>2.4260000000000002</v>
      </c>
      <c r="V18" s="17">
        <v>2.4180000000000001</v>
      </c>
      <c r="W18" s="22">
        <f t="shared" si="3"/>
        <v>2.4220000000000002</v>
      </c>
      <c r="X18" s="17">
        <v>4.1000000000000002E-2</v>
      </c>
      <c r="Y18" s="17">
        <v>3.9E-2</v>
      </c>
      <c r="Z18" s="21">
        <f t="shared" si="4"/>
        <v>0.04</v>
      </c>
      <c r="AA18" s="19">
        <v>1.66</v>
      </c>
      <c r="AB18" s="19">
        <v>1.657</v>
      </c>
      <c r="AC18" s="21">
        <f t="shared" si="5"/>
        <v>1.659</v>
      </c>
      <c r="AD18" s="19">
        <v>0.05</v>
      </c>
      <c r="AE18" s="19">
        <v>5.5E-2</v>
      </c>
      <c r="AF18" s="21">
        <f t="shared" si="6"/>
        <v>5.2999999999999999E-2</v>
      </c>
      <c r="AG18" s="19">
        <v>3.3000000000000002E-2</v>
      </c>
      <c r="AH18" s="19">
        <v>3.1E-2</v>
      </c>
      <c r="AI18" s="21">
        <f t="shared" si="7"/>
        <v>3.2000000000000001E-2</v>
      </c>
      <c r="AJ18" s="19">
        <v>2.5999999999999999E-2</v>
      </c>
      <c r="AK18" s="19">
        <v>2.5000000000000001E-2</v>
      </c>
      <c r="AL18" s="21">
        <f t="shared" si="8"/>
        <v>2.5999999999999999E-2</v>
      </c>
      <c r="AM18" s="19">
        <v>12.382999999999999</v>
      </c>
      <c r="AN18" s="19">
        <v>12.327999999999999</v>
      </c>
      <c r="AO18" s="21">
        <f t="shared" si="9"/>
        <v>12.356</v>
      </c>
      <c r="AP18" s="46">
        <v>6.7199999999999996E-2</v>
      </c>
      <c r="AQ18" s="46">
        <v>6.7199999999999996E-2</v>
      </c>
      <c r="AR18" s="45">
        <f t="shared" si="10"/>
        <v>6.7199999999999996E-2</v>
      </c>
    </row>
    <row r="19" spans="1:44">
      <c r="A19" s="7" t="s">
        <v>14</v>
      </c>
      <c r="B19" s="5" t="s">
        <v>64</v>
      </c>
      <c r="C19" s="6" t="s">
        <v>68</v>
      </c>
      <c r="D19" s="6" t="s">
        <v>36</v>
      </c>
      <c r="E19" s="23">
        <v>15</v>
      </c>
      <c r="F19" s="23">
        <v>6.9</v>
      </c>
      <c r="G19" s="41">
        <v>137</v>
      </c>
      <c r="H19" s="24">
        <v>9.6999999999999993</v>
      </c>
      <c r="I19" s="23">
        <v>0.5</v>
      </c>
      <c r="J19" s="23">
        <v>2.2000000000000002</v>
      </c>
      <c r="K19" s="15">
        <v>1.6</v>
      </c>
      <c r="L19" s="15">
        <v>1.6</v>
      </c>
      <c r="M19" s="15"/>
      <c r="N19" s="20">
        <f t="shared" si="0"/>
        <v>1.6</v>
      </c>
      <c r="O19" s="37">
        <v>1.5</v>
      </c>
      <c r="P19" s="37">
        <v>1.4</v>
      </c>
      <c r="Q19" s="38">
        <f t="shared" si="1"/>
        <v>1.5</v>
      </c>
      <c r="R19" s="17">
        <v>1.89</v>
      </c>
      <c r="S19" s="17">
        <v>1.8620000000000001</v>
      </c>
      <c r="T19" s="22">
        <f t="shared" si="2"/>
        <v>1.8759999999999999</v>
      </c>
      <c r="U19" s="17">
        <v>1.7889999999999999</v>
      </c>
      <c r="V19" s="17">
        <v>1.7789999999999999</v>
      </c>
      <c r="W19" s="22">
        <f t="shared" si="3"/>
        <v>1.784</v>
      </c>
      <c r="X19" s="17">
        <v>2.1000000000000001E-2</v>
      </c>
      <c r="Y19" s="17">
        <v>2.1999999999999999E-2</v>
      </c>
      <c r="Z19" s="21">
        <f t="shared" si="4"/>
        <v>2.1999999999999999E-2</v>
      </c>
      <c r="AA19" s="19">
        <v>1.274</v>
      </c>
      <c r="AB19" s="19">
        <v>1.2629999999999999</v>
      </c>
      <c r="AC19" s="21">
        <f t="shared" si="5"/>
        <v>1.2689999999999999</v>
      </c>
      <c r="AD19" s="19">
        <v>8.5999999999999993E-2</v>
      </c>
      <c r="AE19" s="19">
        <v>8.7999999999999995E-2</v>
      </c>
      <c r="AF19" s="21">
        <f t="shared" si="6"/>
        <v>8.6999999999999994E-2</v>
      </c>
      <c r="AG19" s="19">
        <v>6.3E-2</v>
      </c>
      <c r="AH19" s="19">
        <v>6.4000000000000001E-2</v>
      </c>
      <c r="AI19" s="21">
        <f t="shared" si="7"/>
        <v>6.4000000000000001E-2</v>
      </c>
      <c r="AJ19" s="19">
        <v>6.2E-2</v>
      </c>
      <c r="AK19" s="19">
        <v>6.3E-2</v>
      </c>
      <c r="AL19" s="21">
        <f t="shared" si="8"/>
        <v>6.3E-2</v>
      </c>
      <c r="AM19" s="19">
        <v>7.3259999999999996</v>
      </c>
      <c r="AN19" s="19">
        <v>7.3029999999999999</v>
      </c>
      <c r="AO19" s="21">
        <f t="shared" si="9"/>
        <v>7.3150000000000004</v>
      </c>
      <c r="AP19" s="46">
        <v>3.7199999999999997E-2</v>
      </c>
      <c r="AQ19" s="46">
        <v>3.7499999999999999E-2</v>
      </c>
      <c r="AR19" s="45">
        <f t="shared" si="10"/>
        <v>3.7400000000000003E-2</v>
      </c>
    </row>
    <row r="20" spans="1:44">
      <c r="A20" s="7" t="s">
        <v>15</v>
      </c>
      <c r="B20" s="5" t="s">
        <v>69</v>
      </c>
      <c r="C20" s="6" t="s">
        <v>70</v>
      </c>
      <c r="D20" s="6" t="s">
        <v>71</v>
      </c>
      <c r="E20" s="23">
        <v>16</v>
      </c>
      <c r="F20" s="23">
        <v>6.9</v>
      </c>
      <c r="G20" s="41">
        <v>176</v>
      </c>
      <c r="H20" s="24">
        <v>9.6999999999999993</v>
      </c>
      <c r="I20" s="23">
        <v>0.5</v>
      </c>
      <c r="J20" s="23">
        <v>3.6</v>
      </c>
      <c r="K20" s="15">
        <v>2.6</v>
      </c>
      <c r="L20" s="15">
        <v>2.8</v>
      </c>
      <c r="M20" s="15"/>
      <c r="N20" s="20">
        <f t="shared" si="0"/>
        <v>2.7</v>
      </c>
      <c r="O20" s="37">
        <v>2.4</v>
      </c>
      <c r="P20" s="37">
        <v>2.4</v>
      </c>
      <c r="Q20" s="38">
        <f t="shared" si="1"/>
        <v>2.4</v>
      </c>
      <c r="R20" s="17">
        <v>1.216</v>
      </c>
      <c r="S20" s="17">
        <v>1.236</v>
      </c>
      <c r="T20" s="22">
        <f t="shared" si="2"/>
        <v>1.226</v>
      </c>
      <c r="U20" s="17">
        <v>1.1719999999999999</v>
      </c>
      <c r="V20" s="17">
        <v>1.149</v>
      </c>
      <c r="W20" s="22">
        <f t="shared" si="3"/>
        <v>1.161</v>
      </c>
      <c r="X20" s="17">
        <v>1.4999999999999999E-2</v>
      </c>
      <c r="Y20" s="17">
        <v>1.6E-2</v>
      </c>
      <c r="Z20" s="21">
        <f t="shared" si="4"/>
        <v>1.6E-2</v>
      </c>
      <c r="AA20" s="19">
        <v>0.80100000000000005</v>
      </c>
      <c r="AB20" s="19">
        <v>0.79500000000000004</v>
      </c>
      <c r="AC20" s="21">
        <f t="shared" si="5"/>
        <v>0.79800000000000004</v>
      </c>
      <c r="AD20" s="19">
        <v>1.2999999999999999E-2</v>
      </c>
      <c r="AE20" s="19">
        <v>1.7999999999999999E-2</v>
      </c>
      <c r="AF20" s="21">
        <f t="shared" si="6"/>
        <v>1.6E-2</v>
      </c>
      <c r="AG20" s="19">
        <v>8.0000000000000002E-3</v>
      </c>
      <c r="AH20" s="19">
        <v>5.0000000000000001E-3</v>
      </c>
      <c r="AI20" s="21">
        <f t="shared" si="7"/>
        <v>7.0000000000000001E-3</v>
      </c>
      <c r="AJ20" s="19">
        <v>1E-3</v>
      </c>
      <c r="AK20" s="19">
        <v>0</v>
      </c>
      <c r="AL20" s="21">
        <f t="shared" si="8"/>
        <v>1E-3</v>
      </c>
      <c r="AM20" s="19">
        <v>4.3479999999999999</v>
      </c>
      <c r="AN20" s="19">
        <v>4.3220000000000001</v>
      </c>
      <c r="AO20" s="21">
        <f t="shared" si="9"/>
        <v>4.335</v>
      </c>
      <c r="AP20" s="46">
        <v>6.2E-2</v>
      </c>
      <c r="AQ20" s="46">
        <v>6.1400000000000003E-2</v>
      </c>
      <c r="AR20" s="45">
        <f t="shared" si="10"/>
        <v>6.1699999999999998E-2</v>
      </c>
    </row>
    <row r="21" spans="1:44">
      <c r="A21" s="7" t="s">
        <v>16</v>
      </c>
      <c r="B21" s="5" t="s">
        <v>72</v>
      </c>
      <c r="C21" s="6" t="s">
        <v>73</v>
      </c>
      <c r="D21" s="6" t="s">
        <v>36</v>
      </c>
      <c r="E21" s="23">
        <v>14.9</v>
      </c>
      <c r="F21" s="23">
        <v>7</v>
      </c>
      <c r="G21" s="41">
        <v>145</v>
      </c>
      <c r="H21" s="24">
        <v>10.5</v>
      </c>
      <c r="I21" s="23">
        <v>0.5</v>
      </c>
      <c r="J21" s="23">
        <v>2.5</v>
      </c>
      <c r="K21" s="15">
        <v>1.8</v>
      </c>
      <c r="L21" s="15">
        <v>1.9</v>
      </c>
      <c r="M21" s="15"/>
      <c r="N21" s="20">
        <f t="shared" si="0"/>
        <v>1.9</v>
      </c>
      <c r="O21" s="37">
        <v>1.6</v>
      </c>
      <c r="P21" s="37">
        <v>1.6</v>
      </c>
      <c r="Q21" s="38">
        <f t="shared" si="1"/>
        <v>1.6</v>
      </c>
      <c r="R21" s="17">
        <v>1.736</v>
      </c>
      <c r="S21" s="17">
        <v>1.7410000000000001</v>
      </c>
      <c r="T21" s="22">
        <f t="shared" si="2"/>
        <v>1.7390000000000001</v>
      </c>
      <c r="U21" s="17">
        <v>1.708</v>
      </c>
      <c r="V21" s="17">
        <v>1.6970000000000001</v>
      </c>
      <c r="W21" s="22">
        <f t="shared" si="3"/>
        <v>1.7030000000000001</v>
      </c>
      <c r="X21" s="17">
        <v>1.7000000000000001E-2</v>
      </c>
      <c r="Y21" s="17">
        <v>1.7000000000000001E-2</v>
      </c>
      <c r="Z21" s="21">
        <f t="shared" si="4"/>
        <v>1.7000000000000001E-2</v>
      </c>
      <c r="AA21" s="19">
        <v>1.194</v>
      </c>
      <c r="AB21" s="19">
        <v>1.19</v>
      </c>
      <c r="AC21" s="21">
        <f t="shared" si="5"/>
        <v>1.1919999999999999</v>
      </c>
      <c r="AD21" s="19">
        <v>0.06</v>
      </c>
      <c r="AE21" s="19">
        <v>6.5000000000000002E-2</v>
      </c>
      <c r="AF21" s="21">
        <f t="shared" si="6"/>
        <v>6.3E-2</v>
      </c>
      <c r="AG21" s="19">
        <v>0.04</v>
      </c>
      <c r="AH21" s="19">
        <v>4.2000000000000003E-2</v>
      </c>
      <c r="AI21" s="21">
        <f t="shared" si="7"/>
        <v>4.1000000000000002E-2</v>
      </c>
      <c r="AJ21" s="19">
        <v>3.9E-2</v>
      </c>
      <c r="AK21" s="19">
        <v>0.04</v>
      </c>
      <c r="AL21" s="21">
        <f t="shared" si="8"/>
        <v>0.04</v>
      </c>
      <c r="AM21" s="19">
        <v>7.226</v>
      </c>
      <c r="AN21" s="19">
        <v>7.1820000000000004</v>
      </c>
      <c r="AO21" s="21">
        <f t="shared" si="9"/>
        <v>7.2039999999999997</v>
      </c>
      <c r="AP21" s="46">
        <v>4.1300000000000003E-2</v>
      </c>
      <c r="AQ21" s="46">
        <v>4.1500000000000002E-2</v>
      </c>
      <c r="AR21" s="45">
        <f t="shared" si="10"/>
        <v>4.1399999999999999E-2</v>
      </c>
    </row>
    <row r="22" spans="1:44">
      <c r="A22" s="7" t="s">
        <v>17</v>
      </c>
      <c r="B22" s="5" t="s">
        <v>74</v>
      </c>
      <c r="C22" s="6" t="s">
        <v>75</v>
      </c>
      <c r="D22" s="6" t="s">
        <v>76</v>
      </c>
      <c r="E22" s="23">
        <v>15.6</v>
      </c>
      <c r="F22" s="23">
        <v>7.3</v>
      </c>
      <c r="G22" s="41">
        <v>314</v>
      </c>
      <c r="H22" s="24">
        <v>10.6</v>
      </c>
      <c r="I22" s="23">
        <v>0.7</v>
      </c>
      <c r="J22" s="23">
        <v>2.6</v>
      </c>
      <c r="K22" s="15">
        <v>2.2999999999999998</v>
      </c>
      <c r="L22" s="15">
        <v>2</v>
      </c>
      <c r="M22" s="15"/>
      <c r="N22" s="20">
        <f t="shared" si="0"/>
        <v>2.2000000000000002</v>
      </c>
      <c r="O22" s="37">
        <v>1.7</v>
      </c>
      <c r="P22" s="37">
        <v>1.5</v>
      </c>
      <c r="Q22" s="38">
        <f t="shared" si="1"/>
        <v>1.6</v>
      </c>
      <c r="R22" s="17">
        <v>1.988</v>
      </c>
      <c r="S22" s="17">
        <v>1.972</v>
      </c>
      <c r="T22" s="22">
        <f t="shared" si="2"/>
        <v>1.98</v>
      </c>
      <c r="U22" s="17">
        <v>1.9139999999999999</v>
      </c>
      <c r="V22" s="17">
        <v>1.895</v>
      </c>
      <c r="W22" s="22">
        <f t="shared" si="3"/>
        <v>1.905</v>
      </c>
      <c r="X22" s="17">
        <v>3.3000000000000002E-2</v>
      </c>
      <c r="Y22" s="17">
        <v>3.3000000000000002E-2</v>
      </c>
      <c r="Z22" s="21">
        <f t="shared" si="4"/>
        <v>3.3000000000000002E-2</v>
      </c>
      <c r="AA22" s="19">
        <v>1.3260000000000001</v>
      </c>
      <c r="AB22" s="19">
        <v>1.327</v>
      </c>
      <c r="AC22" s="21">
        <f t="shared" si="5"/>
        <v>1.327</v>
      </c>
      <c r="AD22" s="19">
        <v>0.10299999999999999</v>
      </c>
      <c r="AE22" s="19">
        <v>0.10199999999999999</v>
      </c>
      <c r="AF22" s="21">
        <f t="shared" si="6"/>
        <v>0.10299999999999999</v>
      </c>
      <c r="AG22" s="19">
        <v>6.8000000000000005E-2</v>
      </c>
      <c r="AH22" s="19">
        <v>6.9000000000000006E-2</v>
      </c>
      <c r="AI22" s="21">
        <f t="shared" si="7"/>
        <v>6.9000000000000006E-2</v>
      </c>
      <c r="AJ22" s="19">
        <v>6.6000000000000003E-2</v>
      </c>
      <c r="AK22" s="19">
        <v>6.8000000000000005E-2</v>
      </c>
      <c r="AL22" s="21">
        <f t="shared" si="8"/>
        <v>6.7000000000000004E-2</v>
      </c>
      <c r="AM22" s="19">
        <v>11.935</v>
      </c>
      <c r="AN22" s="19">
        <v>11.891999999999999</v>
      </c>
      <c r="AO22" s="21">
        <f t="shared" si="9"/>
        <v>11.914</v>
      </c>
      <c r="AP22" s="46">
        <v>3.5299999999999998E-2</v>
      </c>
      <c r="AQ22" s="46">
        <v>3.6299999999999999E-2</v>
      </c>
      <c r="AR22" s="45">
        <f t="shared" si="10"/>
        <v>3.5799999999999998E-2</v>
      </c>
    </row>
    <row r="23" spans="1:44">
      <c r="A23" s="7" t="s">
        <v>18</v>
      </c>
      <c r="B23" s="5" t="s">
        <v>109</v>
      </c>
      <c r="C23" s="6" t="s">
        <v>77</v>
      </c>
      <c r="D23" s="6" t="s">
        <v>36</v>
      </c>
      <c r="E23" s="23">
        <v>15.7</v>
      </c>
      <c r="F23" s="23">
        <v>7.2</v>
      </c>
      <c r="G23" s="41">
        <v>219</v>
      </c>
      <c r="H23" s="24">
        <v>11</v>
      </c>
      <c r="I23" s="23">
        <v>0.4</v>
      </c>
      <c r="J23" s="23">
        <v>3.1</v>
      </c>
      <c r="K23" s="15">
        <v>2.2999999999999998</v>
      </c>
      <c r="L23" s="15">
        <v>2.2999999999999998</v>
      </c>
      <c r="M23" s="15"/>
      <c r="N23" s="20">
        <f t="shared" si="0"/>
        <v>2.2999999999999998</v>
      </c>
      <c r="O23" s="37">
        <v>1.9</v>
      </c>
      <c r="P23" s="37">
        <v>2.1</v>
      </c>
      <c r="Q23" s="38">
        <f t="shared" si="1"/>
        <v>2</v>
      </c>
      <c r="R23" s="17">
        <v>2.5139999999999998</v>
      </c>
      <c r="S23" s="17">
        <v>2.4820000000000002</v>
      </c>
      <c r="T23" s="22">
        <f t="shared" si="2"/>
        <v>2.4980000000000002</v>
      </c>
      <c r="U23" s="17">
        <v>2.415</v>
      </c>
      <c r="V23" s="17">
        <v>2.3969999999999998</v>
      </c>
      <c r="W23" s="22">
        <f t="shared" si="3"/>
        <v>2.4060000000000001</v>
      </c>
      <c r="X23" s="17">
        <v>6.4000000000000001E-2</v>
      </c>
      <c r="Y23" s="17">
        <v>6.5000000000000002E-2</v>
      </c>
      <c r="Z23" s="21">
        <f t="shared" si="4"/>
        <v>6.5000000000000002E-2</v>
      </c>
      <c r="AA23" s="19">
        <v>1.6759999999999999</v>
      </c>
      <c r="AB23" s="19">
        <v>1.677</v>
      </c>
      <c r="AC23" s="21">
        <f t="shared" si="5"/>
        <v>1.677</v>
      </c>
      <c r="AD23" s="19">
        <v>8.1000000000000003E-2</v>
      </c>
      <c r="AE23" s="19">
        <v>8.7999999999999995E-2</v>
      </c>
      <c r="AF23" s="21">
        <f t="shared" si="6"/>
        <v>8.5000000000000006E-2</v>
      </c>
      <c r="AG23" s="19">
        <v>5.6000000000000001E-2</v>
      </c>
      <c r="AH23" s="19">
        <v>6.0999999999999999E-2</v>
      </c>
      <c r="AI23" s="21">
        <f t="shared" si="7"/>
        <v>5.8999999999999997E-2</v>
      </c>
      <c r="AJ23" s="19">
        <v>5.5E-2</v>
      </c>
      <c r="AK23" s="19">
        <v>5.8999999999999997E-2</v>
      </c>
      <c r="AL23" s="21">
        <f t="shared" si="8"/>
        <v>5.7000000000000002E-2</v>
      </c>
      <c r="AM23" s="19">
        <v>12.375999999999999</v>
      </c>
      <c r="AN23" s="19">
        <v>12.335000000000001</v>
      </c>
      <c r="AO23" s="21">
        <f t="shared" si="9"/>
        <v>12.356</v>
      </c>
      <c r="AP23" s="46">
        <v>4.7600000000000003E-2</v>
      </c>
      <c r="AQ23" s="46">
        <v>4.7E-2</v>
      </c>
      <c r="AR23" s="45">
        <f t="shared" si="10"/>
        <v>4.7300000000000002E-2</v>
      </c>
    </row>
    <row r="24" spans="1:44">
      <c r="A24" s="7" t="s">
        <v>19</v>
      </c>
      <c r="B24" s="5" t="s">
        <v>78</v>
      </c>
      <c r="C24" s="6" t="s">
        <v>44</v>
      </c>
      <c r="D24" s="6" t="s">
        <v>79</v>
      </c>
      <c r="E24" s="23">
        <v>16.100000000000001</v>
      </c>
      <c r="F24" s="23">
        <v>8</v>
      </c>
      <c r="G24" s="41">
        <v>235</v>
      </c>
      <c r="H24" s="24">
        <v>11.6</v>
      </c>
      <c r="I24" s="23">
        <v>0.6</v>
      </c>
      <c r="J24" s="23">
        <v>2.9</v>
      </c>
      <c r="K24" s="15">
        <v>2.5</v>
      </c>
      <c r="L24" s="15">
        <v>2.8</v>
      </c>
      <c r="M24" s="15"/>
      <c r="N24" s="20">
        <f t="shared" si="0"/>
        <v>2.7</v>
      </c>
      <c r="O24" s="37">
        <v>2</v>
      </c>
      <c r="P24" s="37">
        <v>1.9</v>
      </c>
      <c r="Q24" s="38">
        <f t="shared" si="1"/>
        <v>2</v>
      </c>
      <c r="R24" s="17">
        <v>1.7310000000000001</v>
      </c>
      <c r="S24" s="17">
        <v>1.6870000000000001</v>
      </c>
      <c r="T24" s="22">
        <f t="shared" si="2"/>
        <v>1.7090000000000001</v>
      </c>
      <c r="U24" s="17">
        <v>1.647</v>
      </c>
      <c r="V24" s="17">
        <v>1.6379999999999999</v>
      </c>
      <c r="W24" s="22">
        <f t="shared" si="3"/>
        <v>1.643</v>
      </c>
      <c r="X24" s="17">
        <v>1.7000000000000001E-2</v>
      </c>
      <c r="Y24" s="17">
        <v>1.7000000000000001E-2</v>
      </c>
      <c r="Z24" s="21">
        <f t="shared" si="4"/>
        <v>1.7000000000000001E-2</v>
      </c>
      <c r="AA24" s="19">
        <v>1.0980000000000001</v>
      </c>
      <c r="AB24" s="19">
        <v>1.0940000000000001</v>
      </c>
      <c r="AC24" s="21">
        <f t="shared" si="5"/>
        <v>1.0960000000000001</v>
      </c>
      <c r="AD24" s="19">
        <v>3.7999999999999999E-2</v>
      </c>
      <c r="AE24" s="19">
        <v>4.2000000000000003E-2</v>
      </c>
      <c r="AF24" s="21">
        <f t="shared" si="6"/>
        <v>0.04</v>
      </c>
      <c r="AG24" s="19">
        <v>2.5999999999999999E-2</v>
      </c>
      <c r="AH24" s="19">
        <v>2.4E-2</v>
      </c>
      <c r="AI24" s="21">
        <f t="shared" si="7"/>
        <v>2.5000000000000001E-2</v>
      </c>
      <c r="AJ24" s="19">
        <v>0.02</v>
      </c>
      <c r="AK24" s="19">
        <v>1.9E-2</v>
      </c>
      <c r="AL24" s="21">
        <f t="shared" si="8"/>
        <v>0.02</v>
      </c>
      <c r="AM24" s="19">
        <v>24.965</v>
      </c>
      <c r="AN24" s="19">
        <v>24.891999999999999</v>
      </c>
      <c r="AO24" s="21">
        <f t="shared" si="9"/>
        <v>24.928999999999998</v>
      </c>
      <c r="AP24" s="46">
        <v>4.24E-2</v>
      </c>
      <c r="AQ24" s="46">
        <v>4.2299999999999997E-2</v>
      </c>
      <c r="AR24" s="45">
        <f t="shared" si="10"/>
        <v>4.24E-2</v>
      </c>
    </row>
    <row r="25" spans="1:44">
      <c r="A25" s="7" t="s">
        <v>20</v>
      </c>
      <c r="B25" s="5" t="s">
        <v>80</v>
      </c>
      <c r="C25" s="6" t="s">
        <v>81</v>
      </c>
      <c r="D25" s="6" t="s">
        <v>36</v>
      </c>
      <c r="E25" s="23">
        <v>15.8</v>
      </c>
      <c r="F25" s="23">
        <v>7.8</v>
      </c>
      <c r="G25" s="41">
        <v>207</v>
      </c>
      <c r="H25" s="24">
        <v>11.1</v>
      </c>
      <c r="I25" s="23">
        <v>0.7</v>
      </c>
      <c r="J25" s="23">
        <v>2.6</v>
      </c>
      <c r="K25" s="15">
        <v>2.4</v>
      </c>
      <c r="L25" s="15">
        <v>2.2000000000000002</v>
      </c>
      <c r="M25" s="15"/>
      <c r="N25" s="20">
        <f t="shared" si="0"/>
        <v>2.2999999999999998</v>
      </c>
      <c r="O25" s="37">
        <v>1.9</v>
      </c>
      <c r="P25" s="37">
        <v>1.8</v>
      </c>
      <c r="Q25" s="38">
        <f t="shared" si="1"/>
        <v>1.9</v>
      </c>
      <c r="R25" s="17">
        <v>2.464</v>
      </c>
      <c r="S25" s="17">
        <v>2.444</v>
      </c>
      <c r="T25" s="22">
        <f t="shared" si="2"/>
        <v>2.4540000000000002</v>
      </c>
      <c r="U25" s="17">
        <v>2.351</v>
      </c>
      <c r="V25" s="17">
        <v>2.3559999999999999</v>
      </c>
      <c r="W25" s="22">
        <f t="shared" si="3"/>
        <v>2.3540000000000001</v>
      </c>
      <c r="X25" s="17">
        <v>2.8000000000000001E-2</v>
      </c>
      <c r="Y25" s="17">
        <v>2.5999999999999999E-2</v>
      </c>
      <c r="Z25" s="21">
        <f t="shared" si="4"/>
        <v>2.7E-2</v>
      </c>
      <c r="AA25" s="19">
        <v>1.659</v>
      </c>
      <c r="AB25" s="19">
        <v>1.651</v>
      </c>
      <c r="AC25" s="21">
        <f t="shared" si="5"/>
        <v>1.655</v>
      </c>
      <c r="AD25" s="19">
        <v>9.1999999999999998E-2</v>
      </c>
      <c r="AE25" s="19">
        <v>0.10199999999999999</v>
      </c>
      <c r="AF25" s="21">
        <f t="shared" si="6"/>
        <v>9.7000000000000003E-2</v>
      </c>
      <c r="AG25" s="19">
        <v>6.7000000000000004E-2</v>
      </c>
      <c r="AH25" s="19">
        <v>6.8000000000000005E-2</v>
      </c>
      <c r="AI25" s="21">
        <f t="shared" si="7"/>
        <v>6.8000000000000005E-2</v>
      </c>
      <c r="AJ25" s="19">
        <v>6.6000000000000003E-2</v>
      </c>
      <c r="AK25" s="19">
        <v>6.6000000000000003E-2</v>
      </c>
      <c r="AL25" s="21">
        <f t="shared" si="8"/>
        <v>6.6000000000000003E-2</v>
      </c>
      <c r="AM25" s="19">
        <v>11.534000000000001</v>
      </c>
      <c r="AN25" s="19">
        <v>11.494</v>
      </c>
      <c r="AO25" s="21">
        <f t="shared" si="9"/>
        <v>11.513999999999999</v>
      </c>
      <c r="AP25" s="46">
        <v>4.3499999999999997E-2</v>
      </c>
      <c r="AQ25" s="46">
        <v>4.3499999999999997E-2</v>
      </c>
      <c r="AR25" s="45">
        <f t="shared" si="10"/>
        <v>4.3499999999999997E-2</v>
      </c>
    </row>
    <row r="26" spans="1:44">
      <c r="A26" s="7" t="s">
        <v>21</v>
      </c>
      <c r="B26" s="5" t="s">
        <v>82</v>
      </c>
      <c r="C26" s="6" t="s">
        <v>44</v>
      </c>
      <c r="D26" s="6" t="s">
        <v>83</v>
      </c>
      <c r="E26" s="23">
        <v>15.2</v>
      </c>
      <c r="F26" s="23">
        <v>7.4</v>
      </c>
      <c r="G26" s="41">
        <v>234</v>
      </c>
      <c r="H26" s="24">
        <v>11.1</v>
      </c>
      <c r="I26" s="23">
        <v>0.7</v>
      </c>
      <c r="J26" s="23">
        <v>4.4000000000000004</v>
      </c>
      <c r="K26" s="15">
        <v>3.5</v>
      </c>
      <c r="L26" s="15">
        <v>3.3</v>
      </c>
      <c r="M26" s="15"/>
      <c r="N26" s="20">
        <f t="shared" si="0"/>
        <v>3.4</v>
      </c>
      <c r="O26" s="37">
        <v>2.8</v>
      </c>
      <c r="P26" s="37">
        <v>2.7</v>
      </c>
      <c r="Q26" s="38">
        <f t="shared" si="1"/>
        <v>2.8</v>
      </c>
      <c r="R26" s="17">
        <v>4.7930000000000001</v>
      </c>
      <c r="S26" s="17">
        <v>4.7649999999999997</v>
      </c>
      <c r="T26" s="22">
        <f t="shared" si="2"/>
        <v>4.7789999999999999</v>
      </c>
      <c r="U26" s="17">
        <v>4.7240000000000002</v>
      </c>
      <c r="V26" s="17">
        <v>4.7240000000000002</v>
      </c>
      <c r="W26" s="22">
        <f t="shared" si="3"/>
        <v>4.7240000000000002</v>
      </c>
      <c r="X26" s="17">
        <v>0.17</v>
      </c>
      <c r="Y26" s="17">
        <v>0.16600000000000001</v>
      </c>
      <c r="Z26" s="21">
        <f t="shared" si="4"/>
        <v>0.16800000000000001</v>
      </c>
      <c r="AA26" s="19">
        <v>3.3330000000000002</v>
      </c>
      <c r="AB26" s="19">
        <v>3.3239999999999998</v>
      </c>
      <c r="AC26" s="21">
        <f t="shared" si="5"/>
        <v>3.3290000000000002</v>
      </c>
      <c r="AD26" s="19">
        <v>0.32600000000000001</v>
      </c>
      <c r="AE26" s="19">
        <v>0.33300000000000002</v>
      </c>
      <c r="AF26" s="21">
        <f t="shared" si="6"/>
        <v>0.33</v>
      </c>
      <c r="AG26" s="19">
        <v>0.251</v>
      </c>
      <c r="AH26" s="19">
        <v>0.255</v>
      </c>
      <c r="AI26" s="21">
        <f t="shared" si="7"/>
        <v>0.253</v>
      </c>
      <c r="AJ26" s="19">
        <v>0.249</v>
      </c>
      <c r="AK26" s="19">
        <v>0.251</v>
      </c>
      <c r="AL26" s="21">
        <f t="shared" si="8"/>
        <v>0.25</v>
      </c>
      <c r="AM26" s="19">
        <v>12.359</v>
      </c>
      <c r="AN26" s="19">
        <v>12.303000000000001</v>
      </c>
      <c r="AO26" s="21">
        <f t="shared" si="9"/>
        <v>12.331</v>
      </c>
      <c r="AP26" s="46">
        <v>7.3099999999999998E-2</v>
      </c>
      <c r="AQ26" s="46">
        <v>7.3899999999999993E-2</v>
      </c>
      <c r="AR26" s="45">
        <f t="shared" si="10"/>
        <v>7.3499999999999996E-2</v>
      </c>
    </row>
    <row r="27" spans="1:44">
      <c r="A27" s="7" t="s">
        <v>22</v>
      </c>
      <c r="B27" s="5" t="s">
        <v>84</v>
      </c>
      <c r="C27" s="6" t="s">
        <v>85</v>
      </c>
      <c r="D27" s="6" t="s">
        <v>36</v>
      </c>
      <c r="E27" s="23">
        <v>15.2</v>
      </c>
      <c r="F27" s="23">
        <v>7.6</v>
      </c>
      <c r="G27" s="41">
        <v>212</v>
      </c>
      <c r="H27" s="24">
        <v>11.9</v>
      </c>
      <c r="I27" s="23">
        <v>0.6</v>
      </c>
      <c r="J27" s="23">
        <v>2.7</v>
      </c>
      <c r="K27" s="15">
        <v>2.2000000000000002</v>
      </c>
      <c r="L27" s="15">
        <v>2.1</v>
      </c>
      <c r="M27" s="15"/>
      <c r="N27" s="20">
        <f t="shared" si="0"/>
        <v>2.2000000000000002</v>
      </c>
      <c r="O27" s="37">
        <v>1.8</v>
      </c>
      <c r="P27" s="37">
        <v>1.7</v>
      </c>
      <c r="Q27" s="38">
        <f t="shared" si="1"/>
        <v>1.8</v>
      </c>
      <c r="R27" s="17">
        <v>2.7010000000000001</v>
      </c>
      <c r="S27" s="17">
        <v>2.67</v>
      </c>
      <c r="T27" s="22">
        <f t="shared" si="2"/>
        <v>2.6859999999999999</v>
      </c>
      <c r="U27" s="17">
        <v>2.605</v>
      </c>
      <c r="V27" s="17">
        <v>2.5659999999999998</v>
      </c>
      <c r="W27" s="22">
        <f t="shared" si="3"/>
        <v>2.5859999999999999</v>
      </c>
      <c r="X27" s="17">
        <v>2.5999999999999999E-2</v>
      </c>
      <c r="Y27" s="17">
        <v>2.5999999999999999E-2</v>
      </c>
      <c r="Z27" s="21">
        <f t="shared" si="4"/>
        <v>2.5999999999999999E-2</v>
      </c>
      <c r="AA27" s="19">
        <v>1.835</v>
      </c>
      <c r="AB27" s="19">
        <v>1.8340000000000001</v>
      </c>
      <c r="AC27" s="21">
        <f t="shared" si="5"/>
        <v>1.835</v>
      </c>
      <c r="AD27" s="19">
        <v>0.127</v>
      </c>
      <c r="AE27" s="19">
        <v>0.13500000000000001</v>
      </c>
      <c r="AF27" s="21">
        <f t="shared" si="6"/>
        <v>0.13100000000000001</v>
      </c>
      <c r="AG27" s="19">
        <v>0.10199999999999999</v>
      </c>
      <c r="AH27" s="19">
        <v>9.8000000000000004E-2</v>
      </c>
      <c r="AI27" s="21">
        <f t="shared" si="7"/>
        <v>0.1</v>
      </c>
      <c r="AJ27" s="19">
        <v>9.9000000000000005E-2</v>
      </c>
      <c r="AK27" s="19">
        <v>9.7000000000000003E-2</v>
      </c>
      <c r="AL27" s="21">
        <f t="shared" si="8"/>
        <v>9.8000000000000004E-2</v>
      </c>
      <c r="AM27" s="19">
        <v>11.72</v>
      </c>
      <c r="AN27" s="19">
        <v>11.680999999999999</v>
      </c>
      <c r="AO27" s="21">
        <f t="shared" si="9"/>
        <v>11.701000000000001</v>
      </c>
      <c r="AP27" s="46">
        <v>4.3799999999999999E-2</v>
      </c>
      <c r="AQ27" s="46">
        <v>4.4299999999999999E-2</v>
      </c>
      <c r="AR27" s="45">
        <f t="shared" si="10"/>
        <v>4.41E-2</v>
      </c>
    </row>
    <row r="28" spans="1:44">
      <c r="A28" s="7" t="s">
        <v>23</v>
      </c>
      <c r="B28" s="5" t="s">
        <v>86</v>
      </c>
      <c r="C28" s="6" t="s">
        <v>87</v>
      </c>
      <c r="D28" s="6" t="s">
        <v>88</v>
      </c>
      <c r="E28" s="23">
        <v>14.9</v>
      </c>
      <c r="F28" s="23">
        <v>7.2</v>
      </c>
      <c r="G28" s="41">
        <v>176</v>
      </c>
      <c r="H28" s="24">
        <v>9.8000000000000007</v>
      </c>
      <c r="I28" s="23">
        <v>0.6</v>
      </c>
      <c r="J28" s="23">
        <v>3.7</v>
      </c>
      <c r="K28" s="15">
        <v>3.1</v>
      </c>
      <c r="L28" s="15">
        <v>2.8</v>
      </c>
      <c r="M28" s="15"/>
      <c r="N28" s="20">
        <f t="shared" si="0"/>
        <v>3</v>
      </c>
      <c r="O28" s="37">
        <v>2.4</v>
      </c>
      <c r="P28" s="37">
        <v>2.2999999999999998</v>
      </c>
      <c r="Q28" s="38">
        <f t="shared" si="1"/>
        <v>2.4</v>
      </c>
      <c r="R28" s="17">
        <v>2.2989999999999999</v>
      </c>
      <c r="S28" s="17">
        <v>2.2690000000000001</v>
      </c>
      <c r="T28" s="22">
        <f t="shared" si="2"/>
        <v>2.2839999999999998</v>
      </c>
      <c r="U28" s="17">
        <v>2.1989999999999998</v>
      </c>
      <c r="V28" s="17">
        <v>2.1949999999999998</v>
      </c>
      <c r="W28" s="22">
        <f t="shared" si="3"/>
        <v>2.1970000000000001</v>
      </c>
      <c r="X28" s="17">
        <v>1.6E-2</v>
      </c>
      <c r="Y28" s="17">
        <v>1.4999999999999999E-2</v>
      </c>
      <c r="Z28" s="21">
        <f t="shared" si="4"/>
        <v>1.6E-2</v>
      </c>
      <c r="AA28" s="19">
        <v>1.5189999999999999</v>
      </c>
      <c r="AB28" s="19">
        <v>1.506</v>
      </c>
      <c r="AC28" s="21">
        <f t="shared" si="5"/>
        <v>1.5129999999999999</v>
      </c>
      <c r="AD28" s="19">
        <v>0.14799999999999999</v>
      </c>
      <c r="AE28" s="19">
        <v>0.153</v>
      </c>
      <c r="AF28" s="21">
        <f t="shared" si="6"/>
        <v>0.151</v>
      </c>
      <c r="AG28" s="19">
        <v>0.114</v>
      </c>
      <c r="AH28" s="19">
        <v>0.11600000000000001</v>
      </c>
      <c r="AI28" s="21">
        <f t="shared" si="7"/>
        <v>0.115</v>
      </c>
      <c r="AJ28" s="19">
        <v>0.112</v>
      </c>
      <c r="AK28" s="19">
        <v>0.113</v>
      </c>
      <c r="AL28" s="21">
        <f t="shared" si="8"/>
        <v>0.113</v>
      </c>
      <c r="AM28" s="19">
        <v>9.1980000000000004</v>
      </c>
      <c r="AN28" s="19">
        <v>9.16</v>
      </c>
      <c r="AO28" s="21">
        <f t="shared" si="9"/>
        <v>9.1790000000000003</v>
      </c>
      <c r="AP28" s="46">
        <v>6.1800000000000001E-2</v>
      </c>
      <c r="AQ28" s="46">
        <v>6.2100000000000002E-2</v>
      </c>
      <c r="AR28" s="45">
        <f t="shared" si="10"/>
        <v>6.2E-2</v>
      </c>
    </row>
    <row r="29" spans="1:44">
      <c r="A29" s="7" t="s">
        <v>24</v>
      </c>
      <c r="B29" s="5" t="s">
        <v>89</v>
      </c>
      <c r="C29" s="6" t="s">
        <v>42</v>
      </c>
      <c r="D29" s="6" t="s">
        <v>36</v>
      </c>
      <c r="E29" s="23">
        <v>15.4</v>
      </c>
      <c r="F29" s="23">
        <v>7.7</v>
      </c>
      <c r="G29" s="41">
        <v>213</v>
      </c>
      <c r="H29" s="24">
        <v>11.2</v>
      </c>
      <c r="I29" s="23">
        <v>0.6</v>
      </c>
      <c r="J29" s="23">
        <v>2.7</v>
      </c>
      <c r="K29" s="15">
        <v>2.2000000000000002</v>
      </c>
      <c r="L29" s="15">
        <v>2.1</v>
      </c>
      <c r="M29" s="15"/>
      <c r="N29" s="20">
        <f t="shared" si="0"/>
        <v>2.2000000000000002</v>
      </c>
      <c r="O29" s="37">
        <v>1.8</v>
      </c>
      <c r="P29" s="37">
        <v>1.8</v>
      </c>
      <c r="Q29" s="38">
        <f t="shared" si="1"/>
        <v>1.8</v>
      </c>
      <c r="R29" s="17">
        <v>2.5489999999999999</v>
      </c>
      <c r="S29" s="17">
        <v>2.5219999999999998</v>
      </c>
      <c r="T29" s="22">
        <f t="shared" si="2"/>
        <v>2.536</v>
      </c>
      <c r="U29" s="17">
        <v>2.472</v>
      </c>
      <c r="V29" s="17">
        <v>2.464</v>
      </c>
      <c r="W29" s="22">
        <f t="shared" si="3"/>
        <v>2.468</v>
      </c>
      <c r="X29" s="17">
        <v>2.1999999999999999E-2</v>
      </c>
      <c r="Y29" s="17">
        <v>2.3E-2</v>
      </c>
      <c r="Z29" s="21">
        <f t="shared" si="4"/>
        <v>2.3E-2</v>
      </c>
      <c r="AA29" s="19">
        <v>1.736</v>
      </c>
      <c r="AB29" s="19">
        <v>1.7310000000000001</v>
      </c>
      <c r="AC29" s="21">
        <f t="shared" si="5"/>
        <v>1.734</v>
      </c>
      <c r="AD29" s="19">
        <v>0.10199999999999999</v>
      </c>
      <c r="AE29" s="19">
        <v>0.108</v>
      </c>
      <c r="AF29" s="21">
        <f t="shared" si="6"/>
        <v>0.105</v>
      </c>
      <c r="AG29" s="19">
        <v>7.8E-2</v>
      </c>
      <c r="AH29" s="19">
        <v>7.6999999999999999E-2</v>
      </c>
      <c r="AI29" s="21">
        <f t="shared" si="7"/>
        <v>7.8E-2</v>
      </c>
      <c r="AJ29" s="19">
        <v>7.6999999999999999E-2</v>
      </c>
      <c r="AK29" s="19">
        <v>7.5999999999999998E-2</v>
      </c>
      <c r="AL29" s="21">
        <f t="shared" si="8"/>
        <v>7.6999999999999999E-2</v>
      </c>
      <c r="AM29" s="19">
        <v>11.859</v>
      </c>
      <c r="AN29" s="19">
        <v>11.808</v>
      </c>
      <c r="AO29" s="21">
        <f t="shared" si="9"/>
        <v>11.834</v>
      </c>
      <c r="AP29" s="46">
        <v>4.4499999999999998E-2</v>
      </c>
      <c r="AQ29" s="46">
        <v>4.3799999999999999E-2</v>
      </c>
      <c r="AR29" s="45">
        <f t="shared" si="10"/>
        <v>4.4200000000000003E-2</v>
      </c>
    </row>
    <row r="30" spans="1:44">
      <c r="A30" s="7" t="s">
        <v>25</v>
      </c>
      <c r="B30" s="5" t="s">
        <v>90</v>
      </c>
      <c r="C30" s="6" t="s">
        <v>44</v>
      </c>
      <c r="D30" s="6" t="s">
        <v>91</v>
      </c>
      <c r="E30" s="23">
        <v>14.8</v>
      </c>
      <c r="F30" s="23">
        <v>7.4</v>
      </c>
      <c r="G30" s="41">
        <v>282</v>
      </c>
      <c r="H30" s="24">
        <v>9.6</v>
      </c>
      <c r="I30" s="23">
        <v>0.5</v>
      </c>
      <c r="J30" s="23">
        <v>2.9</v>
      </c>
      <c r="K30" s="15">
        <v>2.4</v>
      </c>
      <c r="L30" s="15">
        <v>2.2000000000000002</v>
      </c>
      <c r="M30" s="15"/>
      <c r="N30" s="20">
        <f t="shared" si="0"/>
        <v>2.2999999999999998</v>
      </c>
      <c r="O30" s="37">
        <v>1.9</v>
      </c>
      <c r="P30" s="37">
        <v>1.8</v>
      </c>
      <c r="Q30" s="38">
        <f t="shared" si="1"/>
        <v>1.9</v>
      </c>
      <c r="R30" s="17">
        <v>3.83</v>
      </c>
      <c r="S30" s="17">
        <v>3.7759999999999998</v>
      </c>
      <c r="T30" s="22">
        <f t="shared" si="2"/>
        <v>3.8029999999999999</v>
      </c>
      <c r="U30" s="17">
        <v>3.66</v>
      </c>
      <c r="V30" s="17">
        <v>3.7109999999999999</v>
      </c>
      <c r="W30" s="22">
        <f t="shared" si="3"/>
        <v>3.6859999999999999</v>
      </c>
      <c r="X30" s="17">
        <v>3.1E-2</v>
      </c>
      <c r="Y30" s="17">
        <v>0.03</v>
      </c>
      <c r="Z30" s="21">
        <f t="shared" si="4"/>
        <v>3.1E-2</v>
      </c>
      <c r="AA30" s="19">
        <v>2.7360000000000002</v>
      </c>
      <c r="AB30" s="19">
        <v>2.7120000000000002</v>
      </c>
      <c r="AC30" s="21">
        <f t="shared" si="5"/>
        <v>2.7240000000000002</v>
      </c>
      <c r="AD30" s="19">
        <v>5.8999999999999997E-2</v>
      </c>
      <c r="AE30" s="19">
        <v>5.7000000000000002E-2</v>
      </c>
      <c r="AF30" s="21">
        <f t="shared" si="6"/>
        <v>5.8000000000000003E-2</v>
      </c>
      <c r="AG30" s="19">
        <v>0.04</v>
      </c>
      <c r="AH30" s="19">
        <v>3.9E-2</v>
      </c>
      <c r="AI30" s="21">
        <f t="shared" si="7"/>
        <v>0.04</v>
      </c>
      <c r="AJ30" s="19">
        <v>3.7999999999999999E-2</v>
      </c>
      <c r="AK30" s="19">
        <v>3.5000000000000003E-2</v>
      </c>
      <c r="AL30" s="21">
        <f t="shared" si="8"/>
        <v>3.6999999999999998E-2</v>
      </c>
      <c r="AM30" s="19">
        <v>14.756</v>
      </c>
      <c r="AN30" s="19">
        <v>14.705</v>
      </c>
      <c r="AO30" s="21">
        <f t="shared" si="9"/>
        <v>14.731</v>
      </c>
      <c r="AP30" s="46">
        <v>4.4900000000000002E-2</v>
      </c>
      <c r="AQ30" s="46">
        <v>4.4999999999999998E-2</v>
      </c>
      <c r="AR30" s="45">
        <f t="shared" si="10"/>
        <v>4.4999999999999998E-2</v>
      </c>
    </row>
    <row r="31" spans="1:44">
      <c r="A31" s="7" t="s">
        <v>26</v>
      </c>
      <c r="B31" s="5" t="s">
        <v>92</v>
      </c>
      <c r="C31" s="6" t="s">
        <v>93</v>
      </c>
      <c r="D31" s="6" t="s">
        <v>36</v>
      </c>
      <c r="E31" s="23">
        <v>14.6</v>
      </c>
      <c r="F31" s="23">
        <v>7.6</v>
      </c>
      <c r="G31" s="41">
        <v>190</v>
      </c>
      <c r="H31" s="24">
        <v>10.4</v>
      </c>
      <c r="I31" s="23">
        <v>0.9</v>
      </c>
      <c r="J31" s="23">
        <v>3.1</v>
      </c>
      <c r="K31" s="15">
        <v>2.6</v>
      </c>
      <c r="L31" s="15">
        <v>2.4</v>
      </c>
      <c r="M31" s="15"/>
      <c r="N31" s="20">
        <f t="shared" si="0"/>
        <v>2.5</v>
      </c>
      <c r="O31" s="37">
        <v>2</v>
      </c>
      <c r="P31" s="37">
        <v>1.8</v>
      </c>
      <c r="Q31" s="38">
        <f t="shared" si="1"/>
        <v>1.9</v>
      </c>
      <c r="R31" s="17">
        <v>2.2970000000000002</v>
      </c>
      <c r="S31" s="17">
        <v>2.2829999999999999</v>
      </c>
      <c r="T31" s="22">
        <f t="shared" si="2"/>
        <v>2.29</v>
      </c>
      <c r="U31" s="17">
        <v>2.1760000000000002</v>
      </c>
      <c r="V31" s="17">
        <v>2.1389999999999998</v>
      </c>
      <c r="W31" s="22">
        <f t="shared" si="3"/>
        <v>2.1579999999999999</v>
      </c>
      <c r="X31" s="17">
        <v>0.02</v>
      </c>
      <c r="Y31" s="17">
        <v>0.02</v>
      </c>
      <c r="Z31" s="21">
        <f t="shared" si="4"/>
        <v>0.02</v>
      </c>
      <c r="AA31" s="19">
        <v>1.5009999999999999</v>
      </c>
      <c r="AB31" s="19">
        <v>1.494</v>
      </c>
      <c r="AC31" s="21">
        <f t="shared" si="5"/>
        <v>1.498</v>
      </c>
      <c r="AD31" s="19">
        <v>0.1</v>
      </c>
      <c r="AE31" s="19">
        <v>0.109</v>
      </c>
      <c r="AF31" s="21">
        <f t="shared" si="6"/>
        <v>0.105</v>
      </c>
      <c r="AG31" s="19">
        <v>7.2999999999999995E-2</v>
      </c>
      <c r="AH31" s="19">
        <v>7.3999999999999996E-2</v>
      </c>
      <c r="AI31" s="21">
        <f t="shared" si="7"/>
        <v>7.3999999999999996E-2</v>
      </c>
      <c r="AJ31" s="19">
        <v>7.1999999999999995E-2</v>
      </c>
      <c r="AK31" s="19">
        <v>7.1999999999999995E-2</v>
      </c>
      <c r="AL31" s="21">
        <f t="shared" si="8"/>
        <v>7.1999999999999995E-2</v>
      </c>
      <c r="AM31" s="19">
        <v>10.688000000000001</v>
      </c>
      <c r="AN31" s="19">
        <v>10.664999999999999</v>
      </c>
      <c r="AO31" s="21">
        <f t="shared" si="9"/>
        <v>10.677</v>
      </c>
      <c r="AP31" s="46">
        <v>4.8800000000000003E-2</v>
      </c>
      <c r="AQ31" s="46">
        <v>4.8800000000000003E-2</v>
      </c>
      <c r="AR31" s="45">
        <f t="shared" si="10"/>
        <v>4.8800000000000003E-2</v>
      </c>
    </row>
    <row r="32" spans="1:44">
      <c r="A32" s="7" t="s">
        <v>27</v>
      </c>
      <c r="B32" s="5" t="s">
        <v>94</v>
      </c>
      <c r="C32" s="6" t="s">
        <v>95</v>
      </c>
      <c r="D32" s="6" t="s">
        <v>96</v>
      </c>
      <c r="E32" s="23">
        <v>17.3</v>
      </c>
      <c r="F32" s="23">
        <v>7.3</v>
      </c>
      <c r="G32" s="41">
        <v>194</v>
      </c>
      <c r="H32" s="24">
        <v>7.1</v>
      </c>
      <c r="I32" s="23">
        <v>0.2</v>
      </c>
      <c r="J32" s="23">
        <v>1.7</v>
      </c>
      <c r="K32" s="15">
        <v>1.2</v>
      </c>
      <c r="L32" s="15">
        <v>1.2</v>
      </c>
      <c r="M32" s="15"/>
      <c r="N32" s="20">
        <f t="shared" si="0"/>
        <v>1.2</v>
      </c>
      <c r="O32" s="37">
        <v>1</v>
      </c>
      <c r="P32" s="37">
        <v>0.9</v>
      </c>
      <c r="Q32" s="38">
        <f t="shared" si="1"/>
        <v>1</v>
      </c>
      <c r="R32" s="17">
        <v>2.9860000000000002</v>
      </c>
      <c r="S32" s="17">
        <v>2.948</v>
      </c>
      <c r="T32" s="22">
        <f t="shared" si="2"/>
        <v>2.9670000000000001</v>
      </c>
      <c r="U32" s="17">
        <v>2.9039999999999999</v>
      </c>
      <c r="V32" s="17">
        <v>2.9180000000000001</v>
      </c>
      <c r="W32" s="22">
        <f t="shared" si="3"/>
        <v>2.911</v>
      </c>
      <c r="X32" s="17">
        <v>1.6E-2</v>
      </c>
      <c r="Y32" s="17">
        <v>1.4999999999999999E-2</v>
      </c>
      <c r="Z32" s="21">
        <f t="shared" si="4"/>
        <v>1.6E-2</v>
      </c>
      <c r="AA32" s="19">
        <v>2.1589999999999998</v>
      </c>
      <c r="AB32" s="19">
        <v>2.1520000000000001</v>
      </c>
      <c r="AC32" s="21">
        <f t="shared" si="5"/>
        <v>2.1560000000000001</v>
      </c>
      <c r="AD32" s="19">
        <v>3.4000000000000002E-2</v>
      </c>
      <c r="AE32" s="19">
        <v>3.2000000000000001E-2</v>
      </c>
      <c r="AF32" s="21">
        <f t="shared" si="6"/>
        <v>3.3000000000000002E-2</v>
      </c>
      <c r="AG32" s="19">
        <v>2.4E-2</v>
      </c>
      <c r="AH32" s="19">
        <v>2.1999999999999999E-2</v>
      </c>
      <c r="AI32" s="21">
        <f t="shared" si="7"/>
        <v>2.3E-2</v>
      </c>
      <c r="AJ32" s="19">
        <v>2.1999999999999999E-2</v>
      </c>
      <c r="AK32" s="19">
        <v>2.1000000000000001E-2</v>
      </c>
      <c r="AL32" s="21">
        <f t="shared" si="8"/>
        <v>2.1999999999999999E-2</v>
      </c>
      <c r="AM32" s="19">
        <v>8.7769999999999992</v>
      </c>
      <c r="AN32" s="19">
        <v>8.7420000000000009</v>
      </c>
      <c r="AO32" s="21">
        <f t="shared" si="9"/>
        <v>8.76</v>
      </c>
      <c r="AP32" s="46">
        <v>2.1899999999999999E-2</v>
      </c>
      <c r="AQ32" s="46">
        <v>2.2800000000000001E-2</v>
      </c>
      <c r="AR32" s="45">
        <f t="shared" si="10"/>
        <v>2.24E-2</v>
      </c>
    </row>
    <row r="33" spans="1:44">
      <c r="A33" s="7" t="s">
        <v>28</v>
      </c>
      <c r="B33" s="5" t="s">
        <v>97</v>
      </c>
      <c r="C33" s="6" t="s">
        <v>98</v>
      </c>
      <c r="D33" s="6" t="s">
        <v>36</v>
      </c>
      <c r="E33" s="23">
        <v>15</v>
      </c>
      <c r="F33" s="23">
        <v>7.4</v>
      </c>
      <c r="G33" s="41">
        <v>203</v>
      </c>
      <c r="H33" s="24">
        <v>9.9</v>
      </c>
      <c r="I33" s="23">
        <v>0.6</v>
      </c>
      <c r="J33" s="23">
        <v>3.2</v>
      </c>
      <c r="K33" s="15">
        <v>2.4</v>
      </c>
      <c r="L33" s="15">
        <v>2.2999999999999998</v>
      </c>
      <c r="M33" s="15"/>
      <c r="N33" s="20">
        <f t="shared" si="0"/>
        <v>2.4</v>
      </c>
      <c r="O33" s="37">
        <v>1.9</v>
      </c>
      <c r="P33" s="37">
        <v>1.8</v>
      </c>
      <c r="Q33" s="38">
        <f t="shared" si="1"/>
        <v>1.9</v>
      </c>
      <c r="R33" s="17">
        <v>2.35</v>
      </c>
      <c r="S33" s="17">
        <v>2.3079999999999998</v>
      </c>
      <c r="T33" s="22">
        <f t="shared" si="2"/>
        <v>2.3290000000000002</v>
      </c>
      <c r="U33" s="17">
        <v>2.2130000000000001</v>
      </c>
      <c r="V33" s="17">
        <v>2.2290000000000001</v>
      </c>
      <c r="W33" s="22">
        <f t="shared" si="3"/>
        <v>2.2210000000000001</v>
      </c>
      <c r="X33" s="17">
        <v>1.2999999999999999E-2</v>
      </c>
      <c r="Y33" s="17">
        <v>1.2999999999999999E-2</v>
      </c>
      <c r="Z33" s="21">
        <f t="shared" si="4"/>
        <v>1.2999999999999999E-2</v>
      </c>
      <c r="AA33" s="19">
        <v>1.585</v>
      </c>
      <c r="AB33" s="19">
        <v>1.575</v>
      </c>
      <c r="AC33" s="21">
        <f t="shared" si="5"/>
        <v>1.58</v>
      </c>
      <c r="AD33" s="19">
        <v>9.0999999999999998E-2</v>
      </c>
      <c r="AE33" s="19">
        <v>9.7000000000000003E-2</v>
      </c>
      <c r="AF33" s="21">
        <f t="shared" si="6"/>
        <v>9.4E-2</v>
      </c>
      <c r="AG33" s="19">
        <v>6.2E-2</v>
      </c>
      <c r="AH33" s="19">
        <v>6.7000000000000004E-2</v>
      </c>
      <c r="AI33" s="21">
        <f t="shared" si="7"/>
        <v>6.5000000000000002E-2</v>
      </c>
      <c r="AJ33" s="19">
        <v>6.0999999999999999E-2</v>
      </c>
      <c r="AK33" s="19">
        <v>6.5000000000000002E-2</v>
      </c>
      <c r="AL33" s="21">
        <f t="shared" si="8"/>
        <v>6.3E-2</v>
      </c>
      <c r="AM33" s="19">
        <v>11.077999999999999</v>
      </c>
      <c r="AN33" s="19">
        <v>11.055999999999999</v>
      </c>
      <c r="AO33" s="21">
        <f t="shared" si="9"/>
        <v>11.067</v>
      </c>
      <c r="AP33" s="46">
        <v>4.65E-2</v>
      </c>
      <c r="AQ33" s="46">
        <v>4.6399999999999997E-2</v>
      </c>
      <c r="AR33" s="45">
        <f t="shared" si="10"/>
        <v>4.65E-2</v>
      </c>
    </row>
    <row r="34" spans="1:44">
      <c r="A34" s="7" t="s">
        <v>29</v>
      </c>
      <c r="B34" s="5" t="s">
        <v>99</v>
      </c>
      <c r="C34" s="6" t="s">
        <v>44</v>
      </c>
      <c r="D34" s="6" t="s">
        <v>100</v>
      </c>
      <c r="E34" s="23">
        <v>14.4</v>
      </c>
      <c r="F34" s="23">
        <v>7.3</v>
      </c>
      <c r="G34" s="41">
        <v>147</v>
      </c>
      <c r="H34" s="24">
        <v>8.9</v>
      </c>
      <c r="I34" s="23">
        <v>0.9</v>
      </c>
      <c r="J34" s="23">
        <v>3.5</v>
      </c>
      <c r="K34" s="15">
        <v>2.9</v>
      </c>
      <c r="L34" s="15">
        <v>3</v>
      </c>
      <c r="M34" s="15"/>
      <c r="N34" s="20">
        <f t="shared" si="0"/>
        <v>3</v>
      </c>
      <c r="O34" s="37">
        <v>2.2000000000000002</v>
      </c>
      <c r="P34" s="37">
        <v>2.2999999999999998</v>
      </c>
      <c r="Q34" s="38">
        <f t="shared" si="1"/>
        <v>2.2999999999999998</v>
      </c>
      <c r="R34" s="17">
        <v>5.3550000000000004</v>
      </c>
      <c r="S34" s="17">
        <v>5.3</v>
      </c>
      <c r="T34" s="22">
        <f t="shared" si="2"/>
        <v>5.3280000000000003</v>
      </c>
      <c r="U34" s="17">
        <v>5.2069999999999999</v>
      </c>
      <c r="V34" s="17">
        <v>5.218</v>
      </c>
      <c r="W34" s="22">
        <f t="shared" si="3"/>
        <v>5.2130000000000001</v>
      </c>
      <c r="X34" s="17">
        <v>9.4E-2</v>
      </c>
      <c r="Y34" s="17">
        <v>9.2999999999999999E-2</v>
      </c>
      <c r="Z34" s="21">
        <f t="shared" si="4"/>
        <v>9.4E-2</v>
      </c>
      <c r="AA34" s="19">
        <v>4.0129999999999999</v>
      </c>
      <c r="AB34" s="19">
        <v>4.0199999999999996</v>
      </c>
      <c r="AC34" s="21">
        <f t="shared" si="5"/>
        <v>4.0170000000000003</v>
      </c>
      <c r="AD34" s="19">
        <v>9.5000000000000001E-2</v>
      </c>
      <c r="AE34" s="19">
        <v>0.107</v>
      </c>
      <c r="AF34" s="21">
        <f t="shared" si="6"/>
        <v>0.10100000000000001</v>
      </c>
      <c r="AG34" s="19">
        <v>5.0999999999999997E-2</v>
      </c>
      <c r="AH34" s="19">
        <v>4.7E-2</v>
      </c>
      <c r="AI34" s="21">
        <f t="shared" si="7"/>
        <v>4.9000000000000002E-2</v>
      </c>
      <c r="AJ34" s="19">
        <v>4.7E-2</v>
      </c>
      <c r="AK34" s="19">
        <v>4.4999999999999998E-2</v>
      </c>
      <c r="AL34" s="21">
        <f t="shared" si="8"/>
        <v>4.5999999999999999E-2</v>
      </c>
      <c r="AM34" s="19">
        <v>20.774999999999999</v>
      </c>
      <c r="AN34" s="19">
        <v>20.809000000000001</v>
      </c>
      <c r="AO34" s="21">
        <f t="shared" si="9"/>
        <v>20.792000000000002</v>
      </c>
      <c r="AP34" s="46">
        <v>5.45E-2</v>
      </c>
      <c r="AQ34" s="46">
        <v>5.4699999999999999E-2</v>
      </c>
      <c r="AR34" s="45">
        <f t="shared" si="10"/>
        <v>5.4600000000000003E-2</v>
      </c>
    </row>
    <row r="35" spans="1:44">
      <c r="A35" s="7" t="s">
        <v>30</v>
      </c>
      <c r="B35" s="5" t="s">
        <v>101</v>
      </c>
      <c r="C35" s="6" t="s">
        <v>44</v>
      </c>
      <c r="D35" s="6" t="s">
        <v>160</v>
      </c>
      <c r="E35" s="23">
        <v>15.2</v>
      </c>
      <c r="F35" s="23">
        <v>7.2</v>
      </c>
      <c r="G35" s="41">
        <v>333</v>
      </c>
      <c r="H35" s="24">
        <v>10.199999999999999</v>
      </c>
      <c r="I35" s="23">
        <v>1.3</v>
      </c>
      <c r="J35" s="23">
        <v>4.4000000000000004</v>
      </c>
      <c r="K35" s="15">
        <v>3.6</v>
      </c>
      <c r="L35" s="15">
        <v>3.3</v>
      </c>
      <c r="M35" s="15"/>
      <c r="N35" s="20">
        <f t="shared" si="0"/>
        <v>3.5</v>
      </c>
      <c r="O35" s="37">
        <v>2.8</v>
      </c>
      <c r="P35" s="37">
        <v>2.7</v>
      </c>
      <c r="Q35" s="38">
        <f t="shared" si="1"/>
        <v>2.8</v>
      </c>
      <c r="R35" s="17">
        <v>3.7639999999999998</v>
      </c>
      <c r="S35" s="17">
        <v>3.72</v>
      </c>
      <c r="T35" s="22">
        <f t="shared" si="2"/>
        <v>3.742</v>
      </c>
      <c r="U35" s="17">
        <v>3.5880000000000001</v>
      </c>
      <c r="V35" s="17">
        <v>3.621</v>
      </c>
      <c r="W35" s="22">
        <f t="shared" si="3"/>
        <v>3.605</v>
      </c>
      <c r="X35" s="17">
        <v>0.27600000000000002</v>
      </c>
      <c r="Y35" s="17">
        <v>0.27300000000000002</v>
      </c>
      <c r="Z35" s="21">
        <f t="shared" si="4"/>
        <v>0.27500000000000002</v>
      </c>
      <c r="AA35" s="19">
        <v>2.2589999999999999</v>
      </c>
      <c r="AB35" s="19">
        <v>2.262</v>
      </c>
      <c r="AC35" s="21">
        <f t="shared" si="5"/>
        <v>2.2610000000000001</v>
      </c>
      <c r="AD35" s="19">
        <v>0.106</v>
      </c>
      <c r="AE35" s="19">
        <v>0.11600000000000001</v>
      </c>
      <c r="AF35" s="21">
        <f t="shared" si="6"/>
        <v>0.111</v>
      </c>
      <c r="AG35" s="19">
        <v>6.6000000000000003E-2</v>
      </c>
      <c r="AH35" s="19">
        <v>6.8000000000000005E-2</v>
      </c>
      <c r="AI35" s="21">
        <f t="shared" si="7"/>
        <v>6.7000000000000004E-2</v>
      </c>
      <c r="AJ35" s="19">
        <v>6.3E-2</v>
      </c>
      <c r="AK35" s="19">
        <v>6.4000000000000001E-2</v>
      </c>
      <c r="AL35" s="21">
        <f t="shared" si="8"/>
        <v>6.4000000000000001E-2</v>
      </c>
      <c r="AM35" s="19">
        <v>38.814999999999998</v>
      </c>
      <c r="AN35" s="19">
        <v>38.741</v>
      </c>
      <c r="AO35" s="21">
        <f t="shared" si="9"/>
        <v>38.777999999999999</v>
      </c>
      <c r="AP35" s="46">
        <v>6.1699999999999998E-2</v>
      </c>
      <c r="AQ35" s="46">
        <v>6.0600000000000001E-2</v>
      </c>
      <c r="AR35" s="45">
        <f t="shared" si="10"/>
        <v>6.1199999999999997E-2</v>
      </c>
    </row>
    <row r="36" spans="1:44">
      <c r="A36" s="7" t="s">
        <v>31</v>
      </c>
      <c r="B36" s="5" t="s">
        <v>102</v>
      </c>
      <c r="C36" s="6" t="s">
        <v>103</v>
      </c>
      <c r="D36" s="6" t="s">
        <v>36</v>
      </c>
      <c r="E36" s="23">
        <v>15.6</v>
      </c>
      <c r="F36" s="23">
        <v>7.4</v>
      </c>
      <c r="G36" s="41">
        <v>270</v>
      </c>
      <c r="H36" s="24">
        <v>9.6</v>
      </c>
      <c r="I36" s="23">
        <v>0.8</v>
      </c>
      <c r="J36" s="23">
        <v>3.6</v>
      </c>
      <c r="K36" s="15">
        <v>2.7</v>
      </c>
      <c r="L36" s="15">
        <v>3</v>
      </c>
      <c r="M36" s="15"/>
      <c r="N36" s="20">
        <f t="shared" si="0"/>
        <v>2.9</v>
      </c>
      <c r="O36" s="37">
        <v>2.4</v>
      </c>
      <c r="P36" s="37">
        <v>2.2000000000000002</v>
      </c>
      <c r="Q36" s="38">
        <f t="shared" si="1"/>
        <v>2.2999999999999998</v>
      </c>
      <c r="R36" s="17">
        <v>3.19</v>
      </c>
      <c r="S36" s="17">
        <v>3.1219999999999999</v>
      </c>
      <c r="T36" s="22">
        <f t="shared" si="2"/>
        <v>3.1560000000000001</v>
      </c>
      <c r="U36" s="17">
        <v>3.0880000000000001</v>
      </c>
      <c r="V36" s="17">
        <v>3.0950000000000002</v>
      </c>
      <c r="W36" s="22">
        <f t="shared" si="3"/>
        <v>3.0920000000000001</v>
      </c>
      <c r="X36" s="17">
        <v>9.1999999999999998E-2</v>
      </c>
      <c r="Y36" s="17">
        <v>9.0999999999999998E-2</v>
      </c>
      <c r="Z36" s="21">
        <f t="shared" si="4"/>
        <v>9.1999999999999998E-2</v>
      </c>
      <c r="AA36" s="19">
        <v>2.1890000000000001</v>
      </c>
      <c r="AB36" s="19">
        <v>2.173</v>
      </c>
      <c r="AC36" s="21">
        <f t="shared" si="5"/>
        <v>2.181</v>
      </c>
      <c r="AD36" s="19">
        <v>9.4E-2</v>
      </c>
      <c r="AE36" s="19">
        <v>9.8000000000000004E-2</v>
      </c>
      <c r="AF36" s="21">
        <f t="shared" si="6"/>
        <v>9.6000000000000002E-2</v>
      </c>
      <c r="AG36" s="19">
        <v>6.3E-2</v>
      </c>
      <c r="AH36" s="19">
        <v>6.6000000000000003E-2</v>
      </c>
      <c r="AI36" s="21">
        <f t="shared" si="7"/>
        <v>6.5000000000000002E-2</v>
      </c>
      <c r="AJ36" s="19">
        <v>6.0999999999999999E-2</v>
      </c>
      <c r="AK36" s="19">
        <v>6.0999999999999999E-2</v>
      </c>
      <c r="AL36" s="21">
        <f t="shared" si="8"/>
        <v>6.0999999999999999E-2</v>
      </c>
      <c r="AM36" s="19">
        <v>24.276</v>
      </c>
      <c r="AN36" s="19">
        <v>24.219000000000001</v>
      </c>
      <c r="AO36" s="21">
        <f t="shared" si="9"/>
        <v>24.248000000000001</v>
      </c>
      <c r="AP36" s="46">
        <v>5.45E-2</v>
      </c>
      <c r="AQ36" s="46">
        <v>5.4100000000000002E-2</v>
      </c>
      <c r="AR36" s="45">
        <f t="shared" si="10"/>
        <v>5.4300000000000001E-2</v>
      </c>
    </row>
    <row r="37" spans="1:44">
      <c r="A37" s="7" t="s">
        <v>32</v>
      </c>
      <c r="B37" s="5" t="s">
        <v>104</v>
      </c>
      <c r="C37" s="6" t="s">
        <v>44</v>
      </c>
      <c r="D37" s="6" t="s">
        <v>105</v>
      </c>
      <c r="E37" s="23">
        <v>14.8</v>
      </c>
      <c r="F37" s="23">
        <v>7.6</v>
      </c>
      <c r="G37" s="41">
        <v>240</v>
      </c>
      <c r="H37" s="24">
        <v>10.8</v>
      </c>
      <c r="I37" s="23">
        <v>0.7</v>
      </c>
      <c r="J37" s="23">
        <v>3.6</v>
      </c>
      <c r="K37" s="15">
        <v>2.8</v>
      </c>
      <c r="L37" s="15">
        <v>2.6</v>
      </c>
      <c r="M37" s="15"/>
      <c r="N37" s="20">
        <f t="shared" si="0"/>
        <v>2.7</v>
      </c>
      <c r="O37" s="37">
        <v>2.4</v>
      </c>
      <c r="P37" s="37">
        <v>2.2999999999999998</v>
      </c>
      <c r="Q37" s="38">
        <f t="shared" si="1"/>
        <v>2.4</v>
      </c>
      <c r="R37" s="17">
        <v>2.7669999999999999</v>
      </c>
      <c r="S37" s="17">
        <v>2.718</v>
      </c>
      <c r="T37" s="22">
        <f t="shared" si="2"/>
        <v>2.7429999999999999</v>
      </c>
      <c r="U37" s="17">
        <v>2.5910000000000002</v>
      </c>
      <c r="V37" s="17">
        <v>2.5539999999999998</v>
      </c>
      <c r="W37" s="22">
        <f t="shared" si="3"/>
        <v>2.573</v>
      </c>
      <c r="X37" s="17">
        <v>3.1E-2</v>
      </c>
      <c r="Y37" s="17">
        <v>0.03</v>
      </c>
      <c r="Z37" s="21">
        <f t="shared" si="4"/>
        <v>3.1E-2</v>
      </c>
      <c r="AA37" s="19">
        <v>1.8180000000000001</v>
      </c>
      <c r="AB37" s="19">
        <v>1.8129999999999999</v>
      </c>
      <c r="AC37" s="21">
        <f t="shared" si="5"/>
        <v>1.8160000000000001</v>
      </c>
      <c r="AD37" s="19">
        <v>0.105</v>
      </c>
      <c r="AE37" s="19">
        <v>0.109</v>
      </c>
      <c r="AF37" s="21">
        <f t="shared" si="6"/>
        <v>0.107</v>
      </c>
      <c r="AG37" s="19">
        <v>7.5999999999999998E-2</v>
      </c>
      <c r="AH37" s="19">
        <v>7.5999999999999998E-2</v>
      </c>
      <c r="AI37" s="21">
        <f t="shared" si="7"/>
        <v>7.5999999999999998E-2</v>
      </c>
      <c r="AJ37" s="19">
        <v>7.3999999999999996E-2</v>
      </c>
      <c r="AK37" s="19">
        <v>7.2999999999999995E-2</v>
      </c>
      <c r="AL37" s="21">
        <f t="shared" si="8"/>
        <v>7.3999999999999996E-2</v>
      </c>
      <c r="AM37" s="19">
        <v>17.36</v>
      </c>
      <c r="AN37" s="19">
        <v>17.312999999999999</v>
      </c>
      <c r="AO37" s="21">
        <f t="shared" si="9"/>
        <v>17.337</v>
      </c>
      <c r="AP37" s="46">
        <v>6.0299999999999999E-2</v>
      </c>
      <c r="AQ37" s="46">
        <v>6.0199999999999997E-2</v>
      </c>
      <c r="AR37" s="45">
        <f t="shared" si="10"/>
        <v>6.0299999999999999E-2</v>
      </c>
    </row>
    <row r="38" spans="1:44">
      <c r="A38" s="7" t="s">
        <v>33</v>
      </c>
      <c r="B38" s="5" t="s">
        <v>106</v>
      </c>
      <c r="C38" s="6" t="s">
        <v>107</v>
      </c>
      <c r="D38" s="6" t="s">
        <v>36</v>
      </c>
      <c r="E38" s="23">
        <v>16</v>
      </c>
      <c r="F38" s="23">
        <v>8.3000000000000007</v>
      </c>
      <c r="G38" s="41">
        <v>219</v>
      </c>
      <c r="H38" s="24">
        <v>12.4</v>
      </c>
      <c r="I38" s="23">
        <v>1.1000000000000001</v>
      </c>
      <c r="J38" s="23">
        <v>3.8</v>
      </c>
      <c r="K38" s="15">
        <v>2.6</v>
      </c>
      <c r="L38" s="15">
        <v>2.6</v>
      </c>
      <c r="M38" s="15"/>
      <c r="N38" s="20">
        <f t="shared" si="0"/>
        <v>2.6</v>
      </c>
      <c r="O38" s="37">
        <v>2.1</v>
      </c>
      <c r="P38" s="37">
        <v>2</v>
      </c>
      <c r="Q38" s="38">
        <f t="shared" si="1"/>
        <v>2.1</v>
      </c>
      <c r="R38" s="17">
        <v>3.149</v>
      </c>
      <c r="S38" s="17">
        <v>3.0950000000000002</v>
      </c>
      <c r="T38" s="22">
        <f t="shared" si="2"/>
        <v>3.1219999999999999</v>
      </c>
      <c r="U38" s="17">
        <v>2.9369999999999998</v>
      </c>
      <c r="V38" s="17">
        <v>2.9780000000000002</v>
      </c>
      <c r="W38" s="22">
        <f t="shared" si="3"/>
        <v>2.9580000000000002</v>
      </c>
      <c r="X38" s="17">
        <v>2.1999999999999999E-2</v>
      </c>
      <c r="Y38" s="17">
        <v>2.1999999999999999E-2</v>
      </c>
      <c r="Z38" s="21">
        <f t="shared" si="4"/>
        <v>2.1999999999999999E-2</v>
      </c>
      <c r="AA38" s="19">
        <v>2.1640000000000001</v>
      </c>
      <c r="AB38" s="19">
        <v>2.1480000000000001</v>
      </c>
      <c r="AC38" s="21">
        <f t="shared" si="5"/>
        <v>2.1560000000000001</v>
      </c>
      <c r="AD38" s="19">
        <v>9.8000000000000004E-2</v>
      </c>
      <c r="AE38" s="19">
        <v>0.112</v>
      </c>
      <c r="AF38" s="21">
        <f t="shared" si="6"/>
        <v>0.105</v>
      </c>
      <c r="AG38" s="19">
        <v>6.7000000000000004E-2</v>
      </c>
      <c r="AH38" s="19">
        <v>6.7000000000000004E-2</v>
      </c>
      <c r="AI38" s="21">
        <f t="shared" si="7"/>
        <v>6.7000000000000004E-2</v>
      </c>
      <c r="AJ38" s="19">
        <v>6.6000000000000003E-2</v>
      </c>
      <c r="AK38" s="19">
        <v>6.6000000000000003E-2</v>
      </c>
      <c r="AL38" s="21">
        <f t="shared" si="8"/>
        <v>6.6000000000000003E-2</v>
      </c>
      <c r="AM38" s="19">
        <v>13.906000000000001</v>
      </c>
      <c r="AN38" s="19">
        <v>13.872999999999999</v>
      </c>
      <c r="AO38" s="21">
        <f t="shared" si="9"/>
        <v>13.89</v>
      </c>
      <c r="AP38" s="46">
        <v>4.9799999999999997E-2</v>
      </c>
      <c r="AQ38" s="46">
        <v>5.0599999999999999E-2</v>
      </c>
      <c r="AR38" s="45">
        <f t="shared" si="10"/>
        <v>5.0200000000000002E-2</v>
      </c>
    </row>
    <row r="39" spans="1:44">
      <c r="A39" s="7" t="s">
        <v>137</v>
      </c>
      <c r="B39" s="5" t="s">
        <v>138</v>
      </c>
      <c r="C39" s="6"/>
      <c r="D39" s="6"/>
      <c r="E39" s="23">
        <v>19</v>
      </c>
      <c r="F39" s="23">
        <v>7.2</v>
      </c>
      <c r="G39" s="41">
        <v>349</v>
      </c>
      <c r="H39" s="24">
        <v>9.1</v>
      </c>
      <c r="I39" s="23">
        <v>4</v>
      </c>
      <c r="J39" s="23">
        <v>7.2</v>
      </c>
      <c r="K39" s="4">
        <v>5.9</v>
      </c>
      <c r="L39" s="4">
        <v>5.3</v>
      </c>
      <c r="M39" s="4"/>
      <c r="N39" s="20">
        <f t="shared" si="0"/>
        <v>5.6</v>
      </c>
      <c r="O39" s="37">
        <v>4.5999999999999996</v>
      </c>
      <c r="P39" s="37">
        <v>4.5999999999999996</v>
      </c>
      <c r="Q39" s="38">
        <f t="shared" si="1"/>
        <v>4.5999999999999996</v>
      </c>
      <c r="R39" s="17">
        <v>7.7690000000000001</v>
      </c>
      <c r="S39" s="17">
        <v>7.7530000000000001</v>
      </c>
      <c r="T39" s="22">
        <f t="shared" si="2"/>
        <v>7.7610000000000001</v>
      </c>
      <c r="U39" s="4">
        <v>7.6219999999999999</v>
      </c>
      <c r="V39" s="4">
        <v>7.7009999999999996</v>
      </c>
      <c r="W39" s="22">
        <f t="shared" si="3"/>
        <v>7.6619999999999999</v>
      </c>
      <c r="X39" s="17">
        <v>0.27800000000000002</v>
      </c>
      <c r="Y39" s="17">
        <v>0.28199999999999997</v>
      </c>
      <c r="Z39" s="21">
        <f t="shared" si="4"/>
        <v>0.28000000000000003</v>
      </c>
      <c r="AA39" s="19">
        <v>5.2750000000000004</v>
      </c>
      <c r="AB39" s="19">
        <v>5.2590000000000003</v>
      </c>
      <c r="AC39" s="21">
        <f t="shared" si="5"/>
        <v>5.2670000000000003</v>
      </c>
      <c r="AD39" s="19">
        <v>8.7999999999999995E-2</v>
      </c>
      <c r="AE39" s="19">
        <v>0.1</v>
      </c>
      <c r="AF39" s="21">
        <f t="shared" si="6"/>
        <v>9.4E-2</v>
      </c>
      <c r="AG39" s="5">
        <v>3.6999999999999998E-2</v>
      </c>
      <c r="AH39" s="5">
        <v>3.1E-2</v>
      </c>
      <c r="AI39" s="21">
        <f t="shared" si="7"/>
        <v>3.4000000000000002E-2</v>
      </c>
      <c r="AJ39" s="5">
        <v>1.7000000000000001E-2</v>
      </c>
      <c r="AK39" s="5">
        <v>1.4E-2</v>
      </c>
      <c r="AL39" s="21">
        <f t="shared" si="8"/>
        <v>1.6E-2</v>
      </c>
      <c r="AM39" s="19">
        <v>48.59</v>
      </c>
      <c r="AN39" s="19">
        <v>48.53</v>
      </c>
      <c r="AO39" s="21">
        <f t="shared" si="9"/>
        <v>48.56</v>
      </c>
      <c r="AP39" s="46">
        <v>0.10150000000000001</v>
      </c>
      <c r="AQ39" s="46">
        <v>0.1013</v>
      </c>
      <c r="AR39" s="45">
        <f t="shared" si="10"/>
        <v>0.1014</v>
      </c>
    </row>
  </sheetData>
  <mergeCells count="18">
    <mergeCell ref="AP1:AR1"/>
    <mergeCell ref="J1:J2"/>
    <mergeCell ref="K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I1:I2"/>
    <mergeCell ref="A1:A2"/>
    <mergeCell ref="B1:B2"/>
    <mergeCell ref="C1:C2"/>
    <mergeCell ref="D1:D2"/>
    <mergeCell ref="E1:H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5107-699F-46E4-AEAB-63897ACDFB46}">
  <dimension ref="A1:BE545"/>
  <sheetViews>
    <sheetView tabSelected="1" topLeftCell="V502" workbookViewId="0">
      <selection activeCell="AS509" sqref="AS509:AT545"/>
    </sheetView>
  </sheetViews>
  <sheetFormatPr defaultRowHeight="16.5"/>
  <cols>
    <col min="1" max="1" width="9.25" bestFit="1" customWidth="1"/>
    <col min="2" max="2" width="33.75" bestFit="1" customWidth="1"/>
    <col min="3" max="3" width="25.25" bestFit="1" customWidth="1"/>
    <col min="5" max="8" width="6.25" bestFit="1" customWidth="1"/>
    <col min="9" max="10" width="7.75" bestFit="1" customWidth="1"/>
    <col min="11" max="13" width="5.5" bestFit="1" customWidth="1"/>
    <col min="14" max="14" width="6.25" bestFit="1" customWidth="1"/>
    <col min="15" max="16" width="5.5" bestFit="1" customWidth="1"/>
    <col min="17" max="17" width="6.5" bestFit="1" customWidth="1"/>
    <col min="18" max="19" width="7.5" bestFit="1" customWidth="1"/>
    <col min="20" max="20" width="8.5" bestFit="1" customWidth="1"/>
    <col min="21" max="22" width="7.5" bestFit="1" customWidth="1"/>
    <col min="23" max="23" width="8.5" bestFit="1" customWidth="1"/>
    <col min="24" max="24" width="6.5" bestFit="1" customWidth="1"/>
    <col min="25" max="26" width="7.375" bestFit="1" customWidth="1"/>
    <col min="27" max="28" width="7.5" bestFit="1" customWidth="1"/>
    <col min="29" max="29" width="8.5" bestFit="1" customWidth="1"/>
    <col min="30" max="32" width="7.375" bestFit="1" customWidth="1"/>
    <col min="33" max="33" width="6.5" bestFit="1" customWidth="1"/>
    <col min="34" max="35" width="7.375" bestFit="1" customWidth="1"/>
    <col min="36" max="36" width="6.5" bestFit="1" customWidth="1"/>
    <col min="37" max="37" width="7.375" bestFit="1" customWidth="1"/>
    <col min="38" max="39" width="7.5" bestFit="1" customWidth="1"/>
    <col min="40" max="41" width="8.5" bestFit="1" customWidth="1"/>
    <col min="42" max="42" width="7.5" bestFit="1" customWidth="1"/>
    <col min="43" max="43" width="8.5" bestFit="1" customWidth="1"/>
    <col min="44" max="44" width="9.5" bestFit="1" customWidth="1"/>
    <col min="45" max="46" width="9.625" bestFit="1" customWidth="1"/>
    <col min="47" max="47" width="9.5" bestFit="1" customWidth="1"/>
    <col min="48" max="48" width="9.625" bestFit="1" customWidth="1"/>
    <col min="49" max="49" width="7.5" bestFit="1" customWidth="1"/>
    <col min="50" max="50" width="8.5" bestFit="1" customWidth="1"/>
    <col min="51" max="53" width="7.5" bestFit="1" customWidth="1"/>
    <col min="54" max="54" width="8.5" bestFit="1" customWidth="1"/>
    <col min="55" max="55" width="9.5" bestFit="1" customWidth="1"/>
    <col min="56" max="56" width="9.625" bestFit="1" customWidth="1"/>
  </cols>
  <sheetData>
    <row r="1" spans="1:57" s="1" customFormat="1">
      <c r="A1" s="71" t="s">
        <v>118</v>
      </c>
      <c r="B1" s="73" t="s">
        <v>119</v>
      </c>
      <c r="C1" s="74" t="s">
        <v>120</v>
      </c>
      <c r="D1" s="74" t="s">
        <v>121</v>
      </c>
      <c r="E1" s="73" t="s">
        <v>122</v>
      </c>
      <c r="F1" s="73"/>
      <c r="G1" s="73"/>
      <c r="H1" s="73"/>
      <c r="I1" s="69" t="s">
        <v>123</v>
      </c>
      <c r="J1" s="79" t="s">
        <v>133</v>
      </c>
      <c r="K1" s="76" t="s">
        <v>124</v>
      </c>
      <c r="L1" s="77"/>
      <c r="M1" s="77"/>
      <c r="N1" s="78"/>
      <c r="O1" s="76" t="s">
        <v>125</v>
      </c>
      <c r="P1" s="77"/>
      <c r="Q1" s="77"/>
      <c r="R1" s="78"/>
      <c r="S1" s="76" t="s">
        <v>135</v>
      </c>
      <c r="T1" s="77"/>
      <c r="U1" s="77"/>
      <c r="V1" s="78"/>
      <c r="W1" s="76" t="s">
        <v>126</v>
      </c>
      <c r="X1" s="77"/>
      <c r="Y1" s="77"/>
      <c r="Z1" s="78"/>
      <c r="AA1" s="76" t="s">
        <v>127</v>
      </c>
      <c r="AB1" s="77"/>
      <c r="AC1" s="77"/>
      <c r="AD1" s="78"/>
      <c r="AE1" s="76" t="s">
        <v>128</v>
      </c>
      <c r="AF1" s="77"/>
      <c r="AG1" s="77"/>
      <c r="AH1" s="78"/>
      <c r="AI1" s="76" t="s">
        <v>129</v>
      </c>
      <c r="AJ1" s="77"/>
      <c r="AK1" s="77"/>
      <c r="AL1" s="78"/>
      <c r="AM1" s="76" t="s">
        <v>130</v>
      </c>
      <c r="AN1" s="77"/>
      <c r="AO1" s="77"/>
      <c r="AP1" s="78"/>
      <c r="AQ1" s="76" t="s">
        <v>131</v>
      </c>
      <c r="AR1" s="77"/>
      <c r="AS1" s="77"/>
      <c r="AT1" s="78"/>
      <c r="AU1" s="76" t="s">
        <v>132</v>
      </c>
      <c r="AV1" s="77"/>
      <c r="AW1" s="77"/>
      <c r="AX1" s="78"/>
      <c r="AY1" s="76" t="s">
        <v>134</v>
      </c>
      <c r="AZ1" s="77"/>
      <c r="BA1" s="77"/>
      <c r="BB1" s="78"/>
    </row>
    <row r="2" spans="1:57" s="1" customFormat="1" ht="17.25" thickBot="1">
      <c r="A2" s="72"/>
      <c r="B2" s="70"/>
      <c r="C2" s="75"/>
      <c r="D2" s="75"/>
      <c r="E2" s="12" t="s">
        <v>111</v>
      </c>
      <c r="F2" s="12" t="s">
        <v>110</v>
      </c>
      <c r="G2" s="12" t="s">
        <v>112</v>
      </c>
      <c r="H2" s="12" t="s">
        <v>113</v>
      </c>
      <c r="I2" s="70"/>
      <c r="J2" s="80"/>
      <c r="K2" s="13" t="s">
        <v>115</v>
      </c>
      <c r="L2" s="13" t="s">
        <v>116</v>
      </c>
      <c r="M2" s="13" t="s">
        <v>117</v>
      </c>
      <c r="N2" s="12" t="s">
        <v>114</v>
      </c>
      <c r="O2" s="13" t="s">
        <v>115</v>
      </c>
      <c r="P2" s="13" t="s">
        <v>116</v>
      </c>
      <c r="Q2" s="13" t="s">
        <v>117</v>
      </c>
      <c r="R2" s="12" t="s">
        <v>114</v>
      </c>
      <c r="S2" s="13" t="s">
        <v>115</v>
      </c>
      <c r="T2" s="13" t="s">
        <v>116</v>
      </c>
      <c r="U2" s="13" t="s">
        <v>117</v>
      </c>
      <c r="V2" s="12" t="s">
        <v>114</v>
      </c>
      <c r="W2" s="13" t="s">
        <v>115</v>
      </c>
      <c r="X2" s="13" t="s">
        <v>116</v>
      </c>
      <c r="Y2" s="13" t="s">
        <v>117</v>
      </c>
      <c r="Z2" s="12" t="s">
        <v>114</v>
      </c>
      <c r="AA2" s="13" t="s">
        <v>115</v>
      </c>
      <c r="AB2" s="13" t="s">
        <v>116</v>
      </c>
      <c r="AC2" s="13" t="s">
        <v>117</v>
      </c>
      <c r="AD2" s="12" t="s">
        <v>114</v>
      </c>
      <c r="AE2" s="13" t="s">
        <v>115</v>
      </c>
      <c r="AF2" s="13" t="s">
        <v>116</v>
      </c>
      <c r="AG2" s="13" t="s">
        <v>117</v>
      </c>
      <c r="AH2" s="12" t="s">
        <v>114</v>
      </c>
      <c r="AI2" s="13" t="s">
        <v>115</v>
      </c>
      <c r="AJ2" s="13" t="s">
        <v>116</v>
      </c>
      <c r="AK2" s="13" t="s">
        <v>117</v>
      </c>
      <c r="AL2" s="12" t="s">
        <v>114</v>
      </c>
      <c r="AM2" s="13" t="s">
        <v>115</v>
      </c>
      <c r="AN2" s="13" t="s">
        <v>116</v>
      </c>
      <c r="AO2" s="13" t="s">
        <v>117</v>
      </c>
      <c r="AP2" s="12" t="s">
        <v>114</v>
      </c>
      <c r="AQ2" s="13" t="s">
        <v>115</v>
      </c>
      <c r="AR2" s="13" t="s">
        <v>116</v>
      </c>
      <c r="AS2" s="13" t="s">
        <v>117</v>
      </c>
      <c r="AT2" s="12" t="s">
        <v>114</v>
      </c>
      <c r="AU2" s="13" t="s">
        <v>115</v>
      </c>
      <c r="AV2" s="13" t="s">
        <v>116</v>
      </c>
      <c r="AW2" s="13" t="s">
        <v>117</v>
      </c>
      <c r="AX2" s="12" t="s">
        <v>114</v>
      </c>
      <c r="AY2" s="13" t="s">
        <v>115</v>
      </c>
      <c r="AZ2" s="13" t="s">
        <v>116</v>
      </c>
      <c r="BA2" s="13" t="s">
        <v>117</v>
      </c>
      <c r="BB2" s="12" t="s">
        <v>114</v>
      </c>
      <c r="BC2" s="1" t="s">
        <v>166</v>
      </c>
      <c r="BD2" s="1" t="s">
        <v>167</v>
      </c>
    </row>
    <row r="3" spans="1:57">
      <c r="A3" s="8" t="s">
        <v>136</v>
      </c>
      <c r="B3" s="9" t="s">
        <v>34</v>
      </c>
      <c r="C3" s="10" t="s">
        <v>35</v>
      </c>
      <c r="D3" s="10" t="s">
        <v>36</v>
      </c>
      <c r="E3" s="20">
        <v>11.2</v>
      </c>
      <c r="F3" s="20">
        <v>7.3</v>
      </c>
      <c r="G3" s="20">
        <v>11.8</v>
      </c>
      <c r="H3" s="11">
        <v>101</v>
      </c>
      <c r="I3" s="20">
        <v>1.2</v>
      </c>
      <c r="J3" s="20">
        <v>1.9</v>
      </c>
      <c r="K3" s="14">
        <v>1.3</v>
      </c>
      <c r="L3" s="14">
        <v>1.2</v>
      </c>
      <c r="M3" s="14">
        <v>1.3</v>
      </c>
      <c r="N3" s="20">
        <v>1.3</v>
      </c>
      <c r="O3" s="14">
        <v>1.2</v>
      </c>
      <c r="P3" s="14">
        <v>1.1000000000000001</v>
      </c>
      <c r="Q3" s="14">
        <v>1.1000000000000001</v>
      </c>
      <c r="R3" s="20">
        <v>1.1333333333333333</v>
      </c>
      <c r="S3" s="16">
        <v>1.1439999999999999</v>
      </c>
      <c r="T3" s="16">
        <v>1.1479999999999999</v>
      </c>
      <c r="U3" s="16">
        <v>1.141</v>
      </c>
      <c r="V3" s="22">
        <v>1.1439999999999999</v>
      </c>
      <c r="W3" s="16">
        <v>1.129</v>
      </c>
      <c r="X3" s="16">
        <v>1.123</v>
      </c>
      <c r="Y3" s="16">
        <v>1.1120000000000001</v>
      </c>
      <c r="Z3" s="22">
        <v>1.121</v>
      </c>
      <c r="AA3" s="16">
        <v>1.7999999999999999E-2</v>
      </c>
      <c r="AB3" s="16">
        <v>2.1000000000000001E-2</v>
      </c>
      <c r="AC3" s="18">
        <v>1.7999999999999999E-2</v>
      </c>
      <c r="AD3" s="21">
        <v>1.9E-2</v>
      </c>
      <c r="AE3" s="18">
        <v>0.94799999999999995</v>
      </c>
      <c r="AF3" s="18">
        <v>0.95499999999999996</v>
      </c>
      <c r="AG3" s="18">
        <v>0.97699999999999998</v>
      </c>
      <c r="AH3" s="21">
        <v>0.96</v>
      </c>
      <c r="AI3" s="18">
        <v>2.5000000000000001E-2</v>
      </c>
      <c r="AJ3" s="18">
        <v>2.5000000000000001E-2</v>
      </c>
      <c r="AK3" s="18">
        <v>1.7000000000000001E-2</v>
      </c>
      <c r="AL3" s="21">
        <v>2.1999999999999999E-2</v>
      </c>
      <c r="AM3" s="18">
        <v>8.0000000000000002E-3</v>
      </c>
      <c r="AN3" s="18">
        <v>0.01</v>
      </c>
      <c r="AO3" s="18">
        <v>0.01</v>
      </c>
      <c r="AP3" s="21">
        <v>8.9999999999999993E-3</v>
      </c>
      <c r="AQ3" s="18">
        <v>5.0000000000000001E-3</v>
      </c>
      <c r="AR3" s="18">
        <v>5.0000000000000001E-3</v>
      </c>
      <c r="AS3" s="18">
        <v>3.0000000000000001E-3</v>
      </c>
      <c r="AT3" s="21">
        <v>4.0000000000000001E-3</v>
      </c>
      <c r="AU3" s="18">
        <v>9.4570000000000007</v>
      </c>
      <c r="AV3" s="18">
        <v>9.5690000000000008</v>
      </c>
      <c r="AW3" s="18">
        <v>9.7430000000000003</v>
      </c>
      <c r="AX3" s="21">
        <v>9.5896666666666679</v>
      </c>
      <c r="AY3" s="25">
        <v>4.4999999999999998E-2</v>
      </c>
      <c r="AZ3" s="25">
        <v>4.2999999999999997E-2</v>
      </c>
      <c r="BA3" s="25">
        <v>4.4299999999999999E-2</v>
      </c>
      <c r="BB3" s="26">
        <v>4.41E-2</v>
      </c>
      <c r="BC3" s="81">
        <v>3.87</v>
      </c>
      <c r="BD3" s="81">
        <v>1.59</v>
      </c>
    </row>
    <row r="4" spans="1:57">
      <c r="A4" s="7" t="s">
        <v>37</v>
      </c>
      <c r="B4" s="5" t="s">
        <v>38</v>
      </c>
      <c r="C4" s="6" t="s">
        <v>39</v>
      </c>
      <c r="D4" s="6" t="s">
        <v>40</v>
      </c>
      <c r="E4" s="23">
        <v>12.2</v>
      </c>
      <c r="F4" s="23">
        <v>7.1</v>
      </c>
      <c r="G4" s="23">
        <v>11.9</v>
      </c>
      <c r="H4" s="24">
        <v>72</v>
      </c>
      <c r="I4" s="23">
        <v>1.3</v>
      </c>
      <c r="J4" s="23">
        <v>2.2999999999999998</v>
      </c>
      <c r="K4" s="15">
        <v>1.5</v>
      </c>
      <c r="L4" s="15">
        <v>1.5</v>
      </c>
      <c r="M4" s="15">
        <v>1.5</v>
      </c>
      <c r="N4" s="20">
        <v>1.5</v>
      </c>
      <c r="O4" s="15">
        <v>1.3</v>
      </c>
      <c r="P4" s="15">
        <v>1.2</v>
      </c>
      <c r="Q4" s="15">
        <v>1.3</v>
      </c>
      <c r="R4" s="20">
        <v>1.2666666666666666</v>
      </c>
      <c r="S4" s="17">
        <v>0.98399999999999999</v>
      </c>
      <c r="T4" s="17">
        <v>1.0209999999999999</v>
      </c>
      <c r="U4" s="17">
        <v>0.98599999999999999</v>
      </c>
      <c r="V4" s="22">
        <v>0.997</v>
      </c>
      <c r="W4" s="17">
        <v>0.97899999999999998</v>
      </c>
      <c r="X4" s="17">
        <v>0.96499999999999997</v>
      </c>
      <c r="Y4" s="17">
        <v>0.94299999999999995</v>
      </c>
      <c r="Z4" s="22">
        <v>0.96199999999999997</v>
      </c>
      <c r="AA4" s="17">
        <v>1.7000000000000001E-2</v>
      </c>
      <c r="AB4" s="17">
        <v>1.7999999999999999E-2</v>
      </c>
      <c r="AC4" s="19">
        <v>1.7999999999999999E-2</v>
      </c>
      <c r="AD4" s="21">
        <v>1.7999999999999999E-2</v>
      </c>
      <c r="AE4" s="19">
        <v>0.82099999999999995</v>
      </c>
      <c r="AF4" s="19">
        <v>0.82</v>
      </c>
      <c r="AG4" s="19">
        <v>0.83199999999999996</v>
      </c>
      <c r="AH4" s="21">
        <v>0.82433333333333325</v>
      </c>
      <c r="AI4" s="19">
        <v>2.5000000000000001E-2</v>
      </c>
      <c r="AJ4" s="19">
        <v>2.8000000000000001E-2</v>
      </c>
      <c r="AK4" s="19">
        <v>2.3E-2</v>
      </c>
      <c r="AL4" s="21">
        <v>2.5000000000000001E-2</v>
      </c>
      <c r="AM4" s="19">
        <v>0.01</v>
      </c>
      <c r="AN4" s="19">
        <v>1.0999999999999999E-2</v>
      </c>
      <c r="AO4" s="19">
        <v>1.0999999999999999E-2</v>
      </c>
      <c r="AP4" s="21">
        <v>1.0999999999999999E-2</v>
      </c>
      <c r="AQ4" s="19">
        <v>7.0000000000000001E-3</v>
      </c>
      <c r="AR4" s="19">
        <v>4.0000000000000001E-3</v>
      </c>
      <c r="AS4" s="19">
        <v>5.0000000000000001E-3</v>
      </c>
      <c r="AT4" s="21">
        <v>5.0000000000000001E-3</v>
      </c>
      <c r="AU4" s="19">
        <v>5.0549999999999997</v>
      </c>
      <c r="AV4" s="19">
        <v>5.0640000000000001</v>
      </c>
      <c r="AW4" s="19">
        <v>5.1349999999999998</v>
      </c>
      <c r="AX4" s="21">
        <v>5.0846666666666662</v>
      </c>
      <c r="AY4" s="27">
        <v>4.9500000000000002E-2</v>
      </c>
      <c r="AZ4" s="27">
        <v>5.0200000000000002E-2</v>
      </c>
      <c r="BA4" s="27">
        <v>4.8899999999999999E-2</v>
      </c>
      <c r="BB4" s="28">
        <v>4.9533333333333339E-2</v>
      </c>
      <c r="BC4" s="82">
        <v>4.2</v>
      </c>
      <c r="BD4" s="82">
        <v>3.13</v>
      </c>
      <c r="BE4" s="85"/>
    </row>
    <row r="5" spans="1:57">
      <c r="A5" s="7" t="s">
        <v>0</v>
      </c>
      <c r="B5" s="5" t="s">
        <v>41</v>
      </c>
      <c r="C5" s="6" t="s">
        <v>42</v>
      </c>
      <c r="D5" s="6" t="s">
        <v>36</v>
      </c>
      <c r="E5" s="23">
        <v>11.9</v>
      </c>
      <c r="F5" s="23">
        <v>7.2</v>
      </c>
      <c r="G5" s="23">
        <v>12.2</v>
      </c>
      <c r="H5" s="24">
        <v>85</v>
      </c>
      <c r="I5" s="23">
        <v>1.2</v>
      </c>
      <c r="J5" s="23">
        <v>2.2000000000000002</v>
      </c>
      <c r="K5" s="15">
        <v>1.4</v>
      </c>
      <c r="L5" s="15">
        <v>1.4</v>
      </c>
      <c r="M5" s="15">
        <v>1.4</v>
      </c>
      <c r="N5" s="20">
        <v>1.4</v>
      </c>
      <c r="O5" s="15">
        <v>1.3</v>
      </c>
      <c r="P5" s="15">
        <v>1.2</v>
      </c>
      <c r="Q5" s="15">
        <v>1.2</v>
      </c>
      <c r="R5" s="20">
        <v>1.2333333333333334</v>
      </c>
      <c r="S5" s="17">
        <v>1.038</v>
      </c>
      <c r="T5" s="17">
        <v>1.0780000000000001</v>
      </c>
      <c r="U5" s="17">
        <v>1.0449999999999999</v>
      </c>
      <c r="V5" s="22">
        <v>1.054</v>
      </c>
      <c r="W5" s="17">
        <v>1.028</v>
      </c>
      <c r="X5" s="17">
        <v>1.032</v>
      </c>
      <c r="Y5" s="17">
        <v>0.99399999999999999</v>
      </c>
      <c r="Z5" s="22">
        <v>1.018</v>
      </c>
      <c r="AA5" s="17">
        <v>1.4999999999999999E-2</v>
      </c>
      <c r="AB5" s="17">
        <v>2.4E-2</v>
      </c>
      <c r="AC5" s="19">
        <v>0.02</v>
      </c>
      <c r="AD5" s="21">
        <v>0.02</v>
      </c>
      <c r="AE5" s="19">
        <v>0.875</v>
      </c>
      <c r="AF5" s="19">
        <v>0.878</v>
      </c>
      <c r="AG5" s="19">
        <v>0.88800000000000001</v>
      </c>
      <c r="AH5" s="21">
        <v>0.8803333333333333</v>
      </c>
      <c r="AI5" s="19">
        <v>2.1999999999999999E-2</v>
      </c>
      <c r="AJ5" s="19">
        <v>2.4E-2</v>
      </c>
      <c r="AK5" s="19">
        <v>1.9E-2</v>
      </c>
      <c r="AL5" s="21">
        <v>2.1999999999999999E-2</v>
      </c>
      <c r="AM5" s="19">
        <v>8.9999999999999993E-3</v>
      </c>
      <c r="AN5" s="19">
        <v>1.0999999999999999E-2</v>
      </c>
      <c r="AO5" s="19">
        <v>0.01</v>
      </c>
      <c r="AP5" s="21">
        <v>0.01</v>
      </c>
      <c r="AQ5" s="19">
        <v>4.0000000000000001E-3</v>
      </c>
      <c r="AR5" s="19">
        <v>2E-3</v>
      </c>
      <c r="AS5" s="19">
        <v>3.0000000000000001E-3</v>
      </c>
      <c r="AT5" s="21">
        <v>3.0000000000000001E-3</v>
      </c>
      <c r="AU5" s="19">
        <v>6.6929999999999996</v>
      </c>
      <c r="AV5" s="19">
        <v>6.7069999999999999</v>
      </c>
      <c r="AW5" s="19">
        <v>6.7910000000000004</v>
      </c>
      <c r="AX5" s="21">
        <v>6.7303333333333333</v>
      </c>
      <c r="AY5" s="27">
        <v>4.2999999999999997E-2</v>
      </c>
      <c r="AZ5" s="27">
        <v>4.1700000000000001E-2</v>
      </c>
      <c r="BA5" s="27">
        <v>4.2999999999999997E-2</v>
      </c>
      <c r="BB5" s="28">
        <v>4.2566666666666662E-2</v>
      </c>
      <c r="BC5" s="82">
        <v>4.4800000000000004</v>
      </c>
      <c r="BD5" s="82">
        <v>2.11</v>
      </c>
    </row>
    <row r="6" spans="1:57">
      <c r="A6" s="7" t="s">
        <v>1</v>
      </c>
      <c r="B6" s="5" t="s">
        <v>43</v>
      </c>
      <c r="C6" s="6" t="s">
        <v>44</v>
      </c>
      <c r="D6" s="6" t="s">
        <v>45</v>
      </c>
      <c r="E6" s="23">
        <v>11.6</v>
      </c>
      <c r="F6" s="23">
        <v>7.2</v>
      </c>
      <c r="G6" s="23">
        <v>11.8</v>
      </c>
      <c r="H6" s="24">
        <v>62</v>
      </c>
      <c r="I6" s="23">
        <v>1</v>
      </c>
      <c r="J6" s="23">
        <v>2</v>
      </c>
      <c r="K6" s="15">
        <v>1.2</v>
      </c>
      <c r="L6" s="15">
        <v>1.2</v>
      </c>
      <c r="M6" s="15">
        <v>1.3</v>
      </c>
      <c r="N6" s="20">
        <v>1.2</v>
      </c>
      <c r="O6" s="15">
        <v>1.3</v>
      </c>
      <c r="P6" s="15">
        <v>1.1000000000000001</v>
      </c>
      <c r="Q6" s="15">
        <v>1</v>
      </c>
      <c r="R6" s="20">
        <v>1.1333333333333335</v>
      </c>
      <c r="S6" s="17">
        <v>0.873</v>
      </c>
      <c r="T6" s="17">
        <v>0.89700000000000002</v>
      </c>
      <c r="U6" s="17">
        <v>0.875</v>
      </c>
      <c r="V6" s="22">
        <v>0.88200000000000001</v>
      </c>
      <c r="W6" s="17">
        <v>0.86499999999999999</v>
      </c>
      <c r="X6" s="17">
        <v>0.879</v>
      </c>
      <c r="Y6" s="17">
        <v>0.84599999999999997</v>
      </c>
      <c r="Z6" s="22">
        <v>0.86299999999999999</v>
      </c>
      <c r="AA6" s="17">
        <v>2.1000000000000001E-2</v>
      </c>
      <c r="AB6" s="17">
        <v>1.7999999999999999E-2</v>
      </c>
      <c r="AC6" s="19">
        <v>1.7000000000000001E-2</v>
      </c>
      <c r="AD6" s="21">
        <v>1.9E-2</v>
      </c>
      <c r="AE6" s="19">
        <v>0.73</v>
      </c>
      <c r="AF6" s="19">
        <v>0.73799999999999999</v>
      </c>
      <c r="AG6" s="19">
        <v>0.74</v>
      </c>
      <c r="AH6" s="21">
        <v>0.7360000000000001</v>
      </c>
      <c r="AI6" s="19">
        <v>1.7000000000000001E-2</v>
      </c>
      <c r="AJ6" s="19">
        <v>1.9E-2</v>
      </c>
      <c r="AK6" s="19">
        <v>1.4999999999999999E-2</v>
      </c>
      <c r="AL6" s="21">
        <v>1.7000000000000001E-2</v>
      </c>
      <c r="AM6" s="19">
        <v>6.0000000000000001E-3</v>
      </c>
      <c r="AN6" s="19">
        <v>7.0000000000000001E-3</v>
      </c>
      <c r="AO6" s="19">
        <v>7.0000000000000001E-3</v>
      </c>
      <c r="AP6" s="21">
        <v>7.0000000000000001E-3</v>
      </c>
      <c r="AQ6" s="19">
        <v>1E-3</v>
      </c>
      <c r="AR6" s="19">
        <v>0</v>
      </c>
      <c r="AS6" s="19">
        <v>0</v>
      </c>
      <c r="AT6" s="21">
        <v>0</v>
      </c>
      <c r="AU6" s="19">
        <v>4.5410000000000004</v>
      </c>
      <c r="AV6" s="19">
        <v>4.585</v>
      </c>
      <c r="AW6" s="19">
        <v>4.6260000000000003</v>
      </c>
      <c r="AX6" s="21">
        <v>4.5840000000000005</v>
      </c>
      <c r="AY6" s="27">
        <v>5.0200000000000002E-2</v>
      </c>
      <c r="AZ6" s="27">
        <v>5.0299999999999997E-2</v>
      </c>
      <c r="BA6" s="27">
        <v>4.9000000000000002E-2</v>
      </c>
      <c r="BB6" s="28">
        <v>4.9833333333333341E-2</v>
      </c>
      <c r="BC6" s="82">
        <v>2.3199999999999998</v>
      </c>
      <c r="BD6" s="82">
        <v>2.4900000000000002</v>
      </c>
      <c r="BE6" s="85"/>
    </row>
    <row r="7" spans="1:57">
      <c r="A7" s="7" t="s">
        <v>2</v>
      </c>
      <c r="B7" s="5" t="s">
        <v>46</v>
      </c>
      <c r="C7" s="6" t="s">
        <v>47</v>
      </c>
      <c r="D7" s="6" t="s">
        <v>36</v>
      </c>
      <c r="E7" s="23">
        <v>13.3</v>
      </c>
      <c r="F7" s="23">
        <v>7</v>
      </c>
      <c r="G7" s="23">
        <v>11.4</v>
      </c>
      <c r="H7" s="24">
        <v>83</v>
      </c>
      <c r="I7" s="23">
        <v>1.5</v>
      </c>
      <c r="J7" s="23">
        <v>2.2999999999999998</v>
      </c>
      <c r="K7" s="15">
        <v>1.5</v>
      </c>
      <c r="L7" s="15">
        <v>1.5</v>
      </c>
      <c r="M7" s="15">
        <v>1.5</v>
      </c>
      <c r="N7" s="20">
        <v>1.5</v>
      </c>
      <c r="O7" s="15">
        <v>1.6</v>
      </c>
      <c r="P7" s="15">
        <v>1.4</v>
      </c>
      <c r="Q7" s="15">
        <v>1.4</v>
      </c>
      <c r="R7" s="20">
        <v>1.4666666666666668</v>
      </c>
      <c r="S7" s="17">
        <v>1.0940000000000001</v>
      </c>
      <c r="T7" s="17">
        <v>1.0760000000000001</v>
      </c>
      <c r="U7" s="17">
        <v>1.071</v>
      </c>
      <c r="V7" s="22">
        <v>1.08</v>
      </c>
      <c r="W7" s="17">
        <v>1.0349999999999999</v>
      </c>
      <c r="X7" s="17">
        <v>1.038</v>
      </c>
      <c r="Y7" s="17">
        <v>1.022</v>
      </c>
      <c r="Z7" s="22">
        <v>1.032</v>
      </c>
      <c r="AA7" s="17">
        <v>4.2999999999999997E-2</v>
      </c>
      <c r="AB7" s="17">
        <v>3.6999999999999998E-2</v>
      </c>
      <c r="AC7" s="19">
        <v>0.04</v>
      </c>
      <c r="AD7" s="21">
        <v>0.04</v>
      </c>
      <c r="AE7" s="19">
        <v>0.84199999999999997</v>
      </c>
      <c r="AF7" s="19">
        <v>0.86799999999999999</v>
      </c>
      <c r="AG7" s="19">
        <v>0.873</v>
      </c>
      <c r="AH7" s="21">
        <v>0.8610000000000001</v>
      </c>
      <c r="AI7" s="19">
        <v>2.3E-2</v>
      </c>
      <c r="AJ7" s="19">
        <v>2.7E-2</v>
      </c>
      <c r="AK7" s="19">
        <v>2.1999999999999999E-2</v>
      </c>
      <c r="AL7" s="21">
        <v>2.4E-2</v>
      </c>
      <c r="AM7" s="19">
        <v>0.01</v>
      </c>
      <c r="AN7" s="19">
        <v>1.0999999999999999E-2</v>
      </c>
      <c r="AO7" s="19">
        <v>1.0999999999999999E-2</v>
      </c>
      <c r="AP7" s="21">
        <v>1.0999999999999999E-2</v>
      </c>
      <c r="AQ7" s="19">
        <v>5.0000000000000001E-3</v>
      </c>
      <c r="AR7" s="19">
        <v>3.0000000000000001E-3</v>
      </c>
      <c r="AS7" s="19">
        <v>4.0000000000000001E-3</v>
      </c>
      <c r="AT7" s="21">
        <v>4.0000000000000001E-3</v>
      </c>
      <c r="AU7" s="19">
        <v>6.3979999999999997</v>
      </c>
      <c r="AV7" s="19">
        <v>6.6139999999999999</v>
      </c>
      <c r="AW7" s="19">
        <v>6.5910000000000002</v>
      </c>
      <c r="AX7" s="21">
        <v>6.5343333333333335</v>
      </c>
      <c r="AY7" s="27">
        <v>4.5600000000000002E-2</v>
      </c>
      <c r="AZ7" s="27">
        <v>4.3700000000000003E-2</v>
      </c>
      <c r="BA7" s="27">
        <v>4.5499999999999999E-2</v>
      </c>
      <c r="BB7" s="28">
        <v>4.4933333333333332E-2</v>
      </c>
      <c r="BC7" s="82">
        <v>4.5599999999999996</v>
      </c>
      <c r="BD7" s="82">
        <v>2.34</v>
      </c>
    </row>
    <row r="8" spans="1:57">
      <c r="A8" s="7" t="s">
        <v>3</v>
      </c>
      <c r="B8" s="5" t="s">
        <v>46</v>
      </c>
      <c r="C8" s="6" t="s">
        <v>44</v>
      </c>
      <c r="D8" s="6" t="s">
        <v>48</v>
      </c>
      <c r="E8" s="23">
        <v>12.2</v>
      </c>
      <c r="F8" s="23">
        <v>7.2</v>
      </c>
      <c r="G8" s="23">
        <v>11.9</v>
      </c>
      <c r="H8" s="24">
        <v>85</v>
      </c>
      <c r="I8" s="23">
        <v>1.3</v>
      </c>
      <c r="J8" s="23">
        <v>1.8</v>
      </c>
      <c r="K8" s="15">
        <v>1.3</v>
      </c>
      <c r="L8" s="15">
        <v>1.3</v>
      </c>
      <c r="M8" s="15">
        <v>1.3</v>
      </c>
      <c r="N8" s="20">
        <v>1.3</v>
      </c>
      <c r="O8" s="15">
        <v>1.3</v>
      </c>
      <c r="P8" s="15">
        <v>1.2</v>
      </c>
      <c r="Q8" s="15">
        <v>1.2</v>
      </c>
      <c r="R8" s="20">
        <v>1.2333333333333334</v>
      </c>
      <c r="S8" s="17">
        <v>1.1910000000000001</v>
      </c>
      <c r="T8" s="17">
        <v>1.1759999999999999</v>
      </c>
      <c r="U8" s="17">
        <v>1.2130000000000001</v>
      </c>
      <c r="V8" s="22">
        <v>1.1930000000000001</v>
      </c>
      <c r="W8" s="17">
        <v>1.1599999999999999</v>
      </c>
      <c r="X8" s="17">
        <v>1.163</v>
      </c>
      <c r="Y8" s="17">
        <v>1.165</v>
      </c>
      <c r="Z8" s="22">
        <v>1.163</v>
      </c>
      <c r="AA8" s="17">
        <v>2.7E-2</v>
      </c>
      <c r="AB8" s="17">
        <v>2.3E-2</v>
      </c>
      <c r="AC8" s="19">
        <v>2.9000000000000001E-2</v>
      </c>
      <c r="AD8" s="21">
        <v>2.5999999999999999E-2</v>
      </c>
      <c r="AE8" s="19">
        <v>1.012</v>
      </c>
      <c r="AF8" s="19">
        <v>1.0369999999999999</v>
      </c>
      <c r="AG8" s="19">
        <v>1.0329999999999999</v>
      </c>
      <c r="AH8" s="21">
        <v>1.0273333333333332</v>
      </c>
      <c r="AI8" s="19">
        <v>2.8000000000000001E-2</v>
      </c>
      <c r="AJ8" s="19">
        <v>2.9000000000000001E-2</v>
      </c>
      <c r="AK8" s="19">
        <v>2.5000000000000001E-2</v>
      </c>
      <c r="AL8" s="21">
        <v>2.7E-2</v>
      </c>
      <c r="AM8" s="19">
        <v>1.2999999999999999E-2</v>
      </c>
      <c r="AN8" s="19">
        <v>1.4E-2</v>
      </c>
      <c r="AO8" s="19">
        <v>1.4E-2</v>
      </c>
      <c r="AP8" s="21">
        <v>1.4E-2</v>
      </c>
      <c r="AQ8" s="19">
        <v>8.9999999999999993E-3</v>
      </c>
      <c r="AR8" s="19">
        <v>7.0000000000000001E-3</v>
      </c>
      <c r="AS8" s="19">
        <v>8.0000000000000002E-3</v>
      </c>
      <c r="AT8" s="21">
        <v>8.0000000000000002E-3</v>
      </c>
      <c r="AU8" s="19">
        <v>5.9850000000000003</v>
      </c>
      <c r="AV8" s="19">
        <v>6.1289999999999996</v>
      </c>
      <c r="AW8" s="19">
        <v>6.1150000000000002</v>
      </c>
      <c r="AX8" s="21">
        <v>6.0763333333333334</v>
      </c>
      <c r="AY8" s="27">
        <v>4.48E-2</v>
      </c>
      <c r="AZ8" s="27">
        <v>4.58E-2</v>
      </c>
      <c r="BA8" s="27">
        <v>4.4499999999999998E-2</v>
      </c>
      <c r="BB8" s="28">
        <v>4.5033333333333335E-2</v>
      </c>
      <c r="BC8" s="82">
        <v>5.29</v>
      </c>
      <c r="BD8" s="82">
        <v>1.96</v>
      </c>
      <c r="BE8" s="85"/>
    </row>
    <row r="9" spans="1:57">
      <c r="A9" s="7" t="s">
        <v>4</v>
      </c>
      <c r="B9" s="5" t="s">
        <v>49</v>
      </c>
      <c r="C9" s="6" t="s">
        <v>44</v>
      </c>
      <c r="D9" s="6" t="s">
        <v>36</v>
      </c>
      <c r="E9" s="23">
        <v>13.2</v>
      </c>
      <c r="F9" s="23">
        <v>7</v>
      </c>
      <c r="G9" s="23">
        <v>11.4</v>
      </c>
      <c r="H9" s="24">
        <v>83</v>
      </c>
      <c r="I9" s="23">
        <v>1</v>
      </c>
      <c r="J9" s="23">
        <v>2.2000000000000002</v>
      </c>
      <c r="K9" s="15">
        <v>1.4</v>
      </c>
      <c r="L9" s="15">
        <v>1.4</v>
      </c>
      <c r="M9" s="15">
        <v>1.5</v>
      </c>
      <c r="N9" s="20">
        <v>1.4</v>
      </c>
      <c r="O9" s="15">
        <v>1.4</v>
      </c>
      <c r="P9" s="15">
        <v>1.3</v>
      </c>
      <c r="Q9" s="15">
        <v>1.3</v>
      </c>
      <c r="R9" s="20">
        <v>1.3333333333333333</v>
      </c>
      <c r="S9" s="17">
        <v>1.115</v>
      </c>
      <c r="T9" s="17">
        <v>1.1759999999999999</v>
      </c>
      <c r="U9" s="17">
        <v>1.1000000000000001</v>
      </c>
      <c r="V9" s="22">
        <v>1.1299999999999999</v>
      </c>
      <c r="W9" s="17">
        <v>1.089</v>
      </c>
      <c r="X9" s="17">
        <v>1.1120000000000001</v>
      </c>
      <c r="Y9" s="17">
        <v>1.1040000000000001</v>
      </c>
      <c r="Z9" s="22">
        <v>1.1020000000000001</v>
      </c>
      <c r="AA9" s="17">
        <v>0.04</v>
      </c>
      <c r="AB9" s="17">
        <v>3.1E-2</v>
      </c>
      <c r="AC9" s="19">
        <v>2.9000000000000001E-2</v>
      </c>
      <c r="AD9" s="21">
        <v>3.3000000000000002E-2</v>
      </c>
      <c r="AE9" s="19">
        <v>0.94199999999999995</v>
      </c>
      <c r="AF9" s="19">
        <v>0.94399999999999995</v>
      </c>
      <c r="AG9" s="19">
        <v>0.93899999999999995</v>
      </c>
      <c r="AH9" s="21">
        <v>0.94166666666666654</v>
      </c>
      <c r="AI9" s="19">
        <v>2.7E-2</v>
      </c>
      <c r="AJ9" s="19">
        <v>0.03</v>
      </c>
      <c r="AK9" s="19">
        <v>2.5000000000000001E-2</v>
      </c>
      <c r="AL9" s="21">
        <v>2.7E-2</v>
      </c>
      <c r="AM9" s="19">
        <v>1.2E-2</v>
      </c>
      <c r="AN9" s="19">
        <v>1.2999999999999999E-2</v>
      </c>
      <c r="AO9" s="19">
        <v>1.4E-2</v>
      </c>
      <c r="AP9" s="21">
        <v>1.2999999999999999E-2</v>
      </c>
      <c r="AQ9" s="19">
        <v>7.0000000000000001E-3</v>
      </c>
      <c r="AR9" s="19">
        <v>6.0000000000000001E-3</v>
      </c>
      <c r="AS9" s="19">
        <v>6.0000000000000001E-3</v>
      </c>
      <c r="AT9" s="21">
        <v>6.0000000000000001E-3</v>
      </c>
      <c r="AU9" s="19">
        <v>6.5339999999999998</v>
      </c>
      <c r="AV9" s="19">
        <v>6.5609999999999999</v>
      </c>
      <c r="AW9" s="19">
        <v>6.5170000000000003</v>
      </c>
      <c r="AX9" s="21">
        <v>6.5373333333333328</v>
      </c>
      <c r="AY9" s="27">
        <v>4.41E-2</v>
      </c>
      <c r="AZ9" s="27">
        <v>4.2299999999999997E-2</v>
      </c>
      <c r="BA9" s="27">
        <v>4.3400000000000001E-2</v>
      </c>
      <c r="BB9" s="28">
        <v>4.3266666666666669E-2</v>
      </c>
      <c r="BC9" s="82">
        <v>5.16</v>
      </c>
      <c r="BD9" s="82">
        <v>1.99</v>
      </c>
    </row>
    <row r="10" spans="1:57">
      <c r="A10" s="7" t="s">
        <v>5</v>
      </c>
      <c r="B10" s="5" t="s">
        <v>50</v>
      </c>
      <c r="C10" s="6" t="s">
        <v>42</v>
      </c>
      <c r="D10" s="6" t="s">
        <v>51</v>
      </c>
      <c r="E10" s="23">
        <v>14</v>
      </c>
      <c r="F10" s="23">
        <v>9.4</v>
      </c>
      <c r="G10" s="23">
        <v>11.9</v>
      </c>
      <c r="H10" s="24">
        <v>85</v>
      </c>
      <c r="I10" s="23">
        <v>0.5</v>
      </c>
      <c r="J10" s="23">
        <v>1.6</v>
      </c>
      <c r="K10" s="15">
        <v>1</v>
      </c>
      <c r="L10" s="15">
        <v>1</v>
      </c>
      <c r="M10" s="15">
        <v>1.1000000000000001</v>
      </c>
      <c r="N10" s="20">
        <v>1</v>
      </c>
      <c r="O10" s="15">
        <v>1</v>
      </c>
      <c r="P10" s="15">
        <v>0.9</v>
      </c>
      <c r="Q10" s="15">
        <v>0.8</v>
      </c>
      <c r="R10" s="20">
        <v>0.9</v>
      </c>
      <c r="S10" s="17">
        <v>2.1850000000000001</v>
      </c>
      <c r="T10" s="17">
        <v>2.2770000000000001</v>
      </c>
      <c r="U10" s="17">
        <v>2.2429999999999999</v>
      </c>
      <c r="V10" s="22">
        <v>2.2349999999999999</v>
      </c>
      <c r="W10" s="17">
        <v>2.1379999999999999</v>
      </c>
      <c r="X10" s="17">
        <v>2.1309999999999998</v>
      </c>
      <c r="Y10" s="17">
        <v>2.105</v>
      </c>
      <c r="Z10" s="22">
        <v>2.125</v>
      </c>
      <c r="AA10" s="17">
        <v>0.02</v>
      </c>
      <c r="AB10" s="17">
        <v>2.1999999999999999E-2</v>
      </c>
      <c r="AC10" s="19">
        <v>3.4000000000000002E-2</v>
      </c>
      <c r="AD10" s="21">
        <v>2.5000000000000001E-2</v>
      </c>
      <c r="AE10" s="19">
        <v>2.0289999999999999</v>
      </c>
      <c r="AF10" s="19">
        <v>2.0710000000000002</v>
      </c>
      <c r="AG10" s="19">
        <v>2.0630000000000002</v>
      </c>
      <c r="AH10" s="21">
        <v>2.0543333333333336</v>
      </c>
      <c r="AI10" s="19">
        <v>0.13800000000000001</v>
      </c>
      <c r="AJ10" s="19">
        <v>0.14000000000000001</v>
      </c>
      <c r="AK10" s="19">
        <v>0.13500000000000001</v>
      </c>
      <c r="AL10" s="21">
        <v>0.13800000000000001</v>
      </c>
      <c r="AM10" s="19">
        <v>0.114</v>
      </c>
      <c r="AN10" s="19">
        <v>0.115</v>
      </c>
      <c r="AO10" s="19">
        <v>0.11700000000000001</v>
      </c>
      <c r="AP10" s="21">
        <v>0.115</v>
      </c>
      <c r="AQ10" s="19">
        <v>0.112</v>
      </c>
      <c r="AR10" s="19">
        <v>0.112</v>
      </c>
      <c r="AS10" s="19">
        <v>0.113</v>
      </c>
      <c r="AT10" s="21">
        <v>0.112</v>
      </c>
      <c r="AU10" s="19">
        <v>6.31</v>
      </c>
      <c r="AV10" s="19">
        <v>6.4459999999999997</v>
      </c>
      <c r="AW10" s="19">
        <v>6.399</v>
      </c>
      <c r="AX10" s="21">
        <v>6.3850000000000007</v>
      </c>
      <c r="AY10" s="27">
        <v>3.7900000000000003E-2</v>
      </c>
      <c r="AZ10" s="27">
        <v>3.8699999999999998E-2</v>
      </c>
      <c r="BA10" s="27">
        <v>3.7400000000000003E-2</v>
      </c>
      <c r="BB10" s="28">
        <v>3.7999999999999999E-2</v>
      </c>
      <c r="BC10" s="83">
        <v>12.37</v>
      </c>
      <c r="BD10" s="83">
        <v>1.23</v>
      </c>
    </row>
    <row r="11" spans="1:57">
      <c r="A11" s="7" t="s">
        <v>6</v>
      </c>
      <c r="B11" s="5" t="s">
        <v>52</v>
      </c>
      <c r="C11" s="6" t="s">
        <v>53</v>
      </c>
      <c r="D11" s="6" t="s">
        <v>36</v>
      </c>
      <c r="E11" s="23">
        <v>15.4</v>
      </c>
      <c r="F11" s="23">
        <v>9</v>
      </c>
      <c r="G11" s="23">
        <v>10.5</v>
      </c>
      <c r="H11" s="24">
        <v>89</v>
      </c>
      <c r="I11" s="23">
        <v>0.7</v>
      </c>
      <c r="J11" s="23">
        <v>2.2999999999999998</v>
      </c>
      <c r="K11" s="15">
        <v>1.6</v>
      </c>
      <c r="L11" s="15">
        <v>1.6</v>
      </c>
      <c r="M11" s="15">
        <v>1.8</v>
      </c>
      <c r="N11" s="20">
        <v>1.7</v>
      </c>
      <c r="O11" s="15">
        <v>1.5</v>
      </c>
      <c r="P11" s="15">
        <v>1.3</v>
      </c>
      <c r="Q11" s="15">
        <v>1.3</v>
      </c>
      <c r="R11" s="20">
        <v>1.3666666666666665</v>
      </c>
      <c r="S11" s="17">
        <v>1.7130000000000001</v>
      </c>
      <c r="T11" s="17">
        <v>1.722</v>
      </c>
      <c r="U11" s="17">
        <v>1.6220000000000001</v>
      </c>
      <c r="V11" s="22">
        <v>1.6859999999999999</v>
      </c>
      <c r="W11" s="17">
        <v>1.651</v>
      </c>
      <c r="X11" s="17">
        <v>1.6759999999999999</v>
      </c>
      <c r="Y11" s="17">
        <v>1.6020000000000001</v>
      </c>
      <c r="Z11" s="22">
        <v>1.643</v>
      </c>
      <c r="AA11" s="17">
        <v>3.3000000000000002E-2</v>
      </c>
      <c r="AB11" s="17">
        <v>3.6999999999999998E-2</v>
      </c>
      <c r="AC11" s="19">
        <v>4.4999999999999998E-2</v>
      </c>
      <c r="AD11" s="21">
        <v>3.7999999999999999E-2</v>
      </c>
      <c r="AE11" s="19">
        <v>1.454</v>
      </c>
      <c r="AF11" s="19">
        <v>1.472</v>
      </c>
      <c r="AG11" s="19">
        <v>1.478</v>
      </c>
      <c r="AH11" s="21">
        <v>1.468</v>
      </c>
      <c r="AI11" s="19">
        <v>7.8E-2</v>
      </c>
      <c r="AJ11" s="19">
        <v>0.08</v>
      </c>
      <c r="AK11" s="19">
        <v>7.3999999999999996E-2</v>
      </c>
      <c r="AL11" s="21">
        <v>7.6999999999999999E-2</v>
      </c>
      <c r="AM11" s="19">
        <v>0.05</v>
      </c>
      <c r="AN11" s="19">
        <v>5.1999999999999998E-2</v>
      </c>
      <c r="AO11" s="19">
        <v>0.05</v>
      </c>
      <c r="AP11" s="21">
        <v>5.0999999999999997E-2</v>
      </c>
      <c r="AQ11" s="19">
        <v>4.8000000000000001E-2</v>
      </c>
      <c r="AR11" s="19">
        <v>4.5999999999999999E-2</v>
      </c>
      <c r="AS11" s="19">
        <v>4.5999999999999999E-2</v>
      </c>
      <c r="AT11" s="21">
        <v>4.7E-2</v>
      </c>
      <c r="AU11" s="19">
        <v>6.67</v>
      </c>
      <c r="AV11" s="19">
        <v>6.7619999999999996</v>
      </c>
      <c r="AW11" s="19">
        <v>6.7930000000000001</v>
      </c>
      <c r="AX11" s="21">
        <v>6.7416666666666663</v>
      </c>
      <c r="AY11" s="27">
        <v>4.2999999999999997E-2</v>
      </c>
      <c r="AZ11" s="27">
        <v>4.1599999999999998E-2</v>
      </c>
      <c r="BA11" s="27">
        <v>4.24E-2</v>
      </c>
      <c r="BB11" s="28">
        <v>4.2333333333333334E-2</v>
      </c>
      <c r="BC11" s="83">
        <v>8.4</v>
      </c>
      <c r="BD11" s="83">
        <v>4.9000000000000004</v>
      </c>
    </row>
    <row r="12" spans="1:57">
      <c r="A12" s="7" t="s">
        <v>7</v>
      </c>
      <c r="B12" s="5" t="s">
        <v>54</v>
      </c>
      <c r="C12" s="6" t="s">
        <v>55</v>
      </c>
      <c r="D12" s="6" t="s">
        <v>56</v>
      </c>
      <c r="E12" s="23">
        <v>14.2</v>
      </c>
      <c r="F12" s="23">
        <v>10.5</v>
      </c>
      <c r="G12" s="23">
        <v>13.4</v>
      </c>
      <c r="H12" s="24">
        <v>100</v>
      </c>
      <c r="I12" s="23">
        <v>1.4</v>
      </c>
      <c r="J12" s="23">
        <v>2</v>
      </c>
      <c r="K12" s="15">
        <v>1.5</v>
      </c>
      <c r="L12" s="15">
        <v>1.5</v>
      </c>
      <c r="M12" s="15">
        <v>1.4</v>
      </c>
      <c r="N12" s="20">
        <v>1.5</v>
      </c>
      <c r="O12" s="15">
        <v>1.4</v>
      </c>
      <c r="P12" s="15">
        <v>1.4</v>
      </c>
      <c r="Q12" s="15">
        <v>1.5</v>
      </c>
      <c r="R12" s="20">
        <v>1.4333333333333333</v>
      </c>
      <c r="S12" s="17">
        <v>1.179</v>
      </c>
      <c r="T12" s="17">
        <v>1.2130000000000001</v>
      </c>
      <c r="U12" s="17">
        <v>1.194</v>
      </c>
      <c r="V12" s="22">
        <v>1.1950000000000001</v>
      </c>
      <c r="W12" s="17">
        <v>1.1539999999999999</v>
      </c>
      <c r="X12" s="17">
        <v>1.1519999999999999</v>
      </c>
      <c r="Y12" s="17">
        <v>1.1399999999999999</v>
      </c>
      <c r="Z12" s="22">
        <v>1.149</v>
      </c>
      <c r="AA12" s="17">
        <v>3.1E-2</v>
      </c>
      <c r="AB12" s="17">
        <v>2.9000000000000001E-2</v>
      </c>
      <c r="AC12" s="19">
        <v>2.5999999999999999E-2</v>
      </c>
      <c r="AD12" s="21">
        <v>2.9000000000000001E-2</v>
      </c>
      <c r="AE12" s="19">
        <v>1.0009999999999999</v>
      </c>
      <c r="AF12" s="19">
        <v>0.995</v>
      </c>
      <c r="AG12" s="19">
        <v>0.996</v>
      </c>
      <c r="AH12" s="21">
        <v>0.99733333333333329</v>
      </c>
      <c r="AI12" s="19">
        <v>5.1999999999999998E-2</v>
      </c>
      <c r="AJ12" s="19">
        <v>5.1999999999999998E-2</v>
      </c>
      <c r="AK12" s="19">
        <v>0.05</v>
      </c>
      <c r="AL12" s="21">
        <v>5.0999999999999997E-2</v>
      </c>
      <c r="AM12" s="19">
        <v>3.6999999999999998E-2</v>
      </c>
      <c r="AN12" s="19">
        <v>3.7999999999999999E-2</v>
      </c>
      <c r="AO12" s="19">
        <v>3.5999999999999997E-2</v>
      </c>
      <c r="AP12" s="21">
        <v>3.6999999999999998E-2</v>
      </c>
      <c r="AQ12" s="19">
        <v>3.4000000000000002E-2</v>
      </c>
      <c r="AR12" s="19">
        <v>3.2000000000000001E-2</v>
      </c>
      <c r="AS12" s="19">
        <v>3.4000000000000002E-2</v>
      </c>
      <c r="AT12" s="21">
        <v>3.3000000000000002E-2</v>
      </c>
      <c r="AU12" s="19">
        <v>11.339</v>
      </c>
      <c r="AV12" s="19">
        <v>11.285</v>
      </c>
      <c r="AW12" s="19">
        <v>11.269</v>
      </c>
      <c r="AX12" s="21">
        <v>11.297666666666666</v>
      </c>
      <c r="AY12" s="27">
        <v>4.2700000000000002E-2</v>
      </c>
      <c r="AZ12" s="27">
        <v>4.2999999999999997E-2</v>
      </c>
      <c r="BA12" s="27">
        <v>4.19E-2</v>
      </c>
      <c r="BB12" s="28">
        <v>4.2533333333333333E-2</v>
      </c>
      <c r="BC12" s="83">
        <v>6.75</v>
      </c>
      <c r="BD12" s="83">
        <v>1.97</v>
      </c>
    </row>
    <row r="13" spans="1:57">
      <c r="A13" s="7" t="s">
        <v>8</v>
      </c>
      <c r="B13" s="5" t="s">
        <v>54</v>
      </c>
      <c r="C13" s="6" t="s">
        <v>44</v>
      </c>
      <c r="D13" s="6" t="s">
        <v>36</v>
      </c>
      <c r="E13" s="23">
        <v>15.6</v>
      </c>
      <c r="F13" s="23">
        <v>8.1999999999999993</v>
      </c>
      <c r="G13" s="23">
        <v>10.6</v>
      </c>
      <c r="H13" s="24">
        <v>104</v>
      </c>
      <c r="I13" s="23">
        <v>1.3</v>
      </c>
      <c r="J13" s="23">
        <v>2.9</v>
      </c>
      <c r="K13" s="15">
        <v>1.6</v>
      </c>
      <c r="L13" s="15">
        <v>1.7</v>
      </c>
      <c r="M13" s="15">
        <v>1.7</v>
      </c>
      <c r="N13" s="20">
        <v>1.7</v>
      </c>
      <c r="O13" s="15">
        <v>1.6</v>
      </c>
      <c r="P13" s="15">
        <v>1.6</v>
      </c>
      <c r="Q13" s="15">
        <v>1.4</v>
      </c>
      <c r="R13" s="20">
        <v>1.5333333333333332</v>
      </c>
      <c r="S13" s="17">
        <v>2.2519999999999998</v>
      </c>
      <c r="T13" s="17">
        <v>2.2149999999999999</v>
      </c>
      <c r="U13" s="17">
        <v>2.2309999999999999</v>
      </c>
      <c r="V13" s="22">
        <v>2.2330000000000001</v>
      </c>
      <c r="W13" s="17">
        <v>2.0790000000000002</v>
      </c>
      <c r="X13" s="17">
        <v>2.0960000000000001</v>
      </c>
      <c r="Y13" s="17">
        <v>2.0710000000000002</v>
      </c>
      <c r="Z13" s="22">
        <v>2.0819999999999999</v>
      </c>
      <c r="AA13" s="17">
        <v>7.0999999999999994E-2</v>
      </c>
      <c r="AB13" s="17">
        <v>6.5000000000000002E-2</v>
      </c>
      <c r="AC13" s="19">
        <v>6.8000000000000005E-2</v>
      </c>
      <c r="AD13" s="21">
        <v>6.8000000000000005E-2</v>
      </c>
      <c r="AE13" s="19">
        <v>1.8160000000000001</v>
      </c>
      <c r="AF13" s="19">
        <v>1.841</v>
      </c>
      <c r="AG13" s="19">
        <v>1.8740000000000001</v>
      </c>
      <c r="AH13" s="21">
        <v>1.8436666666666668</v>
      </c>
      <c r="AI13" s="19">
        <v>0.16800000000000001</v>
      </c>
      <c r="AJ13" s="19">
        <v>0.17</v>
      </c>
      <c r="AK13" s="19">
        <v>0.16400000000000001</v>
      </c>
      <c r="AL13" s="21">
        <v>0.16700000000000001</v>
      </c>
      <c r="AM13" s="19">
        <v>0.11</v>
      </c>
      <c r="AN13" s="19">
        <v>0.11</v>
      </c>
      <c r="AO13" s="19">
        <v>0.11</v>
      </c>
      <c r="AP13" s="21">
        <v>0.11</v>
      </c>
      <c r="AQ13" s="19">
        <v>0.108</v>
      </c>
      <c r="AR13" s="19">
        <v>0.108</v>
      </c>
      <c r="AS13" s="19">
        <v>0.109</v>
      </c>
      <c r="AT13" s="21">
        <v>0.108</v>
      </c>
      <c r="AU13" s="19">
        <v>7.4039999999999999</v>
      </c>
      <c r="AV13" s="19">
        <v>7.4909999999999997</v>
      </c>
      <c r="AW13" s="19">
        <v>7.6070000000000002</v>
      </c>
      <c r="AX13" s="21">
        <v>7.5006666666666666</v>
      </c>
      <c r="AY13" s="27">
        <v>4.4499999999999998E-2</v>
      </c>
      <c r="AZ13" s="27">
        <v>4.2200000000000001E-2</v>
      </c>
      <c r="BA13" s="27">
        <v>4.2999999999999997E-2</v>
      </c>
      <c r="BB13" s="28">
        <v>4.3233333333333325E-2</v>
      </c>
      <c r="BC13" s="83">
        <v>8.77</v>
      </c>
      <c r="BD13" s="83">
        <v>6.38</v>
      </c>
    </row>
    <row r="14" spans="1:57">
      <c r="A14" s="7" t="s">
        <v>9</v>
      </c>
      <c r="B14" s="5" t="s">
        <v>57</v>
      </c>
      <c r="C14" s="6" t="s">
        <v>58</v>
      </c>
      <c r="D14" s="6" t="s">
        <v>59</v>
      </c>
      <c r="E14" s="23">
        <v>12.5</v>
      </c>
      <c r="F14" s="23">
        <v>7.6</v>
      </c>
      <c r="G14" s="23">
        <v>11.1</v>
      </c>
      <c r="H14" s="24">
        <v>103</v>
      </c>
      <c r="I14" s="23">
        <v>0.5</v>
      </c>
      <c r="J14" s="23">
        <v>1.8</v>
      </c>
      <c r="K14" s="15">
        <v>1.3</v>
      </c>
      <c r="L14" s="15">
        <v>1.3</v>
      </c>
      <c r="M14" s="15">
        <v>1.2</v>
      </c>
      <c r="N14" s="20">
        <v>1.3</v>
      </c>
      <c r="O14" s="15">
        <v>1.3</v>
      </c>
      <c r="P14" s="15">
        <v>1.1000000000000001</v>
      </c>
      <c r="Q14" s="15">
        <v>1.1000000000000001</v>
      </c>
      <c r="R14" s="20">
        <v>1.1666666666666667</v>
      </c>
      <c r="S14" s="17">
        <v>1.6890000000000001</v>
      </c>
      <c r="T14" s="17">
        <v>1.7030000000000001</v>
      </c>
      <c r="U14" s="17">
        <v>1.6890000000000001</v>
      </c>
      <c r="V14" s="22">
        <v>1.694</v>
      </c>
      <c r="W14" s="17">
        <v>1.635</v>
      </c>
      <c r="X14" s="17">
        <v>1.66</v>
      </c>
      <c r="Y14" s="17">
        <v>1.6240000000000001</v>
      </c>
      <c r="Z14" s="22">
        <v>1.64</v>
      </c>
      <c r="AA14" s="17">
        <v>2.3E-2</v>
      </c>
      <c r="AB14" s="17">
        <v>1.0999999999999999E-2</v>
      </c>
      <c r="AC14" s="19">
        <v>1.2E-2</v>
      </c>
      <c r="AD14" s="21">
        <v>1.4999999999999999E-2</v>
      </c>
      <c r="AE14" s="19">
        <v>1.4890000000000001</v>
      </c>
      <c r="AF14" s="19">
        <v>1.5109999999999999</v>
      </c>
      <c r="AG14" s="19">
        <v>1.5269999999999999</v>
      </c>
      <c r="AH14" s="21">
        <v>1.5090000000000001</v>
      </c>
      <c r="AI14" s="19">
        <v>0.02</v>
      </c>
      <c r="AJ14" s="19">
        <v>0.02</v>
      </c>
      <c r="AK14" s="19">
        <v>1.7999999999999999E-2</v>
      </c>
      <c r="AL14" s="21">
        <v>1.9E-2</v>
      </c>
      <c r="AM14" s="19">
        <v>6.0000000000000001E-3</v>
      </c>
      <c r="AN14" s="19">
        <v>7.0000000000000001E-3</v>
      </c>
      <c r="AO14" s="19">
        <v>5.0000000000000001E-3</v>
      </c>
      <c r="AP14" s="21">
        <v>6.0000000000000001E-3</v>
      </c>
      <c r="AQ14" s="19">
        <v>2E-3</v>
      </c>
      <c r="AR14" s="19">
        <v>1E-3</v>
      </c>
      <c r="AS14" s="19">
        <v>1E-3</v>
      </c>
      <c r="AT14" s="21">
        <v>1E-3</v>
      </c>
      <c r="AU14" s="19">
        <v>5.8289999999999997</v>
      </c>
      <c r="AV14" s="19">
        <v>5.9139999999999997</v>
      </c>
      <c r="AW14" s="19">
        <v>5.9770000000000003</v>
      </c>
      <c r="AX14" s="21">
        <v>5.9066666666666663</v>
      </c>
      <c r="AY14" s="27">
        <v>3.8600000000000002E-2</v>
      </c>
      <c r="AZ14" s="27">
        <v>3.8899999999999997E-2</v>
      </c>
      <c r="BA14" s="27">
        <v>3.78E-2</v>
      </c>
      <c r="BB14" s="28">
        <v>3.8433333333333333E-2</v>
      </c>
      <c r="BC14" s="83">
        <v>6.9</v>
      </c>
      <c r="BD14" s="83">
        <v>1.1000000000000001</v>
      </c>
    </row>
    <row r="15" spans="1:57">
      <c r="A15" s="7" t="s">
        <v>10</v>
      </c>
      <c r="B15" s="5" t="s">
        <v>60</v>
      </c>
      <c r="C15" s="6" t="s">
        <v>61</v>
      </c>
      <c r="D15" s="6" t="s">
        <v>36</v>
      </c>
      <c r="E15" s="23">
        <v>14.5</v>
      </c>
      <c r="F15" s="23">
        <v>8.5</v>
      </c>
      <c r="G15" s="23">
        <v>10.7</v>
      </c>
      <c r="H15" s="24">
        <v>103</v>
      </c>
      <c r="I15" s="23">
        <v>1.1000000000000001</v>
      </c>
      <c r="J15" s="23">
        <v>2.6</v>
      </c>
      <c r="K15" s="15">
        <v>1.8</v>
      </c>
      <c r="L15" s="15">
        <v>1.7</v>
      </c>
      <c r="M15" s="15">
        <v>1.8</v>
      </c>
      <c r="N15" s="20">
        <v>1.8</v>
      </c>
      <c r="O15" s="15">
        <v>1.5</v>
      </c>
      <c r="P15" s="15">
        <v>1.4</v>
      </c>
      <c r="Q15" s="15">
        <v>1.4</v>
      </c>
      <c r="R15" s="20">
        <v>1.4333333333333333</v>
      </c>
      <c r="S15" s="17">
        <v>1.9610000000000001</v>
      </c>
      <c r="T15" s="17">
        <v>2.0150000000000001</v>
      </c>
      <c r="U15" s="17">
        <v>1.9550000000000001</v>
      </c>
      <c r="V15" s="22">
        <v>1.9770000000000001</v>
      </c>
      <c r="W15" s="17">
        <v>1.9259999999999999</v>
      </c>
      <c r="X15" s="17">
        <v>1.923</v>
      </c>
      <c r="Y15" s="17">
        <v>1.923</v>
      </c>
      <c r="Z15" s="22">
        <v>1.9239999999999999</v>
      </c>
      <c r="AA15" s="17">
        <v>3.9E-2</v>
      </c>
      <c r="AB15" s="17">
        <v>3.5999999999999997E-2</v>
      </c>
      <c r="AC15" s="19">
        <v>3.6999999999999998E-2</v>
      </c>
      <c r="AD15" s="21">
        <v>3.6999999999999998E-2</v>
      </c>
      <c r="AE15" s="19">
        <v>1.704</v>
      </c>
      <c r="AF15" s="19">
        <v>1.7130000000000001</v>
      </c>
      <c r="AG15" s="19">
        <v>1.7110000000000001</v>
      </c>
      <c r="AH15" s="21">
        <v>1.7093333333333334</v>
      </c>
      <c r="AI15" s="19">
        <v>0.115</v>
      </c>
      <c r="AJ15" s="19">
        <v>0.11700000000000001</v>
      </c>
      <c r="AK15" s="19">
        <v>0.114</v>
      </c>
      <c r="AL15" s="21">
        <v>0.115</v>
      </c>
      <c r="AM15" s="19">
        <v>8.1000000000000003E-2</v>
      </c>
      <c r="AN15" s="19">
        <v>8.3000000000000004E-2</v>
      </c>
      <c r="AO15" s="19">
        <v>8.5999999999999993E-2</v>
      </c>
      <c r="AP15" s="21">
        <v>8.3000000000000004E-2</v>
      </c>
      <c r="AQ15" s="19">
        <v>7.9000000000000001E-2</v>
      </c>
      <c r="AR15" s="19">
        <v>0.08</v>
      </c>
      <c r="AS15" s="19">
        <v>8.1000000000000003E-2</v>
      </c>
      <c r="AT15" s="21">
        <v>0.08</v>
      </c>
      <c r="AU15" s="19">
        <v>7.25</v>
      </c>
      <c r="AV15" s="19">
        <v>7.28</v>
      </c>
      <c r="AW15" s="19">
        <v>7.3019999999999996</v>
      </c>
      <c r="AX15" s="21">
        <v>7.2773333333333339</v>
      </c>
      <c r="AY15" s="27">
        <v>4.4200000000000003E-2</v>
      </c>
      <c r="AZ15" s="27">
        <v>4.1500000000000002E-2</v>
      </c>
      <c r="BA15" s="27">
        <v>4.2900000000000001E-2</v>
      </c>
      <c r="BB15" s="28">
        <v>4.2866666666666664E-2</v>
      </c>
      <c r="BC15" s="83">
        <v>9.17</v>
      </c>
      <c r="BD15" s="83">
        <v>3.61</v>
      </c>
    </row>
    <row r="16" spans="1:57">
      <c r="A16" s="7" t="s">
        <v>11</v>
      </c>
      <c r="B16" s="5" t="s">
        <v>108</v>
      </c>
      <c r="C16" s="6" t="s">
        <v>62</v>
      </c>
      <c r="D16" s="6" t="s">
        <v>63</v>
      </c>
      <c r="E16" s="23">
        <v>13.7</v>
      </c>
      <c r="F16" s="23">
        <v>9.1</v>
      </c>
      <c r="G16" s="23">
        <v>11.3</v>
      </c>
      <c r="H16" s="24">
        <v>125</v>
      </c>
      <c r="I16" s="23">
        <v>1.4</v>
      </c>
      <c r="J16" s="23">
        <v>3</v>
      </c>
      <c r="K16" s="15">
        <v>2.4</v>
      </c>
      <c r="L16" s="15">
        <v>2.2999999999999998</v>
      </c>
      <c r="M16" s="15">
        <v>2.4</v>
      </c>
      <c r="N16" s="20">
        <v>2.4</v>
      </c>
      <c r="O16" s="15">
        <v>2.2000000000000002</v>
      </c>
      <c r="P16" s="15">
        <v>2.1</v>
      </c>
      <c r="Q16" s="15">
        <v>2</v>
      </c>
      <c r="R16" s="20">
        <v>2.1</v>
      </c>
      <c r="S16" s="17">
        <v>1.861</v>
      </c>
      <c r="T16" s="17">
        <v>1.899</v>
      </c>
      <c r="U16" s="17">
        <v>1.867</v>
      </c>
      <c r="V16" s="22">
        <v>1.8759999999999999</v>
      </c>
      <c r="W16" s="17">
        <v>1.8360000000000001</v>
      </c>
      <c r="X16" s="17">
        <v>1.8120000000000001</v>
      </c>
      <c r="Y16" s="17">
        <v>1.8120000000000001</v>
      </c>
      <c r="Z16" s="22">
        <v>1.82</v>
      </c>
      <c r="AA16" s="17">
        <v>0.04</v>
      </c>
      <c r="AB16" s="17">
        <v>3.9E-2</v>
      </c>
      <c r="AC16" s="19">
        <v>0.04</v>
      </c>
      <c r="AD16" s="21">
        <v>0.04</v>
      </c>
      <c r="AE16" s="19">
        <v>1.522</v>
      </c>
      <c r="AF16" s="19">
        <v>1.6439999999999999</v>
      </c>
      <c r="AG16" s="19">
        <v>1.5569999999999999</v>
      </c>
      <c r="AH16" s="21">
        <v>1.5743333333333334</v>
      </c>
      <c r="AI16" s="19">
        <v>5.2999999999999999E-2</v>
      </c>
      <c r="AJ16" s="19">
        <v>5.2999999999999999E-2</v>
      </c>
      <c r="AK16" s="19">
        <v>0.05</v>
      </c>
      <c r="AL16" s="21">
        <v>5.1999999999999998E-2</v>
      </c>
      <c r="AM16" s="19">
        <v>3.1E-2</v>
      </c>
      <c r="AN16" s="19">
        <v>3.1E-2</v>
      </c>
      <c r="AO16" s="19">
        <v>2.9000000000000001E-2</v>
      </c>
      <c r="AP16" s="21">
        <v>0.03</v>
      </c>
      <c r="AQ16" s="19">
        <v>2.5000000000000001E-2</v>
      </c>
      <c r="AR16" s="19">
        <v>2.3E-2</v>
      </c>
      <c r="AS16" s="19">
        <v>2.4E-2</v>
      </c>
      <c r="AT16" s="21">
        <v>2.4E-2</v>
      </c>
      <c r="AU16" s="19">
        <v>8.9429999999999996</v>
      </c>
      <c r="AV16" s="19">
        <v>9.0670000000000002</v>
      </c>
      <c r="AW16" s="19">
        <v>9.1720000000000006</v>
      </c>
      <c r="AX16" s="21">
        <v>9.0606666666666662</v>
      </c>
      <c r="AY16" s="27">
        <v>5.6099999999999997E-2</v>
      </c>
      <c r="AZ16" s="27">
        <v>5.7599999999999998E-2</v>
      </c>
      <c r="BA16" s="27">
        <v>5.5300000000000002E-2</v>
      </c>
      <c r="BB16" s="28">
        <v>5.6333333333333326E-2</v>
      </c>
      <c r="BC16" s="83">
        <v>6.52</v>
      </c>
      <c r="BD16" s="83">
        <v>2.88</v>
      </c>
    </row>
    <row r="17" spans="1:56">
      <c r="A17" s="7" t="s">
        <v>12</v>
      </c>
      <c r="B17" s="5" t="s">
        <v>64</v>
      </c>
      <c r="C17" s="6" t="s">
        <v>65</v>
      </c>
      <c r="D17" s="6" t="s">
        <v>36</v>
      </c>
      <c r="E17" s="23">
        <v>14.3</v>
      </c>
      <c r="F17" s="23">
        <v>7.2</v>
      </c>
      <c r="G17" s="23">
        <v>10.1</v>
      </c>
      <c r="H17" s="24">
        <v>104</v>
      </c>
      <c r="I17" s="23">
        <v>1.3</v>
      </c>
      <c r="J17" s="23">
        <v>2.9</v>
      </c>
      <c r="K17" s="15">
        <v>1.9</v>
      </c>
      <c r="L17" s="15">
        <v>1.9</v>
      </c>
      <c r="M17" s="15">
        <v>2</v>
      </c>
      <c r="N17" s="20">
        <v>1.9</v>
      </c>
      <c r="O17" s="15">
        <v>1.7</v>
      </c>
      <c r="P17" s="15">
        <v>1.6</v>
      </c>
      <c r="Q17" s="15">
        <v>1.6</v>
      </c>
      <c r="R17" s="20">
        <v>1.6333333333333335</v>
      </c>
      <c r="S17" s="17">
        <v>1.7390000000000001</v>
      </c>
      <c r="T17" s="17">
        <v>1.7529999999999999</v>
      </c>
      <c r="U17" s="17">
        <v>1.728</v>
      </c>
      <c r="V17" s="22">
        <v>1.74</v>
      </c>
      <c r="W17" s="17">
        <v>1.6910000000000001</v>
      </c>
      <c r="X17" s="17">
        <v>1.6830000000000001</v>
      </c>
      <c r="Y17" s="17">
        <v>1.639</v>
      </c>
      <c r="Z17" s="22">
        <v>1.671</v>
      </c>
      <c r="AA17" s="17">
        <v>2.5000000000000001E-2</v>
      </c>
      <c r="AB17" s="17">
        <v>2.3E-2</v>
      </c>
      <c r="AC17" s="19">
        <v>2.3E-2</v>
      </c>
      <c r="AD17" s="21">
        <v>2.4E-2</v>
      </c>
      <c r="AE17" s="19">
        <v>1.4359999999999999</v>
      </c>
      <c r="AF17" s="19">
        <v>1.448</v>
      </c>
      <c r="AG17" s="19">
        <v>1.4530000000000001</v>
      </c>
      <c r="AH17" s="21">
        <v>1.4456666666666667</v>
      </c>
      <c r="AI17" s="19">
        <v>8.1000000000000003E-2</v>
      </c>
      <c r="AJ17" s="19">
        <v>7.9000000000000001E-2</v>
      </c>
      <c r="AK17" s="19">
        <v>7.8E-2</v>
      </c>
      <c r="AL17" s="21">
        <v>7.9000000000000001E-2</v>
      </c>
      <c r="AM17" s="19">
        <v>5.1999999999999998E-2</v>
      </c>
      <c r="AN17" s="19">
        <v>5.1999999999999998E-2</v>
      </c>
      <c r="AO17" s="19">
        <v>5.1999999999999998E-2</v>
      </c>
      <c r="AP17" s="21">
        <v>5.1999999999999998E-2</v>
      </c>
      <c r="AQ17" s="19">
        <v>4.9000000000000002E-2</v>
      </c>
      <c r="AR17" s="19">
        <v>4.7E-2</v>
      </c>
      <c r="AS17" s="19">
        <v>4.9000000000000002E-2</v>
      </c>
      <c r="AT17" s="21">
        <v>4.8000000000000001E-2</v>
      </c>
      <c r="AU17" s="19">
        <v>7.4550000000000001</v>
      </c>
      <c r="AV17" s="19">
        <v>7.4930000000000003</v>
      </c>
      <c r="AW17" s="19">
        <v>7.5490000000000004</v>
      </c>
      <c r="AX17" s="21">
        <v>7.4989999999999997</v>
      </c>
      <c r="AY17" s="27">
        <v>4.6600000000000003E-2</v>
      </c>
      <c r="AZ17" s="27">
        <v>4.53E-2</v>
      </c>
      <c r="BA17" s="27">
        <v>4.6199999999999998E-2</v>
      </c>
      <c r="BB17" s="28">
        <v>4.6033333333333336E-2</v>
      </c>
      <c r="BC17" s="83">
        <v>8.77</v>
      </c>
      <c r="BD17" s="83">
        <v>3.77</v>
      </c>
    </row>
    <row r="18" spans="1:56">
      <c r="A18" s="7" t="s">
        <v>13</v>
      </c>
      <c r="B18" s="5" t="s">
        <v>66</v>
      </c>
      <c r="C18" s="6" t="s">
        <v>44</v>
      </c>
      <c r="D18" s="6" t="s">
        <v>67</v>
      </c>
      <c r="E18" s="23">
        <v>15</v>
      </c>
      <c r="F18" s="23">
        <v>7.4</v>
      </c>
      <c r="G18" s="23">
        <v>10.8</v>
      </c>
      <c r="H18" s="24">
        <v>163</v>
      </c>
      <c r="I18" s="23">
        <v>1.4</v>
      </c>
      <c r="J18" s="23">
        <v>5.5</v>
      </c>
      <c r="K18" s="15">
        <v>3.8</v>
      </c>
      <c r="L18" s="15">
        <v>3.7</v>
      </c>
      <c r="M18" s="15">
        <v>3.8</v>
      </c>
      <c r="N18" s="20">
        <v>3.8</v>
      </c>
      <c r="O18" s="15">
        <v>2.9</v>
      </c>
      <c r="P18" s="15">
        <v>2.9</v>
      </c>
      <c r="Q18" s="15">
        <v>2.9</v>
      </c>
      <c r="R18" s="20">
        <v>2.9</v>
      </c>
      <c r="S18" s="17">
        <v>2.2749999999999999</v>
      </c>
      <c r="T18" s="17">
        <v>2.3570000000000002</v>
      </c>
      <c r="U18" s="17">
        <v>2.3149999999999999</v>
      </c>
      <c r="V18" s="22">
        <v>2.3159999999999998</v>
      </c>
      <c r="W18" s="17">
        <v>2.2610000000000001</v>
      </c>
      <c r="X18" s="17">
        <v>2.222</v>
      </c>
      <c r="Y18" s="17">
        <v>2.2090000000000001</v>
      </c>
      <c r="Z18" s="22">
        <v>2.2309999999999999</v>
      </c>
      <c r="AA18" s="17">
        <v>3.2000000000000001E-2</v>
      </c>
      <c r="AB18" s="17">
        <v>3.4000000000000002E-2</v>
      </c>
      <c r="AC18" s="19">
        <v>3.2000000000000001E-2</v>
      </c>
      <c r="AD18" s="21">
        <v>3.3000000000000002E-2</v>
      </c>
      <c r="AE18" s="19">
        <v>1.8660000000000001</v>
      </c>
      <c r="AF18" s="19">
        <v>1.8680000000000001</v>
      </c>
      <c r="AG18" s="19">
        <v>1.8919999999999999</v>
      </c>
      <c r="AH18" s="21">
        <v>1.8753333333333331</v>
      </c>
      <c r="AI18" s="19">
        <v>7.8E-2</v>
      </c>
      <c r="AJ18" s="19">
        <v>7.9000000000000001E-2</v>
      </c>
      <c r="AK18" s="19">
        <v>7.8E-2</v>
      </c>
      <c r="AL18" s="21">
        <v>7.8E-2</v>
      </c>
      <c r="AM18" s="19">
        <v>2.8000000000000001E-2</v>
      </c>
      <c r="AN18" s="19">
        <v>2.9000000000000001E-2</v>
      </c>
      <c r="AO18" s="19">
        <v>2.7E-2</v>
      </c>
      <c r="AP18" s="21">
        <v>2.8000000000000001E-2</v>
      </c>
      <c r="AQ18" s="19">
        <v>0.02</v>
      </c>
      <c r="AR18" s="19">
        <v>1.9E-2</v>
      </c>
      <c r="AS18" s="19">
        <v>0.02</v>
      </c>
      <c r="AT18" s="21">
        <v>0.02</v>
      </c>
      <c r="AU18" s="19">
        <v>11.863</v>
      </c>
      <c r="AV18" s="19">
        <v>11.875</v>
      </c>
      <c r="AW18" s="19">
        <v>12.010999999999999</v>
      </c>
      <c r="AX18" s="21">
        <v>11.916333333333332</v>
      </c>
      <c r="AY18" s="27">
        <v>8.0500000000000002E-2</v>
      </c>
      <c r="AZ18" s="27">
        <v>8.1699999999999995E-2</v>
      </c>
      <c r="BA18" s="27">
        <v>7.9600000000000004E-2</v>
      </c>
      <c r="BB18" s="28">
        <v>8.0600000000000005E-2</v>
      </c>
      <c r="BC18" s="83">
        <v>8.74</v>
      </c>
      <c r="BD18" s="83">
        <v>2.4900000000000002</v>
      </c>
    </row>
    <row r="19" spans="1:56">
      <c r="A19" s="7" t="s">
        <v>14</v>
      </c>
      <c r="B19" s="5" t="s">
        <v>64</v>
      </c>
      <c r="C19" s="6" t="s">
        <v>68</v>
      </c>
      <c r="D19" s="6" t="s">
        <v>36</v>
      </c>
      <c r="E19" s="23">
        <v>14.5</v>
      </c>
      <c r="F19" s="23">
        <v>7.3</v>
      </c>
      <c r="G19" s="23">
        <v>9.9</v>
      </c>
      <c r="H19" s="24">
        <v>107</v>
      </c>
      <c r="I19" s="23">
        <v>1.1000000000000001</v>
      </c>
      <c r="J19" s="23">
        <v>3.1</v>
      </c>
      <c r="K19" s="15">
        <v>2</v>
      </c>
      <c r="L19" s="15">
        <v>2</v>
      </c>
      <c r="M19" s="15">
        <v>2</v>
      </c>
      <c r="N19" s="20">
        <v>2</v>
      </c>
      <c r="O19" s="15">
        <v>1.7</v>
      </c>
      <c r="P19" s="15">
        <v>1.7</v>
      </c>
      <c r="Q19" s="15">
        <v>1.7</v>
      </c>
      <c r="R19" s="20">
        <v>1.7</v>
      </c>
      <c r="S19" s="17">
        <v>1.796</v>
      </c>
      <c r="T19" s="17">
        <v>1.806</v>
      </c>
      <c r="U19" s="17">
        <v>1.756</v>
      </c>
      <c r="V19" s="22">
        <v>1.786</v>
      </c>
      <c r="W19" s="17">
        <v>1.6739999999999999</v>
      </c>
      <c r="X19" s="17">
        <v>1.6910000000000001</v>
      </c>
      <c r="Y19" s="17">
        <v>1.6639999999999999</v>
      </c>
      <c r="Z19" s="22">
        <v>1.6759999999999999</v>
      </c>
      <c r="AA19" s="17">
        <v>1.9E-2</v>
      </c>
      <c r="AB19" s="17">
        <v>0.02</v>
      </c>
      <c r="AC19" s="19">
        <v>1.6E-2</v>
      </c>
      <c r="AD19" s="21">
        <v>1.7999999999999999E-2</v>
      </c>
      <c r="AE19" s="19">
        <v>1.4570000000000001</v>
      </c>
      <c r="AF19" s="19">
        <v>1.4790000000000001</v>
      </c>
      <c r="AG19" s="19">
        <v>1.4950000000000001</v>
      </c>
      <c r="AH19" s="21">
        <v>1.4770000000000001</v>
      </c>
      <c r="AI19" s="19">
        <v>7.0999999999999994E-2</v>
      </c>
      <c r="AJ19" s="19">
        <v>7.0999999999999994E-2</v>
      </c>
      <c r="AK19" s="19">
        <v>6.8000000000000005E-2</v>
      </c>
      <c r="AL19" s="21">
        <v>7.0000000000000007E-2</v>
      </c>
      <c r="AM19" s="19">
        <v>4.5999999999999999E-2</v>
      </c>
      <c r="AN19" s="19">
        <v>4.7E-2</v>
      </c>
      <c r="AO19" s="19">
        <v>4.8000000000000001E-2</v>
      </c>
      <c r="AP19" s="21">
        <v>4.7E-2</v>
      </c>
      <c r="AQ19" s="19">
        <v>4.3999999999999997E-2</v>
      </c>
      <c r="AR19" s="19">
        <v>4.2999999999999997E-2</v>
      </c>
      <c r="AS19" s="19">
        <v>4.3999999999999997E-2</v>
      </c>
      <c r="AT19" s="21">
        <v>4.3999999999999997E-2</v>
      </c>
      <c r="AU19" s="19">
        <v>7.5890000000000004</v>
      </c>
      <c r="AV19" s="19">
        <v>7.6929999999999996</v>
      </c>
      <c r="AW19" s="19">
        <v>7.7640000000000002</v>
      </c>
      <c r="AX19" s="21">
        <v>7.6819999999999995</v>
      </c>
      <c r="AY19" s="27">
        <v>4.7699999999999999E-2</v>
      </c>
      <c r="AZ19" s="27">
        <v>4.5900000000000003E-2</v>
      </c>
      <c r="BA19" s="27">
        <v>4.6800000000000001E-2</v>
      </c>
      <c r="BB19" s="28">
        <v>4.6800000000000001E-2</v>
      </c>
      <c r="BC19" s="83">
        <v>8.7100000000000009</v>
      </c>
      <c r="BD19" s="83">
        <v>4.45</v>
      </c>
    </row>
    <row r="20" spans="1:56">
      <c r="A20" s="7" t="s">
        <v>15</v>
      </c>
      <c r="B20" s="5" t="s">
        <v>69</v>
      </c>
      <c r="C20" s="6" t="s">
        <v>70</v>
      </c>
      <c r="D20" s="6" t="s">
        <v>71</v>
      </c>
      <c r="E20" s="23">
        <v>14.3</v>
      </c>
      <c r="F20" s="23">
        <v>7.3</v>
      </c>
      <c r="G20" s="23">
        <v>10.4</v>
      </c>
      <c r="H20" s="24">
        <v>192</v>
      </c>
      <c r="I20" s="23">
        <v>0.6</v>
      </c>
      <c r="J20" s="23">
        <v>2.7</v>
      </c>
      <c r="K20" s="15">
        <v>1.8</v>
      </c>
      <c r="L20" s="15">
        <v>1.9</v>
      </c>
      <c r="M20" s="15">
        <v>1.8</v>
      </c>
      <c r="N20" s="20">
        <v>1.8</v>
      </c>
      <c r="O20" s="15">
        <v>1.8</v>
      </c>
      <c r="P20" s="15">
        <v>1.7</v>
      </c>
      <c r="Q20" s="15">
        <v>1.7</v>
      </c>
      <c r="R20" s="20">
        <v>1.7333333333333334</v>
      </c>
      <c r="S20" s="17">
        <v>1.27</v>
      </c>
      <c r="T20" s="17">
        <v>1.292</v>
      </c>
      <c r="U20" s="17">
        <v>1.274</v>
      </c>
      <c r="V20" s="22">
        <v>1.2789999999999999</v>
      </c>
      <c r="W20" s="17">
        <v>1.1910000000000001</v>
      </c>
      <c r="X20" s="17">
        <v>1.202</v>
      </c>
      <c r="Y20" s="17">
        <v>1.181</v>
      </c>
      <c r="Z20" s="22">
        <v>1.1910000000000001</v>
      </c>
      <c r="AA20" s="17">
        <v>2.3E-2</v>
      </c>
      <c r="AB20" s="17">
        <v>2.3E-2</v>
      </c>
      <c r="AC20" s="19">
        <v>2.5999999999999999E-2</v>
      </c>
      <c r="AD20" s="21">
        <v>2.4E-2</v>
      </c>
      <c r="AE20" s="19">
        <v>1.032</v>
      </c>
      <c r="AF20" s="19">
        <v>1.03</v>
      </c>
      <c r="AG20" s="19">
        <v>1.0529999999999999</v>
      </c>
      <c r="AH20" s="21">
        <v>1.0383333333333333</v>
      </c>
      <c r="AI20" s="19">
        <v>0.02</v>
      </c>
      <c r="AJ20" s="19">
        <v>1.7999999999999999E-2</v>
      </c>
      <c r="AK20" s="19">
        <v>1.7999999999999999E-2</v>
      </c>
      <c r="AL20" s="21">
        <v>1.9E-2</v>
      </c>
      <c r="AM20" s="19">
        <v>6.0000000000000001E-3</v>
      </c>
      <c r="AN20" s="19">
        <v>8.0000000000000002E-3</v>
      </c>
      <c r="AO20" s="19">
        <v>6.0000000000000001E-3</v>
      </c>
      <c r="AP20" s="21">
        <v>7.0000000000000001E-3</v>
      </c>
      <c r="AQ20" s="19">
        <v>2E-3</v>
      </c>
      <c r="AR20" s="19">
        <v>2E-3</v>
      </c>
      <c r="AS20" s="19">
        <v>2E-3</v>
      </c>
      <c r="AT20" s="21">
        <v>2E-3</v>
      </c>
      <c r="AU20" s="19">
        <v>7.077</v>
      </c>
      <c r="AV20" s="19">
        <v>7.0419999999999998</v>
      </c>
      <c r="AW20" s="19">
        <v>7.2060000000000004</v>
      </c>
      <c r="AX20" s="21">
        <v>7.1083333333333334</v>
      </c>
      <c r="AY20" s="27">
        <v>5.45E-2</v>
      </c>
      <c r="AZ20" s="27">
        <v>5.3900000000000003E-2</v>
      </c>
      <c r="BA20" s="27">
        <v>5.28E-2</v>
      </c>
      <c r="BB20" s="28">
        <v>5.3733333333333334E-2</v>
      </c>
      <c r="BC20" s="83">
        <v>5.41</v>
      </c>
      <c r="BD20" s="83">
        <v>2.25</v>
      </c>
    </row>
    <row r="21" spans="1:56">
      <c r="A21" s="7" t="s">
        <v>16</v>
      </c>
      <c r="B21" s="5" t="s">
        <v>72</v>
      </c>
      <c r="C21" s="6" t="s">
        <v>73</v>
      </c>
      <c r="D21" s="6" t="s">
        <v>36</v>
      </c>
      <c r="E21" s="23">
        <v>15.8</v>
      </c>
      <c r="F21" s="23">
        <v>7.5</v>
      </c>
      <c r="G21" s="23">
        <v>10.3</v>
      </c>
      <c r="H21" s="24">
        <v>120</v>
      </c>
      <c r="I21" s="23">
        <v>1.3</v>
      </c>
      <c r="J21" s="23">
        <v>3.3</v>
      </c>
      <c r="K21" s="15">
        <v>2.1</v>
      </c>
      <c r="L21" s="15">
        <v>2.2000000000000002</v>
      </c>
      <c r="M21" s="15">
        <v>2.2999999999999998</v>
      </c>
      <c r="N21" s="20">
        <v>2.2000000000000002</v>
      </c>
      <c r="O21" s="15">
        <v>2</v>
      </c>
      <c r="P21" s="15">
        <v>1.8</v>
      </c>
      <c r="Q21" s="15">
        <v>1.8</v>
      </c>
      <c r="R21" s="20">
        <v>1.8666666666666665</v>
      </c>
      <c r="S21" s="17">
        <v>1.665</v>
      </c>
      <c r="T21" s="17">
        <v>1.7370000000000001</v>
      </c>
      <c r="U21" s="17">
        <v>1.681</v>
      </c>
      <c r="V21" s="22">
        <v>1.694</v>
      </c>
      <c r="W21" s="17">
        <v>1.64</v>
      </c>
      <c r="X21" s="17">
        <v>1.605</v>
      </c>
      <c r="Y21" s="17">
        <v>1.601</v>
      </c>
      <c r="Z21" s="22">
        <v>1.615</v>
      </c>
      <c r="AA21" s="17">
        <v>1.7999999999999999E-2</v>
      </c>
      <c r="AB21" s="17">
        <v>1.4999999999999999E-2</v>
      </c>
      <c r="AC21" s="19">
        <v>1.6E-2</v>
      </c>
      <c r="AD21" s="21">
        <v>1.6E-2</v>
      </c>
      <c r="AE21" s="19">
        <v>1.526</v>
      </c>
      <c r="AF21" s="19">
        <v>1.3859999999999999</v>
      </c>
      <c r="AG21" s="19">
        <v>1.3919999999999999</v>
      </c>
      <c r="AH21" s="21">
        <v>1.4346666666666668</v>
      </c>
      <c r="AI21" s="19">
        <v>7.0999999999999994E-2</v>
      </c>
      <c r="AJ21" s="19">
        <v>7.0000000000000007E-2</v>
      </c>
      <c r="AK21" s="19">
        <v>6.7000000000000004E-2</v>
      </c>
      <c r="AL21" s="21">
        <v>6.9000000000000006E-2</v>
      </c>
      <c r="AM21" s="19">
        <v>4.2999999999999997E-2</v>
      </c>
      <c r="AN21" s="19">
        <v>4.2000000000000003E-2</v>
      </c>
      <c r="AO21" s="19">
        <v>4.4999999999999998E-2</v>
      </c>
      <c r="AP21" s="21">
        <v>4.2999999999999997E-2</v>
      </c>
      <c r="AQ21" s="19">
        <v>0.04</v>
      </c>
      <c r="AR21" s="19">
        <v>3.7999999999999999E-2</v>
      </c>
      <c r="AS21" s="19">
        <v>0.04</v>
      </c>
      <c r="AT21" s="21">
        <v>3.9E-2</v>
      </c>
      <c r="AU21" s="19">
        <v>8.2360000000000007</v>
      </c>
      <c r="AV21" s="19">
        <v>7.6920000000000002</v>
      </c>
      <c r="AW21" s="19">
        <v>7.7329999999999997</v>
      </c>
      <c r="AX21" s="21">
        <v>7.8870000000000005</v>
      </c>
      <c r="AY21" s="27">
        <v>4.9599999999999998E-2</v>
      </c>
      <c r="AZ21" s="27">
        <v>5.0900000000000001E-2</v>
      </c>
      <c r="BA21" s="27">
        <v>4.9299999999999997E-2</v>
      </c>
      <c r="BB21" s="28">
        <v>4.993333333333333E-2</v>
      </c>
      <c r="BC21" s="83">
        <v>8.1999999999999993</v>
      </c>
      <c r="BD21" s="83">
        <v>3.53</v>
      </c>
    </row>
    <row r="22" spans="1:56">
      <c r="A22" s="7" t="s">
        <v>17</v>
      </c>
      <c r="B22" s="5" t="s">
        <v>74</v>
      </c>
      <c r="C22" s="6" t="s">
        <v>75</v>
      </c>
      <c r="D22" s="6" t="s">
        <v>76</v>
      </c>
      <c r="E22" s="23">
        <v>16</v>
      </c>
      <c r="F22" s="23">
        <v>7.8</v>
      </c>
      <c r="G22" s="23">
        <v>10.7</v>
      </c>
      <c r="H22" s="24">
        <v>181</v>
      </c>
      <c r="I22" s="23">
        <v>1.4</v>
      </c>
      <c r="J22" s="23">
        <v>3</v>
      </c>
      <c r="K22" s="15">
        <v>2</v>
      </c>
      <c r="L22" s="15">
        <v>2</v>
      </c>
      <c r="M22" s="15">
        <v>2</v>
      </c>
      <c r="N22" s="20">
        <v>2</v>
      </c>
      <c r="O22" s="15">
        <v>1.8</v>
      </c>
      <c r="P22" s="15">
        <v>1.7</v>
      </c>
      <c r="Q22" s="15">
        <v>1.7</v>
      </c>
      <c r="R22" s="20">
        <v>1.7333333333333334</v>
      </c>
      <c r="S22" s="17">
        <v>1.9019999999999999</v>
      </c>
      <c r="T22" s="17">
        <v>1.976</v>
      </c>
      <c r="U22" s="17">
        <v>1.91</v>
      </c>
      <c r="V22" s="22">
        <v>1.929</v>
      </c>
      <c r="W22" s="17">
        <v>1.881</v>
      </c>
      <c r="X22" s="17">
        <v>1.87</v>
      </c>
      <c r="Y22" s="17">
        <v>1.847</v>
      </c>
      <c r="Z22" s="22">
        <v>1.8660000000000001</v>
      </c>
      <c r="AA22" s="17">
        <v>1.9E-2</v>
      </c>
      <c r="AB22" s="17">
        <v>1.7999999999999999E-2</v>
      </c>
      <c r="AC22" s="19">
        <v>1.7000000000000001E-2</v>
      </c>
      <c r="AD22" s="21">
        <v>1.7999999999999999E-2</v>
      </c>
      <c r="AE22" s="19">
        <v>1.6180000000000001</v>
      </c>
      <c r="AF22" s="19">
        <v>1.6259999999999999</v>
      </c>
      <c r="AG22" s="19">
        <v>1.6339999999999999</v>
      </c>
      <c r="AH22" s="21">
        <v>1.6260000000000001</v>
      </c>
      <c r="AI22" s="19">
        <v>3.6999999999999998E-2</v>
      </c>
      <c r="AJ22" s="19">
        <v>3.6999999999999998E-2</v>
      </c>
      <c r="AK22" s="19">
        <v>3.5000000000000003E-2</v>
      </c>
      <c r="AL22" s="21">
        <v>3.5999999999999997E-2</v>
      </c>
      <c r="AM22" s="19">
        <v>0.02</v>
      </c>
      <c r="AN22" s="19">
        <v>2.1000000000000001E-2</v>
      </c>
      <c r="AO22" s="19">
        <v>1.9E-2</v>
      </c>
      <c r="AP22" s="21">
        <v>0.02</v>
      </c>
      <c r="AQ22" s="19">
        <v>1.2999999999999999E-2</v>
      </c>
      <c r="AR22" s="19">
        <v>1.2999999999999999E-2</v>
      </c>
      <c r="AS22" s="19">
        <v>1.2999999999999999E-2</v>
      </c>
      <c r="AT22" s="21">
        <v>1.2999999999999999E-2</v>
      </c>
      <c r="AU22" s="19">
        <v>11.52</v>
      </c>
      <c r="AV22" s="19">
        <v>11.586</v>
      </c>
      <c r="AW22" s="19">
        <v>11.608000000000001</v>
      </c>
      <c r="AX22" s="21">
        <v>11.571333333333333</v>
      </c>
      <c r="AY22" s="27">
        <v>4.8099999999999997E-2</v>
      </c>
      <c r="AZ22" s="27">
        <v>4.6300000000000001E-2</v>
      </c>
      <c r="BA22" s="27">
        <v>4.7199999999999999E-2</v>
      </c>
      <c r="BB22" s="28">
        <v>4.7199999999999999E-2</v>
      </c>
      <c r="BC22" s="83">
        <v>8.59</v>
      </c>
      <c r="BD22" s="83">
        <v>3.51</v>
      </c>
    </row>
    <row r="23" spans="1:56">
      <c r="A23" s="7" t="s">
        <v>18</v>
      </c>
      <c r="B23" s="5" t="s">
        <v>109</v>
      </c>
      <c r="C23" s="6" t="s">
        <v>77</v>
      </c>
      <c r="D23" s="6" t="s">
        <v>36</v>
      </c>
      <c r="E23" s="23">
        <v>16.600000000000001</v>
      </c>
      <c r="F23" s="23">
        <v>7.9</v>
      </c>
      <c r="G23" s="23">
        <v>11.1</v>
      </c>
      <c r="H23" s="24">
        <v>152</v>
      </c>
      <c r="I23" s="23">
        <v>1.8</v>
      </c>
      <c r="J23" s="23">
        <v>3.8</v>
      </c>
      <c r="K23" s="15">
        <v>2.5</v>
      </c>
      <c r="L23" s="15">
        <v>2.6</v>
      </c>
      <c r="M23" s="15">
        <v>2.6</v>
      </c>
      <c r="N23" s="20">
        <v>2.6</v>
      </c>
      <c r="O23" s="15">
        <v>2.1</v>
      </c>
      <c r="P23" s="15">
        <v>2</v>
      </c>
      <c r="Q23" s="15">
        <v>1.9</v>
      </c>
      <c r="R23" s="20">
        <v>2</v>
      </c>
      <c r="S23" s="17">
        <v>2.0470000000000002</v>
      </c>
      <c r="T23" s="17">
        <v>2.129</v>
      </c>
      <c r="U23" s="17">
        <v>2.048</v>
      </c>
      <c r="V23" s="22">
        <v>2.0750000000000002</v>
      </c>
      <c r="W23" s="17">
        <v>1.994</v>
      </c>
      <c r="X23" s="17">
        <v>1.9890000000000001</v>
      </c>
      <c r="Y23" s="17">
        <v>1.946</v>
      </c>
      <c r="Z23" s="22">
        <v>1.976</v>
      </c>
      <c r="AA23" s="17">
        <v>7.9000000000000001E-2</v>
      </c>
      <c r="AB23" s="17">
        <v>7.5999999999999998E-2</v>
      </c>
      <c r="AC23" s="19">
        <v>7.8E-2</v>
      </c>
      <c r="AD23" s="21">
        <v>7.8E-2</v>
      </c>
      <c r="AE23" s="19">
        <v>1.6919999999999999</v>
      </c>
      <c r="AF23" s="19">
        <v>1.704</v>
      </c>
      <c r="AG23" s="19">
        <v>1.696</v>
      </c>
      <c r="AH23" s="21">
        <v>1.6973333333333331</v>
      </c>
      <c r="AI23" s="19">
        <v>7.0000000000000007E-2</v>
      </c>
      <c r="AJ23" s="19">
        <v>7.6999999999999999E-2</v>
      </c>
      <c r="AK23" s="19">
        <v>6.6000000000000003E-2</v>
      </c>
      <c r="AL23" s="21">
        <v>7.0999999999999994E-2</v>
      </c>
      <c r="AM23" s="19">
        <v>4.1000000000000002E-2</v>
      </c>
      <c r="AN23" s="19">
        <v>0.04</v>
      </c>
      <c r="AO23" s="19">
        <v>4.2999999999999997E-2</v>
      </c>
      <c r="AP23" s="21">
        <v>4.1000000000000002E-2</v>
      </c>
      <c r="AQ23" s="19">
        <v>3.9E-2</v>
      </c>
      <c r="AR23" s="19">
        <v>3.6999999999999998E-2</v>
      </c>
      <c r="AS23" s="19">
        <v>3.9E-2</v>
      </c>
      <c r="AT23" s="21">
        <v>3.7999999999999999E-2</v>
      </c>
      <c r="AU23" s="19">
        <v>10.853999999999999</v>
      </c>
      <c r="AV23" s="19">
        <v>10.887</v>
      </c>
      <c r="AW23" s="19">
        <v>10.884</v>
      </c>
      <c r="AX23" s="21">
        <v>10.875</v>
      </c>
      <c r="AY23" s="27">
        <v>5.2600000000000001E-2</v>
      </c>
      <c r="AZ23" s="27">
        <v>5.3199999999999997E-2</v>
      </c>
      <c r="BA23" s="27">
        <v>5.1700000000000003E-2</v>
      </c>
      <c r="BB23" s="28">
        <v>5.2499999999999998E-2</v>
      </c>
      <c r="BC23" s="83">
        <v>8.75</v>
      </c>
      <c r="BD23" s="83">
        <v>4.05</v>
      </c>
    </row>
    <row r="24" spans="1:56">
      <c r="A24" s="7" t="s">
        <v>19</v>
      </c>
      <c r="B24" s="5" t="s">
        <v>78</v>
      </c>
      <c r="C24" s="6" t="s">
        <v>44</v>
      </c>
      <c r="D24" s="6" t="s">
        <v>79</v>
      </c>
      <c r="E24" s="23">
        <v>15.4</v>
      </c>
      <c r="F24" s="23">
        <v>8.9</v>
      </c>
      <c r="G24" s="23">
        <v>13</v>
      </c>
      <c r="H24" s="24">
        <v>156</v>
      </c>
      <c r="I24" s="23">
        <v>1</v>
      </c>
      <c r="J24" s="23">
        <v>2.7</v>
      </c>
      <c r="K24" s="15">
        <v>1.8</v>
      </c>
      <c r="L24" s="15">
        <v>1.8</v>
      </c>
      <c r="M24" s="15">
        <v>1.8</v>
      </c>
      <c r="N24" s="20">
        <v>1.8</v>
      </c>
      <c r="O24" s="15">
        <v>1.8</v>
      </c>
      <c r="P24" s="15">
        <v>1.7</v>
      </c>
      <c r="Q24" s="15">
        <v>1.7</v>
      </c>
      <c r="R24" s="20">
        <v>1.7333333333333334</v>
      </c>
      <c r="S24" s="17">
        <v>2.2170000000000001</v>
      </c>
      <c r="T24" s="17">
        <v>2.2309999999999999</v>
      </c>
      <c r="U24" s="17">
        <v>2.2320000000000002</v>
      </c>
      <c r="V24" s="22">
        <v>2.2269999999999999</v>
      </c>
      <c r="W24" s="17">
        <v>2.1800000000000002</v>
      </c>
      <c r="X24" s="17">
        <v>2.173</v>
      </c>
      <c r="Y24" s="17">
        <v>2.1429999999999998</v>
      </c>
      <c r="Z24" s="22">
        <v>2.165</v>
      </c>
      <c r="AA24" s="17">
        <v>1.4E-2</v>
      </c>
      <c r="AB24" s="17">
        <v>1.4E-2</v>
      </c>
      <c r="AC24" s="19">
        <v>1.7000000000000001E-2</v>
      </c>
      <c r="AD24" s="21">
        <v>1.4999999999999999E-2</v>
      </c>
      <c r="AE24" s="19">
        <v>1.958</v>
      </c>
      <c r="AF24" s="19">
        <v>1.9610000000000001</v>
      </c>
      <c r="AG24" s="19">
        <v>1.984</v>
      </c>
      <c r="AH24" s="21">
        <v>1.9676666666666669</v>
      </c>
      <c r="AI24" s="19">
        <v>2.9000000000000001E-2</v>
      </c>
      <c r="AJ24" s="19">
        <v>2.5999999999999999E-2</v>
      </c>
      <c r="AK24" s="19">
        <v>2.4E-2</v>
      </c>
      <c r="AL24" s="21">
        <v>2.5999999999999999E-2</v>
      </c>
      <c r="AM24" s="19">
        <v>1.2999999999999999E-2</v>
      </c>
      <c r="AN24" s="19">
        <v>1.4999999999999999E-2</v>
      </c>
      <c r="AO24" s="19">
        <v>1.2999999999999999E-2</v>
      </c>
      <c r="AP24" s="21">
        <v>1.4E-2</v>
      </c>
      <c r="AQ24" s="19">
        <v>1.0999999999999999E-2</v>
      </c>
      <c r="AR24" s="19">
        <v>8.9999999999999993E-3</v>
      </c>
      <c r="AS24" s="19">
        <v>8.9999999999999993E-3</v>
      </c>
      <c r="AT24" s="21">
        <v>0.01</v>
      </c>
      <c r="AU24" s="19">
        <v>14.67</v>
      </c>
      <c r="AV24" s="19">
        <v>14.682</v>
      </c>
      <c r="AW24" s="19">
        <v>14.807</v>
      </c>
      <c r="AX24" s="21">
        <v>14.719666666666667</v>
      </c>
      <c r="AY24" s="27">
        <v>5.6399999999999999E-2</v>
      </c>
      <c r="AZ24" s="27">
        <v>5.4100000000000002E-2</v>
      </c>
      <c r="BA24" s="27">
        <v>5.57E-2</v>
      </c>
      <c r="BB24" s="28">
        <v>5.5400000000000005E-2</v>
      </c>
      <c r="BC24" s="83">
        <v>7.48</v>
      </c>
      <c r="BD24" s="83">
        <v>1.74</v>
      </c>
    </row>
    <row r="25" spans="1:56">
      <c r="A25" s="7" t="s">
        <v>20</v>
      </c>
      <c r="B25" s="5" t="s">
        <v>80</v>
      </c>
      <c r="C25" s="6" t="s">
        <v>81</v>
      </c>
      <c r="D25" s="6" t="s">
        <v>36</v>
      </c>
      <c r="E25" s="23">
        <v>16</v>
      </c>
      <c r="F25" s="23">
        <v>8.1999999999999993</v>
      </c>
      <c r="G25" s="23">
        <v>10.7</v>
      </c>
      <c r="H25" s="24">
        <v>182</v>
      </c>
      <c r="I25" s="23">
        <v>2</v>
      </c>
      <c r="J25" s="23">
        <v>4.4000000000000004</v>
      </c>
      <c r="K25" s="15">
        <v>2.9</v>
      </c>
      <c r="L25" s="15">
        <v>3</v>
      </c>
      <c r="M25" s="15">
        <v>2.9</v>
      </c>
      <c r="N25" s="20">
        <v>2.9</v>
      </c>
      <c r="O25" s="15">
        <v>2.4</v>
      </c>
      <c r="P25" s="15">
        <v>2.2999999999999998</v>
      </c>
      <c r="Q25" s="15">
        <v>2.2000000000000002</v>
      </c>
      <c r="R25" s="20">
        <v>2.2999999999999998</v>
      </c>
      <c r="S25" s="17">
        <v>3.569</v>
      </c>
      <c r="T25" s="17">
        <v>3.61</v>
      </c>
      <c r="U25" s="17">
        <v>3.532</v>
      </c>
      <c r="V25" s="22">
        <v>3.57</v>
      </c>
      <c r="W25" s="17">
        <v>3.5019999999999998</v>
      </c>
      <c r="X25" s="17">
        <v>3.5190000000000001</v>
      </c>
      <c r="Y25" s="17">
        <v>3.52</v>
      </c>
      <c r="Z25" s="22">
        <v>3.5139999999999998</v>
      </c>
      <c r="AA25" s="17">
        <v>0.11899999999999999</v>
      </c>
      <c r="AB25" s="17">
        <v>0.11600000000000001</v>
      </c>
      <c r="AC25" s="19">
        <v>0.114</v>
      </c>
      <c r="AD25" s="21">
        <v>0.11600000000000001</v>
      </c>
      <c r="AE25" s="19">
        <v>3.109</v>
      </c>
      <c r="AF25" s="19">
        <v>3.0880000000000001</v>
      </c>
      <c r="AG25" s="19">
        <v>3.1139999999999999</v>
      </c>
      <c r="AH25" s="21">
        <v>3.1036666666666668</v>
      </c>
      <c r="AI25" s="19">
        <v>0.20399999999999999</v>
      </c>
      <c r="AJ25" s="19">
        <v>0.20599999999999999</v>
      </c>
      <c r="AK25" s="19">
        <v>0.20100000000000001</v>
      </c>
      <c r="AL25" s="21">
        <v>0.20399999999999999</v>
      </c>
      <c r="AM25" s="19">
        <v>0.155</v>
      </c>
      <c r="AN25" s="19">
        <v>0.158</v>
      </c>
      <c r="AO25" s="19">
        <v>0.161</v>
      </c>
      <c r="AP25" s="21">
        <v>0.158</v>
      </c>
      <c r="AQ25" s="19">
        <v>0.153</v>
      </c>
      <c r="AR25" s="19">
        <v>0.155</v>
      </c>
      <c r="AS25" s="19">
        <v>0.158</v>
      </c>
      <c r="AT25" s="21">
        <v>0.155</v>
      </c>
      <c r="AU25" s="19">
        <v>12.068</v>
      </c>
      <c r="AV25" s="19">
        <v>11.98</v>
      </c>
      <c r="AW25" s="19">
        <v>12.09</v>
      </c>
      <c r="AX25" s="21">
        <v>12.046000000000001</v>
      </c>
      <c r="AY25" s="27">
        <v>0.06</v>
      </c>
      <c r="AZ25" s="27">
        <v>6.0999999999999999E-2</v>
      </c>
      <c r="BA25" s="27">
        <v>5.8999999999999997E-2</v>
      </c>
      <c r="BB25" s="28">
        <v>0.06</v>
      </c>
      <c r="BC25" s="83">
        <v>6.54</v>
      </c>
      <c r="BD25" s="86">
        <v>12.27</v>
      </c>
    </row>
    <row r="26" spans="1:56">
      <c r="A26" s="7" t="s">
        <v>21</v>
      </c>
      <c r="B26" s="5" t="s">
        <v>82</v>
      </c>
      <c r="C26" s="6" t="s">
        <v>44</v>
      </c>
      <c r="D26" s="6" t="s">
        <v>83</v>
      </c>
      <c r="E26" s="23">
        <v>15.2</v>
      </c>
      <c r="F26" s="23">
        <v>8.9</v>
      </c>
      <c r="G26" s="23">
        <v>13.8</v>
      </c>
      <c r="H26" s="24">
        <v>162</v>
      </c>
      <c r="I26" s="23">
        <v>1.8</v>
      </c>
      <c r="J26" s="23">
        <v>4.9000000000000004</v>
      </c>
      <c r="K26" s="15">
        <v>3.5</v>
      </c>
      <c r="L26" s="15">
        <v>3.5</v>
      </c>
      <c r="M26" s="15">
        <v>3.5</v>
      </c>
      <c r="N26" s="20">
        <v>3.5</v>
      </c>
      <c r="O26" s="15">
        <v>2.9</v>
      </c>
      <c r="P26" s="15">
        <v>2.8</v>
      </c>
      <c r="Q26" s="15">
        <v>2.8</v>
      </c>
      <c r="R26" s="20">
        <v>2.8333333333333335</v>
      </c>
      <c r="S26" s="17">
        <v>2.2999999999999998</v>
      </c>
      <c r="T26" s="17">
        <v>2.3660000000000001</v>
      </c>
      <c r="U26" s="17">
        <v>2.3370000000000002</v>
      </c>
      <c r="V26" s="22">
        <v>2.3340000000000001</v>
      </c>
      <c r="W26" s="17">
        <v>2.2759999999999998</v>
      </c>
      <c r="X26" s="17">
        <v>2.2250000000000001</v>
      </c>
      <c r="Y26" s="17">
        <v>2.2240000000000002</v>
      </c>
      <c r="Z26" s="22">
        <v>2.242</v>
      </c>
      <c r="AA26" s="17">
        <v>3.5999999999999997E-2</v>
      </c>
      <c r="AB26" s="17">
        <v>3.5999999999999997E-2</v>
      </c>
      <c r="AC26" s="19">
        <v>3.6999999999999998E-2</v>
      </c>
      <c r="AD26" s="21">
        <v>3.5999999999999997E-2</v>
      </c>
      <c r="AE26" s="19">
        <v>1.903</v>
      </c>
      <c r="AF26" s="19">
        <v>1.9470000000000001</v>
      </c>
      <c r="AG26" s="19">
        <v>1.919</v>
      </c>
      <c r="AH26" s="21">
        <v>1.923</v>
      </c>
      <c r="AI26" s="19">
        <v>9.6000000000000002E-2</v>
      </c>
      <c r="AJ26" s="19">
        <v>9.9000000000000005E-2</v>
      </c>
      <c r="AK26" s="19">
        <v>9.5000000000000001E-2</v>
      </c>
      <c r="AL26" s="21">
        <v>9.7000000000000003E-2</v>
      </c>
      <c r="AM26" s="19">
        <v>0.06</v>
      </c>
      <c r="AN26" s="19">
        <v>5.8999999999999997E-2</v>
      </c>
      <c r="AO26" s="19">
        <v>5.8000000000000003E-2</v>
      </c>
      <c r="AP26" s="21">
        <v>5.8999999999999997E-2</v>
      </c>
      <c r="AQ26" s="19">
        <v>5.5E-2</v>
      </c>
      <c r="AR26" s="19">
        <v>5.2999999999999999E-2</v>
      </c>
      <c r="AS26" s="19">
        <v>5.2999999999999999E-2</v>
      </c>
      <c r="AT26" s="21">
        <v>5.3999999999999999E-2</v>
      </c>
      <c r="AU26" s="19">
        <v>10.273</v>
      </c>
      <c r="AV26" s="19">
        <v>10.467000000000001</v>
      </c>
      <c r="AW26" s="19">
        <v>10.385</v>
      </c>
      <c r="AX26" s="21">
        <v>10.375</v>
      </c>
      <c r="AY26" s="27">
        <v>8.1000000000000003E-2</v>
      </c>
      <c r="AZ26" s="27">
        <v>7.8399999999999997E-2</v>
      </c>
      <c r="BA26" s="27">
        <v>7.9399999999999998E-2</v>
      </c>
      <c r="BB26" s="28">
        <v>7.959999999999999E-2</v>
      </c>
      <c r="BC26" s="83">
        <v>7.52</v>
      </c>
      <c r="BD26" s="83">
        <v>3.73</v>
      </c>
    </row>
    <row r="27" spans="1:56">
      <c r="A27" s="7" t="s">
        <v>22</v>
      </c>
      <c r="B27" s="5" t="s">
        <v>84</v>
      </c>
      <c r="C27" s="6" t="s">
        <v>85</v>
      </c>
      <c r="D27" s="6" t="s">
        <v>36</v>
      </c>
      <c r="E27" s="23">
        <v>15.8</v>
      </c>
      <c r="F27" s="23">
        <v>8.4</v>
      </c>
      <c r="G27" s="23">
        <v>12</v>
      </c>
      <c r="H27" s="24">
        <v>158</v>
      </c>
      <c r="I27" s="23">
        <v>1.7</v>
      </c>
      <c r="J27" s="23">
        <v>4.0999999999999996</v>
      </c>
      <c r="K27" s="15">
        <v>2.8</v>
      </c>
      <c r="L27" s="15">
        <v>2.8</v>
      </c>
      <c r="M27" s="15">
        <v>2.8</v>
      </c>
      <c r="N27" s="20">
        <v>2.8</v>
      </c>
      <c r="O27" s="15">
        <v>2.6</v>
      </c>
      <c r="P27" s="15">
        <v>2.4</v>
      </c>
      <c r="Q27" s="15">
        <v>2.4</v>
      </c>
      <c r="R27" s="20">
        <v>2.4666666666666668</v>
      </c>
      <c r="S27" s="17">
        <v>2.2989999999999999</v>
      </c>
      <c r="T27" s="17">
        <v>2.2269999999999999</v>
      </c>
      <c r="U27" s="17">
        <v>2.3079999999999998</v>
      </c>
      <c r="V27" s="22">
        <v>2.278</v>
      </c>
      <c r="W27" s="17">
        <v>2.238</v>
      </c>
      <c r="X27" s="17">
        <v>2.2559999999999998</v>
      </c>
      <c r="Y27" s="17">
        <v>2.2029999999999998</v>
      </c>
      <c r="Z27" s="22">
        <v>2.2320000000000002</v>
      </c>
      <c r="AA27" s="17">
        <v>5.8999999999999997E-2</v>
      </c>
      <c r="AB27" s="17">
        <v>6.5000000000000002E-2</v>
      </c>
      <c r="AC27" s="19">
        <v>0.06</v>
      </c>
      <c r="AD27" s="21">
        <v>6.0999999999999999E-2</v>
      </c>
      <c r="AE27" s="19">
        <v>1.891</v>
      </c>
      <c r="AF27" s="19">
        <v>1.9</v>
      </c>
      <c r="AG27" s="19">
        <v>1.9530000000000001</v>
      </c>
      <c r="AH27" s="21">
        <v>1.9146666666666665</v>
      </c>
      <c r="AI27" s="19">
        <v>8.8999999999999996E-2</v>
      </c>
      <c r="AJ27" s="19">
        <v>9.0999999999999998E-2</v>
      </c>
      <c r="AK27" s="19">
        <v>8.5999999999999993E-2</v>
      </c>
      <c r="AL27" s="21">
        <v>8.8999999999999996E-2</v>
      </c>
      <c r="AM27" s="19">
        <v>5.6000000000000001E-2</v>
      </c>
      <c r="AN27" s="19">
        <v>5.5E-2</v>
      </c>
      <c r="AO27" s="19">
        <v>5.5E-2</v>
      </c>
      <c r="AP27" s="21">
        <v>5.5E-2</v>
      </c>
      <c r="AQ27" s="19">
        <v>5.0999999999999997E-2</v>
      </c>
      <c r="AR27" s="19">
        <v>4.9000000000000002E-2</v>
      </c>
      <c r="AS27" s="19">
        <v>4.8000000000000001E-2</v>
      </c>
      <c r="AT27" s="21">
        <v>4.9000000000000002E-2</v>
      </c>
      <c r="AU27" s="19">
        <v>10.57</v>
      </c>
      <c r="AV27" s="19">
        <v>10.581</v>
      </c>
      <c r="AW27" s="19">
        <v>10.864000000000001</v>
      </c>
      <c r="AX27" s="21">
        <v>10.671666666666667</v>
      </c>
      <c r="AY27" s="27">
        <v>6.4100000000000004E-2</v>
      </c>
      <c r="AZ27" s="27">
        <v>6.4100000000000004E-2</v>
      </c>
      <c r="BA27" s="27">
        <v>6.2399999999999997E-2</v>
      </c>
      <c r="BB27" s="28">
        <v>6.3533333333333331E-2</v>
      </c>
      <c r="BC27" s="83">
        <v>7.69</v>
      </c>
      <c r="BD27" s="83">
        <v>4.3600000000000003</v>
      </c>
    </row>
    <row r="28" spans="1:56">
      <c r="A28" s="7" t="s">
        <v>23</v>
      </c>
      <c r="B28" s="5" t="s">
        <v>86</v>
      </c>
      <c r="C28" s="6" t="s">
        <v>87</v>
      </c>
      <c r="D28" s="6" t="s">
        <v>88</v>
      </c>
      <c r="E28" s="23">
        <v>14.1</v>
      </c>
      <c r="F28" s="23">
        <v>7.3</v>
      </c>
      <c r="G28" s="23">
        <v>11.7</v>
      </c>
      <c r="H28" s="24">
        <v>155</v>
      </c>
      <c r="I28" s="23">
        <v>1.1000000000000001</v>
      </c>
      <c r="J28" s="23">
        <v>4.2</v>
      </c>
      <c r="K28" s="15">
        <v>2.9</v>
      </c>
      <c r="L28" s="15">
        <v>3</v>
      </c>
      <c r="M28" s="15">
        <v>3</v>
      </c>
      <c r="N28" s="20">
        <v>3</v>
      </c>
      <c r="O28" s="15">
        <v>2.7</v>
      </c>
      <c r="P28" s="15">
        <v>2.6</v>
      </c>
      <c r="Q28" s="15">
        <v>2.6</v>
      </c>
      <c r="R28" s="20">
        <v>2.6333333333333333</v>
      </c>
      <c r="S28" s="17">
        <v>1.486</v>
      </c>
      <c r="T28" s="17">
        <v>1.4890000000000001</v>
      </c>
      <c r="U28" s="17">
        <v>1.502</v>
      </c>
      <c r="V28" s="22">
        <v>1.492</v>
      </c>
      <c r="W28" s="17">
        <v>1.42</v>
      </c>
      <c r="X28" s="17">
        <v>1.43</v>
      </c>
      <c r="Y28" s="17">
        <v>1.431</v>
      </c>
      <c r="Z28" s="22">
        <v>1.427</v>
      </c>
      <c r="AA28" s="17">
        <v>1.2999999999999999E-2</v>
      </c>
      <c r="AB28" s="17">
        <v>1.2999999999999999E-2</v>
      </c>
      <c r="AC28" s="19">
        <v>1.2999999999999999E-2</v>
      </c>
      <c r="AD28" s="21">
        <v>1.2999999999999999E-2</v>
      </c>
      <c r="AE28" s="19">
        <v>1.1399999999999999</v>
      </c>
      <c r="AF28" s="19">
        <v>1.175</v>
      </c>
      <c r="AG28" s="19">
        <v>1.1859999999999999</v>
      </c>
      <c r="AH28" s="21">
        <v>1.167</v>
      </c>
      <c r="AI28" s="19">
        <v>0.04</v>
      </c>
      <c r="AJ28" s="19">
        <v>4.3999999999999997E-2</v>
      </c>
      <c r="AK28" s="19">
        <v>3.6999999999999998E-2</v>
      </c>
      <c r="AL28" s="21">
        <v>0.04</v>
      </c>
      <c r="AM28" s="19">
        <v>1.7999999999999999E-2</v>
      </c>
      <c r="AN28" s="19">
        <v>0.02</v>
      </c>
      <c r="AO28" s="19">
        <v>1.7999999999999999E-2</v>
      </c>
      <c r="AP28" s="21">
        <v>1.9E-2</v>
      </c>
      <c r="AQ28" s="19">
        <v>1.4E-2</v>
      </c>
      <c r="AR28" s="19">
        <v>1.0999999999999999E-2</v>
      </c>
      <c r="AS28" s="19">
        <v>1.0999999999999999E-2</v>
      </c>
      <c r="AT28" s="21">
        <v>1.2E-2</v>
      </c>
      <c r="AU28" s="19">
        <v>10.429</v>
      </c>
      <c r="AV28" s="19">
        <v>10.750999999999999</v>
      </c>
      <c r="AW28" s="19">
        <v>10.901</v>
      </c>
      <c r="AX28" s="21">
        <v>10.693666666666667</v>
      </c>
      <c r="AY28" s="27">
        <v>7.1800000000000003E-2</v>
      </c>
      <c r="AZ28" s="27">
        <v>7.1300000000000002E-2</v>
      </c>
      <c r="BA28" s="27">
        <v>7.1499999999999994E-2</v>
      </c>
      <c r="BB28" s="28">
        <v>7.1533333333333338E-2</v>
      </c>
      <c r="BC28" s="83">
        <v>8.2899999999999991</v>
      </c>
      <c r="BD28" s="83">
        <v>2.86</v>
      </c>
    </row>
    <row r="29" spans="1:56">
      <c r="A29" s="7" t="s">
        <v>24</v>
      </c>
      <c r="B29" s="5" t="s">
        <v>89</v>
      </c>
      <c r="C29" s="6" t="s">
        <v>42</v>
      </c>
      <c r="D29" s="6" t="s">
        <v>36</v>
      </c>
      <c r="E29" s="23">
        <v>18.2</v>
      </c>
      <c r="F29" s="23">
        <v>9.3000000000000007</v>
      </c>
      <c r="G29" s="23">
        <v>12.3</v>
      </c>
      <c r="H29" s="24">
        <v>155</v>
      </c>
      <c r="I29" s="23">
        <v>1.8</v>
      </c>
      <c r="J29" s="23">
        <v>4.0999999999999996</v>
      </c>
      <c r="K29" s="15">
        <v>2.6</v>
      </c>
      <c r="L29" s="15">
        <v>2.6</v>
      </c>
      <c r="M29" s="15">
        <v>2.6</v>
      </c>
      <c r="N29" s="20">
        <v>2.6</v>
      </c>
      <c r="O29" s="15">
        <v>2.5</v>
      </c>
      <c r="P29" s="15">
        <v>2.2999999999999998</v>
      </c>
      <c r="Q29" s="15">
        <v>2.4</v>
      </c>
      <c r="R29" s="20">
        <v>2.4</v>
      </c>
      <c r="S29" s="17">
        <v>2.4129999999999998</v>
      </c>
      <c r="T29" s="17">
        <v>2.4249999999999998</v>
      </c>
      <c r="U29" s="17">
        <v>2.407</v>
      </c>
      <c r="V29" s="22">
        <v>2.415</v>
      </c>
      <c r="W29" s="17">
        <v>2.3660000000000001</v>
      </c>
      <c r="X29" s="17">
        <v>2.347</v>
      </c>
      <c r="Y29" s="17">
        <v>2.3109999999999999</v>
      </c>
      <c r="Z29" s="22">
        <v>2.3410000000000002</v>
      </c>
      <c r="AA29" s="17">
        <v>4.5999999999999999E-2</v>
      </c>
      <c r="AB29" s="17">
        <v>4.3999999999999997E-2</v>
      </c>
      <c r="AC29" s="19">
        <v>4.4999999999999998E-2</v>
      </c>
      <c r="AD29" s="21">
        <v>4.4999999999999998E-2</v>
      </c>
      <c r="AE29" s="19">
        <v>2.0049999999999999</v>
      </c>
      <c r="AF29" s="19">
        <v>2.0619999999999998</v>
      </c>
      <c r="AG29" s="19">
        <v>2.0539999999999998</v>
      </c>
      <c r="AH29" s="21">
        <v>2.0403333333333333</v>
      </c>
      <c r="AI29" s="19">
        <v>0.187</v>
      </c>
      <c r="AJ29" s="19">
        <v>0.186</v>
      </c>
      <c r="AK29" s="19">
        <v>0.182</v>
      </c>
      <c r="AL29" s="21">
        <v>0.185</v>
      </c>
      <c r="AM29" s="19">
        <v>0.152</v>
      </c>
      <c r="AN29" s="19">
        <v>0.14799999999999999</v>
      </c>
      <c r="AO29" s="19">
        <v>0.14899999999999999</v>
      </c>
      <c r="AP29" s="21">
        <v>0.15</v>
      </c>
      <c r="AQ29" s="19">
        <v>0.14899999999999999</v>
      </c>
      <c r="AR29" s="19">
        <v>0.14699999999999999</v>
      </c>
      <c r="AS29" s="19">
        <v>0.14699999999999999</v>
      </c>
      <c r="AT29" s="21">
        <v>0.14799999999999999</v>
      </c>
      <c r="AU29" s="19">
        <v>10.23</v>
      </c>
      <c r="AV29" s="19">
        <v>10.488</v>
      </c>
      <c r="AW29" s="19">
        <v>10.458</v>
      </c>
      <c r="AX29" s="21">
        <v>10.392000000000001</v>
      </c>
      <c r="AY29" s="27">
        <v>6.88E-2</v>
      </c>
      <c r="AZ29" s="27">
        <v>6.83E-2</v>
      </c>
      <c r="BA29" s="27">
        <v>6.7000000000000004E-2</v>
      </c>
      <c r="BB29" s="28">
        <v>6.8033333333333335E-2</v>
      </c>
      <c r="BC29" s="83">
        <v>6.91</v>
      </c>
      <c r="BD29" s="83">
        <v>5.44</v>
      </c>
    </row>
    <row r="30" spans="1:56">
      <c r="A30" s="7" t="s">
        <v>25</v>
      </c>
      <c r="B30" s="5" t="s">
        <v>90</v>
      </c>
      <c r="C30" s="6" t="s">
        <v>44</v>
      </c>
      <c r="D30" s="6" t="s">
        <v>91</v>
      </c>
      <c r="E30" s="23">
        <v>15.3</v>
      </c>
      <c r="F30" s="23">
        <v>8.6</v>
      </c>
      <c r="G30" s="23">
        <v>14.7</v>
      </c>
      <c r="H30" s="24">
        <v>235</v>
      </c>
      <c r="I30" s="23">
        <v>1</v>
      </c>
      <c r="J30" s="23">
        <v>3.3</v>
      </c>
      <c r="K30" s="15">
        <v>2.2999999999999998</v>
      </c>
      <c r="L30" s="15">
        <v>2.4</v>
      </c>
      <c r="M30" s="15">
        <v>2.2999999999999998</v>
      </c>
      <c r="N30" s="20">
        <v>2.2999999999999998</v>
      </c>
      <c r="O30" s="15">
        <v>2.2999999999999998</v>
      </c>
      <c r="P30" s="15">
        <v>2.2000000000000002</v>
      </c>
      <c r="Q30" s="15">
        <v>2.2000000000000002</v>
      </c>
      <c r="R30" s="20">
        <v>2.2333333333333334</v>
      </c>
      <c r="S30" s="17">
        <v>4.125</v>
      </c>
      <c r="T30" s="17">
        <v>4.0739999999999998</v>
      </c>
      <c r="U30" s="17">
        <v>4.056</v>
      </c>
      <c r="V30" s="22">
        <v>4.085</v>
      </c>
      <c r="W30" s="17">
        <v>4.0570000000000004</v>
      </c>
      <c r="X30" s="17">
        <v>3.984</v>
      </c>
      <c r="Y30" s="17">
        <v>4.0359999999999996</v>
      </c>
      <c r="Z30" s="22">
        <v>4.0259999999999998</v>
      </c>
      <c r="AA30" s="17">
        <v>2.7E-2</v>
      </c>
      <c r="AB30" s="17">
        <v>2.4E-2</v>
      </c>
      <c r="AC30" s="19">
        <v>2.5000000000000001E-2</v>
      </c>
      <c r="AD30" s="21">
        <v>2.5000000000000001E-2</v>
      </c>
      <c r="AE30" s="19">
        <v>3.8719999999999999</v>
      </c>
      <c r="AF30" s="19">
        <v>3.8879999999999999</v>
      </c>
      <c r="AG30" s="19">
        <v>3.8860000000000001</v>
      </c>
      <c r="AH30" s="21">
        <v>3.8820000000000001</v>
      </c>
      <c r="AI30" s="19">
        <v>5.0999999999999997E-2</v>
      </c>
      <c r="AJ30" s="19">
        <v>4.8000000000000001E-2</v>
      </c>
      <c r="AK30" s="19">
        <v>4.5999999999999999E-2</v>
      </c>
      <c r="AL30" s="21">
        <v>4.8000000000000001E-2</v>
      </c>
      <c r="AM30" s="19">
        <v>3.3000000000000002E-2</v>
      </c>
      <c r="AN30" s="19">
        <v>3.4000000000000002E-2</v>
      </c>
      <c r="AO30" s="19">
        <v>3.2000000000000001E-2</v>
      </c>
      <c r="AP30" s="21">
        <v>3.3000000000000002E-2</v>
      </c>
      <c r="AQ30" s="19">
        <v>2.7E-2</v>
      </c>
      <c r="AR30" s="19">
        <v>2.5000000000000001E-2</v>
      </c>
      <c r="AS30" s="19">
        <v>2.5000000000000001E-2</v>
      </c>
      <c r="AT30" s="21">
        <v>2.5999999999999999E-2</v>
      </c>
      <c r="AU30" s="19">
        <v>15.651999999999999</v>
      </c>
      <c r="AV30" s="19">
        <v>15.631</v>
      </c>
      <c r="AW30" s="19">
        <v>15.673</v>
      </c>
      <c r="AX30" s="21">
        <v>15.652000000000001</v>
      </c>
      <c r="AY30" s="27">
        <v>6.3200000000000006E-2</v>
      </c>
      <c r="AZ30" s="27">
        <v>6.0999999999999999E-2</v>
      </c>
      <c r="BA30" s="27">
        <v>6.25E-2</v>
      </c>
      <c r="BB30" s="28">
        <v>6.2233333333333335E-2</v>
      </c>
      <c r="BC30" s="83">
        <v>8.3000000000000007</v>
      </c>
      <c r="BD30" s="83">
        <v>3.67</v>
      </c>
    </row>
    <row r="31" spans="1:56">
      <c r="A31" s="7" t="s">
        <v>26</v>
      </c>
      <c r="B31" s="5" t="s">
        <v>92</v>
      </c>
      <c r="C31" s="6" t="s">
        <v>93</v>
      </c>
      <c r="D31" s="6" t="s">
        <v>36</v>
      </c>
      <c r="E31" s="23">
        <v>14.7</v>
      </c>
      <c r="F31" s="23">
        <v>7.8</v>
      </c>
      <c r="G31" s="23">
        <v>10.9</v>
      </c>
      <c r="H31" s="24">
        <v>145</v>
      </c>
      <c r="I31" s="23">
        <v>1.9</v>
      </c>
      <c r="J31" s="23">
        <v>4.5</v>
      </c>
      <c r="K31" s="15">
        <v>3.1</v>
      </c>
      <c r="L31" s="15">
        <v>3</v>
      </c>
      <c r="M31" s="15">
        <v>3</v>
      </c>
      <c r="N31" s="20">
        <v>3</v>
      </c>
      <c r="O31" s="15">
        <v>2.5</v>
      </c>
      <c r="P31" s="15">
        <v>2.4</v>
      </c>
      <c r="Q31" s="15">
        <v>2.4</v>
      </c>
      <c r="R31" s="20">
        <v>2.4333333333333336</v>
      </c>
      <c r="S31" s="17">
        <v>2.1539999999999999</v>
      </c>
      <c r="T31" s="17">
        <v>2.1709999999999998</v>
      </c>
      <c r="U31" s="17">
        <v>2.1619999999999999</v>
      </c>
      <c r="V31" s="22">
        <v>2.1619999999999999</v>
      </c>
      <c r="W31" s="17">
        <v>2.1480000000000001</v>
      </c>
      <c r="X31" s="17">
        <v>2.137</v>
      </c>
      <c r="Y31" s="17">
        <v>2.1379999999999999</v>
      </c>
      <c r="Z31" s="22">
        <v>2.141</v>
      </c>
      <c r="AA31" s="17">
        <v>2.8000000000000001E-2</v>
      </c>
      <c r="AB31" s="17">
        <v>3.2000000000000001E-2</v>
      </c>
      <c r="AC31" s="19">
        <v>2.7E-2</v>
      </c>
      <c r="AD31" s="21">
        <v>2.9000000000000001E-2</v>
      </c>
      <c r="AE31" s="19">
        <v>1.8069999999999999</v>
      </c>
      <c r="AF31" s="19">
        <v>1.8149999999999999</v>
      </c>
      <c r="AG31" s="19">
        <v>1.843</v>
      </c>
      <c r="AH31" s="21">
        <v>1.8216666666666665</v>
      </c>
      <c r="AI31" s="19">
        <v>0.08</v>
      </c>
      <c r="AJ31" s="19">
        <v>8.4000000000000005E-2</v>
      </c>
      <c r="AK31" s="19">
        <v>7.6999999999999999E-2</v>
      </c>
      <c r="AL31" s="21">
        <v>0.08</v>
      </c>
      <c r="AM31" s="19">
        <v>4.3999999999999997E-2</v>
      </c>
      <c r="AN31" s="19">
        <v>4.4999999999999998E-2</v>
      </c>
      <c r="AO31" s="19">
        <v>4.3999999999999997E-2</v>
      </c>
      <c r="AP31" s="21">
        <v>4.3999999999999997E-2</v>
      </c>
      <c r="AQ31" s="19">
        <v>3.6999999999999998E-2</v>
      </c>
      <c r="AR31" s="19">
        <v>3.5999999999999997E-2</v>
      </c>
      <c r="AS31" s="19">
        <v>3.5999999999999997E-2</v>
      </c>
      <c r="AT31" s="21">
        <v>3.5999999999999997E-2</v>
      </c>
      <c r="AU31" s="19">
        <v>9.9610000000000003</v>
      </c>
      <c r="AV31" s="19">
        <v>10.031000000000001</v>
      </c>
      <c r="AW31" s="19">
        <v>10.175000000000001</v>
      </c>
      <c r="AX31" s="21">
        <v>10.055666666666667</v>
      </c>
      <c r="AY31" s="27">
        <v>7.2099999999999997E-2</v>
      </c>
      <c r="AZ31" s="27">
        <v>7.2400000000000006E-2</v>
      </c>
      <c r="BA31" s="27">
        <v>7.1599999999999997E-2</v>
      </c>
      <c r="BB31" s="28">
        <v>7.2033333333333338E-2</v>
      </c>
      <c r="BC31" s="83">
        <v>7.02</v>
      </c>
      <c r="BD31" s="83">
        <v>4.09</v>
      </c>
    </row>
    <row r="32" spans="1:56">
      <c r="A32" s="7" t="s">
        <v>27</v>
      </c>
      <c r="B32" s="5" t="s">
        <v>94</v>
      </c>
      <c r="C32" s="6" t="s">
        <v>95</v>
      </c>
      <c r="D32" s="6" t="s">
        <v>96</v>
      </c>
      <c r="E32" s="23">
        <v>12.3</v>
      </c>
      <c r="F32" s="23">
        <v>7.3</v>
      </c>
      <c r="G32" s="23">
        <v>10.4</v>
      </c>
      <c r="H32" s="24">
        <v>152</v>
      </c>
      <c r="I32" s="23">
        <v>0.6</v>
      </c>
      <c r="J32" s="23">
        <v>2.4</v>
      </c>
      <c r="K32" s="15">
        <v>1.5</v>
      </c>
      <c r="L32" s="15">
        <v>1.5</v>
      </c>
      <c r="M32" s="15">
        <v>1.5</v>
      </c>
      <c r="N32" s="20">
        <v>1.5</v>
      </c>
      <c r="O32" s="15">
        <v>1.5</v>
      </c>
      <c r="P32" s="15">
        <v>1.4</v>
      </c>
      <c r="Q32" s="15">
        <v>1.4</v>
      </c>
      <c r="R32" s="20">
        <v>1.4333333333333333</v>
      </c>
      <c r="S32" s="17">
        <v>2.9420000000000002</v>
      </c>
      <c r="T32" s="17">
        <v>2.8279999999999998</v>
      </c>
      <c r="U32" s="17">
        <v>2.891</v>
      </c>
      <c r="V32" s="22">
        <v>2.887</v>
      </c>
      <c r="W32" s="17">
        <v>2.8769999999999998</v>
      </c>
      <c r="X32" s="17">
        <v>2.8959999999999999</v>
      </c>
      <c r="Y32" s="17">
        <v>2.871</v>
      </c>
      <c r="Z32" s="22">
        <v>2.8809999999999998</v>
      </c>
      <c r="AA32" s="17">
        <v>1.0999999999999999E-2</v>
      </c>
      <c r="AB32" s="17">
        <v>1.2E-2</v>
      </c>
      <c r="AC32" s="19">
        <v>1.2999999999999999E-2</v>
      </c>
      <c r="AD32" s="21">
        <v>1.2E-2</v>
      </c>
      <c r="AE32" s="19">
        <v>2.73</v>
      </c>
      <c r="AF32" s="19">
        <v>2.7679999999999998</v>
      </c>
      <c r="AG32" s="19">
        <v>2.8069999999999999</v>
      </c>
      <c r="AH32" s="21">
        <v>2.7683333333333331</v>
      </c>
      <c r="AI32" s="19">
        <v>2.8000000000000001E-2</v>
      </c>
      <c r="AJ32" s="19">
        <v>2.1999999999999999E-2</v>
      </c>
      <c r="AK32" s="19">
        <v>2.4E-2</v>
      </c>
      <c r="AL32" s="21">
        <v>2.5000000000000001E-2</v>
      </c>
      <c r="AM32" s="19">
        <v>1.2999999999999999E-2</v>
      </c>
      <c r="AN32" s="19">
        <v>1.4999999999999999E-2</v>
      </c>
      <c r="AO32" s="19">
        <v>1.4E-2</v>
      </c>
      <c r="AP32" s="21">
        <v>1.4E-2</v>
      </c>
      <c r="AQ32" s="19">
        <v>0.01</v>
      </c>
      <c r="AR32" s="19">
        <v>8.9999999999999993E-3</v>
      </c>
      <c r="AS32" s="19">
        <v>8.9999999999999993E-3</v>
      </c>
      <c r="AT32" s="21">
        <v>8.9999999999999993E-3</v>
      </c>
      <c r="AU32" s="19">
        <v>9.9689999999999994</v>
      </c>
      <c r="AV32" s="19">
        <v>10.099</v>
      </c>
      <c r="AW32" s="19">
        <v>10.215999999999999</v>
      </c>
      <c r="AX32" s="21">
        <v>10.094666666666667</v>
      </c>
      <c r="AY32" s="27">
        <v>5.0799999999999998E-2</v>
      </c>
      <c r="AZ32" s="27">
        <v>4.9200000000000001E-2</v>
      </c>
      <c r="BA32" s="27">
        <v>5.0299999999999997E-2</v>
      </c>
      <c r="BB32" s="28">
        <v>5.0099999999999999E-2</v>
      </c>
      <c r="BC32" s="83">
        <v>9.19</v>
      </c>
      <c r="BD32" s="83">
        <v>2.41</v>
      </c>
    </row>
    <row r="33" spans="1:56">
      <c r="A33" s="7" t="s">
        <v>28</v>
      </c>
      <c r="B33" s="5" t="s">
        <v>97</v>
      </c>
      <c r="C33" s="6" t="s">
        <v>98</v>
      </c>
      <c r="D33" s="6" t="s">
        <v>36</v>
      </c>
      <c r="E33" s="23">
        <v>15.3</v>
      </c>
      <c r="F33" s="23">
        <v>7.4</v>
      </c>
      <c r="G33" s="23">
        <v>10</v>
      </c>
      <c r="H33" s="24">
        <v>156</v>
      </c>
      <c r="I33" s="23">
        <v>1.2</v>
      </c>
      <c r="J33" s="23">
        <v>3.5</v>
      </c>
      <c r="K33" s="15">
        <v>2.4</v>
      </c>
      <c r="L33" s="15">
        <v>2.4</v>
      </c>
      <c r="M33" s="15">
        <v>2.4</v>
      </c>
      <c r="N33" s="20">
        <v>2.4</v>
      </c>
      <c r="O33" s="15">
        <v>2.2000000000000002</v>
      </c>
      <c r="P33" s="15">
        <v>2.2000000000000002</v>
      </c>
      <c r="Q33" s="15">
        <v>2.2000000000000002</v>
      </c>
      <c r="R33" s="20">
        <v>2.2000000000000002</v>
      </c>
      <c r="S33" s="17">
        <v>2.2210000000000001</v>
      </c>
      <c r="T33" s="17">
        <v>2.181</v>
      </c>
      <c r="U33" s="17">
        <v>2.2200000000000002</v>
      </c>
      <c r="V33" s="22">
        <v>2.2069999999999999</v>
      </c>
      <c r="W33" s="17">
        <v>2.1659999999999999</v>
      </c>
      <c r="X33" s="17">
        <v>2.14</v>
      </c>
      <c r="Y33" s="17">
        <v>2.1869999999999998</v>
      </c>
      <c r="Z33" s="22">
        <v>2.1640000000000001</v>
      </c>
      <c r="AA33" s="17">
        <v>2.9000000000000001E-2</v>
      </c>
      <c r="AB33" s="17">
        <v>0.03</v>
      </c>
      <c r="AC33" s="19">
        <v>3.4000000000000002E-2</v>
      </c>
      <c r="AD33" s="21">
        <v>3.1E-2</v>
      </c>
      <c r="AE33" s="19">
        <v>1.8720000000000001</v>
      </c>
      <c r="AF33" s="19">
        <v>1.897</v>
      </c>
      <c r="AG33" s="19">
        <v>1.9259999999999999</v>
      </c>
      <c r="AH33" s="21">
        <v>1.8983333333333334</v>
      </c>
      <c r="AI33" s="19">
        <v>7.9000000000000001E-2</v>
      </c>
      <c r="AJ33" s="19">
        <v>7.0000000000000007E-2</v>
      </c>
      <c r="AK33" s="19">
        <v>7.4999999999999997E-2</v>
      </c>
      <c r="AL33" s="21">
        <v>7.4999999999999997E-2</v>
      </c>
      <c r="AM33" s="19">
        <v>4.8000000000000001E-2</v>
      </c>
      <c r="AN33" s="19">
        <v>4.7E-2</v>
      </c>
      <c r="AO33" s="19">
        <v>5.0999999999999997E-2</v>
      </c>
      <c r="AP33" s="21">
        <v>4.9000000000000002E-2</v>
      </c>
      <c r="AQ33" s="19">
        <v>4.5999999999999999E-2</v>
      </c>
      <c r="AR33" s="19">
        <v>4.3999999999999997E-2</v>
      </c>
      <c r="AS33" s="19">
        <v>4.4999999999999998E-2</v>
      </c>
      <c r="AT33" s="21">
        <v>4.4999999999999998E-2</v>
      </c>
      <c r="AU33" s="19">
        <v>10.222</v>
      </c>
      <c r="AV33" s="19">
        <v>10.333</v>
      </c>
      <c r="AW33" s="19">
        <v>10.488</v>
      </c>
      <c r="AX33" s="21">
        <v>10.347666666666667</v>
      </c>
      <c r="AY33" s="27">
        <v>6.6100000000000006E-2</v>
      </c>
      <c r="AZ33" s="27">
        <v>6.6600000000000006E-2</v>
      </c>
      <c r="BA33" s="27">
        <v>6.5100000000000005E-2</v>
      </c>
      <c r="BB33" s="28">
        <v>6.5933333333333344E-2</v>
      </c>
      <c r="BC33" s="83">
        <v>7.59</v>
      </c>
      <c r="BD33" s="83">
        <v>5.01</v>
      </c>
    </row>
    <row r="34" spans="1:56">
      <c r="A34" s="7" t="s">
        <v>29</v>
      </c>
      <c r="B34" s="5" t="s">
        <v>99</v>
      </c>
      <c r="C34" s="6" t="s">
        <v>44</v>
      </c>
      <c r="D34" s="6" t="s">
        <v>100</v>
      </c>
      <c r="E34" s="23">
        <v>13.7</v>
      </c>
      <c r="F34" s="23">
        <v>7.3</v>
      </c>
      <c r="G34" s="23">
        <v>8.1999999999999993</v>
      </c>
      <c r="H34" s="24">
        <v>196</v>
      </c>
      <c r="I34" s="23">
        <v>1.5</v>
      </c>
      <c r="J34" s="23">
        <v>4.2</v>
      </c>
      <c r="K34" s="15">
        <v>2.8</v>
      </c>
      <c r="L34" s="15">
        <v>2.9</v>
      </c>
      <c r="M34" s="15">
        <v>2.9</v>
      </c>
      <c r="N34" s="20">
        <v>2.9</v>
      </c>
      <c r="O34" s="15">
        <v>2.5</v>
      </c>
      <c r="P34" s="15">
        <v>2.4</v>
      </c>
      <c r="Q34" s="15">
        <v>2.5</v>
      </c>
      <c r="R34" s="20">
        <v>2.4666666666666668</v>
      </c>
      <c r="S34" s="17">
        <v>2.508</v>
      </c>
      <c r="T34" s="17">
        <v>2.4740000000000002</v>
      </c>
      <c r="U34" s="17">
        <v>2.5110000000000001</v>
      </c>
      <c r="V34" s="22">
        <v>2.4980000000000002</v>
      </c>
      <c r="W34" s="17">
        <v>2.4620000000000002</v>
      </c>
      <c r="X34" s="17">
        <v>2.4550000000000001</v>
      </c>
      <c r="Y34" s="17">
        <v>2.4169999999999998</v>
      </c>
      <c r="Z34" s="22">
        <v>2.4449999999999998</v>
      </c>
      <c r="AA34" s="17">
        <v>5.0999999999999997E-2</v>
      </c>
      <c r="AB34" s="17">
        <v>5.0999999999999997E-2</v>
      </c>
      <c r="AC34" s="19">
        <v>0.05</v>
      </c>
      <c r="AD34" s="21">
        <v>5.0999999999999997E-2</v>
      </c>
      <c r="AE34" s="19">
        <v>2.0950000000000002</v>
      </c>
      <c r="AF34" s="19">
        <v>2.1030000000000002</v>
      </c>
      <c r="AG34" s="19">
        <v>2.1760000000000002</v>
      </c>
      <c r="AH34" s="21">
        <v>2.1246666666666667</v>
      </c>
      <c r="AI34" s="19">
        <v>7.8E-2</v>
      </c>
      <c r="AJ34" s="19">
        <v>7.0000000000000007E-2</v>
      </c>
      <c r="AK34" s="19">
        <v>7.4999999999999997E-2</v>
      </c>
      <c r="AL34" s="21">
        <v>7.3999999999999996E-2</v>
      </c>
      <c r="AM34" s="19">
        <v>4.8000000000000001E-2</v>
      </c>
      <c r="AN34" s="19">
        <v>4.7E-2</v>
      </c>
      <c r="AO34" s="19">
        <v>4.7E-2</v>
      </c>
      <c r="AP34" s="21">
        <v>4.7E-2</v>
      </c>
      <c r="AQ34" s="19">
        <v>4.2999999999999997E-2</v>
      </c>
      <c r="AR34" s="19">
        <v>4.1000000000000002E-2</v>
      </c>
      <c r="AS34" s="19">
        <v>4.2000000000000003E-2</v>
      </c>
      <c r="AT34" s="21">
        <v>4.2000000000000003E-2</v>
      </c>
      <c r="AU34" s="19">
        <v>15.255000000000001</v>
      </c>
      <c r="AV34" s="19">
        <v>15.294</v>
      </c>
      <c r="AW34" s="19">
        <v>15.789</v>
      </c>
      <c r="AX34" s="21">
        <v>15.446</v>
      </c>
      <c r="AY34" s="27">
        <v>7.1900000000000006E-2</v>
      </c>
      <c r="AZ34" s="27">
        <v>7.1400000000000005E-2</v>
      </c>
      <c r="BA34" s="27">
        <v>7.0099999999999996E-2</v>
      </c>
      <c r="BB34" s="28">
        <v>7.113333333333334E-2</v>
      </c>
      <c r="BC34" s="83">
        <v>9.9499999999999993</v>
      </c>
      <c r="BD34" s="83">
        <v>3.7</v>
      </c>
    </row>
    <row r="35" spans="1:56">
      <c r="A35" s="7" t="s">
        <v>30</v>
      </c>
      <c r="B35" s="5" t="s">
        <v>101</v>
      </c>
      <c r="C35" s="6" t="s">
        <v>44</v>
      </c>
      <c r="D35" s="6" t="s">
        <v>160</v>
      </c>
      <c r="E35" s="23">
        <v>15.6</v>
      </c>
      <c r="F35" s="23">
        <v>7.2</v>
      </c>
      <c r="G35" s="23">
        <v>9.6</v>
      </c>
      <c r="H35" s="24">
        <v>271</v>
      </c>
      <c r="I35" s="23">
        <v>3.3</v>
      </c>
      <c r="J35" s="23">
        <v>5.2</v>
      </c>
      <c r="K35" s="15">
        <v>3.4</v>
      </c>
      <c r="L35" s="15">
        <v>3.5</v>
      </c>
      <c r="M35" s="15">
        <v>3.9</v>
      </c>
      <c r="N35" s="20">
        <v>3.6</v>
      </c>
      <c r="O35" s="15">
        <v>2.9</v>
      </c>
      <c r="P35" s="15">
        <v>2.8</v>
      </c>
      <c r="Q35" s="15">
        <v>2.8</v>
      </c>
      <c r="R35" s="20">
        <v>2.8333333333333335</v>
      </c>
      <c r="S35" s="17">
        <v>3.0470000000000002</v>
      </c>
      <c r="T35" s="17">
        <v>3.0609999999999999</v>
      </c>
      <c r="U35" s="17">
        <v>3.0419999999999998</v>
      </c>
      <c r="V35" s="22">
        <v>3.05</v>
      </c>
      <c r="W35" s="17">
        <v>3.0449999999999999</v>
      </c>
      <c r="X35" s="17">
        <v>2.992</v>
      </c>
      <c r="Y35" s="17">
        <v>2.9550000000000001</v>
      </c>
      <c r="Z35" s="22">
        <v>2.9969999999999999</v>
      </c>
      <c r="AA35" s="17">
        <v>0.442</v>
      </c>
      <c r="AB35" s="17">
        <v>0.44900000000000001</v>
      </c>
      <c r="AC35" s="19">
        <v>0.45</v>
      </c>
      <c r="AD35" s="21">
        <v>0.44700000000000001</v>
      </c>
      <c r="AE35" s="19">
        <v>2.1309999999999998</v>
      </c>
      <c r="AF35" s="19">
        <v>2.1549999999999998</v>
      </c>
      <c r="AG35" s="19">
        <v>2.1619999999999999</v>
      </c>
      <c r="AH35" s="21">
        <v>2.1493333333333333</v>
      </c>
      <c r="AI35" s="19">
        <v>0.111</v>
      </c>
      <c r="AJ35" s="19">
        <v>0.13100000000000001</v>
      </c>
      <c r="AK35" s="19">
        <v>0.108</v>
      </c>
      <c r="AL35" s="21">
        <v>0.11700000000000001</v>
      </c>
      <c r="AM35" s="19">
        <v>5.3999999999999999E-2</v>
      </c>
      <c r="AN35" s="19">
        <v>5.1999999999999998E-2</v>
      </c>
      <c r="AO35" s="19">
        <v>5.0999999999999997E-2</v>
      </c>
      <c r="AP35" s="21">
        <v>5.1999999999999998E-2</v>
      </c>
      <c r="AQ35" s="19">
        <v>4.9000000000000002E-2</v>
      </c>
      <c r="AR35" s="19">
        <v>4.5999999999999999E-2</v>
      </c>
      <c r="AS35" s="19">
        <v>4.5999999999999999E-2</v>
      </c>
      <c r="AT35" s="21">
        <v>4.7E-2</v>
      </c>
      <c r="AU35" s="19">
        <v>28.244</v>
      </c>
      <c r="AV35" s="19">
        <v>28.49</v>
      </c>
      <c r="AW35" s="19">
        <v>28.652000000000001</v>
      </c>
      <c r="AX35" s="21">
        <v>28.462</v>
      </c>
      <c r="AY35" s="27">
        <v>7.9000000000000001E-2</v>
      </c>
      <c r="AZ35" s="27">
        <v>7.7200000000000005E-2</v>
      </c>
      <c r="BA35" s="27">
        <v>7.8399999999999997E-2</v>
      </c>
      <c r="BB35" s="28">
        <v>7.8200000000000006E-2</v>
      </c>
      <c r="BC35" s="83">
        <v>10.210000000000001</v>
      </c>
      <c r="BD35" s="83">
        <v>2.8</v>
      </c>
    </row>
    <row r="36" spans="1:56">
      <c r="A36" s="7" t="s">
        <v>31</v>
      </c>
      <c r="B36" s="5" t="s">
        <v>102</v>
      </c>
      <c r="C36" s="6" t="s">
        <v>103</v>
      </c>
      <c r="D36" s="6" t="s">
        <v>36</v>
      </c>
      <c r="E36" s="23">
        <v>14.5</v>
      </c>
      <c r="F36" s="23">
        <v>7.8</v>
      </c>
      <c r="G36" s="23">
        <v>9.6999999999999993</v>
      </c>
      <c r="H36" s="24">
        <v>154</v>
      </c>
      <c r="I36" s="23">
        <v>1.5</v>
      </c>
      <c r="J36" s="23">
        <v>3.6</v>
      </c>
      <c r="K36" s="15">
        <v>2.6</v>
      </c>
      <c r="L36" s="15">
        <v>2.6</v>
      </c>
      <c r="M36" s="15">
        <v>2.7</v>
      </c>
      <c r="N36" s="20">
        <v>2.6</v>
      </c>
      <c r="O36" s="15">
        <v>2.2999999999999998</v>
      </c>
      <c r="P36" s="15">
        <v>2.2000000000000002</v>
      </c>
      <c r="Q36" s="15">
        <v>2.2000000000000002</v>
      </c>
      <c r="R36" s="20">
        <v>2.2333333333333334</v>
      </c>
      <c r="S36" s="17">
        <v>2.2370000000000001</v>
      </c>
      <c r="T36" s="17">
        <v>2.2309999999999999</v>
      </c>
      <c r="U36" s="17">
        <v>2.2229999999999999</v>
      </c>
      <c r="V36" s="22">
        <v>2.23</v>
      </c>
      <c r="W36" s="17">
        <v>2.1680000000000001</v>
      </c>
      <c r="X36" s="17">
        <v>2.1520000000000001</v>
      </c>
      <c r="Y36" s="17">
        <v>2.145</v>
      </c>
      <c r="Z36" s="22">
        <v>2.1549999999999998</v>
      </c>
      <c r="AA36" s="17">
        <v>3.5000000000000003E-2</v>
      </c>
      <c r="AB36" s="17">
        <v>3.5000000000000003E-2</v>
      </c>
      <c r="AC36" s="19">
        <v>3.4000000000000002E-2</v>
      </c>
      <c r="AD36" s="21">
        <v>3.5000000000000003E-2</v>
      </c>
      <c r="AE36" s="19">
        <v>1.88</v>
      </c>
      <c r="AF36" s="19">
        <v>1.883</v>
      </c>
      <c r="AG36" s="19">
        <v>1.9059999999999999</v>
      </c>
      <c r="AH36" s="21">
        <v>1.8896666666666666</v>
      </c>
      <c r="AI36" s="19">
        <v>7.0000000000000007E-2</v>
      </c>
      <c r="AJ36" s="19">
        <v>6.8000000000000005E-2</v>
      </c>
      <c r="AK36" s="19">
        <v>6.6000000000000003E-2</v>
      </c>
      <c r="AL36" s="21">
        <v>6.8000000000000005E-2</v>
      </c>
      <c r="AM36" s="19">
        <v>4.1000000000000002E-2</v>
      </c>
      <c r="AN36" s="19">
        <v>4.2000000000000003E-2</v>
      </c>
      <c r="AO36" s="19">
        <v>4.1000000000000002E-2</v>
      </c>
      <c r="AP36" s="21">
        <v>4.1000000000000002E-2</v>
      </c>
      <c r="AQ36" s="19">
        <v>3.5999999999999997E-2</v>
      </c>
      <c r="AR36" s="19">
        <v>3.4000000000000002E-2</v>
      </c>
      <c r="AS36" s="19">
        <v>3.5000000000000003E-2</v>
      </c>
      <c r="AT36" s="21">
        <v>3.5000000000000003E-2</v>
      </c>
      <c r="AU36" s="19">
        <v>10.65</v>
      </c>
      <c r="AV36" s="19">
        <v>10.653</v>
      </c>
      <c r="AW36" s="19">
        <v>10.795999999999999</v>
      </c>
      <c r="AX36" s="21">
        <v>10.699666666666667</v>
      </c>
      <c r="AY36" s="27">
        <v>6.6699999999999995E-2</v>
      </c>
      <c r="AZ36" s="27">
        <v>6.8000000000000005E-2</v>
      </c>
      <c r="BA36" s="27">
        <v>6.6600000000000006E-2</v>
      </c>
      <c r="BB36" s="28">
        <v>6.7099999999999993E-2</v>
      </c>
      <c r="BC36" s="84">
        <v>7.58</v>
      </c>
      <c r="BD36" s="84">
        <v>4.32</v>
      </c>
    </row>
    <row r="37" spans="1:56">
      <c r="A37" s="7" t="s">
        <v>32</v>
      </c>
      <c r="B37" s="5" t="s">
        <v>104</v>
      </c>
      <c r="C37" s="6" t="s">
        <v>44</v>
      </c>
      <c r="D37" s="6" t="s">
        <v>105</v>
      </c>
      <c r="E37" s="23">
        <v>14.2</v>
      </c>
      <c r="F37" s="23">
        <v>7.6</v>
      </c>
      <c r="G37" s="23">
        <v>7.4</v>
      </c>
      <c r="H37" s="24">
        <v>333</v>
      </c>
      <c r="I37" s="23">
        <v>2</v>
      </c>
      <c r="J37" s="23">
        <v>6</v>
      </c>
      <c r="K37" s="15">
        <v>4.9000000000000004</v>
      </c>
      <c r="L37" s="15">
        <v>4.9000000000000004</v>
      </c>
      <c r="M37" s="15">
        <v>5</v>
      </c>
      <c r="N37" s="20">
        <v>4.9000000000000004</v>
      </c>
      <c r="O37" s="15">
        <v>4.4000000000000004</v>
      </c>
      <c r="P37" s="15">
        <v>4.4000000000000004</v>
      </c>
      <c r="Q37" s="15">
        <v>4.5</v>
      </c>
      <c r="R37" s="20">
        <v>4.4333333333333336</v>
      </c>
      <c r="S37" s="17">
        <v>4.3449999999999998</v>
      </c>
      <c r="T37" s="17">
        <v>4.3579999999999997</v>
      </c>
      <c r="U37" s="17">
        <v>4.3769999999999998</v>
      </c>
      <c r="V37" s="22">
        <v>4.3600000000000003</v>
      </c>
      <c r="W37" s="17">
        <v>4.306</v>
      </c>
      <c r="X37" s="17">
        <v>4.3289999999999997</v>
      </c>
      <c r="Y37" s="17">
        <v>4.2670000000000003</v>
      </c>
      <c r="Z37" s="22">
        <v>4.3010000000000002</v>
      </c>
      <c r="AA37" s="17">
        <v>0.09</v>
      </c>
      <c r="AB37" s="17">
        <v>8.5999999999999993E-2</v>
      </c>
      <c r="AC37" s="19">
        <v>8.6999999999999994E-2</v>
      </c>
      <c r="AD37" s="21">
        <v>8.7999999999999995E-2</v>
      </c>
      <c r="AE37" s="19">
        <v>3.6840000000000002</v>
      </c>
      <c r="AF37" s="19">
        <v>3.6970000000000001</v>
      </c>
      <c r="AG37" s="19">
        <v>3.762</v>
      </c>
      <c r="AH37" s="21">
        <v>3.7143333333333337</v>
      </c>
      <c r="AI37" s="19">
        <v>0.15</v>
      </c>
      <c r="AJ37" s="19">
        <v>0.14099999999999999</v>
      </c>
      <c r="AK37" s="19">
        <v>0.14599999999999999</v>
      </c>
      <c r="AL37" s="21">
        <v>0.14599999999999999</v>
      </c>
      <c r="AM37" s="19">
        <v>9.4E-2</v>
      </c>
      <c r="AN37" s="19">
        <v>0.09</v>
      </c>
      <c r="AO37" s="19">
        <v>0.1</v>
      </c>
      <c r="AP37" s="21">
        <v>9.5000000000000001E-2</v>
      </c>
      <c r="AQ37" s="19">
        <v>9.1999999999999998E-2</v>
      </c>
      <c r="AR37" s="19">
        <v>8.8999999999999996E-2</v>
      </c>
      <c r="AS37" s="19">
        <v>0.09</v>
      </c>
      <c r="AT37" s="21">
        <v>0.09</v>
      </c>
      <c r="AU37" s="19">
        <v>26.077000000000002</v>
      </c>
      <c r="AV37" s="19">
        <v>26.158000000000001</v>
      </c>
      <c r="AW37" s="19">
        <v>26.555</v>
      </c>
      <c r="AX37" s="21">
        <v>26.263333333333332</v>
      </c>
      <c r="AY37" s="27">
        <v>0.1101</v>
      </c>
      <c r="AZ37" s="27">
        <v>0.1085</v>
      </c>
      <c r="BA37" s="27">
        <v>0.11020000000000001</v>
      </c>
      <c r="BB37" s="28">
        <v>0.10960000000000002</v>
      </c>
      <c r="BC37" s="83">
        <v>12.01</v>
      </c>
      <c r="BD37" s="83">
        <v>5.67</v>
      </c>
    </row>
    <row r="38" spans="1:56">
      <c r="A38" s="7" t="s">
        <v>33</v>
      </c>
      <c r="B38" s="5" t="s">
        <v>106</v>
      </c>
      <c r="C38" s="6" t="s">
        <v>107</v>
      </c>
      <c r="D38" s="6" t="s">
        <v>36</v>
      </c>
      <c r="E38" s="23">
        <v>15.1</v>
      </c>
      <c r="F38" s="23">
        <v>8.5</v>
      </c>
      <c r="G38" s="23">
        <v>10.8</v>
      </c>
      <c r="H38" s="24">
        <v>240</v>
      </c>
      <c r="I38" s="23">
        <v>1.6</v>
      </c>
      <c r="J38" s="23">
        <v>4.2</v>
      </c>
      <c r="K38" s="15">
        <v>3</v>
      </c>
      <c r="L38" s="15">
        <v>3.1</v>
      </c>
      <c r="M38" s="15">
        <v>2.9</v>
      </c>
      <c r="N38" s="20">
        <v>3</v>
      </c>
      <c r="O38" s="15">
        <v>2.6</v>
      </c>
      <c r="P38" s="15">
        <v>2.4</v>
      </c>
      <c r="Q38" s="15">
        <v>2.4</v>
      </c>
      <c r="R38" s="20">
        <v>2.4666666666666668</v>
      </c>
      <c r="S38" s="17">
        <v>2.456</v>
      </c>
      <c r="T38" s="17">
        <v>2.4260000000000002</v>
      </c>
      <c r="U38" s="17">
        <v>2.4289999999999998</v>
      </c>
      <c r="V38" s="22">
        <v>2.4369999999999998</v>
      </c>
      <c r="W38" s="17">
        <v>2.38</v>
      </c>
      <c r="X38" s="17">
        <v>2.3959999999999999</v>
      </c>
      <c r="Y38" s="17">
        <v>2.3149999999999999</v>
      </c>
      <c r="Z38" s="22">
        <v>2.3639999999999999</v>
      </c>
      <c r="AA38" s="17">
        <v>3.5999999999999997E-2</v>
      </c>
      <c r="AB38" s="17">
        <v>3.3000000000000002E-2</v>
      </c>
      <c r="AC38" s="19">
        <v>3.3000000000000002E-2</v>
      </c>
      <c r="AD38" s="21">
        <v>3.4000000000000002E-2</v>
      </c>
      <c r="AE38" s="19">
        <v>2.0299999999999998</v>
      </c>
      <c r="AF38" s="19">
        <v>2.048</v>
      </c>
      <c r="AG38" s="19">
        <v>2.0569999999999999</v>
      </c>
      <c r="AH38" s="21">
        <v>2.0449999999999999</v>
      </c>
      <c r="AI38" s="19">
        <v>9.6000000000000002E-2</v>
      </c>
      <c r="AJ38" s="19">
        <v>9.2999999999999999E-2</v>
      </c>
      <c r="AK38" s="19">
        <v>9.4E-2</v>
      </c>
      <c r="AL38" s="21">
        <v>9.4E-2</v>
      </c>
      <c r="AM38" s="19">
        <v>5.1999999999999998E-2</v>
      </c>
      <c r="AN38" s="19">
        <v>5.5E-2</v>
      </c>
      <c r="AO38" s="19">
        <v>5.0999999999999997E-2</v>
      </c>
      <c r="AP38" s="21">
        <v>5.2999999999999999E-2</v>
      </c>
      <c r="AQ38" s="19">
        <v>4.5999999999999999E-2</v>
      </c>
      <c r="AR38" s="19">
        <v>4.2999999999999997E-2</v>
      </c>
      <c r="AS38" s="19">
        <v>4.2999999999999997E-2</v>
      </c>
      <c r="AT38" s="21">
        <v>4.3999999999999997E-2</v>
      </c>
      <c r="AU38" s="19">
        <v>12.221</v>
      </c>
      <c r="AV38" s="19">
        <v>12.375</v>
      </c>
      <c r="AW38" s="19">
        <v>12.38</v>
      </c>
      <c r="AX38" s="21">
        <v>12.325333333333333</v>
      </c>
      <c r="AY38" s="27">
        <v>7.1099999999999997E-2</v>
      </c>
      <c r="AZ38" s="27">
        <v>7.1499999999999994E-2</v>
      </c>
      <c r="BA38" s="27">
        <v>6.9800000000000001E-2</v>
      </c>
      <c r="BB38" s="28">
        <v>7.0800000000000002E-2</v>
      </c>
      <c r="BC38" s="84">
        <v>8.58</v>
      </c>
      <c r="BD38" s="84">
        <v>4.87</v>
      </c>
    </row>
    <row r="39" spans="1:56" s="1" customFormat="1">
      <c r="A39" s="71" t="s">
        <v>118</v>
      </c>
      <c r="B39" s="73" t="s">
        <v>119</v>
      </c>
      <c r="C39" s="74" t="s">
        <v>120</v>
      </c>
      <c r="D39" s="74" t="s">
        <v>121</v>
      </c>
      <c r="E39" s="73" t="s">
        <v>122</v>
      </c>
      <c r="F39" s="73"/>
      <c r="G39" s="73"/>
      <c r="H39" s="73"/>
      <c r="I39" s="69" t="s">
        <v>123</v>
      </c>
      <c r="J39" s="69" t="s">
        <v>133</v>
      </c>
      <c r="K39" s="76" t="s">
        <v>124</v>
      </c>
      <c r="L39" s="77"/>
      <c r="M39" s="77"/>
      <c r="N39" s="78"/>
      <c r="O39" s="76" t="s">
        <v>125</v>
      </c>
      <c r="P39" s="77"/>
      <c r="Q39" s="78"/>
      <c r="R39" s="76" t="s">
        <v>135</v>
      </c>
      <c r="S39" s="77"/>
      <c r="T39" s="77"/>
      <c r="U39" s="76" t="s">
        <v>126</v>
      </c>
      <c r="V39" s="77"/>
      <c r="W39" s="77"/>
      <c r="X39" s="76" t="s">
        <v>127</v>
      </c>
      <c r="Y39" s="77"/>
      <c r="Z39" s="77"/>
      <c r="AA39" s="76" t="s">
        <v>128</v>
      </c>
      <c r="AB39" s="77"/>
      <c r="AC39" s="77"/>
      <c r="AD39" s="76" t="s">
        <v>129</v>
      </c>
      <c r="AE39" s="77"/>
      <c r="AF39" s="77"/>
      <c r="AG39" s="76" t="s">
        <v>130</v>
      </c>
      <c r="AH39" s="77"/>
      <c r="AI39" s="77"/>
      <c r="AJ39" s="76" t="s">
        <v>131</v>
      </c>
      <c r="AK39" s="77"/>
      <c r="AL39" s="77"/>
      <c r="AM39" s="76" t="s">
        <v>132</v>
      </c>
      <c r="AN39" s="77"/>
      <c r="AO39" s="77"/>
      <c r="AP39" s="76" t="s">
        <v>134</v>
      </c>
      <c r="AQ39" s="77"/>
      <c r="AR39" s="78"/>
    </row>
    <row r="40" spans="1:56" s="1" customFormat="1" ht="17.25" thickBot="1">
      <c r="A40" s="72"/>
      <c r="B40" s="70"/>
      <c r="C40" s="75"/>
      <c r="D40" s="75"/>
      <c r="E40" s="12" t="s">
        <v>111</v>
      </c>
      <c r="F40" s="12" t="s">
        <v>110</v>
      </c>
      <c r="G40" s="12" t="s">
        <v>112</v>
      </c>
      <c r="H40" s="12" t="s">
        <v>113</v>
      </c>
      <c r="I40" s="70"/>
      <c r="J40" s="70"/>
      <c r="K40" s="13" t="s">
        <v>115</v>
      </c>
      <c r="L40" s="13" t="s">
        <v>116</v>
      </c>
      <c r="M40" s="13" t="s">
        <v>117</v>
      </c>
      <c r="N40" s="12" t="s">
        <v>114</v>
      </c>
      <c r="O40" s="13" t="s">
        <v>115</v>
      </c>
      <c r="P40" s="13" t="s">
        <v>116</v>
      </c>
      <c r="Q40" s="12" t="s">
        <v>114</v>
      </c>
      <c r="R40" s="13" t="s">
        <v>115</v>
      </c>
      <c r="S40" s="13" t="s">
        <v>116</v>
      </c>
      <c r="T40" s="12" t="s">
        <v>114</v>
      </c>
      <c r="U40" s="13" t="s">
        <v>115</v>
      </c>
      <c r="V40" s="13" t="s">
        <v>116</v>
      </c>
      <c r="W40" s="12" t="s">
        <v>114</v>
      </c>
      <c r="X40" s="13" t="s">
        <v>115</v>
      </c>
      <c r="Y40" s="13" t="s">
        <v>116</v>
      </c>
      <c r="Z40" s="12" t="s">
        <v>114</v>
      </c>
      <c r="AA40" s="13" t="s">
        <v>115</v>
      </c>
      <c r="AB40" s="13" t="s">
        <v>116</v>
      </c>
      <c r="AC40" s="12" t="s">
        <v>114</v>
      </c>
      <c r="AD40" s="13" t="s">
        <v>115</v>
      </c>
      <c r="AE40" s="13" t="s">
        <v>116</v>
      </c>
      <c r="AF40" s="12" t="s">
        <v>114</v>
      </c>
      <c r="AG40" s="13" t="s">
        <v>115</v>
      </c>
      <c r="AH40" s="13" t="s">
        <v>116</v>
      </c>
      <c r="AI40" s="12" t="s">
        <v>114</v>
      </c>
      <c r="AJ40" s="13" t="s">
        <v>115</v>
      </c>
      <c r="AK40" s="13" t="s">
        <v>116</v>
      </c>
      <c r="AL40" s="12" t="s">
        <v>114</v>
      </c>
      <c r="AM40" s="13" t="s">
        <v>115</v>
      </c>
      <c r="AN40" s="13" t="s">
        <v>116</v>
      </c>
      <c r="AO40" s="12" t="s">
        <v>114</v>
      </c>
      <c r="AP40" s="13" t="s">
        <v>115</v>
      </c>
      <c r="AQ40" s="13" t="s">
        <v>116</v>
      </c>
      <c r="AR40" s="12" t="s">
        <v>114</v>
      </c>
      <c r="AS40" s="1" t="s">
        <v>166</v>
      </c>
      <c r="AT40" s="1" t="s">
        <v>167</v>
      </c>
    </row>
    <row r="41" spans="1:56">
      <c r="A41" s="8" t="s">
        <v>136</v>
      </c>
      <c r="B41" s="9" t="s">
        <v>34</v>
      </c>
      <c r="C41" s="10" t="s">
        <v>35</v>
      </c>
      <c r="D41" s="10" t="s">
        <v>36</v>
      </c>
      <c r="E41" s="20">
        <v>16</v>
      </c>
      <c r="F41" s="20">
        <v>6.6</v>
      </c>
      <c r="G41" s="40">
        <v>105</v>
      </c>
      <c r="H41" s="20">
        <v>10.4</v>
      </c>
      <c r="I41" s="20">
        <v>1.3</v>
      </c>
      <c r="J41" s="20">
        <v>2.4</v>
      </c>
      <c r="K41" s="36">
        <v>1.5</v>
      </c>
      <c r="L41" s="36">
        <v>1.5</v>
      </c>
      <c r="M41" s="36"/>
      <c r="N41" s="38">
        <f>ROUND(AVERAGE(K41:M41),1)</f>
        <v>1.5</v>
      </c>
      <c r="O41" s="14">
        <v>1.4</v>
      </c>
      <c r="P41" s="14">
        <v>1.4</v>
      </c>
      <c r="Q41" s="20">
        <f>ROUND(AVERAGE(O41:P41),1)</f>
        <v>1.4</v>
      </c>
      <c r="R41" s="32">
        <v>0.94199999999999995</v>
      </c>
      <c r="S41" s="32">
        <v>0.94</v>
      </c>
      <c r="T41" s="33">
        <f>ROUND(AVERAGE(R41:S41),3)</f>
        <v>0.94099999999999995</v>
      </c>
      <c r="U41" s="32">
        <v>0.88900000000000001</v>
      </c>
      <c r="V41" s="32">
        <v>0.877</v>
      </c>
      <c r="W41" s="33">
        <f>ROUND(AVERAGE(U41:V41),3)</f>
        <v>0.88300000000000001</v>
      </c>
      <c r="X41" s="16">
        <v>2.1999999999999999E-2</v>
      </c>
      <c r="Y41" s="16">
        <v>2.3E-2</v>
      </c>
      <c r="Z41" s="21">
        <f>ROUND(AVERAGE(X41:Y41),3)</f>
        <v>2.3E-2</v>
      </c>
      <c r="AA41" s="29">
        <v>0.69699999999999995</v>
      </c>
      <c r="AB41" s="29">
        <v>0.72399999999999998</v>
      </c>
      <c r="AC41" s="31">
        <f>ROUND(AVERAGE(AA41:AB41),3)</f>
        <v>0.71099999999999997</v>
      </c>
      <c r="AD41" s="18">
        <v>2.3E-2</v>
      </c>
      <c r="AE41" s="18">
        <v>0.02</v>
      </c>
      <c r="AF41" s="21">
        <f>ROUND(AVERAGE(AD41:AE41),3)</f>
        <v>2.1999999999999999E-2</v>
      </c>
      <c r="AG41" s="29">
        <v>1.6E-2</v>
      </c>
      <c r="AH41" s="29">
        <v>1.2999999999999999E-2</v>
      </c>
      <c r="AI41" s="31">
        <f>ROUND(AVERAGE(AG41:AH41),3)</f>
        <v>1.4999999999999999E-2</v>
      </c>
      <c r="AJ41" s="29">
        <v>4.0000000000000001E-3</v>
      </c>
      <c r="AK41" s="29">
        <v>3.0000000000000001E-3</v>
      </c>
      <c r="AL41" s="31">
        <f>ROUND(AVERAGE(AJ41:AK41),3)</f>
        <v>4.0000000000000001E-3</v>
      </c>
      <c r="AM41" s="18">
        <v>9.0990000000000002</v>
      </c>
      <c r="AN41" s="18">
        <v>9.2100000000000009</v>
      </c>
      <c r="AO41" s="21">
        <f>ROUND(AVERAGE(AM41:AN41),3)</f>
        <v>9.1549999999999994</v>
      </c>
      <c r="AP41" s="25">
        <v>4.5699999999999998E-2</v>
      </c>
      <c r="AQ41" s="25">
        <v>4.6800000000000001E-2</v>
      </c>
      <c r="AR41" s="26">
        <f>ROUND(AVERAGE(AP41:AQ41),4)</f>
        <v>4.6300000000000001E-2</v>
      </c>
      <c r="AS41" s="87">
        <v>3.78</v>
      </c>
      <c r="AT41" s="87">
        <v>2.0099999999999998</v>
      </c>
    </row>
    <row r="42" spans="1:56">
      <c r="A42" s="7" t="s">
        <v>37</v>
      </c>
      <c r="B42" s="5" t="s">
        <v>38</v>
      </c>
      <c r="C42" s="6" t="s">
        <v>39</v>
      </c>
      <c r="D42" s="6" t="s">
        <v>40</v>
      </c>
      <c r="E42" s="23">
        <v>16.7</v>
      </c>
      <c r="F42" s="23">
        <v>6.7</v>
      </c>
      <c r="G42" s="41">
        <v>72</v>
      </c>
      <c r="H42" s="23">
        <v>10.1</v>
      </c>
      <c r="I42" s="23">
        <v>1.3</v>
      </c>
      <c r="J42" s="23">
        <v>2.6</v>
      </c>
      <c r="K42" s="37">
        <v>1.6</v>
      </c>
      <c r="L42" s="37">
        <v>1.6</v>
      </c>
      <c r="M42" s="37"/>
      <c r="N42" s="38">
        <f t="shared" ref="N42:N78" si="0">ROUND(AVERAGE(K42:M42),1)</f>
        <v>1.6</v>
      </c>
      <c r="O42" s="15">
        <v>1.5</v>
      </c>
      <c r="P42" s="15">
        <v>1.5</v>
      </c>
      <c r="Q42" s="20">
        <f t="shared" ref="Q42:Q78" si="1">ROUND(AVERAGE(O42:P42),1)</f>
        <v>1.5</v>
      </c>
      <c r="R42" s="34">
        <v>0.95</v>
      </c>
      <c r="S42" s="34">
        <v>0.94199999999999995</v>
      </c>
      <c r="T42" s="33">
        <f t="shared" ref="T42:T78" si="2">ROUND(AVERAGE(R42:S42),3)</f>
        <v>0.94599999999999995</v>
      </c>
      <c r="U42" s="34">
        <v>0.91200000000000003</v>
      </c>
      <c r="V42" s="34">
        <v>0.91700000000000004</v>
      </c>
      <c r="W42" s="33">
        <f t="shared" ref="W42:W78" si="3">ROUND(AVERAGE(U42:V42),3)</f>
        <v>0.91500000000000004</v>
      </c>
      <c r="X42" s="17">
        <v>2.1000000000000001E-2</v>
      </c>
      <c r="Y42" s="17">
        <v>2.1999999999999999E-2</v>
      </c>
      <c r="Z42" s="21">
        <f t="shared" ref="Z42:Z78" si="4">ROUND(AVERAGE(X42:Y42),3)</f>
        <v>2.1999999999999999E-2</v>
      </c>
      <c r="AA42" s="30">
        <v>0.74099999999999999</v>
      </c>
      <c r="AB42" s="30">
        <v>0.76300000000000001</v>
      </c>
      <c r="AC42" s="31">
        <f t="shared" ref="AC42:AC78" si="5">ROUND(AVERAGE(AA42:AB42),3)</f>
        <v>0.752</v>
      </c>
      <c r="AD42" s="19">
        <v>2.4E-2</v>
      </c>
      <c r="AE42" s="19">
        <v>2.1000000000000001E-2</v>
      </c>
      <c r="AF42" s="21">
        <f t="shared" ref="AF42:AF78" si="6">ROUND(AVERAGE(AD42:AE42),3)</f>
        <v>2.3E-2</v>
      </c>
      <c r="AG42" s="30">
        <v>1.2E-2</v>
      </c>
      <c r="AH42" s="30">
        <v>1.2E-2</v>
      </c>
      <c r="AI42" s="31">
        <f t="shared" ref="AI42:AI78" si="7">ROUND(AVERAGE(AG42:AH42),3)</f>
        <v>1.2E-2</v>
      </c>
      <c r="AJ42" s="30">
        <v>2E-3</v>
      </c>
      <c r="AK42" s="30">
        <v>3.0000000000000001E-3</v>
      </c>
      <c r="AL42" s="31">
        <f t="shared" ref="AL42:AL78" si="8">ROUND(AVERAGE(AJ42:AK42),3)</f>
        <v>3.0000000000000001E-3</v>
      </c>
      <c r="AM42" s="19">
        <v>4.6879999999999997</v>
      </c>
      <c r="AN42" s="19">
        <v>4.7409999999999997</v>
      </c>
      <c r="AO42" s="21">
        <f t="shared" ref="AO42:AO78" si="9">ROUND(AVERAGE(AM42:AN42),3)</f>
        <v>4.7149999999999999</v>
      </c>
      <c r="AP42" s="27">
        <v>4.4600000000000001E-2</v>
      </c>
      <c r="AQ42" s="27">
        <v>4.3400000000000001E-2</v>
      </c>
      <c r="AR42" s="26">
        <f t="shared" ref="AR42:AR78" si="10">ROUND(AVERAGE(AP42:AQ42),4)</f>
        <v>4.3999999999999997E-2</v>
      </c>
      <c r="AS42" s="83">
        <v>4.2699999999999996</v>
      </c>
      <c r="AT42" s="83">
        <v>2.37</v>
      </c>
      <c r="AU42" s="83"/>
    </row>
    <row r="43" spans="1:56">
      <c r="A43" s="7" t="s">
        <v>0</v>
      </c>
      <c r="B43" s="5" t="s">
        <v>41</v>
      </c>
      <c r="C43" s="6" t="s">
        <v>42</v>
      </c>
      <c r="D43" s="6" t="s">
        <v>36</v>
      </c>
      <c r="E43" s="23">
        <v>16.399999999999999</v>
      </c>
      <c r="F43" s="23">
        <v>6.2</v>
      </c>
      <c r="G43" s="41">
        <v>87</v>
      </c>
      <c r="H43" s="23">
        <v>10.6</v>
      </c>
      <c r="I43" s="23">
        <v>1.3</v>
      </c>
      <c r="J43" s="23">
        <v>2.5</v>
      </c>
      <c r="K43" s="37">
        <v>1.5</v>
      </c>
      <c r="L43" s="37">
        <v>1.7</v>
      </c>
      <c r="M43" s="37"/>
      <c r="N43" s="38">
        <f t="shared" si="0"/>
        <v>1.6</v>
      </c>
      <c r="O43" s="15">
        <v>1.5</v>
      </c>
      <c r="P43" s="15">
        <v>1.4</v>
      </c>
      <c r="Q43" s="20">
        <f t="shared" si="1"/>
        <v>1.5</v>
      </c>
      <c r="R43" s="34">
        <v>0.99</v>
      </c>
      <c r="S43" s="34">
        <v>0.99</v>
      </c>
      <c r="T43" s="33">
        <f t="shared" si="2"/>
        <v>0.99</v>
      </c>
      <c r="U43" s="34">
        <v>0.92700000000000005</v>
      </c>
      <c r="V43" s="34">
        <v>0.91900000000000004</v>
      </c>
      <c r="W43" s="33">
        <f t="shared" si="3"/>
        <v>0.92300000000000004</v>
      </c>
      <c r="X43" s="17">
        <v>2.7E-2</v>
      </c>
      <c r="Y43" s="17">
        <v>2.8000000000000001E-2</v>
      </c>
      <c r="Z43" s="21">
        <f t="shared" si="4"/>
        <v>2.8000000000000001E-2</v>
      </c>
      <c r="AA43" s="30">
        <v>0.753</v>
      </c>
      <c r="AB43" s="30">
        <v>0.76800000000000002</v>
      </c>
      <c r="AC43" s="31">
        <f t="shared" si="5"/>
        <v>0.76100000000000001</v>
      </c>
      <c r="AD43" s="19">
        <v>2.5000000000000001E-2</v>
      </c>
      <c r="AE43" s="19">
        <v>2.3E-2</v>
      </c>
      <c r="AF43" s="21">
        <f t="shared" si="6"/>
        <v>2.4E-2</v>
      </c>
      <c r="AG43" s="30">
        <v>1.2999999999999999E-2</v>
      </c>
      <c r="AH43" s="30">
        <v>1.2999999999999999E-2</v>
      </c>
      <c r="AI43" s="31">
        <f t="shared" si="7"/>
        <v>1.2999999999999999E-2</v>
      </c>
      <c r="AJ43" s="30">
        <v>3.0000000000000001E-3</v>
      </c>
      <c r="AK43" s="30">
        <v>2E-3</v>
      </c>
      <c r="AL43" s="31">
        <f t="shared" si="8"/>
        <v>3.0000000000000001E-3</v>
      </c>
      <c r="AM43" s="19">
        <v>6.3470000000000004</v>
      </c>
      <c r="AN43" s="19">
        <v>6.4059999999999997</v>
      </c>
      <c r="AO43" s="21">
        <f t="shared" si="9"/>
        <v>6.3769999999999998</v>
      </c>
      <c r="AP43" s="27">
        <v>4.5400000000000003E-2</v>
      </c>
      <c r="AQ43" s="27">
        <v>4.4499999999999998E-2</v>
      </c>
      <c r="AR43" s="26">
        <f t="shared" si="10"/>
        <v>4.4999999999999998E-2</v>
      </c>
      <c r="AS43" s="83">
        <v>4.5</v>
      </c>
      <c r="AT43" s="83">
        <v>2.29</v>
      </c>
    </row>
    <row r="44" spans="1:56">
      <c r="A44" s="7" t="s">
        <v>1</v>
      </c>
      <c r="B44" s="5" t="s">
        <v>43</v>
      </c>
      <c r="C44" s="6" t="s">
        <v>44</v>
      </c>
      <c r="D44" s="6" t="s">
        <v>45</v>
      </c>
      <c r="E44" s="23">
        <v>16.399999999999999</v>
      </c>
      <c r="F44" s="23">
        <v>6.5</v>
      </c>
      <c r="G44" s="41">
        <v>63</v>
      </c>
      <c r="H44" s="23">
        <v>10.4</v>
      </c>
      <c r="I44" s="23">
        <v>1.1000000000000001</v>
      </c>
      <c r="J44" s="23">
        <v>2.8</v>
      </c>
      <c r="K44" s="37">
        <v>1.7</v>
      </c>
      <c r="L44" s="37">
        <v>1.8</v>
      </c>
      <c r="M44" s="37"/>
      <c r="N44" s="38">
        <f t="shared" si="0"/>
        <v>1.8</v>
      </c>
      <c r="O44" s="15">
        <v>1.7</v>
      </c>
      <c r="P44" s="15">
        <v>1.6</v>
      </c>
      <c r="Q44" s="20">
        <f t="shared" si="1"/>
        <v>1.7</v>
      </c>
      <c r="R44" s="34">
        <v>0.66200000000000003</v>
      </c>
      <c r="S44" s="34">
        <v>0.68300000000000005</v>
      </c>
      <c r="T44" s="33">
        <f t="shared" si="2"/>
        <v>0.67300000000000004</v>
      </c>
      <c r="U44" s="34">
        <v>0.63200000000000001</v>
      </c>
      <c r="V44" s="34">
        <v>0.64300000000000002</v>
      </c>
      <c r="W44" s="33">
        <f t="shared" si="3"/>
        <v>0.63800000000000001</v>
      </c>
      <c r="X44" s="17">
        <v>3.2000000000000001E-2</v>
      </c>
      <c r="Y44" s="17">
        <v>2.5999999999999999E-2</v>
      </c>
      <c r="Z44" s="21">
        <f t="shared" si="4"/>
        <v>2.9000000000000001E-2</v>
      </c>
      <c r="AA44" s="30">
        <v>0.497</v>
      </c>
      <c r="AB44" s="30">
        <v>0.496</v>
      </c>
      <c r="AC44" s="31">
        <f t="shared" si="5"/>
        <v>0.497</v>
      </c>
      <c r="AD44" s="19">
        <v>2.1000000000000001E-2</v>
      </c>
      <c r="AE44" s="19">
        <v>1.9E-2</v>
      </c>
      <c r="AF44" s="21">
        <f t="shared" si="6"/>
        <v>0.02</v>
      </c>
      <c r="AG44" s="30">
        <v>1.0999999999999999E-2</v>
      </c>
      <c r="AH44" s="30">
        <v>1.2E-2</v>
      </c>
      <c r="AI44" s="31">
        <f t="shared" si="7"/>
        <v>1.2E-2</v>
      </c>
      <c r="AJ44" s="30">
        <v>0</v>
      </c>
      <c r="AK44" s="30">
        <v>0</v>
      </c>
      <c r="AL44" s="31">
        <f t="shared" si="8"/>
        <v>0</v>
      </c>
      <c r="AM44" s="19">
        <v>4.2880000000000003</v>
      </c>
      <c r="AN44" s="19">
        <v>4.22</v>
      </c>
      <c r="AO44" s="21">
        <f t="shared" si="9"/>
        <v>4.2539999999999996</v>
      </c>
      <c r="AP44" s="27">
        <v>6.1899999999999997E-2</v>
      </c>
      <c r="AQ44" s="27">
        <v>6.0299999999999999E-2</v>
      </c>
      <c r="AR44" s="26">
        <f t="shared" si="10"/>
        <v>6.1100000000000002E-2</v>
      </c>
      <c r="AS44" s="83">
        <v>2.41</v>
      </c>
      <c r="AT44" s="83">
        <v>2.35</v>
      </c>
      <c r="AU44" s="83"/>
    </row>
    <row r="45" spans="1:56">
      <c r="A45" s="7" t="s">
        <v>2</v>
      </c>
      <c r="B45" s="5" t="s">
        <v>46</v>
      </c>
      <c r="C45" s="6" t="s">
        <v>47</v>
      </c>
      <c r="D45" s="6" t="s">
        <v>36</v>
      </c>
      <c r="E45" s="23">
        <v>16.899999999999999</v>
      </c>
      <c r="F45" s="23">
        <v>6.3</v>
      </c>
      <c r="G45" s="41">
        <v>83</v>
      </c>
      <c r="H45" s="23">
        <v>9.8000000000000007</v>
      </c>
      <c r="I45" s="23">
        <v>1.3</v>
      </c>
      <c r="J45" s="23">
        <v>3.1</v>
      </c>
      <c r="K45" s="37">
        <v>1.9</v>
      </c>
      <c r="L45" s="37">
        <v>2</v>
      </c>
      <c r="M45" s="37"/>
      <c r="N45" s="38">
        <f t="shared" si="0"/>
        <v>2</v>
      </c>
      <c r="O45" s="15">
        <v>1.8</v>
      </c>
      <c r="P45" s="15">
        <v>1.7</v>
      </c>
      <c r="Q45" s="20">
        <f t="shared" si="1"/>
        <v>1.8</v>
      </c>
      <c r="R45" s="34">
        <v>0.97699999999999998</v>
      </c>
      <c r="S45" s="34">
        <v>0.98599999999999999</v>
      </c>
      <c r="T45" s="33">
        <f t="shared" si="2"/>
        <v>0.98199999999999998</v>
      </c>
      <c r="U45" s="34">
        <v>0.91</v>
      </c>
      <c r="V45" s="34">
        <v>0.90700000000000003</v>
      </c>
      <c r="W45" s="33">
        <f t="shared" si="3"/>
        <v>0.90900000000000003</v>
      </c>
      <c r="X45" s="17">
        <v>5.0999999999999997E-2</v>
      </c>
      <c r="Y45" s="17">
        <v>5.1999999999999998E-2</v>
      </c>
      <c r="Z45" s="21">
        <f t="shared" si="4"/>
        <v>5.1999999999999998E-2</v>
      </c>
      <c r="AA45" s="30">
        <v>0.71399999999999997</v>
      </c>
      <c r="AB45" s="30">
        <v>0.73</v>
      </c>
      <c r="AC45" s="31">
        <f t="shared" si="5"/>
        <v>0.72199999999999998</v>
      </c>
      <c r="AD45" s="19">
        <v>3.2000000000000001E-2</v>
      </c>
      <c r="AE45" s="19">
        <v>0.03</v>
      </c>
      <c r="AF45" s="21">
        <f t="shared" si="6"/>
        <v>3.1E-2</v>
      </c>
      <c r="AG45" s="30">
        <v>1.7999999999999999E-2</v>
      </c>
      <c r="AH45" s="30">
        <v>1.9E-2</v>
      </c>
      <c r="AI45" s="31">
        <f t="shared" si="7"/>
        <v>1.9E-2</v>
      </c>
      <c r="AJ45" s="30">
        <v>5.0000000000000001E-3</v>
      </c>
      <c r="AK45" s="30">
        <v>5.0000000000000001E-3</v>
      </c>
      <c r="AL45" s="31">
        <f t="shared" si="8"/>
        <v>5.0000000000000001E-3</v>
      </c>
      <c r="AM45" s="19">
        <v>6.093</v>
      </c>
      <c r="AN45" s="19">
        <v>6.1130000000000004</v>
      </c>
      <c r="AO45" s="21">
        <f t="shared" si="9"/>
        <v>6.1029999999999998</v>
      </c>
      <c r="AP45" s="27">
        <v>5.7500000000000002E-2</v>
      </c>
      <c r="AQ45" s="27">
        <v>5.6300000000000003E-2</v>
      </c>
      <c r="AR45" s="26">
        <f t="shared" si="10"/>
        <v>5.6899999999999999E-2</v>
      </c>
      <c r="AS45" s="83">
        <v>4.5599999999999996</v>
      </c>
      <c r="AT45" s="83">
        <v>2.99</v>
      </c>
    </row>
    <row r="46" spans="1:56">
      <c r="A46" s="7" t="s">
        <v>3</v>
      </c>
      <c r="B46" s="5" t="s">
        <v>46</v>
      </c>
      <c r="C46" s="6" t="s">
        <v>44</v>
      </c>
      <c r="D46" s="6" t="s">
        <v>48</v>
      </c>
      <c r="E46" s="23">
        <v>17</v>
      </c>
      <c r="F46" s="23">
        <v>6.5</v>
      </c>
      <c r="G46" s="41">
        <v>90</v>
      </c>
      <c r="H46" s="23">
        <v>10.5</v>
      </c>
      <c r="I46" s="23">
        <v>1.7</v>
      </c>
      <c r="J46" s="23">
        <v>2.9</v>
      </c>
      <c r="K46" s="37">
        <v>1.6</v>
      </c>
      <c r="L46" s="37">
        <v>1.7</v>
      </c>
      <c r="M46" s="37"/>
      <c r="N46" s="38">
        <f t="shared" si="0"/>
        <v>1.7</v>
      </c>
      <c r="O46" s="15">
        <v>1.6</v>
      </c>
      <c r="P46" s="15">
        <v>1.5</v>
      </c>
      <c r="Q46" s="20">
        <f t="shared" si="1"/>
        <v>1.6</v>
      </c>
      <c r="R46" s="34">
        <v>1.052</v>
      </c>
      <c r="S46" s="34">
        <v>1.0509999999999999</v>
      </c>
      <c r="T46" s="33">
        <f t="shared" si="2"/>
        <v>1.052</v>
      </c>
      <c r="U46" s="34">
        <v>1.0009999999999999</v>
      </c>
      <c r="V46" s="34">
        <v>1</v>
      </c>
      <c r="W46" s="33">
        <f t="shared" si="3"/>
        <v>1.0009999999999999</v>
      </c>
      <c r="X46" s="17">
        <v>0.03</v>
      </c>
      <c r="Y46" s="17">
        <v>0.03</v>
      </c>
      <c r="Z46" s="21">
        <f t="shared" si="4"/>
        <v>0.03</v>
      </c>
      <c r="AA46" s="30">
        <v>0.80900000000000005</v>
      </c>
      <c r="AB46" s="30">
        <v>0.82</v>
      </c>
      <c r="AC46" s="31">
        <f t="shared" si="5"/>
        <v>0.81499999999999995</v>
      </c>
      <c r="AD46" s="19">
        <v>0.04</v>
      </c>
      <c r="AE46" s="19">
        <v>3.5000000000000003E-2</v>
      </c>
      <c r="AF46" s="21">
        <f t="shared" si="6"/>
        <v>3.7999999999999999E-2</v>
      </c>
      <c r="AG46" s="30">
        <v>2.4E-2</v>
      </c>
      <c r="AH46" s="30">
        <v>2.5000000000000001E-2</v>
      </c>
      <c r="AI46" s="31">
        <f t="shared" si="7"/>
        <v>2.5000000000000001E-2</v>
      </c>
      <c r="AJ46" s="30">
        <v>1.0999999999999999E-2</v>
      </c>
      <c r="AK46" s="30">
        <v>1.2E-2</v>
      </c>
      <c r="AL46" s="31">
        <f t="shared" si="8"/>
        <v>1.2E-2</v>
      </c>
      <c r="AM46" s="19">
        <v>5.8970000000000002</v>
      </c>
      <c r="AN46" s="19">
        <v>5.9550000000000001</v>
      </c>
      <c r="AO46" s="21">
        <f t="shared" si="9"/>
        <v>5.9260000000000002</v>
      </c>
      <c r="AP46" s="27">
        <v>4.87E-2</v>
      </c>
      <c r="AQ46" s="27">
        <v>4.7199999999999999E-2</v>
      </c>
      <c r="AR46" s="26">
        <f t="shared" si="10"/>
        <v>4.8000000000000001E-2</v>
      </c>
      <c r="AS46" s="83">
        <v>5.95</v>
      </c>
      <c r="AT46" s="83">
        <v>2.46</v>
      </c>
      <c r="AU46" s="83"/>
    </row>
    <row r="47" spans="1:56">
      <c r="A47" s="7" t="s">
        <v>4</v>
      </c>
      <c r="B47" s="5" t="s">
        <v>49</v>
      </c>
      <c r="C47" s="6" t="s">
        <v>44</v>
      </c>
      <c r="D47" s="6" t="s">
        <v>36</v>
      </c>
      <c r="E47" s="23">
        <v>16.899999999999999</v>
      </c>
      <c r="F47" s="23">
        <v>6.2</v>
      </c>
      <c r="G47" s="41">
        <v>85</v>
      </c>
      <c r="H47" s="23">
        <v>9.5</v>
      </c>
      <c r="I47" s="23">
        <v>1.3</v>
      </c>
      <c r="J47" s="23">
        <v>3.3</v>
      </c>
      <c r="K47" s="37">
        <v>2.2000000000000002</v>
      </c>
      <c r="L47" s="37">
        <v>2.2000000000000002</v>
      </c>
      <c r="M47" s="37"/>
      <c r="N47" s="38">
        <f t="shared" si="0"/>
        <v>2.2000000000000002</v>
      </c>
      <c r="O47" s="15">
        <v>1.9</v>
      </c>
      <c r="P47" s="15">
        <v>1.9</v>
      </c>
      <c r="Q47" s="20">
        <f t="shared" si="1"/>
        <v>1.9</v>
      </c>
      <c r="R47" s="34">
        <v>1.06</v>
      </c>
      <c r="S47" s="34">
        <v>1.0569999999999999</v>
      </c>
      <c r="T47" s="33">
        <f t="shared" si="2"/>
        <v>1.0589999999999999</v>
      </c>
      <c r="U47" s="34">
        <v>0.97799999999999998</v>
      </c>
      <c r="V47" s="34">
        <v>0.98099999999999998</v>
      </c>
      <c r="W47" s="33">
        <f t="shared" si="3"/>
        <v>0.98</v>
      </c>
      <c r="X47" s="17">
        <v>4.3999999999999997E-2</v>
      </c>
      <c r="Y47" s="17">
        <v>4.4999999999999998E-2</v>
      </c>
      <c r="Z47" s="21">
        <f t="shared" si="4"/>
        <v>4.4999999999999998E-2</v>
      </c>
      <c r="AA47" s="30">
        <v>0.77400000000000002</v>
      </c>
      <c r="AB47" s="30">
        <v>0.79</v>
      </c>
      <c r="AC47" s="31">
        <f t="shared" si="5"/>
        <v>0.78200000000000003</v>
      </c>
      <c r="AD47" s="19">
        <v>3.6999999999999998E-2</v>
      </c>
      <c r="AE47" s="19">
        <v>3.4000000000000002E-2</v>
      </c>
      <c r="AF47" s="21">
        <f t="shared" si="6"/>
        <v>3.5999999999999997E-2</v>
      </c>
      <c r="AG47" s="30">
        <v>2.1000000000000001E-2</v>
      </c>
      <c r="AH47" s="30">
        <v>2.1999999999999999E-2</v>
      </c>
      <c r="AI47" s="31">
        <f t="shared" si="7"/>
        <v>2.1999999999999999E-2</v>
      </c>
      <c r="AJ47" s="30">
        <v>6.0000000000000001E-3</v>
      </c>
      <c r="AK47" s="30">
        <v>8.0000000000000002E-3</v>
      </c>
      <c r="AL47" s="31">
        <f t="shared" si="8"/>
        <v>7.0000000000000001E-3</v>
      </c>
      <c r="AM47" s="19">
        <v>6.0759999999999996</v>
      </c>
      <c r="AN47" s="19">
        <v>6.1139999999999999</v>
      </c>
      <c r="AO47" s="21">
        <f t="shared" si="9"/>
        <v>6.0949999999999998</v>
      </c>
      <c r="AP47" s="27">
        <v>6.0600000000000001E-2</v>
      </c>
      <c r="AQ47" s="27">
        <v>5.9200000000000003E-2</v>
      </c>
      <c r="AR47" s="26">
        <f t="shared" si="10"/>
        <v>5.9900000000000002E-2</v>
      </c>
      <c r="AS47" s="83">
        <v>5.22</v>
      </c>
      <c r="AT47" s="83">
        <v>3.37</v>
      </c>
    </row>
    <row r="48" spans="1:56">
      <c r="A48" s="7" t="s">
        <v>5</v>
      </c>
      <c r="B48" s="5" t="s">
        <v>50</v>
      </c>
      <c r="C48" s="6" t="s">
        <v>42</v>
      </c>
      <c r="D48" s="6" t="s">
        <v>51</v>
      </c>
      <c r="E48" s="23">
        <v>16.2</v>
      </c>
      <c r="F48" s="23">
        <v>6.8</v>
      </c>
      <c r="G48" s="41">
        <v>95</v>
      </c>
      <c r="H48" s="23">
        <v>8.8000000000000007</v>
      </c>
      <c r="I48" s="23">
        <v>1.3</v>
      </c>
      <c r="J48" s="23">
        <v>2.6</v>
      </c>
      <c r="K48" s="37">
        <v>1.6</v>
      </c>
      <c r="L48" s="37">
        <v>1.6</v>
      </c>
      <c r="M48" s="37"/>
      <c r="N48" s="38">
        <f t="shared" si="0"/>
        <v>1.6</v>
      </c>
      <c r="O48" s="15">
        <v>1.6</v>
      </c>
      <c r="P48" s="15">
        <v>1.4</v>
      </c>
      <c r="Q48" s="20">
        <f t="shared" si="1"/>
        <v>1.5</v>
      </c>
      <c r="R48" s="34">
        <v>2.2320000000000002</v>
      </c>
      <c r="S48" s="34">
        <v>2.2189999999999999</v>
      </c>
      <c r="T48" s="33">
        <f t="shared" si="2"/>
        <v>2.226</v>
      </c>
      <c r="U48" s="34">
        <v>2.1160000000000001</v>
      </c>
      <c r="V48" s="34">
        <v>2.1349999999999998</v>
      </c>
      <c r="W48" s="33">
        <f t="shared" si="3"/>
        <v>2.1259999999999999</v>
      </c>
      <c r="X48" s="17">
        <v>7.5999999999999998E-2</v>
      </c>
      <c r="Y48" s="17">
        <v>7.4999999999999997E-2</v>
      </c>
      <c r="Z48" s="21">
        <f t="shared" si="4"/>
        <v>7.5999999999999998E-2</v>
      </c>
      <c r="AA48" s="30">
        <v>1.7529999999999999</v>
      </c>
      <c r="AB48" s="30">
        <v>1.784</v>
      </c>
      <c r="AC48" s="31">
        <f t="shared" si="5"/>
        <v>1.7689999999999999</v>
      </c>
      <c r="AD48" s="19">
        <v>0.20300000000000001</v>
      </c>
      <c r="AE48" s="19">
        <v>0.19800000000000001</v>
      </c>
      <c r="AF48" s="21">
        <f t="shared" si="6"/>
        <v>0.20100000000000001</v>
      </c>
      <c r="AG48" s="30">
        <v>0.17799999999999999</v>
      </c>
      <c r="AH48" s="30">
        <v>0.187</v>
      </c>
      <c r="AI48" s="31">
        <f t="shared" si="7"/>
        <v>0.183</v>
      </c>
      <c r="AJ48" s="30">
        <v>0.17499999999999999</v>
      </c>
      <c r="AK48" s="30">
        <v>0.18</v>
      </c>
      <c r="AL48" s="31">
        <f t="shared" si="8"/>
        <v>0.17799999999999999</v>
      </c>
      <c r="AM48" s="19">
        <v>6.81</v>
      </c>
      <c r="AN48" s="19">
        <v>6.907</v>
      </c>
      <c r="AO48" s="21">
        <f t="shared" si="9"/>
        <v>6.859</v>
      </c>
      <c r="AP48" s="27">
        <v>4.3400000000000001E-2</v>
      </c>
      <c r="AQ48" s="27">
        <v>4.2200000000000001E-2</v>
      </c>
      <c r="AR48" s="26">
        <f t="shared" si="10"/>
        <v>4.2799999999999998E-2</v>
      </c>
      <c r="AS48" s="83">
        <v>9.08</v>
      </c>
      <c r="AT48" s="83">
        <v>4.62</v>
      </c>
      <c r="AU48" s="83"/>
    </row>
    <row r="49" spans="1:47">
      <c r="A49" s="7" t="s">
        <v>6</v>
      </c>
      <c r="B49" s="5" t="s">
        <v>52</v>
      </c>
      <c r="C49" s="6" t="s">
        <v>53</v>
      </c>
      <c r="D49" s="6" t="s">
        <v>36</v>
      </c>
      <c r="E49" s="23">
        <v>16.899999999999999</v>
      </c>
      <c r="F49" s="23">
        <v>7.4</v>
      </c>
      <c r="G49" s="41">
        <v>95</v>
      </c>
      <c r="H49" s="23">
        <v>9.6</v>
      </c>
      <c r="I49" s="23">
        <v>1.7</v>
      </c>
      <c r="J49" s="23">
        <v>3.5</v>
      </c>
      <c r="K49" s="37">
        <v>2.1</v>
      </c>
      <c r="L49" s="37">
        <v>2.1</v>
      </c>
      <c r="M49" s="37"/>
      <c r="N49" s="38">
        <f t="shared" si="0"/>
        <v>2.1</v>
      </c>
      <c r="O49" s="15">
        <v>2</v>
      </c>
      <c r="P49" s="15">
        <v>1.7</v>
      </c>
      <c r="Q49" s="20">
        <f t="shared" si="1"/>
        <v>1.9</v>
      </c>
      <c r="R49" s="34">
        <v>1.512</v>
      </c>
      <c r="S49" s="34">
        <v>1.51</v>
      </c>
      <c r="T49" s="33">
        <f t="shared" si="2"/>
        <v>1.5109999999999999</v>
      </c>
      <c r="U49" s="34">
        <v>1.419</v>
      </c>
      <c r="V49" s="34">
        <v>1.409</v>
      </c>
      <c r="W49" s="33">
        <f t="shared" si="3"/>
        <v>1.4139999999999999</v>
      </c>
      <c r="X49" s="17">
        <v>6.0999999999999999E-2</v>
      </c>
      <c r="Y49" s="17">
        <v>6.0999999999999999E-2</v>
      </c>
      <c r="Z49" s="21">
        <f t="shared" si="4"/>
        <v>6.0999999999999999E-2</v>
      </c>
      <c r="AA49" s="30">
        <v>1.1499999999999999</v>
      </c>
      <c r="AB49" s="30">
        <v>1.145</v>
      </c>
      <c r="AC49" s="31">
        <f t="shared" si="5"/>
        <v>1.1479999999999999</v>
      </c>
      <c r="AD49" s="19">
        <v>0.10199999999999999</v>
      </c>
      <c r="AE49" s="19">
        <v>9.9000000000000005E-2</v>
      </c>
      <c r="AF49" s="21">
        <f t="shared" si="6"/>
        <v>0.10100000000000001</v>
      </c>
      <c r="AG49" s="30">
        <v>7.6999999999999999E-2</v>
      </c>
      <c r="AH49" s="30">
        <v>7.4999999999999997E-2</v>
      </c>
      <c r="AI49" s="31">
        <f t="shared" si="7"/>
        <v>7.5999999999999998E-2</v>
      </c>
      <c r="AJ49" s="30">
        <v>6.6000000000000003E-2</v>
      </c>
      <c r="AK49" s="30">
        <v>6.5000000000000002E-2</v>
      </c>
      <c r="AL49" s="31">
        <f t="shared" si="8"/>
        <v>6.6000000000000003E-2</v>
      </c>
      <c r="AM49" s="19">
        <v>6.8929999999999998</v>
      </c>
      <c r="AN49" s="19">
        <v>6.827</v>
      </c>
      <c r="AO49" s="21">
        <f t="shared" si="9"/>
        <v>6.86</v>
      </c>
      <c r="AP49" s="27">
        <v>5.5E-2</v>
      </c>
      <c r="AQ49" s="27">
        <v>5.3100000000000001E-2</v>
      </c>
      <c r="AR49" s="26">
        <f t="shared" si="10"/>
        <v>5.4100000000000002E-2</v>
      </c>
      <c r="AS49" s="83">
        <v>9.08</v>
      </c>
      <c r="AT49" s="83">
        <v>4.05</v>
      </c>
    </row>
    <row r="50" spans="1:47">
      <c r="A50" s="7" t="s">
        <v>7</v>
      </c>
      <c r="B50" s="5" t="s">
        <v>54</v>
      </c>
      <c r="C50" s="6" t="s">
        <v>55</v>
      </c>
      <c r="D50" s="6" t="s">
        <v>56</v>
      </c>
      <c r="E50" s="23">
        <v>16.899999999999999</v>
      </c>
      <c r="F50" s="23">
        <v>7.6</v>
      </c>
      <c r="G50" s="41">
        <v>96</v>
      </c>
      <c r="H50" s="23">
        <v>11.4</v>
      </c>
      <c r="I50" s="23">
        <v>1.4</v>
      </c>
      <c r="J50" s="23">
        <v>3</v>
      </c>
      <c r="K50" s="37">
        <v>1.9</v>
      </c>
      <c r="L50" s="37">
        <v>2</v>
      </c>
      <c r="M50" s="37"/>
      <c r="N50" s="38">
        <f t="shared" si="0"/>
        <v>2</v>
      </c>
      <c r="O50" s="15">
        <v>1.7</v>
      </c>
      <c r="P50" s="15">
        <v>1.7</v>
      </c>
      <c r="Q50" s="20">
        <f t="shared" si="1"/>
        <v>1.7</v>
      </c>
      <c r="R50" s="34">
        <v>0.93899999999999995</v>
      </c>
      <c r="S50" s="34">
        <v>0.95099999999999996</v>
      </c>
      <c r="T50" s="33">
        <f t="shared" si="2"/>
        <v>0.94499999999999995</v>
      </c>
      <c r="U50" s="34">
        <v>0.85899999999999999</v>
      </c>
      <c r="V50" s="34">
        <v>0.88500000000000001</v>
      </c>
      <c r="W50" s="33">
        <f t="shared" si="3"/>
        <v>0.872</v>
      </c>
      <c r="X50" s="17">
        <v>3.4000000000000002E-2</v>
      </c>
      <c r="Y50" s="17">
        <v>3.5000000000000003E-2</v>
      </c>
      <c r="Z50" s="21">
        <f t="shared" si="4"/>
        <v>3.5000000000000003E-2</v>
      </c>
      <c r="AA50" s="30">
        <v>0.67</v>
      </c>
      <c r="AB50" s="30">
        <v>0.68200000000000005</v>
      </c>
      <c r="AC50" s="31">
        <f t="shared" si="5"/>
        <v>0.67600000000000005</v>
      </c>
      <c r="AD50" s="19">
        <v>9.6000000000000002E-2</v>
      </c>
      <c r="AE50" s="19">
        <v>9.0999999999999998E-2</v>
      </c>
      <c r="AF50" s="21">
        <f t="shared" si="6"/>
        <v>9.4E-2</v>
      </c>
      <c r="AG50" s="30">
        <v>7.6999999999999999E-2</v>
      </c>
      <c r="AH50" s="30">
        <v>0.08</v>
      </c>
      <c r="AI50" s="31">
        <f t="shared" si="7"/>
        <v>7.9000000000000001E-2</v>
      </c>
      <c r="AJ50" s="30">
        <v>7.2999999999999995E-2</v>
      </c>
      <c r="AK50" s="30">
        <v>7.2999999999999995E-2</v>
      </c>
      <c r="AL50" s="31">
        <f t="shared" si="8"/>
        <v>7.2999999999999995E-2</v>
      </c>
      <c r="AM50" s="19">
        <v>8.7569999999999997</v>
      </c>
      <c r="AN50" s="19">
        <v>8.8460000000000001</v>
      </c>
      <c r="AO50" s="21">
        <f t="shared" si="9"/>
        <v>8.8019999999999996</v>
      </c>
      <c r="AP50" s="27">
        <v>4.99E-2</v>
      </c>
      <c r="AQ50" s="27">
        <v>4.82E-2</v>
      </c>
      <c r="AR50" s="26">
        <f t="shared" si="10"/>
        <v>4.9099999999999998E-2</v>
      </c>
      <c r="AS50" s="83">
        <v>7.47</v>
      </c>
      <c r="AT50" s="83">
        <v>1.41</v>
      </c>
      <c r="AU50" s="83"/>
    </row>
    <row r="51" spans="1:47">
      <c r="A51" s="7" t="s">
        <v>8</v>
      </c>
      <c r="B51" s="5" t="s">
        <v>54</v>
      </c>
      <c r="C51" s="6" t="s">
        <v>44</v>
      </c>
      <c r="D51" s="6" t="s">
        <v>36</v>
      </c>
      <c r="E51" s="23">
        <v>17.899999999999999</v>
      </c>
      <c r="F51" s="23">
        <v>7.7</v>
      </c>
      <c r="G51" s="41">
        <v>109</v>
      </c>
      <c r="H51" s="23">
        <v>9.9</v>
      </c>
      <c r="I51" s="23">
        <v>2.1</v>
      </c>
      <c r="J51" s="23">
        <v>3.7</v>
      </c>
      <c r="K51" s="37">
        <v>2.4</v>
      </c>
      <c r="L51" s="37">
        <v>2.4</v>
      </c>
      <c r="M51" s="37"/>
      <c r="N51" s="38">
        <f t="shared" si="0"/>
        <v>2.4</v>
      </c>
      <c r="O51" s="15">
        <v>2.1</v>
      </c>
      <c r="P51" s="15">
        <v>2</v>
      </c>
      <c r="Q51" s="20">
        <f t="shared" si="1"/>
        <v>2.1</v>
      </c>
      <c r="R51" s="34">
        <v>2.2959999999999998</v>
      </c>
      <c r="S51" s="34">
        <v>2.2970000000000002</v>
      </c>
      <c r="T51" s="33">
        <f t="shared" si="2"/>
        <v>2.2970000000000002</v>
      </c>
      <c r="U51" s="34">
        <v>2.1800000000000002</v>
      </c>
      <c r="V51" s="34">
        <v>2.2320000000000002</v>
      </c>
      <c r="W51" s="33">
        <f t="shared" si="3"/>
        <v>2.206</v>
      </c>
      <c r="X51" s="17">
        <v>0.14699999999999999</v>
      </c>
      <c r="Y51" s="17">
        <v>0.14699999999999999</v>
      </c>
      <c r="Z51" s="21">
        <f t="shared" si="4"/>
        <v>0.14699999999999999</v>
      </c>
      <c r="AA51" s="30">
        <v>1.718</v>
      </c>
      <c r="AB51" s="30">
        <v>1.708</v>
      </c>
      <c r="AC51" s="31">
        <f t="shared" si="5"/>
        <v>1.7130000000000001</v>
      </c>
      <c r="AD51" s="19">
        <v>0.26800000000000002</v>
      </c>
      <c r="AE51" s="19">
        <v>0.26400000000000001</v>
      </c>
      <c r="AF51" s="21">
        <f t="shared" si="6"/>
        <v>0.26600000000000001</v>
      </c>
      <c r="AG51" s="30">
        <v>0.22900000000000001</v>
      </c>
      <c r="AH51" s="30">
        <v>0.24199999999999999</v>
      </c>
      <c r="AI51" s="31">
        <f t="shared" si="7"/>
        <v>0.23599999999999999</v>
      </c>
      <c r="AJ51" s="30">
        <v>0.22500000000000001</v>
      </c>
      <c r="AK51" s="30">
        <v>0.23499999999999999</v>
      </c>
      <c r="AL51" s="31">
        <f t="shared" si="8"/>
        <v>0.23</v>
      </c>
      <c r="AM51" s="19">
        <v>7.79</v>
      </c>
      <c r="AN51" s="19">
        <v>7.75</v>
      </c>
      <c r="AO51" s="21">
        <f t="shared" si="9"/>
        <v>7.77</v>
      </c>
      <c r="AP51" s="27">
        <v>5.8500000000000003E-2</v>
      </c>
      <c r="AQ51" s="27">
        <v>5.7099999999999998E-2</v>
      </c>
      <c r="AR51" s="26">
        <f t="shared" si="10"/>
        <v>5.7799999999999997E-2</v>
      </c>
      <c r="AS51" s="83">
        <v>12.43</v>
      </c>
      <c r="AT51" s="83">
        <v>3.41</v>
      </c>
    </row>
    <row r="52" spans="1:47">
      <c r="A52" s="7" t="s">
        <v>9</v>
      </c>
      <c r="B52" s="5" t="s">
        <v>57</v>
      </c>
      <c r="C52" s="6" t="s">
        <v>58</v>
      </c>
      <c r="D52" s="6" t="s">
        <v>59</v>
      </c>
      <c r="E52" s="23">
        <v>16.899999999999999</v>
      </c>
      <c r="F52" s="23">
        <v>8.1</v>
      </c>
      <c r="G52" s="41">
        <v>116</v>
      </c>
      <c r="H52" s="23">
        <v>9.6999999999999993</v>
      </c>
      <c r="I52" s="23">
        <v>0.9</v>
      </c>
      <c r="J52" s="23">
        <v>2</v>
      </c>
      <c r="K52" s="37">
        <v>1.3</v>
      </c>
      <c r="L52" s="37">
        <v>1.1000000000000001</v>
      </c>
      <c r="M52" s="37"/>
      <c r="N52" s="38">
        <f t="shared" si="0"/>
        <v>1.2</v>
      </c>
      <c r="O52" s="15">
        <v>1.2</v>
      </c>
      <c r="P52" s="15">
        <v>1.2</v>
      </c>
      <c r="Q52" s="20">
        <f t="shared" si="1"/>
        <v>1.2</v>
      </c>
      <c r="R52" s="34">
        <v>1.512</v>
      </c>
      <c r="S52" s="34">
        <v>1.516</v>
      </c>
      <c r="T52" s="33">
        <f t="shared" si="2"/>
        <v>1.514</v>
      </c>
      <c r="U52" s="34">
        <v>1.5109999999999999</v>
      </c>
      <c r="V52" s="34">
        <v>1.51</v>
      </c>
      <c r="W52" s="33">
        <f t="shared" si="3"/>
        <v>1.5109999999999999</v>
      </c>
      <c r="X52" s="17">
        <v>1.2999999999999999E-2</v>
      </c>
      <c r="Y52" s="17">
        <v>1.0999999999999999E-2</v>
      </c>
      <c r="Z52" s="21">
        <f t="shared" si="4"/>
        <v>1.2E-2</v>
      </c>
      <c r="AA52" s="30">
        <v>1.3089999999999999</v>
      </c>
      <c r="AB52" s="30">
        <v>1.3360000000000001</v>
      </c>
      <c r="AC52" s="31">
        <f t="shared" si="5"/>
        <v>1.323</v>
      </c>
      <c r="AD52" s="19">
        <v>1.7000000000000001E-2</v>
      </c>
      <c r="AE52" s="19">
        <v>1.4999999999999999E-2</v>
      </c>
      <c r="AF52" s="21">
        <f t="shared" si="6"/>
        <v>1.6E-2</v>
      </c>
      <c r="AG52" s="30">
        <v>8.9999999999999993E-3</v>
      </c>
      <c r="AH52" s="30">
        <v>8.0000000000000002E-3</v>
      </c>
      <c r="AI52" s="31">
        <f t="shared" si="7"/>
        <v>8.9999999999999993E-3</v>
      </c>
      <c r="AJ52" s="30">
        <v>2E-3</v>
      </c>
      <c r="AK52" s="30">
        <v>1E-3</v>
      </c>
      <c r="AL52" s="31">
        <f t="shared" si="8"/>
        <v>2E-3</v>
      </c>
      <c r="AM52" s="19">
        <v>5.63</v>
      </c>
      <c r="AN52" s="19">
        <v>5.6660000000000004</v>
      </c>
      <c r="AO52" s="21">
        <f t="shared" si="9"/>
        <v>5.6479999999999997</v>
      </c>
      <c r="AP52" s="27">
        <v>2.93E-2</v>
      </c>
      <c r="AQ52" s="27">
        <v>2.7799999999999998E-2</v>
      </c>
      <c r="AR52" s="26">
        <f t="shared" si="10"/>
        <v>2.86E-2</v>
      </c>
      <c r="AS52" s="83">
        <v>6.71</v>
      </c>
      <c r="AT52" s="83">
        <v>1.62</v>
      </c>
      <c r="AU52" s="83"/>
    </row>
    <row r="53" spans="1:47">
      <c r="A53" s="7" t="s">
        <v>10</v>
      </c>
      <c r="B53" s="5" t="s">
        <v>60</v>
      </c>
      <c r="C53" s="6" t="s">
        <v>61</v>
      </c>
      <c r="D53" s="6" t="s">
        <v>36</v>
      </c>
      <c r="E53" s="23">
        <v>17.600000000000001</v>
      </c>
      <c r="F53" s="23">
        <v>7.9</v>
      </c>
      <c r="G53" s="41">
        <v>119</v>
      </c>
      <c r="H53" s="23">
        <v>9.6999999999999993</v>
      </c>
      <c r="I53" s="23">
        <v>1.2</v>
      </c>
      <c r="J53" s="23">
        <v>3</v>
      </c>
      <c r="K53" s="37">
        <v>2</v>
      </c>
      <c r="L53" s="37">
        <v>2</v>
      </c>
      <c r="M53" s="37"/>
      <c r="N53" s="38">
        <f t="shared" si="0"/>
        <v>2</v>
      </c>
      <c r="O53" s="15">
        <v>1.9</v>
      </c>
      <c r="P53" s="15">
        <v>1.8</v>
      </c>
      <c r="Q53" s="20">
        <f t="shared" si="1"/>
        <v>1.9</v>
      </c>
      <c r="R53" s="34">
        <v>2.234</v>
      </c>
      <c r="S53" s="34">
        <v>2.2069999999999999</v>
      </c>
      <c r="T53" s="33">
        <f t="shared" si="2"/>
        <v>2.2210000000000001</v>
      </c>
      <c r="U53" s="34">
        <v>2.202</v>
      </c>
      <c r="V53" s="34">
        <v>2.2130000000000001</v>
      </c>
      <c r="W53" s="33">
        <f t="shared" si="3"/>
        <v>2.2080000000000002</v>
      </c>
      <c r="X53" s="17">
        <v>0.10199999999999999</v>
      </c>
      <c r="Y53" s="17">
        <v>0.104</v>
      </c>
      <c r="Z53" s="21">
        <f t="shared" si="4"/>
        <v>0.10299999999999999</v>
      </c>
      <c r="AA53" s="30">
        <v>1.798</v>
      </c>
      <c r="AB53" s="30">
        <v>1.7889999999999999</v>
      </c>
      <c r="AC53" s="31">
        <f t="shared" si="5"/>
        <v>1.794</v>
      </c>
      <c r="AD53" s="19">
        <v>0.18</v>
      </c>
      <c r="AE53" s="19">
        <v>0.17399999999999999</v>
      </c>
      <c r="AF53" s="21">
        <f t="shared" si="6"/>
        <v>0.17699999999999999</v>
      </c>
      <c r="AG53" s="30">
        <v>0.15</v>
      </c>
      <c r="AH53" s="30">
        <v>0.155</v>
      </c>
      <c r="AI53" s="31">
        <f t="shared" si="7"/>
        <v>0.153</v>
      </c>
      <c r="AJ53" s="30">
        <v>0.14699999999999999</v>
      </c>
      <c r="AK53" s="30">
        <v>0.14899999999999999</v>
      </c>
      <c r="AL53" s="31">
        <f t="shared" si="8"/>
        <v>0.14799999999999999</v>
      </c>
      <c r="AM53" s="19">
        <v>8.2129999999999992</v>
      </c>
      <c r="AN53" s="19">
        <v>8.1219999999999999</v>
      </c>
      <c r="AO53" s="21">
        <f t="shared" si="9"/>
        <v>8.1679999999999993</v>
      </c>
      <c r="AP53" s="27">
        <v>5.3699999999999998E-2</v>
      </c>
      <c r="AQ53" s="27">
        <v>5.1799999999999999E-2</v>
      </c>
      <c r="AR53" s="26">
        <f t="shared" si="10"/>
        <v>5.28E-2</v>
      </c>
      <c r="AS53" s="83">
        <v>10.07</v>
      </c>
      <c r="AT53" s="83">
        <v>4.3099999999999996</v>
      </c>
    </row>
    <row r="54" spans="1:47">
      <c r="A54" s="7" t="s">
        <v>11</v>
      </c>
      <c r="B54" s="5" t="s">
        <v>108</v>
      </c>
      <c r="C54" s="6" t="s">
        <v>62</v>
      </c>
      <c r="D54" s="6" t="s">
        <v>63</v>
      </c>
      <c r="E54" s="23">
        <v>18</v>
      </c>
      <c r="F54" s="23">
        <v>7.5</v>
      </c>
      <c r="G54" s="41">
        <v>128</v>
      </c>
      <c r="H54" s="23">
        <v>10.1</v>
      </c>
      <c r="I54" s="23">
        <v>1.6</v>
      </c>
      <c r="J54" s="23">
        <v>4.2</v>
      </c>
      <c r="K54" s="37">
        <v>3.1</v>
      </c>
      <c r="L54" s="37">
        <v>3.1</v>
      </c>
      <c r="M54" s="37"/>
      <c r="N54" s="38">
        <f t="shared" si="0"/>
        <v>3.1</v>
      </c>
      <c r="O54" s="15">
        <v>2.8</v>
      </c>
      <c r="P54" s="15">
        <v>2.6</v>
      </c>
      <c r="Q54" s="20">
        <f t="shared" si="1"/>
        <v>2.7</v>
      </c>
      <c r="R54" s="34">
        <v>1.667</v>
      </c>
      <c r="S54" s="34">
        <v>1.63</v>
      </c>
      <c r="T54" s="33">
        <f t="shared" si="2"/>
        <v>1.649</v>
      </c>
      <c r="U54" s="34">
        <v>1.635</v>
      </c>
      <c r="V54" s="34">
        <v>1.627</v>
      </c>
      <c r="W54" s="33">
        <f t="shared" si="3"/>
        <v>1.631</v>
      </c>
      <c r="X54" s="17">
        <v>0.05</v>
      </c>
      <c r="Y54" s="17">
        <v>0.05</v>
      </c>
      <c r="Z54" s="21">
        <f t="shared" si="4"/>
        <v>0.05</v>
      </c>
      <c r="AA54" s="30">
        <v>1.246</v>
      </c>
      <c r="AB54" s="30">
        <v>1.248</v>
      </c>
      <c r="AC54" s="31">
        <f t="shared" si="5"/>
        <v>1.2470000000000001</v>
      </c>
      <c r="AD54" s="19">
        <v>6.5000000000000002E-2</v>
      </c>
      <c r="AE54" s="19">
        <v>0.06</v>
      </c>
      <c r="AF54" s="21">
        <f t="shared" si="6"/>
        <v>6.3E-2</v>
      </c>
      <c r="AG54" s="30">
        <v>4.3999999999999997E-2</v>
      </c>
      <c r="AH54" s="30">
        <v>4.1000000000000002E-2</v>
      </c>
      <c r="AI54" s="31">
        <f t="shared" si="7"/>
        <v>4.2999999999999997E-2</v>
      </c>
      <c r="AJ54" s="30">
        <v>2.8000000000000001E-2</v>
      </c>
      <c r="AK54" s="30">
        <v>2.7E-2</v>
      </c>
      <c r="AL54" s="31">
        <f t="shared" si="8"/>
        <v>2.8000000000000001E-2</v>
      </c>
      <c r="AM54" s="19">
        <v>8.9949999999999992</v>
      </c>
      <c r="AN54" s="19">
        <v>8.8680000000000003</v>
      </c>
      <c r="AO54" s="21">
        <f t="shared" si="9"/>
        <v>8.9320000000000004</v>
      </c>
      <c r="AP54" s="27">
        <v>7.0000000000000007E-2</v>
      </c>
      <c r="AQ54" s="27">
        <v>6.9900000000000004E-2</v>
      </c>
      <c r="AR54" s="26">
        <f t="shared" si="10"/>
        <v>7.0000000000000007E-2</v>
      </c>
      <c r="AS54" s="83">
        <v>6.86</v>
      </c>
      <c r="AT54" s="83">
        <v>2.61</v>
      </c>
      <c r="AU54" s="83"/>
    </row>
    <row r="55" spans="1:47">
      <c r="A55" s="7" t="s">
        <v>12</v>
      </c>
      <c r="B55" s="5" t="s">
        <v>64</v>
      </c>
      <c r="C55" s="6" t="s">
        <v>65</v>
      </c>
      <c r="D55" s="6" t="s">
        <v>36</v>
      </c>
      <c r="E55" s="23">
        <v>17.2</v>
      </c>
      <c r="F55" s="23">
        <v>6.7</v>
      </c>
      <c r="G55" s="41">
        <v>126</v>
      </c>
      <c r="H55" s="23">
        <v>9</v>
      </c>
      <c r="I55" s="23">
        <v>1.2</v>
      </c>
      <c r="J55" s="23">
        <v>2.9</v>
      </c>
      <c r="K55" s="37">
        <v>2.1</v>
      </c>
      <c r="L55" s="37">
        <v>2.1</v>
      </c>
      <c r="M55" s="37"/>
      <c r="N55" s="38">
        <f t="shared" si="0"/>
        <v>2.1</v>
      </c>
      <c r="O55" s="15">
        <v>2</v>
      </c>
      <c r="P55" s="15">
        <v>1.9</v>
      </c>
      <c r="Q55" s="20">
        <f t="shared" si="1"/>
        <v>2</v>
      </c>
      <c r="R55" s="34">
        <v>2.0219999999999998</v>
      </c>
      <c r="S55" s="34">
        <v>2.0099999999999998</v>
      </c>
      <c r="T55" s="33">
        <f t="shared" si="2"/>
        <v>2.016</v>
      </c>
      <c r="U55" s="34">
        <v>1.994</v>
      </c>
      <c r="V55" s="34">
        <v>1.9830000000000001</v>
      </c>
      <c r="W55" s="33">
        <f t="shared" si="3"/>
        <v>1.9890000000000001</v>
      </c>
      <c r="X55" s="17">
        <v>5.8000000000000003E-2</v>
      </c>
      <c r="Y55" s="17">
        <v>5.8000000000000003E-2</v>
      </c>
      <c r="Z55" s="21">
        <f t="shared" si="4"/>
        <v>5.8000000000000003E-2</v>
      </c>
      <c r="AA55" s="30">
        <v>1.613</v>
      </c>
      <c r="AB55" s="30">
        <v>1.623</v>
      </c>
      <c r="AC55" s="31">
        <f t="shared" si="5"/>
        <v>1.6180000000000001</v>
      </c>
      <c r="AD55" s="19">
        <v>0.14099999999999999</v>
      </c>
      <c r="AE55" s="19">
        <v>0.13400000000000001</v>
      </c>
      <c r="AF55" s="21">
        <f t="shared" si="6"/>
        <v>0.13800000000000001</v>
      </c>
      <c r="AG55" s="30">
        <v>0.109</v>
      </c>
      <c r="AH55" s="30">
        <v>0.114</v>
      </c>
      <c r="AI55" s="31">
        <f t="shared" si="7"/>
        <v>0.112</v>
      </c>
      <c r="AJ55" s="30">
        <v>0.107</v>
      </c>
      <c r="AK55" s="30">
        <v>0.109</v>
      </c>
      <c r="AL55" s="31">
        <f t="shared" si="8"/>
        <v>0.108</v>
      </c>
      <c r="AM55" s="19">
        <v>8.2029999999999994</v>
      </c>
      <c r="AN55" s="19">
        <v>8.2110000000000003</v>
      </c>
      <c r="AO55" s="21">
        <f t="shared" si="9"/>
        <v>8.2070000000000007</v>
      </c>
      <c r="AP55" s="27">
        <v>5.16E-2</v>
      </c>
      <c r="AQ55" s="27">
        <v>5.0500000000000003E-2</v>
      </c>
      <c r="AR55" s="26">
        <f t="shared" si="10"/>
        <v>5.11E-2</v>
      </c>
      <c r="AS55" s="83">
        <v>9.4700000000000006</v>
      </c>
      <c r="AT55" s="83">
        <v>5.39</v>
      </c>
    </row>
    <row r="56" spans="1:47">
      <c r="A56" s="7" t="s">
        <v>13</v>
      </c>
      <c r="B56" s="5" t="s">
        <v>66</v>
      </c>
      <c r="C56" s="6" t="s">
        <v>44</v>
      </c>
      <c r="D56" s="6" t="s">
        <v>67</v>
      </c>
      <c r="E56" s="23">
        <v>17.399999999999999</v>
      </c>
      <c r="F56" s="23">
        <v>7</v>
      </c>
      <c r="G56" s="41">
        <v>198</v>
      </c>
      <c r="H56" s="23">
        <v>9.9</v>
      </c>
      <c r="I56" s="23">
        <v>1.5</v>
      </c>
      <c r="J56" s="23">
        <v>4.5999999999999996</v>
      </c>
      <c r="K56" s="37">
        <v>3.4</v>
      </c>
      <c r="L56" s="37">
        <v>3.5</v>
      </c>
      <c r="M56" s="37"/>
      <c r="N56" s="38">
        <f t="shared" si="0"/>
        <v>3.5</v>
      </c>
      <c r="O56" s="15">
        <v>3.2</v>
      </c>
      <c r="P56" s="15">
        <v>3</v>
      </c>
      <c r="Q56" s="20">
        <f t="shared" si="1"/>
        <v>3.1</v>
      </c>
      <c r="R56" s="34">
        <v>2.3719999999999999</v>
      </c>
      <c r="S56" s="34">
        <v>2.319</v>
      </c>
      <c r="T56" s="33">
        <f t="shared" si="2"/>
        <v>2.3460000000000001</v>
      </c>
      <c r="U56" s="34">
        <v>2.2360000000000002</v>
      </c>
      <c r="V56" s="34">
        <v>2.3140000000000001</v>
      </c>
      <c r="W56" s="33">
        <f t="shared" si="3"/>
        <v>2.2749999999999999</v>
      </c>
      <c r="X56" s="17">
        <v>9.7000000000000003E-2</v>
      </c>
      <c r="Y56" s="17">
        <v>9.5000000000000001E-2</v>
      </c>
      <c r="Z56" s="21">
        <f t="shared" si="4"/>
        <v>9.6000000000000002E-2</v>
      </c>
      <c r="AA56" s="30">
        <v>1.776</v>
      </c>
      <c r="AB56" s="30">
        <v>1.806</v>
      </c>
      <c r="AC56" s="31">
        <f t="shared" si="5"/>
        <v>1.7909999999999999</v>
      </c>
      <c r="AD56" s="19">
        <v>8.5000000000000006E-2</v>
      </c>
      <c r="AE56" s="19">
        <v>8.1000000000000003E-2</v>
      </c>
      <c r="AF56" s="21">
        <f t="shared" si="6"/>
        <v>8.3000000000000004E-2</v>
      </c>
      <c r="AG56" s="30">
        <v>4.9000000000000002E-2</v>
      </c>
      <c r="AH56" s="30">
        <v>5.1999999999999998E-2</v>
      </c>
      <c r="AI56" s="31">
        <f t="shared" si="7"/>
        <v>5.0999999999999997E-2</v>
      </c>
      <c r="AJ56" s="30">
        <v>3.6999999999999998E-2</v>
      </c>
      <c r="AK56" s="30">
        <v>4.1000000000000002E-2</v>
      </c>
      <c r="AL56" s="31">
        <f t="shared" si="8"/>
        <v>3.9E-2</v>
      </c>
      <c r="AM56" s="19">
        <v>13.598000000000001</v>
      </c>
      <c r="AN56" s="19">
        <v>13.756</v>
      </c>
      <c r="AO56" s="21">
        <f t="shared" si="9"/>
        <v>13.677</v>
      </c>
      <c r="AP56" s="27">
        <v>8.5199999999999998E-2</v>
      </c>
      <c r="AQ56" s="27">
        <v>8.3900000000000002E-2</v>
      </c>
      <c r="AR56" s="26">
        <f t="shared" si="10"/>
        <v>8.4599999999999995E-2</v>
      </c>
      <c r="AS56" s="83">
        <v>11.14</v>
      </c>
      <c r="AT56" s="83">
        <v>1.94</v>
      </c>
      <c r="AU56" s="83"/>
    </row>
    <row r="57" spans="1:47">
      <c r="A57" s="7" t="s">
        <v>14</v>
      </c>
      <c r="B57" s="5" t="s">
        <v>64</v>
      </c>
      <c r="C57" s="6" t="s">
        <v>68</v>
      </c>
      <c r="D57" s="6" t="s">
        <v>36</v>
      </c>
      <c r="E57" s="23">
        <v>17.600000000000001</v>
      </c>
      <c r="F57" s="23">
        <v>7</v>
      </c>
      <c r="G57" s="41">
        <v>131</v>
      </c>
      <c r="H57" s="23">
        <v>8.9</v>
      </c>
      <c r="I57" s="23">
        <v>1.2</v>
      </c>
      <c r="J57" s="23">
        <v>3.2</v>
      </c>
      <c r="K57" s="37">
        <v>2.2000000000000002</v>
      </c>
      <c r="L57" s="37">
        <v>2.2999999999999998</v>
      </c>
      <c r="M57" s="37"/>
      <c r="N57" s="38">
        <f t="shared" si="0"/>
        <v>2.2999999999999998</v>
      </c>
      <c r="O57" s="15">
        <v>2.1</v>
      </c>
      <c r="P57" s="15">
        <v>1.9</v>
      </c>
      <c r="Q57" s="20">
        <f t="shared" si="1"/>
        <v>2</v>
      </c>
      <c r="R57" s="34">
        <v>2.0030000000000001</v>
      </c>
      <c r="S57" s="34">
        <v>2.0009999999999999</v>
      </c>
      <c r="T57" s="33">
        <f t="shared" si="2"/>
        <v>2.0019999999999998</v>
      </c>
      <c r="U57" s="34">
        <v>2.0009999999999999</v>
      </c>
      <c r="V57" s="34">
        <v>1.9990000000000001</v>
      </c>
      <c r="W57" s="33">
        <f t="shared" si="3"/>
        <v>2</v>
      </c>
      <c r="X57" s="17">
        <v>5.8999999999999997E-2</v>
      </c>
      <c r="Y57" s="17">
        <v>5.8999999999999997E-2</v>
      </c>
      <c r="Z57" s="21">
        <f t="shared" si="4"/>
        <v>5.8999999999999997E-2</v>
      </c>
      <c r="AA57" s="30">
        <v>1.583</v>
      </c>
      <c r="AB57" s="30">
        <v>1.609</v>
      </c>
      <c r="AC57" s="31">
        <f t="shared" si="5"/>
        <v>1.5960000000000001</v>
      </c>
      <c r="AD57" s="19">
        <v>0.13100000000000001</v>
      </c>
      <c r="AE57" s="19">
        <v>0.127</v>
      </c>
      <c r="AF57" s="21">
        <f t="shared" si="6"/>
        <v>0.129</v>
      </c>
      <c r="AG57" s="30">
        <v>0.10299999999999999</v>
      </c>
      <c r="AH57" s="30">
        <v>0.105</v>
      </c>
      <c r="AI57" s="31">
        <f t="shared" si="7"/>
        <v>0.104</v>
      </c>
      <c r="AJ57" s="30">
        <v>9.9000000000000005E-2</v>
      </c>
      <c r="AK57" s="30">
        <v>9.9000000000000005E-2</v>
      </c>
      <c r="AL57" s="31">
        <f t="shared" si="8"/>
        <v>9.9000000000000005E-2</v>
      </c>
      <c r="AM57" s="19">
        <v>8.64</v>
      </c>
      <c r="AN57" s="19">
        <v>8.702</v>
      </c>
      <c r="AO57" s="21">
        <f t="shared" si="9"/>
        <v>8.6709999999999994</v>
      </c>
      <c r="AP57" s="27">
        <v>5.3499999999999999E-2</v>
      </c>
      <c r="AQ57" s="27">
        <v>5.2699999999999997E-2</v>
      </c>
      <c r="AR57" s="26">
        <f t="shared" si="10"/>
        <v>5.3100000000000001E-2</v>
      </c>
      <c r="AS57" s="83">
        <v>10.29</v>
      </c>
      <c r="AT57" s="83">
        <v>4.78</v>
      </c>
    </row>
    <row r="58" spans="1:47">
      <c r="A58" s="7" t="s">
        <v>15</v>
      </c>
      <c r="B58" s="5" t="s">
        <v>69</v>
      </c>
      <c r="C58" s="6" t="s">
        <v>70</v>
      </c>
      <c r="D58" s="6" t="s">
        <v>71</v>
      </c>
      <c r="E58" s="23">
        <v>15.7</v>
      </c>
      <c r="F58" s="23">
        <v>7.1</v>
      </c>
      <c r="G58" s="41">
        <v>180</v>
      </c>
      <c r="H58" s="23">
        <v>9</v>
      </c>
      <c r="I58" s="23">
        <v>0.7</v>
      </c>
      <c r="J58" s="23">
        <v>2.6</v>
      </c>
      <c r="K58" s="37">
        <v>1.9</v>
      </c>
      <c r="L58" s="37">
        <v>1.9</v>
      </c>
      <c r="M58" s="37"/>
      <c r="N58" s="38">
        <f t="shared" si="0"/>
        <v>1.9</v>
      </c>
      <c r="O58" s="15">
        <v>1.8</v>
      </c>
      <c r="P58" s="15">
        <v>1.7</v>
      </c>
      <c r="Q58" s="20">
        <f t="shared" si="1"/>
        <v>1.8</v>
      </c>
      <c r="R58" s="34">
        <v>1.3420000000000001</v>
      </c>
      <c r="S58" s="34">
        <v>1.3129999999999999</v>
      </c>
      <c r="T58" s="33">
        <f t="shared" si="2"/>
        <v>1.3280000000000001</v>
      </c>
      <c r="U58" s="34">
        <v>1.3109999999999999</v>
      </c>
      <c r="V58" s="34">
        <v>1.3080000000000001</v>
      </c>
      <c r="W58" s="33">
        <f t="shared" si="3"/>
        <v>1.31</v>
      </c>
      <c r="X58" s="17">
        <v>0.02</v>
      </c>
      <c r="Y58" s="17">
        <v>2.3E-2</v>
      </c>
      <c r="Z58" s="21">
        <f t="shared" si="4"/>
        <v>2.1999999999999999E-2</v>
      </c>
      <c r="AA58" s="30">
        <v>1.133</v>
      </c>
      <c r="AB58" s="30">
        <v>1.115</v>
      </c>
      <c r="AC58" s="31">
        <f t="shared" si="5"/>
        <v>1.1240000000000001</v>
      </c>
      <c r="AD58" s="19">
        <v>2.5000000000000001E-2</v>
      </c>
      <c r="AE58" s="19">
        <v>2.3E-2</v>
      </c>
      <c r="AF58" s="21">
        <f t="shared" si="6"/>
        <v>2.4E-2</v>
      </c>
      <c r="AG58" s="30">
        <v>1.6E-2</v>
      </c>
      <c r="AH58" s="30">
        <v>1.2999999999999999E-2</v>
      </c>
      <c r="AI58" s="31">
        <f t="shared" si="7"/>
        <v>1.4999999999999999E-2</v>
      </c>
      <c r="AJ58" s="30">
        <v>8.0000000000000002E-3</v>
      </c>
      <c r="AK58" s="30">
        <v>7.0000000000000001E-3</v>
      </c>
      <c r="AL58" s="31">
        <f t="shared" si="8"/>
        <v>8.0000000000000002E-3</v>
      </c>
      <c r="AM58" s="19">
        <v>6.8659999999999997</v>
      </c>
      <c r="AN58" s="19">
        <v>6.76</v>
      </c>
      <c r="AO58" s="21">
        <f t="shared" si="9"/>
        <v>6.8129999999999997</v>
      </c>
      <c r="AP58" s="27">
        <v>4.4699999999999997E-2</v>
      </c>
      <c r="AQ58" s="27">
        <v>4.2900000000000001E-2</v>
      </c>
      <c r="AR58" s="26">
        <f t="shared" si="10"/>
        <v>4.3799999999999999E-2</v>
      </c>
      <c r="AS58" s="83">
        <v>5.64</v>
      </c>
      <c r="AT58" s="83">
        <v>1.22</v>
      </c>
      <c r="AU58" s="83"/>
    </row>
    <row r="59" spans="1:47">
      <c r="A59" s="7" t="s">
        <v>16</v>
      </c>
      <c r="B59" s="5" t="s">
        <v>72</v>
      </c>
      <c r="C59" s="6" t="s">
        <v>73</v>
      </c>
      <c r="D59" s="6" t="s">
        <v>36</v>
      </c>
      <c r="E59" s="23">
        <v>17.899999999999999</v>
      </c>
      <c r="F59" s="23">
        <v>7.2</v>
      </c>
      <c r="G59" s="41">
        <v>136</v>
      </c>
      <c r="H59" s="23">
        <v>9.4</v>
      </c>
      <c r="I59" s="23">
        <v>1.4</v>
      </c>
      <c r="J59" s="23">
        <v>3.6</v>
      </c>
      <c r="K59" s="37">
        <v>2.2000000000000002</v>
      </c>
      <c r="L59" s="37">
        <v>2.1</v>
      </c>
      <c r="M59" s="37"/>
      <c r="N59" s="38">
        <f t="shared" si="0"/>
        <v>2.2000000000000002</v>
      </c>
      <c r="O59" s="15">
        <v>1.9</v>
      </c>
      <c r="P59" s="15">
        <v>1.9</v>
      </c>
      <c r="Q59" s="20">
        <f t="shared" si="1"/>
        <v>1.9</v>
      </c>
      <c r="R59" s="34">
        <v>1.746</v>
      </c>
      <c r="S59" s="34">
        <v>1.732</v>
      </c>
      <c r="T59" s="33">
        <f t="shared" si="2"/>
        <v>1.7390000000000001</v>
      </c>
      <c r="U59" s="34">
        <v>1.6859999999999999</v>
      </c>
      <c r="V59" s="34">
        <v>1.7030000000000001</v>
      </c>
      <c r="W59" s="33">
        <f t="shared" si="3"/>
        <v>1.6950000000000001</v>
      </c>
      <c r="X59" s="17">
        <v>4.1000000000000002E-2</v>
      </c>
      <c r="Y59" s="17">
        <v>4.2000000000000003E-2</v>
      </c>
      <c r="Z59" s="21">
        <f t="shared" si="4"/>
        <v>4.2000000000000003E-2</v>
      </c>
      <c r="AA59" s="30">
        <v>1.3520000000000001</v>
      </c>
      <c r="AB59" s="30">
        <v>1.3520000000000001</v>
      </c>
      <c r="AC59" s="31">
        <f t="shared" si="5"/>
        <v>1.3520000000000001</v>
      </c>
      <c r="AD59" s="19">
        <v>9.6000000000000002E-2</v>
      </c>
      <c r="AE59" s="19">
        <v>9.2999999999999999E-2</v>
      </c>
      <c r="AF59" s="21">
        <f t="shared" si="6"/>
        <v>9.5000000000000001E-2</v>
      </c>
      <c r="AG59" s="30">
        <v>6.0999999999999999E-2</v>
      </c>
      <c r="AH59" s="30">
        <v>0.06</v>
      </c>
      <c r="AI59" s="31">
        <f t="shared" si="7"/>
        <v>6.0999999999999999E-2</v>
      </c>
      <c r="AJ59" s="30">
        <v>5.6000000000000001E-2</v>
      </c>
      <c r="AK59" s="30">
        <v>5.6000000000000001E-2</v>
      </c>
      <c r="AL59" s="31">
        <f t="shared" si="8"/>
        <v>5.6000000000000001E-2</v>
      </c>
      <c r="AM59" s="19">
        <v>9.0519999999999996</v>
      </c>
      <c r="AN59" s="19">
        <v>9.016</v>
      </c>
      <c r="AO59" s="21">
        <f t="shared" si="9"/>
        <v>9.0340000000000007</v>
      </c>
      <c r="AP59" s="27">
        <v>5.1200000000000002E-2</v>
      </c>
      <c r="AQ59" s="27">
        <v>5.0099999999999999E-2</v>
      </c>
      <c r="AR59" s="26">
        <f t="shared" si="10"/>
        <v>5.0700000000000002E-2</v>
      </c>
      <c r="AS59" s="83">
        <v>10.58</v>
      </c>
      <c r="AT59" s="83">
        <v>3.54</v>
      </c>
    </row>
    <row r="60" spans="1:47">
      <c r="A60" s="7" t="s">
        <v>17</v>
      </c>
      <c r="B60" s="5" t="s">
        <v>74</v>
      </c>
      <c r="C60" s="6" t="s">
        <v>75</v>
      </c>
      <c r="D60" s="6" t="s">
        <v>76</v>
      </c>
      <c r="E60" s="23">
        <v>17.600000000000001</v>
      </c>
      <c r="F60" s="23">
        <v>7.4</v>
      </c>
      <c r="G60" s="41">
        <v>238</v>
      </c>
      <c r="H60" s="23">
        <v>9.5</v>
      </c>
      <c r="I60" s="23">
        <v>1.9</v>
      </c>
      <c r="J60" s="23">
        <v>3.9</v>
      </c>
      <c r="K60" s="37">
        <v>2.7</v>
      </c>
      <c r="L60" s="37">
        <v>2.8</v>
      </c>
      <c r="M60" s="37"/>
      <c r="N60" s="38">
        <f t="shared" si="0"/>
        <v>2.8</v>
      </c>
      <c r="O60" s="15">
        <v>2.4</v>
      </c>
      <c r="P60" s="15">
        <v>2.4</v>
      </c>
      <c r="Q60" s="20">
        <f t="shared" si="1"/>
        <v>2.4</v>
      </c>
      <c r="R60" s="34">
        <v>1.843</v>
      </c>
      <c r="S60" s="34">
        <v>1.8009999999999999</v>
      </c>
      <c r="T60" s="33">
        <f t="shared" si="2"/>
        <v>1.8220000000000001</v>
      </c>
      <c r="U60" s="34">
        <v>1.7789999999999999</v>
      </c>
      <c r="V60" s="34">
        <v>1.8</v>
      </c>
      <c r="W60" s="33">
        <f t="shared" si="3"/>
        <v>1.79</v>
      </c>
      <c r="X60" s="17">
        <v>0.108</v>
      </c>
      <c r="Y60" s="17">
        <v>0.109</v>
      </c>
      <c r="Z60" s="21">
        <f t="shared" si="4"/>
        <v>0.109</v>
      </c>
      <c r="AA60" s="30">
        <v>1.3260000000000001</v>
      </c>
      <c r="AB60" s="30">
        <v>1.34</v>
      </c>
      <c r="AC60" s="31">
        <f t="shared" si="5"/>
        <v>1.333</v>
      </c>
      <c r="AD60" s="19">
        <v>0.05</v>
      </c>
      <c r="AE60" s="19">
        <v>4.7E-2</v>
      </c>
      <c r="AF60" s="21">
        <f t="shared" si="6"/>
        <v>4.9000000000000002E-2</v>
      </c>
      <c r="AG60" s="30">
        <v>3.4000000000000002E-2</v>
      </c>
      <c r="AH60" s="30">
        <v>3.3000000000000002E-2</v>
      </c>
      <c r="AI60" s="31">
        <f t="shared" si="7"/>
        <v>3.4000000000000002E-2</v>
      </c>
      <c r="AJ60" s="30">
        <v>2.1000000000000001E-2</v>
      </c>
      <c r="AK60" s="30">
        <v>2.1000000000000001E-2</v>
      </c>
      <c r="AL60" s="31">
        <f t="shared" si="8"/>
        <v>2.1000000000000001E-2</v>
      </c>
      <c r="AM60" s="19">
        <v>13.279</v>
      </c>
      <c r="AN60" s="19">
        <v>13.403</v>
      </c>
      <c r="AO60" s="21">
        <f t="shared" si="9"/>
        <v>13.340999999999999</v>
      </c>
      <c r="AP60" s="27">
        <v>5.8200000000000002E-2</v>
      </c>
      <c r="AQ60" s="27">
        <v>5.6500000000000002E-2</v>
      </c>
      <c r="AR60" s="26">
        <f t="shared" si="10"/>
        <v>5.74E-2</v>
      </c>
      <c r="AS60" s="83">
        <v>8.69</v>
      </c>
      <c r="AT60" s="83">
        <v>2.75</v>
      </c>
      <c r="AU60" s="83"/>
    </row>
    <row r="61" spans="1:47">
      <c r="A61" s="7" t="s">
        <v>18</v>
      </c>
      <c r="B61" s="5" t="s">
        <v>109</v>
      </c>
      <c r="C61" s="6" t="s">
        <v>77</v>
      </c>
      <c r="D61" s="6" t="s">
        <v>36</v>
      </c>
      <c r="E61" s="23">
        <v>17.899999999999999</v>
      </c>
      <c r="F61" s="23">
        <v>7.2</v>
      </c>
      <c r="G61" s="41">
        <v>189</v>
      </c>
      <c r="H61" s="23">
        <v>9.5</v>
      </c>
      <c r="I61" s="23">
        <v>2.4</v>
      </c>
      <c r="J61" s="23">
        <v>4</v>
      </c>
      <c r="K61" s="37">
        <v>3.1</v>
      </c>
      <c r="L61" s="37">
        <v>3.1</v>
      </c>
      <c r="M61" s="37"/>
      <c r="N61" s="38">
        <f t="shared" si="0"/>
        <v>3.1</v>
      </c>
      <c r="O61" s="15">
        <v>2.4</v>
      </c>
      <c r="P61" s="15">
        <v>2.4</v>
      </c>
      <c r="Q61" s="20">
        <f t="shared" si="1"/>
        <v>2.4</v>
      </c>
      <c r="R61" s="34">
        <v>2.2120000000000002</v>
      </c>
      <c r="S61" s="34">
        <v>2.202</v>
      </c>
      <c r="T61" s="33">
        <f t="shared" si="2"/>
        <v>2.2069999999999999</v>
      </c>
      <c r="U61" s="34">
        <v>2.1219999999999999</v>
      </c>
      <c r="V61" s="34">
        <v>2.1520000000000001</v>
      </c>
      <c r="W61" s="33">
        <f t="shared" si="3"/>
        <v>2.137</v>
      </c>
      <c r="X61" s="17">
        <v>0.193</v>
      </c>
      <c r="Y61" s="17">
        <v>0.19600000000000001</v>
      </c>
      <c r="Z61" s="21">
        <f t="shared" si="4"/>
        <v>0.19500000000000001</v>
      </c>
      <c r="AA61" s="30">
        <v>1.5780000000000001</v>
      </c>
      <c r="AB61" s="30">
        <v>1.613</v>
      </c>
      <c r="AC61" s="31">
        <f t="shared" si="5"/>
        <v>1.5960000000000001</v>
      </c>
      <c r="AD61" s="19">
        <v>0.10199999999999999</v>
      </c>
      <c r="AE61" s="19">
        <v>9.8000000000000004E-2</v>
      </c>
      <c r="AF61" s="21">
        <f t="shared" si="6"/>
        <v>0.1</v>
      </c>
      <c r="AG61" s="30">
        <v>5.1999999999999998E-2</v>
      </c>
      <c r="AH61" s="30">
        <v>5.7000000000000002E-2</v>
      </c>
      <c r="AI61" s="31">
        <f t="shared" si="7"/>
        <v>5.5E-2</v>
      </c>
      <c r="AJ61" s="30">
        <v>4.4999999999999998E-2</v>
      </c>
      <c r="AK61" s="30">
        <v>4.5999999999999999E-2</v>
      </c>
      <c r="AL61" s="31">
        <f t="shared" si="8"/>
        <v>4.5999999999999999E-2</v>
      </c>
      <c r="AM61" s="19">
        <v>13.054</v>
      </c>
      <c r="AN61" s="19">
        <v>13.257999999999999</v>
      </c>
      <c r="AO61" s="21">
        <f t="shared" si="9"/>
        <v>13.156000000000001</v>
      </c>
      <c r="AP61" s="27">
        <v>5.79E-2</v>
      </c>
      <c r="AQ61" s="27">
        <v>5.7700000000000001E-2</v>
      </c>
      <c r="AR61" s="26">
        <f t="shared" si="10"/>
        <v>5.7799999999999997E-2</v>
      </c>
      <c r="AS61" s="83">
        <v>9.7799999999999994</v>
      </c>
      <c r="AT61" s="83">
        <v>3.68</v>
      </c>
    </row>
    <row r="62" spans="1:47">
      <c r="A62" s="7" t="s">
        <v>19</v>
      </c>
      <c r="B62" s="5" t="s">
        <v>78</v>
      </c>
      <c r="C62" s="6" t="s">
        <v>44</v>
      </c>
      <c r="D62" s="6" t="s">
        <v>79</v>
      </c>
      <c r="E62" s="23">
        <v>17</v>
      </c>
      <c r="F62" s="23">
        <v>7.6</v>
      </c>
      <c r="G62" s="41">
        <v>232</v>
      </c>
      <c r="H62" s="23">
        <v>10.3</v>
      </c>
      <c r="I62" s="23">
        <v>0.9</v>
      </c>
      <c r="J62" s="23">
        <v>3.7</v>
      </c>
      <c r="K62" s="37">
        <v>2.5</v>
      </c>
      <c r="L62" s="37">
        <v>2.5</v>
      </c>
      <c r="M62" s="37"/>
      <c r="N62" s="38">
        <f t="shared" si="0"/>
        <v>2.5</v>
      </c>
      <c r="O62" s="15">
        <v>2.5</v>
      </c>
      <c r="P62" s="15">
        <v>2.5</v>
      </c>
      <c r="Q62" s="20">
        <f t="shared" si="1"/>
        <v>2.5</v>
      </c>
      <c r="R62" s="34">
        <v>1.8440000000000001</v>
      </c>
      <c r="S62" s="34">
        <v>1.823</v>
      </c>
      <c r="T62" s="33">
        <f t="shared" si="2"/>
        <v>1.8340000000000001</v>
      </c>
      <c r="U62" s="34">
        <v>1.754</v>
      </c>
      <c r="V62" s="34">
        <v>1.762</v>
      </c>
      <c r="W62" s="33">
        <f t="shared" si="3"/>
        <v>1.758</v>
      </c>
      <c r="X62" s="17">
        <v>0.14099999999999999</v>
      </c>
      <c r="Y62" s="17">
        <v>0.14199999999999999</v>
      </c>
      <c r="Z62" s="21">
        <f t="shared" si="4"/>
        <v>0.14199999999999999</v>
      </c>
      <c r="AA62" s="30">
        <v>1.2609999999999999</v>
      </c>
      <c r="AB62" s="30">
        <v>1.282</v>
      </c>
      <c r="AC62" s="31">
        <f t="shared" si="5"/>
        <v>1.272</v>
      </c>
      <c r="AD62" s="19">
        <v>3.1E-2</v>
      </c>
      <c r="AE62" s="19">
        <v>2.9000000000000001E-2</v>
      </c>
      <c r="AF62" s="21">
        <f t="shared" si="6"/>
        <v>0.03</v>
      </c>
      <c r="AG62" s="30">
        <v>2.1000000000000001E-2</v>
      </c>
      <c r="AH62" s="30">
        <v>1.9E-2</v>
      </c>
      <c r="AI62" s="31">
        <f t="shared" si="7"/>
        <v>0.02</v>
      </c>
      <c r="AJ62" s="30">
        <v>8.0000000000000002E-3</v>
      </c>
      <c r="AK62" s="30">
        <v>8.0000000000000002E-3</v>
      </c>
      <c r="AL62" s="31">
        <f t="shared" si="8"/>
        <v>8.0000000000000002E-3</v>
      </c>
      <c r="AM62" s="19">
        <v>22.931000000000001</v>
      </c>
      <c r="AN62" s="19">
        <v>23.283000000000001</v>
      </c>
      <c r="AO62" s="21">
        <f t="shared" si="9"/>
        <v>23.106999999999999</v>
      </c>
      <c r="AP62" s="27">
        <v>5.9700000000000003E-2</v>
      </c>
      <c r="AQ62" s="27">
        <v>5.8700000000000002E-2</v>
      </c>
      <c r="AR62" s="26">
        <f t="shared" si="10"/>
        <v>5.9200000000000003E-2</v>
      </c>
      <c r="AS62" s="83">
        <v>13.1</v>
      </c>
      <c r="AT62" s="83">
        <v>1.02</v>
      </c>
      <c r="AU62" s="83"/>
    </row>
    <row r="63" spans="1:47">
      <c r="A63" s="7" t="s">
        <v>20</v>
      </c>
      <c r="B63" s="5" t="s">
        <v>80</v>
      </c>
      <c r="C63" s="6" t="s">
        <v>81</v>
      </c>
      <c r="D63" s="6" t="s">
        <v>36</v>
      </c>
      <c r="E63" s="23">
        <v>17.5</v>
      </c>
      <c r="F63" s="23">
        <v>7.6</v>
      </c>
      <c r="G63" s="41">
        <v>209</v>
      </c>
      <c r="H63" s="23">
        <v>9.6999999999999993</v>
      </c>
      <c r="I63" s="23">
        <v>2.1</v>
      </c>
      <c r="J63" s="23">
        <v>4.0999999999999996</v>
      </c>
      <c r="K63" s="37">
        <v>3.1</v>
      </c>
      <c r="L63" s="37">
        <v>2.9</v>
      </c>
      <c r="M63" s="37"/>
      <c r="N63" s="38">
        <f t="shared" si="0"/>
        <v>3</v>
      </c>
      <c r="O63" s="15">
        <v>2.5</v>
      </c>
      <c r="P63" s="15">
        <v>2.5</v>
      </c>
      <c r="Q63" s="20">
        <f t="shared" si="1"/>
        <v>2.5</v>
      </c>
      <c r="R63" s="34">
        <v>2.835</v>
      </c>
      <c r="S63" s="34">
        <v>2.786</v>
      </c>
      <c r="T63" s="33">
        <f t="shared" si="2"/>
        <v>2.8109999999999999</v>
      </c>
      <c r="U63" s="34">
        <v>2.7879999999999998</v>
      </c>
      <c r="V63" s="34">
        <v>2.8119999999999998</v>
      </c>
      <c r="W63" s="33">
        <f t="shared" si="3"/>
        <v>2.8</v>
      </c>
      <c r="X63" s="17">
        <v>0.26600000000000001</v>
      </c>
      <c r="Y63" s="17">
        <v>0.26800000000000002</v>
      </c>
      <c r="Z63" s="21">
        <f t="shared" si="4"/>
        <v>0.26700000000000002</v>
      </c>
      <c r="AA63" s="30">
        <v>2.0179999999999998</v>
      </c>
      <c r="AB63" s="30">
        <v>2.0569999999999999</v>
      </c>
      <c r="AC63" s="31">
        <f t="shared" si="5"/>
        <v>2.0379999999999998</v>
      </c>
      <c r="AD63" s="19">
        <v>0.19600000000000001</v>
      </c>
      <c r="AE63" s="19">
        <v>0.191</v>
      </c>
      <c r="AF63" s="21">
        <f t="shared" si="6"/>
        <v>0.19400000000000001</v>
      </c>
      <c r="AG63" s="30">
        <v>0.152</v>
      </c>
      <c r="AH63" s="30">
        <v>0.161</v>
      </c>
      <c r="AI63" s="31">
        <f t="shared" si="7"/>
        <v>0.157</v>
      </c>
      <c r="AJ63" s="30">
        <v>0.15</v>
      </c>
      <c r="AK63" s="30">
        <v>0.159</v>
      </c>
      <c r="AL63" s="31">
        <f t="shared" si="8"/>
        <v>0.155</v>
      </c>
      <c r="AM63" s="19">
        <v>13.186</v>
      </c>
      <c r="AN63" s="19">
        <v>13.395</v>
      </c>
      <c r="AO63" s="21">
        <f t="shared" si="9"/>
        <v>13.291</v>
      </c>
      <c r="AP63" s="27">
        <v>5.9400000000000001E-2</v>
      </c>
      <c r="AQ63" s="27">
        <v>5.8500000000000003E-2</v>
      </c>
      <c r="AR63" s="26">
        <f t="shared" si="10"/>
        <v>5.8999999999999997E-2</v>
      </c>
      <c r="AS63" s="83">
        <v>9.0500000000000007</v>
      </c>
      <c r="AT63" s="83">
        <v>7.36</v>
      </c>
    </row>
    <row r="64" spans="1:47">
      <c r="A64" s="7" t="s">
        <v>21</v>
      </c>
      <c r="B64" s="5" t="s">
        <v>82</v>
      </c>
      <c r="C64" s="6" t="s">
        <v>44</v>
      </c>
      <c r="D64" s="6" t="s">
        <v>83</v>
      </c>
      <c r="E64" s="23">
        <v>17.8</v>
      </c>
      <c r="F64" s="23">
        <v>7.7</v>
      </c>
      <c r="G64" s="41">
        <v>207</v>
      </c>
      <c r="H64" s="23">
        <v>10.4</v>
      </c>
      <c r="I64" s="23">
        <v>2.4</v>
      </c>
      <c r="J64" s="23">
        <v>5.6</v>
      </c>
      <c r="K64" s="37">
        <v>4.0999999999999996</v>
      </c>
      <c r="L64" s="37">
        <v>3.9</v>
      </c>
      <c r="M64" s="37"/>
      <c r="N64" s="38">
        <f t="shared" si="0"/>
        <v>4</v>
      </c>
      <c r="O64" s="15">
        <v>3.6</v>
      </c>
      <c r="P64" s="15">
        <v>3.5</v>
      </c>
      <c r="Q64" s="20">
        <f t="shared" si="1"/>
        <v>3.6</v>
      </c>
      <c r="R64" s="34">
        <v>3.3570000000000002</v>
      </c>
      <c r="S64" s="34">
        <v>3.3450000000000002</v>
      </c>
      <c r="T64" s="33">
        <f t="shared" si="2"/>
        <v>3.351</v>
      </c>
      <c r="U64" s="34">
        <v>3.3250000000000002</v>
      </c>
      <c r="V64" s="34">
        <v>3.327</v>
      </c>
      <c r="W64" s="33">
        <f t="shared" si="3"/>
        <v>3.3260000000000001</v>
      </c>
      <c r="X64" s="17">
        <v>0.189</v>
      </c>
      <c r="Y64" s="17">
        <v>0.17699999999999999</v>
      </c>
      <c r="Z64" s="21">
        <f t="shared" si="4"/>
        <v>0.183</v>
      </c>
      <c r="AA64" s="30">
        <v>2.552</v>
      </c>
      <c r="AB64" s="30">
        <v>2.59</v>
      </c>
      <c r="AC64" s="31">
        <f t="shared" si="5"/>
        <v>2.5710000000000002</v>
      </c>
      <c r="AD64" s="19">
        <v>0.26800000000000002</v>
      </c>
      <c r="AE64" s="19">
        <v>0.26700000000000002</v>
      </c>
      <c r="AF64" s="21">
        <f t="shared" si="6"/>
        <v>0.26800000000000002</v>
      </c>
      <c r="AG64" s="30">
        <v>0.21299999999999999</v>
      </c>
      <c r="AH64" s="30">
        <v>0.217</v>
      </c>
      <c r="AI64" s="31">
        <f t="shared" si="7"/>
        <v>0.215</v>
      </c>
      <c r="AJ64" s="30">
        <v>0.21099999999999999</v>
      </c>
      <c r="AK64" s="30">
        <v>0.214</v>
      </c>
      <c r="AL64" s="31">
        <f t="shared" si="8"/>
        <v>0.21299999999999999</v>
      </c>
      <c r="AM64" s="19">
        <v>11.515000000000001</v>
      </c>
      <c r="AN64" s="19">
        <v>11.669</v>
      </c>
      <c r="AO64" s="21">
        <f t="shared" si="9"/>
        <v>11.592000000000001</v>
      </c>
      <c r="AP64" s="27">
        <v>9.0700000000000003E-2</v>
      </c>
      <c r="AQ64" s="27">
        <v>8.9499999999999996E-2</v>
      </c>
      <c r="AR64" s="26">
        <f t="shared" si="10"/>
        <v>9.01E-2</v>
      </c>
      <c r="AS64" s="83">
        <v>8.14</v>
      </c>
      <c r="AT64" s="83">
        <v>7.11</v>
      </c>
      <c r="AU64" s="83"/>
    </row>
    <row r="65" spans="1:47">
      <c r="A65" s="7" t="s">
        <v>22</v>
      </c>
      <c r="B65" s="5" t="s">
        <v>84</v>
      </c>
      <c r="C65" s="6" t="s">
        <v>85</v>
      </c>
      <c r="D65" s="6" t="s">
        <v>36</v>
      </c>
      <c r="E65" s="23">
        <v>17.600000000000001</v>
      </c>
      <c r="F65" s="23">
        <v>7.6</v>
      </c>
      <c r="G65" s="41">
        <v>202</v>
      </c>
      <c r="H65" s="23">
        <v>9.6999999999999993</v>
      </c>
      <c r="I65" s="23">
        <v>0.6</v>
      </c>
      <c r="J65" s="23">
        <v>4.4000000000000004</v>
      </c>
      <c r="K65" s="37">
        <v>2.9</v>
      </c>
      <c r="L65" s="37">
        <v>3</v>
      </c>
      <c r="M65" s="37"/>
      <c r="N65" s="38">
        <f t="shared" si="0"/>
        <v>3</v>
      </c>
      <c r="O65" s="15">
        <v>2.5</v>
      </c>
      <c r="P65" s="15">
        <v>2.4</v>
      </c>
      <c r="Q65" s="20">
        <f t="shared" si="1"/>
        <v>2.5</v>
      </c>
      <c r="R65" s="34">
        <v>2.4620000000000002</v>
      </c>
      <c r="S65" s="34">
        <v>2.5299999999999998</v>
      </c>
      <c r="T65" s="33">
        <f t="shared" si="2"/>
        <v>2.496</v>
      </c>
      <c r="U65" s="34">
        <v>2.496</v>
      </c>
      <c r="V65" s="34">
        <v>2.4729999999999999</v>
      </c>
      <c r="W65" s="33">
        <f t="shared" si="3"/>
        <v>2.4849999999999999</v>
      </c>
      <c r="X65" s="17">
        <v>0.19900000000000001</v>
      </c>
      <c r="Y65" s="17">
        <v>0.19700000000000001</v>
      </c>
      <c r="Z65" s="21">
        <f t="shared" si="4"/>
        <v>0.19800000000000001</v>
      </c>
      <c r="AA65" s="30">
        <v>1.843</v>
      </c>
      <c r="AB65" s="30">
        <v>1.871</v>
      </c>
      <c r="AC65" s="31">
        <f t="shared" si="5"/>
        <v>1.857</v>
      </c>
      <c r="AD65" s="19">
        <v>0.128</v>
      </c>
      <c r="AE65" s="19">
        <v>0.13100000000000001</v>
      </c>
      <c r="AF65" s="21">
        <f t="shared" si="6"/>
        <v>0.13</v>
      </c>
      <c r="AG65" s="30">
        <v>9.7000000000000003E-2</v>
      </c>
      <c r="AH65" s="30">
        <v>9.2999999999999999E-2</v>
      </c>
      <c r="AI65" s="31">
        <f t="shared" si="7"/>
        <v>9.5000000000000001E-2</v>
      </c>
      <c r="AJ65" s="30">
        <v>8.7999999999999995E-2</v>
      </c>
      <c r="AK65" s="30">
        <v>8.8999999999999996E-2</v>
      </c>
      <c r="AL65" s="31">
        <f t="shared" si="8"/>
        <v>8.8999999999999996E-2</v>
      </c>
      <c r="AM65" s="19">
        <v>12.51</v>
      </c>
      <c r="AN65" s="19">
        <v>12.627000000000001</v>
      </c>
      <c r="AO65" s="21">
        <f t="shared" si="9"/>
        <v>12.569000000000001</v>
      </c>
      <c r="AP65" s="27">
        <v>5.8799999999999998E-2</v>
      </c>
      <c r="AQ65" s="27">
        <v>5.74E-2</v>
      </c>
      <c r="AR65" s="26">
        <f t="shared" si="10"/>
        <v>5.8099999999999999E-2</v>
      </c>
      <c r="AS65" s="83">
        <v>9.0500000000000007</v>
      </c>
      <c r="AT65" s="83">
        <v>5.2</v>
      </c>
    </row>
    <row r="66" spans="1:47">
      <c r="A66" s="7" t="s">
        <v>23</v>
      </c>
      <c r="B66" s="5" t="s">
        <v>86</v>
      </c>
      <c r="C66" s="6" t="s">
        <v>87</v>
      </c>
      <c r="D66" s="6" t="s">
        <v>88</v>
      </c>
      <c r="E66" s="23">
        <v>17.100000000000001</v>
      </c>
      <c r="F66" s="23">
        <v>7.9</v>
      </c>
      <c r="G66" s="41">
        <v>156</v>
      </c>
      <c r="H66" s="23">
        <v>9.1999999999999993</v>
      </c>
      <c r="I66" s="23">
        <v>0.9</v>
      </c>
      <c r="J66" s="23">
        <v>4.5</v>
      </c>
      <c r="K66" s="37">
        <v>3</v>
      </c>
      <c r="L66" s="37">
        <v>2.9</v>
      </c>
      <c r="M66" s="37"/>
      <c r="N66" s="38">
        <f t="shared" si="0"/>
        <v>3</v>
      </c>
      <c r="O66" s="15">
        <v>2.8</v>
      </c>
      <c r="P66" s="15">
        <v>2.7</v>
      </c>
      <c r="Q66" s="20">
        <f t="shared" si="1"/>
        <v>2.8</v>
      </c>
      <c r="R66" s="34">
        <v>1.4079999999999999</v>
      </c>
      <c r="S66" s="34">
        <v>1.357</v>
      </c>
      <c r="T66" s="33">
        <f t="shared" si="2"/>
        <v>1.383</v>
      </c>
      <c r="U66" s="34">
        <v>1.343</v>
      </c>
      <c r="V66" s="34">
        <v>1.2929999999999999</v>
      </c>
      <c r="W66" s="33">
        <f t="shared" si="3"/>
        <v>1.3180000000000001</v>
      </c>
      <c r="X66" s="17">
        <v>2.1999999999999999E-2</v>
      </c>
      <c r="Y66" s="17">
        <v>2.1999999999999999E-2</v>
      </c>
      <c r="Z66" s="21">
        <f t="shared" si="4"/>
        <v>2.1999999999999999E-2</v>
      </c>
      <c r="AA66" s="30">
        <v>0.99099999999999999</v>
      </c>
      <c r="AB66" s="30">
        <v>1.0069999999999999</v>
      </c>
      <c r="AC66" s="31">
        <f t="shared" si="5"/>
        <v>0.999</v>
      </c>
      <c r="AD66" s="19">
        <v>5.8999999999999997E-2</v>
      </c>
      <c r="AE66" s="19">
        <v>5.5E-2</v>
      </c>
      <c r="AF66" s="21">
        <f t="shared" si="6"/>
        <v>5.7000000000000002E-2</v>
      </c>
      <c r="AG66" s="30">
        <v>3.4000000000000002E-2</v>
      </c>
      <c r="AH66" s="30">
        <v>3.5000000000000003E-2</v>
      </c>
      <c r="AI66" s="31">
        <f t="shared" si="7"/>
        <v>3.5000000000000003E-2</v>
      </c>
      <c r="AJ66" s="30">
        <v>2.4E-2</v>
      </c>
      <c r="AK66" s="30">
        <v>2.3E-2</v>
      </c>
      <c r="AL66" s="31">
        <f t="shared" si="8"/>
        <v>2.4E-2</v>
      </c>
      <c r="AM66" s="19">
        <v>9.7789999999999999</v>
      </c>
      <c r="AN66" s="19">
        <v>9.8710000000000004</v>
      </c>
      <c r="AO66" s="21">
        <f t="shared" si="9"/>
        <v>9.8249999999999993</v>
      </c>
      <c r="AP66" s="27">
        <v>6.6400000000000001E-2</v>
      </c>
      <c r="AQ66" s="27">
        <v>6.5199999999999994E-2</v>
      </c>
      <c r="AR66" s="26">
        <f t="shared" si="10"/>
        <v>6.5799999999999997E-2</v>
      </c>
      <c r="AS66" s="83">
        <v>8.6</v>
      </c>
      <c r="AT66" s="83">
        <v>4.2699999999999996</v>
      </c>
      <c r="AU66" s="83"/>
    </row>
    <row r="67" spans="1:47">
      <c r="A67" s="7" t="s">
        <v>24</v>
      </c>
      <c r="B67" s="5" t="s">
        <v>89</v>
      </c>
      <c r="C67" s="6" t="s">
        <v>42</v>
      </c>
      <c r="D67" s="6" t="s">
        <v>36</v>
      </c>
      <c r="E67" s="23">
        <v>16.3</v>
      </c>
      <c r="F67" s="23">
        <v>7.5</v>
      </c>
      <c r="G67" s="41">
        <v>225</v>
      </c>
      <c r="H67" s="23">
        <v>12.4</v>
      </c>
      <c r="I67" s="23">
        <v>0.9</v>
      </c>
      <c r="J67" s="23">
        <v>7.1</v>
      </c>
      <c r="K67" s="37">
        <v>4.5999999999999996</v>
      </c>
      <c r="L67" s="37">
        <v>4.9000000000000004</v>
      </c>
      <c r="M67" s="37"/>
      <c r="N67" s="38">
        <f t="shared" si="0"/>
        <v>4.8</v>
      </c>
      <c r="O67" s="15">
        <v>4.7</v>
      </c>
      <c r="P67" s="15">
        <v>4.7</v>
      </c>
      <c r="Q67" s="20">
        <f t="shared" si="1"/>
        <v>4.7</v>
      </c>
      <c r="R67" s="34">
        <v>4.97</v>
      </c>
      <c r="S67" s="34">
        <v>4.8730000000000002</v>
      </c>
      <c r="T67" s="33">
        <f t="shared" si="2"/>
        <v>4.9219999999999997</v>
      </c>
      <c r="U67" s="34">
        <v>4.8090000000000002</v>
      </c>
      <c r="V67" s="34">
        <v>4.8099999999999996</v>
      </c>
      <c r="W67" s="33">
        <f t="shared" si="3"/>
        <v>4.8099999999999996</v>
      </c>
      <c r="X67" s="17">
        <v>5.7000000000000002E-2</v>
      </c>
      <c r="Y67" s="17">
        <v>5.6000000000000001E-2</v>
      </c>
      <c r="Z67" s="21">
        <f t="shared" si="4"/>
        <v>5.7000000000000002E-2</v>
      </c>
      <c r="AA67" s="30">
        <v>4.2229999999999999</v>
      </c>
      <c r="AB67" s="30">
        <v>4.2389999999999999</v>
      </c>
      <c r="AC67" s="31">
        <f t="shared" si="5"/>
        <v>4.2309999999999999</v>
      </c>
      <c r="AD67" s="19">
        <v>2.157</v>
      </c>
      <c r="AE67" s="19">
        <v>2.1019999999999999</v>
      </c>
      <c r="AF67" s="21">
        <f t="shared" si="6"/>
        <v>2.13</v>
      </c>
      <c r="AG67" s="30">
        <v>2.1120000000000001</v>
      </c>
      <c r="AH67" s="30">
        <v>2.0470000000000002</v>
      </c>
      <c r="AI67" s="31">
        <f t="shared" si="7"/>
        <v>2.08</v>
      </c>
      <c r="AJ67" s="30">
        <v>2.0739999999999998</v>
      </c>
      <c r="AK67" s="30">
        <v>2.028</v>
      </c>
      <c r="AL67" s="31">
        <f t="shared" si="8"/>
        <v>2.0510000000000002</v>
      </c>
      <c r="AM67" s="19">
        <v>10.318</v>
      </c>
      <c r="AN67" s="19">
        <v>10.388</v>
      </c>
      <c r="AO67" s="21">
        <f t="shared" si="9"/>
        <v>10.353</v>
      </c>
      <c r="AP67" s="27">
        <v>0.1114</v>
      </c>
      <c r="AQ67" s="27">
        <v>0.1104</v>
      </c>
      <c r="AR67" s="26">
        <f t="shared" si="10"/>
        <v>0.1109</v>
      </c>
      <c r="AS67" s="83">
        <v>8.9600000000000009</v>
      </c>
      <c r="AT67" s="83">
        <v>8.98</v>
      </c>
    </row>
    <row r="68" spans="1:47">
      <c r="A68" s="7" t="s">
        <v>25</v>
      </c>
      <c r="B68" s="5" t="s">
        <v>90</v>
      </c>
      <c r="C68" s="6" t="s">
        <v>44</v>
      </c>
      <c r="D68" s="6" t="s">
        <v>91</v>
      </c>
      <c r="E68" s="23">
        <v>16.8</v>
      </c>
      <c r="F68" s="23">
        <v>8.4</v>
      </c>
      <c r="G68" s="41">
        <v>268</v>
      </c>
      <c r="H68" s="23">
        <v>10.4</v>
      </c>
      <c r="I68" s="23">
        <v>1</v>
      </c>
      <c r="J68" s="23">
        <v>3.9</v>
      </c>
      <c r="K68" s="37">
        <v>2.6</v>
      </c>
      <c r="L68" s="37">
        <v>2.7</v>
      </c>
      <c r="M68" s="37"/>
      <c r="N68" s="38">
        <f t="shared" si="0"/>
        <v>2.7</v>
      </c>
      <c r="O68" s="15">
        <v>2.6</v>
      </c>
      <c r="P68" s="15">
        <v>2.5</v>
      </c>
      <c r="Q68" s="20">
        <f t="shared" si="1"/>
        <v>2.6</v>
      </c>
      <c r="R68" s="34">
        <v>3.508</v>
      </c>
      <c r="S68" s="34">
        <v>3.496</v>
      </c>
      <c r="T68" s="33">
        <f t="shared" si="2"/>
        <v>3.5019999999999998</v>
      </c>
      <c r="U68" s="34">
        <v>3.4940000000000002</v>
      </c>
      <c r="V68" s="34">
        <v>3.4990000000000001</v>
      </c>
      <c r="W68" s="33">
        <f t="shared" si="3"/>
        <v>3.4969999999999999</v>
      </c>
      <c r="X68" s="17">
        <v>3.5999999999999997E-2</v>
      </c>
      <c r="Y68" s="17">
        <v>3.5999999999999997E-2</v>
      </c>
      <c r="Z68" s="21">
        <f t="shared" si="4"/>
        <v>3.5999999999999997E-2</v>
      </c>
      <c r="AA68" s="30">
        <v>3.0750000000000002</v>
      </c>
      <c r="AB68" s="30">
        <v>3.089</v>
      </c>
      <c r="AC68" s="31">
        <f t="shared" si="5"/>
        <v>3.0819999999999999</v>
      </c>
      <c r="AD68" s="19">
        <v>5.1999999999999998E-2</v>
      </c>
      <c r="AE68" s="19">
        <v>5.1999999999999998E-2</v>
      </c>
      <c r="AF68" s="21">
        <f t="shared" si="6"/>
        <v>5.1999999999999998E-2</v>
      </c>
      <c r="AG68" s="30">
        <v>3.2000000000000001E-2</v>
      </c>
      <c r="AH68" s="30">
        <v>2.8000000000000001E-2</v>
      </c>
      <c r="AI68" s="31">
        <f t="shared" si="7"/>
        <v>0.03</v>
      </c>
      <c r="AJ68" s="30">
        <v>1.9E-2</v>
      </c>
      <c r="AK68" s="30">
        <v>1.7999999999999999E-2</v>
      </c>
      <c r="AL68" s="31">
        <f t="shared" si="8"/>
        <v>1.9E-2</v>
      </c>
      <c r="AM68" s="19">
        <v>16.736999999999998</v>
      </c>
      <c r="AN68" s="19">
        <v>16.808</v>
      </c>
      <c r="AO68" s="21">
        <f t="shared" si="9"/>
        <v>16.773</v>
      </c>
      <c r="AP68" s="27">
        <v>5.7700000000000001E-2</v>
      </c>
      <c r="AQ68" s="27">
        <v>5.7099999999999998E-2</v>
      </c>
      <c r="AR68" s="26">
        <f t="shared" si="10"/>
        <v>5.74E-2</v>
      </c>
      <c r="AS68" s="83">
        <v>10.220000000000001</v>
      </c>
      <c r="AT68" s="83">
        <v>3.58</v>
      </c>
      <c r="AU68" s="83"/>
    </row>
    <row r="69" spans="1:47">
      <c r="A69" s="7" t="s">
        <v>26</v>
      </c>
      <c r="B69" s="5" t="s">
        <v>92</v>
      </c>
      <c r="C69" s="6" t="s">
        <v>93</v>
      </c>
      <c r="D69" s="6" t="s">
        <v>36</v>
      </c>
      <c r="E69" s="23">
        <v>18.100000000000001</v>
      </c>
      <c r="F69" s="23">
        <v>8.6999999999999993</v>
      </c>
      <c r="G69" s="41">
        <v>164</v>
      </c>
      <c r="H69" s="23">
        <v>11.9</v>
      </c>
      <c r="I69" s="23">
        <v>3.7</v>
      </c>
      <c r="J69" s="23">
        <v>6.1</v>
      </c>
      <c r="K69" s="37">
        <v>3.9</v>
      </c>
      <c r="L69" s="37">
        <v>4.0999999999999996</v>
      </c>
      <c r="M69" s="37">
        <v>4</v>
      </c>
      <c r="N69" s="38">
        <f t="shared" si="0"/>
        <v>4</v>
      </c>
      <c r="O69" s="15">
        <v>2.6</v>
      </c>
      <c r="P69" s="15">
        <v>2.5</v>
      </c>
      <c r="Q69" s="20">
        <f t="shared" si="1"/>
        <v>2.6</v>
      </c>
      <c r="R69" s="34">
        <v>1.66</v>
      </c>
      <c r="S69" s="34">
        <v>1.663</v>
      </c>
      <c r="T69" s="33">
        <f t="shared" si="2"/>
        <v>1.6619999999999999</v>
      </c>
      <c r="U69" s="34">
        <v>1.5389999999999999</v>
      </c>
      <c r="V69" s="34">
        <v>1.5409999999999999</v>
      </c>
      <c r="W69" s="33">
        <f t="shared" si="3"/>
        <v>1.54</v>
      </c>
      <c r="X69" s="17">
        <v>4.3999999999999997E-2</v>
      </c>
      <c r="Y69" s="17">
        <v>3.5999999999999997E-2</v>
      </c>
      <c r="Z69" s="21">
        <f t="shared" si="4"/>
        <v>0.04</v>
      </c>
      <c r="AA69" s="30">
        <v>1.157</v>
      </c>
      <c r="AB69" s="30">
        <v>1.169</v>
      </c>
      <c r="AC69" s="31">
        <f t="shared" si="5"/>
        <v>1.163</v>
      </c>
      <c r="AD69" s="19">
        <v>7.2999999999999995E-2</v>
      </c>
      <c r="AE69" s="19">
        <v>7.4999999999999997E-2</v>
      </c>
      <c r="AF69" s="21">
        <f t="shared" si="6"/>
        <v>7.3999999999999996E-2</v>
      </c>
      <c r="AG69" s="30">
        <v>2.4E-2</v>
      </c>
      <c r="AH69" s="30">
        <v>2.3E-2</v>
      </c>
      <c r="AI69" s="31">
        <f t="shared" si="7"/>
        <v>2.4E-2</v>
      </c>
      <c r="AJ69" s="30">
        <v>1.0999999999999999E-2</v>
      </c>
      <c r="AK69" s="30">
        <v>8.9999999999999993E-3</v>
      </c>
      <c r="AL69" s="31">
        <f t="shared" si="8"/>
        <v>0.01</v>
      </c>
      <c r="AM69" s="19">
        <v>10.867000000000001</v>
      </c>
      <c r="AN69" s="19">
        <v>10.92</v>
      </c>
      <c r="AO69" s="21">
        <f t="shared" si="9"/>
        <v>10.894</v>
      </c>
      <c r="AP69" s="27">
        <v>6.0600000000000001E-2</v>
      </c>
      <c r="AQ69" s="27">
        <v>5.96E-2</v>
      </c>
      <c r="AR69" s="26">
        <f t="shared" si="10"/>
        <v>6.0100000000000001E-2</v>
      </c>
      <c r="AS69" s="83">
        <v>10.5</v>
      </c>
      <c r="AT69" s="83">
        <v>7.16</v>
      </c>
    </row>
    <row r="70" spans="1:47">
      <c r="A70" s="7" t="s">
        <v>27</v>
      </c>
      <c r="B70" s="5" t="s">
        <v>94</v>
      </c>
      <c r="C70" s="6" t="s">
        <v>95</v>
      </c>
      <c r="D70" s="6" t="s">
        <v>96</v>
      </c>
      <c r="E70" s="23">
        <v>13.9</v>
      </c>
      <c r="F70" s="23">
        <v>5.6</v>
      </c>
      <c r="G70" s="41">
        <v>179</v>
      </c>
      <c r="H70" s="23">
        <v>6.4</v>
      </c>
      <c r="I70" s="23">
        <v>0.4</v>
      </c>
      <c r="J70" s="23">
        <v>2.2000000000000002</v>
      </c>
      <c r="K70" s="37">
        <v>1.5</v>
      </c>
      <c r="L70" s="37">
        <v>1.5</v>
      </c>
      <c r="M70" s="37"/>
      <c r="N70" s="38">
        <f t="shared" si="0"/>
        <v>1.5</v>
      </c>
      <c r="O70" s="15">
        <v>1.4</v>
      </c>
      <c r="P70" s="15">
        <v>1.3</v>
      </c>
      <c r="Q70" s="20">
        <f t="shared" si="1"/>
        <v>1.4</v>
      </c>
      <c r="R70" s="34">
        <v>2.1379999999999999</v>
      </c>
      <c r="S70" s="34">
        <v>2.0379999999999998</v>
      </c>
      <c r="T70" s="33">
        <f t="shared" si="2"/>
        <v>2.0880000000000001</v>
      </c>
      <c r="U70" s="34">
        <v>2.0830000000000002</v>
      </c>
      <c r="V70" s="34">
        <v>2.0840000000000001</v>
      </c>
      <c r="W70" s="33">
        <f t="shared" si="3"/>
        <v>2.0840000000000001</v>
      </c>
      <c r="X70" s="17">
        <v>1.7000000000000001E-2</v>
      </c>
      <c r="Y70" s="17">
        <v>1.7999999999999999E-2</v>
      </c>
      <c r="Z70" s="21">
        <f t="shared" si="4"/>
        <v>1.7999999999999999E-2</v>
      </c>
      <c r="AA70" s="30">
        <v>1.847</v>
      </c>
      <c r="AB70" s="30">
        <v>1.863</v>
      </c>
      <c r="AC70" s="31">
        <f t="shared" si="5"/>
        <v>1.855</v>
      </c>
      <c r="AD70" s="19">
        <v>3.2000000000000001E-2</v>
      </c>
      <c r="AE70" s="19">
        <v>0.03</v>
      </c>
      <c r="AF70" s="21">
        <f t="shared" si="6"/>
        <v>3.1E-2</v>
      </c>
      <c r="AG70" s="30">
        <v>1.7000000000000001E-2</v>
      </c>
      <c r="AH70" s="30">
        <v>1.7000000000000001E-2</v>
      </c>
      <c r="AI70" s="31">
        <f t="shared" si="7"/>
        <v>1.7000000000000001E-2</v>
      </c>
      <c r="AJ70" s="30">
        <v>1.4E-2</v>
      </c>
      <c r="AK70" s="30">
        <v>1.4999999999999999E-2</v>
      </c>
      <c r="AL70" s="31">
        <f t="shared" si="8"/>
        <v>1.4999999999999999E-2</v>
      </c>
      <c r="AM70" s="19">
        <v>10.635</v>
      </c>
      <c r="AN70" s="19">
        <v>10.702</v>
      </c>
      <c r="AO70" s="21">
        <f t="shared" si="9"/>
        <v>10.669</v>
      </c>
      <c r="AP70" s="27">
        <v>3.2800000000000003E-2</v>
      </c>
      <c r="AQ70" s="27">
        <v>3.2300000000000002E-2</v>
      </c>
      <c r="AR70" s="26">
        <f t="shared" si="10"/>
        <v>3.2599999999999997E-2</v>
      </c>
      <c r="AS70" s="83">
        <v>14.01</v>
      </c>
      <c r="AT70" s="83">
        <v>3.85</v>
      </c>
      <c r="AU70" s="83"/>
    </row>
    <row r="71" spans="1:47">
      <c r="A71" s="7" t="s">
        <v>28</v>
      </c>
      <c r="B71" s="5" t="s">
        <v>97</v>
      </c>
      <c r="C71" s="6" t="s">
        <v>98</v>
      </c>
      <c r="D71" s="6" t="s">
        <v>36</v>
      </c>
      <c r="E71" s="23">
        <v>17.899999999999999</v>
      </c>
      <c r="F71" s="23">
        <v>6.5</v>
      </c>
      <c r="G71" s="41">
        <v>200</v>
      </c>
      <c r="H71" s="23">
        <v>8.6</v>
      </c>
      <c r="I71" s="23">
        <v>1.2</v>
      </c>
      <c r="J71" s="23">
        <v>3.7</v>
      </c>
      <c r="K71" s="37">
        <v>2.5</v>
      </c>
      <c r="L71" s="37">
        <v>2.5</v>
      </c>
      <c r="M71" s="37"/>
      <c r="N71" s="38">
        <f t="shared" si="0"/>
        <v>2.5</v>
      </c>
      <c r="O71" s="15">
        <v>2.2999999999999998</v>
      </c>
      <c r="P71" s="15">
        <v>2.2000000000000002</v>
      </c>
      <c r="Q71" s="20">
        <f t="shared" si="1"/>
        <v>2.2999999999999998</v>
      </c>
      <c r="R71" s="34">
        <v>2.218</v>
      </c>
      <c r="S71" s="34">
        <v>2.2130000000000001</v>
      </c>
      <c r="T71" s="33">
        <f t="shared" si="2"/>
        <v>2.2160000000000002</v>
      </c>
      <c r="U71" s="34">
        <v>2.2080000000000002</v>
      </c>
      <c r="V71" s="34">
        <v>2.1789999999999998</v>
      </c>
      <c r="W71" s="33">
        <f t="shared" si="3"/>
        <v>2.194</v>
      </c>
      <c r="X71" s="17">
        <v>2.7E-2</v>
      </c>
      <c r="Y71" s="17">
        <v>0.03</v>
      </c>
      <c r="Z71" s="21">
        <f t="shared" si="4"/>
        <v>2.9000000000000001E-2</v>
      </c>
      <c r="AA71" s="30">
        <v>1.78</v>
      </c>
      <c r="AB71" s="30">
        <v>1.8169999999999999</v>
      </c>
      <c r="AC71" s="31">
        <f t="shared" si="5"/>
        <v>1.7989999999999999</v>
      </c>
      <c r="AD71" s="19">
        <v>8.6999999999999994E-2</v>
      </c>
      <c r="AE71" s="19">
        <v>8.5999999999999993E-2</v>
      </c>
      <c r="AF71" s="21">
        <f t="shared" si="6"/>
        <v>8.6999999999999994E-2</v>
      </c>
      <c r="AG71" s="30">
        <v>5.6000000000000001E-2</v>
      </c>
      <c r="AH71" s="30">
        <v>5.6000000000000001E-2</v>
      </c>
      <c r="AI71" s="31">
        <f t="shared" si="7"/>
        <v>5.6000000000000001E-2</v>
      </c>
      <c r="AJ71" s="30">
        <v>5.0999999999999997E-2</v>
      </c>
      <c r="AK71" s="30">
        <v>5.2999999999999999E-2</v>
      </c>
      <c r="AL71" s="31">
        <f t="shared" si="8"/>
        <v>5.1999999999999998E-2</v>
      </c>
      <c r="AM71" s="19">
        <v>12.417</v>
      </c>
      <c r="AN71" s="19">
        <v>12.622999999999999</v>
      </c>
      <c r="AO71" s="21">
        <f t="shared" si="9"/>
        <v>12.52</v>
      </c>
      <c r="AP71" s="27">
        <v>5.6000000000000001E-2</v>
      </c>
      <c r="AQ71" s="27">
        <v>5.5100000000000003E-2</v>
      </c>
      <c r="AR71" s="26">
        <f t="shared" si="10"/>
        <v>5.5599999999999997E-2</v>
      </c>
      <c r="AS71" s="83">
        <v>10.41</v>
      </c>
      <c r="AT71" s="83">
        <v>4.92</v>
      </c>
    </row>
    <row r="72" spans="1:47">
      <c r="A72" s="7" t="s">
        <v>29</v>
      </c>
      <c r="B72" s="5" t="s">
        <v>99</v>
      </c>
      <c r="C72" s="6" t="s">
        <v>44</v>
      </c>
      <c r="D72" s="6" t="s">
        <v>100</v>
      </c>
      <c r="E72" s="23">
        <v>17.399999999999999</v>
      </c>
      <c r="F72" s="23">
        <v>5.9</v>
      </c>
      <c r="G72" s="41">
        <v>234</v>
      </c>
      <c r="H72" s="23">
        <v>6.2</v>
      </c>
      <c r="I72" s="23">
        <v>4.0999999999999996</v>
      </c>
      <c r="J72" s="23">
        <v>8.6999999999999993</v>
      </c>
      <c r="K72" s="37">
        <v>7.4</v>
      </c>
      <c r="L72" s="37">
        <v>7.4</v>
      </c>
      <c r="M72" s="37"/>
      <c r="N72" s="38">
        <f t="shared" si="0"/>
        <v>7.4</v>
      </c>
      <c r="O72" s="15">
        <v>6.2</v>
      </c>
      <c r="P72" s="15">
        <v>6</v>
      </c>
      <c r="Q72" s="20">
        <f t="shared" si="1"/>
        <v>6.1</v>
      </c>
      <c r="R72" s="34">
        <v>4.2649999999999997</v>
      </c>
      <c r="S72" s="34">
        <v>4.1680000000000001</v>
      </c>
      <c r="T72" s="33">
        <f t="shared" si="2"/>
        <v>4.2169999999999996</v>
      </c>
      <c r="U72" s="34">
        <v>4.2110000000000003</v>
      </c>
      <c r="V72" s="34">
        <v>4.2130000000000001</v>
      </c>
      <c r="W72" s="33">
        <f t="shared" si="3"/>
        <v>4.2119999999999997</v>
      </c>
      <c r="X72" s="17">
        <v>0.63300000000000001</v>
      </c>
      <c r="Y72" s="17">
        <v>0.64400000000000002</v>
      </c>
      <c r="Z72" s="21">
        <f t="shared" si="4"/>
        <v>0.63900000000000001</v>
      </c>
      <c r="AA72" s="30">
        <v>2.7109999999999999</v>
      </c>
      <c r="AB72" s="30">
        <v>2.7349999999999999</v>
      </c>
      <c r="AC72" s="31">
        <f t="shared" si="5"/>
        <v>2.7229999999999999</v>
      </c>
      <c r="AD72" s="19">
        <v>0.31</v>
      </c>
      <c r="AE72" s="19">
        <v>0.29899999999999999</v>
      </c>
      <c r="AF72" s="21">
        <f t="shared" si="6"/>
        <v>0.30499999999999999</v>
      </c>
      <c r="AG72" s="30">
        <v>0.222</v>
      </c>
      <c r="AH72" s="30">
        <v>0.22</v>
      </c>
      <c r="AI72" s="31">
        <f t="shared" si="7"/>
        <v>0.221</v>
      </c>
      <c r="AJ72" s="30">
        <v>0.20499999999999999</v>
      </c>
      <c r="AK72" s="30">
        <v>0.20599999999999999</v>
      </c>
      <c r="AL72" s="31">
        <f t="shared" si="8"/>
        <v>0.20599999999999999</v>
      </c>
      <c r="AM72" s="19">
        <v>17.262</v>
      </c>
      <c r="AN72" s="19">
        <v>17.417999999999999</v>
      </c>
      <c r="AO72" s="21">
        <f t="shared" si="9"/>
        <v>17.34</v>
      </c>
      <c r="AP72" s="27">
        <v>0.15060000000000001</v>
      </c>
      <c r="AQ72" s="27">
        <v>0.14940000000000001</v>
      </c>
      <c r="AR72" s="26">
        <f t="shared" si="10"/>
        <v>0.15</v>
      </c>
      <c r="AS72" s="83">
        <v>9.1</v>
      </c>
      <c r="AT72" s="83">
        <v>6.2</v>
      </c>
      <c r="AU72" s="83"/>
    </row>
    <row r="73" spans="1:47">
      <c r="A73" s="7" t="s">
        <v>30</v>
      </c>
      <c r="B73" s="5" t="s">
        <v>101</v>
      </c>
      <c r="C73" s="6" t="s">
        <v>44</v>
      </c>
      <c r="D73" s="6" t="s">
        <v>160</v>
      </c>
      <c r="E73" s="23">
        <v>17.7</v>
      </c>
      <c r="F73" s="23">
        <v>6.4</v>
      </c>
      <c r="G73" s="41">
        <v>298</v>
      </c>
      <c r="H73" s="23">
        <v>8.5</v>
      </c>
      <c r="I73" s="23">
        <v>2.6</v>
      </c>
      <c r="J73" s="23">
        <v>5.4</v>
      </c>
      <c r="K73" s="37">
        <v>3.9</v>
      </c>
      <c r="L73" s="37">
        <v>4</v>
      </c>
      <c r="M73" s="37"/>
      <c r="N73" s="38">
        <f t="shared" si="0"/>
        <v>4</v>
      </c>
      <c r="O73" s="15">
        <v>3.4</v>
      </c>
      <c r="P73" s="15">
        <v>3.4</v>
      </c>
      <c r="Q73" s="20">
        <f t="shared" si="1"/>
        <v>3.4</v>
      </c>
      <c r="R73" s="34">
        <v>3.2919999999999998</v>
      </c>
      <c r="S73" s="34">
        <v>3.2250000000000001</v>
      </c>
      <c r="T73" s="33">
        <f t="shared" si="2"/>
        <v>3.2589999999999999</v>
      </c>
      <c r="U73" s="34">
        <v>3.246</v>
      </c>
      <c r="V73" s="34">
        <v>3.2679999999999998</v>
      </c>
      <c r="W73" s="33">
        <f t="shared" si="3"/>
        <v>3.2570000000000001</v>
      </c>
      <c r="X73" s="17">
        <v>0.48</v>
      </c>
      <c r="Y73" s="17">
        <v>0.48199999999999998</v>
      </c>
      <c r="Z73" s="21">
        <f t="shared" si="4"/>
        <v>0.48099999999999998</v>
      </c>
      <c r="AA73" s="30">
        <v>2.0760000000000001</v>
      </c>
      <c r="AB73" s="30">
        <v>2.0920000000000001</v>
      </c>
      <c r="AC73" s="31">
        <f t="shared" si="5"/>
        <v>2.0840000000000001</v>
      </c>
      <c r="AD73" s="19">
        <v>0.14799999999999999</v>
      </c>
      <c r="AE73" s="19">
        <v>0.14699999999999999</v>
      </c>
      <c r="AF73" s="21">
        <f t="shared" si="6"/>
        <v>0.14799999999999999</v>
      </c>
      <c r="AG73" s="30">
        <v>9.1999999999999998E-2</v>
      </c>
      <c r="AH73" s="30">
        <v>9.1999999999999998E-2</v>
      </c>
      <c r="AI73" s="31">
        <f t="shared" si="7"/>
        <v>9.1999999999999998E-2</v>
      </c>
      <c r="AJ73" s="30">
        <v>8.3000000000000004E-2</v>
      </c>
      <c r="AK73" s="30">
        <v>8.4000000000000005E-2</v>
      </c>
      <c r="AL73" s="31">
        <f t="shared" si="8"/>
        <v>8.4000000000000005E-2</v>
      </c>
      <c r="AM73" s="19">
        <v>32.576000000000001</v>
      </c>
      <c r="AN73" s="19">
        <v>32.631</v>
      </c>
      <c r="AO73" s="21">
        <f t="shared" si="9"/>
        <v>32.603999999999999</v>
      </c>
      <c r="AP73" s="27">
        <v>7.9699999999999993E-2</v>
      </c>
      <c r="AQ73" s="27">
        <v>8.0199999999999994E-2</v>
      </c>
      <c r="AR73" s="26">
        <f t="shared" si="10"/>
        <v>0.08</v>
      </c>
      <c r="AS73" s="83">
        <v>11.43</v>
      </c>
      <c r="AT73" s="83">
        <v>0.84</v>
      </c>
      <c r="AU73" s="83"/>
    </row>
    <row r="74" spans="1:47">
      <c r="A74" s="7" t="s">
        <v>31</v>
      </c>
      <c r="B74" s="5" t="s">
        <v>102</v>
      </c>
      <c r="C74" s="6" t="s">
        <v>103</v>
      </c>
      <c r="D74" s="6" t="s">
        <v>36</v>
      </c>
      <c r="E74" s="23">
        <v>18.399999999999999</v>
      </c>
      <c r="F74" s="23">
        <v>6.7</v>
      </c>
      <c r="G74" s="41">
        <v>199</v>
      </c>
      <c r="H74" s="23">
        <v>8.9</v>
      </c>
      <c r="I74" s="23">
        <v>1</v>
      </c>
      <c r="J74" s="23">
        <v>3.8</v>
      </c>
      <c r="K74" s="37">
        <v>2.7</v>
      </c>
      <c r="L74" s="37">
        <v>2.5</v>
      </c>
      <c r="M74" s="37"/>
      <c r="N74" s="38">
        <f t="shared" si="0"/>
        <v>2.6</v>
      </c>
      <c r="O74" s="15">
        <v>2.2999999999999998</v>
      </c>
      <c r="P74" s="15">
        <v>2.2999999999999998</v>
      </c>
      <c r="Q74" s="20">
        <f t="shared" si="1"/>
        <v>2.2999999999999998</v>
      </c>
      <c r="R74" s="34">
        <v>2.2080000000000002</v>
      </c>
      <c r="S74" s="34">
        <v>2.16</v>
      </c>
      <c r="T74" s="33">
        <f t="shared" si="2"/>
        <v>2.1840000000000002</v>
      </c>
      <c r="U74" s="34">
        <v>2.1800000000000002</v>
      </c>
      <c r="V74" s="34">
        <v>2.1760000000000002</v>
      </c>
      <c r="W74" s="33">
        <f t="shared" si="3"/>
        <v>2.1779999999999999</v>
      </c>
      <c r="X74" s="17">
        <v>2.5000000000000001E-2</v>
      </c>
      <c r="Y74" s="17">
        <v>2.5999999999999999E-2</v>
      </c>
      <c r="Z74" s="21">
        <f t="shared" si="4"/>
        <v>2.5999999999999999E-2</v>
      </c>
      <c r="AA74" s="30">
        <v>1.74</v>
      </c>
      <c r="AB74" s="30">
        <v>1.7529999999999999</v>
      </c>
      <c r="AC74" s="31">
        <f t="shared" si="5"/>
        <v>1.7470000000000001</v>
      </c>
      <c r="AD74" s="19">
        <v>8.4000000000000005E-2</v>
      </c>
      <c r="AE74" s="19">
        <v>8.2000000000000003E-2</v>
      </c>
      <c r="AF74" s="21">
        <f t="shared" si="6"/>
        <v>8.3000000000000004E-2</v>
      </c>
      <c r="AG74" s="30">
        <v>4.9000000000000002E-2</v>
      </c>
      <c r="AH74" s="30">
        <v>4.8000000000000001E-2</v>
      </c>
      <c r="AI74" s="31">
        <f t="shared" si="7"/>
        <v>4.9000000000000002E-2</v>
      </c>
      <c r="AJ74" s="30">
        <v>3.7999999999999999E-2</v>
      </c>
      <c r="AK74" s="30">
        <v>3.7999999999999999E-2</v>
      </c>
      <c r="AL74" s="31">
        <f t="shared" si="8"/>
        <v>3.7999999999999999E-2</v>
      </c>
      <c r="AM74" s="19">
        <v>12.752000000000001</v>
      </c>
      <c r="AN74" s="19">
        <v>12.815</v>
      </c>
      <c r="AO74" s="21">
        <f t="shared" si="9"/>
        <v>12.784000000000001</v>
      </c>
      <c r="AP74" s="27">
        <v>5.6399999999999999E-2</v>
      </c>
      <c r="AQ74" s="27">
        <v>5.5800000000000002E-2</v>
      </c>
      <c r="AR74" s="26">
        <f t="shared" si="10"/>
        <v>5.6099999999999997E-2</v>
      </c>
      <c r="AS74" s="83">
        <v>10.5</v>
      </c>
      <c r="AT74" s="83">
        <v>5.0599999999999996</v>
      </c>
    </row>
    <row r="75" spans="1:47">
      <c r="A75" s="7" t="s">
        <v>32</v>
      </c>
      <c r="B75" s="5" t="s">
        <v>104</v>
      </c>
      <c r="C75" s="6" t="s">
        <v>44</v>
      </c>
      <c r="D75" s="6" t="s">
        <v>105</v>
      </c>
      <c r="E75" s="23">
        <v>19.899999999999999</v>
      </c>
      <c r="F75" s="23">
        <v>6.9</v>
      </c>
      <c r="G75" s="41">
        <v>340</v>
      </c>
      <c r="H75" s="23">
        <v>9.4</v>
      </c>
      <c r="I75" s="23">
        <v>2.4</v>
      </c>
      <c r="J75" s="23">
        <v>8</v>
      </c>
      <c r="K75" s="37">
        <v>6.1</v>
      </c>
      <c r="L75" s="37">
        <v>6.1</v>
      </c>
      <c r="M75" s="37"/>
      <c r="N75" s="38">
        <f t="shared" si="0"/>
        <v>6.1</v>
      </c>
      <c r="O75" s="15">
        <v>5.4</v>
      </c>
      <c r="P75" s="15">
        <v>5.3</v>
      </c>
      <c r="Q75" s="20">
        <f t="shared" si="1"/>
        <v>5.4</v>
      </c>
      <c r="R75" s="34">
        <v>4.7569999999999997</v>
      </c>
      <c r="S75" s="34">
        <v>4.7130000000000001</v>
      </c>
      <c r="T75" s="33">
        <f t="shared" si="2"/>
        <v>4.7350000000000003</v>
      </c>
      <c r="U75" s="34">
        <v>4.7169999999999996</v>
      </c>
      <c r="V75" s="34">
        <v>4.7279999999999998</v>
      </c>
      <c r="W75" s="33">
        <f t="shared" si="3"/>
        <v>4.7229999999999999</v>
      </c>
      <c r="X75" s="17">
        <v>0.15</v>
      </c>
      <c r="Y75" s="17">
        <v>0.153</v>
      </c>
      <c r="Z75" s="21">
        <f t="shared" si="4"/>
        <v>0.152</v>
      </c>
      <c r="AA75" s="30">
        <v>3.673</v>
      </c>
      <c r="AB75" s="30">
        <v>3.698</v>
      </c>
      <c r="AC75" s="31">
        <f t="shared" si="5"/>
        <v>3.6859999999999999</v>
      </c>
      <c r="AD75" s="19">
        <v>0.23599999999999999</v>
      </c>
      <c r="AE75" s="19">
        <v>0.23599999999999999</v>
      </c>
      <c r="AF75" s="21">
        <f t="shared" si="6"/>
        <v>0.23599999999999999</v>
      </c>
      <c r="AG75" s="30">
        <v>0.14099999999999999</v>
      </c>
      <c r="AH75" s="30">
        <v>0.14099999999999999</v>
      </c>
      <c r="AI75" s="31">
        <f t="shared" si="7"/>
        <v>0.14099999999999999</v>
      </c>
      <c r="AJ75" s="30">
        <v>0.127</v>
      </c>
      <c r="AK75" s="30">
        <v>0.127</v>
      </c>
      <c r="AL75" s="31">
        <f t="shared" si="8"/>
        <v>0.127</v>
      </c>
      <c r="AM75" s="19">
        <v>25.785</v>
      </c>
      <c r="AN75" s="19">
        <v>26.004000000000001</v>
      </c>
      <c r="AO75" s="21">
        <f t="shared" si="9"/>
        <v>25.895</v>
      </c>
      <c r="AP75" s="27">
        <v>0.1318</v>
      </c>
      <c r="AQ75" s="27">
        <v>0.13009999999999999</v>
      </c>
      <c r="AR75" s="26">
        <f t="shared" si="10"/>
        <v>0.13100000000000001</v>
      </c>
      <c r="AS75" s="83">
        <v>12.62</v>
      </c>
      <c r="AT75" s="83">
        <v>5.42</v>
      </c>
      <c r="AU75" s="83"/>
    </row>
    <row r="76" spans="1:47">
      <c r="A76" s="7" t="s">
        <v>33</v>
      </c>
      <c r="B76" s="5" t="s">
        <v>106</v>
      </c>
      <c r="C76" s="6" t="s">
        <v>107</v>
      </c>
      <c r="D76" s="6" t="s">
        <v>36</v>
      </c>
      <c r="E76" s="23">
        <v>20.100000000000001</v>
      </c>
      <c r="F76" s="23">
        <v>7.7</v>
      </c>
      <c r="G76" s="41">
        <v>210</v>
      </c>
      <c r="H76" s="23">
        <v>10.3</v>
      </c>
      <c r="I76" s="23">
        <v>1.6</v>
      </c>
      <c r="J76" s="23">
        <v>4.2</v>
      </c>
      <c r="K76" s="37">
        <v>3</v>
      </c>
      <c r="L76" s="37">
        <v>2.9</v>
      </c>
      <c r="M76" s="37"/>
      <c r="N76" s="38">
        <f t="shared" si="0"/>
        <v>3</v>
      </c>
      <c r="O76" s="15">
        <v>2.5</v>
      </c>
      <c r="P76" s="15">
        <v>2.4</v>
      </c>
      <c r="Q76" s="20">
        <f t="shared" si="1"/>
        <v>2.5</v>
      </c>
      <c r="R76" s="34">
        <v>2.4420000000000002</v>
      </c>
      <c r="S76" s="34">
        <v>2.4020000000000001</v>
      </c>
      <c r="T76" s="33">
        <f t="shared" si="2"/>
        <v>2.4220000000000002</v>
      </c>
      <c r="U76" s="34">
        <v>2.4140000000000001</v>
      </c>
      <c r="V76" s="34">
        <v>2.4060000000000001</v>
      </c>
      <c r="W76" s="33">
        <f t="shared" si="3"/>
        <v>2.41</v>
      </c>
      <c r="X76" s="17">
        <v>2.5999999999999999E-2</v>
      </c>
      <c r="Y76" s="17">
        <v>2.7E-2</v>
      </c>
      <c r="Z76" s="21">
        <f t="shared" si="4"/>
        <v>2.7E-2</v>
      </c>
      <c r="AA76" s="30">
        <v>1.9470000000000001</v>
      </c>
      <c r="AB76" s="30">
        <v>1.9910000000000001</v>
      </c>
      <c r="AC76" s="31">
        <f t="shared" si="5"/>
        <v>1.9690000000000001</v>
      </c>
      <c r="AD76" s="19">
        <v>9.5000000000000001E-2</v>
      </c>
      <c r="AE76" s="19">
        <v>9.1999999999999998E-2</v>
      </c>
      <c r="AF76" s="21">
        <f t="shared" si="6"/>
        <v>9.4E-2</v>
      </c>
      <c r="AG76" s="30">
        <v>5.6000000000000001E-2</v>
      </c>
      <c r="AH76" s="30">
        <v>5.2999999999999999E-2</v>
      </c>
      <c r="AI76" s="31">
        <f t="shared" si="7"/>
        <v>5.5E-2</v>
      </c>
      <c r="AJ76" s="30">
        <v>4.4999999999999998E-2</v>
      </c>
      <c r="AK76" s="30">
        <v>4.4999999999999998E-2</v>
      </c>
      <c r="AL76" s="31">
        <f t="shared" si="8"/>
        <v>4.4999999999999998E-2</v>
      </c>
      <c r="AM76" s="19">
        <v>14.598000000000001</v>
      </c>
      <c r="AN76" s="19">
        <v>14.829000000000001</v>
      </c>
      <c r="AO76" s="21">
        <f t="shared" si="9"/>
        <v>14.714</v>
      </c>
      <c r="AP76" s="27">
        <v>6.3600000000000004E-2</v>
      </c>
      <c r="AQ76" s="27">
        <v>6.0400000000000002E-2</v>
      </c>
      <c r="AR76" s="26">
        <f t="shared" si="10"/>
        <v>6.2E-2</v>
      </c>
      <c r="AS76" s="83">
        <v>10.89</v>
      </c>
      <c r="AT76" s="83">
        <v>4.53</v>
      </c>
    </row>
    <row r="77" spans="1:47">
      <c r="A77" s="7" t="s">
        <v>137</v>
      </c>
      <c r="B77" s="5" t="s">
        <v>138</v>
      </c>
      <c r="C77" s="6"/>
      <c r="D77" s="6"/>
      <c r="E77" s="23">
        <v>18</v>
      </c>
      <c r="F77" s="23">
        <v>7</v>
      </c>
      <c r="G77" s="41">
        <v>350</v>
      </c>
      <c r="H77" s="23">
        <v>8.1999999999999993</v>
      </c>
      <c r="I77" s="23">
        <v>13.3</v>
      </c>
      <c r="J77" s="23">
        <v>13.9</v>
      </c>
      <c r="K77" s="37">
        <v>11.2</v>
      </c>
      <c r="L77" s="37">
        <v>12.1</v>
      </c>
      <c r="M77" s="37">
        <v>11.4</v>
      </c>
      <c r="N77" s="38">
        <f t="shared" si="0"/>
        <v>11.6</v>
      </c>
      <c r="O77" s="15">
        <v>5.7</v>
      </c>
      <c r="P77" s="15">
        <v>5.5</v>
      </c>
      <c r="Q77" s="20">
        <f t="shared" si="1"/>
        <v>5.6</v>
      </c>
      <c r="R77" s="34">
        <v>8.25</v>
      </c>
      <c r="S77" s="34">
        <v>8.2919999999999998</v>
      </c>
      <c r="T77" s="33">
        <f t="shared" si="2"/>
        <v>8.2710000000000008</v>
      </c>
      <c r="U77" s="34">
        <v>7.6559999999999997</v>
      </c>
      <c r="V77" s="34">
        <v>7.6340000000000003</v>
      </c>
      <c r="W77" s="35">
        <f t="shared" si="3"/>
        <v>7.6449999999999996</v>
      </c>
      <c r="X77" s="17">
        <v>2.194</v>
      </c>
      <c r="Y77" s="17">
        <v>2.1629999999999998</v>
      </c>
      <c r="Z77" s="21">
        <f t="shared" si="4"/>
        <v>2.1789999999999998</v>
      </c>
      <c r="AA77" s="30">
        <v>4.0979999999999999</v>
      </c>
      <c r="AB77" s="30">
        <v>4.1219999999999999</v>
      </c>
      <c r="AC77" s="31">
        <f t="shared" si="5"/>
        <v>4.1100000000000003</v>
      </c>
      <c r="AD77" s="19">
        <v>0.28100000000000003</v>
      </c>
      <c r="AE77" s="19">
        <v>0.29699999999999999</v>
      </c>
      <c r="AF77" s="21">
        <f t="shared" si="6"/>
        <v>0.28899999999999998</v>
      </c>
      <c r="AG77" s="30">
        <v>0.1</v>
      </c>
      <c r="AH77" s="30">
        <v>9.8000000000000004E-2</v>
      </c>
      <c r="AI77" s="31">
        <f t="shared" si="7"/>
        <v>9.9000000000000005E-2</v>
      </c>
      <c r="AJ77" s="30">
        <v>6.9000000000000006E-2</v>
      </c>
      <c r="AK77" s="30">
        <v>6.7000000000000004E-2</v>
      </c>
      <c r="AL77" s="31">
        <f t="shared" si="8"/>
        <v>6.8000000000000005E-2</v>
      </c>
      <c r="AM77" s="19">
        <v>42.97</v>
      </c>
      <c r="AN77" s="19">
        <v>43.097000000000001</v>
      </c>
      <c r="AO77" s="21">
        <f t="shared" si="9"/>
        <v>43.033999999999999</v>
      </c>
      <c r="AP77" s="27">
        <v>0.10829999999999999</v>
      </c>
      <c r="AQ77" s="27">
        <v>0.1072</v>
      </c>
      <c r="AR77" s="26">
        <f t="shared" si="10"/>
        <v>0.10780000000000001</v>
      </c>
      <c r="AS77" s="88">
        <v>9.77</v>
      </c>
      <c r="AT77" s="88">
        <v>-1.17</v>
      </c>
    </row>
    <row r="78" spans="1:47">
      <c r="A78" s="7" t="s">
        <v>140</v>
      </c>
      <c r="B78" s="5" t="s">
        <v>89</v>
      </c>
      <c r="C78" s="6" t="s">
        <v>42</v>
      </c>
      <c r="D78" s="6" t="s">
        <v>36</v>
      </c>
      <c r="E78" s="23">
        <v>19.5</v>
      </c>
      <c r="F78" s="23">
        <v>7.4</v>
      </c>
      <c r="G78" s="41">
        <v>210</v>
      </c>
      <c r="H78" s="23">
        <v>11.1</v>
      </c>
      <c r="I78" s="23">
        <v>1.9</v>
      </c>
      <c r="J78" s="24">
        <v>4.5</v>
      </c>
      <c r="K78" s="37">
        <v>3.26</v>
      </c>
      <c r="L78" s="37">
        <v>3.28</v>
      </c>
      <c r="M78" s="37"/>
      <c r="N78" s="39">
        <f t="shared" si="0"/>
        <v>3.3</v>
      </c>
      <c r="O78" s="15">
        <v>2.5</v>
      </c>
      <c r="P78" s="15">
        <v>2.6</v>
      </c>
      <c r="Q78" s="23">
        <f t="shared" si="1"/>
        <v>2.6</v>
      </c>
      <c r="R78" s="4">
        <v>2.4140000000000001</v>
      </c>
      <c r="S78" s="4">
        <v>2.444</v>
      </c>
      <c r="T78" s="33">
        <f t="shared" si="2"/>
        <v>2.4289999999999998</v>
      </c>
      <c r="U78" s="4">
        <v>2.4089999999999998</v>
      </c>
      <c r="V78" s="4">
        <v>2.4169999999999998</v>
      </c>
      <c r="W78" s="35">
        <f t="shared" si="3"/>
        <v>2.4129999999999998</v>
      </c>
      <c r="X78" s="4">
        <v>8.8999999999999996E-2</v>
      </c>
      <c r="Y78" s="4">
        <v>8.7999999999999995E-2</v>
      </c>
      <c r="Z78" s="21">
        <f t="shared" si="4"/>
        <v>8.8999999999999996E-2</v>
      </c>
      <c r="AA78" s="30">
        <v>1.92</v>
      </c>
      <c r="AB78" s="30">
        <v>1.9139999999999999</v>
      </c>
      <c r="AC78" s="31">
        <f t="shared" si="5"/>
        <v>1.917</v>
      </c>
      <c r="AD78" s="5">
        <v>0.111</v>
      </c>
      <c r="AE78" s="5">
        <v>0.113</v>
      </c>
      <c r="AF78" s="21">
        <f t="shared" si="6"/>
        <v>0.112</v>
      </c>
      <c r="AG78" s="34">
        <v>0.10299999999999999</v>
      </c>
      <c r="AH78" s="34">
        <v>0.10199999999999999</v>
      </c>
      <c r="AI78" s="31">
        <f t="shared" si="7"/>
        <v>0.10299999999999999</v>
      </c>
      <c r="AJ78" s="34">
        <v>9.0999999999999998E-2</v>
      </c>
      <c r="AK78" s="30">
        <v>9.1999999999999998E-2</v>
      </c>
      <c r="AL78" s="31">
        <f t="shared" si="8"/>
        <v>9.1999999999999998E-2</v>
      </c>
      <c r="AM78" s="5">
        <v>14.103999999999999</v>
      </c>
      <c r="AN78" s="5">
        <v>14.103999999999999</v>
      </c>
      <c r="AO78" s="21">
        <f t="shared" si="9"/>
        <v>14.103999999999999</v>
      </c>
      <c r="AP78" s="27">
        <v>6.2199999999999998E-2</v>
      </c>
      <c r="AQ78" s="27">
        <v>6.1499999999999999E-2</v>
      </c>
      <c r="AR78" s="26">
        <f t="shared" si="10"/>
        <v>6.1899999999999997E-2</v>
      </c>
      <c r="AS78" s="88">
        <v>9</v>
      </c>
      <c r="AT78" s="88">
        <v>5.53</v>
      </c>
    </row>
    <row r="79" spans="1:47">
      <c r="A79" s="8" t="s">
        <v>136</v>
      </c>
      <c r="B79" s="9" t="s">
        <v>34</v>
      </c>
      <c r="C79" s="10" t="s">
        <v>35</v>
      </c>
      <c r="D79" s="10" t="s">
        <v>36</v>
      </c>
      <c r="E79" s="20">
        <v>14.8</v>
      </c>
      <c r="F79" s="20">
        <v>7.7</v>
      </c>
      <c r="G79" s="48">
        <v>10.1</v>
      </c>
      <c r="H79" s="11">
        <v>96</v>
      </c>
      <c r="I79" s="20">
        <v>1.6</v>
      </c>
      <c r="J79" s="20">
        <v>3.4</v>
      </c>
      <c r="K79" s="14">
        <v>2</v>
      </c>
      <c r="L79" s="14">
        <v>2.1</v>
      </c>
      <c r="M79" s="14"/>
      <c r="N79" s="20">
        <f>AVERAGE(K79:M79)</f>
        <v>2.0499999999999998</v>
      </c>
      <c r="O79" s="36">
        <v>1.9</v>
      </c>
      <c r="P79" s="36">
        <v>1.8</v>
      </c>
      <c r="Q79" s="38">
        <f t="shared" ref="Q79:Q115" si="11">AVERAGE(O79:P79)</f>
        <v>1.85</v>
      </c>
      <c r="R79" s="16">
        <v>1.2170000000000001</v>
      </c>
      <c r="S79" s="16">
        <v>1.2130000000000001</v>
      </c>
      <c r="T79" s="22">
        <f t="shared" ref="T79:T115" si="12">AVERAGE(R79:S79)</f>
        <v>1.2150000000000001</v>
      </c>
      <c r="U79" s="16">
        <v>1.167</v>
      </c>
      <c r="V79" s="16">
        <v>1.171</v>
      </c>
      <c r="W79" s="22">
        <f>AVERAGE(U79:V79)</f>
        <v>1.169</v>
      </c>
      <c r="X79" s="16">
        <v>1.7999999999999999E-2</v>
      </c>
      <c r="Y79" s="16">
        <v>2.1000000000000001E-2</v>
      </c>
      <c r="Z79" s="21">
        <f t="shared" ref="Z79:Z115" si="13">AVERAGE(X79:Y79)</f>
        <v>1.95E-2</v>
      </c>
      <c r="AA79" s="18">
        <v>1.012</v>
      </c>
      <c r="AB79" s="18">
        <v>1.0549999999999999</v>
      </c>
      <c r="AC79" s="21">
        <f t="shared" ref="AC79:AC115" si="14">AVERAGE(AA79:AB79)</f>
        <v>1.0335000000000001</v>
      </c>
      <c r="AD79" s="18">
        <v>4.5999999999999999E-2</v>
      </c>
      <c r="AE79" s="18">
        <v>4.3999999999999997E-2</v>
      </c>
      <c r="AF79" s="21">
        <f t="shared" ref="AF79:AF115" si="15">AVERAGE(AD79:AE79)</f>
        <v>4.4999999999999998E-2</v>
      </c>
      <c r="AG79" s="18">
        <v>2.8000000000000001E-2</v>
      </c>
      <c r="AH79" s="18">
        <v>2.5000000000000001E-2</v>
      </c>
      <c r="AI79" s="21">
        <f>AVERAGE(AG79:AH79)</f>
        <v>2.6500000000000003E-2</v>
      </c>
      <c r="AJ79" s="18">
        <v>1.7999999999999999E-2</v>
      </c>
      <c r="AK79" s="18">
        <v>1.6E-2</v>
      </c>
      <c r="AL79" s="21">
        <f>AVERAGE(AJ79:AK79)</f>
        <v>1.7000000000000001E-2</v>
      </c>
      <c r="AM79" s="18">
        <v>8.0079999999999991</v>
      </c>
      <c r="AN79" s="18">
        <v>8.1319999999999997</v>
      </c>
      <c r="AO79" s="21">
        <f t="shared" ref="AO79:AO115" si="16">AVERAGE(AM79:AN79)</f>
        <v>8.07</v>
      </c>
      <c r="AP79" s="44">
        <v>7.0900000000000005E-2</v>
      </c>
      <c r="AQ79" s="44">
        <v>7.1199999999999999E-2</v>
      </c>
      <c r="AR79" s="45">
        <f t="shared" ref="AR79:AR115" si="17">AVERAGE(AP79:AQ79)</f>
        <v>7.1050000000000002E-2</v>
      </c>
      <c r="AS79" s="87">
        <v>3.3</v>
      </c>
      <c r="AT79" s="87">
        <v>2.48</v>
      </c>
    </row>
    <row r="80" spans="1:47">
      <c r="A80" s="7" t="s">
        <v>37</v>
      </c>
      <c r="B80" s="5" t="s">
        <v>38</v>
      </c>
      <c r="C80" s="6" t="s">
        <v>39</v>
      </c>
      <c r="D80" s="6" t="s">
        <v>40</v>
      </c>
      <c r="E80" s="23">
        <v>16.100000000000001</v>
      </c>
      <c r="F80" s="23">
        <v>7.3</v>
      </c>
      <c r="G80" s="49">
        <v>9.6999999999999993</v>
      </c>
      <c r="H80" s="24">
        <v>67</v>
      </c>
      <c r="I80" s="23">
        <v>1.7</v>
      </c>
      <c r="J80" s="23">
        <v>3.6</v>
      </c>
      <c r="K80" s="15">
        <v>2.7</v>
      </c>
      <c r="L80" s="15">
        <v>2.2999999999999998</v>
      </c>
      <c r="M80" s="15"/>
      <c r="N80" s="20">
        <f t="shared" ref="N80:N115" si="18">AVERAGE(K80:M80)</f>
        <v>2.5</v>
      </c>
      <c r="O80" s="37">
        <v>2.1</v>
      </c>
      <c r="P80" s="37">
        <v>1.9</v>
      </c>
      <c r="Q80" s="38">
        <f t="shared" si="11"/>
        <v>2</v>
      </c>
      <c r="R80" s="17">
        <v>1.246</v>
      </c>
      <c r="S80" s="17">
        <v>1.298</v>
      </c>
      <c r="T80" s="22">
        <f t="shared" si="12"/>
        <v>1.272</v>
      </c>
      <c r="U80" s="17">
        <v>1.2050000000000001</v>
      </c>
      <c r="V80" s="17">
        <v>1.216</v>
      </c>
      <c r="W80" s="22">
        <f t="shared" ref="W80:W115" si="19">AVERAGE(U80:V80)</f>
        <v>1.2105000000000001</v>
      </c>
      <c r="X80" s="17">
        <v>2.5999999999999999E-2</v>
      </c>
      <c r="Y80" s="17">
        <v>2.5999999999999999E-2</v>
      </c>
      <c r="Z80" s="21">
        <f t="shared" si="13"/>
        <v>2.5999999999999999E-2</v>
      </c>
      <c r="AA80" s="19">
        <v>1.0209999999999999</v>
      </c>
      <c r="AB80" s="19">
        <v>1.087</v>
      </c>
      <c r="AC80" s="21">
        <f t="shared" si="14"/>
        <v>1.0539999999999998</v>
      </c>
      <c r="AD80" s="19">
        <v>4.2000000000000003E-2</v>
      </c>
      <c r="AE80" s="19">
        <v>0.04</v>
      </c>
      <c r="AF80" s="21">
        <f t="shared" si="15"/>
        <v>4.1000000000000002E-2</v>
      </c>
      <c r="AG80" s="19">
        <v>1.7000000000000001E-2</v>
      </c>
      <c r="AH80" s="19">
        <v>1.6E-2</v>
      </c>
      <c r="AI80" s="21">
        <f t="shared" ref="AI80:AI115" si="20">AVERAGE(AG80:AH80)</f>
        <v>1.6500000000000001E-2</v>
      </c>
      <c r="AJ80" s="19">
        <v>7.0000000000000001E-3</v>
      </c>
      <c r="AK80" s="19">
        <v>6.0000000000000001E-3</v>
      </c>
      <c r="AL80" s="21">
        <f t="shared" ref="AL80:AL115" si="21">AVERAGE(AJ80:AK80)</f>
        <v>6.5000000000000006E-3</v>
      </c>
      <c r="AM80" s="19">
        <v>4.2240000000000002</v>
      </c>
      <c r="AN80" s="19">
        <v>4.4139999999999997</v>
      </c>
      <c r="AO80" s="21">
        <f t="shared" si="16"/>
        <v>4.319</v>
      </c>
      <c r="AP80" s="46">
        <v>7.4999999999999997E-2</v>
      </c>
      <c r="AQ80" s="46">
        <v>7.5499999999999998E-2</v>
      </c>
      <c r="AR80" s="47">
        <f t="shared" si="17"/>
        <v>7.5249999999999997E-2</v>
      </c>
      <c r="AS80" s="83">
        <v>3.52</v>
      </c>
      <c r="AT80" s="83">
        <v>3.04</v>
      </c>
      <c r="AU80" s="83"/>
    </row>
    <row r="81" spans="1:47">
      <c r="A81" s="7" t="s">
        <v>0</v>
      </c>
      <c r="B81" s="5" t="s">
        <v>41</v>
      </c>
      <c r="C81" s="6" t="s">
        <v>42</v>
      </c>
      <c r="D81" s="6" t="s">
        <v>36</v>
      </c>
      <c r="E81" s="23">
        <v>15.5</v>
      </c>
      <c r="F81" s="23">
        <v>6.9</v>
      </c>
      <c r="G81" s="49">
        <v>10</v>
      </c>
      <c r="H81" s="24">
        <v>75</v>
      </c>
      <c r="I81" s="23">
        <v>1.5</v>
      </c>
      <c r="J81" s="23">
        <v>3.3</v>
      </c>
      <c r="K81" s="15">
        <v>2.4</v>
      </c>
      <c r="L81" s="15">
        <v>2.4</v>
      </c>
      <c r="M81" s="15"/>
      <c r="N81" s="20">
        <f t="shared" si="18"/>
        <v>2.4</v>
      </c>
      <c r="O81" s="37">
        <v>2</v>
      </c>
      <c r="P81" s="37">
        <v>1.8</v>
      </c>
      <c r="Q81" s="38">
        <f t="shared" si="11"/>
        <v>1.9</v>
      </c>
      <c r="R81" s="17">
        <v>1.2549999999999999</v>
      </c>
      <c r="S81" s="17">
        <v>1.2989999999999999</v>
      </c>
      <c r="T81" s="22">
        <f t="shared" si="12"/>
        <v>1.2769999999999999</v>
      </c>
      <c r="U81" s="17">
        <v>1.1870000000000001</v>
      </c>
      <c r="V81" s="17">
        <v>1.1759999999999999</v>
      </c>
      <c r="W81" s="22">
        <f t="shared" si="19"/>
        <v>1.1815</v>
      </c>
      <c r="X81" s="17">
        <v>2.1999999999999999E-2</v>
      </c>
      <c r="Y81" s="17">
        <v>4.3999999999999997E-2</v>
      </c>
      <c r="Z81" s="21">
        <f t="shared" si="13"/>
        <v>3.3000000000000002E-2</v>
      </c>
      <c r="AA81" s="19">
        <v>1.016</v>
      </c>
      <c r="AB81" s="19">
        <v>1.085</v>
      </c>
      <c r="AC81" s="21">
        <f t="shared" si="14"/>
        <v>1.0505</v>
      </c>
      <c r="AD81" s="19">
        <v>4.5999999999999999E-2</v>
      </c>
      <c r="AE81" s="19">
        <v>4.2000000000000003E-2</v>
      </c>
      <c r="AF81" s="21">
        <f t="shared" si="15"/>
        <v>4.3999999999999997E-2</v>
      </c>
      <c r="AG81" s="19">
        <v>1.6E-2</v>
      </c>
      <c r="AH81" s="19">
        <v>1.6E-2</v>
      </c>
      <c r="AI81" s="21">
        <f t="shared" si="20"/>
        <v>1.6E-2</v>
      </c>
      <c r="AJ81" s="19">
        <v>8.0000000000000002E-3</v>
      </c>
      <c r="AK81" s="19">
        <v>8.0000000000000002E-3</v>
      </c>
      <c r="AL81" s="21">
        <f t="shared" si="21"/>
        <v>8.0000000000000002E-3</v>
      </c>
      <c r="AM81" s="19">
        <v>5.3869999999999996</v>
      </c>
      <c r="AN81" s="19">
        <v>5.62</v>
      </c>
      <c r="AO81" s="21">
        <f t="shared" si="16"/>
        <v>5.5034999999999998</v>
      </c>
      <c r="AP81" s="46">
        <v>7.3200000000000001E-2</v>
      </c>
      <c r="AQ81" s="46">
        <v>7.3999999999999996E-2</v>
      </c>
      <c r="AR81" s="47">
        <f t="shared" si="17"/>
        <v>7.3599999999999999E-2</v>
      </c>
      <c r="AS81" s="83">
        <v>3.61</v>
      </c>
      <c r="AT81" s="83">
        <v>2.16</v>
      </c>
    </row>
    <row r="82" spans="1:47">
      <c r="A82" s="7" t="s">
        <v>1</v>
      </c>
      <c r="B82" s="5" t="s">
        <v>43</v>
      </c>
      <c r="C82" s="6" t="s">
        <v>44</v>
      </c>
      <c r="D82" s="6" t="s">
        <v>45</v>
      </c>
      <c r="E82" s="23">
        <v>14.3</v>
      </c>
      <c r="F82" s="23">
        <v>7</v>
      </c>
      <c r="G82" s="49">
        <v>10.199999999999999</v>
      </c>
      <c r="H82" s="24">
        <v>56</v>
      </c>
      <c r="I82" s="23">
        <v>1.5</v>
      </c>
      <c r="J82" s="23">
        <v>3.1</v>
      </c>
      <c r="K82" s="15">
        <v>2</v>
      </c>
      <c r="L82" s="15">
        <v>2</v>
      </c>
      <c r="M82" s="15"/>
      <c r="N82" s="20">
        <f t="shared" si="18"/>
        <v>2</v>
      </c>
      <c r="O82" s="37">
        <v>1.9</v>
      </c>
      <c r="P82" s="37">
        <v>1.9</v>
      </c>
      <c r="Q82" s="38">
        <f t="shared" si="11"/>
        <v>1.9</v>
      </c>
      <c r="R82" s="17">
        <v>0.88200000000000001</v>
      </c>
      <c r="S82" s="17">
        <v>0.92200000000000004</v>
      </c>
      <c r="T82" s="22">
        <f t="shared" si="12"/>
        <v>0.90200000000000002</v>
      </c>
      <c r="U82" s="17">
        <v>0.88400000000000001</v>
      </c>
      <c r="V82" s="17">
        <v>0.88500000000000001</v>
      </c>
      <c r="W82" s="22">
        <f t="shared" si="19"/>
        <v>0.88450000000000006</v>
      </c>
      <c r="X82" s="17">
        <v>0.03</v>
      </c>
      <c r="Y82" s="17">
        <v>2.5999999999999999E-2</v>
      </c>
      <c r="Z82" s="21">
        <f t="shared" si="13"/>
        <v>2.7999999999999997E-2</v>
      </c>
      <c r="AA82" s="19">
        <v>0.72299999999999998</v>
      </c>
      <c r="AB82" s="19">
        <v>0.77800000000000002</v>
      </c>
      <c r="AC82" s="21">
        <f t="shared" si="14"/>
        <v>0.75049999999999994</v>
      </c>
      <c r="AD82" s="19">
        <v>3.5999999999999997E-2</v>
      </c>
      <c r="AE82" s="19">
        <v>3.4000000000000002E-2</v>
      </c>
      <c r="AF82" s="21">
        <f t="shared" si="15"/>
        <v>3.5000000000000003E-2</v>
      </c>
      <c r="AG82" s="19">
        <v>1.4999999999999999E-2</v>
      </c>
      <c r="AH82" s="19">
        <v>1.4E-2</v>
      </c>
      <c r="AI82" s="21">
        <f t="shared" si="20"/>
        <v>1.4499999999999999E-2</v>
      </c>
      <c r="AJ82" s="19">
        <v>8.0000000000000002E-3</v>
      </c>
      <c r="AK82" s="19">
        <v>8.0000000000000002E-3</v>
      </c>
      <c r="AL82" s="21">
        <f t="shared" si="21"/>
        <v>8.0000000000000002E-3</v>
      </c>
      <c r="AM82" s="19">
        <v>3.8530000000000002</v>
      </c>
      <c r="AN82" s="19">
        <v>4.03</v>
      </c>
      <c r="AO82" s="21">
        <f t="shared" si="16"/>
        <v>3.9415000000000004</v>
      </c>
      <c r="AP82" s="46">
        <v>7.8399999999999997E-2</v>
      </c>
      <c r="AQ82" s="46">
        <v>7.8899999999999998E-2</v>
      </c>
      <c r="AR82" s="47">
        <f t="shared" si="17"/>
        <v>7.8649999999999998E-2</v>
      </c>
      <c r="AS82" s="83">
        <v>1.81</v>
      </c>
      <c r="AT82" s="83">
        <v>2.2200000000000002</v>
      </c>
      <c r="AU82" s="83"/>
    </row>
    <row r="83" spans="1:47">
      <c r="A83" s="7" t="s">
        <v>2</v>
      </c>
      <c r="B83" s="5" t="s">
        <v>46</v>
      </c>
      <c r="C83" s="6" t="s">
        <v>47</v>
      </c>
      <c r="D83" s="6" t="s">
        <v>36</v>
      </c>
      <c r="E83" s="23">
        <v>15</v>
      </c>
      <c r="F83" s="23">
        <v>6.8</v>
      </c>
      <c r="G83" s="49">
        <v>10</v>
      </c>
      <c r="H83" s="24">
        <v>72</v>
      </c>
      <c r="I83" s="23">
        <v>1.6</v>
      </c>
      <c r="J83" s="23">
        <v>3.9</v>
      </c>
      <c r="K83" s="15">
        <v>2.4</v>
      </c>
      <c r="L83" s="15">
        <v>2.4</v>
      </c>
      <c r="M83" s="15"/>
      <c r="N83" s="20">
        <f t="shared" si="18"/>
        <v>2.4</v>
      </c>
      <c r="O83" s="37">
        <v>2.2000000000000002</v>
      </c>
      <c r="P83" s="37">
        <v>2</v>
      </c>
      <c r="Q83" s="38">
        <f t="shared" si="11"/>
        <v>2.1</v>
      </c>
      <c r="R83" s="17">
        <v>1.222</v>
      </c>
      <c r="S83" s="17">
        <v>1.254</v>
      </c>
      <c r="T83" s="22">
        <f t="shared" si="12"/>
        <v>1.238</v>
      </c>
      <c r="U83" s="17">
        <v>1.1479999999999999</v>
      </c>
      <c r="V83" s="17">
        <v>1.1539999999999999</v>
      </c>
      <c r="W83" s="22">
        <f t="shared" si="19"/>
        <v>1.1509999999999998</v>
      </c>
      <c r="X83" s="17">
        <v>2.5999999999999999E-2</v>
      </c>
      <c r="Y83" s="17">
        <v>2.7E-2</v>
      </c>
      <c r="Z83" s="21">
        <f t="shared" si="13"/>
        <v>2.6499999999999999E-2</v>
      </c>
      <c r="AA83" s="19">
        <v>0.98099999999999998</v>
      </c>
      <c r="AB83" s="19">
        <v>1.0449999999999999</v>
      </c>
      <c r="AC83" s="21">
        <f t="shared" si="14"/>
        <v>1.0129999999999999</v>
      </c>
      <c r="AD83" s="19">
        <v>5.6000000000000001E-2</v>
      </c>
      <c r="AE83" s="19">
        <v>5.6000000000000001E-2</v>
      </c>
      <c r="AF83" s="21">
        <f t="shared" si="15"/>
        <v>5.6000000000000001E-2</v>
      </c>
      <c r="AG83" s="19">
        <v>1.7000000000000001E-2</v>
      </c>
      <c r="AH83" s="19">
        <v>1.7000000000000001E-2</v>
      </c>
      <c r="AI83" s="21">
        <f t="shared" si="20"/>
        <v>1.7000000000000001E-2</v>
      </c>
      <c r="AJ83" s="19">
        <v>8.0000000000000002E-3</v>
      </c>
      <c r="AK83" s="19">
        <v>8.0000000000000002E-3</v>
      </c>
      <c r="AL83" s="21">
        <f t="shared" si="21"/>
        <v>8.0000000000000002E-3</v>
      </c>
      <c r="AM83" s="19">
        <v>5.157</v>
      </c>
      <c r="AN83" s="19">
        <v>5.3730000000000002</v>
      </c>
      <c r="AO83" s="21">
        <f t="shared" si="16"/>
        <v>5.2650000000000006</v>
      </c>
      <c r="AP83" s="46">
        <v>7.5300000000000006E-2</v>
      </c>
      <c r="AQ83" s="46">
        <v>7.6300000000000007E-2</v>
      </c>
      <c r="AR83" s="47">
        <f t="shared" si="17"/>
        <v>7.5800000000000006E-2</v>
      </c>
      <c r="AS83" s="83">
        <v>3.85</v>
      </c>
      <c r="AT83" s="83">
        <v>2.2599999999999998</v>
      </c>
    </row>
    <row r="84" spans="1:47">
      <c r="A84" s="7" t="s">
        <v>3</v>
      </c>
      <c r="B84" s="5" t="s">
        <v>46</v>
      </c>
      <c r="C84" s="6" t="s">
        <v>44</v>
      </c>
      <c r="D84" s="6" t="s">
        <v>48</v>
      </c>
      <c r="E84" s="23">
        <v>15.3</v>
      </c>
      <c r="F84" s="23">
        <v>6.9</v>
      </c>
      <c r="G84" s="49">
        <v>10</v>
      </c>
      <c r="H84" s="24">
        <v>82</v>
      </c>
      <c r="I84" s="23">
        <v>1.9</v>
      </c>
      <c r="J84" s="23">
        <v>3.7</v>
      </c>
      <c r="K84" s="15">
        <v>2.7</v>
      </c>
      <c r="L84" s="15">
        <v>2.5</v>
      </c>
      <c r="M84" s="15"/>
      <c r="N84" s="20">
        <f t="shared" si="18"/>
        <v>2.6</v>
      </c>
      <c r="O84" s="37">
        <v>2.5</v>
      </c>
      <c r="P84" s="37">
        <v>2.5</v>
      </c>
      <c r="Q84" s="38">
        <f t="shared" si="11"/>
        <v>2.5</v>
      </c>
      <c r="R84" s="17">
        <v>1.5349999999999999</v>
      </c>
      <c r="S84" s="17">
        <v>1.5409999999999999</v>
      </c>
      <c r="T84" s="22">
        <f t="shared" si="12"/>
        <v>1.5379999999999998</v>
      </c>
      <c r="U84" s="17">
        <v>1.4450000000000001</v>
      </c>
      <c r="V84" s="17">
        <v>1.474</v>
      </c>
      <c r="W84" s="22">
        <f t="shared" si="19"/>
        <v>1.4595</v>
      </c>
      <c r="X84" s="17">
        <v>7.5999999999999998E-2</v>
      </c>
      <c r="Y84" s="17">
        <v>8.1000000000000003E-2</v>
      </c>
      <c r="Z84" s="21">
        <f t="shared" si="13"/>
        <v>7.85E-2</v>
      </c>
      <c r="AA84" s="19">
        <v>1.179</v>
      </c>
      <c r="AB84" s="19">
        <v>1.24</v>
      </c>
      <c r="AC84" s="21">
        <f t="shared" si="14"/>
        <v>1.2095</v>
      </c>
      <c r="AD84" s="19">
        <v>7.1999999999999995E-2</v>
      </c>
      <c r="AE84" s="19">
        <v>7.1999999999999995E-2</v>
      </c>
      <c r="AF84" s="21">
        <f t="shared" si="15"/>
        <v>7.1999999999999995E-2</v>
      </c>
      <c r="AG84" s="19">
        <v>3.5999999999999997E-2</v>
      </c>
      <c r="AH84" s="19">
        <v>3.5000000000000003E-2</v>
      </c>
      <c r="AI84" s="21">
        <f t="shared" si="20"/>
        <v>3.5500000000000004E-2</v>
      </c>
      <c r="AJ84" s="19">
        <v>2.4E-2</v>
      </c>
      <c r="AK84" s="19">
        <v>2.4E-2</v>
      </c>
      <c r="AL84" s="21">
        <f t="shared" si="21"/>
        <v>2.4E-2</v>
      </c>
      <c r="AM84" s="19">
        <v>5.3940000000000001</v>
      </c>
      <c r="AN84" s="19">
        <v>5.6180000000000003</v>
      </c>
      <c r="AO84" s="21">
        <f t="shared" si="16"/>
        <v>5.5060000000000002</v>
      </c>
      <c r="AP84" s="46">
        <v>8.7499999999999994E-2</v>
      </c>
      <c r="AQ84" s="46">
        <v>8.7400000000000005E-2</v>
      </c>
      <c r="AR84" s="47">
        <f t="shared" si="17"/>
        <v>8.745E-2</v>
      </c>
      <c r="AS84" s="83">
        <v>4.38</v>
      </c>
      <c r="AT84" s="83">
        <v>2.2400000000000002</v>
      </c>
      <c r="AU84" s="83"/>
    </row>
    <row r="85" spans="1:47">
      <c r="A85" s="7" t="s">
        <v>4</v>
      </c>
      <c r="B85" s="5" t="s">
        <v>49</v>
      </c>
      <c r="C85" s="6" t="s">
        <v>44</v>
      </c>
      <c r="D85" s="6" t="s">
        <v>36</v>
      </c>
      <c r="E85" s="23">
        <v>14.9</v>
      </c>
      <c r="F85" s="23">
        <v>6.7</v>
      </c>
      <c r="G85" s="49">
        <v>10</v>
      </c>
      <c r="H85" s="24">
        <v>75</v>
      </c>
      <c r="I85" s="23">
        <v>1.3</v>
      </c>
      <c r="J85" s="23">
        <v>3.3</v>
      </c>
      <c r="K85" s="15">
        <v>2.2000000000000002</v>
      </c>
      <c r="L85" s="15">
        <v>2.2000000000000002</v>
      </c>
      <c r="M85" s="15"/>
      <c r="N85" s="20">
        <f t="shared" si="18"/>
        <v>2.2000000000000002</v>
      </c>
      <c r="O85" s="37">
        <v>1.9</v>
      </c>
      <c r="P85" s="37">
        <v>1.7</v>
      </c>
      <c r="Q85" s="38">
        <f t="shared" si="11"/>
        <v>1.7999999999999998</v>
      </c>
      <c r="R85" s="17">
        <v>1.272</v>
      </c>
      <c r="S85" s="17">
        <v>1.3180000000000001</v>
      </c>
      <c r="T85" s="22">
        <f t="shared" si="12"/>
        <v>1.2949999999999999</v>
      </c>
      <c r="U85" s="17">
        <v>1.226</v>
      </c>
      <c r="V85" s="17">
        <v>1.2110000000000001</v>
      </c>
      <c r="W85" s="22">
        <f t="shared" si="19"/>
        <v>1.2185000000000001</v>
      </c>
      <c r="X85" s="17">
        <v>2.5999999999999999E-2</v>
      </c>
      <c r="Y85" s="17">
        <v>2.7E-2</v>
      </c>
      <c r="Z85" s="21">
        <f t="shared" si="13"/>
        <v>2.6499999999999999E-2</v>
      </c>
      <c r="AA85" s="19">
        <v>1.0629999999999999</v>
      </c>
      <c r="AB85" s="19">
        <v>1.1180000000000001</v>
      </c>
      <c r="AC85" s="21">
        <f t="shared" si="14"/>
        <v>1.0905</v>
      </c>
      <c r="AD85" s="19">
        <v>4.5999999999999999E-2</v>
      </c>
      <c r="AE85" s="19">
        <v>4.5999999999999999E-2</v>
      </c>
      <c r="AF85" s="21">
        <f t="shared" si="15"/>
        <v>4.5999999999999999E-2</v>
      </c>
      <c r="AG85" s="19">
        <v>2.1000000000000001E-2</v>
      </c>
      <c r="AH85" s="19">
        <v>0.02</v>
      </c>
      <c r="AI85" s="21">
        <f t="shared" si="20"/>
        <v>2.0500000000000001E-2</v>
      </c>
      <c r="AJ85" s="19">
        <v>1.0999999999999999E-2</v>
      </c>
      <c r="AK85" s="19">
        <v>1.0999999999999999E-2</v>
      </c>
      <c r="AL85" s="21">
        <f t="shared" si="21"/>
        <v>1.0999999999999999E-2</v>
      </c>
      <c r="AM85" s="19">
        <v>5.391</v>
      </c>
      <c r="AN85" s="19">
        <v>5.5979999999999999</v>
      </c>
      <c r="AO85" s="21">
        <f t="shared" si="16"/>
        <v>5.4945000000000004</v>
      </c>
      <c r="AP85" s="46">
        <v>7.22E-2</v>
      </c>
      <c r="AQ85" s="46">
        <v>7.2800000000000004E-2</v>
      </c>
      <c r="AR85" s="47">
        <f t="shared" si="17"/>
        <v>7.2500000000000009E-2</v>
      </c>
      <c r="AS85" s="83">
        <v>3.64</v>
      </c>
      <c r="AT85" s="83">
        <v>1.17</v>
      </c>
    </row>
    <row r="86" spans="1:47">
      <c r="A86" s="7" t="s">
        <v>5</v>
      </c>
      <c r="B86" s="5" t="s">
        <v>50</v>
      </c>
      <c r="C86" s="6" t="s">
        <v>42</v>
      </c>
      <c r="D86" s="6" t="s">
        <v>51</v>
      </c>
      <c r="E86" s="23">
        <v>15.2</v>
      </c>
      <c r="F86" s="23">
        <v>7.7</v>
      </c>
      <c r="G86" s="49">
        <v>10.199999999999999</v>
      </c>
      <c r="H86" s="24">
        <v>82</v>
      </c>
      <c r="I86" s="23">
        <v>1.1000000000000001</v>
      </c>
      <c r="J86" s="23">
        <v>2.2000000000000002</v>
      </c>
      <c r="K86" s="15">
        <v>1.3</v>
      </c>
      <c r="L86" s="15">
        <v>1.3</v>
      </c>
      <c r="M86" s="15"/>
      <c r="N86" s="20">
        <f t="shared" si="18"/>
        <v>1.3</v>
      </c>
      <c r="O86" s="37">
        <v>1.2</v>
      </c>
      <c r="P86" s="37">
        <v>1.1000000000000001</v>
      </c>
      <c r="Q86" s="38">
        <f t="shared" si="11"/>
        <v>1.1499999999999999</v>
      </c>
      <c r="R86" s="17">
        <v>1.919</v>
      </c>
      <c r="S86" s="17">
        <v>1.927</v>
      </c>
      <c r="T86" s="22">
        <f t="shared" si="12"/>
        <v>1.923</v>
      </c>
      <c r="U86" s="17">
        <v>1.867</v>
      </c>
      <c r="V86" s="17">
        <v>1.88</v>
      </c>
      <c r="W86" s="22">
        <f t="shared" si="19"/>
        <v>1.8734999999999999</v>
      </c>
      <c r="X86" s="17">
        <v>2.8000000000000001E-2</v>
      </c>
      <c r="Y86" s="17">
        <v>2.7E-2</v>
      </c>
      <c r="Z86" s="21">
        <f t="shared" si="13"/>
        <v>2.75E-2</v>
      </c>
      <c r="AA86" s="19">
        <v>1.706</v>
      </c>
      <c r="AB86" s="19">
        <v>1.7889999999999999</v>
      </c>
      <c r="AC86" s="21">
        <f t="shared" si="14"/>
        <v>1.7475000000000001</v>
      </c>
      <c r="AD86" s="19">
        <v>9.6000000000000002E-2</v>
      </c>
      <c r="AE86" s="19">
        <v>9.7000000000000003E-2</v>
      </c>
      <c r="AF86" s="21">
        <f t="shared" si="15"/>
        <v>9.6500000000000002E-2</v>
      </c>
      <c r="AG86" s="19">
        <v>0.08</v>
      </c>
      <c r="AH86" s="19">
        <v>8.2000000000000003E-2</v>
      </c>
      <c r="AI86" s="21">
        <f t="shared" si="20"/>
        <v>8.1000000000000003E-2</v>
      </c>
      <c r="AJ86" s="19">
        <v>7.8E-2</v>
      </c>
      <c r="AK86" s="19">
        <v>0.08</v>
      </c>
      <c r="AL86" s="21">
        <f t="shared" si="21"/>
        <v>7.9000000000000001E-2</v>
      </c>
      <c r="AM86" s="19">
        <v>5.9240000000000004</v>
      </c>
      <c r="AN86" s="19">
        <v>6.1849999999999996</v>
      </c>
      <c r="AO86" s="21">
        <f t="shared" si="16"/>
        <v>6.0545</v>
      </c>
      <c r="AP86" s="46">
        <v>3.9699999999999999E-2</v>
      </c>
      <c r="AQ86" s="46">
        <v>4.2599999999999999E-2</v>
      </c>
      <c r="AR86" s="47">
        <f t="shared" si="17"/>
        <v>4.1149999999999999E-2</v>
      </c>
      <c r="AS86" s="83">
        <v>8.39</v>
      </c>
      <c r="AT86" s="83">
        <v>1.86</v>
      </c>
      <c r="AU86" s="83"/>
    </row>
    <row r="87" spans="1:47">
      <c r="A87" s="7" t="s">
        <v>6</v>
      </c>
      <c r="B87" s="5" t="s">
        <v>52</v>
      </c>
      <c r="C87" s="6" t="s">
        <v>53</v>
      </c>
      <c r="D87" s="6" t="s">
        <v>36</v>
      </c>
      <c r="E87" s="23">
        <v>15.7</v>
      </c>
      <c r="F87" s="23">
        <v>7.4</v>
      </c>
      <c r="G87" s="49">
        <v>10.199999999999999</v>
      </c>
      <c r="H87" s="24">
        <v>81</v>
      </c>
      <c r="I87" s="23">
        <v>1.5</v>
      </c>
      <c r="J87" s="23">
        <v>2.9</v>
      </c>
      <c r="K87" s="15">
        <v>2.1</v>
      </c>
      <c r="L87" s="15">
        <v>2.1</v>
      </c>
      <c r="M87" s="15"/>
      <c r="N87" s="20">
        <f t="shared" si="18"/>
        <v>2.1</v>
      </c>
      <c r="O87" s="37">
        <v>1.7</v>
      </c>
      <c r="P87" s="37">
        <v>1.6</v>
      </c>
      <c r="Q87" s="38">
        <f t="shared" si="11"/>
        <v>1.65</v>
      </c>
      <c r="R87" s="17">
        <v>1.605</v>
      </c>
      <c r="S87" s="17">
        <v>1.635</v>
      </c>
      <c r="T87" s="22">
        <f t="shared" si="12"/>
        <v>1.62</v>
      </c>
      <c r="U87" s="17">
        <v>1.5029999999999999</v>
      </c>
      <c r="V87" s="17">
        <v>1.4870000000000001</v>
      </c>
      <c r="W87" s="22">
        <f t="shared" si="19"/>
        <v>1.4950000000000001</v>
      </c>
      <c r="X87" s="17">
        <v>3.1E-2</v>
      </c>
      <c r="Y87" s="17">
        <v>3.5000000000000003E-2</v>
      </c>
      <c r="Z87" s="21">
        <f t="shared" si="13"/>
        <v>3.3000000000000002E-2</v>
      </c>
      <c r="AA87" s="19">
        <v>1.323</v>
      </c>
      <c r="AB87" s="19">
        <v>1.3939999999999999</v>
      </c>
      <c r="AC87" s="21">
        <f t="shared" si="14"/>
        <v>1.3584999999999998</v>
      </c>
      <c r="AD87" s="19">
        <v>6.8000000000000005E-2</v>
      </c>
      <c r="AE87" s="19">
        <v>7.0000000000000007E-2</v>
      </c>
      <c r="AF87" s="21">
        <f t="shared" si="15"/>
        <v>6.9000000000000006E-2</v>
      </c>
      <c r="AG87" s="19">
        <v>4.2000000000000003E-2</v>
      </c>
      <c r="AH87" s="19">
        <v>4.1000000000000002E-2</v>
      </c>
      <c r="AI87" s="21">
        <f t="shared" si="20"/>
        <v>4.1500000000000002E-2</v>
      </c>
      <c r="AJ87" s="19">
        <v>3.5999999999999997E-2</v>
      </c>
      <c r="AK87" s="19">
        <v>3.5999999999999997E-2</v>
      </c>
      <c r="AL87" s="21">
        <f t="shared" si="21"/>
        <v>3.5999999999999997E-2</v>
      </c>
      <c r="AM87" s="19">
        <v>5.6509999999999998</v>
      </c>
      <c r="AN87" s="19">
        <v>5.907</v>
      </c>
      <c r="AO87" s="21">
        <f t="shared" si="16"/>
        <v>5.7789999999999999</v>
      </c>
      <c r="AP87" s="46">
        <v>6.54E-2</v>
      </c>
      <c r="AQ87" s="46">
        <v>6.5699999999999995E-2</v>
      </c>
      <c r="AR87" s="47">
        <f t="shared" si="17"/>
        <v>6.5549999999999997E-2</v>
      </c>
      <c r="AS87" s="83">
        <v>5.99</v>
      </c>
      <c r="AT87" s="83">
        <v>1.63</v>
      </c>
    </row>
    <row r="88" spans="1:47">
      <c r="A88" s="7" t="s">
        <v>7</v>
      </c>
      <c r="B88" s="5" t="s">
        <v>54</v>
      </c>
      <c r="C88" s="6" t="s">
        <v>55</v>
      </c>
      <c r="D88" s="6" t="s">
        <v>56</v>
      </c>
      <c r="E88" s="23">
        <v>15.9</v>
      </c>
      <c r="F88" s="23">
        <v>7.3</v>
      </c>
      <c r="G88" s="49">
        <v>10.1</v>
      </c>
      <c r="H88" s="24">
        <v>84</v>
      </c>
      <c r="I88" s="23">
        <v>1.7</v>
      </c>
      <c r="J88" s="23">
        <v>3.8</v>
      </c>
      <c r="K88" s="15">
        <v>2.5</v>
      </c>
      <c r="L88" s="15">
        <v>2.2999999999999998</v>
      </c>
      <c r="M88" s="15"/>
      <c r="N88" s="20">
        <f t="shared" si="18"/>
        <v>2.4</v>
      </c>
      <c r="O88" s="37">
        <v>2.2999999999999998</v>
      </c>
      <c r="P88" s="37">
        <v>2.2000000000000002</v>
      </c>
      <c r="Q88" s="38">
        <f t="shared" si="11"/>
        <v>2.25</v>
      </c>
      <c r="R88" s="17">
        <v>1.3169999999999999</v>
      </c>
      <c r="S88" s="17">
        <v>1.327</v>
      </c>
      <c r="T88" s="22">
        <f t="shared" si="12"/>
        <v>1.3220000000000001</v>
      </c>
      <c r="U88" s="17">
        <v>1.25</v>
      </c>
      <c r="V88" s="17">
        <v>1.266</v>
      </c>
      <c r="W88" s="22">
        <f t="shared" si="19"/>
        <v>1.258</v>
      </c>
      <c r="X88" s="17">
        <v>4.2000000000000003E-2</v>
      </c>
      <c r="Y88" s="17">
        <v>4.2000000000000003E-2</v>
      </c>
      <c r="Z88" s="21">
        <f t="shared" si="13"/>
        <v>4.2000000000000003E-2</v>
      </c>
      <c r="AA88" s="19">
        <v>1.03</v>
      </c>
      <c r="AB88" s="19">
        <v>1.0780000000000001</v>
      </c>
      <c r="AC88" s="21">
        <f t="shared" si="14"/>
        <v>1.054</v>
      </c>
      <c r="AD88" s="19">
        <v>0.13200000000000001</v>
      </c>
      <c r="AE88" s="19">
        <v>0.13300000000000001</v>
      </c>
      <c r="AF88" s="21">
        <f t="shared" si="15"/>
        <v>0.13250000000000001</v>
      </c>
      <c r="AG88" s="19">
        <v>0.113</v>
      </c>
      <c r="AH88" s="19">
        <v>0.11600000000000001</v>
      </c>
      <c r="AI88" s="21">
        <f t="shared" si="20"/>
        <v>0.1145</v>
      </c>
      <c r="AJ88" s="19">
        <v>0.108</v>
      </c>
      <c r="AK88" s="19">
        <v>0.107</v>
      </c>
      <c r="AL88" s="21">
        <f t="shared" si="21"/>
        <v>0.1075</v>
      </c>
      <c r="AM88" s="19">
        <v>7.524</v>
      </c>
      <c r="AN88" s="19">
        <v>7.7290000000000001</v>
      </c>
      <c r="AO88" s="21">
        <f t="shared" si="16"/>
        <v>7.6265000000000001</v>
      </c>
      <c r="AP88" s="46">
        <v>7.5700000000000003E-2</v>
      </c>
      <c r="AQ88" s="46">
        <v>7.4999999999999997E-2</v>
      </c>
      <c r="AR88" s="47">
        <f t="shared" si="17"/>
        <v>7.535E-2</v>
      </c>
      <c r="AS88" s="83">
        <v>6.11</v>
      </c>
      <c r="AT88" s="83">
        <v>1.21</v>
      </c>
      <c r="AU88" s="83"/>
    </row>
    <row r="89" spans="1:47">
      <c r="A89" s="7" t="s">
        <v>8</v>
      </c>
      <c r="B89" s="5" t="s">
        <v>54</v>
      </c>
      <c r="C89" s="6" t="s">
        <v>44</v>
      </c>
      <c r="D89" s="6" t="s">
        <v>36</v>
      </c>
      <c r="E89" s="23">
        <v>16.100000000000001</v>
      </c>
      <c r="F89" s="23">
        <v>7.3</v>
      </c>
      <c r="G89" s="49">
        <v>10</v>
      </c>
      <c r="H89" s="24">
        <v>87</v>
      </c>
      <c r="I89" s="23">
        <v>1.9</v>
      </c>
      <c r="J89" s="23">
        <v>3.3</v>
      </c>
      <c r="K89" s="15">
        <v>2.4</v>
      </c>
      <c r="L89" s="15">
        <v>2.2000000000000002</v>
      </c>
      <c r="M89" s="15"/>
      <c r="N89" s="20">
        <f t="shared" si="18"/>
        <v>2.2999999999999998</v>
      </c>
      <c r="O89" s="37">
        <v>2</v>
      </c>
      <c r="P89" s="37">
        <v>1.9</v>
      </c>
      <c r="Q89" s="38">
        <f t="shared" si="11"/>
        <v>1.95</v>
      </c>
      <c r="R89" s="17">
        <v>1.8540000000000001</v>
      </c>
      <c r="S89" s="17">
        <v>1.903</v>
      </c>
      <c r="T89" s="22">
        <f t="shared" si="12"/>
        <v>1.8785000000000001</v>
      </c>
      <c r="U89" s="17">
        <v>1.724</v>
      </c>
      <c r="V89" s="17">
        <v>1.722</v>
      </c>
      <c r="W89" s="22">
        <f t="shared" si="19"/>
        <v>1.7229999999999999</v>
      </c>
      <c r="X89" s="17">
        <v>0.05</v>
      </c>
      <c r="Y89" s="17">
        <v>5.0999999999999997E-2</v>
      </c>
      <c r="Z89" s="21">
        <f t="shared" si="13"/>
        <v>5.0500000000000003E-2</v>
      </c>
      <c r="AA89" s="19">
        <v>1.5069999999999999</v>
      </c>
      <c r="AB89" s="19">
        <v>1.5960000000000001</v>
      </c>
      <c r="AC89" s="21">
        <f t="shared" si="14"/>
        <v>1.5514999999999999</v>
      </c>
      <c r="AD89" s="19">
        <v>0.13500000000000001</v>
      </c>
      <c r="AE89" s="19">
        <v>0.13800000000000001</v>
      </c>
      <c r="AF89" s="21">
        <f t="shared" si="15"/>
        <v>0.13650000000000001</v>
      </c>
      <c r="AG89" s="19">
        <v>0.10299999999999999</v>
      </c>
      <c r="AH89" s="19">
        <v>0.104</v>
      </c>
      <c r="AI89" s="21">
        <f t="shared" si="20"/>
        <v>0.10349999999999999</v>
      </c>
      <c r="AJ89" s="19">
        <v>0.10100000000000001</v>
      </c>
      <c r="AK89" s="19">
        <v>0.10199999999999999</v>
      </c>
      <c r="AL89" s="21">
        <f t="shared" si="21"/>
        <v>0.10150000000000001</v>
      </c>
      <c r="AM89" s="19">
        <v>5.992</v>
      </c>
      <c r="AN89" s="19">
        <v>6.3109999999999999</v>
      </c>
      <c r="AO89" s="21">
        <f t="shared" si="16"/>
        <v>6.1515000000000004</v>
      </c>
      <c r="AP89" s="46">
        <v>7.2599999999999998E-2</v>
      </c>
      <c r="AQ89" s="46">
        <v>7.3300000000000004E-2</v>
      </c>
      <c r="AR89" s="47">
        <f t="shared" si="17"/>
        <v>7.2950000000000001E-2</v>
      </c>
      <c r="AS89" s="83">
        <v>8.26</v>
      </c>
      <c r="AT89" s="83">
        <v>1.58</v>
      </c>
    </row>
    <row r="90" spans="1:47">
      <c r="A90" s="7" t="s">
        <v>9</v>
      </c>
      <c r="B90" s="5" t="s">
        <v>57</v>
      </c>
      <c r="C90" s="6" t="s">
        <v>58</v>
      </c>
      <c r="D90" s="6" t="s">
        <v>59</v>
      </c>
      <c r="E90" s="23">
        <v>16.8</v>
      </c>
      <c r="F90" s="23">
        <v>7.3</v>
      </c>
      <c r="G90" s="49">
        <v>9.6</v>
      </c>
      <c r="H90" s="24">
        <v>94</v>
      </c>
      <c r="I90" s="23">
        <v>1.2</v>
      </c>
      <c r="J90" s="23">
        <v>2.8</v>
      </c>
      <c r="K90" s="15">
        <v>1.9</v>
      </c>
      <c r="L90" s="15">
        <v>1.7</v>
      </c>
      <c r="M90" s="15"/>
      <c r="N90" s="20">
        <f t="shared" si="18"/>
        <v>1.7999999999999998</v>
      </c>
      <c r="O90" s="37">
        <v>1.6</v>
      </c>
      <c r="P90" s="37">
        <v>1.5</v>
      </c>
      <c r="Q90" s="38">
        <f t="shared" si="11"/>
        <v>1.55</v>
      </c>
      <c r="R90" s="17">
        <v>2.0470000000000002</v>
      </c>
      <c r="S90" s="17">
        <v>2.036</v>
      </c>
      <c r="T90" s="22">
        <f t="shared" si="12"/>
        <v>2.0415000000000001</v>
      </c>
      <c r="U90" s="17">
        <v>1.9830000000000001</v>
      </c>
      <c r="V90" s="17">
        <v>1.9670000000000001</v>
      </c>
      <c r="W90" s="22">
        <f t="shared" si="19"/>
        <v>1.9750000000000001</v>
      </c>
      <c r="X90" s="17">
        <v>1.9E-2</v>
      </c>
      <c r="Y90" s="17">
        <v>1.9E-2</v>
      </c>
      <c r="Z90" s="21">
        <f t="shared" si="13"/>
        <v>1.9E-2</v>
      </c>
      <c r="AA90" s="19">
        <v>1.7549999999999999</v>
      </c>
      <c r="AB90" s="19">
        <v>1.8560000000000001</v>
      </c>
      <c r="AC90" s="21">
        <f t="shared" si="14"/>
        <v>1.8054999999999999</v>
      </c>
      <c r="AD90" s="19">
        <v>3.6999999999999998E-2</v>
      </c>
      <c r="AE90" s="19">
        <v>3.5999999999999997E-2</v>
      </c>
      <c r="AF90" s="21">
        <f t="shared" si="15"/>
        <v>3.6499999999999998E-2</v>
      </c>
      <c r="AG90" s="19">
        <v>1.2E-2</v>
      </c>
      <c r="AH90" s="19">
        <v>0.01</v>
      </c>
      <c r="AI90" s="21">
        <f t="shared" si="20"/>
        <v>1.0999999999999999E-2</v>
      </c>
      <c r="AJ90" s="19">
        <v>5.0000000000000001E-3</v>
      </c>
      <c r="AK90" s="19">
        <v>5.0000000000000001E-3</v>
      </c>
      <c r="AL90" s="21">
        <f t="shared" si="21"/>
        <v>5.0000000000000001E-3</v>
      </c>
      <c r="AM90" s="19">
        <v>5.3079999999999998</v>
      </c>
      <c r="AN90" s="19">
        <v>5.58</v>
      </c>
      <c r="AO90" s="21">
        <f t="shared" si="16"/>
        <v>5.444</v>
      </c>
      <c r="AP90" s="46">
        <v>5.2400000000000002E-2</v>
      </c>
      <c r="AQ90" s="46">
        <v>5.3800000000000001E-2</v>
      </c>
      <c r="AR90" s="47">
        <f t="shared" si="17"/>
        <v>5.3100000000000001E-2</v>
      </c>
      <c r="AS90" s="83">
        <v>6.84</v>
      </c>
      <c r="AT90" s="83">
        <v>2.23</v>
      </c>
      <c r="AU90" s="83"/>
    </row>
    <row r="91" spans="1:47">
      <c r="A91" s="7" t="s">
        <v>10</v>
      </c>
      <c r="B91" s="5" t="s">
        <v>60</v>
      </c>
      <c r="C91" s="6" t="s">
        <v>61</v>
      </c>
      <c r="D91" s="6" t="s">
        <v>36</v>
      </c>
      <c r="E91" s="23">
        <v>16.3</v>
      </c>
      <c r="F91" s="23">
        <v>7.4</v>
      </c>
      <c r="G91" s="49">
        <v>10</v>
      </c>
      <c r="H91" s="24">
        <v>88</v>
      </c>
      <c r="I91" s="23">
        <v>0.8</v>
      </c>
      <c r="J91" s="23">
        <v>3</v>
      </c>
      <c r="K91" s="15">
        <v>2.2000000000000002</v>
      </c>
      <c r="L91" s="15">
        <v>2.1</v>
      </c>
      <c r="M91" s="15"/>
      <c r="N91" s="20">
        <f t="shared" si="18"/>
        <v>2.1500000000000004</v>
      </c>
      <c r="O91" s="37">
        <v>1.7</v>
      </c>
      <c r="P91" s="37">
        <v>1.6</v>
      </c>
      <c r="Q91" s="38">
        <f t="shared" si="11"/>
        <v>1.65</v>
      </c>
      <c r="R91" s="17">
        <v>1.7509999999999999</v>
      </c>
      <c r="S91" s="17">
        <v>1.75</v>
      </c>
      <c r="T91" s="22">
        <f t="shared" si="12"/>
        <v>1.7504999999999999</v>
      </c>
      <c r="U91" s="17">
        <v>1.6879999999999999</v>
      </c>
      <c r="V91" s="17">
        <v>1.6579999999999999</v>
      </c>
      <c r="W91" s="22">
        <f t="shared" si="19"/>
        <v>1.673</v>
      </c>
      <c r="X91" s="17">
        <v>3.7999999999999999E-2</v>
      </c>
      <c r="Y91" s="17">
        <v>3.6999999999999998E-2</v>
      </c>
      <c r="Z91" s="21">
        <f t="shared" si="13"/>
        <v>3.7499999999999999E-2</v>
      </c>
      <c r="AA91" s="19">
        <v>1.4830000000000001</v>
      </c>
      <c r="AB91" s="19">
        <v>1.544</v>
      </c>
      <c r="AC91" s="21">
        <f t="shared" si="14"/>
        <v>1.5135000000000001</v>
      </c>
      <c r="AD91" s="19">
        <v>7.1999999999999995E-2</v>
      </c>
      <c r="AE91" s="19">
        <v>7.0000000000000007E-2</v>
      </c>
      <c r="AF91" s="21">
        <f t="shared" si="15"/>
        <v>7.1000000000000008E-2</v>
      </c>
      <c r="AG91" s="19">
        <v>4.2999999999999997E-2</v>
      </c>
      <c r="AH91" s="19">
        <v>4.3999999999999997E-2</v>
      </c>
      <c r="AI91" s="21">
        <f t="shared" si="20"/>
        <v>4.3499999999999997E-2</v>
      </c>
      <c r="AJ91" s="19">
        <v>3.7999999999999999E-2</v>
      </c>
      <c r="AK91" s="19">
        <v>3.7999999999999999E-2</v>
      </c>
      <c r="AL91" s="21">
        <f t="shared" si="21"/>
        <v>3.7999999999999999E-2</v>
      </c>
      <c r="AM91" s="19">
        <v>5.8739999999999997</v>
      </c>
      <c r="AN91" s="19">
        <v>6.0869999999999997</v>
      </c>
      <c r="AO91" s="21">
        <f t="shared" si="16"/>
        <v>5.9804999999999993</v>
      </c>
      <c r="AP91" s="46">
        <v>6.7100000000000007E-2</v>
      </c>
      <c r="AQ91" s="46">
        <v>6.7000000000000004E-2</v>
      </c>
      <c r="AR91" s="47">
        <f t="shared" si="17"/>
        <v>6.7049999999999998E-2</v>
      </c>
      <c r="AS91" s="83">
        <v>6.5</v>
      </c>
      <c r="AT91" s="83">
        <v>1.95</v>
      </c>
    </row>
    <row r="92" spans="1:47">
      <c r="A92" s="7" t="s">
        <v>11</v>
      </c>
      <c r="B92" s="5" t="s">
        <v>108</v>
      </c>
      <c r="C92" s="6" t="s">
        <v>62</v>
      </c>
      <c r="D92" s="6" t="s">
        <v>63</v>
      </c>
      <c r="E92" s="23">
        <v>17</v>
      </c>
      <c r="F92" s="23">
        <v>7.4</v>
      </c>
      <c r="G92" s="49">
        <v>10</v>
      </c>
      <c r="H92" s="24">
        <v>114</v>
      </c>
      <c r="I92" s="23">
        <v>0.9</v>
      </c>
      <c r="J92" s="23">
        <v>4.4000000000000004</v>
      </c>
      <c r="K92" s="15">
        <v>3.1</v>
      </c>
      <c r="L92" s="15">
        <v>2.9</v>
      </c>
      <c r="M92" s="15"/>
      <c r="N92" s="20">
        <f t="shared" si="18"/>
        <v>3</v>
      </c>
      <c r="O92" s="37">
        <v>2.6</v>
      </c>
      <c r="P92" s="37">
        <v>2.4</v>
      </c>
      <c r="Q92" s="38">
        <f t="shared" si="11"/>
        <v>2.5</v>
      </c>
      <c r="R92" s="17">
        <v>2.3340000000000001</v>
      </c>
      <c r="S92" s="17">
        <v>2.3319999999999999</v>
      </c>
      <c r="T92" s="22">
        <f t="shared" si="12"/>
        <v>2.3330000000000002</v>
      </c>
      <c r="U92" s="17">
        <v>2.145</v>
      </c>
      <c r="V92" s="17">
        <v>2.1720000000000002</v>
      </c>
      <c r="W92" s="22">
        <f t="shared" si="19"/>
        <v>2.1585000000000001</v>
      </c>
      <c r="X92" s="17">
        <v>3.5999999999999997E-2</v>
      </c>
      <c r="Y92" s="17">
        <v>3.6999999999999998E-2</v>
      </c>
      <c r="Z92" s="21">
        <f t="shared" si="13"/>
        <v>3.6499999999999998E-2</v>
      </c>
      <c r="AA92" s="19">
        <v>1.9330000000000001</v>
      </c>
      <c r="AB92" s="19">
        <v>2.0299999999999998</v>
      </c>
      <c r="AC92" s="21">
        <f t="shared" si="14"/>
        <v>1.9815</v>
      </c>
      <c r="AD92" s="19">
        <v>7.8E-2</v>
      </c>
      <c r="AE92" s="19">
        <v>8.1000000000000003E-2</v>
      </c>
      <c r="AF92" s="21">
        <f t="shared" si="15"/>
        <v>7.9500000000000001E-2</v>
      </c>
      <c r="AG92" s="19">
        <v>5.6000000000000001E-2</v>
      </c>
      <c r="AH92" s="19">
        <v>5.6000000000000001E-2</v>
      </c>
      <c r="AI92" s="21">
        <f t="shared" si="20"/>
        <v>5.6000000000000001E-2</v>
      </c>
      <c r="AJ92" s="19">
        <v>4.7E-2</v>
      </c>
      <c r="AK92" s="19">
        <v>4.7E-2</v>
      </c>
      <c r="AL92" s="21">
        <f t="shared" si="21"/>
        <v>4.7E-2</v>
      </c>
      <c r="AM92" s="19">
        <v>7.3659999999999997</v>
      </c>
      <c r="AN92" s="19">
        <v>7.6719999999999997</v>
      </c>
      <c r="AO92" s="21">
        <f t="shared" si="16"/>
        <v>7.5190000000000001</v>
      </c>
      <c r="AP92" s="46">
        <v>9.6500000000000002E-2</v>
      </c>
      <c r="AQ92" s="46">
        <v>9.6500000000000002E-2</v>
      </c>
      <c r="AR92" s="47">
        <f t="shared" si="17"/>
        <v>9.6500000000000002E-2</v>
      </c>
      <c r="AS92" s="83">
        <v>5.18</v>
      </c>
      <c r="AT92" s="83">
        <v>2.31</v>
      </c>
      <c r="AU92" s="83"/>
    </row>
    <row r="93" spans="1:47">
      <c r="A93" s="7" t="s">
        <v>12</v>
      </c>
      <c r="B93" s="5" t="s">
        <v>64</v>
      </c>
      <c r="C93" s="6" t="s">
        <v>65</v>
      </c>
      <c r="D93" s="6" t="s">
        <v>36</v>
      </c>
      <c r="E93" s="23">
        <v>16.100000000000001</v>
      </c>
      <c r="F93" s="23">
        <v>7.1</v>
      </c>
      <c r="G93" s="49">
        <v>9.9</v>
      </c>
      <c r="H93" s="24">
        <v>99</v>
      </c>
      <c r="I93" s="23">
        <v>1</v>
      </c>
      <c r="J93" s="23">
        <v>3.2</v>
      </c>
      <c r="K93" s="15">
        <v>2.2999999999999998</v>
      </c>
      <c r="L93" s="15">
        <v>2.2999999999999998</v>
      </c>
      <c r="M93" s="15"/>
      <c r="N93" s="20">
        <f t="shared" si="18"/>
        <v>2.2999999999999998</v>
      </c>
      <c r="O93" s="37">
        <v>1.9</v>
      </c>
      <c r="P93" s="37">
        <v>1.8</v>
      </c>
      <c r="Q93" s="38">
        <f t="shared" si="11"/>
        <v>1.85</v>
      </c>
      <c r="R93" s="17">
        <v>1.849</v>
      </c>
      <c r="S93" s="17">
        <v>1.907</v>
      </c>
      <c r="T93" s="22">
        <f t="shared" si="12"/>
        <v>1.8780000000000001</v>
      </c>
      <c r="U93" s="17">
        <v>1.756</v>
      </c>
      <c r="V93" s="17">
        <v>1.7410000000000001</v>
      </c>
      <c r="W93" s="22">
        <f t="shared" si="19"/>
        <v>1.7484999999999999</v>
      </c>
      <c r="X93" s="17">
        <v>5.2999999999999999E-2</v>
      </c>
      <c r="Y93" s="17">
        <v>4.3999999999999997E-2</v>
      </c>
      <c r="Z93" s="21">
        <f t="shared" si="13"/>
        <v>4.8500000000000001E-2</v>
      </c>
      <c r="AA93" s="19">
        <v>1.546</v>
      </c>
      <c r="AB93" s="19">
        <v>1.6140000000000001</v>
      </c>
      <c r="AC93" s="21">
        <f t="shared" si="14"/>
        <v>1.58</v>
      </c>
      <c r="AD93" s="19">
        <v>7.2999999999999995E-2</v>
      </c>
      <c r="AE93" s="19">
        <v>7.4999999999999997E-2</v>
      </c>
      <c r="AF93" s="21">
        <f t="shared" si="15"/>
        <v>7.3999999999999996E-2</v>
      </c>
      <c r="AG93" s="19">
        <v>4.7E-2</v>
      </c>
      <c r="AH93" s="19">
        <v>4.7E-2</v>
      </c>
      <c r="AI93" s="21">
        <f t="shared" si="20"/>
        <v>4.7E-2</v>
      </c>
      <c r="AJ93" s="19">
        <v>4.2000000000000003E-2</v>
      </c>
      <c r="AK93" s="19">
        <v>4.2999999999999997E-2</v>
      </c>
      <c r="AL93" s="21">
        <f t="shared" si="21"/>
        <v>4.2499999999999996E-2</v>
      </c>
      <c r="AM93" s="19">
        <v>6.032</v>
      </c>
      <c r="AN93" s="19">
        <v>6.2380000000000004</v>
      </c>
      <c r="AO93" s="21">
        <f t="shared" si="16"/>
        <v>6.1349999999999998</v>
      </c>
      <c r="AP93" s="46">
        <v>6.9500000000000006E-2</v>
      </c>
      <c r="AQ93" s="46">
        <v>7.0099999999999996E-2</v>
      </c>
      <c r="AR93" s="47">
        <f t="shared" si="17"/>
        <v>6.9800000000000001E-2</v>
      </c>
      <c r="AS93" s="83">
        <v>6</v>
      </c>
      <c r="AT93" s="83">
        <v>1.41</v>
      </c>
    </row>
    <row r="94" spans="1:47">
      <c r="A94" s="7" t="s">
        <v>13</v>
      </c>
      <c r="B94" s="5" t="s">
        <v>66</v>
      </c>
      <c r="C94" s="6" t="s">
        <v>44</v>
      </c>
      <c r="D94" s="6" t="s">
        <v>67</v>
      </c>
      <c r="E94" s="23">
        <v>16.7</v>
      </c>
      <c r="F94" s="23">
        <v>7</v>
      </c>
      <c r="G94" s="49">
        <v>9</v>
      </c>
      <c r="H94" s="24">
        <v>107</v>
      </c>
      <c r="I94" s="23">
        <v>1.3</v>
      </c>
      <c r="J94" s="23">
        <v>6.4</v>
      </c>
      <c r="K94" s="15">
        <v>4.5</v>
      </c>
      <c r="L94" s="15">
        <v>4.5999999999999996</v>
      </c>
      <c r="M94" s="15"/>
      <c r="N94" s="20">
        <f t="shared" si="18"/>
        <v>4.55</v>
      </c>
      <c r="O94" s="37">
        <v>4</v>
      </c>
      <c r="P94" s="37">
        <v>3.8</v>
      </c>
      <c r="Q94" s="38">
        <f t="shared" si="11"/>
        <v>3.9</v>
      </c>
      <c r="R94" s="17">
        <v>2.9079999999999999</v>
      </c>
      <c r="S94" s="17">
        <v>2.9449999999999998</v>
      </c>
      <c r="T94" s="22">
        <f t="shared" si="12"/>
        <v>2.9264999999999999</v>
      </c>
      <c r="U94" s="17">
        <v>2.6909999999999998</v>
      </c>
      <c r="V94" s="17">
        <v>2.7069999999999999</v>
      </c>
      <c r="W94" s="22">
        <f t="shared" si="19"/>
        <v>2.6989999999999998</v>
      </c>
      <c r="X94" s="17">
        <v>3.6999999999999998E-2</v>
      </c>
      <c r="Y94" s="17">
        <v>3.6999999999999998E-2</v>
      </c>
      <c r="Z94" s="21">
        <f t="shared" si="13"/>
        <v>3.6999999999999998E-2</v>
      </c>
      <c r="AA94" s="19">
        <v>2.4260000000000002</v>
      </c>
      <c r="AB94" s="19">
        <v>2.4820000000000002</v>
      </c>
      <c r="AC94" s="21">
        <f t="shared" si="14"/>
        <v>2.4540000000000002</v>
      </c>
      <c r="AD94" s="19">
        <v>9.6000000000000002E-2</v>
      </c>
      <c r="AE94" s="19">
        <v>9.9000000000000005E-2</v>
      </c>
      <c r="AF94" s="21">
        <f t="shared" si="15"/>
        <v>9.7500000000000003E-2</v>
      </c>
      <c r="AG94" s="19">
        <v>6.3E-2</v>
      </c>
      <c r="AH94" s="19">
        <v>6.0999999999999999E-2</v>
      </c>
      <c r="AI94" s="21">
        <f t="shared" si="20"/>
        <v>6.2E-2</v>
      </c>
      <c r="AJ94" s="19">
        <v>0.05</v>
      </c>
      <c r="AK94" s="19">
        <v>4.9000000000000002E-2</v>
      </c>
      <c r="AL94" s="21">
        <f t="shared" si="21"/>
        <v>4.9500000000000002E-2</v>
      </c>
      <c r="AM94" s="19">
        <v>9.202</v>
      </c>
      <c r="AN94" s="19">
        <v>9.4420000000000002</v>
      </c>
      <c r="AO94" s="21">
        <f t="shared" si="16"/>
        <v>9.3219999999999992</v>
      </c>
      <c r="AP94" s="46">
        <v>0.14380000000000001</v>
      </c>
      <c r="AQ94" s="46">
        <v>0.1434</v>
      </c>
      <c r="AR94" s="47">
        <f t="shared" si="17"/>
        <v>0.14360000000000001</v>
      </c>
      <c r="AS94" s="83">
        <v>7.27</v>
      </c>
      <c r="AT94" s="83">
        <v>1.99</v>
      </c>
      <c r="AU94" s="83"/>
    </row>
    <row r="95" spans="1:47">
      <c r="A95" s="7" t="s">
        <v>14</v>
      </c>
      <c r="B95" s="5" t="s">
        <v>64</v>
      </c>
      <c r="C95" s="6" t="s">
        <v>68</v>
      </c>
      <c r="D95" s="6" t="s">
        <v>36</v>
      </c>
      <c r="E95" s="23">
        <v>16</v>
      </c>
      <c r="F95" s="23">
        <v>7.2</v>
      </c>
      <c r="G95" s="49">
        <v>9.9</v>
      </c>
      <c r="H95" s="24">
        <v>119</v>
      </c>
      <c r="I95" s="23">
        <v>1</v>
      </c>
      <c r="J95" s="23">
        <v>3.9</v>
      </c>
      <c r="K95" s="15">
        <v>2.7</v>
      </c>
      <c r="L95" s="15">
        <v>2.5</v>
      </c>
      <c r="M95" s="15"/>
      <c r="N95" s="20">
        <f t="shared" si="18"/>
        <v>2.6</v>
      </c>
      <c r="O95" s="37">
        <v>2.2000000000000002</v>
      </c>
      <c r="P95" s="37">
        <v>2</v>
      </c>
      <c r="Q95" s="38">
        <f t="shared" si="11"/>
        <v>2.1</v>
      </c>
      <c r="R95" s="17">
        <v>1.9630000000000001</v>
      </c>
      <c r="S95" s="17">
        <v>1.919</v>
      </c>
      <c r="T95" s="22">
        <f t="shared" si="12"/>
        <v>1.9410000000000001</v>
      </c>
      <c r="U95" s="17">
        <v>1.831</v>
      </c>
      <c r="V95" s="17">
        <v>1.831</v>
      </c>
      <c r="W95" s="22">
        <f t="shared" si="19"/>
        <v>1.831</v>
      </c>
      <c r="X95" s="17">
        <v>4.3999999999999997E-2</v>
      </c>
      <c r="Y95" s="17">
        <v>4.1000000000000002E-2</v>
      </c>
      <c r="Z95" s="21">
        <f t="shared" si="13"/>
        <v>4.2499999999999996E-2</v>
      </c>
      <c r="AA95" s="19">
        <v>1.6259999999999999</v>
      </c>
      <c r="AB95" s="19">
        <v>1.7130000000000001</v>
      </c>
      <c r="AC95" s="21">
        <f t="shared" si="14"/>
        <v>1.6695</v>
      </c>
      <c r="AD95" s="19">
        <v>7.8E-2</v>
      </c>
      <c r="AE95" s="19">
        <v>7.4999999999999997E-2</v>
      </c>
      <c r="AF95" s="21">
        <f t="shared" si="15"/>
        <v>7.6499999999999999E-2</v>
      </c>
      <c r="AG95" s="19">
        <v>0.05</v>
      </c>
      <c r="AH95" s="19">
        <v>5.0999999999999997E-2</v>
      </c>
      <c r="AI95" s="21">
        <f t="shared" si="20"/>
        <v>5.0500000000000003E-2</v>
      </c>
      <c r="AJ95" s="19">
        <v>4.4999999999999998E-2</v>
      </c>
      <c r="AK95" s="19">
        <v>4.3999999999999997E-2</v>
      </c>
      <c r="AL95" s="21">
        <f t="shared" si="21"/>
        <v>4.4499999999999998E-2</v>
      </c>
      <c r="AM95" s="19">
        <v>6.282</v>
      </c>
      <c r="AN95" s="19">
        <v>6.5369999999999999</v>
      </c>
      <c r="AO95" s="21">
        <f t="shared" si="16"/>
        <v>6.4094999999999995</v>
      </c>
      <c r="AP95" s="46">
        <v>7.7299999999999994E-2</v>
      </c>
      <c r="AQ95" s="46">
        <v>7.8700000000000006E-2</v>
      </c>
      <c r="AR95" s="47">
        <f t="shared" si="17"/>
        <v>7.8E-2</v>
      </c>
      <c r="AS95" s="83">
        <v>6.14</v>
      </c>
      <c r="AT95" s="83">
        <v>1.89</v>
      </c>
    </row>
    <row r="96" spans="1:47">
      <c r="A96" s="7" t="s">
        <v>15</v>
      </c>
      <c r="B96" s="5" t="s">
        <v>69</v>
      </c>
      <c r="C96" s="6" t="s">
        <v>70</v>
      </c>
      <c r="D96" s="6" t="s">
        <v>71</v>
      </c>
      <c r="E96" s="23">
        <v>18</v>
      </c>
      <c r="F96" s="23">
        <v>6.9</v>
      </c>
      <c r="G96" s="49">
        <v>9</v>
      </c>
      <c r="H96" s="24">
        <v>190</v>
      </c>
      <c r="I96" s="23">
        <v>1</v>
      </c>
      <c r="J96" s="23">
        <v>3.3</v>
      </c>
      <c r="K96" s="15">
        <v>2.5</v>
      </c>
      <c r="L96" s="15">
        <v>2.4</v>
      </c>
      <c r="M96" s="15"/>
      <c r="N96" s="20">
        <f t="shared" si="18"/>
        <v>2.4500000000000002</v>
      </c>
      <c r="O96" s="37">
        <v>2.1</v>
      </c>
      <c r="P96" s="37">
        <v>2.1</v>
      </c>
      <c r="Q96" s="38">
        <f t="shared" si="11"/>
        <v>2.1</v>
      </c>
      <c r="R96" s="17">
        <v>1.2250000000000001</v>
      </c>
      <c r="S96" s="17">
        <v>1.2250000000000001</v>
      </c>
      <c r="T96" s="22">
        <f t="shared" si="12"/>
        <v>1.2250000000000001</v>
      </c>
      <c r="U96" s="17">
        <v>1.1240000000000001</v>
      </c>
      <c r="V96" s="17">
        <v>1.1339999999999999</v>
      </c>
      <c r="W96" s="22">
        <f t="shared" si="19"/>
        <v>1.129</v>
      </c>
      <c r="X96" s="17">
        <v>3.4000000000000002E-2</v>
      </c>
      <c r="Y96" s="17">
        <v>3.2000000000000001E-2</v>
      </c>
      <c r="Z96" s="21">
        <f t="shared" si="13"/>
        <v>3.3000000000000002E-2</v>
      </c>
      <c r="AA96" s="19">
        <v>0.97099999999999997</v>
      </c>
      <c r="AB96" s="19">
        <v>1.006</v>
      </c>
      <c r="AC96" s="21">
        <f t="shared" si="14"/>
        <v>0.98849999999999993</v>
      </c>
      <c r="AD96" s="19">
        <v>3.3000000000000002E-2</v>
      </c>
      <c r="AE96" s="19">
        <v>3.2000000000000001E-2</v>
      </c>
      <c r="AF96" s="21">
        <f t="shared" si="15"/>
        <v>3.2500000000000001E-2</v>
      </c>
      <c r="AG96" s="19">
        <v>1.4E-2</v>
      </c>
      <c r="AH96" s="19">
        <v>1.2E-2</v>
      </c>
      <c r="AI96" s="21">
        <f t="shared" si="20"/>
        <v>1.3000000000000001E-2</v>
      </c>
      <c r="AJ96" s="19">
        <v>3.0000000000000001E-3</v>
      </c>
      <c r="AK96" s="19">
        <v>4.0000000000000001E-3</v>
      </c>
      <c r="AL96" s="21">
        <f t="shared" si="21"/>
        <v>3.5000000000000001E-3</v>
      </c>
      <c r="AM96" s="19">
        <v>6.3120000000000003</v>
      </c>
      <c r="AN96" s="19">
        <v>6.4930000000000003</v>
      </c>
      <c r="AO96" s="21">
        <f t="shared" si="16"/>
        <v>6.4024999999999999</v>
      </c>
      <c r="AP96" s="46">
        <v>6.2700000000000006E-2</v>
      </c>
      <c r="AQ96" s="46">
        <v>6.4799999999999996E-2</v>
      </c>
      <c r="AR96" s="47">
        <f t="shared" si="17"/>
        <v>6.3750000000000001E-2</v>
      </c>
      <c r="AS96" s="83">
        <v>5.1100000000000003</v>
      </c>
      <c r="AT96" s="83">
        <v>2.8</v>
      </c>
      <c r="AU96" s="83"/>
    </row>
    <row r="97" spans="1:47">
      <c r="A97" s="7" t="s">
        <v>16</v>
      </c>
      <c r="B97" s="5" t="s">
        <v>72</v>
      </c>
      <c r="C97" s="6" t="s">
        <v>73</v>
      </c>
      <c r="D97" s="6" t="s">
        <v>36</v>
      </c>
      <c r="E97" s="23">
        <v>16.100000000000001</v>
      </c>
      <c r="F97" s="23">
        <v>7.1</v>
      </c>
      <c r="G97" s="49">
        <v>9.8000000000000007</v>
      </c>
      <c r="H97" s="24">
        <v>109</v>
      </c>
      <c r="I97" s="23">
        <v>0.9</v>
      </c>
      <c r="J97" s="23">
        <v>3.8</v>
      </c>
      <c r="K97" s="15">
        <v>2.5</v>
      </c>
      <c r="L97" s="15">
        <v>2.5</v>
      </c>
      <c r="M97" s="15"/>
      <c r="N97" s="20">
        <f t="shared" si="18"/>
        <v>2.5</v>
      </c>
      <c r="O97" s="37">
        <v>2.1</v>
      </c>
      <c r="P97" s="37">
        <v>2</v>
      </c>
      <c r="Q97" s="38">
        <f t="shared" si="11"/>
        <v>2.0499999999999998</v>
      </c>
      <c r="R97" s="17">
        <v>1.8420000000000001</v>
      </c>
      <c r="S97" s="17">
        <v>1.833</v>
      </c>
      <c r="T97" s="22">
        <f t="shared" si="12"/>
        <v>1.8374999999999999</v>
      </c>
      <c r="U97" s="17">
        <v>1.7110000000000001</v>
      </c>
      <c r="V97" s="17">
        <v>1.6990000000000001</v>
      </c>
      <c r="W97" s="22">
        <f t="shared" si="19"/>
        <v>1.7050000000000001</v>
      </c>
      <c r="X97" s="17">
        <v>3.9E-2</v>
      </c>
      <c r="Y97" s="17">
        <v>0.04</v>
      </c>
      <c r="Z97" s="21">
        <f t="shared" si="13"/>
        <v>3.95E-2</v>
      </c>
      <c r="AA97" s="19">
        <v>1.52</v>
      </c>
      <c r="AB97" s="19">
        <v>1.57</v>
      </c>
      <c r="AC97" s="21">
        <f t="shared" si="14"/>
        <v>1.5449999999999999</v>
      </c>
      <c r="AD97" s="19">
        <v>7.0999999999999994E-2</v>
      </c>
      <c r="AE97" s="19">
        <v>7.1999999999999995E-2</v>
      </c>
      <c r="AF97" s="21">
        <f t="shared" si="15"/>
        <v>7.1499999999999994E-2</v>
      </c>
      <c r="AG97" s="19">
        <v>4.2000000000000003E-2</v>
      </c>
      <c r="AH97" s="19">
        <v>4.2999999999999997E-2</v>
      </c>
      <c r="AI97" s="21">
        <f t="shared" si="20"/>
        <v>4.2499999999999996E-2</v>
      </c>
      <c r="AJ97" s="19">
        <v>3.7999999999999999E-2</v>
      </c>
      <c r="AK97" s="19">
        <v>3.7999999999999999E-2</v>
      </c>
      <c r="AL97" s="21">
        <f t="shared" si="21"/>
        <v>3.7999999999999999E-2</v>
      </c>
      <c r="AM97" s="19">
        <v>6.1230000000000002</v>
      </c>
      <c r="AN97" s="19">
        <v>6.3259999999999996</v>
      </c>
      <c r="AO97" s="21">
        <f t="shared" si="16"/>
        <v>6.2244999999999999</v>
      </c>
      <c r="AP97" s="46">
        <v>7.2700000000000001E-2</v>
      </c>
      <c r="AQ97" s="46">
        <v>7.4499999999999997E-2</v>
      </c>
      <c r="AR97" s="47">
        <f t="shared" si="17"/>
        <v>7.3599999999999999E-2</v>
      </c>
      <c r="AS97" s="83">
        <v>5.9</v>
      </c>
      <c r="AT97" s="83">
        <v>1.97</v>
      </c>
    </row>
    <row r="98" spans="1:47">
      <c r="A98" s="7" t="s">
        <v>17</v>
      </c>
      <c r="B98" s="5" t="s">
        <v>74</v>
      </c>
      <c r="C98" s="6" t="s">
        <v>75</v>
      </c>
      <c r="D98" s="6" t="s">
        <v>76</v>
      </c>
      <c r="E98" s="23">
        <v>16.3</v>
      </c>
      <c r="F98" s="23">
        <v>7.1</v>
      </c>
      <c r="G98" s="49">
        <v>10</v>
      </c>
      <c r="H98" s="24">
        <v>156</v>
      </c>
      <c r="I98" s="23">
        <v>1.2</v>
      </c>
      <c r="J98" s="23">
        <v>4.0999999999999996</v>
      </c>
      <c r="K98" s="15">
        <v>2.9</v>
      </c>
      <c r="L98" s="15">
        <v>3</v>
      </c>
      <c r="M98" s="15"/>
      <c r="N98" s="20">
        <f t="shared" si="18"/>
        <v>2.95</v>
      </c>
      <c r="O98" s="37">
        <v>2.2999999999999998</v>
      </c>
      <c r="P98" s="37">
        <v>2.2999999999999998</v>
      </c>
      <c r="Q98" s="38">
        <f t="shared" si="11"/>
        <v>2.2999999999999998</v>
      </c>
      <c r="R98" s="17">
        <v>2.3159999999999998</v>
      </c>
      <c r="S98" s="17">
        <v>2.2989999999999999</v>
      </c>
      <c r="T98" s="22">
        <f t="shared" si="12"/>
        <v>2.3075000000000001</v>
      </c>
      <c r="U98" s="17">
        <v>2.1419999999999999</v>
      </c>
      <c r="V98" s="17">
        <v>2.1539999999999999</v>
      </c>
      <c r="W98" s="22">
        <f t="shared" si="19"/>
        <v>2.1479999999999997</v>
      </c>
      <c r="X98" s="17">
        <v>6.8000000000000005E-2</v>
      </c>
      <c r="Y98" s="17">
        <v>6.4000000000000001E-2</v>
      </c>
      <c r="Z98" s="21">
        <f t="shared" si="13"/>
        <v>6.6000000000000003E-2</v>
      </c>
      <c r="AA98" s="19">
        <v>1.885</v>
      </c>
      <c r="AB98" s="19">
        <v>1.903</v>
      </c>
      <c r="AC98" s="21">
        <f t="shared" si="14"/>
        <v>1.8940000000000001</v>
      </c>
      <c r="AD98" s="19">
        <v>0.09</v>
      </c>
      <c r="AE98" s="19">
        <v>9.1999999999999998E-2</v>
      </c>
      <c r="AF98" s="21">
        <f t="shared" si="15"/>
        <v>9.0999999999999998E-2</v>
      </c>
      <c r="AG98" s="19">
        <v>5.8999999999999997E-2</v>
      </c>
      <c r="AH98" s="19">
        <v>5.8000000000000003E-2</v>
      </c>
      <c r="AI98" s="21">
        <f t="shared" si="20"/>
        <v>5.8499999999999996E-2</v>
      </c>
      <c r="AJ98" s="19">
        <v>5.0999999999999997E-2</v>
      </c>
      <c r="AK98" s="19">
        <v>5.1999999999999998E-2</v>
      </c>
      <c r="AL98" s="21">
        <f t="shared" si="21"/>
        <v>5.1499999999999997E-2</v>
      </c>
      <c r="AM98" s="19">
        <v>9.0280000000000005</v>
      </c>
      <c r="AN98" s="19">
        <v>9.0790000000000006</v>
      </c>
      <c r="AO98" s="21">
        <f t="shared" si="16"/>
        <v>9.0534999999999997</v>
      </c>
      <c r="AP98" s="46">
        <v>7.8299999999999995E-2</v>
      </c>
      <c r="AQ98" s="46">
        <v>7.9600000000000004E-2</v>
      </c>
      <c r="AR98" s="47">
        <f t="shared" si="17"/>
        <v>7.8949999999999992E-2</v>
      </c>
      <c r="AS98" s="83">
        <v>6.79</v>
      </c>
      <c r="AT98" s="83">
        <v>2.69</v>
      </c>
      <c r="AU98" s="83"/>
    </row>
    <row r="99" spans="1:47">
      <c r="A99" s="7" t="s">
        <v>18</v>
      </c>
      <c r="B99" s="5" t="s">
        <v>109</v>
      </c>
      <c r="C99" s="6" t="s">
        <v>77</v>
      </c>
      <c r="D99" s="6" t="s">
        <v>36</v>
      </c>
      <c r="E99" s="23">
        <v>16.5</v>
      </c>
      <c r="F99" s="23">
        <v>7.2</v>
      </c>
      <c r="G99" s="49">
        <v>9.6999999999999993</v>
      </c>
      <c r="H99" s="24">
        <v>131</v>
      </c>
      <c r="I99" s="23">
        <v>1.5</v>
      </c>
      <c r="J99" s="23">
        <v>4.3</v>
      </c>
      <c r="K99" s="15">
        <v>2.8</v>
      </c>
      <c r="L99" s="15">
        <v>3.1</v>
      </c>
      <c r="M99" s="15"/>
      <c r="N99" s="20">
        <f t="shared" si="18"/>
        <v>2.95</v>
      </c>
      <c r="O99" s="37">
        <v>2.2000000000000002</v>
      </c>
      <c r="P99" s="37">
        <v>2.2999999999999998</v>
      </c>
      <c r="Q99" s="38">
        <f t="shared" si="11"/>
        <v>2.25</v>
      </c>
      <c r="R99" s="17">
        <v>2.1850000000000001</v>
      </c>
      <c r="S99" s="17">
        <v>2.2120000000000002</v>
      </c>
      <c r="T99" s="22">
        <f t="shared" si="12"/>
        <v>2.1985000000000001</v>
      </c>
      <c r="U99" s="17">
        <v>2.0019999999999998</v>
      </c>
      <c r="V99" s="17">
        <v>1.9970000000000001</v>
      </c>
      <c r="W99" s="22">
        <f t="shared" si="19"/>
        <v>1.9994999999999998</v>
      </c>
      <c r="X99" s="17">
        <v>0.1</v>
      </c>
      <c r="Y99" s="17">
        <v>0.1</v>
      </c>
      <c r="Z99" s="21">
        <f t="shared" si="13"/>
        <v>0.1</v>
      </c>
      <c r="AA99" s="19">
        <v>1.724</v>
      </c>
      <c r="AB99" s="19">
        <v>1.776</v>
      </c>
      <c r="AC99" s="21">
        <f t="shared" si="14"/>
        <v>1.75</v>
      </c>
      <c r="AD99" s="19">
        <v>9.4E-2</v>
      </c>
      <c r="AE99" s="19">
        <v>9.9000000000000005E-2</v>
      </c>
      <c r="AF99" s="21">
        <f t="shared" si="15"/>
        <v>9.6500000000000002E-2</v>
      </c>
      <c r="AG99" s="19">
        <v>5.2999999999999999E-2</v>
      </c>
      <c r="AH99" s="19">
        <v>5.2999999999999999E-2</v>
      </c>
      <c r="AI99" s="21">
        <f t="shared" si="20"/>
        <v>5.2999999999999999E-2</v>
      </c>
      <c r="AJ99" s="19">
        <v>4.4999999999999998E-2</v>
      </c>
      <c r="AK99" s="19">
        <v>4.7E-2</v>
      </c>
      <c r="AL99" s="21">
        <f t="shared" si="21"/>
        <v>4.5999999999999999E-2</v>
      </c>
      <c r="AM99" s="19">
        <v>7.8380000000000001</v>
      </c>
      <c r="AN99" s="19">
        <v>8.0120000000000005</v>
      </c>
      <c r="AO99" s="21">
        <f t="shared" si="16"/>
        <v>7.9250000000000007</v>
      </c>
      <c r="AP99" s="46">
        <v>7.5700000000000003E-2</v>
      </c>
      <c r="AQ99" s="46">
        <v>7.6999999999999999E-2</v>
      </c>
      <c r="AR99" s="47">
        <f t="shared" si="17"/>
        <v>7.6350000000000001E-2</v>
      </c>
      <c r="AS99" s="83">
        <v>6.79</v>
      </c>
      <c r="AT99" s="83">
        <v>2.4900000000000002</v>
      </c>
    </row>
    <row r="100" spans="1:47">
      <c r="A100" s="7" t="s">
        <v>19</v>
      </c>
      <c r="B100" s="5" t="s">
        <v>78</v>
      </c>
      <c r="C100" s="6" t="s">
        <v>44</v>
      </c>
      <c r="D100" s="6" t="s">
        <v>79</v>
      </c>
      <c r="E100" s="23">
        <v>15.9</v>
      </c>
      <c r="F100" s="23">
        <v>7.2</v>
      </c>
      <c r="G100" s="49">
        <v>10.3</v>
      </c>
      <c r="H100" s="24">
        <v>145</v>
      </c>
      <c r="I100" s="23">
        <v>1.6</v>
      </c>
      <c r="J100" s="23">
        <v>3.7</v>
      </c>
      <c r="K100" s="15">
        <v>2.5</v>
      </c>
      <c r="L100" s="15">
        <v>2.2999999999999998</v>
      </c>
      <c r="M100" s="15"/>
      <c r="N100" s="20">
        <f t="shared" si="18"/>
        <v>2.4</v>
      </c>
      <c r="O100" s="37">
        <v>2</v>
      </c>
      <c r="P100" s="37">
        <v>2</v>
      </c>
      <c r="Q100" s="38">
        <f t="shared" si="11"/>
        <v>2</v>
      </c>
      <c r="R100" s="17">
        <v>2.5019999999999998</v>
      </c>
      <c r="S100" s="17">
        <v>2.4889999999999999</v>
      </c>
      <c r="T100" s="22">
        <f t="shared" si="12"/>
        <v>2.4954999999999998</v>
      </c>
      <c r="U100" s="17">
        <v>2.3679999999999999</v>
      </c>
      <c r="V100" s="17">
        <v>2.3519999999999999</v>
      </c>
      <c r="W100" s="22">
        <f t="shared" si="19"/>
        <v>2.36</v>
      </c>
      <c r="X100" s="17">
        <v>1.2999999999999999E-2</v>
      </c>
      <c r="Y100" s="17">
        <v>1.4E-2</v>
      </c>
      <c r="Z100" s="21">
        <f t="shared" si="13"/>
        <v>1.35E-2</v>
      </c>
      <c r="AA100" s="19">
        <v>2.2050000000000001</v>
      </c>
      <c r="AB100" s="19">
        <v>2.2839999999999998</v>
      </c>
      <c r="AC100" s="21">
        <f t="shared" si="14"/>
        <v>2.2444999999999999</v>
      </c>
      <c r="AD100" s="19">
        <v>4.4999999999999998E-2</v>
      </c>
      <c r="AE100" s="19">
        <v>4.5999999999999999E-2</v>
      </c>
      <c r="AF100" s="21">
        <f t="shared" si="15"/>
        <v>4.5499999999999999E-2</v>
      </c>
      <c r="AG100" s="19">
        <v>0.03</v>
      </c>
      <c r="AH100" s="19">
        <v>2.9000000000000001E-2</v>
      </c>
      <c r="AI100" s="21">
        <f t="shared" si="20"/>
        <v>2.9499999999999998E-2</v>
      </c>
      <c r="AJ100" s="19">
        <v>2.4E-2</v>
      </c>
      <c r="AK100" s="19">
        <v>2.5000000000000001E-2</v>
      </c>
      <c r="AL100" s="21">
        <f t="shared" si="21"/>
        <v>2.4500000000000001E-2</v>
      </c>
      <c r="AM100" s="19">
        <v>12.417999999999999</v>
      </c>
      <c r="AN100" s="19">
        <v>12.788</v>
      </c>
      <c r="AO100" s="21">
        <f t="shared" si="16"/>
        <v>12.603</v>
      </c>
      <c r="AP100" s="46">
        <v>6.4600000000000005E-2</v>
      </c>
      <c r="AQ100" s="46">
        <v>6.6199999999999995E-2</v>
      </c>
      <c r="AR100" s="47">
        <f t="shared" si="17"/>
        <v>6.54E-2</v>
      </c>
      <c r="AS100" s="83">
        <v>5.7</v>
      </c>
      <c r="AT100" s="89">
        <v>-0.68</v>
      </c>
      <c r="AU100" s="89"/>
    </row>
    <row r="101" spans="1:47">
      <c r="A101" s="7" t="s">
        <v>20</v>
      </c>
      <c r="B101" s="5" t="s">
        <v>80</v>
      </c>
      <c r="C101" s="6" t="s">
        <v>81</v>
      </c>
      <c r="D101" s="6" t="s">
        <v>36</v>
      </c>
      <c r="E101" s="23">
        <v>16.399999999999999</v>
      </c>
      <c r="F101" s="23">
        <v>7.5</v>
      </c>
      <c r="G101" s="49">
        <v>9.8000000000000007</v>
      </c>
      <c r="H101" s="24">
        <v>118</v>
      </c>
      <c r="I101" s="23">
        <v>1.9</v>
      </c>
      <c r="J101" s="23">
        <v>4</v>
      </c>
      <c r="K101" s="15">
        <v>3.1</v>
      </c>
      <c r="L101" s="15">
        <v>2.9</v>
      </c>
      <c r="M101" s="15"/>
      <c r="N101" s="20">
        <f t="shared" si="18"/>
        <v>3</v>
      </c>
      <c r="O101" s="37">
        <v>2.2999999999999998</v>
      </c>
      <c r="P101" s="37">
        <v>2.2000000000000002</v>
      </c>
      <c r="Q101" s="38">
        <f t="shared" si="11"/>
        <v>2.25</v>
      </c>
      <c r="R101" s="17">
        <v>2.1080000000000001</v>
      </c>
      <c r="S101" s="17">
        <v>2.0760000000000001</v>
      </c>
      <c r="T101" s="22">
        <f t="shared" si="12"/>
        <v>2.0920000000000001</v>
      </c>
      <c r="U101" s="17">
        <v>1.9139999999999999</v>
      </c>
      <c r="V101" s="17">
        <v>1.9179999999999999</v>
      </c>
      <c r="W101" s="22">
        <f t="shared" si="19"/>
        <v>1.9159999999999999</v>
      </c>
      <c r="X101" s="17">
        <v>6.4000000000000001E-2</v>
      </c>
      <c r="Y101" s="17">
        <v>6.3E-2</v>
      </c>
      <c r="Z101" s="21">
        <f t="shared" si="13"/>
        <v>6.3500000000000001E-2</v>
      </c>
      <c r="AA101" s="19">
        <v>1.6859999999999999</v>
      </c>
      <c r="AB101" s="19">
        <v>1.744</v>
      </c>
      <c r="AC101" s="21">
        <f t="shared" si="14"/>
        <v>1.7149999999999999</v>
      </c>
      <c r="AD101" s="19">
        <v>8.5999999999999993E-2</v>
      </c>
      <c r="AE101" s="19">
        <v>0.09</v>
      </c>
      <c r="AF101" s="21">
        <f t="shared" si="15"/>
        <v>8.7999999999999995E-2</v>
      </c>
      <c r="AG101" s="19">
        <v>5.0999999999999997E-2</v>
      </c>
      <c r="AH101" s="19">
        <v>5.1999999999999998E-2</v>
      </c>
      <c r="AI101" s="21">
        <f t="shared" si="20"/>
        <v>5.1499999999999997E-2</v>
      </c>
      <c r="AJ101" s="19">
        <v>4.4999999999999998E-2</v>
      </c>
      <c r="AK101" s="19">
        <v>4.4999999999999998E-2</v>
      </c>
      <c r="AL101" s="21">
        <f t="shared" si="21"/>
        <v>4.4999999999999998E-2</v>
      </c>
      <c r="AM101" s="19">
        <v>7.4039999999999999</v>
      </c>
      <c r="AN101" s="19">
        <v>7.6219999999999999</v>
      </c>
      <c r="AO101" s="21">
        <f t="shared" si="16"/>
        <v>7.5129999999999999</v>
      </c>
      <c r="AP101" s="46">
        <v>7.5499999999999998E-2</v>
      </c>
      <c r="AQ101" s="46">
        <v>7.6799999999999993E-2</v>
      </c>
      <c r="AR101" s="47">
        <f t="shared" si="17"/>
        <v>7.6149999999999995E-2</v>
      </c>
      <c r="AS101" s="83">
        <v>6.38</v>
      </c>
      <c r="AT101" s="83">
        <v>2.35</v>
      </c>
    </row>
    <row r="102" spans="1:47">
      <c r="A102" s="7" t="s">
        <v>21</v>
      </c>
      <c r="B102" s="5" t="s">
        <v>82</v>
      </c>
      <c r="C102" s="6" t="s">
        <v>44</v>
      </c>
      <c r="D102" s="6" t="s">
        <v>83</v>
      </c>
      <c r="E102" s="23">
        <v>17.100000000000001</v>
      </c>
      <c r="F102" s="23">
        <v>7.3</v>
      </c>
      <c r="G102" s="49">
        <v>9.8000000000000007</v>
      </c>
      <c r="H102" s="24">
        <v>150</v>
      </c>
      <c r="I102" s="23">
        <v>2.2999999999999998</v>
      </c>
      <c r="J102" s="23">
        <v>5.4</v>
      </c>
      <c r="K102" s="15">
        <v>4.2</v>
      </c>
      <c r="L102" s="15">
        <v>4.0999999999999996</v>
      </c>
      <c r="M102" s="15"/>
      <c r="N102" s="20">
        <f t="shared" si="18"/>
        <v>4.1500000000000004</v>
      </c>
      <c r="O102" s="37">
        <v>3.7</v>
      </c>
      <c r="P102" s="37">
        <v>3.6</v>
      </c>
      <c r="Q102" s="38">
        <f t="shared" si="11"/>
        <v>3.6500000000000004</v>
      </c>
      <c r="R102" s="17">
        <v>2.3820000000000001</v>
      </c>
      <c r="S102" s="17">
        <v>2.371</v>
      </c>
      <c r="T102" s="22">
        <f t="shared" si="12"/>
        <v>2.3765000000000001</v>
      </c>
      <c r="U102" s="17">
        <v>2.1829999999999998</v>
      </c>
      <c r="V102" s="17">
        <v>2.1920000000000002</v>
      </c>
      <c r="W102" s="22">
        <f t="shared" si="19"/>
        <v>2.1875</v>
      </c>
      <c r="X102" s="17">
        <v>0.1</v>
      </c>
      <c r="Y102" s="17">
        <v>9.9000000000000005E-2</v>
      </c>
      <c r="Z102" s="21">
        <f t="shared" si="13"/>
        <v>9.9500000000000005E-2</v>
      </c>
      <c r="AA102" s="19">
        <v>1.827</v>
      </c>
      <c r="AB102" s="19">
        <v>1.869</v>
      </c>
      <c r="AC102" s="21">
        <f t="shared" si="14"/>
        <v>1.8479999999999999</v>
      </c>
      <c r="AD102" s="19">
        <v>0.11700000000000001</v>
      </c>
      <c r="AE102" s="19">
        <v>0.121</v>
      </c>
      <c r="AF102" s="21">
        <f t="shared" si="15"/>
        <v>0.11899999999999999</v>
      </c>
      <c r="AG102" s="19">
        <v>8.4000000000000005E-2</v>
      </c>
      <c r="AH102" s="19">
        <v>8.5999999999999993E-2</v>
      </c>
      <c r="AI102" s="21">
        <f t="shared" si="20"/>
        <v>8.4999999999999992E-2</v>
      </c>
      <c r="AJ102" s="19">
        <v>8.1000000000000003E-2</v>
      </c>
      <c r="AK102" s="19">
        <v>0.08</v>
      </c>
      <c r="AL102" s="21">
        <f t="shared" si="21"/>
        <v>8.0500000000000002E-2</v>
      </c>
      <c r="AM102" s="19">
        <v>8.7959999999999994</v>
      </c>
      <c r="AN102" s="19">
        <v>8.9429999999999996</v>
      </c>
      <c r="AO102" s="21">
        <f t="shared" si="16"/>
        <v>8.8694999999999986</v>
      </c>
      <c r="AP102" s="46">
        <v>0.1128</v>
      </c>
      <c r="AQ102" s="46">
        <v>0.1139</v>
      </c>
      <c r="AR102" s="47">
        <f t="shared" si="17"/>
        <v>0.11335000000000001</v>
      </c>
      <c r="AS102" s="83">
        <v>6.94</v>
      </c>
      <c r="AT102" s="83">
        <v>3.07</v>
      </c>
      <c r="AU102" s="83"/>
    </row>
    <row r="103" spans="1:47">
      <c r="A103" s="7" t="s">
        <v>22</v>
      </c>
      <c r="B103" s="5" t="s">
        <v>84</v>
      </c>
      <c r="C103" s="6" t="s">
        <v>85</v>
      </c>
      <c r="D103" s="6" t="s">
        <v>36</v>
      </c>
      <c r="E103" s="23">
        <v>16.3</v>
      </c>
      <c r="F103" s="23">
        <v>7.2</v>
      </c>
      <c r="G103" s="49">
        <v>9.6999999999999993</v>
      </c>
      <c r="H103" s="24">
        <v>123</v>
      </c>
      <c r="I103" s="23">
        <v>1.8</v>
      </c>
      <c r="J103" s="23">
        <v>4.0999999999999996</v>
      </c>
      <c r="K103" s="15">
        <v>3.5</v>
      </c>
      <c r="L103" s="15">
        <v>3.1</v>
      </c>
      <c r="M103" s="15"/>
      <c r="N103" s="20">
        <f t="shared" si="18"/>
        <v>3.3</v>
      </c>
      <c r="O103" s="37">
        <v>2.6</v>
      </c>
      <c r="P103" s="37">
        <v>2.4</v>
      </c>
      <c r="Q103" s="38">
        <f t="shared" si="11"/>
        <v>2.5</v>
      </c>
      <c r="R103" s="17">
        <v>2.2290000000000001</v>
      </c>
      <c r="S103" s="17">
        <v>2.194</v>
      </c>
      <c r="T103" s="22">
        <f t="shared" si="12"/>
        <v>2.2115</v>
      </c>
      <c r="U103" s="17">
        <v>2.0289999999999999</v>
      </c>
      <c r="V103" s="17">
        <v>2.052</v>
      </c>
      <c r="W103" s="22">
        <f t="shared" si="19"/>
        <v>2.0404999999999998</v>
      </c>
      <c r="X103" s="17">
        <v>7.5999999999999998E-2</v>
      </c>
      <c r="Y103" s="17">
        <v>7.4999999999999997E-2</v>
      </c>
      <c r="Z103" s="21">
        <f t="shared" si="13"/>
        <v>7.5499999999999998E-2</v>
      </c>
      <c r="AA103" s="19">
        <v>1.7490000000000001</v>
      </c>
      <c r="AB103" s="19">
        <v>1.7989999999999999</v>
      </c>
      <c r="AC103" s="21">
        <f t="shared" si="14"/>
        <v>1.774</v>
      </c>
      <c r="AD103" s="19">
        <v>0.1</v>
      </c>
      <c r="AE103" s="19">
        <v>0.10299999999999999</v>
      </c>
      <c r="AF103" s="21">
        <f t="shared" si="15"/>
        <v>0.10150000000000001</v>
      </c>
      <c r="AG103" s="19">
        <v>6.2E-2</v>
      </c>
      <c r="AH103" s="19">
        <v>6.2E-2</v>
      </c>
      <c r="AI103" s="21">
        <f t="shared" si="20"/>
        <v>6.2E-2</v>
      </c>
      <c r="AJ103" s="19">
        <v>5.2999999999999999E-2</v>
      </c>
      <c r="AK103" s="19">
        <v>5.3999999999999999E-2</v>
      </c>
      <c r="AL103" s="21">
        <f t="shared" si="21"/>
        <v>5.3499999999999999E-2</v>
      </c>
      <c r="AM103" s="19">
        <v>7.7569999999999997</v>
      </c>
      <c r="AN103" s="19">
        <v>7.9450000000000003</v>
      </c>
      <c r="AO103" s="21">
        <f t="shared" si="16"/>
        <v>7.851</v>
      </c>
      <c r="AP103" s="46">
        <v>8.14E-2</v>
      </c>
      <c r="AQ103" s="46">
        <v>8.2400000000000001E-2</v>
      </c>
      <c r="AR103" s="47">
        <f t="shared" si="17"/>
        <v>8.1900000000000001E-2</v>
      </c>
      <c r="AS103" s="83">
        <v>6.37</v>
      </c>
      <c r="AT103" s="83">
        <v>2.46</v>
      </c>
    </row>
    <row r="104" spans="1:47">
      <c r="A104" s="7" t="s">
        <v>23</v>
      </c>
      <c r="B104" s="5" t="s">
        <v>86</v>
      </c>
      <c r="C104" s="6" t="s">
        <v>87</v>
      </c>
      <c r="D104" s="6" t="s">
        <v>88</v>
      </c>
      <c r="E104" s="23">
        <v>17</v>
      </c>
      <c r="F104" s="23">
        <v>7.3</v>
      </c>
      <c r="G104" s="49">
        <v>9.4</v>
      </c>
      <c r="H104" s="24">
        <v>148</v>
      </c>
      <c r="I104" s="23">
        <v>2.5</v>
      </c>
      <c r="J104" s="23">
        <v>6.4</v>
      </c>
      <c r="K104" s="15">
        <v>4.5</v>
      </c>
      <c r="L104" s="15">
        <v>4.5999999999999996</v>
      </c>
      <c r="M104" s="15"/>
      <c r="N104" s="20">
        <f t="shared" si="18"/>
        <v>4.55</v>
      </c>
      <c r="O104" s="37">
        <v>3.9</v>
      </c>
      <c r="P104" s="37">
        <v>3.8</v>
      </c>
      <c r="Q104" s="38">
        <f t="shared" si="11"/>
        <v>3.8499999999999996</v>
      </c>
      <c r="R104" s="17">
        <v>2.246</v>
      </c>
      <c r="S104" s="17">
        <v>2.2010000000000001</v>
      </c>
      <c r="T104" s="22">
        <f t="shared" si="12"/>
        <v>2.2235</v>
      </c>
      <c r="U104" s="17">
        <v>1.986</v>
      </c>
      <c r="V104" s="17">
        <v>1.9850000000000001</v>
      </c>
      <c r="W104" s="22">
        <f t="shared" si="19"/>
        <v>1.9855</v>
      </c>
      <c r="X104" s="17">
        <v>2.5000000000000001E-2</v>
      </c>
      <c r="Y104" s="17">
        <v>0.03</v>
      </c>
      <c r="Z104" s="21">
        <f t="shared" si="13"/>
        <v>2.75E-2</v>
      </c>
      <c r="AA104" s="19">
        <v>1.7090000000000001</v>
      </c>
      <c r="AB104" s="19">
        <v>1.764</v>
      </c>
      <c r="AC104" s="21">
        <f t="shared" si="14"/>
        <v>1.7364999999999999</v>
      </c>
      <c r="AD104" s="19">
        <v>8.7999999999999995E-2</v>
      </c>
      <c r="AE104" s="19">
        <v>9.0999999999999998E-2</v>
      </c>
      <c r="AF104" s="21">
        <f t="shared" si="15"/>
        <v>8.9499999999999996E-2</v>
      </c>
      <c r="AG104" s="19">
        <v>4.9000000000000002E-2</v>
      </c>
      <c r="AH104" s="19">
        <v>4.9000000000000002E-2</v>
      </c>
      <c r="AI104" s="21">
        <f t="shared" si="20"/>
        <v>4.9000000000000002E-2</v>
      </c>
      <c r="AJ104" s="19">
        <v>3.5999999999999997E-2</v>
      </c>
      <c r="AK104" s="19">
        <v>3.5000000000000003E-2</v>
      </c>
      <c r="AL104" s="21">
        <f t="shared" si="21"/>
        <v>3.5500000000000004E-2</v>
      </c>
      <c r="AM104" s="19">
        <v>9.3829999999999991</v>
      </c>
      <c r="AN104" s="19">
        <v>9.5839999999999996</v>
      </c>
      <c r="AO104" s="21">
        <f t="shared" si="16"/>
        <v>9.4834999999999994</v>
      </c>
      <c r="AP104" s="46">
        <v>0.13389999999999999</v>
      </c>
      <c r="AQ104" s="46">
        <v>0.13550000000000001</v>
      </c>
      <c r="AR104" s="47">
        <f t="shared" si="17"/>
        <v>0.13469999999999999</v>
      </c>
      <c r="AS104" s="83">
        <v>7.54</v>
      </c>
      <c r="AT104" s="83">
        <v>2.41</v>
      </c>
      <c r="AU104" s="83"/>
    </row>
    <row r="105" spans="1:47">
      <c r="A105" s="7" t="s">
        <v>24</v>
      </c>
      <c r="B105" s="5" t="s">
        <v>89</v>
      </c>
      <c r="C105" s="6" t="s">
        <v>42</v>
      </c>
      <c r="D105" s="6" t="s">
        <v>36</v>
      </c>
      <c r="E105" s="23">
        <v>18.600000000000001</v>
      </c>
      <c r="F105" s="23">
        <v>7.9</v>
      </c>
      <c r="G105" s="49">
        <v>10.7</v>
      </c>
      <c r="H105" s="24">
        <v>147</v>
      </c>
      <c r="I105" s="23">
        <v>1.8</v>
      </c>
      <c r="J105" s="23">
        <v>6.4</v>
      </c>
      <c r="K105" s="15">
        <v>5.3</v>
      </c>
      <c r="L105" s="15">
        <v>5.2</v>
      </c>
      <c r="M105" s="15"/>
      <c r="N105" s="20">
        <f t="shared" si="18"/>
        <v>5.25</v>
      </c>
      <c r="O105" s="37">
        <v>4.7</v>
      </c>
      <c r="P105" s="37">
        <v>4.7</v>
      </c>
      <c r="Q105" s="38">
        <f t="shared" si="11"/>
        <v>4.7</v>
      </c>
      <c r="R105" s="17">
        <v>3.883</v>
      </c>
      <c r="S105" s="17">
        <v>3.851</v>
      </c>
      <c r="T105" s="22">
        <f t="shared" si="12"/>
        <v>3.867</v>
      </c>
      <c r="U105" s="17">
        <v>3.7149999999999999</v>
      </c>
      <c r="V105" s="17">
        <v>3.73</v>
      </c>
      <c r="W105" s="22">
        <f t="shared" si="19"/>
        <v>3.7225000000000001</v>
      </c>
      <c r="X105" s="17">
        <v>3.7999999999999999E-2</v>
      </c>
      <c r="Y105" s="17">
        <v>0.05</v>
      </c>
      <c r="Z105" s="21">
        <f t="shared" si="13"/>
        <v>4.3999999999999997E-2</v>
      </c>
      <c r="AA105" s="19">
        <v>3.3769999999999998</v>
      </c>
      <c r="AB105" s="19">
        <v>3.4180000000000001</v>
      </c>
      <c r="AC105" s="21">
        <f t="shared" si="14"/>
        <v>3.3975</v>
      </c>
      <c r="AD105" s="19">
        <v>0.30299999999999999</v>
      </c>
      <c r="AE105" s="19">
        <v>0.32100000000000001</v>
      </c>
      <c r="AF105" s="21">
        <f t="shared" si="15"/>
        <v>0.312</v>
      </c>
      <c r="AG105" s="19">
        <v>0.30199999999999999</v>
      </c>
      <c r="AH105" s="19">
        <v>0.30399999999999999</v>
      </c>
      <c r="AI105" s="21">
        <f t="shared" si="20"/>
        <v>0.30299999999999999</v>
      </c>
      <c r="AJ105" s="19">
        <v>0.29399999999999998</v>
      </c>
      <c r="AK105" s="19">
        <v>0.29599999999999999</v>
      </c>
      <c r="AL105" s="21">
        <f t="shared" si="21"/>
        <v>0.29499999999999998</v>
      </c>
      <c r="AM105" s="19">
        <v>9.35</v>
      </c>
      <c r="AN105" s="19">
        <v>9.4670000000000005</v>
      </c>
      <c r="AO105" s="21">
        <f t="shared" si="16"/>
        <v>9.4085000000000001</v>
      </c>
      <c r="AP105" s="46">
        <v>0.13370000000000001</v>
      </c>
      <c r="AQ105" s="46">
        <v>0.1351</v>
      </c>
      <c r="AR105" s="47">
        <f t="shared" si="17"/>
        <v>0.13440000000000002</v>
      </c>
      <c r="AS105" s="83">
        <v>6.09</v>
      </c>
      <c r="AT105" s="83">
        <v>2.36</v>
      </c>
    </row>
    <row r="106" spans="1:47">
      <c r="A106" s="7" t="s">
        <v>25</v>
      </c>
      <c r="B106" s="5" t="s">
        <v>90</v>
      </c>
      <c r="C106" s="6" t="s">
        <v>44</v>
      </c>
      <c r="D106" s="6" t="s">
        <v>91</v>
      </c>
      <c r="E106" s="23">
        <v>16.5</v>
      </c>
      <c r="F106" s="23">
        <v>6.9</v>
      </c>
      <c r="G106" s="49">
        <v>10.1</v>
      </c>
      <c r="H106" s="24">
        <v>207</v>
      </c>
      <c r="I106" s="23">
        <v>1.4</v>
      </c>
      <c r="J106" s="23">
        <v>4.3</v>
      </c>
      <c r="K106" s="15">
        <v>3.3</v>
      </c>
      <c r="L106" s="15">
        <v>3.3</v>
      </c>
      <c r="M106" s="15"/>
      <c r="N106" s="20">
        <f t="shared" si="18"/>
        <v>3.3</v>
      </c>
      <c r="O106" s="37">
        <v>3</v>
      </c>
      <c r="P106" s="37">
        <v>2.8</v>
      </c>
      <c r="Q106" s="38">
        <f t="shared" si="11"/>
        <v>2.9</v>
      </c>
      <c r="R106" s="17">
        <v>3.835</v>
      </c>
      <c r="S106" s="17">
        <v>3.7959999999999998</v>
      </c>
      <c r="T106" s="22">
        <f t="shared" si="12"/>
        <v>3.8155000000000001</v>
      </c>
      <c r="U106" s="17">
        <v>3.6429999999999998</v>
      </c>
      <c r="V106" s="17">
        <v>3.6549999999999998</v>
      </c>
      <c r="W106" s="22">
        <f t="shared" si="19"/>
        <v>3.649</v>
      </c>
      <c r="X106" s="17">
        <v>2.8000000000000001E-2</v>
      </c>
      <c r="Y106" s="17">
        <v>2.7E-2</v>
      </c>
      <c r="Z106" s="21">
        <f t="shared" si="13"/>
        <v>2.75E-2</v>
      </c>
      <c r="AA106" s="19">
        <v>3.4380000000000002</v>
      </c>
      <c r="AB106" s="19">
        <v>3.5289999999999999</v>
      </c>
      <c r="AC106" s="21">
        <f t="shared" si="14"/>
        <v>3.4835000000000003</v>
      </c>
      <c r="AD106" s="19">
        <v>9.0999999999999998E-2</v>
      </c>
      <c r="AE106" s="19">
        <v>9.4E-2</v>
      </c>
      <c r="AF106" s="21">
        <f t="shared" si="15"/>
        <v>9.2499999999999999E-2</v>
      </c>
      <c r="AG106" s="19">
        <v>6.7000000000000004E-2</v>
      </c>
      <c r="AH106" s="19">
        <v>6.5000000000000002E-2</v>
      </c>
      <c r="AI106" s="21">
        <f t="shared" si="20"/>
        <v>6.6000000000000003E-2</v>
      </c>
      <c r="AJ106" s="19">
        <v>5.8999999999999997E-2</v>
      </c>
      <c r="AK106" s="19">
        <v>5.7000000000000002E-2</v>
      </c>
      <c r="AL106" s="21">
        <f t="shared" si="21"/>
        <v>5.7999999999999996E-2</v>
      </c>
      <c r="AM106" s="19">
        <v>12.45</v>
      </c>
      <c r="AN106" s="19">
        <v>12.715</v>
      </c>
      <c r="AO106" s="21">
        <f t="shared" si="16"/>
        <v>12.5825</v>
      </c>
      <c r="AP106" s="46">
        <v>8.4900000000000003E-2</v>
      </c>
      <c r="AQ106" s="46">
        <v>8.8400000000000006E-2</v>
      </c>
      <c r="AR106" s="47">
        <f t="shared" si="17"/>
        <v>8.6650000000000005E-2</v>
      </c>
      <c r="AS106" s="83">
        <v>6.6</v>
      </c>
      <c r="AT106" s="83">
        <v>2.39</v>
      </c>
      <c r="AU106" s="83"/>
    </row>
    <row r="107" spans="1:47">
      <c r="A107" s="7" t="s">
        <v>26</v>
      </c>
      <c r="B107" s="5" t="s">
        <v>92</v>
      </c>
      <c r="C107" s="6" t="s">
        <v>93</v>
      </c>
      <c r="D107" s="6" t="s">
        <v>36</v>
      </c>
      <c r="E107" s="23">
        <v>17.100000000000001</v>
      </c>
      <c r="F107" s="23">
        <v>7</v>
      </c>
      <c r="G107" s="49">
        <v>9</v>
      </c>
      <c r="H107" s="24">
        <v>111</v>
      </c>
      <c r="I107" s="23">
        <v>1.8</v>
      </c>
      <c r="J107" s="23">
        <v>4.0999999999999996</v>
      </c>
      <c r="K107" s="15">
        <v>3.2</v>
      </c>
      <c r="L107" s="15">
        <v>3</v>
      </c>
      <c r="M107" s="15"/>
      <c r="N107" s="20">
        <f t="shared" si="18"/>
        <v>3.1</v>
      </c>
      <c r="O107" s="37">
        <v>2.7</v>
      </c>
      <c r="P107" s="37">
        <v>2.6</v>
      </c>
      <c r="Q107" s="38">
        <f t="shared" si="11"/>
        <v>2.6500000000000004</v>
      </c>
      <c r="R107" s="17">
        <v>2.165</v>
      </c>
      <c r="S107" s="17">
        <v>2.1150000000000002</v>
      </c>
      <c r="T107" s="22">
        <f t="shared" si="12"/>
        <v>2.14</v>
      </c>
      <c r="U107" s="17">
        <v>1.978</v>
      </c>
      <c r="V107" s="17">
        <v>1.9530000000000001</v>
      </c>
      <c r="W107" s="22">
        <f t="shared" si="19"/>
        <v>1.9655</v>
      </c>
      <c r="X107" s="17">
        <v>8.1000000000000003E-2</v>
      </c>
      <c r="Y107" s="17">
        <v>8.4000000000000005E-2</v>
      </c>
      <c r="Z107" s="21">
        <f t="shared" si="13"/>
        <v>8.2500000000000004E-2</v>
      </c>
      <c r="AA107" s="19">
        <v>1.7150000000000001</v>
      </c>
      <c r="AB107" s="19">
        <v>1.7410000000000001</v>
      </c>
      <c r="AC107" s="21">
        <f t="shared" si="14"/>
        <v>1.7280000000000002</v>
      </c>
      <c r="AD107" s="19">
        <v>8.4000000000000005E-2</v>
      </c>
      <c r="AE107" s="19">
        <v>8.6999999999999994E-2</v>
      </c>
      <c r="AF107" s="21">
        <f t="shared" si="15"/>
        <v>8.5499999999999993E-2</v>
      </c>
      <c r="AG107" s="19">
        <v>5.5E-2</v>
      </c>
      <c r="AH107" s="19">
        <v>5.2999999999999999E-2</v>
      </c>
      <c r="AI107" s="21">
        <f t="shared" si="20"/>
        <v>5.3999999999999999E-2</v>
      </c>
      <c r="AJ107" s="19">
        <v>4.5999999999999999E-2</v>
      </c>
      <c r="AK107" s="19">
        <v>4.5999999999999999E-2</v>
      </c>
      <c r="AL107" s="21">
        <f t="shared" si="21"/>
        <v>4.5999999999999999E-2</v>
      </c>
      <c r="AM107" s="19">
        <v>7.2560000000000002</v>
      </c>
      <c r="AN107" s="19">
        <v>7.3819999999999997</v>
      </c>
      <c r="AO107" s="21">
        <f t="shared" si="16"/>
        <v>7.319</v>
      </c>
      <c r="AP107" s="46">
        <v>8.3099999999999993E-2</v>
      </c>
      <c r="AQ107" s="46">
        <v>8.5300000000000001E-2</v>
      </c>
      <c r="AR107" s="47">
        <f t="shared" si="17"/>
        <v>8.4199999999999997E-2</v>
      </c>
      <c r="AS107" s="83">
        <v>5.52</v>
      </c>
      <c r="AT107" s="83">
        <v>2.68</v>
      </c>
    </row>
    <row r="108" spans="1:47">
      <c r="A108" s="7" t="s">
        <v>27</v>
      </c>
      <c r="B108" s="5" t="s">
        <v>94</v>
      </c>
      <c r="C108" s="6" t="s">
        <v>95</v>
      </c>
      <c r="D108" s="6" t="s">
        <v>96</v>
      </c>
      <c r="E108" s="23">
        <v>16.100000000000001</v>
      </c>
      <c r="F108" s="23">
        <v>7.3</v>
      </c>
      <c r="G108" s="49">
        <v>9.4</v>
      </c>
      <c r="H108" s="24">
        <v>133</v>
      </c>
      <c r="I108" s="23">
        <v>1.9</v>
      </c>
      <c r="J108" s="23">
        <v>4.2</v>
      </c>
      <c r="K108" s="15">
        <v>3</v>
      </c>
      <c r="L108" s="15">
        <v>3.1</v>
      </c>
      <c r="M108" s="15"/>
      <c r="N108" s="20">
        <f t="shared" si="18"/>
        <v>3.05</v>
      </c>
      <c r="O108" s="37">
        <v>2.5</v>
      </c>
      <c r="P108" s="37">
        <v>2.4</v>
      </c>
      <c r="Q108" s="38">
        <f t="shared" si="11"/>
        <v>2.4500000000000002</v>
      </c>
      <c r="R108" s="17">
        <v>2.9350000000000001</v>
      </c>
      <c r="S108" s="17">
        <v>2.91</v>
      </c>
      <c r="T108" s="22">
        <f t="shared" si="12"/>
        <v>2.9225000000000003</v>
      </c>
      <c r="U108" s="17">
        <v>2.6960000000000002</v>
      </c>
      <c r="V108" s="17">
        <v>2.714</v>
      </c>
      <c r="W108" s="22">
        <f t="shared" si="19"/>
        <v>2.7050000000000001</v>
      </c>
      <c r="X108" s="17">
        <v>2.1000000000000001E-2</v>
      </c>
      <c r="Y108" s="17">
        <v>1.9E-2</v>
      </c>
      <c r="Z108" s="21">
        <f t="shared" si="13"/>
        <v>0.02</v>
      </c>
      <c r="AA108" s="19">
        <v>2.593</v>
      </c>
      <c r="AB108" s="19">
        <v>2.6459999999999999</v>
      </c>
      <c r="AC108" s="21">
        <f t="shared" si="14"/>
        <v>2.6194999999999999</v>
      </c>
      <c r="AD108" s="19">
        <v>6.5000000000000002E-2</v>
      </c>
      <c r="AE108" s="19">
        <v>6.8000000000000005E-2</v>
      </c>
      <c r="AF108" s="21">
        <f t="shared" si="15"/>
        <v>6.6500000000000004E-2</v>
      </c>
      <c r="AG108" s="19">
        <v>4.3999999999999997E-2</v>
      </c>
      <c r="AH108" s="19">
        <v>4.3999999999999997E-2</v>
      </c>
      <c r="AI108" s="21">
        <f t="shared" si="20"/>
        <v>4.3999999999999997E-2</v>
      </c>
      <c r="AJ108" s="19">
        <v>3.9E-2</v>
      </c>
      <c r="AK108" s="19">
        <v>3.7999999999999999E-2</v>
      </c>
      <c r="AL108" s="21">
        <f t="shared" si="21"/>
        <v>3.85E-2</v>
      </c>
      <c r="AM108" s="19">
        <v>7.8579999999999997</v>
      </c>
      <c r="AN108" s="19">
        <v>7.9930000000000003</v>
      </c>
      <c r="AO108" s="21">
        <f t="shared" si="16"/>
        <v>7.9254999999999995</v>
      </c>
      <c r="AP108" s="46">
        <v>8.3500000000000005E-2</v>
      </c>
      <c r="AQ108" s="46">
        <v>8.5900000000000004E-2</v>
      </c>
      <c r="AR108" s="47">
        <f t="shared" si="17"/>
        <v>8.4699999999999998E-2</v>
      </c>
      <c r="AS108" s="83">
        <v>7.38</v>
      </c>
      <c r="AT108" s="83">
        <v>1.66</v>
      </c>
      <c r="AU108" s="83"/>
    </row>
    <row r="109" spans="1:47">
      <c r="A109" s="7" t="s">
        <v>28</v>
      </c>
      <c r="B109" s="5" t="s">
        <v>97</v>
      </c>
      <c r="C109" s="6" t="s">
        <v>98</v>
      </c>
      <c r="D109" s="6" t="s">
        <v>36</v>
      </c>
      <c r="E109" s="23">
        <v>16.7</v>
      </c>
      <c r="F109" s="23">
        <v>6.7</v>
      </c>
      <c r="G109" s="49">
        <v>9.3000000000000007</v>
      </c>
      <c r="H109" s="24">
        <v>126</v>
      </c>
      <c r="I109" s="23">
        <v>2</v>
      </c>
      <c r="J109" s="23">
        <v>4.3</v>
      </c>
      <c r="K109" s="15">
        <v>3</v>
      </c>
      <c r="L109" s="15">
        <v>3.1</v>
      </c>
      <c r="M109" s="15"/>
      <c r="N109" s="20">
        <f t="shared" si="18"/>
        <v>3.05</v>
      </c>
      <c r="O109" s="37">
        <v>2.6</v>
      </c>
      <c r="P109" s="37">
        <v>2.5</v>
      </c>
      <c r="Q109" s="38">
        <f t="shared" si="11"/>
        <v>2.5499999999999998</v>
      </c>
      <c r="R109" s="17">
        <v>2.2480000000000002</v>
      </c>
      <c r="S109" s="17">
        <v>2.2320000000000002</v>
      </c>
      <c r="T109" s="22">
        <f t="shared" si="12"/>
        <v>2.2400000000000002</v>
      </c>
      <c r="U109" s="17">
        <v>2.012</v>
      </c>
      <c r="V109" s="17">
        <v>2.032</v>
      </c>
      <c r="W109" s="22">
        <f t="shared" si="19"/>
        <v>2.0220000000000002</v>
      </c>
      <c r="X109" s="17">
        <v>6.9000000000000006E-2</v>
      </c>
      <c r="Y109" s="17">
        <v>0.09</v>
      </c>
      <c r="Z109" s="21">
        <f t="shared" si="13"/>
        <v>7.9500000000000001E-2</v>
      </c>
      <c r="AA109" s="19">
        <v>1.825</v>
      </c>
      <c r="AB109" s="19">
        <v>1.8759999999999999</v>
      </c>
      <c r="AC109" s="21">
        <f t="shared" si="14"/>
        <v>1.8504999999999998</v>
      </c>
      <c r="AD109" s="19">
        <v>0.09</v>
      </c>
      <c r="AE109" s="19">
        <v>9.1999999999999998E-2</v>
      </c>
      <c r="AF109" s="21">
        <f t="shared" si="15"/>
        <v>9.0999999999999998E-2</v>
      </c>
      <c r="AG109" s="19">
        <v>5.0999999999999997E-2</v>
      </c>
      <c r="AH109" s="19">
        <v>5.1999999999999998E-2</v>
      </c>
      <c r="AI109" s="21">
        <f t="shared" si="20"/>
        <v>5.1499999999999997E-2</v>
      </c>
      <c r="AJ109" s="19">
        <v>4.7E-2</v>
      </c>
      <c r="AK109" s="19">
        <v>4.5999999999999999E-2</v>
      </c>
      <c r="AL109" s="21">
        <f t="shared" si="21"/>
        <v>4.65E-2</v>
      </c>
      <c r="AM109" s="19">
        <v>7.4809999999999999</v>
      </c>
      <c r="AN109" s="19">
        <v>7.6360000000000001</v>
      </c>
      <c r="AO109" s="21">
        <f t="shared" si="16"/>
        <v>7.5585000000000004</v>
      </c>
      <c r="AP109" s="46">
        <v>8.5000000000000006E-2</v>
      </c>
      <c r="AQ109" s="46">
        <v>8.6099999999999996E-2</v>
      </c>
      <c r="AR109" s="47">
        <f t="shared" si="17"/>
        <v>8.5550000000000001E-2</v>
      </c>
      <c r="AS109" s="83">
        <v>6.05</v>
      </c>
      <c r="AT109" s="83">
        <v>2.9</v>
      </c>
    </row>
    <row r="110" spans="1:47">
      <c r="A110" s="7" t="s">
        <v>29</v>
      </c>
      <c r="B110" s="5" t="s">
        <v>99</v>
      </c>
      <c r="C110" s="6" t="s">
        <v>44</v>
      </c>
      <c r="D110" s="6" t="s">
        <v>100</v>
      </c>
      <c r="E110" s="23">
        <v>15.8</v>
      </c>
      <c r="F110" s="23">
        <v>6.5</v>
      </c>
      <c r="G110" s="49">
        <v>8.6999999999999993</v>
      </c>
      <c r="H110" s="24">
        <v>153</v>
      </c>
      <c r="I110" s="23">
        <v>2.4</v>
      </c>
      <c r="J110" s="23">
        <v>4.9000000000000004</v>
      </c>
      <c r="K110" s="15">
        <v>3.9</v>
      </c>
      <c r="L110" s="15">
        <v>3.9</v>
      </c>
      <c r="M110" s="15"/>
      <c r="N110" s="20">
        <f t="shared" si="18"/>
        <v>3.9</v>
      </c>
      <c r="O110" s="37">
        <v>3.3</v>
      </c>
      <c r="P110" s="37">
        <v>3.2</v>
      </c>
      <c r="Q110" s="38">
        <f t="shared" si="11"/>
        <v>3.25</v>
      </c>
      <c r="R110" s="17">
        <v>2.702</v>
      </c>
      <c r="S110" s="17">
        <v>2.6589999999999998</v>
      </c>
      <c r="T110" s="22">
        <f t="shared" si="12"/>
        <v>2.6804999999999999</v>
      </c>
      <c r="U110" s="17">
        <v>2.4809999999999999</v>
      </c>
      <c r="V110" s="17">
        <v>2.4780000000000002</v>
      </c>
      <c r="W110" s="22">
        <f t="shared" si="19"/>
        <v>2.4794999999999998</v>
      </c>
      <c r="X110" s="17">
        <v>0.11600000000000001</v>
      </c>
      <c r="Y110" s="17">
        <v>0.112</v>
      </c>
      <c r="Z110" s="21">
        <f t="shared" si="13"/>
        <v>0.114</v>
      </c>
      <c r="AA110" s="19">
        <v>2.1389999999999998</v>
      </c>
      <c r="AB110" s="19">
        <v>2.19</v>
      </c>
      <c r="AC110" s="21">
        <f t="shared" si="14"/>
        <v>2.1644999999999999</v>
      </c>
      <c r="AD110" s="19">
        <v>0.157</v>
      </c>
      <c r="AE110" s="19">
        <v>0.16300000000000001</v>
      </c>
      <c r="AF110" s="21">
        <f t="shared" si="15"/>
        <v>0.16</v>
      </c>
      <c r="AG110" s="19">
        <v>0.11600000000000001</v>
      </c>
      <c r="AH110" s="19">
        <v>0.11600000000000001</v>
      </c>
      <c r="AI110" s="21">
        <f t="shared" si="20"/>
        <v>0.11600000000000001</v>
      </c>
      <c r="AJ110" s="19">
        <v>0.114</v>
      </c>
      <c r="AK110" s="19">
        <v>0.115</v>
      </c>
      <c r="AL110" s="21">
        <f t="shared" si="21"/>
        <v>0.1145</v>
      </c>
      <c r="AM110" s="19">
        <v>10.157</v>
      </c>
      <c r="AN110" s="19">
        <v>10.331</v>
      </c>
      <c r="AO110" s="21">
        <f t="shared" si="16"/>
        <v>10.244</v>
      </c>
      <c r="AP110" s="46">
        <v>0.10730000000000001</v>
      </c>
      <c r="AQ110" s="46">
        <v>0.1082</v>
      </c>
      <c r="AR110" s="47">
        <f t="shared" si="17"/>
        <v>0.10775000000000001</v>
      </c>
      <c r="AS110" s="83">
        <v>7.74</v>
      </c>
      <c r="AT110" s="83">
        <v>3.22</v>
      </c>
      <c r="AU110" s="83"/>
    </row>
    <row r="111" spans="1:47">
      <c r="A111" s="7" t="s">
        <v>30</v>
      </c>
      <c r="B111" s="5" t="s">
        <v>101</v>
      </c>
      <c r="C111" s="6" t="s">
        <v>44</v>
      </c>
      <c r="D111" s="6" t="s">
        <v>160</v>
      </c>
      <c r="E111" s="23">
        <v>17.399999999999999</v>
      </c>
      <c r="F111" s="23">
        <v>6.5</v>
      </c>
      <c r="G111" s="49">
        <v>9.4</v>
      </c>
      <c r="H111" s="24">
        <v>215</v>
      </c>
      <c r="I111" s="23">
        <v>2.7</v>
      </c>
      <c r="J111" s="23">
        <v>6.1</v>
      </c>
      <c r="K111" s="15">
        <v>4.5999999999999996</v>
      </c>
      <c r="L111" s="15">
        <v>4.8</v>
      </c>
      <c r="M111" s="15"/>
      <c r="N111" s="20">
        <f t="shared" si="18"/>
        <v>4.6999999999999993</v>
      </c>
      <c r="O111" s="37">
        <v>3.5</v>
      </c>
      <c r="P111" s="37">
        <v>3.4</v>
      </c>
      <c r="Q111" s="38">
        <f t="shared" si="11"/>
        <v>3.45</v>
      </c>
      <c r="R111" s="17">
        <v>2.99</v>
      </c>
      <c r="S111" s="17">
        <v>2.9580000000000002</v>
      </c>
      <c r="T111" s="22">
        <f t="shared" si="12"/>
        <v>2.9740000000000002</v>
      </c>
      <c r="U111" s="17">
        <v>2.6259999999999999</v>
      </c>
      <c r="V111" s="17">
        <v>2.64</v>
      </c>
      <c r="W111" s="22">
        <f t="shared" si="19"/>
        <v>2.633</v>
      </c>
      <c r="X111" s="17">
        <v>0.249</v>
      </c>
      <c r="Y111" s="17">
        <v>0.25</v>
      </c>
      <c r="Z111" s="21">
        <f t="shared" si="13"/>
        <v>0.2495</v>
      </c>
      <c r="AA111" s="19">
        <v>2.0409999999999999</v>
      </c>
      <c r="AB111" s="19">
        <v>2.0840000000000001</v>
      </c>
      <c r="AC111" s="21">
        <f t="shared" si="14"/>
        <v>2.0625</v>
      </c>
      <c r="AD111" s="19">
        <v>0.16500000000000001</v>
      </c>
      <c r="AE111" s="19">
        <v>0.17</v>
      </c>
      <c r="AF111" s="21">
        <f t="shared" si="15"/>
        <v>0.16750000000000001</v>
      </c>
      <c r="AG111" s="19">
        <v>6.9000000000000006E-2</v>
      </c>
      <c r="AH111" s="19">
        <v>6.8000000000000005E-2</v>
      </c>
      <c r="AI111" s="21">
        <f t="shared" si="20"/>
        <v>6.8500000000000005E-2</v>
      </c>
      <c r="AJ111" s="19">
        <v>5.8000000000000003E-2</v>
      </c>
      <c r="AK111" s="19">
        <v>0.06</v>
      </c>
      <c r="AL111" s="21">
        <f t="shared" si="21"/>
        <v>5.8999999999999997E-2</v>
      </c>
      <c r="AM111" s="19">
        <v>18.952999999999999</v>
      </c>
      <c r="AN111" s="19">
        <v>19.11</v>
      </c>
      <c r="AO111" s="21">
        <f t="shared" si="16"/>
        <v>19.031500000000001</v>
      </c>
      <c r="AP111" s="46">
        <v>0.1028</v>
      </c>
      <c r="AQ111" s="46">
        <v>0.1041</v>
      </c>
      <c r="AR111" s="47">
        <f t="shared" si="17"/>
        <v>0.10345</v>
      </c>
      <c r="AS111" s="83">
        <v>8.07</v>
      </c>
      <c r="AT111" s="83">
        <v>2.42</v>
      </c>
      <c r="AU111" s="83"/>
    </row>
    <row r="112" spans="1:47">
      <c r="A112" s="7" t="s">
        <v>31</v>
      </c>
      <c r="B112" s="5" t="s">
        <v>102</v>
      </c>
      <c r="C112" s="6" t="s">
        <v>103</v>
      </c>
      <c r="D112" s="6" t="s">
        <v>36</v>
      </c>
      <c r="E112" s="23">
        <v>17</v>
      </c>
      <c r="F112" s="23">
        <v>6.5</v>
      </c>
      <c r="G112" s="49">
        <v>9.5</v>
      </c>
      <c r="H112" s="24">
        <v>126</v>
      </c>
      <c r="I112" s="23">
        <v>1.7</v>
      </c>
      <c r="J112" s="23">
        <v>4.4000000000000004</v>
      </c>
      <c r="K112" s="15">
        <v>3.3</v>
      </c>
      <c r="L112" s="15">
        <v>3.2</v>
      </c>
      <c r="M112" s="15"/>
      <c r="N112" s="20">
        <f t="shared" si="18"/>
        <v>3.25</v>
      </c>
      <c r="O112" s="37">
        <v>2.7</v>
      </c>
      <c r="P112" s="37">
        <v>2.6</v>
      </c>
      <c r="Q112" s="38">
        <f t="shared" si="11"/>
        <v>2.6500000000000004</v>
      </c>
      <c r="R112" s="17">
        <v>2.278</v>
      </c>
      <c r="S112" s="17">
        <v>2.2069999999999999</v>
      </c>
      <c r="T112" s="22">
        <f t="shared" si="12"/>
        <v>2.2424999999999997</v>
      </c>
      <c r="U112" s="17">
        <v>2.044</v>
      </c>
      <c r="V112" s="17">
        <v>2.028</v>
      </c>
      <c r="W112" s="22">
        <f t="shared" si="19"/>
        <v>2.036</v>
      </c>
      <c r="X112" s="17">
        <v>7.0000000000000007E-2</v>
      </c>
      <c r="Y112" s="17">
        <v>0.06</v>
      </c>
      <c r="Z112" s="21">
        <f t="shared" si="13"/>
        <v>6.5000000000000002E-2</v>
      </c>
      <c r="AA112" s="19">
        <v>1.831</v>
      </c>
      <c r="AB112" s="19">
        <v>1.863</v>
      </c>
      <c r="AC112" s="21">
        <f t="shared" si="14"/>
        <v>1.847</v>
      </c>
      <c r="AD112" s="19">
        <v>9.0999999999999998E-2</v>
      </c>
      <c r="AE112" s="19">
        <v>9.4E-2</v>
      </c>
      <c r="AF112" s="21">
        <f t="shared" si="15"/>
        <v>9.2499999999999999E-2</v>
      </c>
      <c r="AG112" s="19">
        <v>5.7000000000000002E-2</v>
      </c>
      <c r="AH112" s="19">
        <v>5.5E-2</v>
      </c>
      <c r="AI112" s="21">
        <f t="shared" si="20"/>
        <v>5.6000000000000001E-2</v>
      </c>
      <c r="AJ112" s="19">
        <v>4.8000000000000001E-2</v>
      </c>
      <c r="AK112" s="19">
        <v>4.5999999999999999E-2</v>
      </c>
      <c r="AL112" s="21">
        <f t="shared" si="21"/>
        <v>4.7E-2</v>
      </c>
      <c r="AM112" s="19">
        <v>7.5670000000000002</v>
      </c>
      <c r="AN112" s="19">
        <v>7.7</v>
      </c>
      <c r="AO112" s="21">
        <f t="shared" si="16"/>
        <v>7.6334999999999997</v>
      </c>
      <c r="AP112" s="46">
        <v>8.7499999999999994E-2</v>
      </c>
      <c r="AQ112" s="46">
        <v>8.8999999999999996E-2</v>
      </c>
      <c r="AR112" s="47">
        <f t="shared" si="17"/>
        <v>8.8249999999999995E-2</v>
      </c>
      <c r="AS112" s="83">
        <v>6.09</v>
      </c>
      <c r="AT112" s="83">
        <v>2.94</v>
      </c>
    </row>
    <row r="113" spans="1:47">
      <c r="A113" s="7" t="s">
        <v>32</v>
      </c>
      <c r="B113" s="5" t="s">
        <v>104</v>
      </c>
      <c r="C113" s="6" t="s">
        <v>44</v>
      </c>
      <c r="D113" s="6" t="s">
        <v>105</v>
      </c>
      <c r="E113" s="23">
        <v>19.899999999999999</v>
      </c>
      <c r="F113" s="23">
        <v>7.9</v>
      </c>
      <c r="G113" s="49">
        <v>9.6999999999999993</v>
      </c>
      <c r="H113" s="24">
        <v>163</v>
      </c>
      <c r="I113" s="23">
        <v>2.9</v>
      </c>
      <c r="J113" s="23">
        <v>7.5</v>
      </c>
      <c r="K113" s="15">
        <v>5.2</v>
      </c>
      <c r="L113" s="15">
        <v>5.2</v>
      </c>
      <c r="M113" s="15"/>
      <c r="N113" s="20">
        <f t="shared" si="18"/>
        <v>5.2</v>
      </c>
      <c r="O113" s="37">
        <v>4</v>
      </c>
      <c r="P113" s="37">
        <v>3.9</v>
      </c>
      <c r="Q113" s="38">
        <f t="shared" si="11"/>
        <v>3.95</v>
      </c>
      <c r="R113" s="17">
        <v>2.2890000000000001</v>
      </c>
      <c r="S113" s="17">
        <v>2.2349999999999999</v>
      </c>
      <c r="T113" s="22">
        <f t="shared" si="12"/>
        <v>2.262</v>
      </c>
      <c r="U113" s="17">
        <v>1.9870000000000001</v>
      </c>
      <c r="V113" s="17">
        <v>1.9830000000000001</v>
      </c>
      <c r="W113" s="22">
        <f t="shared" si="19"/>
        <v>1.9850000000000001</v>
      </c>
      <c r="X113" s="17">
        <v>7.0000000000000007E-2</v>
      </c>
      <c r="Y113" s="17">
        <v>7.0000000000000007E-2</v>
      </c>
      <c r="Z113" s="21">
        <f t="shared" si="13"/>
        <v>7.0000000000000007E-2</v>
      </c>
      <c r="AA113" s="19">
        <v>1.6060000000000001</v>
      </c>
      <c r="AB113" s="19">
        <v>1.629</v>
      </c>
      <c r="AC113" s="21">
        <f t="shared" si="14"/>
        <v>1.6175000000000002</v>
      </c>
      <c r="AD113" s="19">
        <v>0.186</v>
      </c>
      <c r="AE113" s="19">
        <v>0.19600000000000001</v>
      </c>
      <c r="AF113" s="21">
        <f t="shared" si="15"/>
        <v>0.191</v>
      </c>
      <c r="AG113" s="19">
        <v>0.105</v>
      </c>
      <c r="AH113" s="19">
        <v>0.106</v>
      </c>
      <c r="AI113" s="21">
        <f t="shared" si="20"/>
        <v>0.1055</v>
      </c>
      <c r="AJ113" s="19">
        <v>9.4E-2</v>
      </c>
      <c r="AK113" s="19">
        <v>9.4E-2</v>
      </c>
      <c r="AL113" s="21">
        <f t="shared" si="21"/>
        <v>9.4E-2</v>
      </c>
      <c r="AM113" s="19">
        <v>9.9960000000000004</v>
      </c>
      <c r="AN113" s="19">
        <v>10.087</v>
      </c>
      <c r="AO113" s="21">
        <f t="shared" si="16"/>
        <v>10.041499999999999</v>
      </c>
      <c r="AP113" s="46">
        <v>0.1288</v>
      </c>
      <c r="AQ113" s="46">
        <v>0.12970000000000001</v>
      </c>
      <c r="AR113" s="47">
        <f t="shared" si="17"/>
        <v>0.12925</v>
      </c>
      <c r="AS113" s="83">
        <v>7.3</v>
      </c>
      <c r="AT113" s="83">
        <v>3.37</v>
      </c>
      <c r="AU113" s="83"/>
    </row>
    <row r="114" spans="1:47">
      <c r="A114" s="7" t="s">
        <v>33</v>
      </c>
      <c r="B114" s="5" t="s">
        <v>106</v>
      </c>
      <c r="C114" s="6" t="s">
        <v>107</v>
      </c>
      <c r="D114" s="6" t="s">
        <v>36</v>
      </c>
      <c r="E114" s="23">
        <v>17.5</v>
      </c>
      <c r="F114" s="23">
        <v>7.1</v>
      </c>
      <c r="G114" s="49">
        <v>9.4</v>
      </c>
      <c r="H114" s="24">
        <v>131</v>
      </c>
      <c r="I114" s="23">
        <v>1.9</v>
      </c>
      <c r="J114" s="23">
        <v>4.5999999999999996</v>
      </c>
      <c r="K114" s="15">
        <v>3.1</v>
      </c>
      <c r="L114" s="15">
        <v>3.5</v>
      </c>
      <c r="M114" s="15"/>
      <c r="N114" s="20">
        <f t="shared" si="18"/>
        <v>3.3</v>
      </c>
      <c r="O114" s="37">
        <v>2.7</v>
      </c>
      <c r="P114" s="37">
        <v>2.5</v>
      </c>
      <c r="Q114" s="38">
        <f t="shared" si="11"/>
        <v>2.6</v>
      </c>
      <c r="R114" s="17">
        <v>2.3410000000000002</v>
      </c>
      <c r="S114" s="17">
        <v>2.2959999999999998</v>
      </c>
      <c r="T114" s="22">
        <f t="shared" si="12"/>
        <v>2.3185000000000002</v>
      </c>
      <c r="U114" s="17">
        <v>2.0790000000000002</v>
      </c>
      <c r="V114" s="17">
        <v>2.0920000000000001</v>
      </c>
      <c r="W114" s="22">
        <f t="shared" si="19"/>
        <v>2.0855000000000001</v>
      </c>
      <c r="X114" s="17">
        <v>8.1000000000000003E-2</v>
      </c>
      <c r="Y114" s="17">
        <v>0.08</v>
      </c>
      <c r="Z114" s="21">
        <f t="shared" si="13"/>
        <v>8.0500000000000002E-2</v>
      </c>
      <c r="AA114" s="19">
        <v>1.8520000000000001</v>
      </c>
      <c r="AB114" s="19">
        <v>1.905</v>
      </c>
      <c r="AC114" s="21">
        <f t="shared" si="14"/>
        <v>1.8785000000000001</v>
      </c>
      <c r="AD114" s="19">
        <v>0.10100000000000001</v>
      </c>
      <c r="AE114" s="19">
        <v>0.106</v>
      </c>
      <c r="AF114" s="21">
        <f t="shared" si="15"/>
        <v>0.10350000000000001</v>
      </c>
      <c r="AG114" s="19">
        <v>5.8000000000000003E-2</v>
      </c>
      <c r="AH114" s="19">
        <v>5.7000000000000002E-2</v>
      </c>
      <c r="AI114" s="21">
        <f t="shared" si="20"/>
        <v>5.7500000000000002E-2</v>
      </c>
      <c r="AJ114" s="19">
        <v>5.1999999999999998E-2</v>
      </c>
      <c r="AK114" s="19">
        <v>5.1999999999999998E-2</v>
      </c>
      <c r="AL114" s="21">
        <f t="shared" si="21"/>
        <v>5.1999999999999998E-2</v>
      </c>
      <c r="AM114" s="19">
        <v>8.0090000000000003</v>
      </c>
      <c r="AN114" s="19">
        <v>8.1999999999999993</v>
      </c>
      <c r="AO114" s="21">
        <f t="shared" si="16"/>
        <v>8.1044999999999998</v>
      </c>
      <c r="AP114" s="46">
        <v>8.6499999999999994E-2</v>
      </c>
      <c r="AQ114" s="46">
        <v>8.7099999999999997E-2</v>
      </c>
      <c r="AR114" s="47">
        <f t="shared" si="17"/>
        <v>8.6799999999999988E-2</v>
      </c>
      <c r="AS114" s="83">
        <v>6.22</v>
      </c>
      <c r="AT114" s="83">
        <v>2.95</v>
      </c>
    </row>
    <row r="115" spans="1:47">
      <c r="A115" s="7" t="s">
        <v>137</v>
      </c>
      <c r="B115" s="5" t="s">
        <v>138</v>
      </c>
      <c r="C115" s="6"/>
      <c r="D115" s="6"/>
      <c r="E115" s="23">
        <v>17.600000000000001</v>
      </c>
      <c r="F115" s="23">
        <v>6.9</v>
      </c>
      <c r="G115" s="49">
        <v>8.5</v>
      </c>
      <c r="H115" s="24">
        <v>313</v>
      </c>
      <c r="I115" s="23">
        <v>12.1</v>
      </c>
      <c r="J115" s="23">
        <v>16.399999999999999</v>
      </c>
      <c r="K115" s="4">
        <v>13.1</v>
      </c>
      <c r="L115" s="4">
        <v>15.2</v>
      </c>
      <c r="M115" s="4">
        <v>14.8</v>
      </c>
      <c r="N115" s="20">
        <f t="shared" si="18"/>
        <v>14.366666666666665</v>
      </c>
      <c r="O115" s="37">
        <v>5.3</v>
      </c>
      <c r="P115" s="37">
        <v>5.2</v>
      </c>
      <c r="Q115" s="38">
        <f t="shared" si="11"/>
        <v>5.25</v>
      </c>
      <c r="R115" s="17">
        <v>9.9</v>
      </c>
      <c r="S115" s="17">
        <v>9.9350000000000005</v>
      </c>
      <c r="T115" s="22">
        <f t="shared" si="12"/>
        <v>9.9175000000000004</v>
      </c>
      <c r="U115" s="4">
        <v>8.0820000000000007</v>
      </c>
      <c r="V115" s="4">
        <v>8.0570000000000004</v>
      </c>
      <c r="W115" s="42">
        <f t="shared" si="19"/>
        <v>8.0695000000000014</v>
      </c>
      <c r="X115" s="17">
        <v>3.61</v>
      </c>
      <c r="Y115" s="17">
        <v>3.5640000000000001</v>
      </c>
      <c r="Z115" s="21">
        <f t="shared" si="13"/>
        <v>3.5869999999999997</v>
      </c>
      <c r="AA115" s="19">
        <v>3.8639999999999999</v>
      </c>
      <c r="AB115" s="19">
        <v>3.992</v>
      </c>
      <c r="AC115" s="21">
        <f t="shared" si="14"/>
        <v>3.9279999999999999</v>
      </c>
      <c r="AD115" s="19">
        <v>0.79800000000000004</v>
      </c>
      <c r="AE115" s="19">
        <v>0.80200000000000005</v>
      </c>
      <c r="AF115" s="21">
        <f t="shared" si="15"/>
        <v>0.8</v>
      </c>
      <c r="AG115" s="5">
        <v>0.28599999999999998</v>
      </c>
      <c r="AH115" s="5">
        <v>0.28499999999999998</v>
      </c>
      <c r="AI115" s="43">
        <f t="shared" si="20"/>
        <v>0.28549999999999998</v>
      </c>
      <c r="AJ115" s="5">
        <v>0.27600000000000002</v>
      </c>
      <c r="AK115" s="5">
        <v>0.26800000000000002</v>
      </c>
      <c r="AL115" s="43">
        <f t="shared" si="21"/>
        <v>0.27200000000000002</v>
      </c>
      <c r="AM115" s="19">
        <v>33.463999999999999</v>
      </c>
      <c r="AN115" s="19">
        <v>34.417000000000002</v>
      </c>
      <c r="AO115" s="21">
        <f t="shared" si="16"/>
        <v>33.9405</v>
      </c>
      <c r="AP115" s="46">
        <v>0.1031</v>
      </c>
      <c r="AQ115" s="46">
        <v>0.1047</v>
      </c>
      <c r="AR115" s="47">
        <f t="shared" si="17"/>
        <v>0.10389999999999999</v>
      </c>
      <c r="AS115" s="89">
        <v>11.48</v>
      </c>
      <c r="AT115" s="89">
        <v>0.36</v>
      </c>
    </row>
    <row r="116" spans="1:47">
      <c r="A116" s="8" t="s">
        <v>136</v>
      </c>
      <c r="B116" s="9" t="s">
        <v>34</v>
      </c>
      <c r="C116" s="10" t="s">
        <v>35</v>
      </c>
      <c r="D116" s="10" t="s">
        <v>36</v>
      </c>
      <c r="E116" s="20">
        <v>19</v>
      </c>
      <c r="F116" s="20">
        <v>8.1</v>
      </c>
      <c r="G116" s="40">
        <v>167</v>
      </c>
      <c r="H116" s="20">
        <v>9.3000000000000007</v>
      </c>
      <c r="I116" s="20">
        <v>1.8</v>
      </c>
      <c r="J116" s="20">
        <v>5.3</v>
      </c>
      <c r="K116" s="50">
        <v>3.7</v>
      </c>
      <c r="L116" s="50">
        <v>3.6</v>
      </c>
      <c r="M116" s="50"/>
      <c r="N116" s="49">
        <f>ROUND(AVERAGE(K116:M116),1)</f>
        <v>3.7</v>
      </c>
      <c r="O116" s="36">
        <v>3.4</v>
      </c>
      <c r="P116" s="36">
        <v>3.2</v>
      </c>
      <c r="Q116" s="38">
        <f>ROUND(AVERAGE(O116:P116),1)</f>
        <v>3.3</v>
      </c>
      <c r="R116" s="16">
        <v>1.3049999999999999</v>
      </c>
      <c r="S116" s="16">
        <v>1.3360000000000001</v>
      </c>
      <c r="T116" s="22">
        <f>ROUND(AVERAGE(R116:S116),3)</f>
        <v>1.321</v>
      </c>
      <c r="U116" s="16">
        <v>1.1990000000000001</v>
      </c>
      <c r="V116" s="16">
        <v>1.198</v>
      </c>
      <c r="W116" s="22">
        <f>ROUND(AVERAGE(U116:V116),3)</f>
        <v>1.1990000000000001</v>
      </c>
      <c r="X116" s="16">
        <v>9.0999999999999998E-2</v>
      </c>
      <c r="Y116" s="16">
        <v>8.6999999999999994E-2</v>
      </c>
      <c r="Z116" s="21">
        <f>ROUND(AVERAGE(X116:Y116),3)</f>
        <v>8.8999999999999996E-2</v>
      </c>
      <c r="AA116" s="18">
        <v>0.73977830885771978</v>
      </c>
      <c r="AB116" s="18">
        <v>0.74727116721616127</v>
      </c>
      <c r="AC116" s="21">
        <f>ROUND(AVERAGE(AA116:AB116),3)</f>
        <v>0.74399999999999999</v>
      </c>
      <c r="AD116" s="18">
        <v>7.1999999999999995E-2</v>
      </c>
      <c r="AE116" s="18">
        <v>7.1999999999999995E-2</v>
      </c>
      <c r="AF116" s="21">
        <f>ROUND(AVERAGE(AD116:AE116),3)</f>
        <v>7.1999999999999995E-2</v>
      </c>
      <c r="AG116" s="29">
        <v>0.04</v>
      </c>
      <c r="AH116" s="29">
        <v>3.6999999999999998E-2</v>
      </c>
      <c r="AI116" s="31">
        <f>ROUND(AVERAGE(AG116:AH116),3)</f>
        <v>3.9E-2</v>
      </c>
      <c r="AJ116" s="29">
        <v>2.3E-2</v>
      </c>
      <c r="AK116" s="29">
        <v>2.1000000000000001E-2</v>
      </c>
      <c r="AL116" s="31">
        <f>ROUND(AVERAGE(AJ116:AK116),3)</f>
        <v>2.1999999999999999E-2</v>
      </c>
      <c r="AM116" s="18">
        <v>14.944607250764168</v>
      </c>
      <c r="AN116" s="18">
        <v>14.827837417653619</v>
      </c>
      <c r="AO116" s="21">
        <f>ROUND(AVERAGE(AM116:AN116),3)</f>
        <v>14.885999999999999</v>
      </c>
      <c r="AP116" s="44">
        <v>9.7900000000000001E-2</v>
      </c>
      <c r="AQ116" s="44">
        <v>9.5299999999999996E-2</v>
      </c>
      <c r="AR116" s="45">
        <f>ROUND(AVERAGE(AP116:AQ116),4)</f>
        <v>9.6600000000000005E-2</v>
      </c>
      <c r="AS116" s="90">
        <v>7.07</v>
      </c>
      <c r="AT116" s="90">
        <v>-0.39</v>
      </c>
    </row>
    <row r="117" spans="1:47">
      <c r="A117" s="7" t="s">
        <v>37</v>
      </c>
      <c r="B117" s="5" t="s">
        <v>38</v>
      </c>
      <c r="C117" s="6" t="s">
        <v>39</v>
      </c>
      <c r="D117" s="6" t="s">
        <v>40</v>
      </c>
      <c r="E117" s="23">
        <v>19.5</v>
      </c>
      <c r="F117" s="23">
        <v>7.7</v>
      </c>
      <c r="G117" s="41">
        <v>92</v>
      </c>
      <c r="H117" s="23">
        <v>8.3000000000000007</v>
      </c>
      <c r="I117" s="23">
        <v>1.8</v>
      </c>
      <c r="J117" s="23">
        <v>4.5999999999999996</v>
      </c>
      <c r="K117" s="50">
        <v>3.4</v>
      </c>
      <c r="L117" s="50">
        <v>3.2</v>
      </c>
      <c r="M117" s="50"/>
      <c r="N117" s="49">
        <f t="shared" ref="N117:N151" si="22">ROUND(AVERAGE(K117:M117),1)</f>
        <v>3.3</v>
      </c>
      <c r="O117" s="37">
        <v>2.8</v>
      </c>
      <c r="P117" s="37">
        <v>2.7</v>
      </c>
      <c r="Q117" s="38">
        <f t="shared" ref="Q117:Q153" si="23">ROUND(AVERAGE(O117:P117),1)</f>
        <v>2.8</v>
      </c>
      <c r="R117" s="17">
        <v>1.0609999999999999</v>
      </c>
      <c r="S117" s="17">
        <v>1.087</v>
      </c>
      <c r="T117" s="22">
        <f t="shared" ref="T117:T154" si="24">ROUND(AVERAGE(R117:S117),3)</f>
        <v>1.0740000000000001</v>
      </c>
      <c r="U117" s="17">
        <v>0.94399999999999995</v>
      </c>
      <c r="V117" s="17">
        <v>0.95</v>
      </c>
      <c r="W117" s="22">
        <f t="shared" ref="W117:W155" si="25">ROUND(AVERAGE(U117:V117),3)</f>
        <v>0.94699999999999995</v>
      </c>
      <c r="X117" s="17">
        <v>6.4000000000000001E-2</v>
      </c>
      <c r="Y117" s="17">
        <v>6.4000000000000001E-2</v>
      </c>
      <c r="Z117" s="21">
        <f t="shared" ref="Z117:Z154" si="26">ROUND(AVERAGE(X117:Y117),3)</f>
        <v>6.4000000000000001E-2</v>
      </c>
      <c r="AA117" s="19">
        <v>0.64390126346597498</v>
      </c>
      <c r="AB117" s="19">
        <v>0.64860174319027231</v>
      </c>
      <c r="AC117" s="21">
        <f t="shared" ref="AC117:AC155" si="27">ROUND(AVERAGE(AA117:AB117),3)</f>
        <v>0.64600000000000002</v>
      </c>
      <c r="AD117" s="19">
        <v>7.1999999999999995E-2</v>
      </c>
      <c r="AE117" s="19">
        <v>7.0000000000000007E-2</v>
      </c>
      <c r="AF117" s="21">
        <f t="shared" ref="AF117:AF154" si="28">ROUND(AVERAGE(AD117:AE117),3)</f>
        <v>7.0999999999999994E-2</v>
      </c>
      <c r="AG117" s="30">
        <v>2.3E-2</v>
      </c>
      <c r="AH117" s="30">
        <v>2.3E-2</v>
      </c>
      <c r="AI117" s="31">
        <f t="shared" ref="AI117:AI155" si="29">ROUND(AVERAGE(AG117:AH117),3)</f>
        <v>2.3E-2</v>
      </c>
      <c r="AJ117" s="30">
        <v>8.9999999999999993E-3</v>
      </c>
      <c r="AK117" s="30">
        <v>0.01</v>
      </c>
      <c r="AL117" s="31">
        <f t="shared" ref="AL117:AL155" si="30">ROUND(AVERAGE(AJ117:AK117),3)</f>
        <v>0.01</v>
      </c>
      <c r="AM117" s="19">
        <v>5.4684932126804853</v>
      </c>
      <c r="AN117" s="19">
        <v>5.4295917887725578</v>
      </c>
      <c r="AO117" s="21">
        <f t="shared" ref="AO117:AO155" si="31">ROUND(AVERAGE(AM117:AN117),3)</f>
        <v>5.4489999999999998</v>
      </c>
      <c r="AP117" s="46">
        <v>9.5500000000000002E-2</v>
      </c>
      <c r="AQ117" s="46">
        <v>9.3600000000000003E-2</v>
      </c>
      <c r="AR117" s="45">
        <f t="shared" ref="AR117:AR155" si="32">ROUND(AVERAGE(AP117:AQ117),4)</f>
        <v>9.4600000000000004E-2</v>
      </c>
      <c r="AS117" s="89">
        <v>6.27</v>
      </c>
      <c r="AT117" s="89">
        <v>2.06</v>
      </c>
      <c r="AU117" s="89"/>
    </row>
    <row r="118" spans="1:47">
      <c r="A118" s="7" t="s">
        <v>0</v>
      </c>
      <c r="B118" s="5" t="s">
        <v>41</v>
      </c>
      <c r="C118" s="6" t="s">
        <v>42</v>
      </c>
      <c r="D118" s="6" t="s">
        <v>36</v>
      </c>
      <c r="E118" s="23">
        <v>19.8</v>
      </c>
      <c r="F118" s="23">
        <v>7</v>
      </c>
      <c r="G118" s="41">
        <v>114</v>
      </c>
      <c r="H118" s="23">
        <v>9.4</v>
      </c>
      <c r="I118" s="23">
        <v>2.2999999999999998</v>
      </c>
      <c r="J118" s="23">
        <v>6.4</v>
      </c>
      <c r="K118" s="50">
        <v>4.3</v>
      </c>
      <c r="L118" s="50">
        <v>4.0999999999999996</v>
      </c>
      <c r="M118" s="50"/>
      <c r="N118" s="49">
        <f t="shared" si="22"/>
        <v>4.2</v>
      </c>
      <c r="O118" s="37">
        <v>3.4</v>
      </c>
      <c r="P118" s="37">
        <v>3.3</v>
      </c>
      <c r="Q118" s="38">
        <f t="shared" si="23"/>
        <v>3.4</v>
      </c>
      <c r="R118" s="17">
        <v>1.403</v>
      </c>
      <c r="S118" s="17">
        <v>1.385</v>
      </c>
      <c r="T118" s="22">
        <f t="shared" si="24"/>
        <v>1.3939999999999999</v>
      </c>
      <c r="U118" s="17">
        <v>1.1839999999999999</v>
      </c>
      <c r="V118" s="17">
        <v>1.175</v>
      </c>
      <c r="W118" s="22">
        <f t="shared" si="25"/>
        <v>1.18</v>
      </c>
      <c r="X118" s="17">
        <v>8.1000000000000003E-2</v>
      </c>
      <c r="Y118" s="17">
        <v>9.5000000000000001E-2</v>
      </c>
      <c r="Z118" s="21">
        <f t="shared" si="26"/>
        <v>8.7999999999999995E-2</v>
      </c>
      <c r="AA118" s="19">
        <v>0.7148780882871878</v>
      </c>
      <c r="AB118" s="19">
        <v>0.71487983110392572</v>
      </c>
      <c r="AC118" s="21">
        <f t="shared" si="27"/>
        <v>0.71499999999999997</v>
      </c>
      <c r="AD118" s="19">
        <v>0.124</v>
      </c>
      <c r="AE118" s="19">
        <v>0.12</v>
      </c>
      <c r="AF118" s="21">
        <f t="shared" si="28"/>
        <v>0.122</v>
      </c>
      <c r="AG118" s="30">
        <v>4.2000000000000003E-2</v>
      </c>
      <c r="AH118" s="30">
        <v>4.2000000000000003E-2</v>
      </c>
      <c r="AI118" s="31">
        <f t="shared" si="29"/>
        <v>4.2000000000000003E-2</v>
      </c>
      <c r="AJ118" s="30">
        <v>2.5000000000000001E-2</v>
      </c>
      <c r="AK118" s="30">
        <v>2.5000000000000001E-2</v>
      </c>
      <c r="AL118" s="31">
        <f t="shared" si="30"/>
        <v>2.5000000000000001E-2</v>
      </c>
      <c r="AM118" s="19">
        <v>7.9391584356414606</v>
      </c>
      <c r="AN118" s="19">
        <v>7.8867915860679512</v>
      </c>
      <c r="AO118" s="21">
        <f t="shared" si="31"/>
        <v>7.9130000000000003</v>
      </c>
      <c r="AP118" s="46">
        <v>0.12039999999999999</v>
      </c>
      <c r="AQ118" s="46">
        <v>0.1182</v>
      </c>
      <c r="AR118" s="45">
        <f t="shared" si="32"/>
        <v>0.1193</v>
      </c>
      <c r="AS118" s="89">
        <v>7.17</v>
      </c>
      <c r="AT118" s="89">
        <v>1.43</v>
      </c>
    </row>
    <row r="119" spans="1:47">
      <c r="A119" s="7" t="s">
        <v>1</v>
      </c>
      <c r="B119" s="5" t="s">
        <v>43</v>
      </c>
      <c r="C119" s="6" t="s">
        <v>44</v>
      </c>
      <c r="D119" s="6" t="s">
        <v>45</v>
      </c>
      <c r="E119" s="23">
        <v>18.8</v>
      </c>
      <c r="F119" s="23">
        <v>7.1</v>
      </c>
      <c r="G119" s="41">
        <v>109</v>
      </c>
      <c r="H119" s="23">
        <v>9.3000000000000007</v>
      </c>
      <c r="I119" s="23">
        <v>2.2000000000000002</v>
      </c>
      <c r="J119" s="23">
        <v>5</v>
      </c>
      <c r="K119" s="50">
        <v>3.5</v>
      </c>
      <c r="L119" s="50">
        <v>3.5</v>
      </c>
      <c r="M119" s="50"/>
      <c r="N119" s="49">
        <f t="shared" si="22"/>
        <v>3.5</v>
      </c>
      <c r="O119" s="37">
        <v>3.3</v>
      </c>
      <c r="P119" s="37">
        <v>3.3</v>
      </c>
      <c r="Q119" s="38">
        <f t="shared" si="23"/>
        <v>3.3</v>
      </c>
      <c r="R119" s="17">
        <v>2.82</v>
      </c>
      <c r="S119" s="17">
        <v>2.802</v>
      </c>
      <c r="T119" s="22">
        <f t="shared" si="24"/>
        <v>2.8109999999999999</v>
      </c>
      <c r="U119" s="17">
        <v>2.74</v>
      </c>
      <c r="V119" s="17">
        <v>2.742</v>
      </c>
      <c r="W119" s="22">
        <f t="shared" si="25"/>
        <v>2.7410000000000001</v>
      </c>
      <c r="X119" s="17">
        <v>1.0109999999999999</v>
      </c>
      <c r="Y119" s="17">
        <v>1.018</v>
      </c>
      <c r="Z119" s="21">
        <f t="shared" si="26"/>
        <v>1.0149999999999999</v>
      </c>
      <c r="AA119" s="19">
        <v>0.70907500967155102</v>
      </c>
      <c r="AB119" s="19">
        <v>0.72309547539046048</v>
      </c>
      <c r="AC119" s="21">
        <f t="shared" si="27"/>
        <v>0.71599999999999997</v>
      </c>
      <c r="AD119" s="19">
        <v>7.3999999999999996E-2</v>
      </c>
      <c r="AE119" s="19">
        <v>6.6000000000000003E-2</v>
      </c>
      <c r="AF119" s="21">
        <f t="shared" si="28"/>
        <v>7.0000000000000007E-2</v>
      </c>
      <c r="AG119" s="30">
        <v>3.6999999999999998E-2</v>
      </c>
      <c r="AH119" s="30">
        <v>3.5999999999999997E-2</v>
      </c>
      <c r="AI119" s="31">
        <f t="shared" si="29"/>
        <v>3.6999999999999998E-2</v>
      </c>
      <c r="AJ119" s="30">
        <v>2.7E-2</v>
      </c>
      <c r="AK119" s="30">
        <v>2.5999999999999999E-2</v>
      </c>
      <c r="AL119" s="31">
        <f t="shared" si="30"/>
        <v>2.7E-2</v>
      </c>
      <c r="AM119" s="19">
        <v>7.2147629392034318</v>
      </c>
      <c r="AN119" s="19">
        <v>7.226007939807408</v>
      </c>
      <c r="AO119" s="21">
        <f t="shared" si="31"/>
        <v>7.22</v>
      </c>
      <c r="AP119" s="46">
        <v>0.10440000000000001</v>
      </c>
      <c r="AQ119" s="46">
        <v>0.1014</v>
      </c>
      <c r="AR119" s="45">
        <f t="shared" si="32"/>
        <v>0.10290000000000001</v>
      </c>
      <c r="AS119" s="91">
        <v>-1.51</v>
      </c>
      <c r="AT119" s="91">
        <v>-4.58</v>
      </c>
      <c r="AU119" s="91"/>
    </row>
    <row r="120" spans="1:47">
      <c r="A120" s="7" t="s">
        <v>2</v>
      </c>
      <c r="B120" s="5" t="s">
        <v>46</v>
      </c>
      <c r="C120" s="6" t="s">
        <v>47</v>
      </c>
      <c r="D120" s="6" t="s">
        <v>36</v>
      </c>
      <c r="E120" s="23">
        <v>19.899999999999999</v>
      </c>
      <c r="F120" s="23">
        <v>6.8</v>
      </c>
      <c r="G120" s="41">
        <v>122</v>
      </c>
      <c r="H120" s="23">
        <v>7.9</v>
      </c>
      <c r="I120" s="23">
        <v>2.6</v>
      </c>
      <c r="J120" s="23">
        <v>6.2</v>
      </c>
      <c r="K120" s="50">
        <v>4.3</v>
      </c>
      <c r="L120" s="50">
        <v>4.2</v>
      </c>
      <c r="M120" s="50"/>
      <c r="N120" s="49">
        <f t="shared" si="22"/>
        <v>4.3</v>
      </c>
      <c r="O120" s="37">
        <v>3.7</v>
      </c>
      <c r="P120" s="37">
        <v>3.6</v>
      </c>
      <c r="Q120" s="38">
        <f t="shared" si="23"/>
        <v>3.7</v>
      </c>
      <c r="R120" s="17">
        <v>1.647</v>
      </c>
      <c r="S120" s="17">
        <v>1.627</v>
      </c>
      <c r="T120" s="22">
        <f t="shared" si="24"/>
        <v>1.637</v>
      </c>
      <c r="U120" s="17">
        <v>1.502</v>
      </c>
      <c r="V120" s="17">
        <v>1.4850000000000001</v>
      </c>
      <c r="W120" s="22">
        <f t="shared" si="25"/>
        <v>1.494</v>
      </c>
      <c r="X120" s="17">
        <v>0.247</v>
      </c>
      <c r="Y120" s="17">
        <v>0.24399999999999999</v>
      </c>
      <c r="Z120" s="21">
        <f t="shared" si="26"/>
        <v>0.246</v>
      </c>
      <c r="AA120" s="19">
        <v>0.76737479385504026</v>
      </c>
      <c r="AB120" s="19">
        <v>0.78277916110668533</v>
      </c>
      <c r="AC120" s="21">
        <f t="shared" si="27"/>
        <v>0.77500000000000002</v>
      </c>
      <c r="AD120" s="19">
        <v>0.13</v>
      </c>
      <c r="AE120" s="19">
        <v>0.123</v>
      </c>
      <c r="AF120" s="21">
        <f t="shared" si="28"/>
        <v>0.127</v>
      </c>
      <c r="AG120" s="30">
        <v>5.0999999999999997E-2</v>
      </c>
      <c r="AH120" s="30">
        <v>5.1999999999999998E-2</v>
      </c>
      <c r="AI120" s="31">
        <f t="shared" si="29"/>
        <v>5.1999999999999998E-2</v>
      </c>
      <c r="AJ120" s="30">
        <v>0.04</v>
      </c>
      <c r="AK120" s="30">
        <v>3.9E-2</v>
      </c>
      <c r="AL120" s="31">
        <f t="shared" si="30"/>
        <v>0.04</v>
      </c>
      <c r="AM120" s="19">
        <v>8.7764830508399125</v>
      </c>
      <c r="AN120" s="19">
        <v>8.8764765852196081</v>
      </c>
      <c r="AO120" s="21">
        <f t="shared" si="31"/>
        <v>8.8260000000000005</v>
      </c>
      <c r="AP120" s="46">
        <v>0.1205</v>
      </c>
      <c r="AQ120" s="46">
        <v>0.1177</v>
      </c>
      <c r="AR120" s="45">
        <f t="shared" si="32"/>
        <v>0.1191</v>
      </c>
      <c r="AS120" s="89">
        <v>5.73</v>
      </c>
      <c r="AT120" s="89">
        <v>1.85</v>
      </c>
    </row>
    <row r="121" spans="1:47">
      <c r="A121" s="7" t="s">
        <v>3</v>
      </c>
      <c r="B121" s="5" t="s">
        <v>46</v>
      </c>
      <c r="C121" s="6" t="s">
        <v>44</v>
      </c>
      <c r="D121" s="6" t="s">
        <v>48</v>
      </c>
      <c r="E121" s="23">
        <v>19.8</v>
      </c>
      <c r="F121" s="23">
        <v>7.1</v>
      </c>
      <c r="G121" s="41">
        <v>105</v>
      </c>
      <c r="H121" s="23">
        <v>9</v>
      </c>
      <c r="I121" s="23">
        <v>2.8</v>
      </c>
      <c r="J121" s="23">
        <v>6.4</v>
      </c>
      <c r="K121" s="50">
        <v>4.4000000000000004</v>
      </c>
      <c r="L121" s="50">
        <v>4.2</v>
      </c>
      <c r="M121" s="50"/>
      <c r="N121" s="49">
        <f t="shared" si="22"/>
        <v>4.3</v>
      </c>
      <c r="O121" s="37">
        <v>3.6</v>
      </c>
      <c r="P121" s="37">
        <v>3.5</v>
      </c>
      <c r="Q121" s="38">
        <f t="shared" si="23"/>
        <v>3.6</v>
      </c>
      <c r="R121" s="17">
        <v>1.153</v>
      </c>
      <c r="S121" s="17">
        <v>1.194</v>
      </c>
      <c r="T121" s="22">
        <f t="shared" si="24"/>
        <v>1.1739999999999999</v>
      </c>
      <c r="U121" s="17">
        <v>1.0069999999999999</v>
      </c>
      <c r="V121" s="17">
        <v>1.0109999999999999</v>
      </c>
      <c r="W121" s="22">
        <f t="shared" si="25"/>
        <v>1.0089999999999999</v>
      </c>
      <c r="X121" s="17">
        <v>9.4E-2</v>
      </c>
      <c r="Y121" s="17">
        <v>9.5000000000000001E-2</v>
      </c>
      <c r="Z121" s="21">
        <f t="shared" si="26"/>
        <v>9.5000000000000001E-2</v>
      </c>
      <c r="AA121" s="19">
        <v>0.55330241146384052</v>
      </c>
      <c r="AB121" s="19">
        <v>0.57121940793232517</v>
      </c>
      <c r="AC121" s="21">
        <f t="shared" si="27"/>
        <v>0.56200000000000006</v>
      </c>
      <c r="AD121" s="19">
        <v>8.6999999999999994E-2</v>
      </c>
      <c r="AE121" s="19">
        <v>8.4000000000000005E-2</v>
      </c>
      <c r="AF121" s="21">
        <f t="shared" si="28"/>
        <v>8.5999999999999993E-2</v>
      </c>
      <c r="AG121" s="30">
        <v>2.9000000000000001E-2</v>
      </c>
      <c r="AH121" s="30">
        <v>2.8000000000000001E-2</v>
      </c>
      <c r="AI121" s="31">
        <f t="shared" si="29"/>
        <v>2.9000000000000001E-2</v>
      </c>
      <c r="AJ121" s="30">
        <v>1.6E-2</v>
      </c>
      <c r="AK121" s="30">
        <v>1.7000000000000001E-2</v>
      </c>
      <c r="AL121" s="31">
        <f t="shared" si="30"/>
        <v>1.7000000000000001E-2</v>
      </c>
      <c r="AM121" s="19">
        <v>6.450929316107751</v>
      </c>
      <c r="AN121" s="19">
        <v>6.5338495163517454</v>
      </c>
      <c r="AO121" s="21">
        <f t="shared" si="31"/>
        <v>6.492</v>
      </c>
      <c r="AP121" s="46">
        <v>0.1132</v>
      </c>
      <c r="AQ121" s="46">
        <v>0.1116</v>
      </c>
      <c r="AR121" s="45">
        <f t="shared" si="32"/>
        <v>0.1124</v>
      </c>
      <c r="AS121" s="89">
        <v>5.15</v>
      </c>
      <c r="AT121" s="89">
        <v>1.1200000000000001</v>
      </c>
      <c r="AU121" s="89"/>
    </row>
    <row r="122" spans="1:47">
      <c r="A122" s="7" t="s">
        <v>4</v>
      </c>
      <c r="B122" s="5" t="s">
        <v>49</v>
      </c>
      <c r="C122" s="6" t="s">
        <v>44</v>
      </c>
      <c r="D122" s="6" t="s">
        <v>36</v>
      </c>
      <c r="E122" s="23">
        <v>19.7</v>
      </c>
      <c r="F122" s="23">
        <v>7.1</v>
      </c>
      <c r="G122" s="41">
        <v>126</v>
      </c>
      <c r="H122" s="23">
        <v>8.1</v>
      </c>
      <c r="I122" s="23">
        <v>2.2000000000000002</v>
      </c>
      <c r="J122" s="23">
        <v>6.5</v>
      </c>
      <c r="K122" s="50">
        <v>4.5</v>
      </c>
      <c r="L122" s="50">
        <v>4.4000000000000004</v>
      </c>
      <c r="M122" s="50"/>
      <c r="N122" s="49">
        <f t="shared" si="22"/>
        <v>4.5</v>
      </c>
      <c r="O122" s="37">
        <v>4</v>
      </c>
      <c r="P122" s="37">
        <v>3.9</v>
      </c>
      <c r="Q122" s="38">
        <f t="shared" si="23"/>
        <v>4</v>
      </c>
      <c r="R122" s="17">
        <v>1.5029999999999999</v>
      </c>
      <c r="S122" s="17">
        <v>1.56</v>
      </c>
      <c r="T122" s="22">
        <f t="shared" si="24"/>
        <v>1.532</v>
      </c>
      <c r="U122" s="17">
        <v>1.36</v>
      </c>
      <c r="V122" s="17">
        <v>1.373</v>
      </c>
      <c r="W122" s="22">
        <f t="shared" si="25"/>
        <v>1.367</v>
      </c>
      <c r="X122" s="17">
        <v>0.17</v>
      </c>
      <c r="Y122" s="17">
        <v>0.17299999999999999</v>
      </c>
      <c r="Z122" s="21">
        <f t="shared" si="26"/>
        <v>0.17199999999999999</v>
      </c>
      <c r="AA122" s="19">
        <v>0.73111395021882841</v>
      </c>
      <c r="AB122" s="19">
        <v>0.72868389687160173</v>
      </c>
      <c r="AC122" s="21">
        <f t="shared" si="27"/>
        <v>0.73</v>
      </c>
      <c r="AD122" s="19">
        <v>8.8999999999999996E-2</v>
      </c>
      <c r="AE122" s="19">
        <v>8.7999999999999995E-2</v>
      </c>
      <c r="AF122" s="21">
        <f t="shared" si="28"/>
        <v>8.8999999999999996E-2</v>
      </c>
      <c r="AG122" s="30">
        <v>3.7999999999999999E-2</v>
      </c>
      <c r="AH122" s="30">
        <v>3.7999999999999999E-2</v>
      </c>
      <c r="AI122" s="31">
        <f t="shared" si="29"/>
        <v>3.7999999999999999E-2</v>
      </c>
      <c r="AJ122" s="30">
        <v>2.3E-2</v>
      </c>
      <c r="AK122" s="30">
        <v>2.4E-2</v>
      </c>
      <c r="AL122" s="31">
        <f t="shared" si="30"/>
        <v>2.4E-2</v>
      </c>
      <c r="AM122" s="19">
        <v>9.0460870182105371</v>
      </c>
      <c r="AN122" s="19">
        <v>8.9174766028121706</v>
      </c>
      <c r="AO122" s="21">
        <f t="shared" si="31"/>
        <v>8.9819999999999993</v>
      </c>
      <c r="AP122" s="46">
        <v>0.123</v>
      </c>
      <c r="AQ122" s="46">
        <v>0.12180000000000001</v>
      </c>
      <c r="AR122" s="45">
        <f t="shared" si="32"/>
        <v>0.12239999999999999</v>
      </c>
      <c r="AS122" s="89">
        <v>5.49</v>
      </c>
      <c r="AT122" s="89">
        <v>0.44</v>
      </c>
    </row>
    <row r="123" spans="1:47">
      <c r="A123" s="7" t="s">
        <v>5</v>
      </c>
      <c r="B123" s="5" t="s">
        <v>50</v>
      </c>
      <c r="C123" s="6" t="s">
        <v>42</v>
      </c>
      <c r="D123" s="6" t="s">
        <v>51</v>
      </c>
      <c r="E123" s="23">
        <v>18.8</v>
      </c>
      <c r="F123" s="23">
        <v>7.2</v>
      </c>
      <c r="G123" s="41">
        <v>132</v>
      </c>
      <c r="H123" s="23">
        <v>9.1</v>
      </c>
      <c r="I123" s="23">
        <v>1.8</v>
      </c>
      <c r="J123" s="23">
        <v>5.0999999999999996</v>
      </c>
      <c r="K123" s="50">
        <v>3.8</v>
      </c>
      <c r="L123" s="50">
        <v>3.6</v>
      </c>
      <c r="M123" s="50"/>
      <c r="N123" s="49">
        <f t="shared" si="22"/>
        <v>3.7</v>
      </c>
      <c r="O123" s="37">
        <v>3.4</v>
      </c>
      <c r="P123" s="37">
        <v>3.3</v>
      </c>
      <c r="Q123" s="38">
        <f t="shared" si="23"/>
        <v>3.4</v>
      </c>
      <c r="R123" s="17">
        <v>2.56</v>
      </c>
      <c r="S123" s="17">
        <v>2.516</v>
      </c>
      <c r="T123" s="22">
        <f t="shared" si="24"/>
        <v>2.5379999999999998</v>
      </c>
      <c r="U123" s="17">
        <v>2.4590000000000001</v>
      </c>
      <c r="V123" s="17">
        <v>2.4630000000000001</v>
      </c>
      <c r="W123" s="22">
        <f t="shared" si="25"/>
        <v>2.4609999999999999</v>
      </c>
      <c r="X123" s="17">
        <v>0.115</v>
      </c>
      <c r="Y123" s="17">
        <v>0.113</v>
      </c>
      <c r="Z123" s="21">
        <f t="shared" si="26"/>
        <v>0.114</v>
      </c>
      <c r="AA123" s="19">
        <v>1.7539099130489535</v>
      </c>
      <c r="AB123" s="19">
        <v>1.7741891442577493</v>
      </c>
      <c r="AC123" s="21">
        <f t="shared" si="27"/>
        <v>1.764</v>
      </c>
      <c r="AD123" s="19">
        <v>0.23</v>
      </c>
      <c r="AE123" s="19">
        <v>0.22</v>
      </c>
      <c r="AF123" s="21">
        <f t="shared" si="28"/>
        <v>0.22500000000000001</v>
      </c>
      <c r="AG123" s="30">
        <v>0.17699999999999999</v>
      </c>
      <c r="AH123" s="30">
        <v>0.18</v>
      </c>
      <c r="AI123" s="31">
        <f t="shared" si="29"/>
        <v>0.17899999999999999</v>
      </c>
      <c r="AJ123" s="30">
        <v>0.17599999999999999</v>
      </c>
      <c r="AK123" s="30">
        <v>0.17599999999999999</v>
      </c>
      <c r="AL123" s="31">
        <f t="shared" si="30"/>
        <v>0.17599999999999999</v>
      </c>
      <c r="AM123" s="19">
        <v>9.2355922097683614</v>
      </c>
      <c r="AN123" s="19">
        <v>9.2775786527799617</v>
      </c>
      <c r="AO123" s="21">
        <f t="shared" si="31"/>
        <v>9.2569999999999997</v>
      </c>
      <c r="AP123" s="46">
        <v>0.1013</v>
      </c>
      <c r="AQ123" s="46">
        <v>0.1003</v>
      </c>
      <c r="AR123" s="45">
        <f t="shared" si="32"/>
        <v>0.1008</v>
      </c>
      <c r="AS123" s="89">
        <v>9.11</v>
      </c>
      <c r="AT123" s="89">
        <v>7.68</v>
      </c>
      <c r="AU123" s="89"/>
    </row>
    <row r="124" spans="1:47">
      <c r="A124" s="7" t="s">
        <v>6</v>
      </c>
      <c r="B124" s="5" t="s">
        <v>52</v>
      </c>
      <c r="C124" s="6" t="s">
        <v>53</v>
      </c>
      <c r="D124" s="6" t="s">
        <v>36</v>
      </c>
      <c r="E124" s="23">
        <v>20.5</v>
      </c>
      <c r="F124" s="23">
        <v>7.5</v>
      </c>
      <c r="G124" s="41">
        <v>125</v>
      </c>
      <c r="H124" s="23">
        <v>8.8000000000000007</v>
      </c>
      <c r="I124" s="23">
        <v>2.4</v>
      </c>
      <c r="J124" s="23">
        <v>5.8</v>
      </c>
      <c r="K124" s="50">
        <v>4.3</v>
      </c>
      <c r="L124" s="50">
        <v>4.0999999999999996</v>
      </c>
      <c r="M124" s="50"/>
      <c r="N124" s="49">
        <f t="shared" si="22"/>
        <v>4.2</v>
      </c>
      <c r="O124" s="37">
        <v>3.7</v>
      </c>
      <c r="P124" s="37">
        <v>3.6</v>
      </c>
      <c r="Q124" s="38">
        <f t="shared" si="23"/>
        <v>3.7</v>
      </c>
      <c r="R124" s="17">
        <v>1.6319999999999999</v>
      </c>
      <c r="S124" s="17">
        <v>1.647</v>
      </c>
      <c r="T124" s="22">
        <f t="shared" si="24"/>
        <v>1.64</v>
      </c>
      <c r="U124" s="17">
        <v>1.512</v>
      </c>
      <c r="V124" s="17">
        <v>1.5029999999999999</v>
      </c>
      <c r="W124" s="22">
        <f t="shared" si="25"/>
        <v>1.508</v>
      </c>
      <c r="X124" s="17">
        <v>0.126</v>
      </c>
      <c r="Y124" s="17">
        <v>0.127</v>
      </c>
      <c r="Z124" s="21">
        <f t="shared" si="26"/>
        <v>0.127</v>
      </c>
      <c r="AA124" s="19">
        <v>0.94188633714892966</v>
      </c>
      <c r="AB124" s="19">
        <v>0.95710857584336018</v>
      </c>
      <c r="AC124" s="21">
        <f t="shared" si="27"/>
        <v>0.94899999999999995</v>
      </c>
      <c r="AD124" s="19">
        <v>0.11600000000000001</v>
      </c>
      <c r="AE124" s="19">
        <v>0.112</v>
      </c>
      <c r="AF124" s="21">
        <f t="shared" si="28"/>
        <v>0.114</v>
      </c>
      <c r="AG124" s="30">
        <v>6.3E-2</v>
      </c>
      <c r="AH124" s="30">
        <v>5.8000000000000003E-2</v>
      </c>
      <c r="AI124" s="31">
        <f t="shared" si="29"/>
        <v>6.0999999999999999E-2</v>
      </c>
      <c r="AJ124" s="30">
        <v>5.0999999999999997E-2</v>
      </c>
      <c r="AK124" s="30">
        <v>5.0999999999999997E-2</v>
      </c>
      <c r="AL124" s="31">
        <f t="shared" si="30"/>
        <v>5.0999999999999997E-2</v>
      </c>
      <c r="AM124" s="19">
        <v>9.4079100196784964</v>
      </c>
      <c r="AN124" s="19">
        <v>9.49768874978189</v>
      </c>
      <c r="AO124" s="21">
        <f t="shared" si="31"/>
        <v>9.4529999999999994</v>
      </c>
      <c r="AP124" s="46">
        <v>0.10390000000000001</v>
      </c>
      <c r="AQ124" s="46">
        <v>0.10290000000000001</v>
      </c>
      <c r="AR124" s="45">
        <f t="shared" si="32"/>
        <v>0.10340000000000001</v>
      </c>
      <c r="AS124" s="89">
        <v>8.6999999999999993</v>
      </c>
      <c r="AT124" s="89">
        <v>4.07</v>
      </c>
    </row>
    <row r="125" spans="1:47">
      <c r="A125" s="7" t="s">
        <v>7</v>
      </c>
      <c r="B125" s="5" t="s">
        <v>54</v>
      </c>
      <c r="C125" s="6" t="s">
        <v>55</v>
      </c>
      <c r="D125" s="6" t="s">
        <v>56</v>
      </c>
      <c r="E125" s="23">
        <v>22.3</v>
      </c>
      <c r="F125" s="23">
        <v>7.2</v>
      </c>
      <c r="G125" s="41">
        <v>197</v>
      </c>
      <c r="H125" s="23">
        <v>11.5</v>
      </c>
      <c r="I125" s="23">
        <v>1.7</v>
      </c>
      <c r="J125" s="23">
        <v>5.8</v>
      </c>
      <c r="K125" s="50">
        <v>4.4000000000000004</v>
      </c>
      <c r="L125" s="50">
        <v>4.3</v>
      </c>
      <c r="M125" s="50"/>
      <c r="N125" s="49">
        <f t="shared" si="22"/>
        <v>4.4000000000000004</v>
      </c>
      <c r="O125" s="37">
        <v>4.0999999999999996</v>
      </c>
      <c r="P125" s="37">
        <v>4</v>
      </c>
      <c r="Q125" s="38">
        <f t="shared" si="23"/>
        <v>4.0999999999999996</v>
      </c>
      <c r="R125" s="17">
        <v>2.165</v>
      </c>
      <c r="S125" s="17">
        <v>2.1720000000000002</v>
      </c>
      <c r="T125" s="22">
        <f t="shared" si="24"/>
        <v>2.169</v>
      </c>
      <c r="U125" s="17">
        <v>2.0369999999999999</v>
      </c>
      <c r="V125" s="17">
        <v>2.0640000000000001</v>
      </c>
      <c r="W125" s="22">
        <f t="shared" si="25"/>
        <v>2.0510000000000002</v>
      </c>
      <c r="X125" s="17">
        <v>9.2999999999999999E-2</v>
      </c>
      <c r="Y125" s="17">
        <v>9.1999999999999998E-2</v>
      </c>
      <c r="Z125" s="21">
        <f t="shared" si="26"/>
        <v>9.2999999999999999E-2</v>
      </c>
      <c r="AA125" s="19">
        <v>1.5094439634856691</v>
      </c>
      <c r="AB125" s="19">
        <v>1.5318440753984228</v>
      </c>
      <c r="AC125" s="21">
        <f t="shared" si="27"/>
        <v>1.5209999999999999</v>
      </c>
      <c r="AD125" s="19">
        <v>0.14000000000000001</v>
      </c>
      <c r="AE125" s="19">
        <v>0.13200000000000001</v>
      </c>
      <c r="AF125" s="21">
        <f t="shared" si="28"/>
        <v>0.13600000000000001</v>
      </c>
      <c r="AG125" s="30">
        <v>8.7999999999999995E-2</v>
      </c>
      <c r="AH125" s="30">
        <v>0.09</v>
      </c>
      <c r="AI125" s="31">
        <f t="shared" si="29"/>
        <v>8.8999999999999996E-2</v>
      </c>
      <c r="AJ125" s="30">
        <v>8.2000000000000003E-2</v>
      </c>
      <c r="AK125" s="30">
        <v>0.08</v>
      </c>
      <c r="AL125" s="31">
        <f t="shared" si="30"/>
        <v>8.1000000000000003E-2</v>
      </c>
      <c r="AM125" s="19">
        <v>17.327154660551241</v>
      </c>
      <c r="AN125" s="19">
        <v>17.498164811086639</v>
      </c>
      <c r="AO125" s="21">
        <f t="shared" si="31"/>
        <v>17.413</v>
      </c>
      <c r="AP125" s="46">
        <v>0.13250000000000001</v>
      </c>
      <c r="AQ125" s="46">
        <v>0.13109999999999999</v>
      </c>
      <c r="AR125" s="45">
        <f t="shared" si="32"/>
        <v>0.1318</v>
      </c>
      <c r="AS125" s="89">
        <v>10.93</v>
      </c>
      <c r="AT125" s="89">
        <v>1.68</v>
      </c>
      <c r="AU125" s="89"/>
    </row>
    <row r="126" spans="1:47">
      <c r="A126" s="7" t="s">
        <v>8</v>
      </c>
      <c r="B126" s="5" t="s">
        <v>54</v>
      </c>
      <c r="C126" s="6" t="s">
        <v>44</v>
      </c>
      <c r="D126" s="6" t="s">
        <v>36</v>
      </c>
      <c r="E126" s="23">
        <v>21.5</v>
      </c>
      <c r="F126" s="23">
        <v>7.5</v>
      </c>
      <c r="G126" s="41">
        <v>155</v>
      </c>
      <c r="H126" s="23">
        <v>8.4</v>
      </c>
      <c r="I126" s="23">
        <v>2.4</v>
      </c>
      <c r="J126" s="23">
        <v>7.1</v>
      </c>
      <c r="K126" s="50">
        <v>5.0999999999999996</v>
      </c>
      <c r="L126" s="50">
        <v>5.3</v>
      </c>
      <c r="M126" s="50"/>
      <c r="N126" s="49">
        <f t="shared" si="22"/>
        <v>5.2</v>
      </c>
      <c r="O126" s="37">
        <v>4.7</v>
      </c>
      <c r="P126" s="37">
        <v>4.5999999999999996</v>
      </c>
      <c r="Q126" s="38">
        <f t="shared" si="23"/>
        <v>4.7</v>
      </c>
      <c r="R126" s="17">
        <v>2.6219999999999999</v>
      </c>
      <c r="S126" s="17">
        <v>2.6360000000000001</v>
      </c>
      <c r="T126" s="22">
        <f t="shared" si="24"/>
        <v>2.629</v>
      </c>
      <c r="U126" s="17">
        <v>2.4729999999999999</v>
      </c>
      <c r="V126" s="17">
        <v>2.4740000000000002</v>
      </c>
      <c r="W126" s="22">
        <f t="shared" si="25"/>
        <v>2.4740000000000002</v>
      </c>
      <c r="X126" s="17">
        <v>0.28699999999999998</v>
      </c>
      <c r="Y126" s="17">
        <v>0.28799999999999998</v>
      </c>
      <c r="Z126" s="21">
        <f t="shared" si="26"/>
        <v>0.28799999999999998</v>
      </c>
      <c r="AA126" s="19">
        <v>1.49443667657705</v>
      </c>
      <c r="AB126" s="19">
        <v>1.5007506786820244</v>
      </c>
      <c r="AC126" s="21">
        <f t="shared" si="27"/>
        <v>1.498</v>
      </c>
      <c r="AD126" s="19">
        <v>0.22</v>
      </c>
      <c r="AE126" s="19">
        <v>0.21299999999999999</v>
      </c>
      <c r="AF126" s="21">
        <f t="shared" si="28"/>
        <v>0.217</v>
      </c>
      <c r="AG126" s="30">
        <v>0.14199999999999999</v>
      </c>
      <c r="AH126" s="30">
        <v>0.14799999999999999</v>
      </c>
      <c r="AI126" s="31">
        <f t="shared" si="29"/>
        <v>0.14499999999999999</v>
      </c>
      <c r="AJ126" s="30">
        <v>0.14000000000000001</v>
      </c>
      <c r="AK126" s="30">
        <v>0.14599999999999999</v>
      </c>
      <c r="AL126" s="31">
        <f t="shared" si="30"/>
        <v>0.14299999999999999</v>
      </c>
      <c r="AM126" s="19">
        <v>11.31701044730881</v>
      </c>
      <c r="AN126" s="19">
        <v>11.29614136847143</v>
      </c>
      <c r="AO126" s="21">
        <f t="shared" si="31"/>
        <v>11.307</v>
      </c>
      <c r="AP126" s="46">
        <v>0.1507</v>
      </c>
      <c r="AQ126" s="46">
        <v>0.14960000000000001</v>
      </c>
      <c r="AR126" s="45">
        <f t="shared" si="32"/>
        <v>0.1502</v>
      </c>
      <c r="AS126" s="89">
        <v>8.42</v>
      </c>
      <c r="AT126" s="89">
        <v>4.5599999999999996</v>
      </c>
    </row>
    <row r="127" spans="1:47">
      <c r="A127" s="7" t="s">
        <v>9</v>
      </c>
      <c r="B127" s="5" t="s">
        <v>57</v>
      </c>
      <c r="C127" s="6" t="s">
        <v>58</v>
      </c>
      <c r="D127" s="6" t="s">
        <v>59</v>
      </c>
      <c r="E127" s="23">
        <v>21.6</v>
      </c>
      <c r="F127" s="23">
        <v>7.6</v>
      </c>
      <c r="G127" s="41">
        <v>120</v>
      </c>
      <c r="H127" s="23">
        <v>9</v>
      </c>
      <c r="I127" s="23">
        <v>2</v>
      </c>
      <c r="J127" s="23">
        <v>4.8</v>
      </c>
      <c r="K127" s="50">
        <v>3.4</v>
      </c>
      <c r="L127" s="50">
        <v>2.9</v>
      </c>
      <c r="M127" s="50"/>
      <c r="N127" s="49">
        <f t="shared" si="22"/>
        <v>3.2</v>
      </c>
      <c r="O127" s="37">
        <v>2.6</v>
      </c>
      <c r="P127" s="37">
        <v>2.5</v>
      </c>
      <c r="Q127" s="38">
        <f t="shared" si="23"/>
        <v>2.6</v>
      </c>
      <c r="R127" s="17">
        <v>1.673</v>
      </c>
      <c r="S127" s="17">
        <v>1.7</v>
      </c>
      <c r="T127" s="22">
        <f t="shared" si="24"/>
        <v>1.6870000000000001</v>
      </c>
      <c r="U127" s="17">
        <v>1.5</v>
      </c>
      <c r="V127" s="17">
        <v>1.49</v>
      </c>
      <c r="W127" s="22">
        <f t="shared" si="25"/>
        <v>1.4950000000000001</v>
      </c>
      <c r="X127" s="17">
        <v>0.19700000000000001</v>
      </c>
      <c r="Y127" s="17">
        <v>0.20499999999999999</v>
      </c>
      <c r="Z127" s="21">
        <f t="shared" si="26"/>
        <v>0.20100000000000001</v>
      </c>
      <c r="AA127" s="19">
        <v>1.0147598919247256</v>
      </c>
      <c r="AB127" s="19">
        <v>1.0235898143976823</v>
      </c>
      <c r="AC127" s="21">
        <f t="shared" si="27"/>
        <v>1.0189999999999999</v>
      </c>
      <c r="AD127" s="19">
        <v>8.5999999999999993E-2</v>
      </c>
      <c r="AE127" s="19">
        <v>8.1000000000000003E-2</v>
      </c>
      <c r="AF127" s="21">
        <f t="shared" si="28"/>
        <v>8.4000000000000005E-2</v>
      </c>
      <c r="AG127" s="30">
        <v>2.5000000000000001E-2</v>
      </c>
      <c r="AH127" s="30">
        <v>0.02</v>
      </c>
      <c r="AI127" s="31">
        <f t="shared" si="29"/>
        <v>2.3E-2</v>
      </c>
      <c r="AJ127" s="30">
        <v>1.6E-2</v>
      </c>
      <c r="AK127" s="30">
        <v>1.4999999999999999E-2</v>
      </c>
      <c r="AL127" s="31">
        <f t="shared" si="30"/>
        <v>1.6E-2</v>
      </c>
      <c r="AM127" s="19">
        <v>6.6919150814791557</v>
      </c>
      <c r="AN127" s="19">
        <v>6.7123508340597589</v>
      </c>
      <c r="AO127" s="21">
        <f t="shared" si="31"/>
        <v>6.702</v>
      </c>
      <c r="AP127" s="46">
        <v>7.8899999999999998E-2</v>
      </c>
      <c r="AQ127" s="46">
        <v>7.8100000000000003E-2</v>
      </c>
      <c r="AR127" s="45">
        <f t="shared" si="32"/>
        <v>7.85E-2</v>
      </c>
      <c r="AS127" s="89">
        <v>5.75</v>
      </c>
      <c r="AT127" s="89">
        <v>1.47</v>
      </c>
      <c r="AU127" s="89"/>
    </row>
    <row r="128" spans="1:47">
      <c r="A128" s="7" t="s">
        <v>10</v>
      </c>
      <c r="B128" s="5" t="s">
        <v>60</v>
      </c>
      <c r="C128" s="6" t="s">
        <v>61</v>
      </c>
      <c r="D128" s="6" t="s">
        <v>36</v>
      </c>
      <c r="E128" s="23">
        <v>21.7</v>
      </c>
      <c r="F128" s="23">
        <v>8.1</v>
      </c>
      <c r="G128" s="41">
        <v>141</v>
      </c>
      <c r="H128" s="23">
        <v>10.199999999999999</v>
      </c>
      <c r="I128" s="23">
        <v>1.4</v>
      </c>
      <c r="J128" s="23">
        <v>5.8</v>
      </c>
      <c r="K128" s="50">
        <v>4.2</v>
      </c>
      <c r="L128" s="50">
        <v>4</v>
      </c>
      <c r="M128" s="50"/>
      <c r="N128" s="49">
        <f t="shared" si="22"/>
        <v>4.0999999999999996</v>
      </c>
      <c r="O128" s="37">
        <v>3.8</v>
      </c>
      <c r="P128" s="37">
        <v>3.7</v>
      </c>
      <c r="Q128" s="38">
        <f t="shared" si="23"/>
        <v>3.8</v>
      </c>
      <c r="R128" s="17">
        <v>2.0419999999999998</v>
      </c>
      <c r="S128" s="17">
        <v>2.036</v>
      </c>
      <c r="T128" s="22">
        <f t="shared" si="24"/>
        <v>2.0390000000000001</v>
      </c>
      <c r="U128" s="17">
        <v>1.931</v>
      </c>
      <c r="V128" s="17">
        <v>1.9330000000000001</v>
      </c>
      <c r="W128" s="22">
        <f t="shared" si="25"/>
        <v>1.9319999999999999</v>
      </c>
      <c r="X128" s="17">
        <v>8.5000000000000006E-2</v>
      </c>
      <c r="Y128" s="17">
        <v>8.5999999999999993E-2</v>
      </c>
      <c r="Z128" s="21">
        <f t="shared" si="26"/>
        <v>8.5999999999999993E-2</v>
      </c>
      <c r="AA128" s="19">
        <v>1.3379397729252205</v>
      </c>
      <c r="AB128" s="19">
        <v>1.3697515707777914</v>
      </c>
      <c r="AC128" s="21">
        <f t="shared" si="27"/>
        <v>1.3540000000000001</v>
      </c>
      <c r="AD128" s="19">
        <v>0.13100000000000001</v>
      </c>
      <c r="AE128" s="19">
        <v>0.124</v>
      </c>
      <c r="AF128" s="21">
        <f t="shared" si="28"/>
        <v>0.128</v>
      </c>
      <c r="AG128" s="30">
        <v>8.5000000000000006E-2</v>
      </c>
      <c r="AH128" s="30">
        <v>8.7999999999999995E-2</v>
      </c>
      <c r="AI128" s="31">
        <f t="shared" si="29"/>
        <v>8.6999999999999994E-2</v>
      </c>
      <c r="AJ128" s="30">
        <v>8.5999999999999993E-2</v>
      </c>
      <c r="AK128" s="30">
        <v>8.5000000000000006E-2</v>
      </c>
      <c r="AL128" s="31">
        <f t="shared" si="30"/>
        <v>8.5999999999999993E-2</v>
      </c>
      <c r="AM128" s="19">
        <v>9.4031822363917641</v>
      </c>
      <c r="AN128" s="19">
        <v>9.5348066147455057</v>
      </c>
      <c r="AO128" s="21">
        <f t="shared" si="31"/>
        <v>9.4689999999999994</v>
      </c>
      <c r="AP128" s="46">
        <v>0.12039999999999999</v>
      </c>
      <c r="AQ128" s="46">
        <v>0.1195</v>
      </c>
      <c r="AR128" s="45">
        <f t="shared" si="32"/>
        <v>0.12</v>
      </c>
      <c r="AS128" s="89">
        <v>8.01</v>
      </c>
      <c r="AT128" s="89">
        <v>4</v>
      </c>
    </row>
    <row r="129" spans="1:47">
      <c r="A129" s="7" t="s">
        <v>11</v>
      </c>
      <c r="B129" s="5" t="s">
        <v>108</v>
      </c>
      <c r="C129" s="6" t="s">
        <v>62</v>
      </c>
      <c r="D129" s="6" t="s">
        <v>63</v>
      </c>
      <c r="E129" s="23">
        <v>21.9</v>
      </c>
      <c r="F129" s="23">
        <v>7.6</v>
      </c>
      <c r="G129" s="41">
        <v>193</v>
      </c>
      <c r="H129" s="23">
        <v>8.5</v>
      </c>
      <c r="I129" s="23">
        <v>2</v>
      </c>
      <c r="J129" s="23">
        <v>7.1</v>
      </c>
      <c r="K129" s="50">
        <v>5</v>
      </c>
      <c r="L129" s="50">
        <v>4.7</v>
      </c>
      <c r="M129" s="50"/>
      <c r="N129" s="49">
        <f t="shared" si="22"/>
        <v>4.9000000000000004</v>
      </c>
      <c r="O129" s="37">
        <v>4.5999999999999996</v>
      </c>
      <c r="P129" s="37">
        <v>4.5</v>
      </c>
      <c r="Q129" s="38">
        <f t="shared" si="23"/>
        <v>4.5999999999999996</v>
      </c>
      <c r="R129" s="17">
        <v>0.98699999999999999</v>
      </c>
      <c r="S129" s="17">
        <v>1.0449999999999999</v>
      </c>
      <c r="T129" s="22">
        <f t="shared" si="24"/>
        <v>1.016</v>
      </c>
      <c r="U129" s="17">
        <v>0.91600000000000004</v>
      </c>
      <c r="V129" s="17">
        <v>0.92</v>
      </c>
      <c r="W129" s="22">
        <f t="shared" si="25"/>
        <v>0.91800000000000004</v>
      </c>
      <c r="X129" s="17">
        <v>0.13500000000000001</v>
      </c>
      <c r="Y129" s="17">
        <v>0.13400000000000001</v>
      </c>
      <c r="Z129" s="21">
        <f t="shared" si="26"/>
        <v>0.13500000000000001</v>
      </c>
      <c r="AA129" s="19">
        <v>0.29143889016977698</v>
      </c>
      <c r="AB129" s="19">
        <v>0.30364691147649325</v>
      </c>
      <c r="AC129" s="21">
        <f t="shared" si="27"/>
        <v>0.29799999999999999</v>
      </c>
      <c r="AD129" s="19">
        <v>0.14299999999999999</v>
      </c>
      <c r="AE129" s="19">
        <v>0.13800000000000001</v>
      </c>
      <c r="AF129" s="21">
        <f t="shared" si="28"/>
        <v>0.14099999999999999</v>
      </c>
      <c r="AG129" s="30">
        <v>0.1</v>
      </c>
      <c r="AH129" s="30">
        <v>0.10299999999999999</v>
      </c>
      <c r="AI129" s="31">
        <f t="shared" si="29"/>
        <v>0.10199999999999999</v>
      </c>
      <c r="AJ129" s="30">
        <v>9.5000000000000001E-2</v>
      </c>
      <c r="AK129" s="30">
        <v>9.7000000000000003E-2</v>
      </c>
      <c r="AL129" s="31">
        <f t="shared" si="30"/>
        <v>9.6000000000000002E-2</v>
      </c>
      <c r="AM129" s="19">
        <v>12.914853409300907</v>
      </c>
      <c r="AN129" s="19">
        <v>12.978015913865113</v>
      </c>
      <c r="AO129" s="21">
        <f t="shared" si="31"/>
        <v>12.946</v>
      </c>
      <c r="AP129" s="46">
        <v>0.12239999999999999</v>
      </c>
      <c r="AQ129" s="46">
        <v>0.12130000000000001</v>
      </c>
      <c r="AR129" s="45">
        <f t="shared" si="32"/>
        <v>0.12189999999999999</v>
      </c>
      <c r="AS129" s="89">
        <v>8.84</v>
      </c>
      <c r="AT129" s="89">
        <v>2.7</v>
      </c>
      <c r="AU129" s="89"/>
    </row>
    <row r="130" spans="1:47">
      <c r="A130" s="7" t="s">
        <v>12</v>
      </c>
      <c r="B130" s="5" t="s">
        <v>64</v>
      </c>
      <c r="C130" s="6" t="s">
        <v>65</v>
      </c>
      <c r="D130" s="6" t="s">
        <v>36</v>
      </c>
      <c r="E130" s="23">
        <v>21.1</v>
      </c>
      <c r="F130" s="23">
        <v>7.2</v>
      </c>
      <c r="G130" s="41">
        <v>161</v>
      </c>
      <c r="H130" s="23">
        <v>7.7</v>
      </c>
      <c r="I130" s="23">
        <v>1.4</v>
      </c>
      <c r="J130" s="23">
        <v>6.1</v>
      </c>
      <c r="K130" s="50">
        <v>4.5</v>
      </c>
      <c r="L130" s="50">
        <v>4.4000000000000004</v>
      </c>
      <c r="M130" s="50"/>
      <c r="N130" s="49">
        <f t="shared" si="22"/>
        <v>4.5</v>
      </c>
      <c r="O130" s="37">
        <v>4.0999999999999996</v>
      </c>
      <c r="P130" s="37">
        <v>4</v>
      </c>
      <c r="Q130" s="38">
        <f t="shared" si="23"/>
        <v>4.0999999999999996</v>
      </c>
      <c r="R130" s="17">
        <v>1.875</v>
      </c>
      <c r="S130" s="17">
        <v>1.8660000000000001</v>
      </c>
      <c r="T130" s="22">
        <f t="shared" si="24"/>
        <v>1.871</v>
      </c>
      <c r="U130" s="17">
        <v>1.7809999999999999</v>
      </c>
      <c r="V130" s="17">
        <v>1.798</v>
      </c>
      <c r="W130" s="22">
        <f t="shared" si="25"/>
        <v>1.79</v>
      </c>
      <c r="X130" s="17">
        <v>6.6000000000000003E-2</v>
      </c>
      <c r="Y130" s="17">
        <v>6.9000000000000006E-2</v>
      </c>
      <c r="Z130" s="21">
        <f t="shared" si="26"/>
        <v>6.8000000000000005E-2</v>
      </c>
      <c r="AA130" s="19">
        <v>1.2393940410556894</v>
      </c>
      <c r="AB130" s="19">
        <v>1.2401157923669877</v>
      </c>
      <c r="AC130" s="21">
        <f t="shared" si="27"/>
        <v>1.24</v>
      </c>
      <c r="AD130" s="19">
        <v>0.13400000000000001</v>
      </c>
      <c r="AE130" s="19">
        <v>0.126</v>
      </c>
      <c r="AF130" s="21">
        <f t="shared" si="28"/>
        <v>0.13</v>
      </c>
      <c r="AG130" s="30">
        <v>8.7999999999999995E-2</v>
      </c>
      <c r="AH130" s="30">
        <v>9.0999999999999998E-2</v>
      </c>
      <c r="AI130" s="31">
        <f t="shared" si="29"/>
        <v>0.09</v>
      </c>
      <c r="AJ130" s="30">
        <v>8.8999999999999996E-2</v>
      </c>
      <c r="AK130" s="30">
        <v>8.6999999999999994E-2</v>
      </c>
      <c r="AL130" s="31">
        <f t="shared" si="30"/>
        <v>8.7999999999999995E-2</v>
      </c>
      <c r="AM130" s="19">
        <v>10.376800511166948</v>
      </c>
      <c r="AN130" s="19">
        <v>10.407990206398379</v>
      </c>
      <c r="AO130" s="21">
        <f t="shared" si="31"/>
        <v>10.391999999999999</v>
      </c>
      <c r="AP130" s="46">
        <v>0.1211</v>
      </c>
      <c r="AQ130" s="46">
        <v>0.1205</v>
      </c>
      <c r="AR130" s="45">
        <f t="shared" si="32"/>
        <v>0.1208</v>
      </c>
      <c r="AS130" s="89">
        <v>8.58</v>
      </c>
      <c r="AT130" s="89">
        <v>6.7</v>
      </c>
    </row>
    <row r="131" spans="1:47">
      <c r="A131" s="7" t="s">
        <v>13</v>
      </c>
      <c r="B131" s="5" t="s">
        <v>66</v>
      </c>
      <c r="C131" s="6" t="s">
        <v>44</v>
      </c>
      <c r="D131" s="6" t="s">
        <v>67</v>
      </c>
      <c r="E131" s="23">
        <v>21.5</v>
      </c>
      <c r="F131" s="23">
        <v>7.1</v>
      </c>
      <c r="G131" s="41">
        <v>215</v>
      </c>
      <c r="H131" s="23">
        <v>6.9</v>
      </c>
      <c r="I131" s="23">
        <v>5.7</v>
      </c>
      <c r="J131" s="23">
        <v>38.1</v>
      </c>
      <c r="K131" s="50">
        <v>37.6</v>
      </c>
      <c r="L131" s="50">
        <v>36.299999999999997</v>
      </c>
      <c r="M131" s="50">
        <v>36.299999999999997</v>
      </c>
      <c r="N131" s="49">
        <f t="shared" si="22"/>
        <v>36.700000000000003</v>
      </c>
      <c r="O131" s="37">
        <v>8.3000000000000007</v>
      </c>
      <c r="P131" s="37">
        <v>8.1</v>
      </c>
      <c r="Q131" s="38">
        <f t="shared" si="23"/>
        <v>8.1999999999999993</v>
      </c>
      <c r="R131" s="17">
        <v>5.8550000000000004</v>
      </c>
      <c r="S131" s="17">
        <v>5.9459999999999997</v>
      </c>
      <c r="T131" s="22">
        <f t="shared" si="24"/>
        <v>5.9009999999999998</v>
      </c>
      <c r="U131" s="17">
        <v>2.29</v>
      </c>
      <c r="V131" s="17">
        <v>2.3010000000000002</v>
      </c>
      <c r="W131" s="22">
        <f t="shared" si="25"/>
        <v>2.2959999999999998</v>
      </c>
      <c r="X131" s="17">
        <v>0.61799999999999999</v>
      </c>
      <c r="Y131" s="17">
        <v>0.61399999999999999</v>
      </c>
      <c r="Z131" s="21">
        <f t="shared" si="26"/>
        <v>0.61599999999999999</v>
      </c>
      <c r="AA131" s="19">
        <v>0.78207035952046866</v>
      </c>
      <c r="AB131" s="19">
        <v>0.79119007499595195</v>
      </c>
      <c r="AC131" s="21">
        <f t="shared" si="27"/>
        <v>0.78700000000000003</v>
      </c>
      <c r="AD131" s="19">
        <v>3.5680000000000001</v>
      </c>
      <c r="AE131" s="19">
        <v>3.702</v>
      </c>
      <c r="AF131" s="21">
        <f t="shared" si="28"/>
        <v>3.6349999999999998</v>
      </c>
      <c r="AG131" s="30">
        <v>0.36399999999999999</v>
      </c>
      <c r="AH131" s="30">
        <v>0.36499999999999999</v>
      </c>
      <c r="AI131" s="31">
        <f t="shared" si="29"/>
        <v>0.36499999999999999</v>
      </c>
      <c r="AJ131" s="30">
        <v>0.32300000000000001</v>
      </c>
      <c r="AK131" s="30">
        <v>0.32400000000000001</v>
      </c>
      <c r="AL131" s="31">
        <f t="shared" si="30"/>
        <v>0.32400000000000001</v>
      </c>
      <c r="AM131" s="19">
        <v>19.036125596453783</v>
      </c>
      <c r="AN131" s="19">
        <v>18.882612581185928</v>
      </c>
      <c r="AO131" s="21">
        <f t="shared" si="31"/>
        <v>18.959</v>
      </c>
      <c r="AP131" s="46">
        <v>0.75149999999999995</v>
      </c>
      <c r="AQ131" s="46">
        <v>0.74909999999999999</v>
      </c>
      <c r="AR131" s="45">
        <f t="shared" si="32"/>
        <v>0.75029999999999997</v>
      </c>
      <c r="AS131" s="89">
        <v>7.21</v>
      </c>
      <c r="AT131" s="89">
        <v>4.17</v>
      </c>
      <c r="AU131" s="89"/>
    </row>
    <row r="132" spans="1:47">
      <c r="A132" s="7" t="s">
        <v>14</v>
      </c>
      <c r="B132" s="5" t="s">
        <v>64</v>
      </c>
      <c r="C132" s="6" t="s">
        <v>68</v>
      </c>
      <c r="D132" s="6" t="s">
        <v>36</v>
      </c>
      <c r="E132" s="23">
        <v>21.3</v>
      </c>
      <c r="F132" s="23">
        <v>7.1</v>
      </c>
      <c r="G132" s="41">
        <v>171</v>
      </c>
      <c r="H132" s="23">
        <v>7.6</v>
      </c>
      <c r="I132" s="23">
        <v>1.7</v>
      </c>
      <c r="J132" s="23">
        <v>7.1</v>
      </c>
      <c r="K132" s="50">
        <v>5</v>
      </c>
      <c r="L132" s="50">
        <v>4.8</v>
      </c>
      <c r="M132" s="50"/>
      <c r="N132" s="49">
        <f t="shared" si="22"/>
        <v>4.9000000000000004</v>
      </c>
      <c r="O132" s="37">
        <v>4.4000000000000004</v>
      </c>
      <c r="P132" s="37">
        <v>4.3</v>
      </c>
      <c r="Q132" s="38">
        <f t="shared" si="23"/>
        <v>4.4000000000000004</v>
      </c>
      <c r="R132" s="17">
        <v>2.0499999999999998</v>
      </c>
      <c r="S132" s="17">
        <v>2.0579999999999998</v>
      </c>
      <c r="T132" s="22">
        <f t="shared" si="24"/>
        <v>2.0539999999999998</v>
      </c>
      <c r="U132" s="17">
        <v>1.8839999999999999</v>
      </c>
      <c r="V132" s="17">
        <v>1.9259999999999999</v>
      </c>
      <c r="W132" s="22">
        <f t="shared" si="25"/>
        <v>1.905</v>
      </c>
      <c r="X132" s="17">
        <v>0.13400000000000001</v>
      </c>
      <c r="Y132" s="17">
        <v>0.13500000000000001</v>
      </c>
      <c r="Z132" s="21">
        <f t="shared" si="26"/>
        <v>0.13500000000000001</v>
      </c>
      <c r="AA132" s="19">
        <v>1.2675998178868717</v>
      </c>
      <c r="AB132" s="19">
        <v>1.2843614254622346</v>
      </c>
      <c r="AC132" s="21">
        <f t="shared" si="27"/>
        <v>1.276</v>
      </c>
      <c r="AD132" s="19">
        <v>0.19500000000000001</v>
      </c>
      <c r="AE132" s="19">
        <v>0.186</v>
      </c>
      <c r="AF132" s="21">
        <f t="shared" si="28"/>
        <v>0.191</v>
      </c>
      <c r="AG132" s="30">
        <v>0.107</v>
      </c>
      <c r="AH132" s="30">
        <v>0.112</v>
      </c>
      <c r="AI132" s="31">
        <f t="shared" si="29"/>
        <v>0.11</v>
      </c>
      <c r="AJ132" s="30">
        <v>0.105</v>
      </c>
      <c r="AK132" s="30">
        <v>0.108</v>
      </c>
      <c r="AL132" s="31">
        <f t="shared" si="30"/>
        <v>0.107</v>
      </c>
      <c r="AM132" s="19">
        <v>11.326640853921635</v>
      </c>
      <c r="AN132" s="19">
        <v>11.387079245445756</v>
      </c>
      <c r="AO132" s="21">
        <f t="shared" si="31"/>
        <v>11.356999999999999</v>
      </c>
      <c r="AP132" s="46">
        <v>0.13439999999999999</v>
      </c>
      <c r="AQ132" s="46">
        <v>0.13320000000000001</v>
      </c>
      <c r="AR132" s="45">
        <f t="shared" si="32"/>
        <v>0.1338</v>
      </c>
      <c r="AS132" s="89">
        <v>9.0399999999999991</v>
      </c>
      <c r="AT132" s="89">
        <v>6.43</v>
      </c>
    </row>
    <row r="133" spans="1:47">
      <c r="A133" s="7" t="s">
        <v>15</v>
      </c>
      <c r="B133" s="5" t="s">
        <v>69</v>
      </c>
      <c r="C133" s="6" t="s">
        <v>70</v>
      </c>
      <c r="D133" s="6" t="s">
        <v>71</v>
      </c>
      <c r="E133" s="23">
        <v>18.2</v>
      </c>
      <c r="F133" s="23">
        <v>7.2</v>
      </c>
      <c r="G133" s="41">
        <v>237</v>
      </c>
      <c r="H133" s="23">
        <v>7.9</v>
      </c>
      <c r="I133" s="23">
        <v>1</v>
      </c>
      <c r="J133" s="23">
        <v>2.2000000000000002</v>
      </c>
      <c r="K133" s="50">
        <v>1.5</v>
      </c>
      <c r="L133" s="50">
        <v>1.6</v>
      </c>
      <c r="M133" s="50"/>
      <c r="N133" s="49">
        <f t="shared" si="22"/>
        <v>1.6</v>
      </c>
      <c r="O133" s="37">
        <v>1.5</v>
      </c>
      <c r="P133" s="37">
        <v>1.4</v>
      </c>
      <c r="Q133" s="38">
        <f t="shared" si="23"/>
        <v>1.5</v>
      </c>
      <c r="R133" s="17">
        <v>0.94599999999999995</v>
      </c>
      <c r="S133" s="17">
        <v>0.96099999999999997</v>
      </c>
      <c r="T133" s="22">
        <f t="shared" si="24"/>
        <v>0.95399999999999996</v>
      </c>
      <c r="U133" s="17">
        <v>0.90700000000000003</v>
      </c>
      <c r="V133" s="17">
        <v>0.91400000000000003</v>
      </c>
      <c r="W133" s="22">
        <f t="shared" si="25"/>
        <v>0.91100000000000003</v>
      </c>
      <c r="X133" s="17">
        <v>2.5000000000000001E-2</v>
      </c>
      <c r="Y133" s="17">
        <v>2.9000000000000001E-2</v>
      </c>
      <c r="Z133" s="21">
        <f t="shared" si="26"/>
        <v>2.7E-2</v>
      </c>
      <c r="AA133" s="19">
        <v>0.74839307239816832</v>
      </c>
      <c r="AB133" s="19">
        <v>0.75964962077348275</v>
      </c>
      <c r="AC133" s="21">
        <f t="shared" si="27"/>
        <v>0.754</v>
      </c>
      <c r="AD133" s="19">
        <v>3.3000000000000002E-2</v>
      </c>
      <c r="AE133" s="19">
        <v>3.1E-2</v>
      </c>
      <c r="AF133" s="21">
        <f t="shared" si="28"/>
        <v>3.2000000000000001E-2</v>
      </c>
      <c r="AG133" s="30">
        <v>1.2999999999999999E-2</v>
      </c>
      <c r="AH133" s="30">
        <v>1.0999999999999999E-2</v>
      </c>
      <c r="AI133" s="31">
        <f t="shared" si="29"/>
        <v>1.2E-2</v>
      </c>
      <c r="AJ133" s="30">
        <v>1.2E-2</v>
      </c>
      <c r="AK133" s="30">
        <v>0.01</v>
      </c>
      <c r="AL133" s="31">
        <f t="shared" si="30"/>
        <v>1.0999999999999999E-2</v>
      </c>
      <c r="AM133" s="19">
        <v>7.4060438956055341</v>
      </c>
      <c r="AN133" s="19">
        <v>7.4384417052942453</v>
      </c>
      <c r="AO133" s="21">
        <f t="shared" si="31"/>
        <v>7.4219999999999997</v>
      </c>
      <c r="AP133" s="46">
        <v>3.5900000000000001E-2</v>
      </c>
      <c r="AQ133" s="46">
        <v>3.6200000000000003E-2</v>
      </c>
      <c r="AR133" s="45">
        <f t="shared" si="32"/>
        <v>3.61E-2</v>
      </c>
      <c r="AS133" s="89">
        <v>8.8699999999999992</v>
      </c>
      <c r="AT133" s="89">
        <v>1.45</v>
      </c>
      <c r="AU133" s="89"/>
    </row>
    <row r="134" spans="1:47">
      <c r="A134" s="7" t="s">
        <v>16</v>
      </c>
      <c r="B134" s="5" t="s">
        <v>72</v>
      </c>
      <c r="C134" s="6" t="s">
        <v>73</v>
      </c>
      <c r="D134" s="6" t="s">
        <v>36</v>
      </c>
      <c r="E134" s="23">
        <v>22.8</v>
      </c>
      <c r="F134" s="23">
        <v>7.9</v>
      </c>
      <c r="G134" s="41">
        <v>184</v>
      </c>
      <c r="H134" s="23">
        <v>10.1</v>
      </c>
      <c r="I134" s="23">
        <v>3.3</v>
      </c>
      <c r="J134" s="23">
        <v>6.9</v>
      </c>
      <c r="K134" s="50">
        <v>4.5999999999999996</v>
      </c>
      <c r="L134" s="50">
        <v>4.2</v>
      </c>
      <c r="M134" s="50"/>
      <c r="N134" s="49">
        <f>ROUND(AVERAGE(K134:M134),1)</f>
        <v>4.4000000000000004</v>
      </c>
      <c r="O134" s="37">
        <v>3.7</v>
      </c>
      <c r="P134" s="37">
        <v>3.7</v>
      </c>
      <c r="Q134" s="38">
        <f t="shared" si="23"/>
        <v>3.7</v>
      </c>
      <c r="R134" s="17">
        <v>1.621</v>
      </c>
      <c r="S134" s="17">
        <v>1.627</v>
      </c>
      <c r="T134" s="22">
        <f t="shared" si="24"/>
        <v>1.6240000000000001</v>
      </c>
      <c r="U134" s="17">
        <v>1.383</v>
      </c>
      <c r="V134" s="17">
        <v>1.4219999999999999</v>
      </c>
      <c r="W134" s="22">
        <f t="shared" si="25"/>
        <v>1.403</v>
      </c>
      <c r="X134" s="17">
        <v>2.3E-2</v>
      </c>
      <c r="Y134" s="17">
        <v>2.9000000000000001E-2</v>
      </c>
      <c r="Z134" s="21">
        <f t="shared" si="26"/>
        <v>2.5999999999999999E-2</v>
      </c>
      <c r="AA134" s="19">
        <v>0.97732843216814425</v>
      </c>
      <c r="AB134" s="19">
        <v>0.97871329295725984</v>
      </c>
      <c r="AC134" s="21">
        <f t="shared" si="27"/>
        <v>0.97799999999999998</v>
      </c>
      <c r="AD134" s="19">
        <v>0.126</v>
      </c>
      <c r="AE134" s="19">
        <v>0.11799999999999999</v>
      </c>
      <c r="AF134" s="21">
        <f t="shared" si="28"/>
        <v>0.122</v>
      </c>
      <c r="AG134" s="30">
        <v>5.6000000000000001E-2</v>
      </c>
      <c r="AH134" s="30">
        <v>5.8999999999999997E-2</v>
      </c>
      <c r="AI134" s="31">
        <f t="shared" si="29"/>
        <v>5.8000000000000003E-2</v>
      </c>
      <c r="AJ134" s="30">
        <v>5.5E-2</v>
      </c>
      <c r="AK134" s="30">
        <v>5.5E-2</v>
      </c>
      <c r="AL134" s="31">
        <f t="shared" si="30"/>
        <v>5.5E-2</v>
      </c>
      <c r="AM134" s="19">
        <v>11.290547770239366</v>
      </c>
      <c r="AN134" s="19">
        <v>11.223629529681121</v>
      </c>
      <c r="AO134" s="21">
        <f t="shared" si="31"/>
        <v>11.257</v>
      </c>
      <c r="AP134" s="46">
        <v>9.7799999999999998E-2</v>
      </c>
      <c r="AQ134" s="46">
        <v>9.6100000000000005E-2</v>
      </c>
      <c r="AR134" s="45">
        <f t="shared" si="32"/>
        <v>9.7000000000000003E-2</v>
      </c>
      <c r="AS134" s="89">
        <v>10.48</v>
      </c>
      <c r="AT134" s="89">
        <v>6.58</v>
      </c>
    </row>
    <row r="135" spans="1:47">
      <c r="A135" s="7" t="s">
        <v>17</v>
      </c>
      <c r="B135" s="5" t="s">
        <v>74</v>
      </c>
      <c r="C135" s="6" t="s">
        <v>75</v>
      </c>
      <c r="D135" s="6" t="s">
        <v>76</v>
      </c>
      <c r="E135" s="23">
        <v>23.1</v>
      </c>
      <c r="F135" s="23">
        <v>7.8</v>
      </c>
      <c r="G135" s="41">
        <v>274</v>
      </c>
      <c r="H135" s="23">
        <v>9.4</v>
      </c>
      <c r="I135" s="23">
        <v>4.4000000000000004</v>
      </c>
      <c r="J135" s="23">
        <v>8.6999999999999993</v>
      </c>
      <c r="K135" s="50">
        <v>6.3</v>
      </c>
      <c r="L135" s="50">
        <v>5.8</v>
      </c>
      <c r="M135" s="50"/>
      <c r="N135" s="49">
        <f t="shared" si="22"/>
        <v>6.1</v>
      </c>
      <c r="O135" s="37">
        <v>4.8</v>
      </c>
      <c r="P135" s="37">
        <v>4.8</v>
      </c>
      <c r="Q135" s="38">
        <f t="shared" si="23"/>
        <v>4.8</v>
      </c>
      <c r="R135" s="17">
        <v>2.3940000000000001</v>
      </c>
      <c r="S135" s="17">
        <v>2.419</v>
      </c>
      <c r="T135" s="22">
        <f t="shared" si="24"/>
        <v>2.407</v>
      </c>
      <c r="U135" s="17">
        <v>2.0550000000000002</v>
      </c>
      <c r="V135" s="17">
        <v>2.044</v>
      </c>
      <c r="W135" s="22">
        <f t="shared" si="25"/>
        <v>2.0499999999999998</v>
      </c>
      <c r="X135" s="17">
        <v>0.34599999999999997</v>
      </c>
      <c r="Y135" s="17">
        <v>0.33700000000000002</v>
      </c>
      <c r="Z135" s="21">
        <f t="shared" si="26"/>
        <v>0.34200000000000003</v>
      </c>
      <c r="AA135" s="19">
        <v>0.91992434360033459</v>
      </c>
      <c r="AB135" s="19">
        <v>0.92388360605580999</v>
      </c>
      <c r="AC135" s="21">
        <f t="shared" si="27"/>
        <v>0.92200000000000004</v>
      </c>
      <c r="AD135" s="19">
        <v>0.16200000000000001</v>
      </c>
      <c r="AE135" s="19">
        <v>0.155</v>
      </c>
      <c r="AF135" s="21">
        <f t="shared" si="28"/>
        <v>0.159</v>
      </c>
      <c r="AG135" s="30">
        <v>5.3999999999999999E-2</v>
      </c>
      <c r="AH135" s="30">
        <v>5.5E-2</v>
      </c>
      <c r="AI135" s="31">
        <f t="shared" si="29"/>
        <v>5.5E-2</v>
      </c>
      <c r="AJ135" s="30">
        <v>3.6999999999999998E-2</v>
      </c>
      <c r="AK135" s="30">
        <v>3.9E-2</v>
      </c>
      <c r="AL135" s="31">
        <f t="shared" si="30"/>
        <v>3.7999999999999999E-2</v>
      </c>
      <c r="AM135" s="19">
        <v>19.514435513038805</v>
      </c>
      <c r="AN135" s="19">
        <v>19.242067588425133</v>
      </c>
      <c r="AO135" s="21">
        <f t="shared" si="31"/>
        <v>19.378</v>
      </c>
      <c r="AP135" s="46">
        <v>0.12479999999999999</v>
      </c>
      <c r="AQ135" s="46">
        <v>0.1237</v>
      </c>
      <c r="AR135" s="45">
        <f t="shared" si="32"/>
        <v>0.12429999999999999</v>
      </c>
      <c r="AS135" s="89">
        <v>8.19</v>
      </c>
      <c r="AT135" s="89">
        <v>3.22</v>
      </c>
      <c r="AU135" s="89"/>
    </row>
    <row r="136" spans="1:47">
      <c r="A136" s="7" t="s">
        <v>18</v>
      </c>
      <c r="B136" s="5" t="s">
        <v>109</v>
      </c>
      <c r="C136" s="6" t="s">
        <v>77</v>
      </c>
      <c r="D136" s="6" t="s">
        <v>36</v>
      </c>
      <c r="E136" s="23">
        <v>22.7</v>
      </c>
      <c r="F136" s="23">
        <v>7.5</v>
      </c>
      <c r="G136" s="41">
        <v>238</v>
      </c>
      <c r="H136" s="23">
        <v>9.5</v>
      </c>
      <c r="I136" s="23">
        <v>3.1</v>
      </c>
      <c r="J136" s="23">
        <v>7.5</v>
      </c>
      <c r="K136" s="50">
        <v>5.5</v>
      </c>
      <c r="L136" s="50">
        <v>5.0999999999999996</v>
      </c>
      <c r="M136" s="50"/>
      <c r="N136" s="49">
        <f t="shared" si="22"/>
        <v>5.3</v>
      </c>
      <c r="O136" s="37">
        <v>4.3</v>
      </c>
      <c r="P136" s="37">
        <v>4.0999999999999996</v>
      </c>
      <c r="Q136" s="38">
        <f t="shared" si="23"/>
        <v>4.2</v>
      </c>
      <c r="R136" s="17">
        <v>2.476</v>
      </c>
      <c r="S136" s="17">
        <v>2.5230000000000001</v>
      </c>
      <c r="T136" s="22">
        <f t="shared" si="24"/>
        <v>2.5</v>
      </c>
      <c r="U136" s="17">
        <v>2.2890000000000001</v>
      </c>
      <c r="V136" s="17">
        <v>2.286</v>
      </c>
      <c r="W136" s="22">
        <f t="shared" si="25"/>
        <v>2.2879999999999998</v>
      </c>
      <c r="X136" s="17">
        <v>0.23799999999999999</v>
      </c>
      <c r="Y136" s="17">
        <v>0.23899999999999999</v>
      </c>
      <c r="Z136" s="21">
        <f t="shared" si="26"/>
        <v>0.23899999999999999</v>
      </c>
      <c r="AA136" s="19">
        <v>1.4456771899863081</v>
      </c>
      <c r="AB136" s="19">
        <v>1.4381918552242814</v>
      </c>
      <c r="AC136" s="21">
        <f t="shared" si="27"/>
        <v>1.4419999999999999</v>
      </c>
      <c r="AD136" s="19">
        <v>0.14099999999999999</v>
      </c>
      <c r="AE136" s="19">
        <v>0.13700000000000001</v>
      </c>
      <c r="AF136" s="21">
        <f t="shared" si="28"/>
        <v>0.13900000000000001</v>
      </c>
      <c r="AG136" s="30">
        <v>7.3999999999999996E-2</v>
      </c>
      <c r="AH136" s="30">
        <v>7.3999999999999996E-2</v>
      </c>
      <c r="AI136" s="31">
        <f t="shared" si="29"/>
        <v>7.3999999999999996E-2</v>
      </c>
      <c r="AJ136" s="30">
        <v>6.4000000000000001E-2</v>
      </c>
      <c r="AK136" s="30">
        <v>6.2E-2</v>
      </c>
      <c r="AL136" s="31">
        <f t="shared" si="30"/>
        <v>6.3E-2</v>
      </c>
      <c r="AM136" s="19">
        <v>17.771691205087411</v>
      </c>
      <c r="AN136" s="19">
        <v>17.555607100460104</v>
      </c>
      <c r="AO136" s="21">
        <f t="shared" si="31"/>
        <v>17.664000000000001</v>
      </c>
      <c r="AP136" s="46">
        <v>0.1038</v>
      </c>
      <c r="AQ136" s="46">
        <v>0.10299999999999999</v>
      </c>
      <c r="AR136" s="45">
        <f t="shared" si="32"/>
        <v>0.10340000000000001</v>
      </c>
      <c r="AS136" s="89">
        <v>9.77</v>
      </c>
      <c r="AT136" s="89">
        <v>3.74</v>
      </c>
    </row>
    <row r="137" spans="1:47">
      <c r="A137" s="7" t="s">
        <v>19</v>
      </c>
      <c r="B137" s="5" t="s">
        <v>78</v>
      </c>
      <c r="C137" s="6" t="s">
        <v>44</v>
      </c>
      <c r="D137" s="6" t="s">
        <v>79</v>
      </c>
      <c r="E137" s="23">
        <v>22</v>
      </c>
      <c r="F137" s="23">
        <v>7.3</v>
      </c>
      <c r="G137" s="41">
        <v>293</v>
      </c>
      <c r="H137" s="23">
        <v>7.4</v>
      </c>
      <c r="I137" s="23">
        <v>2.4</v>
      </c>
      <c r="J137" s="23">
        <v>4.8</v>
      </c>
      <c r="K137" s="50">
        <v>3</v>
      </c>
      <c r="L137" s="50">
        <v>2.9</v>
      </c>
      <c r="M137" s="50"/>
      <c r="N137" s="49">
        <f t="shared" si="22"/>
        <v>3</v>
      </c>
      <c r="O137" s="37">
        <v>2.8</v>
      </c>
      <c r="P137" s="37">
        <v>2.7</v>
      </c>
      <c r="Q137" s="38">
        <f t="shared" si="23"/>
        <v>2.8</v>
      </c>
      <c r="R137" s="17">
        <v>2.4350000000000001</v>
      </c>
      <c r="S137" s="17">
        <v>2.4430000000000001</v>
      </c>
      <c r="T137" s="22">
        <f t="shared" si="24"/>
        <v>2.4390000000000001</v>
      </c>
      <c r="U137" s="17">
        <v>2.3660000000000001</v>
      </c>
      <c r="V137" s="17">
        <v>2.38</v>
      </c>
      <c r="W137" s="22">
        <f t="shared" si="25"/>
        <v>2.3730000000000002</v>
      </c>
      <c r="X137" s="17">
        <v>0.42599999999999999</v>
      </c>
      <c r="Y137" s="17">
        <v>0.42599999999999999</v>
      </c>
      <c r="Z137" s="21">
        <f t="shared" si="26"/>
        <v>0.42599999999999999</v>
      </c>
      <c r="AA137" s="19">
        <v>1.3057162053931801</v>
      </c>
      <c r="AB137" s="19">
        <v>1.300624239961542</v>
      </c>
      <c r="AC137" s="21">
        <f t="shared" si="27"/>
        <v>1.3029999999999999</v>
      </c>
      <c r="AD137" s="19">
        <v>4.2000000000000003E-2</v>
      </c>
      <c r="AE137" s="19">
        <v>3.7999999999999999E-2</v>
      </c>
      <c r="AF137" s="21">
        <f t="shared" si="28"/>
        <v>0.04</v>
      </c>
      <c r="AG137" s="30">
        <v>2.3E-2</v>
      </c>
      <c r="AH137" s="30">
        <v>2.1000000000000001E-2</v>
      </c>
      <c r="AI137" s="31">
        <f t="shared" si="29"/>
        <v>2.1999999999999999E-2</v>
      </c>
      <c r="AJ137" s="30">
        <v>1.4E-2</v>
      </c>
      <c r="AK137" s="30">
        <v>1.2999999999999999E-2</v>
      </c>
      <c r="AL137" s="31">
        <f t="shared" si="30"/>
        <v>1.4E-2</v>
      </c>
      <c r="AM137" s="19">
        <v>31.849629859316707</v>
      </c>
      <c r="AN137" s="19">
        <v>31.502705238746426</v>
      </c>
      <c r="AO137" s="21">
        <f t="shared" si="31"/>
        <v>31.675999999999998</v>
      </c>
      <c r="AP137" s="46">
        <v>6.6699999999999995E-2</v>
      </c>
      <c r="AQ137" s="46">
        <v>6.6199999999999995E-2</v>
      </c>
      <c r="AR137" s="45">
        <f t="shared" si="32"/>
        <v>6.6500000000000004E-2</v>
      </c>
      <c r="AS137" s="91">
        <v>20.170000000000002</v>
      </c>
      <c r="AT137" s="89">
        <v>-2.1</v>
      </c>
      <c r="AU137" s="89"/>
    </row>
    <row r="138" spans="1:47">
      <c r="A138" s="7" t="s">
        <v>20</v>
      </c>
      <c r="B138" s="5" t="s">
        <v>80</v>
      </c>
      <c r="C138" s="6" t="s">
        <v>81</v>
      </c>
      <c r="D138" s="6" t="s">
        <v>36</v>
      </c>
      <c r="E138" s="23">
        <v>23.7</v>
      </c>
      <c r="F138" s="23">
        <v>7.6</v>
      </c>
      <c r="G138" s="41">
        <v>235</v>
      </c>
      <c r="H138" s="23">
        <v>9.4</v>
      </c>
      <c r="I138" s="23">
        <v>4.9000000000000004</v>
      </c>
      <c r="J138" s="23">
        <v>8.9</v>
      </c>
      <c r="K138" s="50">
        <v>6.4</v>
      </c>
      <c r="L138" s="50">
        <v>6.4</v>
      </c>
      <c r="M138" s="50"/>
      <c r="N138" s="49">
        <f t="shared" si="22"/>
        <v>6.4</v>
      </c>
      <c r="O138" s="37">
        <v>5.2</v>
      </c>
      <c r="P138" s="37">
        <v>5.2</v>
      </c>
      <c r="Q138" s="38">
        <f t="shared" si="23"/>
        <v>5.2</v>
      </c>
      <c r="R138" s="17">
        <v>2.7709999999999999</v>
      </c>
      <c r="S138" s="17">
        <v>2.7160000000000002</v>
      </c>
      <c r="T138" s="22">
        <f t="shared" si="24"/>
        <v>2.7440000000000002</v>
      </c>
      <c r="U138" s="17">
        <v>2.4620000000000002</v>
      </c>
      <c r="V138" s="17">
        <v>2.4569999999999999</v>
      </c>
      <c r="W138" s="22">
        <f t="shared" si="25"/>
        <v>2.46</v>
      </c>
      <c r="X138" s="17">
        <v>0.35</v>
      </c>
      <c r="Y138" s="17">
        <v>0.35099999999999998</v>
      </c>
      <c r="Z138" s="21">
        <f t="shared" si="26"/>
        <v>0.35099999999999998</v>
      </c>
      <c r="AA138" s="19">
        <v>1.3660435113451117</v>
      </c>
      <c r="AB138" s="19">
        <v>1.3670796737459441</v>
      </c>
      <c r="AC138" s="21">
        <f t="shared" si="27"/>
        <v>1.367</v>
      </c>
      <c r="AD138" s="19">
        <v>0.253</v>
      </c>
      <c r="AE138" s="19">
        <v>0.24</v>
      </c>
      <c r="AF138" s="21">
        <f t="shared" si="28"/>
        <v>0.247</v>
      </c>
      <c r="AG138" s="30">
        <v>0.14399999999999999</v>
      </c>
      <c r="AH138" s="30">
        <v>0.14799999999999999</v>
      </c>
      <c r="AI138" s="31">
        <f t="shared" si="29"/>
        <v>0.14599999999999999</v>
      </c>
      <c r="AJ138" s="30">
        <v>0.14299999999999999</v>
      </c>
      <c r="AK138" s="30">
        <v>0.14199999999999999</v>
      </c>
      <c r="AL138" s="31">
        <f t="shared" si="30"/>
        <v>0.14299999999999999</v>
      </c>
      <c r="AM138" s="19">
        <v>16.935469523470616</v>
      </c>
      <c r="AN138" s="19">
        <v>16.861346229042667</v>
      </c>
      <c r="AO138" s="21">
        <f t="shared" si="31"/>
        <v>16.898</v>
      </c>
      <c r="AP138" s="46">
        <v>0.1326</v>
      </c>
      <c r="AQ138" s="46">
        <v>0.1318</v>
      </c>
      <c r="AR138" s="45">
        <f t="shared" si="32"/>
        <v>0.13220000000000001</v>
      </c>
      <c r="AS138" s="89">
        <v>8.17</v>
      </c>
      <c r="AT138" s="89">
        <v>6.16</v>
      </c>
    </row>
    <row r="139" spans="1:47">
      <c r="A139" s="7" t="s">
        <v>21</v>
      </c>
      <c r="B139" s="5" t="s">
        <v>82</v>
      </c>
      <c r="C139" s="6" t="s">
        <v>44</v>
      </c>
      <c r="D139" s="6" t="s">
        <v>83</v>
      </c>
      <c r="E139" s="23">
        <v>23.5</v>
      </c>
      <c r="F139" s="23">
        <v>7.3</v>
      </c>
      <c r="G139" s="41">
        <v>299</v>
      </c>
      <c r="H139" s="23">
        <v>11.1</v>
      </c>
      <c r="I139" s="23">
        <v>3.9</v>
      </c>
      <c r="J139" s="23">
        <v>13</v>
      </c>
      <c r="K139" s="50">
        <v>9.9</v>
      </c>
      <c r="L139" s="50">
        <v>9.6999999999999993</v>
      </c>
      <c r="M139" s="50"/>
      <c r="N139" s="49">
        <f t="shared" si="22"/>
        <v>9.8000000000000007</v>
      </c>
      <c r="O139" s="37">
        <v>9.1999999999999993</v>
      </c>
      <c r="P139" s="37">
        <v>9.1999999999999993</v>
      </c>
      <c r="Q139" s="38">
        <f t="shared" si="23"/>
        <v>9.1999999999999993</v>
      </c>
      <c r="R139" s="17">
        <v>3.05</v>
      </c>
      <c r="S139" s="17">
        <v>3.0009999999999999</v>
      </c>
      <c r="T139" s="22">
        <f t="shared" si="24"/>
        <v>3.0259999999999998</v>
      </c>
      <c r="U139" s="17">
        <v>2.8159999999999998</v>
      </c>
      <c r="V139" s="17">
        <v>2.8290000000000002</v>
      </c>
      <c r="W139" s="22">
        <f t="shared" si="25"/>
        <v>2.823</v>
      </c>
      <c r="X139" s="17">
        <v>0.57899999999999996</v>
      </c>
      <c r="Y139" s="17">
        <v>0.59</v>
      </c>
      <c r="Z139" s="21">
        <f t="shared" si="26"/>
        <v>0.58499999999999996</v>
      </c>
      <c r="AA139" s="19">
        <v>1.0096499692337624</v>
      </c>
      <c r="AB139" s="19">
        <v>1.0099183302052956</v>
      </c>
      <c r="AC139" s="21">
        <f t="shared" si="27"/>
        <v>1.01</v>
      </c>
      <c r="AD139" s="19">
        <v>0.42899999999999999</v>
      </c>
      <c r="AE139" s="19">
        <v>0.39300000000000002</v>
      </c>
      <c r="AF139" s="21">
        <f t="shared" si="28"/>
        <v>0.41099999999999998</v>
      </c>
      <c r="AG139" s="30">
        <v>0.30599999999999999</v>
      </c>
      <c r="AH139" s="30">
        <v>0.312</v>
      </c>
      <c r="AI139" s="31">
        <f t="shared" si="29"/>
        <v>0.309</v>
      </c>
      <c r="AJ139" s="30">
        <v>0.30199999999999999</v>
      </c>
      <c r="AK139" s="30">
        <v>0.30499999999999999</v>
      </c>
      <c r="AL139" s="31">
        <f t="shared" si="30"/>
        <v>0.30399999999999999</v>
      </c>
      <c r="AM139" s="19">
        <v>21.85166854151176</v>
      </c>
      <c r="AN139" s="19">
        <v>21.545874272172409</v>
      </c>
      <c r="AO139" s="21">
        <f t="shared" si="31"/>
        <v>21.699000000000002</v>
      </c>
      <c r="AP139" s="46">
        <v>0.25419999999999998</v>
      </c>
      <c r="AQ139" s="46">
        <v>0.25290000000000001</v>
      </c>
      <c r="AR139" s="45">
        <f t="shared" si="32"/>
        <v>0.25359999999999999</v>
      </c>
      <c r="AS139" s="89">
        <v>7.7</v>
      </c>
      <c r="AT139" s="89">
        <v>4.8899999999999997</v>
      </c>
      <c r="AU139" s="89"/>
    </row>
    <row r="140" spans="1:47">
      <c r="A140" s="7" t="s">
        <v>22</v>
      </c>
      <c r="B140" s="5" t="s">
        <v>84</v>
      </c>
      <c r="C140" s="6" t="s">
        <v>85</v>
      </c>
      <c r="D140" s="6" t="s">
        <v>36</v>
      </c>
      <c r="E140" s="23">
        <v>21.9</v>
      </c>
      <c r="F140" s="23">
        <v>7.4</v>
      </c>
      <c r="G140" s="41">
        <v>236</v>
      </c>
      <c r="H140" s="23">
        <v>8.9</v>
      </c>
      <c r="I140" s="23">
        <v>3.4</v>
      </c>
      <c r="J140" s="23">
        <v>8.6</v>
      </c>
      <c r="K140" s="50">
        <v>6.2</v>
      </c>
      <c r="L140" s="50">
        <v>6</v>
      </c>
      <c r="M140" s="50"/>
      <c r="N140" s="49">
        <f t="shared" si="22"/>
        <v>6.1</v>
      </c>
      <c r="O140" s="37">
        <v>5.4</v>
      </c>
      <c r="P140" s="37">
        <v>5.3</v>
      </c>
      <c r="Q140" s="38">
        <f t="shared" si="23"/>
        <v>5.4</v>
      </c>
      <c r="R140" s="17">
        <v>2.4159999999999999</v>
      </c>
      <c r="S140" s="17">
        <v>2.4319999999999999</v>
      </c>
      <c r="T140" s="22">
        <f t="shared" si="24"/>
        <v>2.4239999999999999</v>
      </c>
      <c r="U140" s="17">
        <v>2.2010000000000001</v>
      </c>
      <c r="V140" s="17">
        <v>2.2029999999999998</v>
      </c>
      <c r="W140" s="22">
        <f t="shared" si="25"/>
        <v>2.202</v>
      </c>
      <c r="X140" s="17">
        <v>0.253</v>
      </c>
      <c r="Y140" s="17">
        <v>0.254</v>
      </c>
      <c r="Z140" s="21">
        <f t="shared" si="26"/>
        <v>0.254</v>
      </c>
      <c r="AA140" s="19">
        <v>1.2419676062143084</v>
      </c>
      <c r="AB140" s="19">
        <v>1.2432065553063556</v>
      </c>
      <c r="AC140" s="21">
        <f t="shared" si="27"/>
        <v>1.2430000000000001</v>
      </c>
      <c r="AD140" s="19">
        <v>0.20200000000000001</v>
      </c>
      <c r="AE140" s="19">
        <v>0.19</v>
      </c>
      <c r="AF140" s="21">
        <f t="shared" si="28"/>
        <v>0.19600000000000001</v>
      </c>
      <c r="AG140" s="30">
        <v>0.127</v>
      </c>
      <c r="AH140" s="30">
        <v>0.127</v>
      </c>
      <c r="AI140" s="31">
        <f t="shared" si="29"/>
        <v>0.127</v>
      </c>
      <c r="AJ140" s="30">
        <v>0.122</v>
      </c>
      <c r="AK140" s="30">
        <v>0.11899999999999999</v>
      </c>
      <c r="AL140" s="31">
        <f t="shared" si="30"/>
        <v>0.121</v>
      </c>
      <c r="AM140" s="19">
        <v>17.089965451590228</v>
      </c>
      <c r="AN140" s="19">
        <v>17.008755364455784</v>
      </c>
      <c r="AO140" s="21">
        <f t="shared" si="31"/>
        <v>17.048999999999999</v>
      </c>
      <c r="AP140" s="46">
        <v>0.12959999999999999</v>
      </c>
      <c r="AQ140" s="46">
        <v>0.12839999999999999</v>
      </c>
      <c r="AR140" s="45">
        <f t="shared" si="32"/>
        <v>0.129</v>
      </c>
      <c r="AS140" s="89">
        <v>8.69</v>
      </c>
      <c r="AT140" s="89">
        <v>5.16</v>
      </c>
    </row>
    <row r="141" spans="1:47">
      <c r="A141" s="7" t="s">
        <v>23</v>
      </c>
      <c r="B141" s="5" t="s">
        <v>86</v>
      </c>
      <c r="C141" s="6" t="s">
        <v>87</v>
      </c>
      <c r="D141" s="6" t="s">
        <v>88</v>
      </c>
      <c r="E141" s="23">
        <v>19.399999999999999</v>
      </c>
      <c r="F141" s="23">
        <v>7.3</v>
      </c>
      <c r="G141" s="41">
        <v>201</v>
      </c>
      <c r="H141" s="23">
        <v>8.9</v>
      </c>
      <c r="I141" s="23">
        <v>2.6</v>
      </c>
      <c r="J141" s="23">
        <v>8.3000000000000007</v>
      </c>
      <c r="K141" s="50">
        <v>6.5</v>
      </c>
      <c r="L141" s="50">
        <v>5.9</v>
      </c>
      <c r="M141" s="50"/>
      <c r="N141" s="49">
        <f t="shared" si="22"/>
        <v>6.2</v>
      </c>
      <c r="O141" s="37">
        <v>5.4</v>
      </c>
      <c r="P141" s="37">
        <v>5.3</v>
      </c>
      <c r="Q141" s="38">
        <f t="shared" si="23"/>
        <v>5.4</v>
      </c>
      <c r="R141" s="17">
        <v>2.2090000000000001</v>
      </c>
      <c r="S141" s="17">
        <v>2.21</v>
      </c>
      <c r="T141" s="22">
        <f t="shared" si="24"/>
        <v>2.21</v>
      </c>
      <c r="U141" s="17">
        <v>2.0070000000000001</v>
      </c>
      <c r="V141" s="17">
        <v>2.008</v>
      </c>
      <c r="W141" s="22">
        <f t="shared" si="25"/>
        <v>2.008</v>
      </c>
      <c r="X141" s="17">
        <v>0.39</v>
      </c>
      <c r="Y141" s="17">
        <v>0.39500000000000002</v>
      </c>
      <c r="Z141" s="21">
        <f t="shared" si="26"/>
        <v>0.39300000000000002</v>
      </c>
      <c r="AA141" s="19">
        <v>1.0021673483143458</v>
      </c>
      <c r="AB141" s="19">
        <v>1.0164989518449667</v>
      </c>
      <c r="AC141" s="21">
        <f t="shared" si="27"/>
        <v>1.0089999999999999</v>
      </c>
      <c r="AD141" s="19">
        <v>0.27700000000000002</v>
      </c>
      <c r="AE141" s="19">
        <v>0.27200000000000002</v>
      </c>
      <c r="AF141" s="21">
        <f t="shared" si="28"/>
        <v>0.27500000000000002</v>
      </c>
      <c r="AG141" s="30">
        <v>0.20899999999999999</v>
      </c>
      <c r="AH141" s="30">
        <v>0.20799999999999999</v>
      </c>
      <c r="AI141" s="31">
        <f t="shared" si="29"/>
        <v>0.20899999999999999</v>
      </c>
      <c r="AJ141" s="30">
        <v>0.20699999999999999</v>
      </c>
      <c r="AK141" s="30">
        <v>0.20699999999999999</v>
      </c>
      <c r="AL141" s="31">
        <f t="shared" si="30"/>
        <v>0.20699999999999999</v>
      </c>
      <c r="AM141" s="19">
        <v>13.178117806355239</v>
      </c>
      <c r="AN141" s="19">
        <v>13.195911728359549</v>
      </c>
      <c r="AO141" s="21">
        <f t="shared" si="31"/>
        <v>13.186999999999999</v>
      </c>
      <c r="AP141" s="46">
        <v>0.14530000000000001</v>
      </c>
      <c r="AQ141" s="46">
        <v>0.14399999999999999</v>
      </c>
      <c r="AR141" s="45">
        <f t="shared" si="32"/>
        <v>0.1447</v>
      </c>
      <c r="AS141" s="89">
        <v>8.49</v>
      </c>
      <c r="AT141" s="89">
        <v>2.58</v>
      </c>
      <c r="AU141" s="89"/>
    </row>
    <row r="142" spans="1:47">
      <c r="A142" s="7" t="s">
        <v>24</v>
      </c>
      <c r="B142" s="5" t="s">
        <v>89</v>
      </c>
      <c r="C142" s="6" t="s">
        <v>42</v>
      </c>
      <c r="D142" s="6" t="s">
        <v>36</v>
      </c>
      <c r="E142" s="23">
        <v>23.1</v>
      </c>
      <c r="F142" s="23">
        <v>7.5</v>
      </c>
      <c r="G142" s="41">
        <v>245</v>
      </c>
      <c r="H142" s="23">
        <v>9.8000000000000007</v>
      </c>
      <c r="I142" s="23">
        <v>2.8</v>
      </c>
      <c r="J142" s="23">
        <v>8.1999999999999993</v>
      </c>
      <c r="K142" s="50">
        <v>6</v>
      </c>
      <c r="L142" s="50">
        <v>5.7</v>
      </c>
      <c r="M142" s="50"/>
      <c r="N142" s="49">
        <f t="shared" si="22"/>
        <v>5.9</v>
      </c>
      <c r="O142" s="37">
        <v>5.2</v>
      </c>
      <c r="P142" s="37">
        <v>5</v>
      </c>
      <c r="Q142" s="38">
        <f t="shared" si="23"/>
        <v>5.0999999999999996</v>
      </c>
      <c r="R142" s="17">
        <v>2.379</v>
      </c>
      <c r="S142" s="17">
        <v>2.4220000000000002</v>
      </c>
      <c r="T142" s="22">
        <f t="shared" si="24"/>
        <v>2.4009999999999998</v>
      </c>
      <c r="U142" s="17">
        <v>2.2400000000000002</v>
      </c>
      <c r="V142" s="17">
        <v>2.2370000000000001</v>
      </c>
      <c r="W142" s="22">
        <f t="shared" si="25"/>
        <v>2.2389999999999999</v>
      </c>
      <c r="X142" s="17">
        <v>0.14499999999999999</v>
      </c>
      <c r="Y142" s="17">
        <v>0.13800000000000001</v>
      </c>
      <c r="Z142" s="21">
        <f t="shared" si="26"/>
        <v>0.14199999999999999</v>
      </c>
      <c r="AA142" s="19">
        <v>1.5881710509608422</v>
      </c>
      <c r="AB142" s="19">
        <v>1.447074100216452</v>
      </c>
      <c r="AC142" s="21">
        <f t="shared" si="27"/>
        <v>1.518</v>
      </c>
      <c r="AD142" s="19">
        <v>0.189</v>
      </c>
      <c r="AE142" s="19">
        <v>0.186</v>
      </c>
      <c r="AF142" s="21">
        <f t="shared" si="28"/>
        <v>0.188</v>
      </c>
      <c r="AG142" s="30">
        <v>0.12</v>
      </c>
      <c r="AH142" s="30">
        <v>0.12</v>
      </c>
      <c r="AI142" s="31">
        <f t="shared" si="29"/>
        <v>0.12</v>
      </c>
      <c r="AJ142" s="30">
        <v>0.115</v>
      </c>
      <c r="AK142" s="30">
        <v>0.114</v>
      </c>
      <c r="AL142" s="31">
        <f t="shared" si="30"/>
        <v>0.115</v>
      </c>
      <c r="AM142" s="19">
        <v>19.133356920568573</v>
      </c>
      <c r="AN142" s="19">
        <v>17.386667740150603</v>
      </c>
      <c r="AO142" s="21">
        <f t="shared" si="31"/>
        <v>18.260000000000002</v>
      </c>
      <c r="AP142" s="46">
        <v>0.124</v>
      </c>
      <c r="AQ142" s="46">
        <v>0.1226</v>
      </c>
      <c r="AR142" s="45">
        <f t="shared" si="32"/>
        <v>0.12330000000000001</v>
      </c>
      <c r="AS142" s="89">
        <v>9.24</v>
      </c>
      <c r="AT142" s="89">
        <v>6.7</v>
      </c>
    </row>
    <row r="143" spans="1:47">
      <c r="A143" s="7" t="s">
        <v>25</v>
      </c>
      <c r="B143" s="5" t="s">
        <v>90</v>
      </c>
      <c r="C143" s="6" t="s">
        <v>44</v>
      </c>
      <c r="D143" s="6" t="s">
        <v>91</v>
      </c>
      <c r="E143" s="23">
        <v>20.100000000000001</v>
      </c>
      <c r="F143" s="23">
        <v>7.4</v>
      </c>
      <c r="G143" s="41">
        <v>227</v>
      </c>
      <c r="H143" s="23">
        <v>10.3</v>
      </c>
      <c r="I143" s="23">
        <v>1.2</v>
      </c>
      <c r="J143" s="23">
        <v>6.1</v>
      </c>
      <c r="K143" s="50">
        <v>4.4000000000000004</v>
      </c>
      <c r="L143" s="50">
        <v>4.4000000000000004</v>
      </c>
      <c r="M143" s="50"/>
      <c r="N143" s="49">
        <f t="shared" si="22"/>
        <v>4.4000000000000004</v>
      </c>
      <c r="O143" s="37">
        <v>4.2</v>
      </c>
      <c r="P143" s="37">
        <v>4.0999999999999996</v>
      </c>
      <c r="Q143" s="38">
        <f t="shared" si="23"/>
        <v>4.2</v>
      </c>
      <c r="R143" s="17">
        <v>1.8440000000000001</v>
      </c>
      <c r="S143" s="17">
        <v>1.8320000000000001</v>
      </c>
      <c r="T143" s="22">
        <f t="shared" si="24"/>
        <v>1.8380000000000001</v>
      </c>
      <c r="U143" s="17">
        <v>1.7350000000000001</v>
      </c>
      <c r="V143" s="17">
        <v>1.6930000000000001</v>
      </c>
      <c r="W143" s="22">
        <f t="shared" si="25"/>
        <v>1.714</v>
      </c>
      <c r="X143" s="17">
        <v>3.7999999999999999E-2</v>
      </c>
      <c r="Y143" s="17">
        <v>4.1000000000000002E-2</v>
      </c>
      <c r="Z143" s="21">
        <f t="shared" si="26"/>
        <v>0.04</v>
      </c>
      <c r="AA143" s="19">
        <v>1.2646673325034976</v>
      </c>
      <c r="AB143" s="19">
        <v>1.2596476163664605</v>
      </c>
      <c r="AC143" s="21">
        <f t="shared" si="27"/>
        <v>1.262</v>
      </c>
      <c r="AD143" s="19">
        <v>6.4000000000000001E-2</v>
      </c>
      <c r="AE143" s="19">
        <v>6.5000000000000002E-2</v>
      </c>
      <c r="AF143" s="21">
        <f t="shared" si="28"/>
        <v>6.5000000000000002E-2</v>
      </c>
      <c r="AG143" s="30">
        <v>3.1E-2</v>
      </c>
      <c r="AH143" s="30">
        <v>2.8000000000000001E-2</v>
      </c>
      <c r="AI143" s="31">
        <f t="shared" si="29"/>
        <v>0.03</v>
      </c>
      <c r="AJ143" s="30">
        <v>2.1999999999999999E-2</v>
      </c>
      <c r="AK143" s="30">
        <v>0.02</v>
      </c>
      <c r="AL143" s="31">
        <f t="shared" si="30"/>
        <v>2.1000000000000001E-2</v>
      </c>
      <c r="AM143" s="19">
        <v>15.691557216725021</v>
      </c>
      <c r="AN143" s="19">
        <v>15.623572266657218</v>
      </c>
      <c r="AO143" s="21">
        <f t="shared" si="31"/>
        <v>15.657999999999999</v>
      </c>
      <c r="AP143" s="46">
        <v>0.1038</v>
      </c>
      <c r="AQ143" s="46">
        <v>0.1032</v>
      </c>
      <c r="AR143" s="45">
        <f t="shared" si="32"/>
        <v>0.10349999999999999</v>
      </c>
      <c r="AS143" s="89">
        <v>9.4600000000000009</v>
      </c>
      <c r="AT143" s="89">
        <v>3.75</v>
      </c>
      <c r="AU143" s="89"/>
    </row>
    <row r="144" spans="1:47">
      <c r="A144" s="7" t="s">
        <v>26</v>
      </c>
      <c r="B144" s="5" t="s">
        <v>92</v>
      </c>
      <c r="C144" s="6" t="s">
        <v>93</v>
      </c>
      <c r="D144" s="6" t="s">
        <v>36</v>
      </c>
      <c r="E144" s="23">
        <v>22.7</v>
      </c>
      <c r="F144" s="23">
        <v>8.4</v>
      </c>
      <c r="G144" s="41">
        <v>228</v>
      </c>
      <c r="H144" s="23">
        <v>10.199999999999999</v>
      </c>
      <c r="I144" s="23">
        <v>4.0999999999999996</v>
      </c>
      <c r="J144" s="23">
        <v>8.5</v>
      </c>
      <c r="K144" s="50">
        <v>6.1</v>
      </c>
      <c r="L144" s="50">
        <v>5.3</v>
      </c>
      <c r="M144" s="50"/>
      <c r="N144" s="49">
        <f t="shared" si="22"/>
        <v>5.7</v>
      </c>
      <c r="O144" s="37">
        <v>4.5999999999999996</v>
      </c>
      <c r="P144" s="37">
        <v>4.5999999999999996</v>
      </c>
      <c r="Q144" s="38">
        <f t="shared" si="23"/>
        <v>4.5999999999999996</v>
      </c>
      <c r="R144" s="17">
        <v>2.2519999999999998</v>
      </c>
      <c r="S144" s="17">
        <v>2.3079999999999998</v>
      </c>
      <c r="T144" s="22">
        <f t="shared" si="24"/>
        <v>2.2799999999999998</v>
      </c>
      <c r="U144" s="17">
        <v>1.859</v>
      </c>
      <c r="V144" s="17">
        <v>1.86</v>
      </c>
      <c r="W144" s="22">
        <f t="shared" si="25"/>
        <v>1.86</v>
      </c>
      <c r="X144" s="17">
        <v>7.5999999999999998E-2</v>
      </c>
      <c r="Y144" s="17">
        <v>8.2000000000000003E-2</v>
      </c>
      <c r="Z144" s="21">
        <f t="shared" si="26"/>
        <v>7.9000000000000001E-2</v>
      </c>
      <c r="AA144" s="19">
        <v>1.2609170026981726</v>
      </c>
      <c r="AB144" s="19">
        <v>1.2668475074496668</v>
      </c>
      <c r="AC144" s="21">
        <f t="shared" si="27"/>
        <v>1.264</v>
      </c>
      <c r="AD144" s="19">
        <v>0.185</v>
      </c>
      <c r="AE144" s="19">
        <v>0.185</v>
      </c>
      <c r="AF144" s="21">
        <f t="shared" si="28"/>
        <v>0.185</v>
      </c>
      <c r="AG144" s="30">
        <v>9.4E-2</v>
      </c>
      <c r="AH144" s="30">
        <v>9.9000000000000005E-2</v>
      </c>
      <c r="AI144" s="31">
        <f t="shared" si="29"/>
        <v>9.7000000000000003E-2</v>
      </c>
      <c r="AJ144" s="30">
        <v>9.0999999999999998E-2</v>
      </c>
      <c r="AK144" s="30">
        <v>9.0999999999999998E-2</v>
      </c>
      <c r="AL144" s="31">
        <f t="shared" si="30"/>
        <v>9.0999999999999998E-2</v>
      </c>
      <c r="AM144" s="19">
        <v>16.633522864373287</v>
      </c>
      <c r="AN144" s="19">
        <v>16.561702888903142</v>
      </c>
      <c r="AO144" s="21">
        <f t="shared" si="31"/>
        <v>16.597999999999999</v>
      </c>
      <c r="AP144" s="46">
        <v>0.106</v>
      </c>
      <c r="AQ144" s="46">
        <v>0.1051</v>
      </c>
      <c r="AR144" s="45">
        <f t="shared" si="32"/>
        <v>0.1056</v>
      </c>
      <c r="AS144" s="89">
        <v>10.51</v>
      </c>
      <c r="AT144" s="89">
        <v>9.89</v>
      </c>
    </row>
    <row r="145" spans="1:47">
      <c r="A145" s="7" t="s">
        <v>27</v>
      </c>
      <c r="B145" s="5" t="s">
        <v>94</v>
      </c>
      <c r="C145" s="6" t="s">
        <v>95</v>
      </c>
      <c r="D145" s="6" t="s">
        <v>96</v>
      </c>
      <c r="E145" s="23">
        <v>18.100000000000001</v>
      </c>
      <c r="F145" s="23">
        <v>7.3</v>
      </c>
      <c r="G145" s="41">
        <v>179</v>
      </c>
      <c r="H145" s="23">
        <v>7.4</v>
      </c>
      <c r="I145" s="23">
        <v>0.5</v>
      </c>
      <c r="J145" s="23">
        <v>2.8</v>
      </c>
      <c r="K145" s="50">
        <v>1.9</v>
      </c>
      <c r="L145" s="50">
        <v>1.9</v>
      </c>
      <c r="M145" s="50"/>
      <c r="N145" s="49">
        <f t="shared" si="22"/>
        <v>1.9</v>
      </c>
      <c r="O145" s="37">
        <v>1.9</v>
      </c>
      <c r="P145" s="37">
        <v>1.9</v>
      </c>
      <c r="Q145" s="38">
        <f t="shared" si="23"/>
        <v>1.9</v>
      </c>
      <c r="R145" s="17">
        <v>0.52400000000000002</v>
      </c>
      <c r="S145" s="17">
        <v>0.55000000000000004</v>
      </c>
      <c r="T145" s="22">
        <f t="shared" si="24"/>
        <v>0.53700000000000003</v>
      </c>
      <c r="U145" s="17">
        <v>0.45800000000000002</v>
      </c>
      <c r="V145" s="17">
        <v>0.46</v>
      </c>
      <c r="W145" s="22">
        <f t="shared" si="25"/>
        <v>0.45900000000000002</v>
      </c>
      <c r="X145" s="17">
        <v>2.1000000000000001E-2</v>
      </c>
      <c r="Y145" s="17">
        <v>2.5000000000000001E-2</v>
      </c>
      <c r="Z145" s="21">
        <f t="shared" si="26"/>
        <v>2.3E-2</v>
      </c>
      <c r="AA145" s="19">
        <v>0.30113629165231354</v>
      </c>
      <c r="AB145" s="19">
        <v>0.31400223504462454</v>
      </c>
      <c r="AC145" s="21">
        <f t="shared" si="27"/>
        <v>0.308</v>
      </c>
      <c r="AD145" s="19">
        <v>3.7999999999999999E-2</v>
      </c>
      <c r="AE145" s="19">
        <v>3.5999999999999997E-2</v>
      </c>
      <c r="AF145" s="21">
        <f t="shared" si="28"/>
        <v>3.6999999999999998E-2</v>
      </c>
      <c r="AG145" s="30">
        <v>1.4999999999999999E-2</v>
      </c>
      <c r="AH145" s="30">
        <v>1.4999999999999999E-2</v>
      </c>
      <c r="AI145" s="31">
        <f t="shared" si="29"/>
        <v>1.4999999999999999E-2</v>
      </c>
      <c r="AJ145" s="30">
        <v>1.4E-2</v>
      </c>
      <c r="AK145" s="30">
        <v>1.2E-2</v>
      </c>
      <c r="AL145" s="31">
        <f t="shared" si="30"/>
        <v>1.2999999999999999E-2</v>
      </c>
      <c r="AM145" s="19">
        <v>9.8316395550853226</v>
      </c>
      <c r="AN145" s="19">
        <v>9.9136479018707941</v>
      </c>
      <c r="AO145" s="21">
        <f t="shared" si="31"/>
        <v>9.8729999999999993</v>
      </c>
      <c r="AP145" s="46">
        <v>4.2700000000000002E-2</v>
      </c>
      <c r="AQ145" s="46">
        <v>4.19E-2</v>
      </c>
      <c r="AR145" s="45">
        <f t="shared" si="32"/>
        <v>4.2299999999999997E-2</v>
      </c>
      <c r="AS145" s="89">
        <v>15.24</v>
      </c>
      <c r="AT145" s="89">
        <v>5.65</v>
      </c>
      <c r="AU145" s="89"/>
    </row>
    <row r="146" spans="1:47">
      <c r="A146" s="7" t="s">
        <v>28</v>
      </c>
      <c r="B146" s="5" t="s">
        <v>97</v>
      </c>
      <c r="C146" s="6" t="s">
        <v>98</v>
      </c>
      <c r="D146" s="6" t="s">
        <v>36</v>
      </c>
      <c r="E146" s="23">
        <v>22.9</v>
      </c>
      <c r="F146" s="23">
        <v>8.8000000000000007</v>
      </c>
      <c r="G146" s="41">
        <v>228</v>
      </c>
      <c r="H146" s="23">
        <v>9.6</v>
      </c>
      <c r="I146" s="23">
        <v>2.5</v>
      </c>
      <c r="J146" s="23">
        <v>6.2</v>
      </c>
      <c r="K146" s="50">
        <v>4.9000000000000004</v>
      </c>
      <c r="L146" s="50">
        <v>4.7</v>
      </c>
      <c r="M146" s="50"/>
      <c r="N146" s="49">
        <f t="shared" si="22"/>
        <v>4.8</v>
      </c>
      <c r="O146" s="37">
        <v>3.9</v>
      </c>
      <c r="P146" s="37">
        <v>3.8</v>
      </c>
      <c r="Q146" s="38">
        <f t="shared" si="23"/>
        <v>3.9</v>
      </c>
      <c r="R146" s="17">
        <v>1.603</v>
      </c>
      <c r="S146" s="17">
        <v>1.633</v>
      </c>
      <c r="T146" s="22">
        <f t="shared" si="24"/>
        <v>1.6180000000000001</v>
      </c>
      <c r="U146" s="17">
        <v>1.397</v>
      </c>
      <c r="V146" s="17">
        <v>1.383</v>
      </c>
      <c r="W146" s="22">
        <f t="shared" si="25"/>
        <v>1.39</v>
      </c>
      <c r="X146" s="17">
        <v>4.2000000000000003E-2</v>
      </c>
      <c r="Y146" s="17">
        <v>4.8000000000000001E-2</v>
      </c>
      <c r="Z146" s="21">
        <f t="shared" si="26"/>
        <v>4.4999999999999998E-2</v>
      </c>
      <c r="AA146" s="19">
        <v>0.91886950965600656</v>
      </c>
      <c r="AB146" s="19">
        <v>0.92519663200997515</v>
      </c>
      <c r="AC146" s="21">
        <f t="shared" si="27"/>
        <v>0.92200000000000004</v>
      </c>
      <c r="AD146" s="19">
        <v>0.11899999999999999</v>
      </c>
      <c r="AE146" s="19">
        <v>0.115</v>
      </c>
      <c r="AF146" s="21">
        <f t="shared" si="28"/>
        <v>0.11700000000000001</v>
      </c>
      <c r="AG146" s="30">
        <v>6.2E-2</v>
      </c>
      <c r="AH146" s="30">
        <v>6.5000000000000002E-2</v>
      </c>
      <c r="AI146" s="31">
        <f t="shared" si="29"/>
        <v>6.4000000000000001E-2</v>
      </c>
      <c r="AJ146" s="30">
        <v>0.06</v>
      </c>
      <c r="AK146" s="30">
        <v>6.0999999999999999E-2</v>
      </c>
      <c r="AL146" s="31">
        <f t="shared" si="30"/>
        <v>6.0999999999999999E-2</v>
      </c>
      <c r="AM146" s="19">
        <v>14.959279818512311</v>
      </c>
      <c r="AN146" s="19">
        <v>14.950618262272654</v>
      </c>
      <c r="AO146" s="21">
        <f t="shared" si="31"/>
        <v>14.955</v>
      </c>
      <c r="AP146" s="46">
        <v>8.9800000000000005E-2</v>
      </c>
      <c r="AQ146" s="46">
        <v>8.8800000000000004E-2</v>
      </c>
      <c r="AR146" s="45">
        <f t="shared" si="32"/>
        <v>8.9300000000000004E-2</v>
      </c>
      <c r="AS146" s="89">
        <v>12.19</v>
      </c>
      <c r="AT146" s="89">
        <v>9.81</v>
      </c>
    </row>
    <row r="147" spans="1:47">
      <c r="A147" s="7" t="s">
        <v>29</v>
      </c>
      <c r="B147" s="5" t="s">
        <v>99</v>
      </c>
      <c r="C147" s="6" t="s">
        <v>44</v>
      </c>
      <c r="D147" s="6" t="s">
        <v>100</v>
      </c>
      <c r="E147" s="23">
        <v>20.3</v>
      </c>
      <c r="F147" s="23">
        <v>7.6</v>
      </c>
      <c r="G147" s="41">
        <v>248</v>
      </c>
      <c r="H147" s="23">
        <v>5.2</v>
      </c>
      <c r="I147" s="23">
        <v>2</v>
      </c>
      <c r="J147" s="23">
        <v>7.2</v>
      </c>
      <c r="K147" s="50">
        <v>5.8</v>
      </c>
      <c r="L147" s="50">
        <v>5.4</v>
      </c>
      <c r="M147" s="50"/>
      <c r="N147" s="49">
        <f t="shared" si="22"/>
        <v>5.6</v>
      </c>
      <c r="O147" s="37">
        <v>4.8</v>
      </c>
      <c r="P147" s="37">
        <v>4.8</v>
      </c>
      <c r="Q147" s="38">
        <f t="shared" si="23"/>
        <v>4.8</v>
      </c>
      <c r="R147" s="17">
        <v>1.89</v>
      </c>
      <c r="S147" s="17">
        <v>1.923</v>
      </c>
      <c r="T147" s="22">
        <f t="shared" si="24"/>
        <v>1.907</v>
      </c>
      <c r="U147" s="17">
        <v>1.6930000000000001</v>
      </c>
      <c r="V147" s="17">
        <v>1.681</v>
      </c>
      <c r="W147" s="22">
        <f t="shared" si="25"/>
        <v>1.6870000000000001</v>
      </c>
      <c r="X147" s="17">
        <v>0.17399999999999999</v>
      </c>
      <c r="Y147" s="17">
        <v>0.17499999999999999</v>
      </c>
      <c r="Z147" s="21">
        <f t="shared" si="26"/>
        <v>0.17499999999999999</v>
      </c>
      <c r="AA147" s="19">
        <v>0.97185235569202899</v>
      </c>
      <c r="AB147" s="19">
        <v>0.97033286742617164</v>
      </c>
      <c r="AC147" s="21">
        <f t="shared" si="27"/>
        <v>0.97099999999999997</v>
      </c>
      <c r="AD147" s="19">
        <v>0.20899999999999999</v>
      </c>
      <c r="AE147" s="19">
        <v>0.20899999999999999</v>
      </c>
      <c r="AF147" s="21">
        <f t="shared" si="28"/>
        <v>0.20899999999999999</v>
      </c>
      <c r="AG147" s="30">
        <v>0.105</v>
      </c>
      <c r="AH147" s="30">
        <v>0.104</v>
      </c>
      <c r="AI147" s="31">
        <f t="shared" si="29"/>
        <v>0.105</v>
      </c>
      <c r="AJ147" s="30">
        <v>0.104</v>
      </c>
      <c r="AK147" s="30">
        <v>0.10299999999999999</v>
      </c>
      <c r="AL147" s="31">
        <f t="shared" si="30"/>
        <v>0.104</v>
      </c>
      <c r="AM147" s="19">
        <v>16.229721333453462</v>
      </c>
      <c r="AN147" s="19">
        <v>16.032046596109844</v>
      </c>
      <c r="AO147" s="21">
        <f t="shared" si="31"/>
        <v>16.131</v>
      </c>
      <c r="AP147" s="46">
        <v>0.12540000000000001</v>
      </c>
      <c r="AQ147" s="46">
        <v>0.1242</v>
      </c>
      <c r="AR147" s="45">
        <f t="shared" si="32"/>
        <v>0.12479999999999999</v>
      </c>
      <c r="AS147" s="89">
        <v>10.33</v>
      </c>
      <c r="AT147" s="89">
        <v>3.47</v>
      </c>
      <c r="AU147" s="89"/>
    </row>
    <row r="148" spans="1:47">
      <c r="A148" s="7" t="s">
        <v>30</v>
      </c>
      <c r="B148" s="5" t="s">
        <v>101</v>
      </c>
      <c r="C148" s="6" t="s">
        <v>44</v>
      </c>
      <c r="D148" s="6" t="s">
        <v>160</v>
      </c>
      <c r="E148" s="23">
        <v>22.5</v>
      </c>
      <c r="F148" s="23">
        <v>7.8</v>
      </c>
      <c r="G148" s="41">
        <v>348</v>
      </c>
      <c r="H148" s="23">
        <v>9.1999999999999993</v>
      </c>
      <c r="I148" s="23">
        <v>5.2</v>
      </c>
      <c r="J148" s="23">
        <v>9.6</v>
      </c>
      <c r="K148" s="50">
        <v>8.1999999999999993</v>
      </c>
      <c r="L148" s="50">
        <v>6.9</v>
      </c>
      <c r="M148" s="50"/>
      <c r="N148" s="49">
        <f t="shared" si="22"/>
        <v>7.6</v>
      </c>
      <c r="O148" s="37">
        <v>5.9</v>
      </c>
      <c r="P148" s="37">
        <v>5.7</v>
      </c>
      <c r="Q148" s="38">
        <f t="shared" si="23"/>
        <v>5.8</v>
      </c>
      <c r="R148" s="17">
        <v>4.327</v>
      </c>
      <c r="S148" s="17">
        <v>4.2670000000000003</v>
      </c>
      <c r="T148" s="22">
        <f t="shared" si="24"/>
        <v>4.2969999999999997</v>
      </c>
      <c r="U148" s="17">
        <v>4.0330000000000004</v>
      </c>
      <c r="V148" s="17">
        <v>4.0279999999999996</v>
      </c>
      <c r="W148" s="22">
        <f t="shared" si="25"/>
        <v>4.0309999999999997</v>
      </c>
      <c r="X148" s="17">
        <v>0.45900000000000002</v>
      </c>
      <c r="Y148" s="17">
        <v>0.45200000000000001</v>
      </c>
      <c r="Z148" s="21">
        <f t="shared" si="26"/>
        <v>0.45600000000000002</v>
      </c>
      <c r="AA148" s="19">
        <v>2.3258952017023291</v>
      </c>
      <c r="AB148" s="19">
        <v>2.3113786135127796</v>
      </c>
      <c r="AC148" s="21">
        <f t="shared" si="27"/>
        <v>2.319</v>
      </c>
      <c r="AD148" s="19">
        <v>0.22900000000000001</v>
      </c>
      <c r="AE148" s="19">
        <v>0.20499999999999999</v>
      </c>
      <c r="AF148" s="21">
        <f t="shared" si="28"/>
        <v>0.217</v>
      </c>
      <c r="AG148" s="30">
        <v>8.8999999999999996E-2</v>
      </c>
      <c r="AH148" s="30">
        <v>8.5000000000000006E-2</v>
      </c>
      <c r="AI148" s="31">
        <f t="shared" si="29"/>
        <v>8.6999999999999994E-2</v>
      </c>
      <c r="AJ148" s="30">
        <v>7.9000000000000001E-2</v>
      </c>
      <c r="AK148" s="30">
        <v>7.6999999999999999E-2</v>
      </c>
      <c r="AL148" s="31">
        <f t="shared" si="30"/>
        <v>7.8E-2</v>
      </c>
      <c r="AM148" s="19">
        <v>42.588554072845504</v>
      </c>
      <c r="AN148" s="19">
        <v>42.104876413757296</v>
      </c>
      <c r="AO148" s="21">
        <f t="shared" si="31"/>
        <v>42.347000000000001</v>
      </c>
      <c r="AP148" s="46">
        <v>0.14169999999999999</v>
      </c>
      <c r="AQ148" s="46">
        <v>0.14030000000000001</v>
      </c>
      <c r="AR148" s="45">
        <f t="shared" si="32"/>
        <v>0.14099999999999999</v>
      </c>
      <c r="AS148" s="89">
        <v>10.06</v>
      </c>
      <c r="AT148" s="89">
        <v>1.24</v>
      </c>
      <c r="AU148" s="89"/>
    </row>
    <row r="149" spans="1:47">
      <c r="A149" s="7" t="s">
        <v>31</v>
      </c>
      <c r="B149" s="5" t="s">
        <v>102</v>
      </c>
      <c r="C149" s="6" t="s">
        <v>103</v>
      </c>
      <c r="D149" s="6" t="s">
        <v>36</v>
      </c>
      <c r="E149" s="23">
        <v>23.1</v>
      </c>
      <c r="F149" s="23">
        <v>8.9</v>
      </c>
      <c r="G149" s="41">
        <v>227</v>
      </c>
      <c r="H149" s="23">
        <v>9.8000000000000007</v>
      </c>
      <c r="I149" s="23">
        <v>3.6</v>
      </c>
      <c r="J149" s="23">
        <v>7.3</v>
      </c>
      <c r="K149" s="50">
        <v>4.0999999999999996</v>
      </c>
      <c r="L149" s="50">
        <v>4.8</v>
      </c>
      <c r="M149" s="50"/>
      <c r="N149" s="49">
        <f t="shared" si="22"/>
        <v>4.5</v>
      </c>
      <c r="O149" s="37">
        <v>4</v>
      </c>
      <c r="P149" s="37">
        <v>3.7</v>
      </c>
      <c r="Q149" s="38">
        <f t="shared" si="23"/>
        <v>3.9</v>
      </c>
      <c r="R149" s="17">
        <v>1.494</v>
      </c>
      <c r="S149" s="17">
        <v>1.552</v>
      </c>
      <c r="T149" s="22">
        <f t="shared" si="24"/>
        <v>1.5229999999999999</v>
      </c>
      <c r="U149" s="17">
        <v>1.1890000000000001</v>
      </c>
      <c r="V149" s="17">
        <v>1.18</v>
      </c>
      <c r="W149" s="22">
        <f t="shared" si="25"/>
        <v>1.1850000000000001</v>
      </c>
      <c r="X149" s="17">
        <v>6.0999999999999999E-2</v>
      </c>
      <c r="Y149" s="17">
        <v>6.3E-2</v>
      </c>
      <c r="Z149" s="21">
        <f t="shared" si="26"/>
        <v>6.2E-2</v>
      </c>
      <c r="AA149" s="19">
        <v>0.68017557960841957</v>
      </c>
      <c r="AB149" s="19">
        <v>0.68204765224696484</v>
      </c>
      <c r="AC149" s="21">
        <f t="shared" si="27"/>
        <v>0.68100000000000005</v>
      </c>
      <c r="AD149" s="19">
        <v>0.127</v>
      </c>
      <c r="AE149" s="19">
        <v>0.129</v>
      </c>
      <c r="AF149" s="21">
        <f t="shared" si="28"/>
        <v>0.128</v>
      </c>
      <c r="AG149" s="30">
        <v>4.9000000000000002E-2</v>
      </c>
      <c r="AH149" s="30">
        <v>4.8000000000000001E-2</v>
      </c>
      <c r="AI149" s="31">
        <f t="shared" si="29"/>
        <v>4.9000000000000002E-2</v>
      </c>
      <c r="AJ149" s="30">
        <v>3.6999999999999998E-2</v>
      </c>
      <c r="AK149" s="30">
        <v>3.7999999999999999E-2</v>
      </c>
      <c r="AL149" s="31">
        <f t="shared" si="30"/>
        <v>3.7999999999999999E-2</v>
      </c>
      <c r="AM149" s="19">
        <v>15.798335600767198</v>
      </c>
      <c r="AN149" s="19">
        <v>15.673248072177763</v>
      </c>
      <c r="AO149" s="21">
        <f t="shared" si="31"/>
        <v>15.736000000000001</v>
      </c>
      <c r="AP149" s="46">
        <v>8.9300000000000004E-2</v>
      </c>
      <c r="AQ149" s="46">
        <v>8.8700000000000001E-2</v>
      </c>
      <c r="AR149" s="45">
        <f t="shared" si="32"/>
        <v>8.8999999999999996E-2</v>
      </c>
      <c r="AS149" s="89">
        <v>12.27</v>
      </c>
      <c r="AT149" s="89">
        <v>6.77</v>
      </c>
    </row>
    <row r="150" spans="1:47">
      <c r="A150" s="7" t="s">
        <v>32</v>
      </c>
      <c r="B150" s="5" t="s">
        <v>104</v>
      </c>
      <c r="C150" s="6" t="s">
        <v>44</v>
      </c>
      <c r="D150" s="6" t="s">
        <v>105</v>
      </c>
      <c r="E150" s="23">
        <v>22.1</v>
      </c>
      <c r="F150" s="23">
        <v>7.7</v>
      </c>
      <c r="G150" s="41">
        <v>285</v>
      </c>
      <c r="H150" s="23">
        <v>8.1999999999999993</v>
      </c>
      <c r="I150" s="23">
        <v>2.6</v>
      </c>
      <c r="J150" s="23">
        <v>11.8</v>
      </c>
      <c r="K150" s="50">
        <v>9.1999999999999993</v>
      </c>
      <c r="L150" s="50">
        <v>8.5</v>
      </c>
      <c r="M150" s="50"/>
      <c r="N150" s="49">
        <f t="shared" si="22"/>
        <v>8.9</v>
      </c>
      <c r="O150" s="37">
        <v>7.7</v>
      </c>
      <c r="P150" s="37">
        <v>7.5</v>
      </c>
      <c r="Q150" s="38">
        <f t="shared" si="23"/>
        <v>7.6</v>
      </c>
      <c r="R150" s="17">
        <v>2.6549999999999998</v>
      </c>
      <c r="S150" s="17">
        <v>2.645</v>
      </c>
      <c r="T150" s="22">
        <f t="shared" si="24"/>
        <v>2.65</v>
      </c>
      <c r="U150" s="17">
        <v>2.4159999999999999</v>
      </c>
      <c r="V150" s="17">
        <v>2.4140000000000001</v>
      </c>
      <c r="W150" s="22">
        <f t="shared" si="25"/>
        <v>2.415</v>
      </c>
      <c r="X150" s="17">
        <v>0.21</v>
      </c>
      <c r="Y150" s="17">
        <v>0.20899999999999999</v>
      </c>
      <c r="Z150" s="21">
        <f t="shared" si="26"/>
        <v>0.21</v>
      </c>
      <c r="AA150" s="19">
        <v>1.0276193087038628</v>
      </c>
      <c r="AB150" s="19">
        <v>1.0565643473169666</v>
      </c>
      <c r="AC150" s="21">
        <f t="shared" si="27"/>
        <v>1.042</v>
      </c>
      <c r="AD150" s="19">
        <v>0.24099999999999999</v>
      </c>
      <c r="AE150" s="19">
        <v>0.23100000000000001</v>
      </c>
      <c r="AF150" s="21">
        <f t="shared" si="28"/>
        <v>0.23599999999999999</v>
      </c>
      <c r="AG150" s="30">
        <v>7.6999999999999999E-2</v>
      </c>
      <c r="AH150" s="30">
        <v>7.9000000000000001E-2</v>
      </c>
      <c r="AI150" s="31">
        <f t="shared" si="29"/>
        <v>7.8E-2</v>
      </c>
      <c r="AJ150" s="30">
        <v>6.6000000000000003E-2</v>
      </c>
      <c r="AK150" s="30">
        <v>6.8000000000000005E-2</v>
      </c>
      <c r="AL150" s="31">
        <f t="shared" si="30"/>
        <v>6.7000000000000004E-2</v>
      </c>
      <c r="AM150" s="19">
        <v>21.099067607611925</v>
      </c>
      <c r="AN150" s="19">
        <v>21.524075457629667</v>
      </c>
      <c r="AO150" s="21">
        <f t="shared" si="31"/>
        <v>21.312000000000001</v>
      </c>
      <c r="AP150" s="46">
        <v>0.2228</v>
      </c>
      <c r="AQ150" s="46">
        <v>0.22209999999999999</v>
      </c>
      <c r="AR150" s="45">
        <f t="shared" si="32"/>
        <v>0.2225</v>
      </c>
      <c r="AS150" s="89">
        <v>7.56</v>
      </c>
      <c r="AT150" s="89">
        <v>1.72</v>
      </c>
      <c r="AU150" s="89"/>
    </row>
    <row r="151" spans="1:47">
      <c r="A151" s="7" t="s">
        <v>33</v>
      </c>
      <c r="B151" s="5" t="s">
        <v>106</v>
      </c>
      <c r="C151" s="6" t="s">
        <v>107</v>
      </c>
      <c r="D151" s="6" t="s">
        <v>36</v>
      </c>
      <c r="E151" s="23">
        <v>22.6</v>
      </c>
      <c r="F151" s="23">
        <v>8.3000000000000007</v>
      </c>
      <c r="G151" s="41">
        <v>252</v>
      </c>
      <c r="H151" s="23">
        <v>9.1</v>
      </c>
      <c r="I151" s="23">
        <v>3</v>
      </c>
      <c r="J151" s="23">
        <v>8.3000000000000007</v>
      </c>
      <c r="K151" s="50">
        <v>5.6</v>
      </c>
      <c r="L151" s="50">
        <v>6.3</v>
      </c>
      <c r="M151" s="50"/>
      <c r="N151" s="49">
        <f t="shared" si="22"/>
        <v>6</v>
      </c>
      <c r="O151" s="37">
        <v>5.0999999999999996</v>
      </c>
      <c r="P151" s="37">
        <v>4.9000000000000004</v>
      </c>
      <c r="Q151" s="38">
        <f t="shared" si="23"/>
        <v>5</v>
      </c>
      <c r="R151" s="17">
        <v>2.2360000000000002</v>
      </c>
      <c r="S151" s="17">
        <v>2.2160000000000002</v>
      </c>
      <c r="T151" s="22">
        <f t="shared" si="24"/>
        <v>2.226</v>
      </c>
      <c r="U151" s="17">
        <v>1.9390000000000001</v>
      </c>
      <c r="V151" s="17">
        <v>1.9530000000000001</v>
      </c>
      <c r="W151" s="22">
        <f t="shared" si="25"/>
        <v>1.946</v>
      </c>
      <c r="X151" s="17">
        <v>5.7000000000000002E-2</v>
      </c>
      <c r="Y151" s="17">
        <v>5.3999999999999999E-2</v>
      </c>
      <c r="Z151" s="21">
        <f t="shared" si="26"/>
        <v>5.6000000000000001E-2</v>
      </c>
      <c r="AA151" s="19">
        <v>1.2311400513398494</v>
      </c>
      <c r="AB151" s="19">
        <v>1.2584957238621524</v>
      </c>
      <c r="AC151" s="21">
        <f t="shared" si="27"/>
        <v>1.2450000000000001</v>
      </c>
      <c r="AD151" s="19">
        <v>0.16900000000000001</v>
      </c>
      <c r="AE151" s="19">
        <v>0.16700000000000001</v>
      </c>
      <c r="AF151" s="21">
        <f t="shared" si="28"/>
        <v>0.16800000000000001</v>
      </c>
      <c r="AG151" s="30">
        <v>6.7000000000000004E-2</v>
      </c>
      <c r="AH151" s="30">
        <v>6.9000000000000006E-2</v>
      </c>
      <c r="AI151" s="31">
        <f t="shared" si="29"/>
        <v>6.8000000000000005E-2</v>
      </c>
      <c r="AJ151" s="30">
        <v>6.2E-2</v>
      </c>
      <c r="AK151" s="30">
        <v>6.0999999999999999E-2</v>
      </c>
      <c r="AL151" s="31">
        <f t="shared" si="30"/>
        <v>6.2E-2</v>
      </c>
      <c r="AM151" s="19">
        <v>18.200285554922921</v>
      </c>
      <c r="AN151" s="19">
        <v>18.451535535618671</v>
      </c>
      <c r="AO151" s="21">
        <f t="shared" si="31"/>
        <v>18.326000000000001</v>
      </c>
      <c r="AP151" s="46">
        <v>0.12570000000000001</v>
      </c>
      <c r="AQ151" s="46">
        <v>0.12540000000000001</v>
      </c>
      <c r="AR151" s="45">
        <f t="shared" si="32"/>
        <v>0.12559999999999999</v>
      </c>
      <c r="AS151" s="89">
        <v>11.08</v>
      </c>
      <c r="AT151" s="89">
        <v>3.28</v>
      </c>
    </row>
    <row r="152" spans="1:47">
      <c r="A152" s="7" t="s">
        <v>143</v>
      </c>
      <c r="B152" s="5" t="s">
        <v>141</v>
      </c>
      <c r="C152" s="6"/>
      <c r="D152" s="6"/>
      <c r="E152" s="23">
        <v>22</v>
      </c>
      <c r="F152" s="23">
        <v>7.2</v>
      </c>
      <c r="G152" s="41">
        <v>262</v>
      </c>
      <c r="H152" s="23">
        <v>7.6</v>
      </c>
      <c r="I152" s="23"/>
      <c r="J152" s="23"/>
      <c r="K152" s="15"/>
      <c r="L152" s="15"/>
      <c r="M152" s="15"/>
      <c r="N152" s="20"/>
      <c r="O152" s="37">
        <v>5.4</v>
      </c>
      <c r="P152" s="37">
        <v>5.5</v>
      </c>
      <c r="Q152" s="38">
        <f t="shared" si="23"/>
        <v>5.5</v>
      </c>
      <c r="R152" s="17"/>
      <c r="S152" s="17"/>
      <c r="T152" s="22"/>
      <c r="U152" s="17">
        <v>1.1879999999999999</v>
      </c>
      <c r="V152" s="17">
        <v>1.1679999999999999</v>
      </c>
      <c r="W152" s="22">
        <f t="shared" si="25"/>
        <v>1.1779999999999999</v>
      </c>
      <c r="X152" s="17"/>
      <c r="Y152" s="17"/>
      <c r="Z152" s="21"/>
      <c r="AA152" s="19">
        <v>0.47079004704469107</v>
      </c>
      <c r="AB152" s="19">
        <v>0.46987061114717787</v>
      </c>
      <c r="AC152" s="21">
        <f t="shared" si="27"/>
        <v>0.47</v>
      </c>
      <c r="AD152" s="19"/>
      <c r="AE152" s="19"/>
      <c r="AF152" s="21"/>
      <c r="AG152" s="30">
        <v>0.04</v>
      </c>
      <c r="AH152" s="30">
        <v>3.7999999999999999E-2</v>
      </c>
      <c r="AI152" s="31">
        <f t="shared" si="29"/>
        <v>3.9E-2</v>
      </c>
      <c r="AJ152" s="30">
        <v>3.3000000000000002E-2</v>
      </c>
      <c r="AK152" s="30">
        <v>3.1E-2</v>
      </c>
      <c r="AL152" s="31">
        <f t="shared" si="30"/>
        <v>3.2000000000000001E-2</v>
      </c>
      <c r="AM152" s="19">
        <v>20.923497501413927</v>
      </c>
      <c r="AN152" s="19">
        <v>20.549515613939835</v>
      </c>
      <c r="AO152" s="21">
        <f t="shared" si="31"/>
        <v>20.736999999999998</v>
      </c>
      <c r="AP152" s="46">
        <v>0.14069999999999999</v>
      </c>
      <c r="AQ152" s="46">
        <v>0.1399</v>
      </c>
      <c r="AR152" s="45">
        <f t="shared" si="32"/>
        <v>0.14030000000000001</v>
      </c>
      <c r="AS152" s="91">
        <v>9.83</v>
      </c>
      <c r="AT152" s="89">
        <v>-1.54</v>
      </c>
    </row>
    <row r="153" spans="1:47">
      <c r="A153" s="7" t="s">
        <v>144</v>
      </c>
      <c r="B153" s="5" t="s">
        <v>142</v>
      </c>
      <c r="C153" s="6"/>
      <c r="D153" s="6"/>
      <c r="E153" s="23">
        <v>22.1</v>
      </c>
      <c r="F153" s="23">
        <v>6.9</v>
      </c>
      <c r="G153" s="41">
        <v>211</v>
      </c>
      <c r="H153" s="23">
        <v>6.9</v>
      </c>
      <c r="I153" s="23"/>
      <c r="J153" s="23"/>
      <c r="K153" s="15"/>
      <c r="L153" s="15"/>
      <c r="M153" s="15"/>
      <c r="N153" s="20"/>
      <c r="O153" s="37">
        <v>8.8000000000000007</v>
      </c>
      <c r="P153" s="37">
        <v>8.9</v>
      </c>
      <c r="Q153" s="38">
        <f t="shared" si="23"/>
        <v>8.9</v>
      </c>
      <c r="R153" s="17"/>
      <c r="S153" s="17"/>
      <c r="T153" s="22"/>
      <c r="U153" s="17">
        <v>2.5019999999999998</v>
      </c>
      <c r="V153" s="17">
        <v>2.4950000000000001</v>
      </c>
      <c r="W153" s="22">
        <f t="shared" si="25"/>
        <v>2.4990000000000001</v>
      </c>
      <c r="X153" s="17"/>
      <c r="Y153" s="17"/>
      <c r="Z153" s="21"/>
      <c r="AA153" s="19">
        <v>0.82382929678224104</v>
      </c>
      <c r="AB153" s="19">
        <v>0.81682083159662389</v>
      </c>
      <c r="AC153" s="21">
        <f t="shared" si="27"/>
        <v>0.82</v>
      </c>
      <c r="AD153" s="19"/>
      <c r="AE153" s="19"/>
      <c r="AF153" s="21"/>
      <c r="AG153" s="30">
        <v>0.49299999999999999</v>
      </c>
      <c r="AH153" s="30">
        <v>0.48199999999999998</v>
      </c>
      <c r="AI153" s="31">
        <f t="shared" si="29"/>
        <v>0.48799999999999999</v>
      </c>
      <c r="AJ153" s="30">
        <v>0.433</v>
      </c>
      <c r="AK153" s="30">
        <v>0.443</v>
      </c>
      <c r="AL153" s="31">
        <f t="shared" si="30"/>
        <v>0.438</v>
      </c>
      <c r="AM153" s="19">
        <v>18.326600485586191</v>
      </c>
      <c r="AN153" s="19">
        <v>18.024077966363429</v>
      </c>
      <c r="AO153" s="21">
        <f t="shared" si="31"/>
        <v>18.175000000000001</v>
      </c>
      <c r="AP153" s="46">
        <v>0.94579999999999997</v>
      </c>
      <c r="AQ153" s="46">
        <v>0.93069999999999997</v>
      </c>
      <c r="AR153" s="45">
        <f t="shared" si="32"/>
        <v>0.93830000000000002</v>
      </c>
      <c r="AS153" s="92">
        <v>13.13</v>
      </c>
      <c r="AT153" s="92">
        <v>3.23</v>
      </c>
    </row>
    <row r="154" spans="1:47">
      <c r="A154" s="7" t="s">
        <v>137</v>
      </c>
      <c r="B154" s="5" t="s">
        <v>138</v>
      </c>
      <c r="C154" s="6"/>
      <c r="D154" s="6"/>
      <c r="E154" s="23">
        <v>21.4</v>
      </c>
      <c r="F154" s="23">
        <v>7.4</v>
      </c>
      <c r="G154" s="53">
        <v>352</v>
      </c>
      <c r="H154" s="23">
        <v>7.8</v>
      </c>
      <c r="I154" s="23">
        <v>12.8</v>
      </c>
      <c r="J154" s="23">
        <v>13.9</v>
      </c>
      <c r="K154" s="50">
        <v>9</v>
      </c>
      <c r="L154" s="50">
        <v>8.8000000000000007</v>
      </c>
      <c r="M154" s="50"/>
      <c r="N154" s="49">
        <f>ROUND(AVERAGE(K154:M154),1)</f>
        <v>8.9</v>
      </c>
      <c r="O154" s="37">
        <v>5.3</v>
      </c>
      <c r="P154" s="37">
        <v>5.3</v>
      </c>
      <c r="Q154" s="38">
        <f>ROUND(AVERAGE(O154:P154),1)</f>
        <v>5.3</v>
      </c>
      <c r="R154" s="17">
        <v>7.415</v>
      </c>
      <c r="S154" s="17">
        <v>7.4669999999999996</v>
      </c>
      <c r="T154" s="22">
        <f t="shared" si="24"/>
        <v>7.4409999999999998</v>
      </c>
      <c r="U154" s="4">
        <v>6.319</v>
      </c>
      <c r="V154" s="4">
        <v>6.3330000000000002</v>
      </c>
      <c r="W154" s="22">
        <f t="shared" si="25"/>
        <v>6.3259999999999996</v>
      </c>
      <c r="X154" s="17">
        <v>1.992</v>
      </c>
      <c r="Y154" s="17">
        <v>1.9990000000000001</v>
      </c>
      <c r="Z154" s="21">
        <f t="shared" si="26"/>
        <v>1.996</v>
      </c>
      <c r="AA154" s="19">
        <v>3.6415662703146876</v>
      </c>
      <c r="AB154" s="19">
        <v>3.6414300414756355</v>
      </c>
      <c r="AC154" s="21">
        <f t="shared" si="27"/>
        <v>3.641</v>
      </c>
      <c r="AD154" s="19">
        <v>0.42599999999999999</v>
      </c>
      <c r="AE154" s="19">
        <v>0.43099999999999999</v>
      </c>
      <c r="AF154" s="21">
        <f t="shared" si="28"/>
        <v>0.42899999999999999</v>
      </c>
      <c r="AG154" s="30">
        <v>0.114</v>
      </c>
      <c r="AH154" s="30">
        <v>0.115</v>
      </c>
      <c r="AI154" s="31">
        <f t="shared" si="29"/>
        <v>0.115</v>
      </c>
      <c r="AJ154" s="30">
        <v>0.10299999999999999</v>
      </c>
      <c r="AK154" s="30">
        <v>0.10299999999999999</v>
      </c>
      <c r="AL154" s="31">
        <f t="shared" si="30"/>
        <v>0.10299999999999999</v>
      </c>
      <c r="AM154" s="52">
        <v>41.143224578526571</v>
      </c>
      <c r="AN154" s="51">
        <v>40.742228080656439</v>
      </c>
      <c r="AO154" s="21">
        <f t="shared" si="31"/>
        <v>40.942999999999998</v>
      </c>
      <c r="AP154" s="46">
        <v>0.10639999999999999</v>
      </c>
      <c r="AQ154" s="46">
        <v>0.10580000000000001</v>
      </c>
      <c r="AR154" s="45">
        <f t="shared" si="32"/>
        <v>0.1061</v>
      </c>
      <c r="AS154" s="89"/>
      <c r="AT154" s="89"/>
      <c r="AU154" s="89"/>
    </row>
    <row r="155" spans="1:47">
      <c r="A155" s="7" t="s">
        <v>154</v>
      </c>
      <c r="B155" s="5" t="s">
        <v>156</v>
      </c>
      <c r="C155" s="6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37">
        <v>1</v>
      </c>
      <c r="P155" s="37">
        <v>0.9</v>
      </c>
      <c r="Q155" s="39">
        <f>ROUND(AVERAGE(O155:P155),1)</f>
        <v>1</v>
      </c>
      <c r="R155" s="4"/>
      <c r="S155" s="4"/>
      <c r="T155" s="4"/>
      <c r="U155" s="55">
        <v>22.016999999999999</v>
      </c>
      <c r="V155" s="4">
        <v>21.994</v>
      </c>
      <c r="W155" s="22">
        <f t="shared" si="25"/>
        <v>22.006</v>
      </c>
      <c r="X155" s="4"/>
      <c r="Y155" s="4"/>
      <c r="Z155" s="4"/>
      <c r="AA155" s="4">
        <v>21.283999999999999</v>
      </c>
      <c r="AB155" s="4">
        <v>21.279</v>
      </c>
      <c r="AC155" s="21">
        <f t="shared" si="27"/>
        <v>21.282</v>
      </c>
      <c r="AD155" s="4"/>
      <c r="AE155" s="4"/>
      <c r="AF155" s="5"/>
      <c r="AG155" s="30">
        <v>0.113</v>
      </c>
      <c r="AH155" s="30">
        <v>0.11</v>
      </c>
      <c r="AI155" s="31">
        <f t="shared" si="29"/>
        <v>0.112</v>
      </c>
      <c r="AJ155" s="30">
        <v>0.11</v>
      </c>
      <c r="AK155" s="30">
        <v>0.108</v>
      </c>
      <c r="AL155" s="31">
        <f t="shared" si="30"/>
        <v>0.109</v>
      </c>
      <c r="AM155" s="5">
        <v>39.999000000000002</v>
      </c>
      <c r="AN155" s="5">
        <v>39.921999999999997</v>
      </c>
      <c r="AO155" s="21">
        <f t="shared" si="31"/>
        <v>39.960999999999999</v>
      </c>
      <c r="AP155" s="5">
        <v>2.93E-2</v>
      </c>
      <c r="AQ155" s="5">
        <v>3.15E-2</v>
      </c>
      <c r="AR155" s="45">
        <f t="shared" si="32"/>
        <v>3.04E-2</v>
      </c>
      <c r="AS155" s="88">
        <v>6.83</v>
      </c>
      <c r="AT155" s="88">
        <v>3.8</v>
      </c>
      <c r="AU155" s="88"/>
    </row>
    <row r="156" spans="1:47">
      <c r="A156" s="8" t="s">
        <v>136</v>
      </c>
      <c r="B156" s="9" t="s">
        <v>34</v>
      </c>
      <c r="C156" s="10" t="s">
        <v>35</v>
      </c>
      <c r="D156" s="10" t="s">
        <v>36</v>
      </c>
      <c r="E156" s="20">
        <v>23.1</v>
      </c>
      <c r="F156" s="20">
        <v>7.6</v>
      </c>
      <c r="G156" s="40">
        <v>203</v>
      </c>
      <c r="H156" s="20">
        <v>8.5</v>
      </c>
      <c r="I156" s="20">
        <v>3.1</v>
      </c>
      <c r="J156" s="20">
        <v>7.4</v>
      </c>
      <c r="K156" s="14">
        <v>5.2</v>
      </c>
      <c r="L156" s="14">
        <v>5.5</v>
      </c>
      <c r="M156" s="14"/>
      <c r="N156" s="20">
        <f>ROUND(AVERAGE(K156:M156),1)</f>
        <v>5.4</v>
      </c>
      <c r="O156" s="36">
        <v>4</v>
      </c>
      <c r="P156" s="36">
        <v>4</v>
      </c>
      <c r="Q156" s="38">
        <f>ROUND(AVERAGE(O156:P156),1)</f>
        <v>4</v>
      </c>
      <c r="R156" s="16">
        <v>2.6520000000000001</v>
      </c>
      <c r="S156" s="16">
        <v>2.6219999999999999</v>
      </c>
      <c r="T156" s="22">
        <f>ROUND(AVERAGE(R156:S156),3)</f>
        <v>2.637</v>
      </c>
      <c r="U156" s="16">
        <v>2.629</v>
      </c>
      <c r="V156" s="16">
        <v>2.6269999999999998</v>
      </c>
      <c r="W156" s="22">
        <f>ROUND(AVERAGE(U156:V156),3)</f>
        <v>2.6280000000000001</v>
      </c>
      <c r="X156" s="16">
        <v>1.4690000000000001</v>
      </c>
      <c r="Y156" s="16">
        <v>1.4590000000000001</v>
      </c>
      <c r="Z156" s="21">
        <f>ROUND(AVERAGE(X156:Y156),3)</f>
        <v>1.464</v>
      </c>
      <c r="AA156" s="18">
        <v>0.78800000000000003</v>
      </c>
      <c r="AB156" s="18"/>
      <c r="AC156" s="21">
        <f>ROUND(AVERAGE(AA156:AB156),3)</f>
        <v>0.78800000000000003</v>
      </c>
      <c r="AD156" s="18">
        <v>0.39600000000000002</v>
      </c>
      <c r="AE156" s="18">
        <v>0.38300000000000001</v>
      </c>
      <c r="AF156" s="21">
        <f>ROUND(AVERAGE(AD156:AE156),3)</f>
        <v>0.39</v>
      </c>
      <c r="AG156" s="18">
        <v>0.28899999999999998</v>
      </c>
      <c r="AH156" s="18">
        <v>0.30399999999999999</v>
      </c>
      <c r="AI156" s="21">
        <f>ROUND(AVERAGE(AG156:AH156),3)</f>
        <v>0.29699999999999999</v>
      </c>
      <c r="AJ156" s="18">
        <v>0.28299999999999997</v>
      </c>
      <c r="AK156" s="18">
        <v>0.28499999999999998</v>
      </c>
      <c r="AL156" s="21">
        <f>ROUND(AVERAGE(AJ156:AK156),3)</f>
        <v>0.28399999999999997</v>
      </c>
      <c r="AM156" s="18">
        <v>17.975000000000001</v>
      </c>
      <c r="AN156" s="18"/>
      <c r="AO156" s="21">
        <f>ROUND(AVERAGE(AM156:AN156),3)</f>
        <v>17.975000000000001</v>
      </c>
      <c r="AP156" s="44">
        <v>0.12139999999999999</v>
      </c>
      <c r="AQ156" s="44">
        <v>0.1179</v>
      </c>
      <c r="AR156" s="45">
        <f>ROUND(AVERAGE(AP156:AQ156),4)</f>
        <v>0.1197</v>
      </c>
      <c r="AS156" s="93">
        <v>3.98</v>
      </c>
      <c r="AT156" s="93">
        <v>-0.49</v>
      </c>
    </row>
    <row r="157" spans="1:47">
      <c r="A157" s="7" t="s">
        <v>37</v>
      </c>
      <c r="B157" s="5" t="s">
        <v>38</v>
      </c>
      <c r="C157" s="6" t="s">
        <v>39</v>
      </c>
      <c r="D157" s="6" t="s">
        <v>40</v>
      </c>
      <c r="E157" s="23">
        <v>23.6</v>
      </c>
      <c r="F157" s="23">
        <v>7.3</v>
      </c>
      <c r="G157" s="41">
        <v>99</v>
      </c>
      <c r="H157" s="23">
        <v>7.2</v>
      </c>
      <c r="I157" s="23">
        <v>1.2</v>
      </c>
      <c r="J157" s="23">
        <v>4.8</v>
      </c>
      <c r="K157" s="15">
        <v>3.3</v>
      </c>
      <c r="L157" s="15">
        <v>3.4</v>
      </c>
      <c r="M157" s="15"/>
      <c r="N157" s="20">
        <f t="shared" ref="N157:N195" si="33">ROUND(AVERAGE(K157:M157),1)</f>
        <v>3.4</v>
      </c>
      <c r="O157" s="37">
        <v>2.8</v>
      </c>
      <c r="P157" s="37">
        <v>2.7</v>
      </c>
      <c r="Q157" s="38">
        <f t="shared" ref="Q157:Q197" si="34">ROUND(AVERAGE(O157:P157),1)</f>
        <v>2.8</v>
      </c>
      <c r="R157" s="17">
        <v>1.044</v>
      </c>
      <c r="S157" s="17">
        <v>1.0089999999999999</v>
      </c>
      <c r="T157" s="22">
        <f t="shared" ref="T157:T195" si="35">ROUND(AVERAGE(R157:S157),3)</f>
        <v>1.0269999999999999</v>
      </c>
      <c r="U157" s="17">
        <v>0.89200000000000002</v>
      </c>
      <c r="V157" s="17">
        <v>0.88700000000000001</v>
      </c>
      <c r="W157" s="22">
        <f t="shared" ref="W157:W197" si="36">ROUND(AVERAGE(U157:V157),3)</f>
        <v>0.89</v>
      </c>
      <c r="X157" s="17">
        <v>3.7999999999999999E-2</v>
      </c>
      <c r="Y157" s="17">
        <v>3.7999999999999999E-2</v>
      </c>
      <c r="Z157" s="21">
        <f t="shared" ref="Z157:Z195" si="37">ROUND(AVERAGE(X157:Y157),3)</f>
        <v>3.7999999999999999E-2</v>
      </c>
      <c r="AA157" s="19">
        <v>0.62</v>
      </c>
      <c r="AB157" s="19"/>
      <c r="AC157" s="21">
        <f t="shared" ref="AC157:AC196" si="38">ROUND(AVERAGE(AA157:AB157),3)</f>
        <v>0.62</v>
      </c>
      <c r="AD157" s="19">
        <v>6.6000000000000003E-2</v>
      </c>
      <c r="AE157" s="19">
        <v>6.4000000000000001E-2</v>
      </c>
      <c r="AF157" s="21">
        <f t="shared" ref="AF157:AF195" si="39">ROUND(AVERAGE(AD157:AE157),3)</f>
        <v>6.5000000000000002E-2</v>
      </c>
      <c r="AG157" s="19">
        <v>0.03</v>
      </c>
      <c r="AH157" s="19">
        <v>2.3E-2</v>
      </c>
      <c r="AI157" s="21">
        <f t="shared" ref="AI157:AI197" si="40">ROUND(AVERAGE(AG157:AH157),3)</f>
        <v>2.7E-2</v>
      </c>
      <c r="AJ157" s="19">
        <v>1.4999999999999999E-2</v>
      </c>
      <c r="AK157" s="19">
        <v>1.2E-2</v>
      </c>
      <c r="AL157" s="21">
        <f t="shared" ref="AL157:AL197" si="41">ROUND(AVERAGE(AJ157:AK157),3)</f>
        <v>1.4E-2</v>
      </c>
      <c r="AM157" s="19">
        <v>6.0010000000000003</v>
      </c>
      <c r="AN157" s="19"/>
      <c r="AO157" s="21">
        <f t="shared" ref="AO157:AO196" si="42">ROUND(AVERAGE(AM157:AN157),3)</f>
        <v>6.0010000000000003</v>
      </c>
      <c r="AP157" s="46">
        <v>8.3000000000000004E-2</v>
      </c>
      <c r="AQ157" s="46">
        <v>8.2000000000000003E-2</v>
      </c>
      <c r="AR157" s="45">
        <f t="shared" ref="AR157:AR197" si="43">ROUND(AVERAGE(AP157:AQ157),4)</f>
        <v>8.2500000000000004E-2</v>
      </c>
      <c r="AS157" s="94">
        <v>7.05</v>
      </c>
      <c r="AT157" s="94">
        <v>2.16</v>
      </c>
      <c r="AU157" s="94"/>
    </row>
    <row r="158" spans="1:47">
      <c r="A158" s="7" t="s">
        <v>0</v>
      </c>
      <c r="B158" s="5" t="s">
        <v>41</v>
      </c>
      <c r="C158" s="6" t="s">
        <v>42</v>
      </c>
      <c r="D158" s="6" t="s">
        <v>36</v>
      </c>
      <c r="E158" s="23">
        <v>23.4</v>
      </c>
      <c r="F158" s="23">
        <v>7.2</v>
      </c>
      <c r="G158" s="41">
        <v>124</v>
      </c>
      <c r="H158" s="23">
        <v>9.5</v>
      </c>
      <c r="I158" s="23">
        <v>1.8</v>
      </c>
      <c r="J158" s="23">
        <v>5.7</v>
      </c>
      <c r="K158" s="15">
        <v>4</v>
      </c>
      <c r="L158" s="15">
        <v>4.0999999999999996</v>
      </c>
      <c r="M158" s="15"/>
      <c r="N158" s="20">
        <f t="shared" si="33"/>
        <v>4.0999999999999996</v>
      </c>
      <c r="O158" s="37">
        <v>3.4</v>
      </c>
      <c r="P158" s="37">
        <v>3.3</v>
      </c>
      <c r="Q158" s="38">
        <f t="shared" si="34"/>
        <v>3.4</v>
      </c>
      <c r="R158" s="17">
        <v>1.1950000000000001</v>
      </c>
      <c r="S158" s="17">
        <v>1.2090000000000001</v>
      </c>
      <c r="T158" s="22">
        <f t="shared" si="35"/>
        <v>1.202</v>
      </c>
      <c r="U158" s="17">
        <v>1.0309999999999999</v>
      </c>
      <c r="V158" s="17">
        <v>1.0509999999999999</v>
      </c>
      <c r="W158" s="22">
        <f t="shared" si="36"/>
        <v>1.0409999999999999</v>
      </c>
      <c r="X158" s="17">
        <v>8.1000000000000003E-2</v>
      </c>
      <c r="Y158" s="17">
        <v>0.08</v>
      </c>
      <c r="Z158" s="21">
        <f t="shared" si="37"/>
        <v>8.1000000000000003E-2</v>
      </c>
      <c r="AA158" s="19">
        <v>0.63800000000000001</v>
      </c>
      <c r="AB158" s="19"/>
      <c r="AC158" s="21">
        <f t="shared" si="38"/>
        <v>0.63800000000000001</v>
      </c>
      <c r="AD158" s="19">
        <v>8.2000000000000003E-2</v>
      </c>
      <c r="AE158" s="19">
        <v>8.4000000000000005E-2</v>
      </c>
      <c r="AF158" s="21">
        <f t="shared" si="39"/>
        <v>8.3000000000000004E-2</v>
      </c>
      <c r="AG158" s="19">
        <v>3.7999999999999999E-2</v>
      </c>
      <c r="AH158" s="19">
        <v>3.9E-2</v>
      </c>
      <c r="AI158" s="21">
        <f t="shared" si="40"/>
        <v>3.9E-2</v>
      </c>
      <c r="AJ158" s="19">
        <v>2.7E-2</v>
      </c>
      <c r="AK158" s="19">
        <v>2.5000000000000001E-2</v>
      </c>
      <c r="AL158" s="21">
        <f t="shared" si="41"/>
        <v>2.5999999999999999E-2</v>
      </c>
      <c r="AM158" s="19">
        <v>9.3580000000000005</v>
      </c>
      <c r="AN158" s="19"/>
      <c r="AO158" s="21">
        <f t="shared" si="42"/>
        <v>9.3580000000000005</v>
      </c>
      <c r="AP158" s="46">
        <v>9.5100000000000004E-2</v>
      </c>
      <c r="AQ158" s="46">
        <v>9.3700000000000006E-2</v>
      </c>
      <c r="AR158" s="45">
        <f t="shared" si="43"/>
        <v>9.4399999999999998E-2</v>
      </c>
      <c r="AS158" s="94">
        <v>7.81</v>
      </c>
      <c r="AT158" s="94">
        <v>2.87</v>
      </c>
    </row>
    <row r="159" spans="1:47">
      <c r="A159" s="7" t="s">
        <v>1</v>
      </c>
      <c r="B159" s="5" t="s">
        <v>43</v>
      </c>
      <c r="C159" s="6" t="s">
        <v>44</v>
      </c>
      <c r="D159" s="6" t="s">
        <v>45</v>
      </c>
      <c r="E159" s="23">
        <v>22.3</v>
      </c>
      <c r="F159" s="23">
        <v>7.3</v>
      </c>
      <c r="G159" s="41">
        <v>97</v>
      </c>
      <c r="H159" s="23">
        <v>8.3000000000000007</v>
      </c>
      <c r="I159" s="23">
        <v>1.5</v>
      </c>
      <c r="J159" s="23">
        <v>5.7</v>
      </c>
      <c r="K159" s="15">
        <v>4.0999999999999996</v>
      </c>
      <c r="L159" s="15">
        <v>3.9</v>
      </c>
      <c r="M159" s="15"/>
      <c r="N159" s="20">
        <f t="shared" si="33"/>
        <v>4</v>
      </c>
      <c r="O159" s="37">
        <v>3.5</v>
      </c>
      <c r="P159" s="37">
        <v>3.5</v>
      </c>
      <c r="Q159" s="38">
        <f t="shared" si="34"/>
        <v>3.5</v>
      </c>
      <c r="R159" s="17">
        <v>1.1299999999999999</v>
      </c>
      <c r="S159" s="17">
        <v>1.1619999999999999</v>
      </c>
      <c r="T159" s="22">
        <f t="shared" si="35"/>
        <v>1.1459999999999999</v>
      </c>
      <c r="U159" s="17">
        <v>1.0209999999999999</v>
      </c>
      <c r="V159" s="17">
        <v>1.0249999999999999</v>
      </c>
      <c r="W159" s="22">
        <f t="shared" si="36"/>
        <v>1.0229999999999999</v>
      </c>
      <c r="X159" s="17">
        <v>7.5999999999999998E-2</v>
      </c>
      <c r="Y159" s="17">
        <v>7.6999999999999999E-2</v>
      </c>
      <c r="Z159" s="21">
        <f t="shared" si="37"/>
        <v>7.6999999999999999E-2</v>
      </c>
      <c r="AA159" s="19">
        <v>0.61399999999999999</v>
      </c>
      <c r="AB159" s="19"/>
      <c r="AC159" s="21">
        <f t="shared" si="38"/>
        <v>0.61399999999999999</v>
      </c>
      <c r="AD159" s="19">
        <v>6.6000000000000003E-2</v>
      </c>
      <c r="AE159" s="19">
        <v>6.8000000000000005E-2</v>
      </c>
      <c r="AF159" s="21">
        <f t="shared" si="39"/>
        <v>6.7000000000000004E-2</v>
      </c>
      <c r="AG159" s="19">
        <v>3.5000000000000003E-2</v>
      </c>
      <c r="AH159" s="19">
        <v>3.5000000000000003E-2</v>
      </c>
      <c r="AI159" s="21">
        <f t="shared" si="40"/>
        <v>3.5000000000000003E-2</v>
      </c>
      <c r="AJ159" s="19">
        <v>2.1999999999999999E-2</v>
      </c>
      <c r="AK159" s="19">
        <v>2.1999999999999999E-2</v>
      </c>
      <c r="AL159" s="21">
        <f t="shared" si="41"/>
        <v>2.1999999999999999E-2</v>
      </c>
      <c r="AM159" s="19">
        <v>6.1909999999999998</v>
      </c>
      <c r="AN159" s="19"/>
      <c r="AO159" s="21">
        <f t="shared" si="42"/>
        <v>6.1909999999999998</v>
      </c>
      <c r="AP159" s="46">
        <v>0.1168</v>
      </c>
      <c r="AQ159" s="46">
        <v>0.1154</v>
      </c>
      <c r="AR159" s="45">
        <f t="shared" si="43"/>
        <v>0.11609999999999999</v>
      </c>
      <c r="AS159" s="94">
        <v>7.62</v>
      </c>
      <c r="AT159" s="94">
        <v>0.31</v>
      </c>
      <c r="AU159" s="94"/>
    </row>
    <row r="160" spans="1:47">
      <c r="A160" s="7" t="s">
        <v>2</v>
      </c>
      <c r="B160" s="5" t="s">
        <v>46</v>
      </c>
      <c r="C160" s="6" t="s">
        <v>47</v>
      </c>
      <c r="D160" s="6" t="s">
        <v>36</v>
      </c>
      <c r="E160" s="23">
        <v>23.9</v>
      </c>
      <c r="F160" s="23">
        <v>7.1</v>
      </c>
      <c r="G160" s="41">
        <v>129</v>
      </c>
      <c r="H160" s="23">
        <v>7.2</v>
      </c>
      <c r="I160" s="23">
        <v>1.5</v>
      </c>
      <c r="J160" s="23">
        <v>5.5</v>
      </c>
      <c r="K160" s="15">
        <v>4</v>
      </c>
      <c r="L160" s="15">
        <v>4</v>
      </c>
      <c r="M160" s="15"/>
      <c r="N160" s="20">
        <f t="shared" si="33"/>
        <v>4</v>
      </c>
      <c r="O160" s="37">
        <v>3.4</v>
      </c>
      <c r="P160" s="37">
        <v>3.3</v>
      </c>
      <c r="Q160" s="38">
        <f t="shared" si="34"/>
        <v>3.4</v>
      </c>
      <c r="R160" s="17">
        <v>1.458</v>
      </c>
      <c r="S160" s="17">
        <v>1.5129999999999999</v>
      </c>
      <c r="T160" s="22">
        <f t="shared" si="35"/>
        <v>1.486</v>
      </c>
      <c r="U160" s="17">
        <v>1.391</v>
      </c>
      <c r="V160" s="17">
        <v>1.379</v>
      </c>
      <c r="W160" s="22">
        <f t="shared" si="36"/>
        <v>1.385</v>
      </c>
      <c r="X160" s="17">
        <v>0.156</v>
      </c>
      <c r="Y160" s="17">
        <v>0.157</v>
      </c>
      <c r="Z160" s="21">
        <f t="shared" si="37"/>
        <v>0.157</v>
      </c>
      <c r="AA160" s="19">
        <v>0.86799999999999999</v>
      </c>
      <c r="AB160" s="19"/>
      <c r="AC160" s="21">
        <f t="shared" si="38"/>
        <v>0.86799999999999999</v>
      </c>
      <c r="AD160" s="19">
        <v>8.6999999999999994E-2</v>
      </c>
      <c r="AE160" s="19">
        <v>8.8999999999999996E-2</v>
      </c>
      <c r="AF160" s="21">
        <f t="shared" si="39"/>
        <v>8.7999999999999995E-2</v>
      </c>
      <c r="AG160" s="19">
        <v>4.9000000000000002E-2</v>
      </c>
      <c r="AH160" s="19">
        <v>4.9000000000000002E-2</v>
      </c>
      <c r="AI160" s="21">
        <f t="shared" si="40"/>
        <v>4.9000000000000002E-2</v>
      </c>
      <c r="AJ160" s="19">
        <v>3.9E-2</v>
      </c>
      <c r="AK160" s="19">
        <v>0.04</v>
      </c>
      <c r="AL160" s="21">
        <f t="shared" si="41"/>
        <v>0.04</v>
      </c>
      <c r="AM160" s="19">
        <v>9.6170000000000009</v>
      </c>
      <c r="AN160" s="19"/>
      <c r="AO160" s="21">
        <f t="shared" si="42"/>
        <v>9.6170000000000009</v>
      </c>
      <c r="AP160" s="46">
        <v>9.5899999999999999E-2</v>
      </c>
      <c r="AQ160" s="46">
        <v>9.4500000000000001E-2</v>
      </c>
      <c r="AR160" s="45">
        <f t="shared" si="43"/>
        <v>9.5200000000000007E-2</v>
      </c>
      <c r="AS160" s="94">
        <v>7.23</v>
      </c>
      <c r="AT160" s="94">
        <v>4.2699999999999996</v>
      </c>
    </row>
    <row r="161" spans="1:47">
      <c r="A161" s="7" t="s">
        <v>3</v>
      </c>
      <c r="B161" s="5" t="s">
        <v>46</v>
      </c>
      <c r="C161" s="6" t="s">
        <v>44</v>
      </c>
      <c r="D161" s="6" t="s">
        <v>48</v>
      </c>
      <c r="E161" s="23">
        <v>24.9</v>
      </c>
      <c r="F161" s="23">
        <v>7.3</v>
      </c>
      <c r="G161" s="41">
        <v>134</v>
      </c>
      <c r="H161" s="23">
        <v>7.9</v>
      </c>
      <c r="I161" s="23">
        <v>3.9</v>
      </c>
      <c r="J161" s="23">
        <v>8.8000000000000007</v>
      </c>
      <c r="K161" s="15">
        <v>6.7</v>
      </c>
      <c r="L161" s="15">
        <v>6.7</v>
      </c>
      <c r="M161" s="15"/>
      <c r="N161" s="20">
        <f t="shared" si="33"/>
        <v>6.7</v>
      </c>
      <c r="O161" s="37">
        <v>5.6</v>
      </c>
      <c r="P161" s="37">
        <v>5.5</v>
      </c>
      <c r="Q161" s="38">
        <f t="shared" si="34"/>
        <v>5.6</v>
      </c>
      <c r="R161" s="17">
        <v>1.8420000000000001</v>
      </c>
      <c r="S161" s="17">
        <v>1.857</v>
      </c>
      <c r="T161" s="22">
        <f t="shared" si="35"/>
        <v>1.85</v>
      </c>
      <c r="U161" s="17">
        <v>1.7250000000000001</v>
      </c>
      <c r="V161" s="17">
        <v>1.712</v>
      </c>
      <c r="W161" s="22">
        <f t="shared" si="36"/>
        <v>1.7190000000000001</v>
      </c>
      <c r="X161" s="17">
        <v>0.41899999999999998</v>
      </c>
      <c r="Y161" s="17">
        <v>0.42099999999999999</v>
      </c>
      <c r="Z161" s="21">
        <f t="shared" si="37"/>
        <v>0.42</v>
      </c>
      <c r="AA161" s="19">
        <v>0.64700000000000002</v>
      </c>
      <c r="AB161" s="19"/>
      <c r="AC161" s="21">
        <f t="shared" si="38"/>
        <v>0.64700000000000002</v>
      </c>
      <c r="AD161" s="19">
        <v>9.6000000000000002E-2</v>
      </c>
      <c r="AE161" s="19">
        <v>9.4E-2</v>
      </c>
      <c r="AF161" s="21">
        <f t="shared" si="39"/>
        <v>9.5000000000000001E-2</v>
      </c>
      <c r="AG161" s="19">
        <v>3.7999999999999999E-2</v>
      </c>
      <c r="AH161" s="19">
        <v>3.9E-2</v>
      </c>
      <c r="AI161" s="21">
        <f t="shared" si="40"/>
        <v>3.9E-2</v>
      </c>
      <c r="AJ161" s="19">
        <v>0.02</v>
      </c>
      <c r="AK161" s="19">
        <v>0.02</v>
      </c>
      <c r="AL161" s="21">
        <f t="shared" si="41"/>
        <v>0.02</v>
      </c>
      <c r="AM161" s="19">
        <v>8.3330000000000002</v>
      </c>
      <c r="AN161" s="19"/>
      <c r="AO161" s="21">
        <f t="shared" si="42"/>
        <v>8.3330000000000002</v>
      </c>
      <c r="AP161" s="46">
        <v>0.16969999999999999</v>
      </c>
      <c r="AQ161" s="46">
        <v>0.16689999999999999</v>
      </c>
      <c r="AR161" s="45">
        <f t="shared" si="43"/>
        <v>0.16830000000000001</v>
      </c>
      <c r="AS161" s="95">
        <v>5.52</v>
      </c>
      <c r="AT161" s="95">
        <v>-1.41</v>
      </c>
      <c r="AU161" s="95"/>
    </row>
    <row r="162" spans="1:47">
      <c r="A162" s="7" t="s">
        <v>4</v>
      </c>
      <c r="B162" s="5" t="s">
        <v>49</v>
      </c>
      <c r="C162" s="6" t="s">
        <v>44</v>
      </c>
      <c r="D162" s="6" t="s">
        <v>36</v>
      </c>
      <c r="E162" s="23">
        <v>24</v>
      </c>
      <c r="F162" s="23">
        <v>7.1</v>
      </c>
      <c r="G162" s="41">
        <v>128</v>
      </c>
      <c r="H162" s="23">
        <v>6.9</v>
      </c>
      <c r="I162" s="23">
        <v>1.5</v>
      </c>
      <c r="J162" s="23">
        <v>5.8</v>
      </c>
      <c r="K162" s="15">
        <v>4.2</v>
      </c>
      <c r="L162" s="15">
        <v>4.2</v>
      </c>
      <c r="M162" s="15"/>
      <c r="N162" s="20">
        <f t="shared" si="33"/>
        <v>4.2</v>
      </c>
      <c r="O162" s="37">
        <v>3.6</v>
      </c>
      <c r="P162" s="37">
        <v>3.5</v>
      </c>
      <c r="Q162" s="38">
        <f t="shared" si="34"/>
        <v>3.6</v>
      </c>
      <c r="R162" s="17">
        <v>1.528</v>
      </c>
      <c r="S162" s="17">
        <v>1.5740000000000001</v>
      </c>
      <c r="T162" s="22">
        <f t="shared" si="35"/>
        <v>1.5509999999999999</v>
      </c>
      <c r="U162" s="17">
        <v>1.417</v>
      </c>
      <c r="V162" s="17">
        <v>1.4019999999999999</v>
      </c>
      <c r="W162" s="22">
        <f t="shared" si="36"/>
        <v>1.41</v>
      </c>
      <c r="X162" s="17">
        <v>7.8E-2</v>
      </c>
      <c r="Y162" s="17">
        <v>8.2000000000000003E-2</v>
      </c>
      <c r="Z162" s="21">
        <f t="shared" si="37"/>
        <v>0.08</v>
      </c>
      <c r="AA162" s="19">
        <v>0.89200000000000002</v>
      </c>
      <c r="AB162" s="19"/>
      <c r="AC162" s="21">
        <f t="shared" si="38"/>
        <v>0.89200000000000002</v>
      </c>
      <c r="AD162" s="19">
        <v>6.4000000000000001E-2</v>
      </c>
      <c r="AE162" s="19">
        <v>6.3E-2</v>
      </c>
      <c r="AF162" s="21">
        <f t="shared" si="39"/>
        <v>6.4000000000000001E-2</v>
      </c>
      <c r="AG162" s="19">
        <v>3.1E-2</v>
      </c>
      <c r="AH162" s="19">
        <v>3.1E-2</v>
      </c>
      <c r="AI162" s="21">
        <f t="shared" si="40"/>
        <v>3.1E-2</v>
      </c>
      <c r="AJ162" s="19">
        <v>1.9E-2</v>
      </c>
      <c r="AK162" s="19">
        <v>1.9E-2</v>
      </c>
      <c r="AL162" s="21">
        <f t="shared" si="41"/>
        <v>1.9E-2</v>
      </c>
      <c r="AM162" s="19">
        <v>9.5950000000000006</v>
      </c>
      <c r="AN162" s="19"/>
      <c r="AO162" s="21">
        <f t="shared" si="42"/>
        <v>9.5950000000000006</v>
      </c>
      <c r="AP162" s="46">
        <v>0.10440000000000001</v>
      </c>
      <c r="AQ162" s="46">
        <v>0.1026</v>
      </c>
      <c r="AR162" s="45">
        <f t="shared" si="43"/>
        <v>0.10349999999999999</v>
      </c>
      <c r="AS162" s="95">
        <v>7.76</v>
      </c>
      <c r="AT162" s="95">
        <v>2.1</v>
      </c>
    </row>
    <row r="163" spans="1:47">
      <c r="A163" s="7" t="s">
        <v>5</v>
      </c>
      <c r="B163" s="5" t="s">
        <v>50</v>
      </c>
      <c r="C163" s="6" t="s">
        <v>42</v>
      </c>
      <c r="D163" s="6" t="s">
        <v>51</v>
      </c>
      <c r="E163" s="23">
        <v>23.7</v>
      </c>
      <c r="F163" s="23">
        <v>6.6</v>
      </c>
      <c r="G163" s="41">
        <v>175</v>
      </c>
      <c r="H163" s="23">
        <v>5.7</v>
      </c>
      <c r="I163" s="23">
        <v>1.3</v>
      </c>
      <c r="J163" s="23">
        <v>6.1</v>
      </c>
      <c r="K163" s="15">
        <v>4.7</v>
      </c>
      <c r="L163" s="15">
        <v>4.5999999999999996</v>
      </c>
      <c r="M163" s="15"/>
      <c r="N163" s="20">
        <f t="shared" si="33"/>
        <v>4.7</v>
      </c>
      <c r="O163" s="37">
        <v>3.9</v>
      </c>
      <c r="P163" s="37">
        <v>3.9</v>
      </c>
      <c r="Q163" s="38">
        <f t="shared" si="34"/>
        <v>3.9</v>
      </c>
      <c r="R163" s="17">
        <v>2.5590000000000002</v>
      </c>
      <c r="S163" s="17">
        <v>2.6309999999999998</v>
      </c>
      <c r="T163" s="22">
        <f t="shared" si="35"/>
        <v>2.5950000000000002</v>
      </c>
      <c r="U163" s="17">
        <v>2.5350000000000001</v>
      </c>
      <c r="V163" s="17">
        <v>2.528</v>
      </c>
      <c r="W163" s="22">
        <f t="shared" si="36"/>
        <v>2.532</v>
      </c>
      <c r="X163" s="17">
        <v>0.104</v>
      </c>
      <c r="Y163" s="17">
        <v>0.10299999999999999</v>
      </c>
      <c r="Z163" s="21">
        <f t="shared" si="37"/>
        <v>0.104</v>
      </c>
      <c r="AA163" s="19">
        <v>1.927</v>
      </c>
      <c r="AB163" s="19"/>
      <c r="AC163" s="21">
        <f t="shared" si="38"/>
        <v>1.927</v>
      </c>
      <c r="AD163" s="19">
        <v>0.151</v>
      </c>
      <c r="AE163" s="19">
        <v>0.154</v>
      </c>
      <c r="AF163" s="21">
        <f t="shared" si="39"/>
        <v>0.153</v>
      </c>
      <c r="AG163" s="19">
        <v>0.107</v>
      </c>
      <c r="AH163" s="19">
        <v>0.109</v>
      </c>
      <c r="AI163" s="21">
        <f t="shared" si="40"/>
        <v>0.108</v>
      </c>
      <c r="AJ163" s="19">
        <v>0.10299999999999999</v>
      </c>
      <c r="AK163" s="19">
        <v>0.105</v>
      </c>
      <c r="AL163" s="21">
        <f t="shared" si="41"/>
        <v>0.104</v>
      </c>
      <c r="AM163" s="19">
        <v>12.201000000000001</v>
      </c>
      <c r="AN163" s="19"/>
      <c r="AO163" s="21">
        <f t="shared" si="42"/>
        <v>12.201000000000001</v>
      </c>
      <c r="AP163" s="46">
        <v>0.1096</v>
      </c>
      <c r="AQ163" s="46">
        <v>0.1072</v>
      </c>
      <c r="AR163" s="45">
        <f t="shared" si="43"/>
        <v>0.1084</v>
      </c>
      <c r="AS163" s="95">
        <v>9.16</v>
      </c>
      <c r="AT163" s="95">
        <v>13.54</v>
      </c>
      <c r="AU163" s="95"/>
    </row>
    <row r="164" spans="1:47">
      <c r="A164" s="7" t="s">
        <v>6</v>
      </c>
      <c r="B164" s="5" t="s">
        <v>52</v>
      </c>
      <c r="C164" s="6" t="s">
        <v>53</v>
      </c>
      <c r="D164" s="6" t="s">
        <v>36</v>
      </c>
      <c r="E164" s="23">
        <v>25.8</v>
      </c>
      <c r="F164" s="23">
        <v>8.3000000000000007</v>
      </c>
      <c r="G164" s="41">
        <v>133</v>
      </c>
      <c r="H164" s="23">
        <v>12.5</v>
      </c>
      <c r="I164" s="23">
        <v>4.5</v>
      </c>
      <c r="J164" s="23">
        <v>7.7</v>
      </c>
      <c r="K164" s="15">
        <v>5.8</v>
      </c>
      <c r="L164" s="15">
        <v>5.8</v>
      </c>
      <c r="M164" s="15"/>
      <c r="N164" s="20">
        <f t="shared" si="33"/>
        <v>5.8</v>
      </c>
      <c r="O164" s="37">
        <v>3.6</v>
      </c>
      <c r="P164" s="37">
        <v>3.5</v>
      </c>
      <c r="Q164" s="38">
        <f t="shared" si="34"/>
        <v>3.6</v>
      </c>
      <c r="R164" s="17">
        <v>1.5289999999999999</v>
      </c>
      <c r="S164" s="17">
        <v>1.577</v>
      </c>
      <c r="T164" s="22">
        <f t="shared" si="35"/>
        <v>1.5529999999999999</v>
      </c>
      <c r="U164" s="17">
        <v>1.1859999999999999</v>
      </c>
      <c r="V164" s="17">
        <v>1.167</v>
      </c>
      <c r="W164" s="22">
        <f t="shared" si="36"/>
        <v>1.177</v>
      </c>
      <c r="X164" s="17">
        <v>4.2000000000000003E-2</v>
      </c>
      <c r="Y164" s="17">
        <v>3.5999999999999997E-2</v>
      </c>
      <c r="Z164" s="21">
        <f t="shared" si="37"/>
        <v>3.9E-2</v>
      </c>
      <c r="AA164" s="19">
        <v>0.73699999999999999</v>
      </c>
      <c r="AB164" s="19"/>
      <c r="AC164" s="21">
        <f t="shared" si="38"/>
        <v>0.73699999999999999</v>
      </c>
      <c r="AD164" s="19">
        <v>0.105</v>
      </c>
      <c r="AE164" s="19">
        <v>0.106</v>
      </c>
      <c r="AF164" s="21">
        <f t="shared" si="39"/>
        <v>0.106</v>
      </c>
      <c r="AG164" s="19">
        <v>2.4E-2</v>
      </c>
      <c r="AH164" s="19">
        <v>2.1999999999999999E-2</v>
      </c>
      <c r="AI164" s="21">
        <f t="shared" si="40"/>
        <v>2.3E-2</v>
      </c>
      <c r="AJ164" s="19">
        <v>4.0000000000000001E-3</v>
      </c>
      <c r="AK164" s="19">
        <v>3.0000000000000001E-3</v>
      </c>
      <c r="AL164" s="21">
        <f t="shared" si="41"/>
        <v>4.0000000000000001E-3</v>
      </c>
      <c r="AM164" s="19">
        <v>10.811</v>
      </c>
      <c r="AN164" s="19"/>
      <c r="AO164" s="21">
        <f t="shared" si="42"/>
        <v>10.811</v>
      </c>
      <c r="AP164" s="46">
        <v>9.4200000000000006E-2</v>
      </c>
      <c r="AQ164" s="46">
        <v>9.2799999999999994E-2</v>
      </c>
      <c r="AR164" s="45">
        <f t="shared" si="43"/>
        <v>9.35E-2</v>
      </c>
      <c r="AS164" s="95">
        <v>9.0500000000000007</v>
      </c>
      <c r="AT164" s="95">
        <v>7.58</v>
      </c>
    </row>
    <row r="165" spans="1:47">
      <c r="A165" s="7" t="s">
        <v>7</v>
      </c>
      <c r="B165" s="5" t="s">
        <v>54</v>
      </c>
      <c r="C165" s="6" t="s">
        <v>55</v>
      </c>
      <c r="D165" s="6" t="s">
        <v>56</v>
      </c>
      <c r="E165" s="23">
        <v>25.5</v>
      </c>
      <c r="F165" s="23">
        <v>7.5</v>
      </c>
      <c r="G165" s="41">
        <v>235</v>
      </c>
      <c r="H165" s="23">
        <v>8.6999999999999993</v>
      </c>
      <c r="I165" s="23">
        <v>2.2999999999999998</v>
      </c>
      <c r="J165" s="23">
        <v>7.6</v>
      </c>
      <c r="K165" s="15">
        <v>5.9</v>
      </c>
      <c r="L165" s="15">
        <v>5.8</v>
      </c>
      <c r="M165" s="15"/>
      <c r="N165" s="20">
        <f t="shared" si="33"/>
        <v>5.9</v>
      </c>
      <c r="O165" s="37">
        <v>5.2</v>
      </c>
      <c r="P165" s="37">
        <v>5.2</v>
      </c>
      <c r="Q165" s="38">
        <f t="shared" si="34"/>
        <v>5.2</v>
      </c>
      <c r="R165" s="17">
        <v>2.0059999999999998</v>
      </c>
      <c r="S165" s="17">
        <v>2.0649999999999999</v>
      </c>
      <c r="T165" s="22">
        <f t="shared" si="35"/>
        <v>2.036</v>
      </c>
      <c r="U165" s="17">
        <v>1.8979999999999999</v>
      </c>
      <c r="V165" s="17">
        <v>1.88</v>
      </c>
      <c r="W165" s="22">
        <f t="shared" si="36"/>
        <v>1.889</v>
      </c>
      <c r="X165" s="17">
        <v>0.156</v>
      </c>
      <c r="Y165" s="17">
        <v>0.156</v>
      </c>
      <c r="Z165" s="21">
        <f t="shared" si="37"/>
        <v>0.156</v>
      </c>
      <c r="AA165" s="19">
        <v>1.1319999999999999</v>
      </c>
      <c r="AB165" s="19"/>
      <c r="AC165" s="21">
        <f t="shared" si="38"/>
        <v>1.1319999999999999</v>
      </c>
      <c r="AD165" s="19">
        <v>0.14499999999999999</v>
      </c>
      <c r="AE165" s="19">
        <v>0.14699999999999999</v>
      </c>
      <c r="AF165" s="21">
        <f t="shared" si="39"/>
        <v>0.14599999999999999</v>
      </c>
      <c r="AG165" s="19">
        <v>9.1999999999999998E-2</v>
      </c>
      <c r="AH165" s="19">
        <v>9.5000000000000001E-2</v>
      </c>
      <c r="AI165" s="21">
        <f t="shared" si="40"/>
        <v>9.4E-2</v>
      </c>
      <c r="AJ165" s="19">
        <v>8.5000000000000006E-2</v>
      </c>
      <c r="AK165" s="19">
        <v>8.7999999999999995E-2</v>
      </c>
      <c r="AL165" s="21">
        <f t="shared" si="41"/>
        <v>8.6999999999999994E-2</v>
      </c>
      <c r="AM165" s="19">
        <v>24.847999999999999</v>
      </c>
      <c r="AN165" s="19"/>
      <c r="AO165" s="21">
        <f t="shared" si="42"/>
        <v>24.847999999999999</v>
      </c>
      <c r="AP165" s="46">
        <v>0.1384</v>
      </c>
      <c r="AQ165" s="46">
        <v>0.13689999999999999</v>
      </c>
      <c r="AR165" s="45">
        <f t="shared" si="43"/>
        <v>0.13769999999999999</v>
      </c>
      <c r="AS165" s="95">
        <v>11.99</v>
      </c>
      <c r="AT165" s="95">
        <v>4.3099999999999996</v>
      </c>
      <c r="AU165" s="95"/>
    </row>
    <row r="166" spans="1:47">
      <c r="A166" s="7" t="s">
        <v>8</v>
      </c>
      <c r="B166" s="5" t="s">
        <v>54</v>
      </c>
      <c r="C166" s="6" t="s">
        <v>44</v>
      </c>
      <c r="D166" s="6" t="s">
        <v>36</v>
      </c>
      <c r="E166" s="23">
        <v>25.5</v>
      </c>
      <c r="F166" s="23">
        <v>7.3</v>
      </c>
      <c r="G166" s="41">
        <v>174</v>
      </c>
      <c r="H166" s="23">
        <v>8.3000000000000007</v>
      </c>
      <c r="I166" s="23">
        <v>2.6</v>
      </c>
      <c r="J166" s="23">
        <v>8.4</v>
      </c>
      <c r="K166" s="15">
        <v>6.5</v>
      </c>
      <c r="L166" s="15">
        <v>6.4</v>
      </c>
      <c r="M166" s="15"/>
      <c r="N166" s="20">
        <f t="shared" si="33"/>
        <v>6.5</v>
      </c>
      <c r="O166" s="37">
        <v>5.4</v>
      </c>
      <c r="P166" s="37">
        <v>5.4</v>
      </c>
      <c r="Q166" s="38">
        <f t="shared" si="34"/>
        <v>5.4</v>
      </c>
      <c r="R166" s="17">
        <v>2.8740000000000001</v>
      </c>
      <c r="S166" s="17">
        <v>2.923</v>
      </c>
      <c r="T166" s="22">
        <f t="shared" si="35"/>
        <v>2.899</v>
      </c>
      <c r="U166" s="17">
        <v>2.6930000000000001</v>
      </c>
      <c r="V166" s="17">
        <v>2.6829999999999998</v>
      </c>
      <c r="W166" s="22">
        <f t="shared" si="36"/>
        <v>2.6880000000000002</v>
      </c>
      <c r="X166" s="17">
        <v>6.9000000000000006E-2</v>
      </c>
      <c r="Y166" s="17">
        <v>7.2999999999999995E-2</v>
      </c>
      <c r="Z166" s="21">
        <f t="shared" si="37"/>
        <v>7.0999999999999994E-2</v>
      </c>
      <c r="AA166" s="19">
        <v>1.9610000000000001</v>
      </c>
      <c r="AB166" s="19"/>
      <c r="AC166" s="21">
        <f t="shared" si="38"/>
        <v>1.9610000000000001</v>
      </c>
      <c r="AD166" s="19">
        <v>0.191</v>
      </c>
      <c r="AE166" s="19">
        <v>0.19800000000000001</v>
      </c>
      <c r="AF166" s="21">
        <f t="shared" si="39"/>
        <v>0.19500000000000001</v>
      </c>
      <c r="AG166" s="19">
        <v>0.111</v>
      </c>
      <c r="AH166" s="19">
        <v>0.11700000000000001</v>
      </c>
      <c r="AI166" s="21">
        <f t="shared" si="40"/>
        <v>0.114</v>
      </c>
      <c r="AJ166" s="19">
        <v>0.107</v>
      </c>
      <c r="AK166" s="19">
        <v>0.111</v>
      </c>
      <c r="AL166" s="21">
        <f t="shared" si="41"/>
        <v>0.109</v>
      </c>
      <c r="AM166" s="19">
        <v>12.449</v>
      </c>
      <c r="AN166" s="19"/>
      <c r="AO166" s="21">
        <f t="shared" si="42"/>
        <v>12.449</v>
      </c>
      <c r="AP166" s="46">
        <v>0.14430000000000001</v>
      </c>
      <c r="AQ166" s="46">
        <v>0.14280000000000001</v>
      </c>
      <c r="AR166" s="45">
        <f t="shared" si="43"/>
        <v>0.14360000000000001</v>
      </c>
      <c r="AS166" s="95">
        <v>5.98</v>
      </c>
      <c r="AT166" s="95">
        <v>9.9600000000000009</v>
      </c>
    </row>
    <row r="167" spans="1:47">
      <c r="A167" s="7" t="s">
        <v>9</v>
      </c>
      <c r="B167" s="5" t="s">
        <v>57</v>
      </c>
      <c r="C167" s="6" t="s">
        <v>58</v>
      </c>
      <c r="D167" s="6" t="s">
        <v>59</v>
      </c>
      <c r="E167" s="23">
        <v>23.9</v>
      </c>
      <c r="F167" s="23">
        <v>7.5</v>
      </c>
      <c r="G167" s="41">
        <v>109</v>
      </c>
      <c r="H167" s="23">
        <v>8.6999999999999993</v>
      </c>
      <c r="I167" s="23">
        <v>1.2</v>
      </c>
      <c r="J167" s="23">
        <v>3.4</v>
      </c>
      <c r="K167" s="15">
        <v>2.5</v>
      </c>
      <c r="L167" s="15">
        <v>2.6</v>
      </c>
      <c r="M167" s="15"/>
      <c r="N167" s="20">
        <f t="shared" si="33"/>
        <v>2.6</v>
      </c>
      <c r="O167" s="37">
        <v>2</v>
      </c>
      <c r="P167" s="37">
        <v>1.9</v>
      </c>
      <c r="Q167" s="38">
        <f t="shared" si="34"/>
        <v>2</v>
      </c>
      <c r="R167" s="17">
        <v>1.0649999999999999</v>
      </c>
      <c r="S167" s="17">
        <v>1.1279999999999999</v>
      </c>
      <c r="T167" s="22">
        <f t="shared" si="35"/>
        <v>1.097</v>
      </c>
      <c r="U167" s="17">
        <v>0.997</v>
      </c>
      <c r="V167" s="17">
        <v>0.98899999999999999</v>
      </c>
      <c r="W167" s="22">
        <f t="shared" si="36"/>
        <v>0.99299999999999999</v>
      </c>
      <c r="X167" s="17">
        <v>1.9E-2</v>
      </c>
      <c r="Y167" s="17">
        <v>1.9E-2</v>
      </c>
      <c r="Z167" s="21">
        <f t="shared" si="37"/>
        <v>1.9E-2</v>
      </c>
      <c r="AA167" s="19">
        <v>0.77300000000000002</v>
      </c>
      <c r="AB167" s="19"/>
      <c r="AC167" s="21">
        <f t="shared" si="38"/>
        <v>0.77300000000000002</v>
      </c>
      <c r="AD167" s="19">
        <v>3.3000000000000002E-2</v>
      </c>
      <c r="AE167" s="19">
        <v>3.2000000000000001E-2</v>
      </c>
      <c r="AF167" s="21">
        <f t="shared" si="39"/>
        <v>3.3000000000000002E-2</v>
      </c>
      <c r="AG167" s="19">
        <v>8.9999999999999993E-3</v>
      </c>
      <c r="AH167" s="19">
        <v>7.0000000000000001E-3</v>
      </c>
      <c r="AI167" s="21">
        <f t="shared" si="40"/>
        <v>8.0000000000000002E-3</v>
      </c>
      <c r="AJ167" s="19">
        <v>2E-3</v>
      </c>
      <c r="AK167" s="19">
        <v>1E-3</v>
      </c>
      <c r="AL167" s="21">
        <f t="shared" si="41"/>
        <v>2E-3</v>
      </c>
      <c r="AM167" s="19">
        <v>5.7880000000000003</v>
      </c>
      <c r="AN167" s="19"/>
      <c r="AO167" s="21">
        <f t="shared" si="42"/>
        <v>5.7880000000000003</v>
      </c>
      <c r="AP167" s="46">
        <v>4.8300000000000003E-2</v>
      </c>
      <c r="AQ167" s="46">
        <v>4.5999999999999999E-2</v>
      </c>
      <c r="AR167" s="45">
        <f t="shared" si="43"/>
        <v>4.7199999999999999E-2</v>
      </c>
      <c r="AS167" s="95">
        <v>5.91</v>
      </c>
      <c r="AT167" s="95">
        <v>4.4000000000000004</v>
      </c>
      <c r="AU167" s="95"/>
    </row>
    <row r="168" spans="1:47">
      <c r="A168" s="7" t="s">
        <v>10</v>
      </c>
      <c r="B168" s="5" t="s">
        <v>60</v>
      </c>
      <c r="C168" s="6" t="s">
        <v>61</v>
      </c>
      <c r="D168" s="6" t="s">
        <v>36</v>
      </c>
      <c r="E168" s="23">
        <v>24.7</v>
      </c>
      <c r="F168" s="23">
        <v>7.4</v>
      </c>
      <c r="G168" s="41">
        <v>146</v>
      </c>
      <c r="H168" s="23">
        <v>9.5</v>
      </c>
      <c r="I168" s="23">
        <v>1.2</v>
      </c>
      <c r="J168" s="23">
        <v>5.7</v>
      </c>
      <c r="K168" s="15">
        <v>4.2</v>
      </c>
      <c r="L168" s="15">
        <v>4.2</v>
      </c>
      <c r="M168" s="15"/>
      <c r="N168" s="20">
        <f t="shared" si="33"/>
        <v>4.2</v>
      </c>
      <c r="O168" s="37">
        <v>3.9</v>
      </c>
      <c r="P168" s="37">
        <v>3.7</v>
      </c>
      <c r="Q168" s="38">
        <f t="shared" si="34"/>
        <v>3.8</v>
      </c>
      <c r="R168" s="17">
        <v>1.8129999999999999</v>
      </c>
      <c r="S168" s="17">
        <v>1.89</v>
      </c>
      <c r="T168" s="22">
        <f t="shared" si="35"/>
        <v>1.8520000000000001</v>
      </c>
      <c r="U168" s="17">
        <v>1.73</v>
      </c>
      <c r="V168" s="17">
        <v>1.7829999999999999</v>
      </c>
      <c r="W168" s="22">
        <f t="shared" si="36"/>
        <v>1.7569999999999999</v>
      </c>
      <c r="X168" s="17">
        <v>0.05</v>
      </c>
      <c r="Y168" s="17">
        <v>5.5E-2</v>
      </c>
      <c r="Z168" s="21">
        <f t="shared" si="37"/>
        <v>5.2999999999999999E-2</v>
      </c>
      <c r="AA168" s="19">
        <v>1.2669999999999999</v>
      </c>
      <c r="AB168" s="19"/>
      <c r="AC168" s="21">
        <f t="shared" si="38"/>
        <v>1.2669999999999999</v>
      </c>
      <c r="AD168" s="19">
        <v>0.113</v>
      </c>
      <c r="AE168" s="19">
        <v>0.115</v>
      </c>
      <c r="AF168" s="21">
        <f t="shared" si="39"/>
        <v>0.114</v>
      </c>
      <c r="AG168" s="19">
        <v>7.8E-2</v>
      </c>
      <c r="AH168" s="19">
        <v>8.5000000000000006E-2</v>
      </c>
      <c r="AI168" s="21">
        <f t="shared" si="40"/>
        <v>8.2000000000000003E-2</v>
      </c>
      <c r="AJ168" s="19">
        <v>7.5999999999999998E-2</v>
      </c>
      <c r="AK168" s="19">
        <v>7.9000000000000001E-2</v>
      </c>
      <c r="AL168" s="21">
        <f t="shared" si="41"/>
        <v>7.8E-2</v>
      </c>
      <c r="AM168" s="19">
        <v>9.7230000000000008</v>
      </c>
      <c r="AN168" s="19"/>
      <c r="AO168" s="21">
        <f t="shared" si="42"/>
        <v>9.7230000000000008</v>
      </c>
      <c r="AP168" s="46">
        <v>0.1009</v>
      </c>
      <c r="AQ168" s="46">
        <v>9.9199999999999997E-2</v>
      </c>
      <c r="AR168" s="45">
        <f t="shared" si="43"/>
        <v>0.10009999999999999</v>
      </c>
      <c r="AS168" s="95">
        <v>7.97</v>
      </c>
      <c r="AT168" s="95">
        <v>6.34</v>
      </c>
    </row>
    <row r="169" spans="1:47">
      <c r="A169" s="7" t="s">
        <v>11</v>
      </c>
      <c r="B169" s="5" t="s">
        <v>108</v>
      </c>
      <c r="C169" s="6" t="s">
        <v>62</v>
      </c>
      <c r="D169" s="6" t="s">
        <v>63</v>
      </c>
      <c r="E169" s="23">
        <v>25</v>
      </c>
      <c r="F169" s="23">
        <v>7.2</v>
      </c>
      <c r="G169" s="41">
        <v>274</v>
      </c>
      <c r="H169" s="23">
        <v>7.1</v>
      </c>
      <c r="I169" s="23">
        <v>4</v>
      </c>
      <c r="J169" s="23">
        <v>18.399999999999999</v>
      </c>
      <c r="K169" s="15">
        <v>13.4</v>
      </c>
      <c r="L169" s="15">
        <v>13.5</v>
      </c>
      <c r="M169" s="15"/>
      <c r="N169" s="20">
        <f t="shared" si="33"/>
        <v>13.5</v>
      </c>
      <c r="O169" s="37">
        <v>12.1</v>
      </c>
      <c r="P169" s="37">
        <v>11.9</v>
      </c>
      <c r="Q169" s="38">
        <f t="shared" si="34"/>
        <v>12</v>
      </c>
      <c r="R169" s="17">
        <v>2.7890000000000001</v>
      </c>
      <c r="S169" s="17">
        <v>2.8559999999999999</v>
      </c>
      <c r="T169" s="22">
        <f t="shared" si="35"/>
        <v>2.823</v>
      </c>
      <c r="U169" s="17">
        <v>2.605</v>
      </c>
      <c r="V169" s="17">
        <v>2.5750000000000002</v>
      </c>
      <c r="W169" s="22">
        <f t="shared" si="36"/>
        <v>2.59</v>
      </c>
      <c r="X169" s="56">
        <v>0.55400000000000005</v>
      </c>
      <c r="Y169" s="17">
        <v>0.54600000000000004</v>
      </c>
      <c r="Z169" s="57">
        <f t="shared" si="37"/>
        <v>0.55000000000000004</v>
      </c>
      <c r="AA169" s="19">
        <v>0.70899999999999996</v>
      </c>
      <c r="AB169" s="19"/>
      <c r="AC169" s="21">
        <f t="shared" si="38"/>
        <v>0.70899999999999996</v>
      </c>
      <c r="AD169" s="19">
        <v>0.41599999999999998</v>
      </c>
      <c r="AE169" s="19">
        <v>0.42699999999999999</v>
      </c>
      <c r="AF169" s="21">
        <f t="shared" si="39"/>
        <v>0.42199999999999999</v>
      </c>
      <c r="AG169" s="19">
        <v>0.25800000000000001</v>
      </c>
      <c r="AH169" s="19">
        <v>0.25800000000000001</v>
      </c>
      <c r="AI169" s="21">
        <f t="shared" si="40"/>
        <v>0.25800000000000001</v>
      </c>
      <c r="AJ169" s="19">
        <v>0.219</v>
      </c>
      <c r="AK169" s="19">
        <v>0.22</v>
      </c>
      <c r="AL169" s="21">
        <f t="shared" si="41"/>
        <v>0.22</v>
      </c>
      <c r="AM169" s="19">
        <v>22.032</v>
      </c>
      <c r="AN169" s="19"/>
      <c r="AO169" s="21">
        <f t="shared" si="42"/>
        <v>22.032</v>
      </c>
      <c r="AP169" s="46">
        <v>0.38179999999999997</v>
      </c>
      <c r="AQ169" s="46">
        <v>0.37530000000000002</v>
      </c>
      <c r="AR169" s="45">
        <f t="shared" si="43"/>
        <v>0.37859999999999999</v>
      </c>
      <c r="AS169" s="95">
        <v>8.32</v>
      </c>
      <c r="AT169" s="95">
        <v>3.18</v>
      </c>
      <c r="AU169" s="95"/>
    </row>
    <row r="170" spans="1:47">
      <c r="A170" s="7" t="s">
        <v>12</v>
      </c>
      <c r="B170" s="5" t="s">
        <v>64</v>
      </c>
      <c r="C170" s="6" t="s">
        <v>65</v>
      </c>
      <c r="D170" s="6" t="s">
        <v>36</v>
      </c>
      <c r="E170" s="23">
        <v>24.8</v>
      </c>
      <c r="F170" s="23">
        <v>7.1</v>
      </c>
      <c r="G170" s="41">
        <v>235</v>
      </c>
      <c r="H170" s="23">
        <v>7.4</v>
      </c>
      <c r="I170" s="23">
        <v>3.3</v>
      </c>
      <c r="J170" s="23">
        <v>12.2</v>
      </c>
      <c r="K170" s="15">
        <v>8.4</v>
      </c>
      <c r="L170" s="15">
        <v>8.3000000000000007</v>
      </c>
      <c r="M170" s="15"/>
      <c r="N170" s="20">
        <f t="shared" si="33"/>
        <v>8.4</v>
      </c>
      <c r="O170" s="37">
        <v>7.2</v>
      </c>
      <c r="P170" s="37">
        <v>7</v>
      </c>
      <c r="Q170" s="38">
        <f t="shared" si="34"/>
        <v>7.1</v>
      </c>
      <c r="R170" s="17">
        <v>2.4790000000000001</v>
      </c>
      <c r="S170" s="17">
        <v>2.4950000000000001</v>
      </c>
      <c r="T170" s="22">
        <f t="shared" si="35"/>
        <v>2.4870000000000001</v>
      </c>
      <c r="U170" s="17">
        <v>2.2970000000000002</v>
      </c>
      <c r="V170" s="17">
        <v>2.302</v>
      </c>
      <c r="W170" s="22">
        <f t="shared" si="36"/>
        <v>2.2999999999999998</v>
      </c>
      <c r="X170" s="17">
        <v>0.221</v>
      </c>
      <c r="Y170" s="17">
        <v>0.223</v>
      </c>
      <c r="Z170" s="21">
        <f t="shared" si="37"/>
        <v>0.222</v>
      </c>
      <c r="AA170" s="19">
        <v>1.272</v>
      </c>
      <c r="AB170" s="19"/>
      <c r="AC170" s="21">
        <f t="shared" si="38"/>
        <v>1.272</v>
      </c>
      <c r="AD170" s="19">
        <v>0.24199999999999999</v>
      </c>
      <c r="AE170" s="19">
        <v>0.23899999999999999</v>
      </c>
      <c r="AF170" s="21">
        <f t="shared" si="39"/>
        <v>0.24099999999999999</v>
      </c>
      <c r="AG170" s="19">
        <v>0.15</v>
      </c>
      <c r="AH170" s="19">
        <v>0.15</v>
      </c>
      <c r="AI170" s="21">
        <f t="shared" si="40"/>
        <v>0.15</v>
      </c>
      <c r="AJ170" s="19">
        <v>0.13100000000000001</v>
      </c>
      <c r="AK170" s="19">
        <v>0.13200000000000001</v>
      </c>
      <c r="AL170" s="21">
        <f t="shared" si="41"/>
        <v>0.13200000000000001</v>
      </c>
      <c r="AM170" s="19">
        <v>16.137</v>
      </c>
      <c r="AN170" s="19"/>
      <c r="AO170" s="21">
        <f t="shared" si="42"/>
        <v>16.137</v>
      </c>
      <c r="AP170" s="46">
        <v>0.20330000000000001</v>
      </c>
      <c r="AQ170" s="46">
        <v>0.20200000000000001</v>
      </c>
      <c r="AR170" s="45">
        <f t="shared" si="43"/>
        <v>0.20269999999999999</v>
      </c>
      <c r="AS170" s="3">
        <v>8.8800000000000008</v>
      </c>
      <c r="AT170" s="95">
        <v>7.56</v>
      </c>
    </row>
    <row r="171" spans="1:47">
      <c r="A171" s="7" t="s">
        <v>13</v>
      </c>
      <c r="B171" s="5" t="s">
        <v>66</v>
      </c>
      <c r="C171" s="6" t="s">
        <v>44</v>
      </c>
      <c r="D171" s="6" t="s">
        <v>67</v>
      </c>
      <c r="E171" s="23">
        <v>24.7</v>
      </c>
      <c r="F171" s="23">
        <v>7.1</v>
      </c>
      <c r="G171" s="41">
        <v>245</v>
      </c>
      <c r="H171" s="23">
        <v>7.4</v>
      </c>
      <c r="I171" s="23">
        <v>3.5</v>
      </c>
      <c r="J171" s="23">
        <v>14.9</v>
      </c>
      <c r="K171" s="15">
        <v>10.6</v>
      </c>
      <c r="L171" s="15">
        <v>10.4</v>
      </c>
      <c r="M171" s="15"/>
      <c r="N171" s="20">
        <f t="shared" si="33"/>
        <v>10.5</v>
      </c>
      <c r="O171" s="37">
        <v>9.6</v>
      </c>
      <c r="P171" s="37">
        <v>9.5</v>
      </c>
      <c r="Q171" s="38">
        <f t="shared" si="34"/>
        <v>9.6</v>
      </c>
      <c r="R171" s="17">
        <v>1.841</v>
      </c>
      <c r="S171" s="17">
        <v>1.9139999999999999</v>
      </c>
      <c r="T171" s="22">
        <f t="shared" si="35"/>
        <v>1.8779999999999999</v>
      </c>
      <c r="U171" s="17">
        <v>1.7330000000000001</v>
      </c>
      <c r="V171" s="17">
        <v>1.712</v>
      </c>
      <c r="W171" s="22">
        <f t="shared" si="36"/>
        <v>1.7230000000000001</v>
      </c>
      <c r="X171" s="17">
        <v>0.16200000000000001</v>
      </c>
      <c r="Y171" s="17">
        <v>0.161</v>
      </c>
      <c r="Z171" s="21">
        <f t="shared" si="37"/>
        <v>0.16200000000000001</v>
      </c>
      <c r="AA171" s="19">
        <v>0.5</v>
      </c>
      <c r="AB171" s="19"/>
      <c r="AC171" s="21">
        <f t="shared" si="38"/>
        <v>0.5</v>
      </c>
      <c r="AD171" s="19">
        <v>0.17299999999999999</v>
      </c>
      <c r="AE171" s="19">
        <v>0.17599999999999999</v>
      </c>
      <c r="AF171" s="21">
        <f t="shared" si="39"/>
        <v>0.17499999999999999</v>
      </c>
      <c r="AG171" s="19">
        <v>0.105</v>
      </c>
      <c r="AH171" s="19">
        <v>0.10299999999999999</v>
      </c>
      <c r="AI171" s="21">
        <f t="shared" si="40"/>
        <v>0.104</v>
      </c>
      <c r="AJ171" s="19">
        <v>7.2999999999999995E-2</v>
      </c>
      <c r="AK171" s="19">
        <v>7.1999999999999995E-2</v>
      </c>
      <c r="AL171" s="21">
        <f t="shared" si="41"/>
        <v>7.2999999999999995E-2</v>
      </c>
      <c r="AM171" s="19">
        <v>18.210999999999999</v>
      </c>
      <c r="AN171" s="19"/>
      <c r="AO171" s="21">
        <f t="shared" si="42"/>
        <v>18.210999999999999</v>
      </c>
      <c r="AP171" s="46">
        <v>0.28349999999999997</v>
      </c>
      <c r="AQ171" s="46">
        <v>0.28360000000000002</v>
      </c>
      <c r="AR171" s="45">
        <f t="shared" si="43"/>
        <v>0.28360000000000002</v>
      </c>
      <c r="AS171" s="3">
        <v>6.38</v>
      </c>
      <c r="AT171" s="95">
        <v>1.42</v>
      </c>
      <c r="AU171" s="95"/>
    </row>
    <row r="172" spans="1:47">
      <c r="A172" s="7" t="s">
        <v>14</v>
      </c>
      <c r="B172" s="5" t="s">
        <v>64</v>
      </c>
      <c r="C172" s="6" t="s">
        <v>68</v>
      </c>
      <c r="D172" s="6" t="s">
        <v>36</v>
      </c>
      <c r="E172" s="23">
        <v>24.7</v>
      </c>
      <c r="F172" s="23">
        <v>7.1</v>
      </c>
      <c r="G172" s="41">
        <v>215</v>
      </c>
      <c r="H172" s="23">
        <v>6.9</v>
      </c>
      <c r="I172" s="23">
        <v>3.3</v>
      </c>
      <c r="J172" s="23">
        <v>11.7</v>
      </c>
      <c r="K172" s="15">
        <v>9.1999999999999993</v>
      </c>
      <c r="L172" s="15">
        <v>8.6</v>
      </c>
      <c r="M172" s="15"/>
      <c r="N172" s="20">
        <f t="shared" si="33"/>
        <v>8.9</v>
      </c>
      <c r="O172" s="37">
        <v>7.5</v>
      </c>
      <c r="P172" s="37">
        <v>7.4</v>
      </c>
      <c r="Q172" s="38">
        <f t="shared" si="34"/>
        <v>7.5</v>
      </c>
      <c r="R172" s="17">
        <v>2.52</v>
      </c>
      <c r="S172" s="17">
        <v>2.5760000000000001</v>
      </c>
      <c r="T172" s="22">
        <f t="shared" si="35"/>
        <v>2.548</v>
      </c>
      <c r="U172" s="17">
        <v>2.2080000000000002</v>
      </c>
      <c r="V172" s="17">
        <v>2.19</v>
      </c>
      <c r="W172" s="22">
        <f t="shared" si="36"/>
        <v>2.1989999999999998</v>
      </c>
      <c r="X172" s="17">
        <v>0.19400000000000001</v>
      </c>
      <c r="Y172" s="17">
        <v>0.155</v>
      </c>
      <c r="Z172" s="21">
        <f t="shared" si="37"/>
        <v>0.17499999999999999</v>
      </c>
      <c r="AA172" s="19">
        <v>1.2090000000000001</v>
      </c>
      <c r="AB172" s="19"/>
      <c r="AC172" s="21">
        <f t="shared" si="38"/>
        <v>1.2090000000000001</v>
      </c>
      <c r="AD172" s="19">
        <v>0.26900000000000002</v>
      </c>
      <c r="AE172" s="19">
        <v>0.27300000000000002</v>
      </c>
      <c r="AF172" s="21">
        <f t="shared" si="39"/>
        <v>0.27100000000000002</v>
      </c>
      <c r="AG172" s="19">
        <v>0.16600000000000001</v>
      </c>
      <c r="AH172" s="19">
        <v>0.161</v>
      </c>
      <c r="AI172" s="21">
        <f t="shared" si="40"/>
        <v>0.16400000000000001</v>
      </c>
      <c r="AJ172" s="19">
        <v>0.14499999999999999</v>
      </c>
      <c r="AK172" s="19">
        <v>0.14599999999999999</v>
      </c>
      <c r="AL172" s="21">
        <f t="shared" si="41"/>
        <v>0.14599999999999999</v>
      </c>
      <c r="AM172" s="19">
        <v>16.762</v>
      </c>
      <c r="AN172" s="19"/>
      <c r="AO172" s="21">
        <f t="shared" si="42"/>
        <v>16.762</v>
      </c>
      <c r="AP172" s="46">
        <v>0.2056</v>
      </c>
      <c r="AQ172" s="46">
        <v>0.20680000000000001</v>
      </c>
      <c r="AR172" s="45">
        <f t="shared" si="43"/>
        <v>0.20619999999999999</v>
      </c>
      <c r="AS172" s="3">
        <v>9.25</v>
      </c>
      <c r="AT172" s="95">
        <v>5.33</v>
      </c>
    </row>
    <row r="173" spans="1:47">
      <c r="A173" s="7" t="s">
        <v>15</v>
      </c>
      <c r="B173" s="5" t="s">
        <v>69</v>
      </c>
      <c r="C173" s="6" t="s">
        <v>70</v>
      </c>
      <c r="D173" s="6" t="s">
        <v>71</v>
      </c>
      <c r="E173" s="23">
        <v>20</v>
      </c>
      <c r="F173" s="23">
        <v>7.2</v>
      </c>
      <c r="G173" s="41">
        <v>237</v>
      </c>
      <c r="H173" s="23">
        <v>7.7</v>
      </c>
      <c r="I173" s="23">
        <v>0.5</v>
      </c>
      <c r="J173" s="23">
        <v>2.2999999999999998</v>
      </c>
      <c r="K173" s="15">
        <v>1.7</v>
      </c>
      <c r="L173" s="15">
        <v>1.8</v>
      </c>
      <c r="M173" s="15"/>
      <c r="N173" s="20">
        <f t="shared" si="33"/>
        <v>1.8</v>
      </c>
      <c r="O173" s="37">
        <v>1.7</v>
      </c>
      <c r="P173" s="37">
        <v>1.5</v>
      </c>
      <c r="Q173" s="38">
        <f t="shared" si="34"/>
        <v>1.6</v>
      </c>
      <c r="R173" s="17">
        <v>0.92600000000000005</v>
      </c>
      <c r="S173" s="17">
        <v>0.95699999999999996</v>
      </c>
      <c r="T173" s="22">
        <f t="shared" si="35"/>
        <v>0.94199999999999995</v>
      </c>
      <c r="U173" s="17">
        <v>0.84899999999999998</v>
      </c>
      <c r="V173" s="17">
        <v>0.82899999999999996</v>
      </c>
      <c r="W173" s="22">
        <f t="shared" si="36"/>
        <v>0.83899999999999997</v>
      </c>
      <c r="X173" s="17">
        <v>4.8000000000000001E-2</v>
      </c>
      <c r="Y173" s="17">
        <v>2.3E-2</v>
      </c>
      <c r="Z173" s="21">
        <f t="shared" si="37"/>
        <v>3.5999999999999997E-2</v>
      </c>
      <c r="AA173" s="19">
        <v>0.69099999999999995</v>
      </c>
      <c r="AB173" s="19"/>
      <c r="AC173" s="21">
        <f t="shared" si="38"/>
        <v>0.69099999999999995</v>
      </c>
      <c r="AD173" s="19">
        <v>0.03</v>
      </c>
      <c r="AE173" s="19">
        <v>2.5999999999999999E-2</v>
      </c>
      <c r="AF173" s="21">
        <f t="shared" si="39"/>
        <v>2.8000000000000001E-2</v>
      </c>
      <c r="AG173" s="19">
        <v>1.0999999999999999E-2</v>
      </c>
      <c r="AH173" s="19">
        <v>8.9999999999999993E-3</v>
      </c>
      <c r="AI173" s="21">
        <f t="shared" si="40"/>
        <v>0.01</v>
      </c>
      <c r="AJ173" s="19">
        <v>7.0000000000000001E-3</v>
      </c>
      <c r="AK173" s="19">
        <v>6.0000000000000001E-3</v>
      </c>
      <c r="AL173" s="21">
        <f t="shared" si="41"/>
        <v>7.0000000000000001E-3</v>
      </c>
      <c r="AM173" s="19">
        <v>7.7480000000000002</v>
      </c>
      <c r="AN173" s="19"/>
      <c r="AO173" s="21">
        <f t="shared" si="42"/>
        <v>7.7480000000000002</v>
      </c>
      <c r="AP173" s="46">
        <v>3.4799999999999998E-2</v>
      </c>
      <c r="AQ173" s="46">
        <v>3.7100000000000001E-2</v>
      </c>
      <c r="AR173" s="45">
        <f t="shared" si="43"/>
        <v>3.5999999999999997E-2</v>
      </c>
      <c r="AS173" s="3">
        <v>8.56</v>
      </c>
      <c r="AT173" s="95">
        <v>2.98</v>
      </c>
      <c r="AU173" s="95"/>
    </row>
    <row r="174" spans="1:47">
      <c r="A174" s="7" t="s">
        <v>16</v>
      </c>
      <c r="B174" s="5" t="s">
        <v>72</v>
      </c>
      <c r="C174" s="6" t="s">
        <v>73</v>
      </c>
      <c r="D174" s="6" t="s">
        <v>36</v>
      </c>
      <c r="E174" s="23">
        <v>27.2</v>
      </c>
      <c r="F174" s="23">
        <v>8.1</v>
      </c>
      <c r="G174" s="41">
        <v>212</v>
      </c>
      <c r="H174" s="23">
        <v>9.6999999999999993</v>
      </c>
      <c r="I174" s="23">
        <v>4.3</v>
      </c>
      <c r="J174" s="23">
        <v>9.6999999999999993</v>
      </c>
      <c r="K174" s="15">
        <v>8</v>
      </c>
      <c r="L174" s="15">
        <v>7.2</v>
      </c>
      <c r="M174" s="15"/>
      <c r="N174" s="20">
        <f t="shared" si="33"/>
        <v>7.6</v>
      </c>
      <c r="O174" s="37">
        <v>5.8</v>
      </c>
      <c r="P174" s="37">
        <v>5.8</v>
      </c>
      <c r="Q174" s="38">
        <f t="shared" si="34"/>
        <v>5.8</v>
      </c>
      <c r="R174" s="17">
        <v>1.738</v>
      </c>
      <c r="S174" s="17">
        <v>1.8049999999999999</v>
      </c>
      <c r="T174" s="22">
        <f t="shared" si="35"/>
        <v>1.772</v>
      </c>
      <c r="U174" s="17">
        <v>1.415</v>
      </c>
      <c r="V174" s="17">
        <v>1.4359999999999999</v>
      </c>
      <c r="W174" s="22">
        <f t="shared" si="36"/>
        <v>1.4259999999999999</v>
      </c>
      <c r="X174" s="17">
        <v>3.6999999999999998E-2</v>
      </c>
      <c r="Y174" s="17">
        <v>3.5000000000000003E-2</v>
      </c>
      <c r="Z174" s="21">
        <f t="shared" si="37"/>
        <v>3.5999999999999997E-2</v>
      </c>
      <c r="AA174" s="19">
        <v>0.755</v>
      </c>
      <c r="AB174" s="19"/>
      <c r="AC174" s="21">
        <f t="shared" si="38"/>
        <v>0.755</v>
      </c>
      <c r="AD174" s="19">
        <v>0.151</v>
      </c>
      <c r="AE174" s="19">
        <v>0.158</v>
      </c>
      <c r="AF174" s="21">
        <f t="shared" si="39"/>
        <v>0.155</v>
      </c>
      <c r="AG174" s="19">
        <v>5.7000000000000002E-2</v>
      </c>
      <c r="AH174" s="19">
        <v>5.8999999999999997E-2</v>
      </c>
      <c r="AI174" s="21">
        <f t="shared" si="40"/>
        <v>5.8000000000000003E-2</v>
      </c>
      <c r="AJ174" s="19">
        <v>3.9E-2</v>
      </c>
      <c r="AK174" s="19">
        <v>3.9E-2</v>
      </c>
      <c r="AL174" s="21">
        <f t="shared" si="41"/>
        <v>3.9E-2</v>
      </c>
      <c r="AM174" s="19">
        <v>14.92</v>
      </c>
      <c r="AN174" s="19"/>
      <c r="AO174" s="21">
        <f t="shared" si="42"/>
        <v>14.92</v>
      </c>
      <c r="AP174" s="46">
        <v>0.15040000000000001</v>
      </c>
      <c r="AQ174" s="46">
        <v>0.15040000000000001</v>
      </c>
      <c r="AR174" s="45">
        <f t="shared" si="43"/>
        <v>0.15040000000000001</v>
      </c>
      <c r="AS174" s="3">
        <v>10.050000000000001</v>
      </c>
      <c r="AT174" s="95">
        <v>6.47</v>
      </c>
    </row>
    <row r="175" spans="1:47">
      <c r="A175" s="7" t="s">
        <v>17</v>
      </c>
      <c r="B175" s="5" t="s">
        <v>74</v>
      </c>
      <c r="C175" s="6" t="s">
        <v>75</v>
      </c>
      <c r="D175" s="6" t="s">
        <v>76</v>
      </c>
      <c r="E175" s="23">
        <v>27.4</v>
      </c>
      <c r="F175" s="23">
        <v>7.5</v>
      </c>
      <c r="G175" s="41">
        <v>300</v>
      </c>
      <c r="H175" s="23">
        <v>8.1999999999999993</v>
      </c>
      <c r="I175" s="23">
        <v>2.2000000000000002</v>
      </c>
      <c r="J175" s="23">
        <v>7.9</v>
      </c>
      <c r="K175" s="15">
        <v>6.3</v>
      </c>
      <c r="L175" s="15">
        <v>6.3</v>
      </c>
      <c r="M175" s="15"/>
      <c r="N175" s="20">
        <f t="shared" si="33"/>
        <v>6.3</v>
      </c>
      <c r="O175" s="37">
        <v>5.0999999999999996</v>
      </c>
      <c r="P175" s="37">
        <v>5.0999999999999996</v>
      </c>
      <c r="Q175" s="38">
        <f t="shared" si="34"/>
        <v>5.0999999999999996</v>
      </c>
      <c r="R175" s="17">
        <v>2.2200000000000002</v>
      </c>
      <c r="S175" s="17">
        <v>2.2949999999999999</v>
      </c>
      <c r="T175" s="22">
        <f t="shared" si="35"/>
        <v>2.258</v>
      </c>
      <c r="U175" s="17">
        <v>2.0569999999999999</v>
      </c>
      <c r="V175" s="17">
        <v>2.0419999999999998</v>
      </c>
      <c r="W175" s="22">
        <f t="shared" si="36"/>
        <v>2.0499999999999998</v>
      </c>
      <c r="X175" s="17">
        <v>0.112</v>
      </c>
      <c r="Y175" s="17">
        <v>0.11</v>
      </c>
      <c r="Z175" s="21">
        <f t="shared" si="37"/>
        <v>0.111</v>
      </c>
      <c r="AA175" s="19">
        <v>1.2969999999999999</v>
      </c>
      <c r="AB175" s="19"/>
      <c r="AC175" s="21">
        <f t="shared" si="38"/>
        <v>1.2969999999999999</v>
      </c>
      <c r="AD175" s="19">
        <v>0.153</v>
      </c>
      <c r="AE175" s="19">
        <v>0.14599999999999999</v>
      </c>
      <c r="AF175" s="21">
        <f t="shared" si="39"/>
        <v>0.15</v>
      </c>
      <c r="AG175" s="19">
        <v>7.8E-2</v>
      </c>
      <c r="AH175" s="19">
        <v>7.9000000000000001E-2</v>
      </c>
      <c r="AI175" s="21">
        <f t="shared" si="40"/>
        <v>7.9000000000000001E-2</v>
      </c>
      <c r="AJ175" s="19">
        <v>6.8000000000000005E-2</v>
      </c>
      <c r="AK175" s="19">
        <v>6.9000000000000006E-2</v>
      </c>
      <c r="AL175" s="21">
        <f t="shared" si="41"/>
        <v>6.9000000000000006E-2</v>
      </c>
      <c r="AM175" s="19">
        <v>20.54</v>
      </c>
      <c r="AN175" s="19"/>
      <c r="AO175" s="21">
        <f t="shared" si="42"/>
        <v>20.54</v>
      </c>
      <c r="AP175" s="46">
        <v>0.13109999999999999</v>
      </c>
      <c r="AQ175" s="46">
        <v>0.13300000000000001</v>
      </c>
      <c r="AR175" s="45">
        <f t="shared" si="43"/>
        <v>0.1321</v>
      </c>
      <c r="AS175" s="3">
        <v>5.16</v>
      </c>
      <c r="AT175" s="95">
        <v>10.28</v>
      </c>
      <c r="AU175" s="95"/>
    </row>
    <row r="176" spans="1:47">
      <c r="A176" s="7" t="s">
        <v>18</v>
      </c>
      <c r="B176" s="5" t="s">
        <v>109</v>
      </c>
      <c r="C176" s="6" t="s">
        <v>77</v>
      </c>
      <c r="D176" s="6" t="s">
        <v>36</v>
      </c>
      <c r="E176" s="23">
        <v>27.2</v>
      </c>
      <c r="F176" s="23">
        <v>7.5</v>
      </c>
      <c r="G176" s="41">
        <v>274</v>
      </c>
      <c r="H176" s="23">
        <v>8.6</v>
      </c>
      <c r="I176" s="23">
        <v>2.7</v>
      </c>
      <c r="J176" s="23">
        <v>8.5</v>
      </c>
      <c r="K176" s="15">
        <v>7</v>
      </c>
      <c r="L176" s="15">
        <v>6.4</v>
      </c>
      <c r="M176" s="15"/>
      <c r="N176" s="20">
        <f t="shared" si="33"/>
        <v>6.7</v>
      </c>
      <c r="O176" s="37">
        <v>5.6</v>
      </c>
      <c r="P176" s="37">
        <v>5.5</v>
      </c>
      <c r="Q176" s="38">
        <f t="shared" si="34"/>
        <v>5.6</v>
      </c>
      <c r="R176" s="17">
        <v>2.7970000000000002</v>
      </c>
      <c r="S176" s="17">
        <v>2.8879999999999999</v>
      </c>
      <c r="T176" s="22">
        <f t="shared" si="35"/>
        <v>2.843</v>
      </c>
      <c r="U176" s="17">
        <v>2.5470000000000002</v>
      </c>
      <c r="V176" s="17">
        <v>2.641</v>
      </c>
      <c r="W176" s="22">
        <f t="shared" si="36"/>
        <v>2.5939999999999999</v>
      </c>
      <c r="X176" s="17">
        <v>0.21099999999999999</v>
      </c>
      <c r="Y176" s="17">
        <v>0.21</v>
      </c>
      <c r="Z176" s="21">
        <f t="shared" si="37"/>
        <v>0.21099999999999999</v>
      </c>
      <c r="AA176" s="19">
        <v>1.724</v>
      </c>
      <c r="AB176" s="19"/>
      <c r="AC176" s="21">
        <f t="shared" si="38"/>
        <v>1.724</v>
      </c>
      <c r="AD176" s="19">
        <v>0.151</v>
      </c>
      <c r="AE176" s="58">
        <v>0.153</v>
      </c>
      <c r="AF176" s="59">
        <f t="shared" si="39"/>
        <v>0.152</v>
      </c>
      <c r="AG176" s="19">
        <v>7.8E-2</v>
      </c>
      <c r="AH176" s="19">
        <v>8.5999999999999993E-2</v>
      </c>
      <c r="AI176" s="21">
        <f t="shared" si="40"/>
        <v>8.2000000000000003E-2</v>
      </c>
      <c r="AJ176" s="19">
        <v>6.9000000000000006E-2</v>
      </c>
      <c r="AK176" s="19">
        <v>7.0999999999999994E-2</v>
      </c>
      <c r="AL176" s="21">
        <f t="shared" si="41"/>
        <v>7.0000000000000007E-2</v>
      </c>
      <c r="AM176" s="19">
        <v>23.190999999999999</v>
      </c>
      <c r="AN176" s="19"/>
      <c r="AO176" s="21">
        <f t="shared" si="42"/>
        <v>23.190999999999999</v>
      </c>
      <c r="AP176" s="46">
        <v>0.13739999999999999</v>
      </c>
      <c r="AQ176" s="46">
        <v>0.1386</v>
      </c>
      <c r="AR176" s="45">
        <f t="shared" si="43"/>
        <v>0.13800000000000001</v>
      </c>
      <c r="AS176" s="3">
        <v>9.02</v>
      </c>
      <c r="AT176" s="95">
        <v>2.76</v>
      </c>
    </row>
    <row r="177" spans="1:47">
      <c r="A177" s="7" t="s">
        <v>19</v>
      </c>
      <c r="B177" s="5" t="s">
        <v>78</v>
      </c>
      <c r="C177" s="6" t="s">
        <v>44</v>
      </c>
      <c r="D177" s="6" t="s">
        <v>79</v>
      </c>
      <c r="E177" s="23">
        <v>25.1</v>
      </c>
      <c r="F177" s="23">
        <v>7.7</v>
      </c>
      <c r="G177" s="41">
        <v>337</v>
      </c>
      <c r="H177" s="23">
        <v>8.1</v>
      </c>
      <c r="I177" s="23">
        <v>1.1000000000000001</v>
      </c>
      <c r="J177" s="23">
        <v>4.7</v>
      </c>
      <c r="K177" s="15">
        <v>3.2</v>
      </c>
      <c r="L177" s="15">
        <v>3.3</v>
      </c>
      <c r="M177" s="15"/>
      <c r="N177" s="20">
        <f t="shared" si="33"/>
        <v>3.3</v>
      </c>
      <c r="O177" s="37">
        <v>2.8</v>
      </c>
      <c r="P177" s="37">
        <v>2.7</v>
      </c>
      <c r="Q177" s="38">
        <f t="shared" si="34"/>
        <v>2.8</v>
      </c>
      <c r="R177" s="17">
        <v>1.0740000000000001</v>
      </c>
      <c r="S177" s="17">
        <v>1.133</v>
      </c>
      <c r="T177" s="22">
        <f t="shared" si="35"/>
        <v>1.1040000000000001</v>
      </c>
      <c r="U177" s="17">
        <v>0.96399999999999997</v>
      </c>
      <c r="V177" s="17">
        <v>0.96499999999999997</v>
      </c>
      <c r="W177" s="22">
        <f t="shared" si="36"/>
        <v>0.96499999999999997</v>
      </c>
      <c r="X177" s="17">
        <v>2.5000000000000001E-2</v>
      </c>
      <c r="Y177" s="17">
        <v>2.7E-2</v>
      </c>
      <c r="Z177" s="21">
        <f t="shared" si="37"/>
        <v>2.5999999999999999E-2</v>
      </c>
      <c r="AA177" s="19">
        <v>0.61599999999999999</v>
      </c>
      <c r="AB177" s="19"/>
      <c r="AC177" s="21">
        <f t="shared" si="38"/>
        <v>0.61599999999999999</v>
      </c>
      <c r="AD177" s="19">
        <v>4.5999999999999999E-2</v>
      </c>
      <c r="AE177" s="19">
        <v>4.3999999999999997E-2</v>
      </c>
      <c r="AF177" s="21">
        <f t="shared" si="39"/>
        <v>4.4999999999999998E-2</v>
      </c>
      <c r="AG177" s="19">
        <v>2.5000000000000001E-2</v>
      </c>
      <c r="AH177" s="19">
        <v>2.1999999999999999E-2</v>
      </c>
      <c r="AI177" s="21">
        <f t="shared" si="40"/>
        <v>2.4E-2</v>
      </c>
      <c r="AJ177" s="19">
        <v>1.6E-2</v>
      </c>
      <c r="AK177" s="19">
        <v>1.4999999999999999E-2</v>
      </c>
      <c r="AL177" s="21">
        <f t="shared" si="41"/>
        <v>1.6E-2</v>
      </c>
      <c r="AM177" s="19">
        <v>45.975999999999999</v>
      </c>
      <c r="AN177" s="19"/>
      <c r="AO177" s="21">
        <f t="shared" si="42"/>
        <v>45.975999999999999</v>
      </c>
      <c r="AP177" s="46">
        <v>6.5500000000000003E-2</v>
      </c>
      <c r="AQ177" s="46">
        <v>6.8199999999999997E-2</v>
      </c>
      <c r="AR177" s="45">
        <f t="shared" si="43"/>
        <v>6.6900000000000001E-2</v>
      </c>
      <c r="AS177" s="3">
        <v>19.38</v>
      </c>
      <c r="AT177" s="95">
        <v>3.14</v>
      </c>
      <c r="AU177" s="95"/>
    </row>
    <row r="178" spans="1:47">
      <c r="A178" s="7" t="s">
        <v>20</v>
      </c>
      <c r="B178" s="5" t="s">
        <v>80</v>
      </c>
      <c r="C178" s="6" t="s">
        <v>81</v>
      </c>
      <c r="D178" s="6" t="s">
        <v>36</v>
      </c>
      <c r="E178" s="23">
        <v>27.1</v>
      </c>
      <c r="F178" s="23">
        <v>8.5</v>
      </c>
      <c r="G178" s="41">
        <v>265</v>
      </c>
      <c r="H178" s="23">
        <v>9.1999999999999993</v>
      </c>
      <c r="I178" s="23">
        <v>4.2</v>
      </c>
      <c r="J178" s="23">
        <v>12.4</v>
      </c>
      <c r="K178" s="15">
        <v>9</v>
      </c>
      <c r="L178" s="15">
        <v>8.5</v>
      </c>
      <c r="M178" s="15"/>
      <c r="N178" s="20">
        <f t="shared" si="33"/>
        <v>8.8000000000000007</v>
      </c>
      <c r="O178" s="37">
        <v>6.8</v>
      </c>
      <c r="P178" s="37">
        <v>6.7</v>
      </c>
      <c r="Q178" s="38">
        <f t="shared" si="34"/>
        <v>6.8</v>
      </c>
      <c r="R178" s="17">
        <v>2.593</v>
      </c>
      <c r="S178" s="17">
        <v>2.6680000000000001</v>
      </c>
      <c r="T178" s="22">
        <f t="shared" si="35"/>
        <v>2.6309999999999998</v>
      </c>
      <c r="U178" s="17">
        <v>2.266</v>
      </c>
      <c r="V178" s="17">
        <v>2.266</v>
      </c>
      <c r="W178" s="22">
        <f t="shared" si="36"/>
        <v>2.266</v>
      </c>
      <c r="X178" s="17">
        <v>5.6000000000000001E-2</v>
      </c>
      <c r="Y178" s="17">
        <v>5.2999999999999999E-2</v>
      </c>
      <c r="Z178" s="21">
        <f t="shared" si="37"/>
        <v>5.5E-2</v>
      </c>
      <c r="AA178" s="19">
        <v>1.413</v>
      </c>
      <c r="AB178" s="19"/>
      <c r="AC178" s="21">
        <f t="shared" si="38"/>
        <v>1.413</v>
      </c>
      <c r="AD178" s="19">
        <v>0.23300000000000001</v>
      </c>
      <c r="AE178" s="19">
        <v>0.23699999999999999</v>
      </c>
      <c r="AF178" s="21">
        <f t="shared" si="39"/>
        <v>0.23499999999999999</v>
      </c>
      <c r="AG178" s="19">
        <v>0.111</v>
      </c>
      <c r="AH178" s="19">
        <v>0.114</v>
      </c>
      <c r="AI178" s="21">
        <f t="shared" si="40"/>
        <v>0.113</v>
      </c>
      <c r="AJ178" s="19">
        <v>9.8000000000000004E-2</v>
      </c>
      <c r="AK178" s="19">
        <v>0.1</v>
      </c>
      <c r="AL178" s="21">
        <f t="shared" si="41"/>
        <v>9.9000000000000005E-2</v>
      </c>
      <c r="AM178" s="19">
        <v>21.856999999999999</v>
      </c>
      <c r="AN178" s="19"/>
      <c r="AO178" s="21">
        <f t="shared" si="42"/>
        <v>21.856999999999999</v>
      </c>
      <c r="AP178" s="46">
        <v>0.17180000000000001</v>
      </c>
      <c r="AQ178" s="46">
        <v>0.1734</v>
      </c>
      <c r="AR178" s="45">
        <f t="shared" si="43"/>
        <v>0.1726</v>
      </c>
      <c r="AS178" s="3">
        <v>8.26</v>
      </c>
      <c r="AT178" s="95">
        <v>5.61</v>
      </c>
    </row>
    <row r="179" spans="1:47">
      <c r="A179" s="7" t="s">
        <v>21</v>
      </c>
      <c r="B179" s="5" t="s">
        <v>82</v>
      </c>
      <c r="C179" s="6" t="s">
        <v>44</v>
      </c>
      <c r="D179" s="6" t="s">
        <v>83</v>
      </c>
      <c r="E179" s="23">
        <v>27.1</v>
      </c>
      <c r="F179" s="23">
        <v>7.7</v>
      </c>
      <c r="G179" s="41">
        <v>294</v>
      </c>
      <c r="H179" s="23">
        <v>8.8000000000000007</v>
      </c>
      <c r="I179" s="23">
        <v>3.2</v>
      </c>
      <c r="J179" s="23">
        <v>16</v>
      </c>
      <c r="K179" s="15">
        <v>11.6</v>
      </c>
      <c r="L179" s="15">
        <v>11.4</v>
      </c>
      <c r="M179" s="15"/>
      <c r="N179" s="20">
        <f t="shared" si="33"/>
        <v>11.5</v>
      </c>
      <c r="O179" s="37">
        <v>10.8</v>
      </c>
      <c r="P179" s="37">
        <v>10.8</v>
      </c>
      <c r="Q179" s="38">
        <f t="shared" si="34"/>
        <v>10.8</v>
      </c>
      <c r="R179" s="17">
        <v>2.6160000000000001</v>
      </c>
      <c r="S179" s="17">
        <v>2.5920000000000001</v>
      </c>
      <c r="T179" s="22">
        <f t="shared" si="35"/>
        <v>2.6040000000000001</v>
      </c>
      <c r="U179" s="17">
        <v>2.419</v>
      </c>
      <c r="V179" s="17">
        <v>2.4260000000000002</v>
      </c>
      <c r="W179" s="22">
        <f t="shared" si="36"/>
        <v>2.423</v>
      </c>
      <c r="X179" s="17">
        <v>0.11600000000000001</v>
      </c>
      <c r="Y179" s="17">
        <v>0.108</v>
      </c>
      <c r="Z179" s="21">
        <f t="shared" si="37"/>
        <v>0.112</v>
      </c>
      <c r="AA179" s="19">
        <v>1.0169999999999999</v>
      </c>
      <c r="AB179" s="19"/>
      <c r="AC179" s="21">
        <f t="shared" si="38"/>
        <v>1.0169999999999999</v>
      </c>
      <c r="AD179" s="19">
        <v>0.17599999999999999</v>
      </c>
      <c r="AE179" s="19">
        <v>0.16800000000000001</v>
      </c>
      <c r="AF179" s="21">
        <f t="shared" si="39"/>
        <v>0.17199999999999999</v>
      </c>
      <c r="AG179" s="19">
        <v>0.114</v>
      </c>
      <c r="AH179" s="19">
        <v>0.11700000000000001</v>
      </c>
      <c r="AI179" s="21">
        <f t="shared" si="40"/>
        <v>0.11600000000000001</v>
      </c>
      <c r="AJ179" s="19">
        <v>0.09</v>
      </c>
      <c r="AK179" s="19">
        <v>0.09</v>
      </c>
      <c r="AL179" s="21">
        <f t="shared" si="41"/>
        <v>0.09</v>
      </c>
      <c r="AM179" s="19">
        <v>23.463000000000001</v>
      </c>
      <c r="AN179" s="19"/>
      <c r="AO179" s="21">
        <f t="shared" si="42"/>
        <v>23.463000000000001</v>
      </c>
      <c r="AP179" s="46">
        <v>0.28960000000000002</v>
      </c>
      <c r="AQ179" s="46">
        <v>0.29089999999999999</v>
      </c>
      <c r="AR179" s="45">
        <f t="shared" si="43"/>
        <v>0.2903</v>
      </c>
      <c r="AS179" s="3">
        <v>7.89</v>
      </c>
      <c r="AT179" s="95">
        <v>0.1</v>
      </c>
      <c r="AU179" s="95"/>
    </row>
    <row r="180" spans="1:47">
      <c r="A180" s="7" t="s">
        <v>22</v>
      </c>
      <c r="B180" s="5" t="s">
        <v>84</v>
      </c>
      <c r="C180" s="6" t="s">
        <v>85</v>
      </c>
      <c r="D180" s="6" t="s">
        <v>36</v>
      </c>
      <c r="E180" s="23">
        <v>25.7</v>
      </c>
      <c r="F180" s="23">
        <v>7.8</v>
      </c>
      <c r="G180" s="41">
        <v>273</v>
      </c>
      <c r="H180" s="23">
        <v>7.8</v>
      </c>
      <c r="I180" s="23">
        <v>4.0999999999999996</v>
      </c>
      <c r="J180" s="23">
        <v>13.2</v>
      </c>
      <c r="K180" s="15">
        <v>9</v>
      </c>
      <c r="L180" s="15">
        <v>9.3000000000000007</v>
      </c>
      <c r="M180" s="15"/>
      <c r="N180" s="20">
        <f t="shared" si="33"/>
        <v>9.1999999999999993</v>
      </c>
      <c r="O180" s="37">
        <v>7.4</v>
      </c>
      <c r="P180" s="37">
        <v>7.1</v>
      </c>
      <c r="Q180" s="38">
        <f t="shared" si="34"/>
        <v>7.3</v>
      </c>
      <c r="R180" s="17">
        <v>2.5179999999999998</v>
      </c>
      <c r="S180" s="17">
        <v>2.4740000000000002</v>
      </c>
      <c r="T180" s="22">
        <f t="shared" si="35"/>
        <v>2.496</v>
      </c>
      <c r="U180" s="17">
        <v>2.133</v>
      </c>
      <c r="V180" s="17">
        <v>2.1160000000000001</v>
      </c>
      <c r="W180" s="22">
        <f t="shared" si="36"/>
        <v>2.125</v>
      </c>
      <c r="X180" s="17">
        <v>2.7E-2</v>
      </c>
      <c r="Y180" s="17">
        <v>2.7E-2</v>
      </c>
      <c r="Z180" s="21">
        <f t="shared" si="37"/>
        <v>2.7E-2</v>
      </c>
      <c r="AA180" s="19">
        <v>1.26</v>
      </c>
      <c r="AB180" s="19"/>
      <c r="AC180" s="21">
        <f t="shared" si="38"/>
        <v>1.26</v>
      </c>
      <c r="AD180" s="19">
        <v>0.23499999999999999</v>
      </c>
      <c r="AE180" s="19">
        <v>0.22800000000000001</v>
      </c>
      <c r="AF180" s="21">
        <f t="shared" si="39"/>
        <v>0.23200000000000001</v>
      </c>
      <c r="AG180" s="19">
        <v>0.10199999999999999</v>
      </c>
      <c r="AH180" s="19">
        <v>0.10199999999999999</v>
      </c>
      <c r="AI180" s="21">
        <f t="shared" si="40"/>
        <v>0.10199999999999999</v>
      </c>
      <c r="AJ180" s="19">
        <v>8.6999999999999994E-2</v>
      </c>
      <c r="AK180" s="19">
        <v>8.6999999999999994E-2</v>
      </c>
      <c r="AL180" s="21">
        <f t="shared" si="41"/>
        <v>8.6999999999999994E-2</v>
      </c>
      <c r="AM180" s="19">
        <v>22.177</v>
      </c>
      <c r="AN180" s="19"/>
      <c r="AO180" s="21">
        <f t="shared" si="42"/>
        <v>22.177</v>
      </c>
      <c r="AP180" s="46">
        <v>0.19040000000000001</v>
      </c>
      <c r="AQ180" s="46">
        <v>0.1923</v>
      </c>
      <c r="AR180" s="45">
        <f t="shared" si="43"/>
        <v>0.19139999999999999</v>
      </c>
      <c r="AS180" s="3">
        <v>8.49</v>
      </c>
      <c r="AT180" s="95">
        <v>5.03</v>
      </c>
    </row>
    <row r="181" spans="1:47">
      <c r="A181" s="7" t="s">
        <v>23</v>
      </c>
      <c r="B181" s="5" t="s">
        <v>86</v>
      </c>
      <c r="C181" s="6" t="s">
        <v>87</v>
      </c>
      <c r="D181" s="6" t="s">
        <v>88</v>
      </c>
      <c r="E181" s="23">
        <v>24.6</v>
      </c>
      <c r="F181" s="23">
        <v>7.5</v>
      </c>
      <c r="G181" s="41">
        <v>295</v>
      </c>
      <c r="H181" s="23">
        <v>7.8</v>
      </c>
      <c r="I181" s="23">
        <v>5.8</v>
      </c>
      <c r="J181" s="23">
        <v>23.7</v>
      </c>
      <c r="K181" s="15">
        <v>17.3</v>
      </c>
      <c r="L181" s="15">
        <v>16.8</v>
      </c>
      <c r="M181" s="15"/>
      <c r="N181" s="20">
        <f t="shared" si="33"/>
        <v>17.100000000000001</v>
      </c>
      <c r="O181" s="37">
        <v>14.2</v>
      </c>
      <c r="P181" s="37">
        <v>14.3</v>
      </c>
      <c r="Q181" s="38">
        <f t="shared" si="34"/>
        <v>14.3</v>
      </c>
      <c r="R181" s="17">
        <v>3.5249999999999999</v>
      </c>
      <c r="S181" s="17">
        <v>3.4769999999999999</v>
      </c>
      <c r="T181" s="22">
        <f t="shared" si="35"/>
        <v>3.5009999999999999</v>
      </c>
      <c r="U181" s="17">
        <v>3.1320000000000001</v>
      </c>
      <c r="V181" s="17">
        <v>3.133</v>
      </c>
      <c r="W181" s="22">
        <f t="shared" si="36"/>
        <v>3.133</v>
      </c>
      <c r="X181" s="17">
        <v>0.70599999999999996</v>
      </c>
      <c r="Y181" s="17">
        <v>0.70399999999999996</v>
      </c>
      <c r="Z181" s="21">
        <f t="shared" si="37"/>
        <v>0.70499999999999996</v>
      </c>
      <c r="AA181" s="19">
        <v>0.75900000000000001</v>
      </c>
      <c r="AB181" s="19"/>
      <c r="AC181" s="21">
        <f t="shared" si="38"/>
        <v>0.75900000000000001</v>
      </c>
      <c r="AD181" s="19">
        <v>0.59599999999999997</v>
      </c>
      <c r="AE181" s="19">
        <v>0.626</v>
      </c>
      <c r="AF181" s="21">
        <f t="shared" si="39"/>
        <v>0.61099999999999999</v>
      </c>
      <c r="AG181" s="19">
        <v>0.317</v>
      </c>
      <c r="AH181" s="19">
        <v>0.312</v>
      </c>
      <c r="AI181" s="21">
        <f t="shared" si="40"/>
        <v>0.315</v>
      </c>
      <c r="AJ181" s="19">
        <v>0.24399999999999999</v>
      </c>
      <c r="AK181" s="19">
        <v>0.24399999999999999</v>
      </c>
      <c r="AL181" s="21">
        <f t="shared" si="41"/>
        <v>0.24399999999999999</v>
      </c>
      <c r="AM181" s="19">
        <v>26.888999999999999</v>
      </c>
      <c r="AN181" s="19"/>
      <c r="AO181" s="21">
        <f t="shared" si="42"/>
        <v>26.888999999999999</v>
      </c>
      <c r="AP181" s="46">
        <v>0.45950000000000002</v>
      </c>
      <c r="AQ181" s="46">
        <v>0.45939999999999998</v>
      </c>
      <c r="AR181" s="45">
        <f t="shared" si="43"/>
        <v>0.45950000000000002</v>
      </c>
      <c r="AS181" s="3">
        <v>8.32</v>
      </c>
      <c r="AT181" s="95">
        <v>2.76</v>
      </c>
      <c r="AU181" s="95"/>
    </row>
    <row r="182" spans="1:47">
      <c r="A182" s="7" t="s">
        <v>24</v>
      </c>
      <c r="B182" s="5" t="s">
        <v>89</v>
      </c>
      <c r="C182" s="6" t="s">
        <v>42</v>
      </c>
      <c r="D182" s="6" t="s">
        <v>36</v>
      </c>
      <c r="E182" s="23">
        <v>26</v>
      </c>
      <c r="F182" s="23">
        <v>7.4</v>
      </c>
      <c r="G182" s="41">
        <v>286</v>
      </c>
      <c r="H182" s="23">
        <v>8.6</v>
      </c>
      <c r="I182" s="23">
        <v>3.2</v>
      </c>
      <c r="J182" s="23">
        <v>13.3</v>
      </c>
      <c r="K182" s="15">
        <v>9.1999999999999993</v>
      </c>
      <c r="L182" s="15">
        <v>8.6999999999999993</v>
      </c>
      <c r="M182" s="15"/>
      <c r="N182" s="20">
        <f t="shared" si="33"/>
        <v>9</v>
      </c>
      <c r="O182" s="37">
        <v>7.4</v>
      </c>
      <c r="P182" s="37">
        <v>7.1</v>
      </c>
      <c r="Q182" s="38">
        <f t="shared" si="34"/>
        <v>7.3</v>
      </c>
      <c r="R182" s="17">
        <v>2.9289999999999998</v>
      </c>
      <c r="S182" s="17">
        <v>2.9180000000000001</v>
      </c>
      <c r="T182" s="22">
        <f t="shared" si="35"/>
        <v>2.9239999999999999</v>
      </c>
      <c r="U182" s="17">
        <v>2.609</v>
      </c>
      <c r="V182" s="17">
        <v>2.62</v>
      </c>
      <c r="W182" s="22">
        <f t="shared" si="36"/>
        <v>2.6150000000000002</v>
      </c>
      <c r="X182" s="17">
        <v>9.4E-2</v>
      </c>
      <c r="Y182" s="17">
        <v>7.0000000000000007E-2</v>
      </c>
      <c r="Z182" s="21">
        <f t="shared" si="37"/>
        <v>8.2000000000000003E-2</v>
      </c>
      <c r="AA182" s="19">
        <v>1.6879999999999999</v>
      </c>
      <c r="AB182" s="19"/>
      <c r="AC182" s="21">
        <f t="shared" si="38"/>
        <v>1.6879999999999999</v>
      </c>
      <c r="AD182" s="19">
        <v>0.24099999999999999</v>
      </c>
      <c r="AE182" s="19">
        <v>0.23699999999999999</v>
      </c>
      <c r="AF182" s="21">
        <f t="shared" si="39"/>
        <v>0.23899999999999999</v>
      </c>
      <c r="AG182" s="19">
        <v>0.153</v>
      </c>
      <c r="AH182" s="19">
        <v>0.157</v>
      </c>
      <c r="AI182" s="21">
        <f t="shared" si="40"/>
        <v>0.155</v>
      </c>
      <c r="AJ182" s="19">
        <v>0.14099999999999999</v>
      </c>
      <c r="AK182" s="19">
        <v>0.14199999999999999</v>
      </c>
      <c r="AL182" s="21">
        <f t="shared" si="41"/>
        <v>0.14199999999999999</v>
      </c>
      <c r="AM182" s="19">
        <v>22.591000000000001</v>
      </c>
      <c r="AN182" s="19"/>
      <c r="AO182" s="21">
        <f t="shared" si="42"/>
        <v>22.591000000000001</v>
      </c>
      <c r="AP182" s="46">
        <v>0.1973</v>
      </c>
      <c r="AQ182" s="46">
        <v>0.2009</v>
      </c>
      <c r="AR182" s="45">
        <f t="shared" si="43"/>
        <v>0.1991</v>
      </c>
      <c r="AS182" s="3">
        <v>7.37</v>
      </c>
      <c r="AT182" s="95">
        <v>8.7100000000000009</v>
      </c>
    </row>
    <row r="183" spans="1:47">
      <c r="A183" s="7" t="s">
        <v>25</v>
      </c>
      <c r="B183" s="5" t="s">
        <v>90</v>
      </c>
      <c r="C183" s="6" t="s">
        <v>44</v>
      </c>
      <c r="D183" s="6" t="s">
        <v>91</v>
      </c>
      <c r="E183" s="23">
        <v>25.5</v>
      </c>
      <c r="F183" s="23">
        <v>7</v>
      </c>
      <c r="G183" s="41">
        <v>238</v>
      </c>
      <c r="H183" s="23">
        <v>7.9</v>
      </c>
      <c r="I183" s="23">
        <v>4.8</v>
      </c>
      <c r="J183" s="23">
        <v>13.2</v>
      </c>
      <c r="K183" s="15">
        <v>9.6999999999999993</v>
      </c>
      <c r="L183" s="15">
        <v>9.1999999999999993</v>
      </c>
      <c r="M183" s="15"/>
      <c r="N183" s="20">
        <f t="shared" si="33"/>
        <v>9.5</v>
      </c>
      <c r="O183" s="37">
        <v>8.1</v>
      </c>
      <c r="P183" s="37">
        <v>8.1</v>
      </c>
      <c r="Q183" s="38">
        <f t="shared" si="34"/>
        <v>8.1</v>
      </c>
      <c r="R183" s="17">
        <v>3.72</v>
      </c>
      <c r="S183" s="17">
        <v>3.7240000000000002</v>
      </c>
      <c r="T183" s="22">
        <f t="shared" si="35"/>
        <v>3.722</v>
      </c>
      <c r="U183" s="17">
        <v>3.4580000000000002</v>
      </c>
      <c r="V183" s="17">
        <v>3.4710000000000001</v>
      </c>
      <c r="W183" s="22">
        <f t="shared" si="36"/>
        <v>3.4649999999999999</v>
      </c>
      <c r="X183" s="17">
        <v>0.61599999999999999</v>
      </c>
      <c r="Y183" s="17">
        <v>0.61599999999999999</v>
      </c>
      <c r="Z183" s="21">
        <f t="shared" si="37"/>
        <v>0.61599999999999999</v>
      </c>
      <c r="AA183" s="19">
        <v>0.94499999999999995</v>
      </c>
      <c r="AB183" s="19"/>
      <c r="AC183" s="21">
        <f t="shared" si="38"/>
        <v>0.94499999999999995</v>
      </c>
      <c r="AD183" s="19">
        <v>0.151</v>
      </c>
      <c r="AE183" s="19">
        <v>0.14699999999999999</v>
      </c>
      <c r="AF183" s="21">
        <f t="shared" si="39"/>
        <v>0.14899999999999999</v>
      </c>
      <c r="AG183" s="19">
        <v>5.8000000000000003E-2</v>
      </c>
      <c r="AH183" s="19">
        <v>5.3999999999999999E-2</v>
      </c>
      <c r="AI183" s="21">
        <f t="shared" si="40"/>
        <v>5.6000000000000001E-2</v>
      </c>
      <c r="AJ183" s="19">
        <v>3.3000000000000002E-2</v>
      </c>
      <c r="AK183" s="19">
        <v>3.3000000000000002E-2</v>
      </c>
      <c r="AL183" s="21">
        <f t="shared" si="41"/>
        <v>3.3000000000000002E-2</v>
      </c>
      <c r="AM183" s="19">
        <v>18.574999999999999</v>
      </c>
      <c r="AN183" s="19"/>
      <c r="AO183" s="21">
        <f t="shared" si="42"/>
        <v>18.574999999999999</v>
      </c>
      <c r="AP183" s="46">
        <v>0.20130000000000001</v>
      </c>
      <c r="AQ183" s="46">
        <v>0.20269999999999999</v>
      </c>
      <c r="AR183" s="45">
        <f t="shared" si="43"/>
        <v>0.20200000000000001</v>
      </c>
      <c r="AS183" s="3">
        <v>4.7300000000000004</v>
      </c>
      <c r="AT183" s="95">
        <v>1.03</v>
      </c>
      <c r="AU183" s="95"/>
    </row>
    <row r="184" spans="1:47">
      <c r="A184" s="7" t="s">
        <v>26</v>
      </c>
      <c r="B184" s="5" t="s">
        <v>92</v>
      </c>
      <c r="C184" s="6" t="s">
        <v>93</v>
      </c>
      <c r="D184" s="6" t="s">
        <v>36</v>
      </c>
      <c r="E184" s="23">
        <v>27.7</v>
      </c>
      <c r="F184" s="23">
        <v>9.1</v>
      </c>
      <c r="G184" s="41">
        <v>254</v>
      </c>
      <c r="H184" s="23">
        <v>13.1</v>
      </c>
      <c r="I184" s="23">
        <v>4.8</v>
      </c>
      <c r="J184" s="23">
        <v>11.8</v>
      </c>
      <c r="K184" s="15">
        <v>8.4</v>
      </c>
      <c r="L184" s="15">
        <v>7.5</v>
      </c>
      <c r="M184" s="15"/>
      <c r="N184" s="20">
        <f t="shared" si="33"/>
        <v>8</v>
      </c>
      <c r="O184" s="37">
        <v>6.2</v>
      </c>
      <c r="P184" s="37">
        <v>6.1</v>
      </c>
      <c r="Q184" s="38">
        <f t="shared" si="34"/>
        <v>6.2</v>
      </c>
      <c r="R184" s="17">
        <v>1.9139999999999999</v>
      </c>
      <c r="S184" s="17">
        <v>2.0139999999999998</v>
      </c>
      <c r="T184" s="22">
        <f t="shared" si="35"/>
        <v>1.964</v>
      </c>
      <c r="U184" s="17">
        <v>1.556</v>
      </c>
      <c r="V184" s="17">
        <v>1.532</v>
      </c>
      <c r="W184" s="22">
        <f t="shared" si="36"/>
        <v>1.544</v>
      </c>
      <c r="X184" s="17">
        <v>2.5000000000000001E-2</v>
      </c>
      <c r="Y184" s="17">
        <v>2.5999999999999999E-2</v>
      </c>
      <c r="Z184" s="21">
        <f t="shared" si="37"/>
        <v>2.5999999999999999E-2</v>
      </c>
      <c r="AA184" s="19">
        <v>0.79700000000000004</v>
      </c>
      <c r="AB184" s="19"/>
      <c r="AC184" s="21">
        <f t="shared" si="38"/>
        <v>0.79700000000000004</v>
      </c>
      <c r="AD184" s="19">
        <v>0.11899999999999999</v>
      </c>
      <c r="AE184" s="19">
        <v>0.127</v>
      </c>
      <c r="AF184" s="21">
        <f t="shared" si="39"/>
        <v>0.123</v>
      </c>
      <c r="AG184" s="19">
        <v>4.4999999999999998E-2</v>
      </c>
      <c r="AH184" s="19">
        <v>4.3999999999999997E-2</v>
      </c>
      <c r="AI184" s="21">
        <f t="shared" si="40"/>
        <v>4.4999999999999998E-2</v>
      </c>
      <c r="AJ184" s="19">
        <v>2.4E-2</v>
      </c>
      <c r="AK184" s="19">
        <v>2.4E-2</v>
      </c>
      <c r="AL184" s="21">
        <f t="shared" si="41"/>
        <v>2.4E-2</v>
      </c>
      <c r="AM184" s="19">
        <v>20.748000000000001</v>
      </c>
      <c r="AN184" s="19"/>
      <c r="AO184" s="21">
        <f t="shared" si="42"/>
        <v>20.748000000000001</v>
      </c>
      <c r="AP184" s="46">
        <v>0.1487</v>
      </c>
      <c r="AQ184" s="46">
        <v>0.15</v>
      </c>
      <c r="AR184" s="45">
        <f t="shared" si="43"/>
        <v>0.14940000000000001</v>
      </c>
      <c r="AS184" s="3">
        <v>11.11</v>
      </c>
      <c r="AT184" s="95">
        <v>8.8800000000000008</v>
      </c>
    </row>
    <row r="185" spans="1:47">
      <c r="A185" s="7" t="s">
        <v>27</v>
      </c>
      <c r="B185" s="5" t="s">
        <v>94</v>
      </c>
      <c r="C185" s="6" t="s">
        <v>95</v>
      </c>
      <c r="D185" s="6" t="s">
        <v>96</v>
      </c>
      <c r="E185" s="23">
        <v>22.3</v>
      </c>
      <c r="F185" s="23">
        <v>7.1</v>
      </c>
      <c r="G185" s="41">
        <v>179</v>
      </c>
      <c r="H185" s="23">
        <v>7.1</v>
      </c>
      <c r="I185" s="23">
        <v>1.3</v>
      </c>
      <c r="J185" s="23">
        <v>3.8</v>
      </c>
      <c r="K185" s="15">
        <v>2.8</v>
      </c>
      <c r="L185" s="15">
        <v>2.2999999999999998</v>
      </c>
      <c r="M185" s="15"/>
      <c r="N185" s="20">
        <f t="shared" si="33"/>
        <v>2.6</v>
      </c>
      <c r="O185" s="37">
        <v>2.1</v>
      </c>
      <c r="P185" s="37">
        <v>2</v>
      </c>
      <c r="Q185" s="38">
        <f t="shared" si="34"/>
        <v>2.1</v>
      </c>
      <c r="R185" s="17">
        <v>0.41699999999999998</v>
      </c>
      <c r="S185" s="17">
        <v>0.44800000000000001</v>
      </c>
      <c r="T185" s="22">
        <f t="shared" si="35"/>
        <v>0.433</v>
      </c>
      <c r="U185" s="17">
        <v>0.24399999999999999</v>
      </c>
      <c r="V185" s="17">
        <v>0.23100000000000001</v>
      </c>
      <c r="W185" s="22">
        <f t="shared" si="36"/>
        <v>0.23799999999999999</v>
      </c>
      <c r="X185" s="17">
        <v>1.2E-2</v>
      </c>
      <c r="Y185" s="17">
        <v>1.2E-2</v>
      </c>
      <c r="Z185" s="21">
        <f t="shared" si="37"/>
        <v>1.2E-2</v>
      </c>
      <c r="AA185" s="19">
        <v>0.122</v>
      </c>
      <c r="AB185" s="19"/>
      <c r="AC185" s="21">
        <f t="shared" si="38"/>
        <v>0.122</v>
      </c>
      <c r="AD185" s="19">
        <v>4.9000000000000002E-2</v>
      </c>
      <c r="AE185" s="19">
        <v>0.05</v>
      </c>
      <c r="AF185" s="21">
        <f t="shared" si="39"/>
        <v>0.05</v>
      </c>
      <c r="AG185" s="19">
        <v>1.7999999999999999E-2</v>
      </c>
      <c r="AH185" s="19">
        <v>1.7999999999999999E-2</v>
      </c>
      <c r="AI185" s="21">
        <f t="shared" si="40"/>
        <v>1.7999999999999999E-2</v>
      </c>
      <c r="AJ185" s="19">
        <v>1.4E-2</v>
      </c>
      <c r="AK185" s="19">
        <v>1.4999999999999999E-2</v>
      </c>
      <c r="AL185" s="21">
        <f t="shared" si="41"/>
        <v>1.4999999999999999E-2</v>
      </c>
      <c r="AM185" s="19">
        <v>11.715</v>
      </c>
      <c r="AN185" s="19"/>
      <c r="AO185" s="21">
        <f t="shared" si="42"/>
        <v>11.715</v>
      </c>
      <c r="AP185" s="46">
        <v>5.0700000000000002E-2</v>
      </c>
      <c r="AQ185" s="46">
        <v>5.2400000000000002E-2</v>
      </c>
      <c r="AR185" s="45">
        <f t="shared" si="43"/>
        <v>5.16E-2</v>
      </c>
      <c r="AS185" s="3">
        <v>9.15</v>
      </c>
      <c r="AT185" s="95">
        <v>5.78</v>
      </c>
      <c r="AU185" s="95"/>
    </row>
    <row r="186" spans="1:47">
      <c r="A186" s="7" t="s">
        <v>28</v>
      </c>
      <c r="B186" s="5" t="s">
        <v>97</v>
      </c>
      <c r="C186" s="6" t="s">
        <v>98</v>
      </c>
      <c r="D186" s="6" t="s">
        <v>36</v>
      </c>
      <c r="E186" s="23">
        <v>28</v>
      </c>
      <c r="F186" s="23">
        <v>9.1</v>
      </c>
      <c r="G186" s="41">
        <v>256</v>
      </c>
      <c r="H186" s="23">
        <v>13</v>
      </c>
      <c r="I186" s="23">
        <v>6.2</v>
      </c>
      <c r="J186" s="23">
        <v>12.2</v>
      </c>
      <c r="K186" s="15">
        <v>8.3000000000000007</v>
      </c>
      <c r="L186" s="15">
        <v>8.4</v>
      </c>
      <c r="M186" s="15"/>
      <c r="N186" s="20">
        <f t="shared" si="33"/>
        <v>8.4</v>
      </c>
      <c r="O186" s="37">
        <v>5.9</v>
      </c>
      <c r="P186" s="37">
        <v>5.8</v>
      </c>
      <c r="Q186" s="38">
        <f t="shared" si="34"/>
        <v>5.9</v>
      </c>
      <c r="R186" s="17">
        <v>1.9790000000000001</v>
      </c>
      <c r="S186" s="17">
        <v>1.9470000000000001</v>
      </c>
      <c r="T186" s="22">
        <f t="shared" si="35"/>
        <v>1.9630000000000001</v>
      </c>
      <c r="U186" s="17">
        <v>1.4550000000000001</v>
      </c>
      <c r="V186" s="17">
        <v>1.452</v>
      </c>
      <c r="W186" s="22">
        <f t="shared" si="36"/>
        <v>1.454</v>
      </c>
      <c r="X186" s="17">
        <v>0.03</v>
      </c>
      <c r="Y186" s="17">
        <v>0.03</v>
      </c>
      <c r="Z186" s="21">
        <f t="shared" si="37"/>
        <v>0.03</v>
      </c>
      <c r="AA186" s="19">
        <v>0.753</v>
      </c>
      <c r="AB186" s="19"/>
      <c r="AC186" s="21">
        <f t="shared" si="38"/>
        <v>0.753</v>
      </c>
      <c r="AD186" s="19">
        <v>0.154</v>
      </c>
      <c r="AE186" s="19">
        <v>0.14399999999999999</v>
      </c>
      <c r="AF186" s="21">
        <f t="shared" si="39"/>
        <v>0.14899999999999999</v>
      </c>
      <c r="AG186" s="19">
        <v>4.5999999999999999E-2</v>
      </c>
      <c r="AH186" s="19">
        <v>4.8000000000000001E-2</v>
      </c>
      <c r="AI186" s="21">
        <f t="shared" si="40"/>
        <v>4.7E-2</v>
      </c>
      <c r="AJ186" s="19">
        <v>3.1E-2</v>
      </c>
      <c r="AK186" s="19">
        <v>3.2000000000000001E-2</v>
      </c>
      <c r="AL186" s="21">
        <f t="shared" si="41"/>
        <v>3.2000000000000001E-2</v>
      </c>
      <c r="AM186" s="19">
        <v>20.995000000000001</v>
      </c>
      <c r="AN186" s="19"/>
      <c r="AO186" s="21">
        <f t="shared" si="42"/>
        <v>20.995000000000001</v>
      </c>
      <c r="AP186" s="46">
        <v>0.1419</v>
      </c>
      <c r="AQ186" s="46">
        <v>0.14330000000000001</v>
      </c>
      <c r="AR186" s="45">
        <f t="shared" si="43"/>
        <v>0.1426</v>
      </c>
      <c r="AS186" s="3">
        <v>11.59</v>
      </c>
      <c r="AT186" s="95">
        <v>8.86</v>
      </c>
    </row>
    <row r="187" spans="1:47">
      <c r="A187" s="7" t="s">
        <v>29</v>
      </c>
      <c r="B187" s="5" t="s">
        <v>99</v>
      </c>
      <c r="C187" s="6" t="s">
        <v>44</v>
      </c>
      <c r="D187" s="6" t="s">
        <v>100</v>
      </c>
      <c r="E187" s="23">
        <v>26.4</v>
      </c>
      <c r="F187" s="23">
        <v>7.3</v>
      </c>
      <c r="G187" s="41">
        <v>285</v>
      </c>
      <c r="H187" s="23">
        <v>3.1</v>
      </c>
      <c r="I187" s="23">
        <v>3.2</v>
      </c>
      <c r="J187" s="23">
        <v>9.5</v>
      </c>
      <c r="K187" s="15">
        <v>7.7</v>
      </c>
      <c r="L187" s="15">
        <v>7.6</v>
      </c>
      <c r="M187" s="15"/>
      <c r="N187" s="20">
        <f t="shared" si="33"/>
        <v>7.7</v>
      </c>
      <c r="O187" s="37">
        <v>6</v>
      </c>
      <c r="P187" s="37">
        <v>6</v>
      </c>
      <c r="Q187" s="38">
        <f t="shared" si="34"/>
        <v>6</v>
      </c>
      <c r="R187" s="17">
        <v>2.093</v>
      </c>
      <c r="S187" s="17">
        <v>2.1280000000000001</v>
      </c>
      <c r="T187" s="22">
        <f t="shared" si="35"/>
        <v>2.1110000000000002</v>
      </c>
      <c r="U187" s="17">
        <v>1.8089999999999999</v>
      </c>
      <c r="V187" s="17">
        <v>1.7809999999999999</v>
      </c>
      <c r="W187" s="22">
        <f t="shared" si="36"/>
        <v>1.7949999999999999</v>
      </c>
      <c r="X187" s="17">
        <v>0.73699999999999999</v>
      </c>
      <c r="Y187" s="17">
        <v>0.74299999999999999</v>
      </c>
      <c r="Z187" s="21">
        <f t="shared" si="37"/>
        <v>0.74</v>
      </c>
      <c r="AA187" s="19">
        <v>0.34200000000000003</v>
      </c>
      <c r="AB187" s="19"/>
      <c r="AC187" s="21">
        <f t="shared" si="38"/>
        <v>0.34200000000000003</v>
      </c>
      <c r="AD187" s="19">
        <v>0.32500000000000001</v>
      </c>
      <c r="AE187" s="19">
        <v>0.33</v>
      </c>
      <c r="AF187" s="21">
        <f t="shared" si="39"/>
        <v>0.32800000000000001</v>
      </c>
      <c r="AG187" s="19">
        <v>0.13200000000000001</v>
      </c>
      <c r="AH187" s="19">
        <v>0.13100000000000001</v>
      </c>
      <c r="AI187" s="21">
        <f t="shared" si="40"/>
        <v>0.13200000000000001</v>
      </c>
      <c r="AJ187" s="19">
        <v>0.128</v>
      </c>
      <c r="AK187" s="19">
        <v>0.128</v>
      </c>
      <c r="AL187" s="21">
        <f t="shared" si="41"/>
        <v>0.128</v>
      </c>
      <c r="AM187" s="19">
        <v>20.811</v>
      </c>
      <c r="AN187" s="19"/>
      <c r="AO187" s="21">
        <f t="shared" si="42"/>
        <v>20.811</v>
      </c>
      <c r="AP187" s="46">
        <v>0.1585</v>
      </c>
      <c r="AQ187" s="46">
        <v>0.16070000000000001</v>
      </c>
      <c r="AR187" s="45">
        <f t="shared" si="43"/>
        <v>0.15959999999999999</v>
      </c>
      <c r="AS187" s="3">
        <v>12.06</v>
      </c>
      <c r="AT187" s="95">
        <v>4.8499999999999996</v>
      </c>
      <c r="AU187" s="95"/>
    </row>
    <row r="188" spans="1:47">
      <c r="A188" s="7" t="s">
        <v>30</v>
      </c>
      <c r="B188" s="5" t="s">
        <v>101</v>
      </c>
      <c r="C188" s="6" t="s">
        <v>44</v>
      </c>
      <c r="D188" s="6" t="s">
        <v>160</v>
      </c>
      <c r="E188" s="23">
        <v>27</v>
      </c>
      <c r="F188" s="23">
        <v>8</v>
      </c>
      <c r="G188" s="41">
        <v>315</v>
      </c>
      <c r="H188" s="23">
        <v>8.4</v>
      </c>
      <c r="I188" s="23">
        <v>4.4000000000000004</v>
      </c>
      <c r="J188" s="23">
        <v>13</v>
      </c>
      <c r="K188" s="15">
        <v>9.1999999999999993</v>
      </c>
      <c r="L188" s="15">
        <v>9.1999999999999993</v>
      </c>
      <c r="M188" s="15"/>
      <c r="N188" s="20">
        <f t="shared" si="33"/>
        <v>9.1999999999999993</v>
      </c>
      <c r="O188" s="37">
        <v>7.7</v>
      </c>
      <c r="P188" s="37">
        <v>7.6</v>
      </c>
      <c r="Q188" s="38">
        <f t="shared" si="34"/>
        <v>7.7</v>
      </c>
      <c r="R188" s="17">
        <v>2.68</v>
      </c>
      <c r="S188" s="17">
        <v>2.7320000000000002</v>
      </c>
      <c r="T188" s="22">
        <f t="shared" si="35"/>
        <v>2.706</v>
      </c>
      <c r="U188" s="17">
        <v>2.254</v>
      </c>
      <c r="V188" s="17">
        <v>2.2690000000000001</v>
      </c>
      <c r="W188" s="22">
        <f t="shared" si="36"/>
        <v>2.262</v>
      </c>
      <c r="X188" s="17">
        <v>8.3000000000000004E-2</v>
      </c>
      <c r="Y188" s="17">
        <v>7.8E-2</v>
      </c>
      <c r="Z188" s="21">
        <f t="shared" si="37"/>
        <v>8.1000000000000003E-2</v>
      </c>
      <c r="AA188" s="19">
        <v>1.3779999999999999</v>
      </c>
      <c r="AB188" s="19"/>
      <c r="AC188" s="21">
        <f t="shared" si="38"/>
        <v>1.3779999999999999</v>
      </c>
      <c r="AD188" s="19">
        <v>0.156</v>
      </c>
      <c r="AE188" s="19">
        <v>0.16200000000000001</v>
      </c>
      <c r="AF188" s="21">
        <f t="shared" si="39"/>
        <v>0.159</v>
      </c>
      <c r="AG188" s="19">
        <v>5.6000000000000001E-2</v>
      </c>
      <c r="AH188" s="19">
        <v>5.3999999999999999E-2</v>
      </c>
      <c r="AI188" s="21">
        <f t="shared" si="40"/>
        <v>5.5E-2</v>
      </c>
      <c r="AJ188" s="19">
        <v>3.9E-2</v>
      </c>
      <c r="AK188" s="19">
        <v>3.7999999999999999E-2</v>
      </c>
      <c r="AL188" s="21">
        <f t="shared" si="41"/>
        <v>3.9E-2</v>
      </c>
      <c r="AM188" s="19">
        <v>37.981000000000002</v>
      </c>
      <c r="AN188" s="19"/>
      <c r="AO188" s="21">
        <f t="shared" si="42"/>
        <v>37.981000000000002</v>
      </c>
      <c r="AP188" s="46">
        <v>0.1862</v>
      </c>
      <c r="AQ188" s="46">
        <v>0.18690000000000001</v>
      </c>
      <c r="AR188" s="45">
        <f t="shared" si="43"/>
        <v>0.18659999999999999</v>
      </c>
      <c r="AS188" s="3">
        <v>9.6300000000000008</v>
      </c>
      <c r="AT188" s="95">
        <v>2.5</v>
      </c>
      <c r="AU188" s="95"/>
    </row>
    <row r="189" spans="1:47">
      <c r="A189" s="7" t="s">
        <v>31</v>
      </c>
      <c r="B189" s="5" t="s">
        <v>102</v>
      </c>
      <c r="C189" s="6" t="s">
        <v>103</v>
      </c>
      <c r="D189" s="6" t="s">
        <v>36</v>
      </c>
      <c r="E189" s="23">
        <v>27.3</v>
      </c>
      <c r="F189" s="23">
        <v>9.1</v>
      </c>
      <c r="G189" s="41">
        <v>271</v>
      </c>
      <c r="H189" s="23">
        <v>12.9</v>
      </c>
      <c r="I189" s="23">
        <v>5.8</v>
      </c>
      <c r="J189" s="23">
        <v>12.7</v>
      </c>
      <c r="K189" s="15">
        <v>8.5</v>
      </c>
      <c r="L189" s="15">
        <v>9.1</v>
      </c>
      <c r="M189" s="15"/>
      <c r="N189" s="20">
        <f t="shared" si="33"/>
        <v>8.8000000000000007</v>
      </c>
      <c r="O189" s="37">
        <v>6.8</v>
      </c>
      <c r="P189" s="37">
        <v>6.6</v>
      </c>
      <c r="Q189" s="38">
        <f t="shared" si="34"/>
        <v>6.7</v>
      </c>
      <c r="R189" s="17">
        <v>2.2469999999999999</v>
      </c>
      <c r="S189" s="17">
        <v>2.2869999999999999</v>
      </c>
      <c r="T189" s="22">
        <f t="shared" si="35"/>
        <v>2.2669999999999999</v>
      </c>
      <c r="U189" s="17">
        <v>1.669</v>
      </c>
      <c r="V189" s="17">
        <v>1.6459999999999999</v>
      </c>
      <c r="W189" s="22">
        <f t="shared" si="36"/>
        <v>1.6579999999999999</v>
      </c>
      <c r="X189" s="17">
        <v>4.2999999999999997E-2</v>
      </c>
      <c r="Y189" s="17">
        <v>0.05</v>
      </c>
      <c r="Z189" s="21">
        <f t="shared" si="37"/>
        <v>4.7E-2</v>
      </c>
      <c r="AA189" s="19">
        <v>0.90200000000000002</v>
      </c>
      <c r="AB189" s="19"/>
      <c r="AC189" s="21">
        <f t="shared" si="38"/>
        <v>0.90200000000000002</v>
      </c>
      <c r="AD189" s="19">
        <v>0.157</v>
      </c>
      <c r="AE189" s="19">
        <v>0.16400000000000001</v>
      </c>
      <c r="AF189" s="21">
        <f t="shared" si="39"/>
        <v>0.161</v>
      </c>
      <c r="AG189" s="19">
        <v>4.1000000000000002E-2</v>
      </c>
      <c r="AH189" s="19">
        <v>0.04</v>
      </c>
      <c r="AI189" s="21">
        <f t="shared" si="40"/>
        <v>4.1000000000000002E-2</v>
      </c>
      <c r="AJ189" s="19">
        <v>2.1000000000000001E-2</v>
      </c>
      <c r="AK189" s="19">
        <v>0.02</v>
      </c>
      <c r="AL189" s="21">
        <f t="shared" si="41"/>
        <v>2.1000000000000001E-2</v>
      </c>
      <c r="AM189" s="19">
        <v>23.800999999999998</v>
      </c>
      <c r="AN189" s="19"/>
      <c r="AO189" s="21">
        <f t="shared" si="42"/>
        <v>23.800999999999998</v>
      </c>
      <c r="AP189" s="46">
        <v>0.154</v>
      </c>
      <c r="AQ189" s="46">
        <v>0.15590000000000001</v>
      </c>
      <c r="AR189" s="45">
        <f t="shared" si="43"/>
        <v>0.155</v>
      </c>
      <c r="AS189" s="3">
        <v>11.8</v>
      </c>
      <c r="AT189" s="95">
        <v>8.14</v>
      </c>
    </row>
    <row r="190" spans="1:47">
      <c r="A190" s="7" t="s">
        <v>32</v>
      </c>
      <c r="B190" s="5" t="s">
        <v>104</v>
      </c>
      <c r="C190" s="6" t="s">
        <v>44</v>
      </c>
      <c r="D190" s="6" t="s">
        <v>105</v>
      </c>
      <c r="E190" s="23">
        <v>25</v>
      </c>
      <c r="F190" s="23">
        <v>7.4</v>
      </c>
      <c r="G190" s="41">
        <v>281</v>
      </c>
      <c r="H190" s="23">
        <v>6.9</v>
      </c>
      <c r="I190" s="23">
        <v>2.6</v>
      </c>
      <c r="J190" s="23">
        <v>12.9</v>
      </c>
      <c r="K190" s="15">
        <v>9.5</v>
      </c>
      <c r="L190" s="15">
        <v>9</v>
      </c>
      <c r="M190" s="15"/>
      <c r="N190" s="20">
        <f t="shared" si="33"/>
        <v>9.3000000000000007</v>
      </c>
      <c r="O190" s="37">
        <v>8.6</v>
      </c>
      <c r="P190" s="37">
        <v>8.5</v>
      </c>
      <c r="Q190" s="38">
        <f t="shared" si="34"/>
        <v>8.6</v>
      </c>
      <c r="R190" s="17">
        <v>2.371</v>
      </c>
      <c r="S190" s="17">
        <v>2.3450000000000002</v>
      </c>
      <c r="T190" s="22">
        <f t="shared" si="35"/>
        <v>2.3580000000000001</v>
      </c>
      <c r="U190" s="17">
        <v>2.08</v>
      </c>
      <c r="V190" s="17">
        <v>1.984</v>
      </c>
      <c r="W190" s="22">
        <f t="shared" si="36"/>
        <v>2.032</v>
      </c>
      <c r="X190" s="17">
        <v>5.1999999999999998E-2</v>
      </c>
      <c r="Y190" s="17">
        <v>5.3999999999999999E-2</v>
      </c>
      <c r="Z190" s="21">
        <f t="shared" si="37"/>
        <v>5.2999999999999999E-2</v>
      </c>
      <c r="AA190" s="19">
        <v>1.18</v>
      </c>
      <c r="AB190" s="19"/>
      <c r="AC190" s="21">
        <f t="shared" si="38"/>
        <v>1.18</v>
      </c>
      <c r="AD190" s="19">
        <v>0.17</v>
      </c>
      <c r="AE190" s="19">
        <v>0.16600000000000001</v>
      </c>
      <c r="AF190" s="21">
        <f t="shared" si="39"/>
        <v>0.16800000000000001</v>
      </c>
      <c r="AG190" s="19">
        <v>8.6999999999999994E-2</v>
      </c>
      <c r="AH190" s="19">
        <v>8.4000000000000005E-2</v>
      </c>
      <c r="AI190" s="21">
        <f t="shared" si="40"/>
        <v>8.5999999999999993E-2</v>
      </c>
      <c r="AJ190" s="19">
        <v>7.4999999999999997E-2</v>
      </c>
      <c r="AK190" s="19">
        <v>7.4999999999999997E-2</v>
      </c>
      <c r="AL190" s="21">
        <f t="shared" si="41"/>
        <v>7.4999999999999997E-2</v>
      </c>
      <c r="AM190" s="19">
        <v>25.395</v>
      </c>
      <c r="AN190" s="19"/>
      <c r="AO190" s="21">
        <f t="shared" si="42"/>
        <v>25.395</v>
      </c>
      <c r="AP190" s="46">
        <v>0.20300000000000001</v>
      </c>
      <c r="AQ190" s="46">
        <v>0.2046</v>
      </c>
      <c r="AR190" s="45">
        <f t="shared" si="43"/>
        <v>0.20380000000000001</v>
      </c>
      <c r="AS190" s="3">
        <v>8.84</v>
      </c>
      <c r="AT190" s="95">
        <v>3.22</v>
      </c>
      <c r="AU190" s="95"/>
    </row>
    <row r="191" spans="1:47">
      <c r="A191" s="7" t="s">
        <v>33</v>
      </c>
      <c r="B191" s="5" t="s">
        <v>106</v>
      </c>
      <c r="C191" s="6" t="s">
        <v>107</v>
      </c>
      <c r="D191" s="6" t="s">
        <v>36</v>
      </c>
      <c r="E191" s="23">
        <v>25.5</v>
      </c>
      <c r="F191" s="23">
        <v>7.5</v>
      </c>
      <c r="G191" s="41">
        <v>285</v>
      </c>
      <c r="H191" s="23">
        <v>8</v>
      </c>
      <c r="I191" s="23">
        <v>2.6</v>
      </c>
      <c r="J191" s="23">
        <v>12.5</v>
      </c>
      <c r="K191" s="15">
        <v>8.9</v>
      </c>
      <c r="L191" s="15">
        <v>8.8000000000000007</v>
      </c>
      <c r="M191" s="15"/>
      <c r="N191" s="20">
        <f t="shared" si="33"/>
        <v>8.9</v>
      </c>
      <c r="O191" s="37">
        <v>7.3</v>
      </c>
      <c r="P191" s="37">
        <v>7.1</v>
      </c>
      <c r="Q191" s="38">
        <f t="shared" si="34"/>
        <v>7.2</v>
      </c>
      <c r="R191" s="17">
        <v>2.589</v>
      </c>
      <c r="S191" s="17">
        <v>2.6440000000000001</v>
      </c>
      <c r="T191" s="22">
        <f t="shared" si="35"/>
        <v>2.617</v>
      </c>
      <c r="U191" s="17">
        <v>2.1709999999999998</v>
      </c>
      <c r="V191" s="17">
        <v>2.1819999999999999</v>
      </c>
      <c r="W191" s="22">
        <f t="shared" si="36"/>
        <v>2.177</v>
      </c>
      <c r="X191" s="17">
        <v>2.9000000000000001E-2</v>
      </c>
      <c r="Y191" s="17">
        <v>3.1E-2</v>
      </c>
      <c r="Z191" s="21">
        <f t="shared" si="37"/>
        <v>0.03</v>
      </c>
      <c r="AA191" s="19">
        <v>1.4650000000000001</v>
      </c>
      <c r="AB191" s="19"/>
      <c r="AC191" s="21">
        <f t="shared" si="38"/>
        <v>1.4650000000000001</v>
      </c>
      <c r="AD191" s="19">
        <v>0.182</v>
      </c>
      <c r="AE191" s="19">
        <v>0.189</v>
      </c>
      <c r="AF191" s="21">
        <f t="shared" si="39"/>
        <v>0.186</v>
      </c>
      <c r="AG191" s="19">
        <v>8.5999999999999993E-2</v>
      </c>
      <c r="AH191" s="19">
        <v>8.5999999999999993E-2</v>
      </c>
      <c r="AI191" s="21">
        <f t="shared" si="40"/>
        <v>8.5999999999999993E-2</v>
      </c>
      <c r="AJ191" s="19">
        <v>0.08</v>
      </c>
      <c r="AK191" s="19">
        <v>7.9000000000000001E-2</v>
      </c>
      <c r="AL191" s="21">
        <f t="shared" si="41"/>
        <v>0.08</v>
      </c>
      <c r="AM191" s="19">
        <v>25.149000000000001</v>
      </c>
      <c r="AN191" s="19"/>
      <c r="AO191" s="21">
        <f t="shared" si="42"/>
        <v>25.149000000000001</v>
      </c>
      <c r="AP191" s="46">
        <v>0.1716</v>
      </c>
      <c r="AQ191" s="46">
        <v>0.1731</v>
      </c>
      <c r="AR191" s="45">
        <f t="shared" si="43"/>
        <v>0.1724</v>
      </c>
      <c r="AS191" s="3">
        <v>10.72</v>
      </c>
      <c r="AT191" s="95">
        <v>4.22</v>
      </c>
    </row>
    <row r="192" spans="1:47">
      <c r="A192" s="7" t="s">
        <v>137</v>
      </c>
      <c r="B192" s="5" t="s">
        <v>148</v>
      </c>
      <c r="C192" s="6"/>
      <c r="D192" s="6"/>
      <c r="E192" s="23">
        <v>23.5</v>
      </c>
      <c r="F192" s="23">
        <v>7.3</v>
      </c>
      <c r="G192" s="41">
        <v>365</v>
      </c>
      <c r="H192" s="23">
        <v>7.3</v>
      </c>
      <c r="I192" s="23">
        <v>11.2</v>
      </c>
      <c r="J192" s="23">
        <v>13.1</v>
      </c>
      <c r="K192" s="4">
        <v>9.6999999999999993</v>
      </c>
      <c r="L192" s="4">
        <v>11.1</v>
      </c>
      <c r="M192" s="4">
        <v>9.3000000000000007</v>
      </c>
      <c r="N192" s="20">
        <f t="shared" si="33"/>
        <v>10</v>
      </c>
      <c r="O192" s="37">
        <v>5.4</v>
      </c>
      <c r="P192" s="37">
        <v>5.3</v>
      </c>
      <c r="Q192" s="38">
        <f t="shared" si="34"/>
        <v>5.4</v>
      </c>
      <c r="R192" s="17">
        <v>6.7439999999999998</v>
      </c>
      <c r="S192" s="17">
        <v>6.8289999999999997</v>
      </c>
      <c r="T192" s="22">
        <f t="shared" si="35"/>
        <v>6.7869999999999999</v>
      </c>
      <c r="U192" s="4">
        <v>6.03</v>
      </c>
      <c r="V192" s="4">
        <v>5.9960000000000004</v>
      </c>
      <c r="W192" s="22">
        <f t="shared" si="36"/>
        <v>6.0129999999999999</v>
      </c>
      <c r="X192" s="17">
        <v>1.9390000000000001</v>
      </c>
      <c r="Y192" s="17">
        <v>1.911</v>
      </c>
      <c r="Z192" s="21">
        <f t="shared" si="37"/>
        <v>1.925</v>
      </c>
      <c r="AA192" s="19">
        <v>3.5259999999999998</v>
      </c>
      <c r="AB192" s="19"/>
      <c r="AC192" s="21">
        <f t="shared" si="38"/>
        <v>3.5259999999999998</v>
      </c>
      <c r="AD192" s="19">
        <v>0.42399999999999999</v>
      </c>
      <c r="AE192" s="19">
        <v>0.42199999999999999</v>
      </c>
      <c r="AF192" s="21">
        <f t="shared" si="39"/>
        <v>0.42299999999999999</v>
      </c>
      <c r="AG192" s="5">
        <v>0.121</v>
      </c>
      <c r="AH192" s="5">
        <v>0.125</v>
      </c>
      <c r="AI192" s="21">
        <f t="shared" si="40"/>
        <v>0.123</v>
      </c>
      <c r="AJ192" s="5">
        <v>9.8000000000000004E-2</v>
      </c>
      <c r="AK192" s="5">
        <v>9.7000000000000003E-2</v>
      </c>
      <c r="AL192" s="21">
        <f t="shared" si="41"/>
        <v>9.8000000000000004E-2</v>
      </c>
      <c r="AM192" s="19">
        <v>44.473999999999997</v>
      </c>
      <c r="AN192" s="19"/>
      <c r="AO192" s="21">
        <f t="shared" si="42"/>
        <v>44.473999999999997</v>
      </c>
      <c r="AP192" s="46">
        <v>0.1119</v>
      </c>
      <c r="AQ192" s="46">
        <v>0.1135</v>
      </c>
      <c r="AR192" s="45">
        <f t="shared" si="43"/>
        <v>0.11269999999999999</v>
      </c>
      <c r="AS192" s="3">
        <v>8.1199999999999992</v>
      </c>
      <c r="AT192" s="96">
        <v>-0.73</v>
      </c>
    </row>
    <row r="193" spans="1:47">
      <c r="A193" s="7" t="s">
        <v>145</v>
      </c>
      <c r="B193" s="5" t="s">
        <v>146</v>
      </c>
      <c r="C193" s="6"/>
      <c r="D193" s="6"/>
      <c r="E193" s="23">
        <v>24.2</v>
      </c>
      <c r="F193" s="23">
        <v>7.5</v>
      </c>
      <c r="G193" s="41">
        <v>473</v>
      </c>
      <c r="H193" s="23">
        <v>8.1</v>
      </c>
      <c r="I193" s="23">
        <v>0.1</v>
      </c>
      <c r="J193" s="23">
        <v>4.5999999999999996</v>
      </c>
      <c r="K193" s="15">
        <v>3.5</v>
      </c>
      <c r="L193" s="15">
        <v>3.5</v>
      </c>
      <c r="M193" s="15"/>
      <c r="N193" s="20">
        <f t="shared" si="33"/>
        <v>3.5</v>
      </c>
      <c r="O193" s="37">
        <v>3.1</v>
      </c>
      <c r="P193" s="37">
        <v>3</v>
      </c>
      <c r="Q193" s="38">
        <f t="shared" si="34"/>
        <v>3.1</v>
      </c>
      <c r="R193" s="17">
        <v>1.996</v>
      </c>
      <c r="S193" s="17">
        <v>2.0470000000000002</v>
      </c>
      <c r="T193" s="22">
        <f t="shared" si="35"/>
        <v>2.0219999999999998</v>
      </c>
      <c r="U193" s="17">
        <v>1.7929999999999999</v>
      </c>
      <c r="V193" s="17">
        <v>1.792</v>
      </c>
      <c r="W193" s="22">
        <f t="shared" si="36"/>
        <v>1.7929999999999999</v>
      </c>
      <c r="X193" s="17">
        <v>4.2000000000000003E-2</v>
      </c>
      <c r="Y193" s="17">
        <v>4.2999999999999997E-2</v>
      </c>
      <c r="Z193" s="21">
        <f t="shared" si="37"/>
        <v>4.2999999999999997E-2</v>
      </c>
      <c r="AA193" s="19">
        <v>1.3360000000000001</v>
      </c>
      <c r="AB193" s="19"/>
      <c r="AC193" s="21">
        <f t="shared" si="38"/>
        <v>1.3360000000000001</v>
      </c>
      <c r="AD193" s="19">
        <v>4.1000000000000002E-2</v>
      </c>
      <c r="AE193" s="19">
        <v>4.2999999999999997E-2</v>
      </c>
      <c r="AF193" s="21">
        <f t="shared" si="39"/>
        <v>4.2000000000000003E-2</v>
      </c>
      <c r="AG193" s="19">
        <v>1.6E-2</v>
      </c>
      <c r="AH193" s="19">
        <v>1.2E-2</v>
      </c>
      <c r="AI193" s="21">
        <f t="shared" si="40"/>
        <v>1.4E-2</v>
      </c>
      <c r="AJ193" s="19">
        <v>3.0000000000000001E-3</v>
      </c>
      <c r="AK193" s="19">
        <v>2E-3</v>
      </c>
      <c r="AL193" s="21">
        <f t="shared" si="41"/>
        <v>3.0000000000000001E-3</v>
      </c>
      <c r="AM193" s="19">
        <v>73.099999999999994</v>
      </c>
      <c r="AN193" s="19"/>
      <c r="AO193" s="21">
        <f t="shared" si="42"/>
        <v>73.099999999999994</v>
      </c>
      <c r="AP193" s="46">
        <v>6.8699999999999997E-2</v>
      </c>
      <c r="AQ193" s="46">
        <v>7.0300000000000001E-2</v>
      </c>
      <c r="AR193" s="45">
        <f t="shared" si="43"/>
        <v>6.9500000000000006E-2</v>
      </c>
      <c r="AS193" s="3">
        <v>21.7</v>
      </c>
      <c r="AT193" s="96">
        <v>4.57</v>
      </c>
    </row>
    <row r="194" spans="1:47">
      <c r="A194" s="7" t="s">
        <v>147</v>
      </c>
      <c r="B194" s="5" t="s">
        <v>149</v>
      </c>
      <c r="C194" s="6"/>
      <c r="D194" s="6"/>
      <c r="E194" s="23">
        <v>26.1</v>
      </c>
      <c r="F194" s="23">
        <v>7.8</v>
      </c>
      <c r="G194" s="41">
        <v>558</v>
      </c>
      <c r="H194" s="23">
        <v>7.3</v>
      </c>
      <c r="I194" s="23"/>
      <c r="J194" s="23"/>
      <c r="K194" s="15"/>
      <c r="L194" s="15"/>
      <c r="M194" s="15"/>
      <c r="N194" s="20"/>
      <c r="O194" s="37">
        <v>39.1</v>
      </c>
      <c r="P194" s="37">
        <v>38.799999999999997</v>
      </c>
      <c r="Q194" s="38">
        <f t="shared" si="34"/>
        <v>39</v>
      </c>
      <c r="R194" s="17"/>
      <c r="S194" s="17"/>
      <c r="T194" s="22"/>
      <c r="U194" s="17">
        <v>6.8620000000000001</v>
      </c>
      <c r="V194" s="17">
        <v>6.8230000000000004</v>
      </c>
      <c r="W194" s="22">
        <f t="shared" si="36"/>
        <v>6.843</v>
      </c>
      <c r="X194" s="17"/>
      <c r="Y194" s="17"/>
      <c r="Z194" s="21"/>
      <c r="AA194" s="19">
        <v>0.442</v>
      </c>
      <c r="AB194" s="19"/>
      <c r="AC194" s="21">
        <f t="shared" si="38"/>
        <v>0.442</v>
      </c>
      <c r="AD194" s="19"/>
      <c r="AE194" s="19"/>
      <c r="AF194" s="21"/>
      <c r="AG194" s="19">
        <v>0.92200000000000004</v>
      </c>
      <c r="AH194" s="19">
        <v>0.90400000000000003</v>
      </c>
      <c r="AI194" s="21">
        <f t="shared" si="40"/>
        <v>0.91300000000000003</v>
      </c>
      <c r="AJ194" s="19">
        <v>0.71</v>
      </c>
      <c r="AK194" s="19">
        <v>0.70399999999999996</v>
      </c>
      <c r="AL194" s="21">
        <f t="shared" si="41"/>
        <v>0.70699999999999996</v>
      </c>
      <c r="AM194" s="19">
        <v>56.442999999999998</v>
      </c>
      <c r="AN194" s="19"/>
      <c r="AO194" s="21">
        <f t="shared" si="42"/>
        <v>56.442999999999998</v>
      </c>
      <c r="AP194" s="46">
        <v>1.2307999999999999</v>
      </c>
      <c r="AQ194" s="46">
        <v>1.2248000000000001</v>
      </c>
      <c r="AR194" s="45">
        <f t="shared" si="43"/>
        <v>1.2278</v>
      </c>
      <c r="AS194" s="3">
        <v>5.1100000000000003</v>
      </c>
      <c r="AT194" s="96">
        <v>4.53</v>
      </c>
    </row>
    <row r="195" spans="1:47">
      <c r="A195" s="7" t="s">
        <v>150</v>
      </c>
      <c r="B195" s="5" t="s">
        <v>151</v>
      </c>
      <c r="C195" s="6"/>
      <c r="D195" s="6"/>
      <c r="E195" s="23"/>
      <c r="F195" s="23"/>
      <c r="G195" s="49"/>
      <c r="H195" s="24"/>
      <c r="I195" s="23">
        <v>18.100000000000001</v>
      </c>
      <c r="J195" s="23"/>
      <c r="K195" s="15">
        <v>15.7</v>
      </c>
      <c r="L195" s="15">
        <v>18.5</v>
      </c>
      <c r="M195" s="15">
        <v>18.5</v>
      </c>
      <c r="N195" s="20">
        <f t="shared" si="33"/>
        <v>17.600000000000001</v>
      </c>
      <c r="O195" s="37">
        <v>10.4</v>
      </c>
      <c r="P195" s="37">
        <v>10.199999999999999</v>
      </c>
      <c r="Q195" s="38">
        <f t="shared" si="34"/>
        <v>10.3</v>
      </c>
      <c r="R195" s="17">
        <v>13.021000000000001</v>
      </c>
      <c r="S195" s="17">
        <v>13.012</v>
      </c>
      <c r="T195" s="22">
        <f t="shared" si="35"/>
        <v>13.016999999999999</v>
      </c>
      <c r="U195" s="17">
        <v>11.977</v>
      </c>
      <c r="V195" s="17">
        <v>11.959</v>
      </c>
      <c r="W195" s="22">
        <f t="shared" si="36"/>
        <v>11.968</v>
      </c>
      <c r="X195" s="17">
        <v>6.6440000000000001</v>
      </c>
      <c r="Y195" s="17">
        <v>6.5019999999999998</v>
      </c>
      <c r="Z195" s="21">
        <f t="shared" si="37"/>
        <v>6.5730000000000004</v>
      </c>
      <c r="AA195" s="19">
        <v>4.7309999999999999</v>
      </c>
      <c r="AB195" s="19"/>
      <c r="AC195" s="21">
        <f t="shared" si="38"/>
        <v>4.7309999999999999</v>
      </c>
      <c r="AD195" s="19">
        <v>0.877</v>
      </c>
      <c r="AE195" s="19">
        <v>0.89200000000000002</v>
      </c>
      <c r="AF195" s="21">
        <f t="shared" si="39"/>
        <v>0.88500000000000001</v>
      </c>
      <c r="AG195" s="19">
        <v>0.499</v>
      </c>
      <c r="AH195" s="19">
        <v>0.48799999999999999</v>
      </c>
      <c r="AI195" s="21">
        <f t="shared" si="40"/>
        <v>0.49399999999999999</v>
      </c>
      <c r="AJ195" s="19">
        <v>0.49299999999999999</v>
      </c>
      <c r="AK195" s="19">
        <v>0.48699999999999999</v>
      </c>
      <c r="AL195" s="21">
        <f t="shared" si="41"/>
        <v>0.49</v>
      </c>
      <c r="AM195" s="19">
        <v>70.016999999999996</v>
      </c>
      <c r="AN195" s="19"/>
      <c r="AO195" s="21">
        <f t="shared" si="42"/>
        <v>70.016999999999996</v>
      </c>
      <c r="AP195" s="46">
        <v>0.1429</v>
      </c>
      <c r="AQ195" s="46">
        <v>0.1447</v>
      </c>
      <c r="AR195" s="45">
        <f t="shared" si="43"/>
        <v>0.14380000000000001</v>
      </c>
      <c r="AS195" s="3"/>
    </row>
    <row r="196" spans="1:47">
      <c r="A196" s="7" t="s">
        <v>152</v>
      </c>
      <c r="B196" s="5" t="s">
        <v>153</v>
      </c>
      <c r="C196" s="6"/>
      <c r="D196" s="6"/>
      <c r="E196" s="23"/>
      <c r="F196" s="23"/>
      <c r="G196" s="49"/>
      <c r="H196" s="24"/>
      <c r="I196" s="23"/>
      <c r="J196" s="23"/>
      <c r="K196" s="15"/>
      <c r="L196" s="15"/>
      <c r="M196" s="15"/>
      <c r="N196" s="20"/>
      <c r="O196" s="37">
        <v>1.4</v>
      </c>
      <c r="P196" s="37">
        <v>1.2</v>
      </c>
      <c r="Q196" s="38">
        <f t="shared" si="34"/>
        <v>1.3</v>
      </c>
      <c r="R196" s="17"/>
      <c r="S196" s="17"/>
      <c r="T196" s="22"/>
      <c r="U196" s="17">
        <v>23.433</v>
      </c>
      <c r="V196" s="17">
        <v>23.443999999999999</v>
      </c>
      <c r="W196" s="22">
        <f t="shared" si="36"/>
        <v>23.439</v>
      </c>
      <c r="X196" s="17"/>
      <c r="Y196" s="17"/>
      <c r="Z196" s="21"/>
      <c r="AA196" s="19">
        <v>23.021000000000001</v>
      </c>
      <c r="AB196" s="19"/>
      <c r="AC196" s="21">
        <f t="shared" si="38"/>
        <v>23.021000000000001</v>
      </c>
      <c r="AD196" s="19"/>
      <c r="AE196" s="19"/>
      <c r="AF196" s="21"/>
      <c r="AG196" s="19">
        <v>0.52400000000000002</v>
      </c>
      <c r="AH196" s="19">
        <v>0.53500000000000003</v>
      </c>
      <c r="AI196" s="21">
        <f t="shared" si="40"/>
        <v>0.53</v>
      </c>
      <c r="AJ196" s="19">
        <v>0.52200000000000002</v>
      </c>
      <c r="AK196" s="19">
        <v>0.53</v>
      </c>
      <c r="AL196" s="21">
        <f t="shared" si="41"/>
        <v>0.52600000000000002</v>
      </c>
      <c r="AM196" s="19">
        <v>43.308999999999997</v>
      </c>
      <c r="AN196" s="19"/>
      <c r="AO196" s="21">
        <f t="shared" si="42"/>
        <v>43.308999999999997</v>
      </c>
      <c r="AP196" s="46">
        <v>3.6799999999999999E-2</v>
      </c>
      <c r="AQ196" s="46">
        <v>3.8699999999999998E-2</v>
      </c>
      <c r="AR196" s="45">
        <f t="shared" si="43"/>
        <v>3.78E-2</v>
      </c>
      <c r="AS196" s="3"/>
    </row>
    <row r="197" spans="1:47">
      <c r="A197" s="7" t="s">
        <v>155</v>
      </c>
      <c r="B197" s="5" t="s">
        <v>157</v>
      </c>
      <c r="C197" s="6"/>
      <c r="D197" s="6"/>
      <c r="E197" s="23"/>
      <c r="F197" s="23"/>
      <c r="G197" s="49"/>
      <c r="H197" s="24"/>
      <c r="I197" s="23"/>
      <c r="J197" s="23"/>
      <c r="K197" s="15"/>
      <c r="L197" s="15"/>
      <c r="M197" s="15"/>
      <c r="N197" s="20"/>
      <c r="O197" s="37">
        <v>0.9</v>
      </c>
      <c r="P197" s="37">
        <v>0.8</v>
      </c>
      <c r="Q197" s="38">
        <f t="shared" si="34"/>
        <v>0.9</v>
      </c>
      <c r="R197" s="17"/>
      <c r="S197" s="17"/>
      <c r="T197" s="22"/>
      <c r="U197" s="17">
        <v>19.209</v>
      </c>
      <c r="V197" s="17">
        <v>19.163</v>
      </c>
      <c r="W197" s="22">
        <f t="shared" si="36"/>
        <v>19.186</v>
      </c>
      <c r="X197" s="17"/>
      <c r="Y197" s="17"/>
      <c r="Z197" s="21"/>
      <c r="AA197" s="19"/>
      <c r="AB197" s="19"/>
      <c r="AC197" s="21"/>
      <c r="AD197" s="19"/>
      <c r="AE197" s="19"/>
      <c r="AF197" s="21"/>
      <c r="AG197" s="19">
        <v>6.0000000000000001E-3</v>
      </c>
      <c r="AH197" s="19">
        <v>5.0000000000000001E-3</v>
      </c>
      <c r="AI197" s="21">
        <f t="shared" si="40"/>
        <v>6.0000000000000001E-3</v>
      </c>
      <c r="AJ197" s="19">
        <v>3.0000000000000001E-3</v>
      </c>
      <c r="AK197" s="19">
        <v>2E-3</v>
      </c>
      <c r="AL197" s="21">
        <f t="shared" si="41"/>
        <v>3.0000000000000001E-3</v>
      </c>
      <c r="AM197" s="19"/>
      <c r="AN197" s="19"/>
      <c r="AO197" s="21"/>
      <c r="AP197" s="46">
        <v>2.76E-2</v>
      </c>
      <c r="AQ197" s="46">
        <v>2.9600000000000001E-2</v>
      </c>
      <c r="AR197" s="45">
        <f t="shared" si="43"/>
        <v>2.86E-2</v>
      </c>
      <c r="AS197" s="3"/>
    </row>
    <row r="198" spans="1:47">
      <c r="A198" s="8" t="s">
        <v>136</v>
      </c>
      <c r="B198" s="9" t="s">
        <v>34</v>
      </c>
      <c r="C198" s="10" t="s">
        <v>35</v>
      </c>
      <c r="D198" s="10" t="s">
        <v>36</v>
      </c>
      <c r="E198" s="20">
        <v>22.4</v>
      </c>
      <c r="F198" s="20">
        <v>7.5</v>
      </c>
      <c r="G198" s="40">
        <v>129</v>
      </c>
      <c r="H198" s="20">
        <v>9.1999999999999993</v>
      </c>
      <c r="I198" s="20">
        <v>1.2</v>
      </c>
      <c r="J198" s="20">
        <v>5.0999999999999996</v>
      </c>
      <c r="K198" s="36">
        <v>3.4</v>
      </c>
      <c r="L198" s="36">
        <v>3.6</v>
      </c>
      <c r="M198" s="36"/>
      <c r="N198" s="20">
        <f>ROUND(AVERAGE(K198:M198),1)</f>
        <v>3.5</v>
      </c>
      <c r="O198" s="36">
        <v>2.8</v>
      </c>
      <c r="P198" s="36">
        <v>2.8</v>
      </c>
      <c r="Q198" s="38">
        <f>ROUND(AVERAGE(O198:P198),1)</f>
        <v>2.8</v>
      </c>
      <c r="R198" s="16">
        <v>0.86699999999999999</v>
      </c>
      <c r="S198" s="16">
        <v>0.89300000000000002</v>
      </c>
      <c r="T198" s="22">
        <f>ROUND(AVERAGE(R198:S198),3)</f>
        <v>0.88</v>
      </c>
      <c r="U198" s="16">
        <v>0.76</v>
      </c>
      <c r="V198" s="16">
        <v>0.753</v>
      </c>
      <c r="W198" s="22">
        <f>ROUND(AVERAGE(U198:V198),3)</f>
        <v>0.75700000000000001</v>
      </c>
      <c r="X198" s="16">
        <v>5.2999999999999999E-2</v>
      </c>
      <c r="Y198" s="16">
        <v>5.5E-2</v>
      </c>
      <c r="Z198" s="21">
        <f>ROUND(AVERAGE(X198:Y198),3)</f>
        <v>5.3999999999999999E-2</v>
      </c>
      <c r="AA198" s="18">
        <v>0.46700000000000003</v>
      </c>
      <c r="AB198" s="18">
        <v>0.49299999999999999</v>
      </c>
      <c r="AC198" s="21">
        <f>ROUND(AVERAGE(AA198:AB198),3)</f>
        <v>0.48</v>
      </c>
      <c r="AD198" s="18">
        <v>0.1</v>
      </c>
      <c r="AE198" s="18">
        <v>9.6000000000000002E-2</v>
      </c>
      <c r="AF198" s="21">
        <f>ROUND(AVERAGE(AD198:AE198),3)</f>
        <v>9.8000000000000004E-2</v>
      </c>
      <c r="AG198" s="18">
        <v>5.5E-2</v>
      </c>
      <c r="AH198" s="18">
        <v>5.3999999999999999E-2</v>
      </c>
      <c r="AI198" s="21">
        <f>ROUND(AVERAGE(AG198:AH198),3)</f>
        <v>5.5E-2</v>
      </c>
      <c r="AJ198" s="18">
        <v>4.2999999999999997E-2</v>
      </c>
      <c r="AK198" s="18">
        <v>4.3999999999999997E-2</v>
      </c>
      <c r="AL198" s="21">
        <f>ROUND(AVERAGE(AJ198:AK198),3)</f>
        <v>4.3999999999999997E-2</v>
      </c>
      <c r="AM198" s="18">
        <v>10.115</v>
      </c>
      <c r="AN198" s="18">
        <v>10.278</v>
      </c>
      <c r="AO198" s="21">
        <f>ROUND(AVERAGE(AM198:AN198),3)</f>
        <v>10.196999999999999</v>
      </c>
      <c r="AP198" s="44">
        <v>0.1091</v>
      </c>
      <c r="AQ198" s="44">
        <v>0.1051</v>
      </c>
      <c r="AR198" s="45">
        <f>ROUND(AVERAGE(AP198:AQ198),4)</f>
        <v>0.1071</v>
      </c>
      <c r="AS198" s="93">
        <v>6.12</v>
      </c>
      <c r="AT198" s="93">
        <v>1.97</v>
      </c>
    </row>
    <row r="199" spans="1:47">
      <c r="A199" s="7" t="s">
        <v>37</v>
      </c>
      <c r="B199" s="5" t="s">
        <v>38</v>
      </c>
      <c r="C199" s="6" t="s">
        <v>39</v>
      </c>
      <c r="D199" s="6" t="s">
        <v>40</v>
      </c>
      <c r="E199" s="23">
        <v>23.5</v>
      </c>
      <c r="F199" s="23">
        <v>7.3</v>
      </c>
      <c r="G199" s="41">
        <v>110</v>
      </c>
      <c r="H199" s="23">
        <v>8.5</v>
      </c>
      <c r="I199" s="23">
        <v>1.1000000000000001</v>
      </c>
      <c r="J199" s="23">
        <v>4.8</v>
      </c>
      <c r="K199" s="37">
        <v>3.4</v>
      </c>
      <c r="L199" s="37">
        <v>3.5</v>
      </c>
      <c r="M199" s="37"/>
      <c r="N199" s="20">
        <f t="shared" ref="N199:N235" si="44">ROUND(AVERAGE(K199:M199),1)</f>
        <v>3.5</v>
      </c>
      <c r="O199" s="37">
        <v>3.1</v>
      </c>
      <c r="P199" s="37">
        <v>2.9</v>
      </c>
      <c r="Q199" s="38">
        <f t="shared" ref="Q199:Q235" si="45">ROUND(AVERAGE(O199:P199),1)</f>
        <v>3</v>
      </c>
      <c r="R199" s="17">
        <v>1.4370000000000001</v>
      </c>
      <c r="S199" s="17">
        <v>1.387</v>
      </c>
      <c r="T199" s="22">
        <f t="shared" ref="T199:T235" si="46">ROUND(AVERAGE(R199:S199),3)</f>
        <v>1.4119999999999999</v>
      </c>
      <c r="U199" s="17">
        <v>1.294</v>
      </c>
      <c r="V199" s="17">
        <v>1.3009999999999999</v>
      </c>
      <c r="W199" s="22">
        <f t="shared" ref="W199:W235" si="47">ROUND(AVERAGE(U199:V199),3)</f>
        <v>1.298</v>
      </c>
      <c r="X199" s="17">
        <v>7.2999999999999995E-2</v>
      </c>
      <c r="Y199" s="17">
        <v>7.2999999999999995E-2</v>
      </c>
      <c r="Z199" s="21">
        <f t="shared" ref="Z199:Z235" si="48">ROUND(AVERAGE(X199:Y199),3)</f>
        <v>7.2999999999999995E-2</v>
      </c>
      <c r="AA199" s="19">
        <v>0.93100000000000005</v>
      </c>
      <c r="AB199" s="19">
        <v>0.97599999999999998</v>
      </c>
      <c r="AC199" s="21">
        <f t="shared" ref="AC199:AC235" si="49">ROUND(AVERAGE(AA199:AB199),3)</f>
        <v>0.95399999999999996</v>
      </c>
      <c r="AD199" s="19">
        <v>5.1999999999999998E-2</v>
      </c>
      <c r="AE199" s="19">
        <v>4.7E-2</v>
      </c>
      <c r="AF199" s="21">
        <f t="shared" ref="AF199:AF235" si="50">ROUND(AVERAGE(AD199:AE199),3)</f>
        <v>0.05</v>
      </c>
      <c r="AG199" s="19">
        <v>2.8000000000000001E-2</v>
      </c>
      <c r="AH199" s="19">
        <v>2.7E-2</v>
      </c>
      <c r="AI199" s="21">
        <f t="shared" ref="AI199:AI235" si="51">ROUND(AVERAGE(AG199:AH199),3)</f>
        <v>2.8000000000000001E-2</v>
      </c>
      <c r="AJ199" s="19">
        <v>1.4E-2</v>
      </c>
      <c r="AK199" s="19">
        <v>1.4E-2</v>
      </c>
      <c r="AL199" s="21">
        <f t="shared" ref="AL199:AL235" si="52">ROUND(AVERAGE(AJ199:AK199),3)</f>
        <v>1.4E-2</v>
      </c>
      <c r="AM199" s="19">
        <v>5.9710000000000001</v>
      </c>
      <c r="AN199" s="19">
        <v>6.101</v>
      </c>
      <c r="AO199" s="21">
        <f t="shared" ref="AO199:AO235" si="53">ROUND(AVERAGE(AM199:AN199),3)</f>
        <v>6.0359999999999996</v>
      </c>
      <c r="AP199" s="46">
        <v>0.1094</v>
      </c>
      <c r="AQ199" s="46">
        <v>0.10630000000000001</v>
      </c>
      <c r="AR199" s="45">
        <f t="shared" ref="AR199:AR235" si="54">ROUND(AVERAGE(AP199:AQ199),4)</f>
        <v>0.1079</v>
      </c>
      <c r="AS199" s="94">
        <v>6.55</v>
      </c>
      <c r="AT199" s="94">
        <v>1.17</v>
      </c>
      <c r="AU199" s="94"/>
    </row>
    <row r="200" spans="1:47">
      <c r="A200" s="7" t="s">
        <v>0</v>
      </c>
      <c r="B200" s="5" t="s">
        <v>41</v>
      </c>
      <c r="C200" s="6" t="s">
        <v>42</v>
      </c>
      <c r="D200" s="6" t="s">
        <v>36</v>
      </c>
      <c r="E200" s="23">
        <v>23.8</v>
      </c>
      <c r="F200" s="23">
        <v>7.4</v>
      </c>
      <c r="G200" s="41">
        <v>126</v>
      </c>
      <c r="H200" s="23">
        <v>9.4</v>
      </c>
      <c r="I200" s="23">
        <v>1</v>
      </c>
      <c r="J200" s="23">
        <v>4.5999999999999996</v>
      </c>
      <c r="K200" s="37">
        <v>3.4</v>
      </c>
      <c r="L200" s="37">
        <v>3.3</v>
      </c>
      <c r="M200" s="37"/>
      <c r="N200" s="20">
        <f t="shared" si="44"/>
        <v>3.4</v>
      </c>
      <c r="O200" s="37">
        <v>2.9</v>
      </c>
      <c r="P200" s="37">
        <v>2.8</v>
      </c>
      <c r="Q200" s="38">
        <f t="shared" si="45"/>
        <v>2.9</v>
      </c>
      <c r="R200" s="17">
        <v>1.1870000000000001</v>
      </c>
      <c r="S200" s="17">
        <v>1.1970000000000001</v>
      </c>
      <c r="T200" s="22">
        <f t="shared" si="46"/>
        <v>1.1919999999999999</v>
      </c>
      <c r="U200" s="17">
        <v>1.042</v>
      </c>
      <c r="V200" s="17">
        <v>1.0549999999999999</v>
      </c>
      <c r="W200" s="22">
        <f t="shared" si="47"/>
        <v>1.0489999999999999</v>
      </c>
      <c r="X200" s="17">
        <v>6.8000000000000005E-2</v>
      </c>
      <c r="Y200" s="17">
        <v>6.3E-2</v>
      </c>
      <c r="Z200" s="21">
        <f t="shared" si="48"/>
        <v>6.6000000000000003E-2</v>
      </c>
      <c r="AA200" s="19">
        <v>0.72499999999999998</v>
      </c>
      <c r="AB200" s="19">
        <v>0.76300000000000001</v>
      </c>
      <c r="AC200" s="21">
        <f t="shared" si="49"/>
        <v>0.74399999999999999</v>
      </c>
      <c r="AD200" s="19">
        <v>7.9000000000000001E-2</v>
      </c>
      <c r="AE200" s="19">
        <v>7.5999999999999998E-2</v>
      </c>
      <c r="AF200" s="21">
        <f t="shared" si="50"/>
        <v>7.8E-2</v>
      </c>
      <c r="AG200" s="19">
        <v>3.6999999999999998E-2</v>
      </c>
      <c r="AH200" s="19">
        <v>3.9E-2</v>
      </c>
      <c r="AI200" s="21">
        <f t="shared" si="51"/>
        <v>3.7999999999999999E-2</v>
      </c>
      <c r="AJ200" s="19">
        <v>2.7E-2</v>
      </c>
      <c r="AK200" s="19">
        <v>2.8000000000000001E-2</v>
      </c>
      <c r="AL200" s="21">
        <f t="shared" si="52"/>
        <v>2.8000000000000001E-2</v>
      </c>
      <c r="AM200" s="19">
        <v>8.9770000000000003</v>
      </c>
      <c r="AN200" s="19">
        <v>9.1210000000000004</v>
      </c>
      <c r="AO200" s="21">
        <f t="shared" si="53"/>
        <v>9.0489999999999995</v>
      </c>
      <c r="AP200" s="46">
        <v>0.1055</v>
      </c>
      <c r="AQ200" s="46">
        <v>0.10299999999999999</v>
      </c>
      <c r="AR200" s="45">
        <f t="shared" si="54"/>
        <v>0.1043</v>
      </c>
      <c r="AS200" s="94">
        <v>7.43</v>
      </c>
      <c r="AT200" s="94">
        <v>2.73</v>
      </c>
    </row>
    <row r="201" spans="1:47">
      <c r="A201" s="7" t="s">
        <v>1</v>
      </c>
      <c r="B201" s="5" t="s">
        <v>43</v>
      </c>
      <c r="C201" s="6" t="s">
        <v>44</v>
      </c>
      <c r="D201" s="6" t="s">
        <v>45</v>
      </c>
      <c r="E201" s="23">
        <v>23.2</v>
      </c>
      <c r="F201" s="23">
        <v>7.5</v>
      </c>
      <c r="G201" s="41">
        <v>83</v>
      </c>
      <c r="H201" s="23">
        <v>9.1</v>
      </c>
      <c r="I201" s="23">
        <v>0.8</v>
      </c>
      <c r="J201" s="23">
        <v>4.2</v>
      </c>
      <c r="K201" s="37">
        <v>2.8</v>
      </c>
      <c r="L201" s="37">
        <v>2.8</v>
      </c>
      <c r="M201" s="37"/>
      <c r="N201" s="20">
        <f t="shared" si="44"/>
        <v>2.8</v>
      </c>
      <c r="O201" s="37">
        <v>2.5</v>
      </c>
      <c r="P201" s="37">
        <v>2.6</v>
      </c>
      <c r="Q201" s="38">
        <f t="shared" si="45"/>
        <v>2.6</v>
      </c>
      <c r="R201" s="17">
        <v>0.81200000000000006</v>
      </c>
      <c r="S201" s="17">
        <v>0.82</v>
      </c>
      <c r="T201" s="22">
        <f t="shared" si="46"/>
        <v>0.81599999999999995</v>
      </c>
      <c r="U201" s="17">
        <v>0.71299999999999997</v>
      </c>
      <c r="V201" s="17">
        <v>0.69899999999999995</v>
      </c>
      <c r="W201" s="22">
        <f t="shared" si="47"/>
        <v>0.70599999999999996</v>
      </c>
      <c r="X201" s="17">
        <v>6.3E-2</v>
      </c>
      <c r="Y201" s="17">
        <v>6.7000000000000004E-2</v>
      </c>
      <c r="Z201" s="21">
        <f t="shared" si="48"/>
        <v>6.5000000000000002E-2</v>
      </c>
      <c r="AA201" s="19">
        <v>0.47499999999999998</v>
      </c>
      <c r="AB201" s="19">
        <v>0.505</v>
      </c>
      <c r="AC201" s="21">
        <f t="shared" si="49"/>
        <v>0.49</v>
      </c>
      <c r="AD201" s="19">
        <v>4.4999999999999998E-2</v>
      </c>
      <c r="AE201" s="19">
        <v>4.1000000000000002E-2</v>
      </c>
      <c r="AF201" s="21">
        <f t="shared" si="50"/>
        <v>4.2999999999999997E-2</v>
      </c>
      <c r="AG201" s="19">
        <v>2.1999999999999999E-2</v>
      </c>
      <c r="AH201" s="19">
        <v>2.1999999999999999E-2</v>
      </c>
      <c r="AI201" s="21">
        <f t="shared" si="51"/>
        <v>2.1999999999999999E-2</v>
      </c>
      <c r="AJ201" s="19">
        <v>1.0999999999999999E-2</v>
      </c>
      <c r="AK201" s="19">
        <v>1.0999999999999999E-2</v>
      </c>
      <c r="AL201" s="21">
        <f t="shared" si="52"/>
        <v>1.0999999999999999E-2</v>
      </c>
      <c r="AM201" s="19">
        <v>4.8</v>
      </c>
      <c r="AN201" s="19">
        <v>4.8879999999999999</v>
      </c>
      <c r="AO201" s="21">
        <f t="shared" si="53"/>
        <v>4.8440000000000003</v>
      </c>
      <c r="AP201" s="46">
        <v>0.1118</v>
      </c>
      <c r="AQ201" s="46">
        <v>0.1094</v>
      </c>
      <c r="AR201" s="45">
        <f t="shared" si="54"/>
        <v>0.1106</v>
      </c>
      <c r="AS201" s="94">
        <v>6.53</v>
      </c>
      <c r="AT201" s="94">
        <v>0.43</v>
      </c>
      <c r="AU201" s="94"/>
    </row>
    <row r="202" spans="1:47">
      <c r="A202" s="7" t="s">
        <v>2</v>
      </c>
      <c r="B202" s="5" t="s">
        <v>46</v>
      </c>
      <c r="C202" s="6" t="s">
        <v>47</v>
      </c>
      <c r="D202" s="6" t="s">
        <v>36</v>
      </c>
      <c r="E202" s="23">
        <v>22.8</v>
      </c>
      <c r="F202" s="23">
        <v>7.2</v>
      </c>
      <c r="G202" s="41">
        <v>126</v>
      </c>
      <c r="H202" s="23">
        <v>7.8</v>
      </c>
      <c r="I202" s="23">
        <v>1.1000000000000001</v>
      </c>
      <c r="J202" s="23">
        <v>5.4</v>
      </c>
      <c r="K202" s="37">
        <v>3.6</v>
      </c>
      <c r="L202" s="37">
        <v>3.7</v>
      </c>
      <c r="M202" s="37"/>
      <c r="N202" s="20">
        <f t="shared" si="44"/>
        <v>3.7</v>
      </c>
      <c r="O202" s="37">
        <v>3.3</v>
      </c>
      <c r="P202" s="37">
        <v>3.2</v>
      </c>
      <c r="Q202" s="38">
        <f t="shared" si="45"/>
        <v>3.3</v>
      </c>
      <c r="R202" s="17">
        <v>1.32</v>
      </c>
      <c r="S202" s="17">
        <v>1.3320000000000001</v>
      </c>
      <c r="T202" s="22">
        <f t="shared" si="46"/>
        <v>1.3260000000000001</v>
      </c>
      <c r="U202" s="17">
        <v>1.1879999999999999</v>
      </c>
      <c r="V202" s="17">
        <v>1.171</v>
      </c>
      <c r="W202" s="22">
        <f t="shared" si="47"/>
        <v>1.18</v>
      </c>
      <c r="X202" s="17">
        <v>0.121</v>
      </c>
      <c r="Y202" s="17">
        <v>0.126</v>
      </c>
      <c r="Z202" s="21">
        <f t="shared" si="48"/>
        <v>0.124</v>
      </c>
      <c r="AA202" s="19">
        <v>0.8</v>
      </c>
      <c r="AB202" s="19">
        <v>0.84099999999999997</v>
      </c>
      <c r="AC202" s="21">
        <f t="shared" si="49"/>
        <v>0.82099999999999995</v>
      </c>
      <c r="AD202" s="19">
        <v>0.104</v>
      </c>
      <c r="AE202" s="19">
        <v>9.9000000000000005E-2</v>
      </c>
      <c r="AF202" s="21">
        <f t="shared" si="50"/>
        <v>0.10199999999999999</v>
      </c>
      <c r="AG202" s="19">
        <v>0.06</v>
      </c>
      <c r="AH202" s="19">
        <v>6.2E-2</v>
      </c>
      <c r="AI202" s="21">
        <f t="shared" si="51"/>
        <v>6.0999999999999999E-2</v>
      </c>
      <c r="AJ202" s="19">
        <v>5.2999999999999999E-2</v>
      </c>
      <c r="AK202" s="19">
        <v>5.6000000000000001E-2</v>
      </c>
      <c r="AL202" s="21">
        <f t="shared" si="52"/>
        <v>5.5E-2</v>
      </c>
      <c r="AM202" s="19">
        <v>8.82</v>
      </c>
      <c r="AN202" s="19">
        <v>9.01</v>
      </c>
      <c r="AO202" s="21">
        <f t="shared" si="53"/>
        <v>8.9149999999999991</v>
      </c>
      <c r="AP202" s="46">
        <v>0.1229</v>
      </c>
      <c r="AQ202" s="46">
        <v>0.12089999999999999</v>
      </c>
      <c r="AR202" s="45">
        <f t="shared" si="54"/>
        <v>0.12189999999999999</v>
      </c>
      <c r="AS202" s="94">
        <v>7.01</v>
      </c>
      <c r="AT202" s="94">
        <v>3.91</v>
      </c>
    </row>
    <row r="203" spans="1:47">
      <c r="A203" s="7" t="s">
        <v>3</v>
      </c>
      <c r="B203" s="5" t="s">
        <v>46</v>
      </c>
      <c r="C203" s="6" t="s">
        <v>44</v>
      </c>
      <c r="D203" s="6" t="s">
        <v>48</v>
      </c>
      <c r="E203" s="23">
        <v>23</v>
      </c>
      <c r="F203" s="23">
        <v>7.4</v>
      </c>
      <c r="G203" s="41">
        <v>103</v>
      </c>
      <c r="H203" s="23">
        <v>9</v>
      </c>
      <c r="I203" s="23">
        <v>1.5</v>
      </c>
      <c r="J203" s="23">
        <v>6</v>
      </c>
      <c r="K203" s="37">
        <v>4.3</v>
      </c>
      <c r="L203" s="37">
        <v>4.0999999999999996</v>
      </c>
      <c r="M203" s="37"/>
      <c r="N203" s="20">
        <f t="shared" si="44"/>
        <v>4.2</v>
      </c>
      <c r="O203" s="37">
        <v>3.7</v>
      </c>
      <c r="P203" s="37">
        <v>3.5</v>
      </c>
      <c r="Q203" s="38">
        <f t="shared" si="45"/>
        <v>3.6</v>
      </c>
      <c r="R203" s="17">
        <v>1.0269999999999999</v>
      </c>
      <c r="S203" s="17">
        <v>1.085</v>
      </c>
      <c r="T203" s="22">
        <f t="shared" si="46"/>
        <v>1.056</v>
      </c>
      <c r="U203" s="17">
        <v>0.92100000000000004</v>
      </c>
      <c r="V203" s="17">
        <v>0.91600000000000004</v>
      </c>
      <c r="W203" s="22">
        <f t="shared" si="47"/>
        <v>0.91900000000000004</v>
      </c>
      <c r="X203" s="17">
        <v>0.11</v>
      </c>
      <c r="Y203" s="17">
        <v>9.7000000000000003E-2</v>
      </c>
      <c r="Z203" s="21">
        <f t="shared" si="48"/>
        <v>0.104</v>
      </c>
      <c r="AA203" s="19">
        <v>0.52100000000000002</v>
      </c>
      <c r="AB203" s="19">
        <v>0.55300000000000005</v>
      </c>
      <c r="AC203" s="21">
        <f t="shared" si="49"/>
        <v>0.53700000000000003</v>
      </c>
      <c r="AD203" s="19">
        <v>9.8000000000000004E-2</v>
      </c>
      <c r="AE203" s="19">
        <v>9.5000000000000001E-2</v>
      </c>
      <c r="AF203" s="21">
        <f t="shared" si="50"/>
        <v>9.7000000000000003E-2</v>
      </c>
      <c r="AG203" s="19">
        <v>5.5E-2</v>
      </c>
      <c r="AH203" s="19">
        <v>5.1999999999999998E-2</v>
      </c>
      <c r="AI203" s="21">
        <f t="shared" si="51"/>
        <v>5.3999999999999999E-2</v>
      </c>
      <c r="AJ203" s="19">
        <v>0.04</v>
      </c>
      <c r="AK203" s="19">
        <v>4.1000000000000002E-2</v>
      </c>
      <c r="AL203" s="21">
        <f t="shared" si="52"/>
        <v>4.1000000000000002E-2</v>
      </c>
      <c r="AM203" s="19">
        <v>5.8010000000000002</v>
      </c>
      <c r="AN203" s="19">
        <v>5.9359999999999999</v>
      </c>
      <c r="AO203" s="21">
        <f t="shared" si="53"/>
        <v>5.8689999999999998</v>
      </c>
      <c r="AP203" s="46">
        <v>0.1588</v>
      </c>
      <c r="AQ203" s="46">
        <v>0.15620000000000001</v>
      </c>
      <c r="AR203" s="45">
        <f t="shared" si="54"/>
        <v>0.1575</v>
      </c>
      <c r="AS203" s="95">
        <v>6.21</v>
      </c>
      <c r="AT203" s="95">
        <v>-0.51</v>
      </c>
      <c r="AU203" s="95"/>
    </row>
    <row r="204" spans="1:47">
      <c r="A204" s="7" t="s">
        <v>4</v>
      </c>
      <c r="B204" s="5" t="s">
        <v>49</v>
      </c>
      <c r="C204" s="6" t="s">
        <v>44</v>
      </c>
      <c r="D204" s="6" t="s">
        <v>36</v>
      </c>
      <c r="E204" s="23">
        <v>23.2</v>
      </c>
      <c r="F204" s="23">
        <v>7.1</v>
      </c>
      <c r="G204" s="41">
        <v>116</v>
      </c>
      <c r="H204" s="23">
        <v>8.1999999999999993</v>
      </c>
      <c r="I204" s="23">
        <v>1</v>
      </c>
      <c r="J204" s="23">
        <v>5.3</v>
      </c>
      <c r="K204" s="37">
        <v>3.5</v>
      </c>
      <c r="L204" s="37">
        <v>3.5</v>
      </c>
      <c r="M204" s="37"/>
      <c r="N204" s="20">
        <f t="shared" si="44"/>
        <v>3.5</v>
      </c>
      <c r="O204" s="37">
        <v>3.2</v>
      </c>
      <c r="P204" s="37">
        <v>3.1</v>
      </c>
      <c r="Q204" s="38">
        <f t="shared" si="45"/>
        <v>3.2</v>
      </c>
      <c r="R204" s="17">
        <v>1.115</v>
      </c>
      <c r="S204" s="17">
        <v>1.157</v>
      </c>
      <c r="T204" s="22">
        <f t="shared" si="46"/>
        <v>1.1359999999999999</v>
      </c>
      <c r="U204" s="17">
        <v>1.036</v>
      </c>
      <c r="V204" s="17">
        <v>1.0509999999999999</v>
      </c>
      <c r="W204" s="22">
        <f t="shared" si="47"/>
        <v>1.044</v>
      </c>
      <c r="X204" s="17">
        <v>6.5000000000000002E-2</v>
      </c>
      <c r="Y204" s="17">
        <v>6.5000000000000002E-2</v>
      </c>
      <c r="Z204" s="21">
        <f t="shared" si="48"/>
        <v>6.5000000000000002E-2</v>
      </c>
      <c r="AA204" s="19">
        <v>0.69299999999999995</v>
      </c>
      <c r="AB204" s="19">
        <v>0.73</v>
      </c>
      <c r="AC204" s="21">
        <f t="shared" si="49"/>
        <v>0.71199999999999997</v>
      </c>
      <c r="AD204" s="19">
        <v>7.0999999999999994E-2</v>
      </c>
      <c r="AE204" s="19">
        <v>7.0000000000000007E-2</v>
      </c>
      <c r="AF204" s="21">
        <f t="shared" si="50"/>
        <v>7.0999999999999994E-2</v>
      </c>
      <c r="AG204" s="19">
        <v>4.2999999999999997E-2</v>
      </c>
      <c r="AH204" s="19">
        <v>4.2000000000000003E-2</v>
      </c>
      <c r="AI204" s="21">
        <f t="shared" si="51"/>
        <v>4.2999999999999997E-2</v>
      </c>
      <c r="AJ204" s="19">
        <v>3.2000000000000001E-2</v>
      </c>
      <c r="AK204" s="19">
        <v>3.2000000000000001E-2</v>
      </c>
      <c r="AL204" s="21">
        <f t="shared" si="52"/>
        <v>3.2000000000000001E-2</v>
      </c>
      <c r="AM204" s="19">
        <v>7.8230000000000004</v>
      </c>
      <c r="AN204" s="19">
        <v>8.0169999999999995</v>
      </c>
      <c r="AO204" s="21">
        <f t="shared" si="53"/>
        <v>7.92</v>
      </c>
      <c r="AP204" s="46">
        <v>0.127</v>
      </c>
      <c r="AQ204" s="46">
        <v>0.12470000000000001</v>
      </c>
      <c r="AR204" s="45">
        <f t="shared" si="54"/>
        <v>0.12590000000000001</v>
      </c>
      <c r="AS204" s="95">
        <v>7.7</v>
      </c>
      <c r="AT204" s="95">
        <v>2.04</v>
      </c>
    </row>
    <row r="205" spans="1:47">
      <c r="A205" s="7" t="s">
        <v>5</v>
      </c>
      <c r="B205" s="5" t="s">
        <v>50</v>
      </c>
      <c r="C205" s="6" t="s">
        <v>42</v>
      </c>
      <c r="D205" s="6" t="s">
        <v>51</v>
      </c>
      <c r="E205" s="23">
        <v>22</v>
      </c>
      <c r="F205" s="23">
        <v>6.7</v>
      </c>
      <c r="G205" s="41">
        <v>148</v>
      </c>
      <c r="H205" s="23">
        <v>6.4</v>
      </c>
      <c r="I205" s="23">
        <v>0.9</v>
      </c>
      <c r="J205" s="23">
        <v>4</v>
      </c>
      <c r="K205" s="37">
        <v>2.7</v>
      </c>
      <c r="L205" s="37">
        <v>2.7</v>
      </c>
      <c r="M205" s="37"/>
      <c r="N205" s="20">
        <f t="shared" si="44"/>
        <v>2.7</v>
      </c>
      <c r="O205" s="37">
        <v>2.2999999999999998</v>
      </c>
      <c r="P205" s="37">
        <v>2.2000000000000002</v>
      </c>
      <c r="Q205" s="38">
        <f t="shared" si="45"/>
        <v>2.2999999999999998</v>
      </c>
      <c r="R205" s="17">
        <v>2.6469999999999998</v>
      </c>
      <c r="S205" s="17">
        <v>2.5960000000000001</v>
      </c>
      <c r="T205" s="22">
        <f t="shared" si="46"/>
        <v>2.6219999999999999</v>
      </c>
      <c r="U205" s="17">
        <v>2.4580000000000002</v>
      </c>
      <c r="V205" s="17">
        <v>2.46</v>
      </c>
      <c r="W205" s="22">
        <f t="shared" si="47"/>
        <v>2.4590000000000001</v>
      </c>
      <c r="X205" s="17">
        <v>9.1999999999999998E-2</v>
      </c>
      <c r="Y205" s="17">
        <v>9.5000000000000001E-2</v>
      </c>
      <c r="Z205" s="21">
        <f t="shared" si="48"/>
        <v>9.4E-2</v>
      </c>
      <c r="AA205" s="19">
        <v>2.1520000000000001</v>
      </c>
      <c r="AB205" s="19">
        <v>2.2109999999999999</v>
      </c>
      <c r="AC205" s="21">
        <f t="shared" si="49"/>
        <v>2.1819999999999999</v>
      </c>
      <c r="AD205" s="19">
        <v>0.27600000000000002</v>
      </c>
      <c r="AE205" s="19">
        <v>0.25700000000000001</v>
      </c>
      <c r="AF205" s="21">
        <f t="shared" si="50"/>
        <v>0.26700000000000002</v>
      </c>
      <c r="AG205" s="19">
        <v>0.218</v>
      </c>
      <c r="AH205" s="19">
        <v>0.223</v>
      </c>
      <c r="AI205" s="21">
        <f t="shared" si="51"/>
        <v>0.221</v>
      </c>
      <c r="AJ205" s="19">
        <v>0.217</v>
      </c>
      <c r="AK205" s="19">
        <v>0.218</v>
      </c>
      <c r="AL205" s="21">
        <f t="shared" si="52"/>
        <v>0.218</v>
      </c>
      <c r="AM205" s="19">
        <v>9.6120000000000001</v>
      </c>
      <c r="AN205" s="19">
        <v>9.8889999999999993</v>
      </c>
      <c r="AO205" s="21">
        <f t="shared" si="53"/>
        <v>9.7509999999999994</v>
      </c>
      <c r="AP205" s="46">
        <v>8.8900000000000007E-2</v>
      </c>
      <c r="AQ205" s="46">
        <v>8.6499999999999994E-2</v>
      </c>
      <c r="AR205" s="45">
        <f t="shared" si="54"/>
        <v>8.77E-2</v>
      </c>
      <c r="AS205" s="95">
        <v>10.48</v>
      </c>
      <c r="AT205" s="95">
        <v>12.49</v>
      </c>
      <c r="AU205" s="95"/>
    </row>
    <row r="206" spans="1:47">
      <c r="A206" s="7" t="s">
        <v>6</v>
      </c>
      <c r="B206" s="5" t="s">
        <v>52</v>
      </c>
      <c r="C206" s="6" t="s">
        <v>53</v>
      </c>
      <c r="D206" s="6" t="s">
        <v>36</v>
      </c>
      <c r="E206" s="23">
        <v>24.6</v>
      </c>
      <c r="F206" s="23">
        <v>6.9</v>
      </c>
      <c r="G206" s="41">
        <v>122</v>
      </c>
      <c r="H206" s="23">
        <v>7.4</v>
      </c>
      <c r="I206" s="23">
        <v>1.2</v>
      </c>
      <c r="J206" s="23">
        <v>6.1</v>
      </c>
      <c r="K206" s="37">
        <v>4.2</v>
      </c>
      <c r="L206" s="37">
        <v>4.2</v>
      </c>
      <c r="M206" s="37"/>
      <c r="N206" s="20">
        <f t="shared" si="44"/>
        <v>4.2</v>
      </c>
      <c r="O206" s="37">
        <v>3.6</v>
      </c>
      <c r="P206" s="37">
        <v>3.7</v>
      </c>
      <c r="Q206" s="38">
        <f t="shared" si="45"/>
        <v>3.7</v>
      </c>
      <c r="R206" s="17">
        <v>1.581</v>
      </c>
      <c r="S206" s="17">
        <v>1.587</v>
      </c>
      <c r="T206" s="22">
        <f t="shared" si="46"/>
        <v>1.5840000000000001</v>
      </c>
      <c r="U206" s="17">
        <v>1.4350000000000001</v>
      </c>
      <c r="V206" s="17">
        <v>1.4</v>
      </c>
      <c r="W206" s="22">
        <f t="shared" si="47"/>
        <v>1.4179999999999999</v>
      </c>
      <c r="X206" s="17">
        <v>0.18</v>
      </c>
      <c r="Y206" s="17">
        <v>0.17799999999999999</v>
      </c>
      <c r="Z206" s="21">
        <f t="shared" si="48"/>
        <v>0.17899999999999999</v>
      </c>
      <c r="AA206" s="19">
        <v>0.90600000000000003</v>
      </c>
      <c r="AB206" s="19">
        <v>0.95699999999999996</v>
      </c>
      <c r="AC206" s="21">
        <f t="shared" si="49"/>
        <v>0.93200000000000005</v>
      </c>
      <c r="AD206" s="19">
        <v>0.13500000000000001</v>
      </c>
      <c r="AE206" s="19">
        <v>0.129</v>
      </c>
      <c r="AF206" s="21">
        <f t="shared" si="50"/>
        <v>0.13200000000000001</v>
      </c>
      <c r="AG206" s="19">
        <v>9.0999999999999998E-2</v>
      </c>
      <c r="AH206" s="19">
        <v>8.5999999999999993E-2</v>
      </c>
      <c r="AI206" s="21">
        <f t="shared" si="51"/>
        <v>8.8999999999999996E-2</v>
      </c>
      <c r="AJ206" s="19">
        <v>0.08</v>
      </c>
      <c r="AK206" s="19">
        <v>7.9000000000000001E-2</v>
      </c>
      <c r="AL206" s="21">
        <f t="shared" si="52"/>
        <v>0.08</v>
      </c>
      <c r="AM206" s="19">
        <v>8.0980000000000008</v>
      </c>
      <c r="AN206" s="19">
        <v>8.3740000000000006</v>
      </c>
      <c r="AO206" s="21">
        <f t="shared" si="53"/>
        <v>8.2360000000000007</v>
      </c>
      <c r="AP206" s="46">
        <v>0.13589999999999999</v>
      </c>
      <c r="AQ206" s="46">
        <v>0.13420000000000001</v>
      </c>
      <c r="AR206" s="45">
        <f t="shared" si="54"/>
        <v>0.1351</v>
      </c>
      <c r="AS206" s="95">
        <v>8.81</v>
      </c>
      <c r="AT206" s="95">
        <v>4.87</v>
      </c>
    </row>
    <row r="207" spans="1:47">
      <c r="A207" s="7" t="s">
        <v>7</v>
      </c>
      <c r="B207" s="5" t="s">
        <v>54</v>
      </c>
      <c r="C207" s="6" t="s">
        <v>55</v>
      </c>
      <c r="D207" s="6" t="s">
        <v>56</v>
      </c>
      <c r="E207" s="23">
        <v>23.4</v>
      </c>
      <c r="F207" s="23">
        <v>7.1</v>
      </c>
      <c r="G207" s="41">
        <v>223</v>
      </c>
      <c r="H207" s="23">
        <v>8.6999999999999993</v>
      </c>
      <c r="I207" s="23">
        <v>2.2000000000000002</v>
      </c>
      <c r="J207" s="23">
        <v>8.8000000000000007</v>
      </c>
      <c r="K207" s="37">
        <v>6.8</v>
      </c>
      <c r="L207" s="37">
        <v>6.4</v>
      </c>
      <c r="M207" s="37"/>
      <c r="N207" s="20">
        <f t="shared" si="44"/>
        <v>6.6</v>
      </c>
      <c r="O207" s="37">
        <v>5.8</v>
      </c>
      <c r="P207" s="37">
        <v>5.8</v>
      </c>
      <c r="Q207" s="38">
        <f t="shared" si="45"/>
        <v>5.8</v>
      </c>
      <c r="R207" s="17">
        <v>2.3319999999999999</v>
      </c>
      <c r="S207" s="17">
        <v>2.2850000000000001</v>
      </c>
      <c r="T207" s="22">
        <f t="shared" si="46"/>
        <v>2.3090000000000002</v>
      </c>
      <c r="U207" s="17">
        <v>2.1309999999999998</v>
      </c>
      <c r="V207" s="17">
        <v>2.1259999999999999</v>
      </c>
      <c r="W207" s="22">
        <f t="shared" si="47"/>
        <v>2.129</v>
      </c>
      <c r="X207" s="17">
        <v>0.41699999999999998</v>
      </c>
      <c r="Y207" s="17">
        <v>0.42</v>
      </c>
      <c r="Z207" s="21">
        <f t="shared" si="48"/>
        <v>0.41899999999999998</v>
      </c>
      <c r="AA207" s="19">
        <v>1.091</v>
      </c>
      <c r="AB207" s="19">
        <v>1.129</v>
      </c>
      <c r="AC207" s="21">
        <f t="shared" si="49"/>
        <v>1.1100000000000001</v>
      </c>
      <c r="AD207" s="19">
        <v>0.187</v>
      </c>
      <c r="AE207" s="19">
        <v>0.17699999999999999</v>
      </c>
      <c r="AF207" s="21">
        <f t="shared" si="50"/>
        <v>0.182</v>
      </c>
      <c r="AG207" s="19">
        <v>0.111</v>
      </c>
      <c r="AH207" s="19">
        <v>0.109</v>
      </c>
      <c r="AI207" s="21">
        <f t="shared" si="51"/>
        <v>0.11</v>
      </c>
      <c r="AJ207" s="19">
        <v>0.10299999999999999</v>
      </c>
      <c r="AK207" s="19">
        <v>0.105</v>
      </c>
      <c r="AL207" s="21">
        <f t="shared" si="52"/>
        <v>0.104</v>
      </c>
      <c r="AM207" s="19">
        <v>18.312000000000001</v>
      </c>
      <c r="AN207" s="19">
        <v>18.503</v>
      </c>
      <c r="AO207" s="21">
        <f t="shared" si="53"/>
        <v>18.408000000000001</v>
      </c>
      <c r="AP207" s="46">
        <v>0.19839999999999999</v>
      </c>
      <c r="AQ207" s="46">
        <v>0.1963</v>
      </c>
      <c r="AR207" s="45">
        <f t="shared" si="54"/>
        <v>0.19739999999999999</v>
      </c>
      <c r="AS207" s="95">
        <v>10.86</v>
      </c>
      <c r="AT207" s="95">
        <v>1.1000000000000001</v>
      </c>
      <c r="AU207" s="95"/>
    </row>
    <row r="208" spans="1:47">
      <c r="A208" s="7" t="s">
        <v>8</v>
      </c>
      <c r="B208" s="5" t="s">
        <v>54</v>
      </c>
      <c r="C208" s="6" t="s">
        <v>44</v>
      </c>
      <c r="D208" s="6" t="s">
        <v>36</v>
      </c>
      <c r="E208" s="23">
        <v>24</v>
      </c>
      <c r="F208" s="23">
        <v>7.2</v>
      </c>
      <c r="G208" s="41">
        <v>150</v>
      </c>
      <c r="H208" s="23">
        <v>7.5</v>
      </c>
      <c r="I208" s="23">
        <v>1.6</v>
      </c>
      <c r="J208" s="23">
        <v>7.2</v>
      </c>
      <c r="K208" s="37">
        <v>5.0999999999999996</v>
      </c>
      <c r="L208" s="37">
        <v>5</v>
      </c>
      <c r="M208" s="37"/>
      <c r="N208" s="20">
        <f t="shared" si="44"/>
        <v>5.0999999999999996</v>
      </c>
      <c r="O208" s="37">
        <v>4.5</v>
      </c>
      <c r="P208" s="37">
        <v>4.4000000000000004</v>
      </c>
      <c r="Q208" s="38">
        <f t="shared" si="45"/>
        <v>4.5</v>
      </c>
      <c r="R208" s="17">
        <v>2.423</v>
      </c>
      <c r="S208" s="17">
        <v>2.3839999999999999</v>
      </c>
      <c r="T208" s="22">
        <f t="shared" si="46"/>
        <v>2.4039999999999999</v>
      </c>
      <c r="U208" s="17">
        <v>2.19</v>
      </c>
      <c r="V208" s="17">
        <v>2.206</v>
      </c>
      <c r="W208" s="22">
        <f t="shared" si="47"/>
        <v>2.198</v>
      </c>
      <c r="X208" s="17">
        <v>0.192</v>
      </c>
      <c r="Y208" s="17">
        <v>0.2</v>
      </c>
      <c r="Z208" s="21">
        <f t="shared" si="48"/>
        <v>0.19600000000000001</v>
      </c>
      <c r="AA208" s="19">
        <v>1.5309999999999999</v>
      </c>
      <c r="AB208" s="19">
        <v>1.579</v>
      </c>
      <c r="AC208" s="21">
        <f t="shared" si="49"/>
        <v>1.5549999999999999</v>
      </c>
      <c r="AD208" s="19">
        <v>0.24099999999999999</v>
      </c>
      <c r="AE208" s="19">
        <v>0.23100000000000001</v>
      </c>
      <c r="AF208" s="21">
        <f t="shared" si="50"/>
        <v>0.23599999999999999</v>
      </c>
      <c r="AG208" s="19">
        <v>0.14599999999999999</v>
      </c>
      <c r="AH208" s="19">
        <v>0.155</v>
      </c>
      <c r="AI208" s="21">
        <f t="shared" si="51"/>
        <v>0.151</v>
      </c>
      <c r="AJ208" s="19">
        <v>0.14299999999999999</v>
      </c>
      <c r="AK208" s="19">
        <v>0.14699999999999999</v>
      </c>
      <c r="AL208" s="21">
        <f t="shared" si="52"/>
        <v>0.14499999999999999</v>
      </c>
      <c r="AM208" s="19">
        <v>9.3550000000000004</v>
      </c>
      <c r="AN208" s="19">
        <v>9.5429999999999993</v>
      </c>
      <c r="AO208" s="21">
        <f t="shared" si="53"/>
        <v>9.4489999999999998</v>
      </c>
      <c r="AP208" s="46">
        <v>0.16789999999999999</v>
      </c>
      <c r="AQ208" s="46">
        <v>0.16569999999999999</v>
      </c>
      <c r="AR208" s="45">
        <f t="shared" si="54"/>
        <v>0.1668</v>
      </c>
      <c r="AS208" s="95">
        <v>7.56</v>
      </c>
      <c r="AT208" s="95">
        <v>5.75</v>
      </c>
    </row>
    <row r="209" spans="1:47">
      <c r="A209" s="7" t="s">
        <v>9</v>
      </c>
      <c r="B209" s="5" t="s">
        <v>57</v>
      </c>
      <c r="C209" s="6" t="s">
        <v>58</v>
      </c>
      <c r="D209" s="6" t="s">
        <v>59</v>
      </c>
      <c r="E209" s="23">
        <v>24</v>
      </c>
      <c r="F209" s="23">
        <v>7.3</v>
      </c>
      <c r="G209" s="41">
        <v>201</v>
      </c>
      <c r="H209" s="23">
        <v>8.6</v>
      </c>
      <c r="I209" s="23">
        <v>0.7</v>
      </c>
      <c r="J209" s="23">
        <v>1.5</v>
      </c>
      <c r="K209" s="37">
        <v>2.1</v>
      </c>
      <c r="L209" s="37">
        <v>2.2000000000000002</v>
      </c>
      <c r="M209" s="37"/>
      <c r="N209" s="20">
        <f t="shared" si="44"/>
        <v>2.2000000000000002</v>
      </c>
      <c r="O209" s="37">
        <v>1.8</v>
      </c>
      <c r="P209" s="37">
        <v>1.7</v>
      </c>
      <c r="Q209" s="38">
        <f t="shared" si="45"/>
        <v>1.8</v>
      </c>
      <c r="R209" s="17">
        <v>1.2310000000000001</v>
      </c>
      <c r="S209" s="17">
        <v>1.236</v>
      </c>
      <c r="T209" s="22">
        <f t="shared" si="46"/>
        <v>1.234</v>
      </c>
      <c r="U209" s="17">
        <v>1.1339999999999999</v>
      </c>
      <c r="V209" s="17">
        <v>1.1339999999999999</v>
      </c>
      <c r="W209" s="22">
        <f t="shared" si="47"/>
        <v>1.1339999999999999</v>
      </c>
      <c r="X209" s="17">
        <v>6.7000000000000004E-2</v>
      </c>
      <c r="Y209" s="17">
        <v>7.9000000000000001E-2</v>
      </c>
      <c r="Z209" s="21">
        <f t="shared" si="48"/>
        <v>7.2999999999999995E-2</v>
      </c>
      <c r="AA209" s="19">
        <v>0.90500000000000003</v>
      </c>
      <c r="AB209" s="19">
        <v>0.93700000000000006</v>
      </c>
      <c r="AC209" s="21">
        <f t="shared" si="49"/>
        <v>0.92100000000000004</v>
      </c>
      <c r="AD209" s="19">
        <v>4.2999999999999997E-2</v>
      </c>
      <c r="AE209" s="19">
        <v>4.1000000000000002E-2</v>
      </c>
      <c r="AF209" s="21">
        <f t="shared" si="50"/>
        <v>4.2000000000000003E-2</v>
      </c>
      <c r="AG209" s="19">
        <v>2.4E-2</v>
      </c>
      <c r="AH209" s="19">
        <v>0.02</v>
      </c>
      <c r="AI209" s="21">
        <f t="shared" si="51"/>
        <v>2.1999999999999999E-2</v>
      </c>
      <c r="AJ209" s="19">
        <v>1.4999999999999999E-2</v>
      </c>
      <c r="AK209" s="19">
        <v>1.4E-2</v>
      </c>
      <c r="AL209" s="21">
        <f t="shared" si="52"/>
        <v>1.4999999999999999E-2</v>
      </c>
      <c r="AM209" s="19">
        <v>7.1879999999999997</v>
      </c>
      <c r="AN209" s="19">
        <v>7.391</v>
      </c>
      <c r="AO209" s="21">
        <f t="shared" si="53"/>
        <v>7.29</v>
      </c>
      <c r="AP209" s="46">
        <v>7.5800000000000006E-2</v>
      </c>
      <c r="AQ209" s="46">
        <v>7.3800000000000004E-2</v>
      </c>
      <c r="AR209" s="45">
        <f t="shared" si="54"/>
        <v>7.4800000000000005E-2</v>
      </c>
      <c r="AS209" s="95">
        <v>8.7799999999999994</v>
      </c>
      <c r="AT209" s="95">
        <v>2.46</v>
      </c>
      <c r="AU209" s="95"/>
    </row>
    <row r="210" spans="1:47">
      <c r="A210" s="7" t="s">
        <v>10</v>
      </c>
      <c r="B210" s="5" t="s">
        <v>60</v>
      </c>
      <c r="C210" s="6" t="s">
        <v>61</v>
      </c>
      <c r="D210" s="6" t="s">
        <v>36</v>
      </c>
      <c r="E210" s="23">
        <v>24.3</v>
      </c>
      <c r="F210" s="23">
        <v>7.3</v>
      </c>
      <c r="G210" s="41">
        <v>149</v>
      </c>
      <c r="H210" s="23">
        <v>8.8000000000000007</v>
      </c>
      <c r="I210" s="23">
        <v>1</v>
      </c>
      <c r="J210" s="23">
        <v>6.4</v>
      </c>
      <c r="K210" s="37">
        <v>4.5999999999999996</v>
      </c>
      <c r="L210" s="37">
        <v>4.5</v>
      </c>
      <c r="M210" s="37"/>
      <c r="N210" s="20">
        <f t="shared" si="44"/>
        <v>4.5999999999999996</v>
      </c>
      <c r="O210" s="37">
        <v>4.2</v>
      </c>
      <c r="P210" s="37">
        <v>4.2</v>
      </c>
      <c r="Q210" s="38">
        <f t="shared" si="45"/>
        <v>4.2</v>
      </c>
      <c r="R210" s="17">
        <v>2.0030000000000001</v>
      </c>
      <c r="S210" s="17">
        <v>2.012</v>
      </c>
      <c r="T210" s="22">
        <f t="shared" si="46"/>
        <v>2.008</v>
      </c>
      <c r="U210" s="17">
        <v>1.881</v>
      </c>
      <c r="V210" s="17">
        <v>1.8839999999999999</v>
      </c>
      <c r="W210" s="22">
        <f t="shared" si="47"/>
        <v>1.883</v>
      </c>
      <c r="X210" s="17">
        <v>8.5000000000000006E-2</v>
      </c>
      <c r="Y210" s="17">
        <v>9.0999999999999998E-2</v>
      </c>
      <c r="Z210" s="21">
        <f t="shared" si="48"/>
        <v>8.7999999999999995E-2</v>
      </c>
      <c r="AA210" s="19">
        <v>1.381</v>
      </c>
      <c r="AB210" s="19">
        <v>1.427</v>
      </c>
      <c r="AC210" s="21">
        <f t="shared" si="49"/>
        <v>1.4039999999999999</v>
      </c>
      <c r="AD210" s="19">
        <v>0.16900000000000001</v>
      </c>
      <c r="AE210" s="19">
        <v>0.16600000000000001</v>
      </c>
      <c r="AF210" s="21">
        <f t="shared" si="50"/>
        <v>0.16800000000000001</v>
      </c>
      <c r="AG210" s="19">
        <v>0.13</v>
      </c>
      <c r="AH210" s="19">
        <v>0.13200000000000001</v>
      </c>
      <c r="AI210" s="21">
        <f t="shared" si="51"/>
        <v>0.13100000000000001</v>
      </c>
      <c r="AJ210" s="19">
        <v>0.127</v>
      </c>
      <c r="AK210" s="19">
        <v>0.128</v>
      </c>
      <c r="AL210" s="21">
        <f t="shared" si="52"/>
        <v>0.128</v>
      </c>
      <c r="AM210" s="19">
        <v>9.0909999999999993</v>
      </c>
      <c r="AN210" s="19">
        <v>9.2940000000000005</v>
      </c>
      <c r="AO210" s="21">
        <f t="shared" si="53"/>
        <v>9.1929999999999996</v>
      </c>
      <c r="AP210" s="46">
        <v>0.15440000000000001</v>
      </c>
      <c r="AQ210" s="46">
        <v>0.1525</v>
      </c>
      <c r="AR210" s="45">
        <f t="shared" si="54"/>
        <v>0.1535</v>
      </c>
      <c r="AS210" s="95">
        <v>9.6300000000000008</v>
      </c>
      <c r="AT210" s="95">
        <v>3.12</v>
      </c>
    </row>
    <row r="211" spans="1:47">
      <c r="A211" s="7" t="s">
        <v>11</v>
      </c>
      <c r="B211" s="5" t="s">
        <v>108</v>
      </c>
      <c r="C211" s="6" t="s">
        <v>62</v>
      </c>
      <c r="D211" s="6" t="s">
        <v>63</v>
      </c>
      <c r="E211" s="23">
        <v>24.2</v>
      </c>
      <c r="F211" s="23">
        <v>7.2</v>
      </c>
      <c r="G211" s="41">
        <v>263</v>
      </c>
      <c r="H211" s="23">
        <v>6.9</v>
      </c>
      <c r="I211" s="23">
        <v>4.9000000000000004</v>
      </c>
      <c r="J211" s="23">
        <v>18.399999999999999</v>
      </c>
      <c r="K211" s="37">
        <v>12.5</v>
      </c>
      <c r="L211" s="37">
        <v>12</v>
      </c>
      <c r="M211" s="37"/>
      <c r="N211" s="20">
        <f t="shared" si="44"/>
        <v>12.3</v>
      </c>
      <c r="O211" s="37">
        <v>11.2</v>
      </c>
      <c r="P211" s="37">
        <v>11.1</v>
      </c>
      <c r="Q211" s="38">
        <f t="shared" si="45"/>
        <v>11.2</v>
      </c>
      <c r="R211" s="17">
        <v>3.2949999999999999</v>
      </c>
      <c r="S211" s="17">
        <v>3.23</v>
      </c>
      <c r="T211" s="22">
        <f t="shared" si="46"/>
        <v>3.2629999999999999</v>
      </c>
      <c r="U211" s="17">
        <v>2.87</v>
      </c>
      <c r="V211" s="17">
        <v>2.859</v>
      </c>
      <c r="W211" s="22">
        <f t="shared" si="47"/>
        <v>2.8650000000000002</v>
      </c>
      <c r="X211" s="17">
        <v>1.343</v>
      </c>
      <c r="Y211" s="17">
        <v>1.341</v>
      </c>
      <c r="Z211" s="21">
        <f t="shared" si="48"/>
        <v>1.3420000000000001</v>
      </c>
      <c r="AA211" s="19">
        <v>0.48399999999999999</v>
      </c>
      <c r="AB211" s="19">
        <v>0.497</v>
      </c>
      <c r="AC211" s="21">
        <f t="shared" si="49"/>
        <v>0.49099999999999999</v>
      </c>
      <c r="AD211" s="19">
        <v>0.90800000000000003</v>
      </c>
      <c r="AE211" s="19">
        <v>0.88200000000000001</v>
      </c>
      <c r="AF211" s="21">
        <f t="shared" si="50"/>
        <v>0.89500000000000002</v>
      </c>
      <c r="AG211" s="19">
        <v>0.60199999999999998</v>
      </c>
      <c r="AH211" s="19">
        <v>0.59299999999999997</v>
      </c>
      <c r="AI211" s="21">
        <f t="shared" si="51"/>
        <v>0.59799999999999998</v>
      </c>
      <c r="AJ211" s="19">
        <v>0.59499999999999997</v>
      </c>
      <c r="AK211" s="19">
        <v>0.59099999999999997</v>
      </c>
      <c r="AL211" s="21">
        <f t="shared" si="52"/>
        <v>0.59299999999999997</v>
      </c>
      <c r="AM211" s="19">
        <v>16.779</v>
      </c>
      <c r="AN211" s="19">
        <v>16.896000000000001</v>
      </c>
      <c r="AO211" s="21">
        <f t="shared" si="53"/>
        <v>16.838000000000001</v>
      </c>
      <c r="AP211" s="46">
        <v>0.45529999999999998</v>
      </c>
      <c r="AQ211" s="46">
        <v>0.45700000000000002</v>
      </c>
      <c r="AR211" s="45">
        <f t="shared" si="54"/>
        <v>0.45619999999999999</v>
      </c>
      <c r="AS211" s="95">
        <v>5.39</v>
      </c>
      <c r="AT211" s="95">
        <v>-2.71</v>
      </c>
      <c r="AU211" s="95"/>
    </row>
    <row r="212" spans="1:47">
      <c r="A212" s="7" t="s">
        <v>12</v>
      </c>
      <c r="B212" s="5" t="s">
        <v>64</v>
      </c>
      <c r="C212" s="6" t="s">
        <v>65</v>
      </c>
      <c r="D212" s="6" t="s">
        <v>36</v>
      </c>
      <c r="E212" s="23">
        <v>24.2</v>
      </c>
      <c r="F212" s="23">
        <v>7</v>
      </c>
      <c r="G212" s="41">
        <v>164</v>
      </c>
      <c r="H212" s="23">
        <v>6.4</v>
      </c>
      <c r="I212" s="23">
        <v>1.4</v>
      </c>
      <c r="J212" s="23">
        <v>8.4</v>
      </c>
      <c r="K212" s="37">
        <v>6.1</v>
      </c>
      <c r="L212" s="37">
        <v>6.1</v>
      </c>
      <c r="M212" s="37"/>
      <c r="N212" s="20">
        <f t="shared" si="44"/>
        <v>6.1</v>
      </c>
      <c r="O212" s="37">
        <v>5.6</v>
      </c>
      <c r="P212" s="37">
        <v>5.3</v>
      </c>
      <c r="Q212" s="38">
        <f t="shared" si="45"/>
        <v>5.5</v>
      </c>
      <c r="R212" s="17">
        <v>1.9910000000000001</v>
      </c>
      <c r="S212" s="17">
        <v>2.0059999999999998</v>
      </c>
      <c r="T212" s="22">
        <f t="shared" si="46"/>
        <v>1.9990000000000001</v>
      </c>
      <c r="U212" s="17">
        <v>1.8</v>
      </c>
      <c r="V212" s="17">
        <v>1.782</v>
      </c>
      <c r="W212" s="22">
        <f t="shared" si="47"/>
        <v>1.7909999999999999</v>
      </c>
      <c r="X212" s="17">
        <v>0.20499999999999999</v>
      </c>
      <c r="Y212" s="17">
        <v>0.20300000000000001</v>
      </c>
      <c r="Z212" s="21">
        <f t="shared" si="48"/>
        <v>0.20399999999999999</v>
      </c>
      <c r="AA212" s="19">
        <v>1.0660000000000001</v>
      </c>
      <c r="AB212" s="19">
        <v>1.109</v>
      </c>
      <c r="AC212" s="21">
        <f t="shared" si="49"/>
        <v>1.0880000000000001</v>
      </c>
      <c r="AD212" s="19">
        <v>0.24199999999999999</v>
      </c>
      <c r="AE212" s="19">
        <v>0.247</v>
      </c>
      <c r="AF212" s="21">
        <f t="shared" si="50"/>
        <v>0.245</v>
      </c>
      <c r="AG212" s="19">
        <v>0.16700000000000001</v>
      </c>
      <c r="AH212" s="19">
        <v>0.16600000000000001</v>
      </c>
      <c r="AI212" s="21">
        <f t="shared" si="51"/>
        <v>0.16700000000000001</v>
      </c>
      <c r="AJ212" s="19">
        <v>0.16400000000000001</v>
      </c>
      <c r="AK212" s="19">
        <v>0.16400000000000001</v>
      </c>
      <c r="AL212" s="21">
        <f t="shared" si="52"/>
        <v>0.16400000000000001</v>
      </c>
      <c r="AM212" s="19">
        <v>10.441000000000001</v>
      </c>
      <c r="AN212" s="19">
        <v>10.757999999999999</v>
      </c>
      <c r="AO212" s="21">
        <f t="shared" si="53"/>
        <v>10.6</v>
      </c>
      <c r="AP212" s="46">
        <v>0.19040000000000001</v>
      </c>
      <c r="AQ212" s="46">
        <v>0.19270000000000001</v>
      </c>
      <c r="AR212" s="45">
        <f t="shared" si="54"/>
        <v>0.19159999999999999</v>
      </c>
      <c r="AS212" s="3">
        <v>9.68</v>
      </c>
      <c r="AT212" s="95">
        <v>3.41</v>
      </c>
    </row>
    <row r="213" spans="1:47">
      <c r="A213" s="7" t="s">
        <v>13</v>
      </c>
      <c r="B213" s="5" t="s">
        <v>66</v>
      </c>
      <c r="C213" s="6" t="s">
        <v>44</v>
      </c>
      <c r="D213" s="6" t="s">
        <v>67</v>
      </c>
      <c r="E213" s="23">
        <v>23.5</v>
      </c>
      <c r="F213" s="23">
        <v>7.1</v>
      </c>
      <c r="G213" s="41">
        <v>213</v>
      </c>
      <c r="H213" s="23">
        <v>6.7</v>
      </c>
      <c r="I213" s="23">
        <v>4.9000000000000004</v>
      </c>
      <c r="J213" s="23">
        <v>13.2</v>
      </c>
      <c r="K213" s="37">
        <v>9.1</v>
      </c>
      <c r="L213" s="37">
        <v>9.3000000000000007</v>
      </c>
      <c r="M213" s="37"/>
      <c r="N213" s="20">
        <f t="shared" si="44"/>
        <v>9.1999999999999993</v>
      </c>
      <c r="O213" s="37">
        <v>8</v>
      </c>
      <c r="P213" s="37">
        <v>7.9</v>
      </c>
      <c r="Q213" s="38">
        <f t="shared" si="45"/>
        <v>8</v>
      </c>
      <c r="R213" s="17">
        <v>2.786</v>
      </c>
      <c r="S213" s="17">
        <v>2.782</v>
      </c>
      <c r="T213" s="22">
        <f t="shared" si="46"/>
        <v>2.7839999999999998</v>
      </c>
      <c r="U213" s="17">
        <v>2.4769999999999999</v>
      </c>
      <c r="V213" s="17">
        <v>2.48</v>
      </c>
      <c r="W213" s="22">
        <f t="shared" si="47"/>
        <v>2.4790000000000001</v>
      </c>
      <c r="X213" s="17">
        <v>0.8</v>
      </c>
      <c r="Y213" s="17">
        <v>0.79300000000000004</v>
      </c>
      <c r="Z213" s="21">
        <f t="shared" si="48"/>
        <v>0.79700000000000004</v>
      </c>
      <c r="AA213" s="19">
        <v>0.74399999999999999</v>
      </c>
      <c r="AB213" s="19">
        <v>0.77700000000000002</v>
      </c>
      <c r="AC213" s="21">
        <f t="shared" si="49"/>
        <v>0.76100000000000001</v>
      </c>
      <c r="AD213" s="19">
        <v>0.22900000000000001</v>
      </c>
      <c r="AE213" s="19">
        <v>0.22800000000000001</v>
      </c>
      <c r="AF213" s="21">
        <f t="shared" si="50"/>
        <v>0.22900000000000001</v>
      </c>
      <c r="AG213" s="19">
        <v>0.13500000000000001</v>
      </c>
      <c r="AH213" s="19">
        <v>0.127</v>
      </c>
      <c r="AI213" s="21">
        <f t="shared" si="51"/>
        <v>0.13100000000000001</v>
      </c>
      <c r="AJ213" s="19">
        <v>0.11600000000000001</v>
      </c>
      <c r="AK213" s="19">
        <v>0.112</v>
      </c>
      <c r="AL213" s="21">
        <f t="shared" si="52"/>
        <v>0.114</v>
      </c>
      <c r="AM213" s="19">
        <v>12.041</v>
      </c>
      <c r="AN213" s="19">
        <v>12.284000000000001</v>
      </c>
      <c r="AO213" s="21">
        <f t="shared" si="53"/>
        <v>12.163</v>
      </c>
      <c r="AP213" s="46">
        <v>0.30170000000000002</v>
      </c>
      <c r="AQ213" s="46">
        <v>0.3029</v>
      </c>
      <c r="AR213" s="45">
        <f t="shared" si="54"/>
        <v>0.30230000000000001</v>
      </c>
      <c r="AS213" s="3">
        <v>4.4800000000000004</v>
      </c>
      <c r="AT213" s="95">
        <v>-3.74</v>
      </c>
      <c r="AU213" s="95"/>
    </row>
    <row r="214" spans="1:47">
      <c r="A214" s="7" t="s">
        <v>14</v>
      </c>
      <c r="B214" s="5" t="s">
        <v>64</v>
      </c>
      <c r="C214" s="6" t="s">
        <v>68</v>
      </c>
      <c r="D214" s="6" t="s">
        <v>36</v>
      </c>
      <c r="E214" s="23">
        <v>23.9</v>
      </c>
      <c r="F214" s="23">
        <v>7.1</v>
      </c>
      <c r="G214" s="41">
        <v>173</v>
      </c>
      <c r="H214" s="23">
        <v>6</v>
      </c>
      <c r="I214" s="23">
        <v>2</v>
      </c>
      <c r="J214" s="23">
        <v>9</v>
      </c>
      <c r="K214" s="37">
        <v>6.7</v>
      </c>
      <c r="L214" s="37">
        <v>6.6</v>
      </c>
      <c r="M214" s="37"/>
      <c r="N214" s="20">
        <f t="shared" si="44"/>
        <v>6.7</v>
      </c>
      <c r="O214" s="37">
        <v>5.9</v>
      </c>
      <c r="P214" s="37">
        <v>5.8</v>
      </c>
      <c r="Q214" s="38">
        <f t="shared" si="45"/>
        <v>5.9</v>
      </c>
      <c r="R214" s="17">
        <v>2.246</v>
      </c>
      <c r="S214" s="17">
        <v>2.2309999999999999</v>
      </c>
      <c r="T214" s="22">
        <f t="shared" si="46"/>
        <v>2.2389999999999999</v>
      </c>
      <c r="U214" s="17">
        <v>1.9950000000000001</v>
      </c>
      <c r="V214" s="17">
        <v>1.988</v>
      </c>
      <c r="W214" s="22">
        <f t="shared" si="47"/>
        <v>1.992</v>
      </c>
      <c r="X214" s="17">
        <v>0.29499999999999998</v>
      </c>
      <c r="Y214" s="17">
        <v>0.29399999999999998</v>
      </c>
      <c r="Z214" s="21">
        <f t="shared" si="48"/>
        <v>0.29499999999999998</v>
      </c>
      <c r="AA214" s="19">
        <v>1.111</v>
      </c>
      <c r="AB214" s="19">
        <v>1.1439999999999999</v>
      </c>
      <c r="AC214" s="21">
        <f t="shared" si="49"/>
        <v>1.1279999999999999</v>
      </c>
      <c r="AD214" s="19">
        <v>0.245</v>
      </c>
      <c r="AE214" s="19">
        <v>0.24</v>
      </c>
      <c r="AF214" s="21">
        <f t="shared" si="50"/>
        <v>0.24299999999999999</v>
      </c>
      <c r="AG214" s="19">
        <v>0.159</v>
      </c>
      <c r="AH214" s="19">
        <v>0.16300000000000001</v>
      </c>
      <c r="AI214" s="21">
        <f t="shared" si="51"/>
        <v>0.161</v>
      </c>
      <c r="AJ214" s="19">
        <v>0.158</v>
      </c>
      <c r="AK214" s="19">
        <v>0.16</v>
      </c>
      <c r="AL214" s="21">
        <f t="shared" si="52"/>
        <v>0.159</v>
      </c>
      <c r="AM214" s="19">
        <v>11.182</v>
      </c>
      <c r="AN214" s="19">
        <v>11.457000000000001</v>
      </c>
      <c r="AO214" s="21">
        <f t="shared" si="53"/>
        <v>11.32</v>
      </c>
      <c r="AP214" s="46">
        <v>0.20269999999999999</v>
      </c>
      <c r="AQ214" s="46">
        <v>0.20449999999999999</v>
      </c>
      <c r="AR214" s="45">
        <f t="shared" si="54"/>
        <v>0.2036</v>
      </c>
      <c r="AS214" s="3">
        <v>9.07</v>
      </c>
      <c r="AT214" s="95">
        <v>1.86</v>
      </c>
    </row>
    <row r="215" spans="1:47">
      <c r="A215" s="7" t="s">
        <v>15</v>
      </c>
      <c r="B215" s="5" t="s">
        <v>69</v>
      </c>
      <c r="C215" s="6" t="s">
        <v>70</v>
      </c>
      <c r="D215" s="6" t="s">
        <v>71</v>
      </c>
      <c r="E215" s="23">
        <v>20.6</v>
      </c>
      <c r="F215" s="23">
        <v>7.2</v>
      </c>
      <c r="G215" s="41">
        <v>228</v>
      </c>
      <c r="H215" s="23">
        <v>7.5</v>
      </c>
      <c r="I215" s="23">
        <v>0.3</v>
      </c>
      <c r="J215" s="23">
        <v>2.9</v>
      </c>
      <c r="K215" s="37">
        <v>2</v>
      </c>
      <c r="L215" s="37">
        <v>2</v>
      </c>
      <c r="M215" s="37"/>
      <c r="N215" s="20">
        <f t="shared" si="44"/>
        <v>2</v>
      </c>
      <c r="O215" s="37">
        <v>1.8</v>
      </c>
      <c r="P215" s="37">
        <v>1.7</v>
      </c>
      <c r="Q215" s="38">
        <f t="shared" si="45"/>
        <v>1.8</v>
      </c>
      <c r="R215" s="17">
        <v>0.745</v>
      </c>
      <c r="S215" s="17">
        <v>0.76200000000000001</v>
      </c>
      <c r="T215" s="22">
        <f t="shared" si="46"/>
        <v>0.754</v>
      </c>
      <c r="U215" s="17">
        <v>0.68899999999999995</v>
      </c>
      <c r="V215" s="17">
        <v>0.67800000000000005</v>
      </c>
      <c r="W215" s="22">
        <f t="shared" si="47"/>
        <v>0.68400000000000005</v>
      </c>
      <c r="X215" s="17">
        <v>0.02</v>
      </c>
      <c r="Y215" s="17">
        <v>0.02</v>
      </c>
      <c r="Z215" s="21">
        <f t="shared" si="48"/>
        <v>0.02</v>
      </c>
      <c r="AA215" s="19">
        <v>0.55300000000000005</v>
      </c>
      <c r="AB215" s="19">
        <v>0.57999999999999996</v>
      </c>
      <c r="AC215" s="21">
        <f t="shared" si="49"/>
        <v>0.56699999999999995</v>
      </c>
      <c r="AD215" s="19">
        <v>0.02</v>
      </c>
      <c r="AE215" s="19">
        <v>0.02</v>
      </c>
      <c r="AF215" s="21">
        <f t="shared" si="50"/>
        <v>0.02</v>
      </c>
      <c r="AG215" s="19">
        <v>1.0999999999999999E-2</v>
      </c>
      <c r="AH215" s="19">
        <v>8.0000000000000002E-3</v>
      </c>
      <c r="AI215" s="21">
        <f t="shared" si="51"/>
        <v>0.01</v>
      </c>
      <c r="AJ215" s="19">
        <v>5.0000000000000001E-3</v>
      </c>
      <c r="AK215" s="19">
        <v>4.0000000000000001E-3</v>
      </c>
      <c r="AL215" s="21">
        <f t="shared" si="52"/>
        <v>5.0000000000000001E-3</v>
      </c>
      <c r="AM215" s="19">
        <v>7.0279999999999996</v>
      </c>
      <c r="AN215" s="19">
        <v>7.2530000000000001</v>
      </c>
      <c r="AO215" s="21">
        <f t="shared" si="53"/>
        <v>7.141</v>
      </c>
      <c r="AP215" s="46">
        <v>5.8000000000000003E-2</v>
      </c>
      <c r="AQ215" s="46">
        <v>6.0499999999999998E-2</v>
      </c>
      <c r="AR215" s="45">
        <f t="shared" si="54"/>
        <v>5.9299999999999999E-2</v>
      </c>
      <c r="AS215" s="3">
        <v>8.57</v>
      </c>
      <c r="AT215" s="95">
        <v>2.31</v>
      </c>
      <c r="AU215" s="95"/>
    </row>
    <row r="216" spans="1:47">
      <c r="A216" s="7" t="s">
        <v>16</v>
      </c>
      <c r="B216" s="5" t="s">
        <v>72</v>
      </c>
      <c r="C216" s="6" t="s">
        <v>73</v>
      </c>
      <c r="D216" s="6" t="s">
        <v>36</v>
      </c>
      <c r="E216" s="23">
        <v>24.1</v>
      </c>
      <c r="F216" s="23">
        <v>7.2</v>
      </c>
      <c r="G216" s="41">
        <v>180</v>
      </c>
      <c r="H216" s="23">
        <v>8.4</v>
      </c>
      <c r="I216" s="23">
        <v>1.5</v>
      </c>
      <c r="J216" s="23">
        <v>7.8</v>
      </c>
      <c r="K216" s="37">
        <v>5.7</v>
      </c>
      <c r="L216" s="37">
        <v>5.6</v>
      </c>
      <c r="M216" s="37"/>
      <c r="N216" s="20">
        <f t="shared" si="44"/>
        <v>5.7</v>
      </c>
      <c r="O216" s="37">
        <v>5</v>
      </c>
      <c r="P216" s="37">
        <v>4.8</v>
      </c>
      <c r="Q216" s="38">
        <f t="shared" si="45"/>
        <v>4.9000000000000004</v>
      </c>
      <c r="R216" s="17">
        <v>1.7030000000000001</v>
      </c>
      <c r="S216" s="17">
        <v>1.696</v>
      </c>
      <c r="T216" s="22">
        <f t="shared" si="46"/>
        <v>1.7</v>
      </c>
      <c r="U216" s="17">
        <v>1.498</v>
      </c>
      <c r="V216" s="17">
        <v>1.5049999999999999</v>
      </c>
      <c r="W216" s="22">
        <f t="shared" si="47"/>
        <v>1.502</v>
      </c>
      <c r="X216" s="17">
        <v>0.189</v>
      </c>
      <c r="Y216" s="17">
        <v>0.184</v>
      </c>
      <c r="Z216" s="21">
        <f t="shared" si="48"/>
        <v>0.187</v>
      </c>
      <c r="AA216" s="19">
        <v>0.86</v>
      </c>
      <c r="AB216" s="19">
        <v>0.88800000000000001</v>
      </c>
      <c r="AC216" s="21">
        <f t="shared" si="49"/>
        <v>0.874</v>
      </c>
      <c r="AD216" s="19">
        <v>0.14899999999999999</v>
      </c>
      <c r="AE216" s="19">
        <v>0.14699999999999999</v>
      </c>
      <c r="AF216" s="21">
        <f t="shared" si="50"/>
        <v>0.14799999999999999</v>
      </c>
      <c r="AG216" s="19">
        <v>8.2000000000000003E-2</v>
      </c>
      <c r="AH216" s="19">
        <v>8.4000000000000005E-2</v>
      </c>
      <c r="AI216" s="21">
        <f t="shared" si="51"/>
        <v>8.3000000000000004E-2</v>
      </c>
      <c r="AJ216" s="19">
        <v>7.8E-2</v>
      </c>
      <c r="AK216" s="19">
        <v>7.9000000000000001E-2</v>
      </c>
      <c r="AL216" s="21">
        <f t="shared" si="52"/>
        <v>7.9000000000000001E-2</v>
      </c>
      <c r="AM216" s="19">
        <v>10.904</v>
      </c>
      <c r="AN216" s="19">
        <v>11.148</v>
      </c>
      <c r="AO216" s="21">
        <f t="shared" si="53"/>
        <v>11.026</v>
      </c>
      <c r="AP216" s="46">
        <v>0.15920000000000001</v>
      </c>
      <c r="AQ216" s="46">
        <v>0.16070000000000001</v>
      </c>
      <c r="AR216" s="45">
        <f t="shared" si="54"/>
        <v>0.16</v>
      </c>
      <c r="AS216" s="3">
        <v>8.5</v>
      </c>
      <c r="AT216" s="95">
        <v>4.3099999999999996</v>
      </c>
    </row>
    <row r="217" spans="1:47">
      <c r="A217" s="7" t="s">
        <v>17</v>
      </c>
      <c r="B217" s="5" t="s">
        <v>74</v>
      </c>
      <c r="C217" s="6" t="s">
        <v>75</v>
      </c>
      <c r="D217" s="6" t="s">
        <v>76</v>
      </c>
      <c r="E217" s="23">
        <v>24.9</v>
      </c>
      <c r="F217" s="23">
        <v>7.3</v>
      </c>
      <c r="G217" s="41">
        <v>281</v>
      </c>
      <c r="H217" s="23">
        <v>7.6</v>
      </c>
      <c r="I217" s="23">
        <v>1.6</v>
      </c>
      <c r="J217" s="23">
        <v>7.4</v>
      </c>
      <c r="K217" s="37">
        <v>5.7</v>
      </c>
      <c r="L217" s="37">
        <v>5.4</v>
      </c>
      <c r="M217" s="37"/>
      <c r="N217" s="20">
        <f t="shared" si="44"/>
        <v>5.6</v>
      </c>
      <c r="O217" s="37">
        <v>4.9000000000000004</v>
      </c>
      <c r="P217" s="37">
        <v>4.8</v>
      </c>
      <c r="Q217" s="38">
        <f t="shared" si="45"/>
        <v>4.9000000000000004</v>
      </c>
      <c r="R217" s="17">
        <v>1.758</v>
      </c>
      <c r="S217" s="17">
        <v>1.7629999999999999</v>
      </c>
      <c r="T217" s="22">
        <f t="shared" si="46"/>
        <v>1.7609999999999999</v>
      </c>
      <c r="U217" s="17">
        <v>1.571</v>
      </c>
      <c r="V217" s="17">
        <v>1.5669999999999999</v>
      </c>
      <c r="W217" s="22">
        <f t="shared" si="47"/>
        <v>1.569</v>
      </c>
      <c r="X217" s="17">
        <v>0.27300000000000002</v>
      </c>
      <c r="Y217" s="17">
        <v>0.27300000000000002</v>
      </c>
      <c r="Z217" s="21">
        <f t="shared" si="48"/>
        <v>0.27300000000000002</v>
      </c>
      <c r="AA217" s="19">
        <v>0.83799999999999997</v>
      </c>
      <c r="AB217" s="19">
        <v>0.877</v>
      </c>
      <c r="AC217" s="21">
        <f t="shared" si="49"/>
        <v>0.85799999999999998</v>
      </c>
      <c r="AD217" s="19">
        <v>0.114</v>
      </c>
      <c r="AE217" s="19">
        <v>0.111</v>
      </c>
      <c r="AF217" s="21">
        <f t="shared" si="50"/>
        <v>0.113</v>
      </c>
      <c r="AG217" s="19">
        <v>0.06</v>
      </c>
      <c r="AH217" s="19">
        <v>5.8999999999999997E-2</v>
      </c>
      <c r="AI217" s="21">
        <f t="shared" si="51"/>
        <v>0.06</v>
      </c>
      <c r="AJ217" s="19">
        <v>5.0999999999999997E-2</v>
      </c>
      <c r="AK217" s="19">
        <v>5.0999999999999997E-2</v>
      </c>
      <c r="AL217" s="21">
        <f t="shared" si="52"/>
        <v>5.0999999999999997E-2</v>
      </c>
      <c r="AM217" s="19">
        <v>15.225</v>
      </c>
      <c r="AN217" s="19">
        <v>15.733000000000001</v>
      </c>
      <c r="AO217" s="21">
        <f t="shared" si="53"/>
        <v>15.478999999999999</v>
      </c>
      <c r="AP217" s="46">
        <v>0.15409999999999999</v>
      </c>
      <c r="AQ217" s="46">
        <v>0.15609999999999999</v>
      </c>
      <c r="AR217" s="45">
        <f t="shared" si="54"/>
        <v>0.15509999999999999</v>
      </c>
      <c r="AS217" s="3">
        <v>7.82</v>
      </c>
      <c r="AT217" s="95">
        <v>2.5</v>
      </c>
      <c r="AU217" s="95"/>
    </row>
    <row r="218" spans="1:47">
      <c r="A218" s="7" t="s">
        <v>18</v>
      </c>
      <c r="B218" s="5" t="s">
        <v>109</v>
      </c>
      <c r="C218" s="6" t="s">
        <v>77</v>
      </c>
      <c r="D218" s="6" t="s">
        <v>36</v>
      </c>
      <c r="E218" s="23">
        <v>24.7</v>
      </c>
      <c r="F218" s="23">
        <v>7.2</v>
      </c>
      <c r="G218" s="41">
        <v>264</v>
      </c>
      <c r="H218" s="23">
        <v>6.9</v>
      </c>
      <c r="I218" s="23">
        <v>2.4</v>
      </c>
      <c r="J218" s="23">
        <v>7.9</v>
      </c>
      <c r="K218" s="37">
        <v>6.1</v>
      </c>
      <c r="L218" s="37">
        <v>5.7</v>
      </c>
      <c r="M218" s="37"/>
      <c r="N218" s="20">
        <f t="shared" si="44"/>
        <v>5.9</v>
      </c>
      <c r="O218" s="37">
        <v>4.9000000000000004</v>
      </c>
      <c r="P218" s="37">
        <v>5</v>
      </c>
      <c r="Q218" s="38">
        <f t="shared" si="45"/>
        <v>5</v>
      </c>
      <c r="R218" s="17">
        <v>3.2130000000000001</v>
      </c>
      <c r="S218" s="17">
        <v>3.2109999999999999</v>
      </c>
      <c r="T218" s="22">
        <f t="shared" si="46"/>
        <v>3.2120000000000002</v>
      </c>
      <c r="U218" s="17">
        <v>2.95</v>
      </c>
      <c r="V218" s="17">
        <v>2.9630000000000001</v>
      </c>
      <c r="W218" s="22">
        <f t="shared" si="47"/>
        <v>2.9569999999999999</v>
      </c>
      <c r="X218" s="17">
        <v>0.56200000000000006</v>
      </c>
      <c r="Y218" s="17">
        <v>0.57499999999999996</v>
      </c>
      <c r="Z218" s="21">
        <f t="shared" si="48"/>
        <v>0.56899999999999995</v>
      </c>
      <c r="AA218" s="19">
        <v>1.9730000000000001</v>
      </c>
      <c r="AB218" s="19">
        <v>1.98</v>
      </c>
      <c r="AC218" s="21">
        <f t="shared" si="49"/>
        <v>1.9770000000000001</v>
      </c>
      <c r="AD218" s="19">
        <v>0.188</v>
      </c>
      <c r="AE218" s="19">
        <v>0.17899999999999999</v>
      </c>
      <c r="AF218" s="21">
        <f t="shared" si="50"/>
        <v>0.184</v>
      </c>
      <c r="AG218" s="19">
        <v>9.7000000000000003E-2</v>
      </c>
      <c r="AH218" s="19">
        <v>0.10100000000000001</v>
      </c>
      <c r="AI218" s="21">
        <f t="shared" si="51"/>
        <v>9.9000000000000005E-2</v>
      </c>
      <c r="AJ218" s="19">
        <v>9.0999999999999998E-2</v>
      </c>
      <c r="AK218" s="19">
        <v>9.6000000000000002E-2</v>
      </c>
      <c r="AL218" s="21">
        <f t="shared" si="52"/>
        <v>9.4E-2</v>
      </c>
      <c r="AM218" s="19">
        <v>19.629000000000001</v>
      </c>
      <c r="AN218" s="19">
        <v>19.635999999999999</v>
      </c>
      <c r="AO218" s="21">
        <f t="shared" si="53"/>
        <v>19.632999999999999</v>
      </c>
      <c r="AP218" s="46">
        <v>0.15260000000000001</v>
      </c>
      <c r="AQ218" s="46">
        <v>0.15440000000000001</v>
      </c>
      <c r="AR218" s="45">
        <f t="shared" si="54"/>
        <v>0.1535</v>
      </c>
      <c r="AS218" s="3">
        <v>8.67</v>
      </c>
      <c r="AT218" s="95">
        <v>2.59</v>
      </c>
    </row>
    <row r="219" spans="1:47">
      <c r="A219" s="7" t="s">
        <v>19</v>
      </c>
      <c r="B219" s="5" t="s">
        <v>78</v>
      </c>
      <c r="C219" s="6" t="s">
        <v>44</v>
      </c>
      <c r="D219" s="6" t="s">
        <v>79</v>
      </c>
      <c r="E219" s="23">
        <v>23.8</v>
      </c>
      <c r="F219" s="23">
        <v>7.7</v>
      </c>
      <c r="G219" s="41">
        <v>312</v>
      </c>
      <c r="H219" s="23">
        <v>7.8</v>
      </c>
      <c r="I219" s="23">
        <v>0.7</v>
      </c>
      <c r="J219" s="23">
        <v>3.8</v>
      </c>
      <c r="K219" s="37">
        <v>2.7</v>
      </c>
      <c r="L219" s="37">
        <v>2.8</v>
      </c>
      <c r="M219" s="37"/>
      <c r="N219" s="20">
        <f t="shared" si="44"/>
        <v>2.8</v>
      </c>
      <c r="O219" s="37">
        <v>2.4</v>
      </c>
      <c r="P219" s="37">
        <v>2.2999999999999998</v>
      </c>
      <c r="Q219" s="38">
        <f t="shared" si="45"/>
        <v>2.4</v>
      </c>
      <c r="R219" s="17">
        <v>1.0660000000000001</v>
      </c>
      <c r="S219" s="17">
        <v>1.044</v>
      </c>
      <c r="T219" s="22">
        <f t="shared" si="46"/>
        <v>1.0549999999999999</v>
      </c>
      <c r="U219" s="17">
        <v>0.96199999999999997</v>
      </c>
      <c r="V219" s="17">
        <v>0.95199999999999996</v>
      </c>
      <c r="W219" s="22">
        <f t="shared" si="47"/>
        <v>0.95699999999999996</v>
      </c>
      <c r="X219" s="17">
        <v>2.3E-2</v>
      </c>
      <c r="Y219" s="17">
        <v>2.9000000000000001E-2</v>
      </c>
      <c r="Z219" s="21">
        <f t="shared" si="48"/>
        <v>2.5999999999999999E-2</v>
      </c>
      <c r="AA219" s="19">
        <v>0.72099999999999997</v>
      </c>
      <c r="AB219" s="19">
        <v>0.72599999999999998</v>
      </c>
      <c r="AC219" s="21">
        <f t="shared" si="49"/>
        <v>0.72399999999999998</v>
      </c>
      <c r="AD219" s="19">
        <v>4.2000000000000003E-2</v>
      </c>
      <c r="AE219" s="19">
        <v>3.9E-2</v>
      </c>
      <c r="AF219" s="21">
        <f t="shared" si="50"/>
        <v>4.1000000000000002E-2</v>
      </c>
      <c r="AG219" s="19">
        <v>2.4E-2</v>
      </c>
      <c r="AH219" s="19">
        <v>2.1999999999999999E-2</v>
      </c>
      <c r="AI219" s="21">
        <f t="shared" si="51"/>
        <v>2.3E-2</v>
      </c>
      <c r="AJ219" s="19">
        <v>1.4E-2</v>
      </c>
      <c r="AK219" s="19">
        <v>1.2E-2</v>
      </c>
      <c r="AL219" s="21">
        <f t="shared" si="52"/>
        <v>1.2999999999999999E-2</v>
      </c>
      <c r="AM219" s="19">
        <v>36.048999999999999</v>
      </c>
      <c r="AN219" s="19">
        <v>35.073</v>
      </c>
      <c r="AO219" s="21">
        <f t="shared" si="53"/>
        <v>35.561</v>
      </c>
      <c r="AP219" s="46">
        <v>7.6499999999999999E-2</v>
      </c>
      <c r="AQ219" s="46">
        <v>7.8600000000000003E-2</v>
      </c>
      <c r="AR219" s="45">
        <f t="shared" si="54"/>
        <v>7.7600000000000002E-2</v>
      </c>
      <c r="AS219" s="3">
        <v>17.45</v>
      </c>
      <c r="AT219" s="95">
        <v>3.43</v>
      </c>
      <c r="AU219" s="95"/>
    </row>
    <row r="220" spans="1:47">
      <c r="A220" s="7" t="s">
        <v>20</v>
      </c>
      <c r="B220" s="5" t="s">
        <v>80</v>
      </c>
      <c r="C220" s="6" t="s">
        <v>81</v>
      </c>
      <c r="D220" s="6" t="s">
        <v>36</v>
      </c>
      <c r="E220" s="23">
        <v>23.9</v>
      </c>
      <c r="F220" s="23">
        <v>7.6</v>
      </c>
      <c r="G220" s="41">
        <v>233</v>
      </c>
      <c r="H220" s="23">
        <v>8.8000000000000007</v>
      </c>
      <c r="I220" s="23">
        <v>2.1</v>
      </c>
      <c r="J220" s="23">
        <v>8.1</v>
      </c>
      <c r="K220" s="37">
        <v>6.1</v>
      </c>
      <c r="L220" s="37">
        <v>6</v>
      </c>
      <c r="M220" s="37"/>
      <c r="N220" s="20">
        <f t="shared" si="44"/>
        <v>6.1</v>
      </c>
      <c r="O220" s="37">
        <v>5.0999999999999996</v>
      </c>
      <c r="P220" s="37">
        <v>5.0999999999999996</v>
      </c>
      <c r="Q220" s="38">
        <f t="shared" si="45"/>
        <v>5.0999999999999996</v>
      </c>
      <c r="R220" s="17">
        <v>2.4209999999999998</v>
      </c>
      <c r="S220" s="17">
        <v>2.407</v>
      </c>
      <c r="T220" s="22">
        <f t="shared" si="46"/>
        <v>2.4140000000000001</v>
      </c>
      <c r="U220" s="17">
        <v>2.141</v>
      </c>
      <c r="V220" s="17">
        <v>2.1619999999999999</v>
      </c>
      <c r="W220" s="22">
        <f t="shared" si="47"/>
        <v>2.1520000000000001</v>
      </c>
      <c r="X220" s="17">
        <v>0.19</v>
      </c>
      <c r="Y220" s="17">
        <v>0.187</v>
      </c>
      <c r="Z220" s="21">
        <f t="shared" si="48"/>
        <v>0.189</v>
      </c>
      <c r="AA220" s="19">
        <v>1.5009999999999999</v>
      </c>
      <c r="AB220" s="19">
        <v>1.5369999999999999</v>
      </c>
      <c r="AC220" s="21">
        <f t="shared" si="49"/>
        <v>1.5189999999999999</v>
      </c>
      <c r="AD220" s="19">
        <v>0.18</v>
      </c>
      <c r="AE220" s="19">
        <v>0.18</v>
      </c>
      <c r="AF220" s="21">
        <f t="shared" si="50"/>
        <v>0.18</v>
      </c>
      <c r="AG220" s="19">
        <v>0.10299999999999999</v>
      </c>
      <c r="AH220" s="19">
        <v>0.107</v>
      </c>
      <c r="AI220" s="21">
        <f t="shared" si="51"/>
        <v>0.105</v>
      </c>
      <c r="AJ220" s="19">
        <v>0.10199999999999999</v>
      </c>
      <c r="AK220" s="19">
        <v>0.104</v>
      </c>
      <c r="AL220" s="21">
        <f t="shared" si="52"/>
        <v>0.10299999999999999</v>
      </c>
      <c r="AM220" s="19">
        <v>15.512</v>
      </c>
      <c r="AN220" s="19">
        <v>15.816000000000001</v>
      </c>
      <c r="AO220" s="21">
        <f t="shared" si="53"/>
        <v>15.664</v>
      </c>
      <c r="AP220" s="46">
        <v>0.15859999999999999</v>
      </c>
      <c r="AQ220" s="46">
        <v>0.16039999999999999</v>
      </c>
      <c r="AR220" s="45">
        <f t="shared" si="54"/>
        <v>0.1595</v>
      </c>
      <c r="AS220" s="3">
        <v>8.4</v>
      </c>
      <c r="AT220" s="95">
        <v>4.21</v>
      </c>
    </row>
    <row r="221" spans="1:47">
      <c r="A221" s="7" t="s">
        <v>21</v>
      </c>
      <c r="B221" s="5" t="s">
        <v>82</v>
      </c>
      <c r="C221" s="6" t="s">
        <v>44</v>
      </c>
      <c r="D221" s="6" t="s">
        <v>83</v>
      </c>
      <c r="E221" s="23">
        <v>24.2</v>
      </c>
      <c r="F221" s="23">
        <v>7.8</v>
      </c>
      <c r="G221" s="41">
        <v>239</v>
      </c>
      <c r="H221" s="23">
        <v>7.4</v>
      </c>
      <c r="I221" s="23">
        <v>2.9</v>
      </c>
      <c r="J221" s="23">
        <v>12.8</v>
      </c>
      <c r="K221" s="37">
        <v>9.1</v>
      </c>
      <c r="L221" s="37">
        <v>8.9</v>
      </c>
      <c r="M221" s="37"/>
      <c r="N221" s="20">
        <f t="shared" si="44"/>
        <v>9</v>
      </c>
      <c r="O221" s="37">
        <v>8.5</v>
      </c>
      <c r="P221" s="37">
        <v>8.3000000000000007</v>
      </c>
      <c r="Q221" s="38">
        <f t="shared" si="45"/>
        <v>8.4</v>
      </c>
      <c r="R221" s="17">
        <v>2.3319999999999999</v>
      </c>
      <c r="S221" s="17">
        <v>2.2810000000000001</v>
      </c>
      <c r="T221" s="22">
        <f t="shared" si="46"/>
        <v>2.3069999999999999</v>
      </c>
      <c r="U221" s="17">
        <v>2.097</v>
      </c>
      <c r="V221" s="17">
        <v>2.0960000000000001</v>
      </c>
      <c r="W221" s="22">
        <f t="shared" si="47"/>
        <v>2.097</v>
      </c>
      <c r="X221" s="17">
        <v>0.245</v>
      </c>
      <c r="Y221" s="17">
        <v>0.248</v>
      </c>
      <c r="Z221" s="21">
        <f t="shared" si="48"/>
        <v>0.247</v>
      </c>
      <c r="AA221" s="19">
        <v>0.95599999999999996</v>
      </c>
      <c r="AB221" s="19">
        <v>0.98699999999999999</v>
      </c>
      <c r="AC221" s="21">
        <f t="shared" si="49"/>
        <v>0.97199999999999998</v>
      </c>
      <c r="AD221" s="19">
        <v>0.189</v>
      </c>
      <c r="AE221" s="19">
        <v>0.18099999999999999</v>
      </c>
      <c r="AF221" s="21">
        <f t="shared" si="50"/>
        <v>0.185</v>
      </c>
      <c r="AG221" s="19">
        <v>9.6000000000000002E-2</v>
      </c>
      <c r="AH221" s="19">
        <v>9.7000000000000003E-2</v>
      </c>
      <c r="AI221" s="21">
        <f t="shared" si="51"/>
        <v>9.7000000000000003E-2</v>
      </c>
      <c r="AJ221" s="19">
        <v>8.2000000000000003E-2</v>
      </c>
      <c r="AK221" s="19">
        <v>8.2000000000000003E-2</v>
      </c>
      <c r="AL221" s="21">
        <f t="shared" si="52"/>
        <v>8.2000000000000003E-2</v>
      </c>
      <c r="AM221" s="19">
        <v>13.853999999999999</v>
      </c>
      <c r="AN221" s="19">
        <v>14.112</v>
      </c>
      <c r="AO221" s="21">
        <f t="shared" si="53"/>
        <v>13.983000000000001</v>
      </c>
      <c r="AP221" s="46">
        <v>0.2782</v>
      </c>
      <c r="AQ221" s="46">
        <v>0.27979999999999999</v>
      </c>
      <c r="AR221" s="45">
        <f t="shared" si="54"/>
        <v>0.27900000000000003</v>
      </c>
      <c r="AS221" s="3">
        <v>6.67</v>
      </c>
      <c r="AT221" s="95">
        <v>-0.71</v>
      </c>
      <c r="AU221" s="95"/>
    </row>
    <row r="222" spans="1:47">
      <c r="A222" s="7" t="s">
        <v>22</v>
      </c>
      <c r="B222" s="5" t="s">
        <v>84</v>
      </c>
      <c r="C222" s="6" t="s">
        <v>85</v>
      </c>
      <c r="D222" s="6" t="s">
        <v>36</v>
      </c>
      <c r="E222" s="23">
        <v>24.5</v>
      </c>
      <c r="F222" s="23">
        <v>7.7</v>
      </c>
      <c r="G222" s="41">
        <v>239</v>
      </c>
      <c r="H222" s="23">
        <v>7.4</v>
      </c>
      <c r="I222" s="23">
        <v>2.1</v>
      </c>
      <c r="J222" s="23">
        <v>8.3000000000000007</v>
      </c>
      <c r="K222" s="37">
        <v>6.3</v>
      </c>
      <c r="L222" s="37">
        <v>6.1</v>
      </c>
      <c r="M222" s="37"/>
      <c r="N222" s="20">
        <f t="shared" si="44"/>
        <v>6.2</v>
      </c>
      <c r="O222" s="37">
        <v>5.6</v>
      </c>
      <c r="P222" s="37">
        <v>5.4</v>
      </c>
      <c r="Q222" s="38">
        <f t="shared" si="45"/>
        <v>5.5</v>
      </c>
      <c r="R222" s="17">
        <v>2.38</v>
      </c>
      <c r="S222" s="17">
        <v>2.3650000000000002</v>
      </c>
      <c r="T222" s="22">
        <f t="shared" si="46"/>
        <v>2.3730000000000002</v>
      </c>
      <c r="U222" s="17">
        <v>2.1779999999999999</v>
      </c>
      <c r="V222" s="17">
        <v>2.1949999999999998</v>
      </c>
      <c r="W222" s="22">
        <f t="shared" si="47"/>
        <v>2.1869999999999998</v>
      </c>
      <c r="X222" s="17">
        <v>0.17100000000000001</v>
      </c>
      <c r="Y222" s="17">
        <v>0.17199999999999999</v>
      </c>
      <c r="Z222" s="21">
        <f t="shared" si="48"/>
        <v>0.17199999999999999</v>
      </c>
      <c r="AA222" s="19">
        <v>1.4890000000000001</v>
      </c>
      <c r="AB222" s="19">
        <v>1.518</v>
      </c>
      <c r="AC222" s="21">
        <f t="shared" si="49"/>
        <v>1.504</v>
      </c>
      <c r="AD222" s="19">
        <v>0.18099999999999999</v>
      </c>
      <c r="AE222" s="19">
        <v>0.17799999999999999</v>
      </c>
      <c r="AF222" s="21">
        <f t="shared" si="50"/>
        <v>0.18</v>
      </c>
      <c r="AG222" s="19">
        <v>0.115</v>
      </c>
      <c r="AH222" s="19">
        <v>0.11899999999999999</v>
      </c>
      <c r="AI222" s="21">
        <f t="shared" si="51"/>
        <v>0.11700000000000001</v>
      </c>
      <c r="AJ222" s="19">
        <v>0.109</v>
      </c>
      <c r="AK222" s="19">
        <v>0.111</v>
      </c>
      <c r="AL222" s="21">
        <f t="shared" si="52"/>
        <v>0.11</v>
      </c>
      <c r="AM222" s="19">
        <v>15.733000000000001</v>
      </c>
      <c r="AN222" s="19">
        <v>15.948</v>
      </c>
      <c r="AO222" s="21">
        <f t="shared" si="53"/>
        <v>15.840999999999999</v>
      </c>
      <c r="AP222" s="46">
        <v>0.17269999999999999</v>
      </c>
      <c r="AQ222" s="46">
        <v>0.17480000000000001</v>
      </c>
      <c r="AR222" s="45">
        <f t="shared" si="54"/>
        <v>0.17380000000000001</v>
      </c>
      <c r="AS222" s="3">
        <v>8.73</v>
      </c>
      <c r="AT222" s="95">
        <v>3.22</v>
      </c>
    </row>
    <row r="223" spans="1:47">
      <c r="A223" s="7" t="s">
        <v>23</v>
      </c>
      <c r="B223" s="5" t="s">
        <v>86</v>
      </c>
      <c r="C223" s="6" t="s">
        <v>87</v>
      </c>
      <c r="D223" s="6" t="s">
        <v>88</v>
      </c>
      <c r="E223" s="23">
        <v>23.4</v>
      </c>
      <c r="F223" s="23">
        <v>7.8</v>
      </c>
      <c r="G223" s="41">
        <v>228</v>
      </c>
      <c r="H223" s="23">
        <v>7.3</v>
      </c>
      <c r="I223" s="23">
        <v>2.2999999999999998</v>
      </c>
      <c r="J223" s="23">
        <v>9.4</v>
      </c>
      <c r="K223" s="37">
        <v>7.5</v>
      </c>
      <c r="L223" s="37">
        <v>7.4</v>
      </c>
      <c r="M223" s="37"/>
      <c r="N223" s="20">
        <f t="shared" si="44"/>
        <v>7.5</v>
      </c>
      <c r="O223" s="37">
        <v>6.7</v>
      </c>
      <c r="P223" s="37">
        <v>6.5</v>
      </c>
      <c r="Q223" s="38">
        <f t="shared" si="45"/>
        <v>6.6</v>
      </c>
      <c r="R223" s="17">
        <v>2.1539999999999999</v>
      </c>
      <c r="S223" s="17">
        <v>2.1749999999999998</v>
      </c>
      <c r="T223" s="22">
        <f t="shared" si="46"/>
        <v>2.165</v>
      </c>
      <c r="U223" s="17">
        <v>1.972</v>
      </c>
      <c r="V223" s="17">
        <v>1.9450000000000001</v>
      </c>
      <c r="W223" s="22">
        <f t="shared" si="47"/>
        <v>1.9590000000000001</v>
      </c>
      <c r="X223" s="17">
        <v>0.188</v>
      </c>
      <c r="Y223" s="17">
        <v>0.19</v>
      </c>
      <c r="Z223" s="21">
        <f t="shared" si="48"/>
        <v>0.189</v>
      </c>
      <c r="AA223" s="19">
        <v>1.0129999999999999</v>
      </c>
      <c r="AB223" s="19">
        <v>1.0389999999999999</v>
      </c>
      <c r="AC223" s="21">
        <f t="shared" si="49"/>
        <v>1.026</v>
      </c>
      <c r="AD223" s="19">
        <v>0.191</v>
      </c>
      <c r="AE223" s="19">
        <v>0.188</v>
      </c>
      <c r="AF223" s="21">
        <f t="shared" si="50"/>
        <v>0.19</v>
      </c>
      <c r="AG223" s="19">
        <v>0.105</v>
      </c>
      <c r="AH223" s="19">
        <v>0.10100000000000001</v>
      </c>
      <c r="AI223" s="21">
        <f t="shared" si="51"/>
        <v>0.10299999999999999</v>
      </c>
      <c r="AJ223" s="19">
        <v>9.6000000000000002E-2</v>
      </c>
      <c r="AK223" s="19">
        <v>9.5000000000000001E-2</v>
      </c>
      <c r="AL223" s="21">
        <f t="shared" si="52"/>
        <v>9.6000000000000002E-2</v>
      </c>
      <c r="AM223" s="19">
        <v>13.928000000000001</v>
      </c>
      <c r="AN223" s="19">
        <v>14.167999999999999</v>
      </c>
      <c r="AO223" s="21">
        <f t="shared" si="53"/>
        <v>14.048</v>
      </c>
      <c r="AP223" s="46">
        <v>0.21360000000000001</v>
      </c>
      <c r="AQ223" s="46">
        <v>0.21560000000000001</v>
      </c>
      <c r="AR223" s="45">
        <f t="shared" si="54"/>
        <v>0.21460000000000001</v>
      </c>
      <c r="AS223" s="3">
        <v>8.0299999999999994</v>
      </c>
      <c r="AT223" s="95">
        <v>2.42</v>
      </c>
      <c r="AU223" s="95"/>
    </row>
    <row r="224" spans="1:47">
      <c r="A224" s="7" t="s">
        <v>24</v>
      </c>
      <c r="B224" s="5" t="s">
        <v>89</v>
      </c>
      <c r="C224" s="6" t="s">
        <v>42</v>
      </c>
      <c r="D224" s="6" t="s">
        <v>36</v>
      </c>
      <c r="E224" s="23">
        <v>24.7</v>
      </c>
      <c r="F224" s="23">
        <v>7.8</v>
      </c>
      <c r="G224" s="41">
        <v>243</v>
      </c>
      <c r="H224" s="23">
        <v>8.9</v>
      </c>
      <c r="I224" s="23">
        <v>1.9</v>
      </c>
      <c r="J224" s="23">
        <v>8.5</v>
      </c>
      <c r="K224" s="37">
        <v>6.4</v>
      </c>
      <c r="L224" s="37">
        <v>6.6</v>
      </c>
      <c r="M224" s="37"/>
      <c r="N224" s="20">
        <f t="shared" si="44"/>
        <v>6.5</v>
      </c>
      <c r="O224" s="37">
        <v>5.8</v>
      </c>
      <c r="P224" s="37">
        <v>6</v>
      </c>
      <c r="Q224" s="38">
        <f t="shared" si="45"/>
        <v>5.9</v>
      </c>
      <c r="R224" s="17">
        <v>2.5390000000000001</v>
      </c>
      <c r="S224" s="17">
        <v>2.5139999999999998</v>
      </c>
      <c r="T224" s="22">
        <f t="shared" si="46"/>
        <v>2.5270000000000001</v>
      </c>
      <c r="U224" s="17">
        <v>2.4390000000000001</v>
      </c>
      <c r="V224" s="17">
        <v>2.4249999999999998</v>
      </c>
      <c r="W224" s="22">
        <f t="shared" si="47"/>
        <v>2.4319999999999999</v>
      </c>
      <c r="X224" s="17">
        <v>0.14399999999999999</v>
      </c>
      <c r="Y224" s="17">
        <v>0.13900000000000001</v>
      </c>
      <c r="Z224" s="21">
        <f t="shared" si="48"/>
        <v>0.14199999999999999</v>
      </c>
      <c r="AA224" s="19">
        <v>1.6459999999999999</v>
      </c>
      <c r="AB224" s="19">
        <v>1.679</v>
      </c>
      <c r="AC224" s="21">
        <f t="shared" si="49"/>
        <v>1.663</v>
      </c>
      <c r="AD224" s="19">
        <v>0.20499999999999999</v>
      </c>
      <c r="AE224" s="19">
        <v>0.19700000000000001</v>
      </c>
      <c r="AF224" s="21">
        <f t="shared" si="50"/>
        <v>0.20100000000000001</v>
      </c>
      <c r="AG224" s="19">
        <v>0.14000000000000001</v>
      </c>
      <c r="AH224" s="19">
        <v>0.14299999999999999</v>
      </c>
      <c r="AI224" s="21">
        <f t="shared" si="51"/>
        <v>0.14199999999999999</v>
      </c>
      <c r="AJ224" s="19">
        <v>0.13700000000000001</v>
      </c>
      <c r="AK224" s="19">
        <v>0.13900000000000001</v>
      </c>
      <c r="AL224" s="21">
        <f t="shared" si="52"/>
        <v>0.13800000000000001</v>
      </c>
      <c r="AM224" s="19">
        <v>15.734</v>
      </c>
      <c r="AN224" s="19">
        <v>16.032</v>
      </c>
      <c r="AO224" s="21">
        <f t="shared" si="53"/>
        <v>15.882999999999999</v>
      </c>
      <c r="AP224" s="46">
        <v>0.18190000000000001</v>
      </c>
      <c r="AQ224" s="46">
        <v>0.18410000000000001</v>
      </c>
      <c r="AR224" s="45">
        <f t="shared" si="54"/>
        <v>0.183</v>
      </c>
      <c r="AS224" s="3">
        <v>8.59</v>
      </c>
      <c r="AT224" s="95">
        <v>5.72</v>
      </c>
    </row>
    <row r="225" spans="1:47">
      <c r="A225" s="7" t="s">
        <v>25</v>
      </c>
      <c r="B225" s="5" t="s">
        <v>90</v>
      </c>
      <c r="C225" s="6" t="s">
        <v>44</v>
      </c>
      <c r="D225" s="6" t="s">
        <v>91</v>
      </c>
      <c r="E225" s="23">
        <v>23.1</v>
      </c>
      <c r="F225" s="23">
        <v>7.9</v>
      </c>
      <c r="G225" s="41">
        <v>269</v>
      </c>
      <c r="H225" s="23">
        <v>8.1999999999999993</v>
      </c>
      <c r="I225" s="23">
        <v>2.7</v>
      </c>
      <c r="J225" s="23">
        <v>9.5</v>
      </c>
      <c r="K225" s="37">
        <v>7.9</v>
      </c>
      <c r="L225" s="37">
        <v>7.6</v>
      </c>
      <c r="M225" s="37"/>
      <c r="N225" s="20">
        <f t="shared" si="44"/>
        <v>7.8</v>
      </c>
      <c r="O225" s="37">
        <v>5.5</v>
      </c>
      <c r="P225" s="37">
        <v>5.3</v>
      </c>
      <c r="Q225" s="38">
        <f t="shared" si="45"/>
        <v>5.4</v>
      </c>
      <c r="R225" s="17">
        <v>2.0619999999999998</v>
      </c>
      <c r="S225" s="17">
        <v>2.0710000000000002</v>
      </c>
      <c r="T225" s="22">
        <f t="shared" si="46"/>
        <v>2.0670000000000002</v>
      </c>
      <c r="U225" s="17">
        <v>1.8560000000000001</v>
      </c>
      <c r="V225" s="17">
        <v>1.8440000000000001</v>
      </c>
      <c r="W225" s="22">
        <f t="shared" si="47"/>
        <v>1.85</v>
      </c>
      <c r="X225" s="17">
        <v>0.104</v>
      </c>
      <c r="Y225" s="17">
        <v>9.8000000000000004E-2</v>
      </c>
      <c r="Z225" s="21">
        <f t="shared" si="48"/>
        <v>0.10100000000000001</v>
      </c>
      <c r="AA225" s="19">
        <v>1.254</v>
      </c>
      <c r="AB225" s="19">
        <v>1.29</v>
      </c>
      <c r="AC225" s="21">
        <f t="shared" si="49"/>
        <v>1.272</v>
      </c>
      <c r="AD225" s="19">
        <v>0.13900000000000001</v>
      </c>
      <c r="AE225" s="19">
        <v>0.14099999999999999</v>
      </c>
      <c r="AF225" s="21">
        <f t="shared" si="50"/>
        <v>0.14000000000000001</v>
      </c>
      <c r="AG225" s="19">
        <v>4.4999999999999998E-2</v>
      </c>
      <c r="AH225" s="19">
        <v>4.1000000000000002E-2</v>
      </c>
      <c r="AI225" s="21">
        <f t="shared" si="51"/>
        <v>4.2999999999999997E-2</v>
      </c>
      <c r="AJ225" s="19">
        <v>3.2000000000000001E-2</v>
      </c>
      <c r="AK225" s="19">
        <v>0.03</v>
      </c>
      <c r="AL225" s="21">
        <f t="shared" si="52"/>
        <v>3.1E-2</v>
      </c>
      <c r="AM225" s="19">
        <v>17.707999999999998</v>
      </c>
      <c r="AN225" s="19">
        <v>17.962</v>
      </c>
      <c r="AO225" s="21">
        <f t="shared" si="53"/>
        <v>17.835000000000001</v>
      </c>
      <c r="AP225" s="46">
        <v>0.158</v>
      </c>
      <c r="AQ225" s="46">
        <v>0.1598</v>
      </c>
      <c r="AR225" s="45">
        <f t="shared" si="54"/>
        <v>0.15890000000000001</v>
      </c>
      <c r="AS225" s="3">
        <v>9.61</v>
      </c>
      <c r="AT225" s="95">
        <v>3.81</v>
      </c>
      <c r="AU225" s="95"/>
    </row>
    <row r="226" spans="1:47">
      <c r="A226" s="7" t="s">
        <v>26</v>
      </c>
      <c r="B226" s="5" t="s">
        <v>92</v>
      </c>
      <c r="C226" s="6" t="s">
        <v>93</v>
      </c>
      <c r="D226" s="6" t="s">
        <v>36</v>
      </c>
      <c r="E226" s="23">
        <v>24.9</v>
      </c>
      <c r="F226" s="23">
        <v>7.7</v>
      </c>
      <c r="G226" s="41">
        <v>229</v>
      </c>
      <c r="H226" s="23">
        <v>7.5</v>
      </c>
      <c r="I226" s="23">
        <v>2.6</v>
      </c>
      <c r="J226" s="23">
        <v>9</v>
      </c>
      <c r="K226" s="37">
        <v>6.8</v>
      </c>
      <c r="L226" s="37">
        <v>6.7</v>
      </c>
      <c r="M226" s="37"/>
      <c r="N226" s="20">
        <f t="shared" si="44"/>
        <v>6.8</v>
      </c>
      <c r="O226" s="37">
        <v>5.8</v>
      </c>
      <c r="P226" s="37">
        <v>5.7</v>
      </c>
      <c r="Q226" s="38">
        <f t="shared" si="45"/>
        <v>5.8</v>
      </c>
      <c r="R226" s="17">
        <v>2.1030000000000002</v>
      </c>
      <c r="S226" s="17">
        <v>2.1040000000000001</v>
      </c>
      <c r="T226" s="22">
        <f t="shared" si="46"/>
        <v>2.1040000000000001</v>
      </c>
      <c r="U226" s="17">
        <v>1.8720000000000001</v>
      </c>
      <c r="V226" s="17">
        <v>1.8979999999999999</v>
      </c>
      <c r="W226" s="22">
        <f t="shared" si="47"/>
        <v>1.885</v>
      </c>
      <c r="X226" s="17">
        <v>0.224</v>
      </c>
      <c r="Y226" s="17">
        <v>0.23200000000000001</v>
      </c>
      <c r="Z226" s="21">
        <f t="shared" si="48"/>
        <v>0.22800000000000001</v>
      </c>
      <c r="AA226" s="19">
        <v>1.0920000000000001</v>
      </c>
      <c r="AB226" s="19">
        <v>1.1259999999999999</v>
      </c>
      <c r="AC226" s="21">
        <f t="shared" si="49"/>
        <v>1.109</v>
      </c>
      <c r="AD226" s="19">
        <v>0.16</v>
      </c>
      <c r="AE226" s="19">
        <v>0.16</v>
      </c>
      <c r="AF226" s="21">
        <f t="shared" si="50"/>
        <v>0.16</v>
      </c>
      <c r="AG226" s="19">
        <v>9.1999999999999998E-2</v>
      </c>
      <c r="AH226" s="19">
        <v>9.5000000000000001E-2</v>
      </c>
      <c r="AI226" s="21">
        <f t="shared" si="51"/>
        <v>9.4E-2</v>
      </c>
      <c r="AJ226" s="19">
        <v>8.5999999999999993E-2</v>
      </c>
      <c r="AK226" s="19">
        <v>8.5999999999999993E-2</v>
      </c>
      <c r="AL226" s="21">
        <f t="shared" si="52"/>
        <v>8.5999999999999993E-2</v>
      </c>
      <c r="AM226" s="19">
        <v>14.691000000000001</v>
      </c>
      <c r="AN226" s="19">
        <v>14.984999999999999</v>
      </c>
      <c r="AO226" s="21">
        <f t="shared" si="53"/>
        <v>14.837999999999999</v>
      </c>
      <c r="AP226" s="46">
        <v>0.16830000000000001</v>
      </c>
      <c r="AQ226" s="46">
        <v>0.17030000000000001</v>
      </c>
      <c r="AR226" s="45">
        <f t="shared" si="54"/>
        <v>0.16930000000000001</v>
      </c>
      <c r="AS226" s="3">
        <v>7.91</v>
      </c>
      <c r="AT226" s="95">
        <v>4.46</v>
      </c>
    </row>
    <row r="227" spans="1:47">
      <c r="A227" s="7" t="s">
        <v>27</v>
      </c>
      <c r="B227" s="5" t="s">
        <v>94</v>
      </c>
      <c r="C227" s="6" t="s">
        <v>95</v>
      </c>
      <c r="D227" s="6" t="s">
        <v>96</v>
      </c>
      <c r="E227" s="23">
        <v>21.1</v>
      </c>
      <c r="F227" s="23">
        <v>7.3</v>
      </c>
      <c r="G227" s="41">
        <v>183</v>
      </c>
      <c r="H227" s="23">
        <v>6.5</v>
      </c>
      <c r="I227" s="23">
        <v>0.9</v>
      </c>
      <c r="J227" s="23">
        <v>3</v>
      </c>
      <c r="K227" s="37">
        <v>2.2000000000000002</v>
      </c>
      <c r="L227" s="37">
        <v>2.2999999999999998</v>
      </c>
      <c r="M227" s="37"/>
      <c r="N227" s="20">
        <f t="shared" si="44"/>
        <v>2.2999999999999998</v>
      </c>
      <c r="O227" s="37">
        <v>2</v>
      </c>
      <c r="P227" s="37">
        <v>1.9</v>
      </c>
      <c r="Q227" s="38">
        <f t="shared" si="45"/>
        <v>2</v>
      </c>
      <c r="R227" s="17">
        <v>0.51</v>
      </c>
      <c r="S227" s="17">
        <v>0.53400000000000003</v>
      </c>
      <c r="T227" s="22">
        <f t="shared" si="46"/>
        <v>0.52200000000000002</v>
      </c>
      <c r="U227" s="17">
        <v>0.45500000000000002</v>
      </c>
      <c r="V227" s="17">
        <v>0.44400000000000001</v>
      </c>
      <c r="W227" s="22">
        <f t="shared" si="47"/>
        <v>0.45</v>
      </c>
      <c r="X227" s="17">
        <v>1.7000000000000001E-2</v>
      </c>
      <c r="Y227" s="17">
        <v>1.2E-2</v>
      </c>
      <c r="Z227" s="21">
        <f t="shared" si="48"/>
        <v>1.4999999999999999E-2</v>
      </c>
      <c r="AA227" s="19">
        <v>0.28699999999999998</v>
      </c>
      <c r="AB227" s="19">
        <v>0.30199999999999999</v>
      </c>
      <c r="AC227" s="21">
        <f t="shared" si="49"/>
        <v>0.29499999999999998</v>
      </c>
      <c r="AD227" s="19">
        <v>0.04</v>
      </c>
      <c r="AE227" s="19">
        <v>4.2999999999999997E-2</v>
      </c>
      <c r="AF227" s="21">
        <f t="shared" si="50"/>
        <v>4.2000000000000003E-2</v>
      </c>
      <c r="AG227" s="19">
        <v>2.5999999999999999E-2</v>
      </c>
      <c r="AH227" s="19">
        <v>2.3E-2</v>
      </c>
      <c r="AI227" s="21">
        <f t="shared" si="51"/>
        <v>2.5000000000000001E-2</v>
      </c>
      <c r="AJ227" s="19">
        <v>0.02</v>
      </c>
      <c r="AK227" s="19">
        <v>1.9E-2</v>
      </c>
      <c r="AL227" s="21">
        <f t="shared" si="52"/>
        <v>0.02</v>
      </c>
      <c r="AM227" s="19">
        <v>11.016999999999999</v>
      </c>
      <c r="AN227" s="19">
        <v>11.256</v>
      </c>
      <c r="AO227" s="21">
        <f t="shared" si="53"/>
        <v>11.137</v>
      </c>
      <c r="AP227" s="46">
        <v>7.1199999999999999E-2</v>
      </c>
      <c r="AQ227" s="46">
        <v>7.3300000000000004E-2</v>
      </c>
      <c r="AR227" s="45">
        <f t="shared" si="54"/>
        <v>7.2300000000000003E-2</v>
      </c>
      <c r="AS227" s="3">
        <v>12.22</v>
      </c>
      <c r="AT227" s="95">
        <v>6.25</v>
      </c>
      <c r="AU227" s="95"/>
    </row>
    <row r="228" spans="1:47">
      <c r="A228" s="7" t="s">
        <v>28</v>
      </c>
      <c r="B228" s="5" t="s">
        <v>97</v>
      </c>
      <c r="C228" s="6" t="s">
        <v>98</v>
      </c>
      <c r="D228" s="6" t="s">
        <v>36</v>
      </c>
      <c r="E228" s="23">
        <v>24.8</v>
      </c>
      <c r="F228" s="23">
        <v>7.1</v>
      </c>
      <c r="G228" s="41">
        <v>227</v>
      </c>
      <c r="H228" s="23">
        <v>7.9</v>
      </c>
      <c r="I228" s="23">
        <v>2.1</v>
      </c>
      <c r="J228" s="23">
        <v>8.1999999999999993</v>
      </c>
      <c r="K228" s="37">
        <v>6.3</v>
      </c>
      <c r="L228" s="37">
        <v>6.3</v>
      </c>
      <c r="M228" s="37"/>
      <c r="N228" s="20">
        <f t="shared" si="44"/>
        <v>6.3</v>
      </c>
      <c r="O228" s="37">
        <v>5.5</v>
      </c>
      <c r="P228" s="37">
        <v>5.5</v>
      </c>
      <c r="Q228" s="38">
        <f t="shared" si="45"/>
        <v>5.5</v>
      </c>
      <c r="R228" s="17">
        <v>1.998</v>
      </c>
      <c r="S228" s="17">
        <v>1.9650000000000001</v>
      </c>
      <c r="T228" s="22">
        <f t="shared" si="46"/>
        <v>1.982</v>
      </c>
      <c r="U228" s="17">
        <v>1.821</v>
      </c>
      <c r="V228" s="17">
        <v>1.82</v>
      </c>
      <c r="W228" s="22">
        <f t="shared" si="47"/>
        <v>1.821</v>
      </c>
      <c r="X228" s="17">
        <v>0.183</v>
      </c>
      <c r="Y228" s="17">
        <v>0.185</v>
      </c>
      <c r="Z228" s="21">
        <f t="shared" si="48"/>
        <v>0.184</v>
      </c>
      <c r="AA228" s="19">
        <v>1.0680000000000001</v>
      </c>
      <c r="AB228" s="19">
        <v>1.0980000000000001</v>
      </c>
      <c r="AC228" s="21">
        <f t="shared" si="49"/>
        <v>1.083</v>
      </c>
      <c r="AD228" s="19">
        <v>0.14099999999999999</v>
      </c>
      <c r="AE228" s="19">
        <v>0.13800000000000001</v>
      </c>
      <c r="AF228" s="21">
        <f t="shared" si="50"/>
        <v>0.14000000000000001</v>
      </c>
      <c r="AG228" s="19">
        <v>8.7999999999999995E-2</v>
      </c>
      <c r="AH228" s="19">
        <v>9.4E-2</v>
      </c>
      <c r="AI228" s="21">
        <f t="shared" si="51"/>
        <v>9.0999999999999998E-2</v>
      </c>
      <c r="AJ228" s="19">
        <v>8.4000000000000005E-2</v>
      </c>
      <c r="AK228" s="19">
        <v>8.7999999999999995E-2</v>
      </c>
      <c r="AL228" s="21">
        <f t="shared" si="52"/>
        <v>8.5999999999999993E-2</v>
      </c>
      <c r="AM228" s="19">
        <v>14.602</v>
      </c>
      <c r="AN228" s="19">
        <v>14.795</v>
      </c>
      <c r="AO228" s="21">
        <f t="shared" si="53"/>
        <v>14.699</v>
      </c>
      <c r="AP228" s="46">
        <v>0.1663</v>
      </c>
      <c r="AQ228" s="46">
        <v>0.1686</v>
      </c>
      <c r="AR228" s="45">
        <f t="shared" si="54"/>
        <v>0.16750000000000001</v>
      </c>
      <c r="AS228" s="3">
        <v>8.25</v>
      </c>
      <c r="AT228" s="95">
        <v>3.45</v>
      </c>
    </row>
    <row r="229" spans="1:47">
      <c r="A229" s="7" t="s">
        <v>29</v>
      </c>
      <c r="B229" s="5" t="s">
        <v>99</v>
      </c>
      <c r="C229" s="6" t="s">
        <v>44</v>
      </c>
      <c r="D229" s="6" t="s">
        <v>100</v>
      </c>
      <c r="E229" s="23">
        <v>24.1</v>
      </c>
      <c r="F229" s="23">
        <v>6.8</v>
      </c>
      <c r="G229" s="41">
        <v>229</v>
      </c>
      <c r="H229" s="23">
        <v>7.1</v>
      </c>
      <c r="I229" s="23">
        <v>1.8</v>
      </c>
      <c r="J229" s="23">
        <v>8.4</v>
      </c>
      <c r="K229" s="37">
        <v>6.5</v>
      </c>
      <c r="L229" s="37">
        <v>6.3</v>
      </c>
      <c r="M229" s="37"/>
      <c r="N229" s="20">
        <f t="shared" si="44"/>
        <v>6.4</v>
      </c>
      <c r="O229" s="37">
        <v>5.7</v>
      </c>
      <c r="P229" s="37">
        <v>5.6</v>
      </c>
      <c r="Q229" s="38">
        <f t="shared" si="45"/>
        <v>5.7</v>
      </c>
      <c r="R229" s="17">
        <v>1.9410000000000001</v>
      </c>
      <c r="S229" s="17">
        <v>1.954</v>
      </c>
      <c r="T229" s="22">
        <f t="shared" si="46"/>
        <v>1.948</v>
      </c>
      <c r="U229" s="17">
        <v>1.792</v>
      </c>
      <c r="V229" s="17">
        <v>1.7769999999999999</v>
      </c>
      <c r="W229" s="22">
        <f t="shared" si="47"/>
        <v>1.7849999999999999</v>
      </c>
      <c r="X229" s="17">
        <v>0.1</v>
      </c>
      <c r="Y229" s="17">
        <v>9.7000000000000003E-2</v>
      </c>
      <c r="Z229" s="21">
        <f t="shared" si="48"/>
        <v>9.9000000000000005E-2</v>
      </c>
      <c r="AA229" s="19">
        <v>1.1339999999999999</v>
      </c>
      <c r="AB229" s="19">
        <v>1.169</v>
      </c>
      <c r="AC229" s="21">
        <f t="shared" si="49"/>
        <v>1.1519999999999999</v>
      </c>
      <c r="AD229" s="19">
        <v>0.17899999999999999</v>
      </c>
      <c r="AE229" s="19">
        <v>0.182</v>
      </c>
      <c r="AF229" s="21">
        <f t="shared" si="50"/>
        <v>0.18099999999999999</v>
      </c>
      <c r="AG229" s="19">
        <v>0.108</v>
      </c>
      <c r="AH229" s="19">
        <v>0.106</v>
      </c>
      <c r="AI229" s="21">
        <f t="shared" si="51"/>
        <v>0.107</v>
      </c>
      <c r="AJ229" s="19">
        <v>0.1</v>
      </c>
      <c r="AK229" s="19">
        <v>0.1</v>
      </c>
      <c r="AL229" s="21">
        <f t="shared" si="52"/>
        <v>0.1</v>
      </c>
      <c r="AM229" s="19">
        <v>15.284000000000001</v>
      </c>
      <c r="AN229" s="19">
        <v>15.689</v>
      </c>
      <c r="AO229" s="21">
        <f t="shared" si="53"/>
        <v>15.487</v>
      </c>
      <c r="AP229" s="46">
        <v>0.1792</v>
      </c>
      <c r="AQ229" s="46">
        <v>0.18129999999999999</v>
      </c>
      <c r="AR229" s="45">
        <f t="shared" si="54"/>
        <v>0.18029999999999999</v>
      </c>
      <c r="AS229" s="3">
        <v>8.81</v>
      </c>
      <c r="AT229" s="95">
        <v>2.65</v>
      </c>
      <c r="AU229" s="95"/>
    </row>
    <row r="230" spans="1:47">
      <c r="A230" s="7" t="s">
        <v>30</v>
      </c>
      <c r="B230" s="5" t="s">
        <v>101</v>
      </c>
      <c r="C230" s="6" t="s">
        <v>44</v>
      </c>
      <c r="D230" s="6" t="s">
        <v>160</v>
      </c>
      <c r="E230" s="23">
        <v>24.9</v>
      </c>
      <c r="F230" s="23">
        <v>7</v>
      </c>
      <c r="G230" s="41">
        <v>280</v>
      </c>
      <c r="H230" s="23">
        <v>7.5</v>
      </c>
      <c r="I230" s="23">
        <v>6.5</v>
      </c>
      <c r="J230" s="23">
        <v>12.8</v>
      </c>
      <c r="K230" s="37">
        <v>9.1</v>
      </c>
      <c r="L230" s="37">
        <v>9.1</v>
      </c>
      <c r="M230" s="37"/>
      <c r="N230" s="20">
        <f t="shared" si="44"/>
        <v>9.1</v>
      </c>
      <c r="O230" s="37">
        <v>7.7</v>
      </c>
      <c r="P230" s="37">
        <v>7.7</v>
      </c>
      <c r="Q230" s="38">
        <f t="shared" si="45"/>
        <v>7.7</v>
      </c>
      <c r="R230" s="17">
        <v>3.2490000000000001</v>
      </c>
      <c r="S230" s="17">
        <v>3.214</v>
      </c>
      <c r="T230" s="22">
        <f t="shared" si="46"/>
        <v>3.2320000000000002</v>
      </c>
      <c r="U230" s="17">
        <v>2.988</v>
      </c>
      <c r="V230" s="17">
        <v>3.0670000000000002</v>
      </c>
      <c r="W230" s="22">
        <f t="shared" si="47"/>
        <v>3.028</v>
      </c>
      <c r="X230" s="17">
        <v>0.94899999999999995</v>
      </c>
      <c r="Y230" s="17">
        <v>0.93100000000000005</v>
      </c>
      <c r="Z230" s="21">
        <f t="shared" si="48"/>
        <v>0.94</v>
      </c>
      <c r="AA230" s="19">
        <v>1.196</v>
      </c>
      <c r="AB230" s="19">
        <v>1.2330000000000001</v>
      </c>
      <c r="AC230" s="21">
        <f t="shared" si="49"/>
        <v>1.2150000000000001</v>
      </c>
      <c r="AD230" s="19">
        <v>0.19500000000000001</v>
      </c>
      <c r="AE230" s="19">
        <v>0.189</v>
      </c>
      <c r="AF230" s="21">
        <f t="shared" si="50"/>
        <v>0.192</v>
      </c>
      <c r="AG230" s="19">
        <v>7.9000000000000001E-2</v>
      </c>
      <c r="AH230" s="19">
        <v>8.1000000000000003E-2</v>
      </c>
      <c r="AI230" s="21">
        <f t="shared" si="51"/>
        <v>0.08</v>
      </c>
      <c r="AJ230" s="19">
        <v>6.5000000000000002E-2</v>
      </c>
      <c r="AK230" s="19">
        <v>6.6000000000000003E-2</v>
      </c>
      <c r="AL230" s="21">
        <f t="shared" si="52"/>
        <v>6.6000000000000003E-2</v>
      </c>
      <c r="AM230" s="19">
        <v>27.309000000000001</v>
      </c>
      <c r="AN230" s="19">
        <v>27.835999999999999</v>
      </c>
      <c r="AO230" s="21">
        <f t="shared" si="53"/>
        <v>27.573</v>
      </c>
      <c r="AP230" s="46">
        <v>0.21659999999999999</v>
      </c>
      <c r="AQ230" s="46">
        <v>0.21870000000000001</v>
      </c>
      <c r="AR230" s="45">
        <f t="shared" si="54"/>
        <v>0.2177</v>
      </c>
      <c r="AS230" s="3">
        <v>7.21</v>
      </c>
      <c r="AT230" s="95">
        <v>-0.72</v>
      </c>
      <c r="AU230" s="95"/>
    </row>
    <row r="231" spans="1:47">
      <c r="A231" s="7" t="s">
        <v>31</v>
      </c>
      <c r="B231" s="5" t="s">
        <v>102</v>
      </c>
      <c r="C231" s="6" t="s">
        <v>103</v>
      </c>
      <c r="D231" s="6" t="s">
        <v>36</v>
      </c>
      <c r="E231" s="23">
        <v>25.1</v>
      </c>
      <c r="F231" s="23">
        <v>7.6</v>
      </c>
      <c r="G231" s="41">
        <v>246</v>
      </c>
      <c r="H231" s="23">
        <v>7.9</v>
      </c>
      <c r="I231" s="23">
        <v>2.8</v>
      </c>
      <c r="J231" s="23">
        <v>9.1999999999999993</v>
      </c>
      <c r="K231" s="37">
        <v>7.2</v>
      </c>
      <c r="L231" s="37">
        <v>7.3</v>
      </c>
      <c r="M231" s="37"/>
      <c r="N231" s="20">
        <f t="shared" si="44"/>
        <v>7.3</v>
      </c>
      <c r="O231" s="37">
        <v>6.1</v>
      </c>
      <c r="P231" s="37">
        <v>6.1</v>
      </c>
      <c r="Q231" s="38">
        <f t="shared" si="45"/>
        <v>6.1</v>
      </c>
      <c r="R231" s="17">
        <v>2.4329999999999998</v>
      </c>
      <c r="S231" s="17">
        <v>2.4220000000000002</v>
      </c>
      <c r="T231" s="22">
        <f t="shared" si="46"/>
        <v>2.4279999999999999</v>
      </c>
      <c r="U231" s="17">
        <v>2.25</v>
      </c>
      <c r="V231" s="17">
        <v>2.2210000000000001</v>
      </c>
      <c r="W231" s="22">
        <f t="shared" si="47"/>
        <v>2.2360000000000002</v>
      </c>
      <c r="X231" s="17">
        <v>0.374</v>
      </c>
      <c r="Y231" s="17">
        <v>0.36299999999999999</v>
      </c>
      <c r="Z231" s="21">
        <f t="shared" si="48"/>
        <v>0.36899999999999999</v>
      </c>
      <c r="AA231" s="19">
        <v>1.1839999999999999</v>
      </c>
      <c r="AB231" s="19">
        <v>1.2170000000000001</v>
      </c>
      <c r="AC231" s="21">
        <f t="shared" si="49"/>
        <v>1.2010000000000001</v>
      </c>
      <c r="AD231" s="19">
        <v>0.14699999999999999</v>
      </c>
      <c r="AE231" s="19">
        <v>0.151</v>
      </c>
      <c r="AF231" s="21">
        <f t="shared" si="50"/>
        <v>0.14899999999999999</v>
      </c>
      <c r="AG231" s="19">
        <v>8.2000000000000003E-2</v>
      </c>
      <c r="AH231" s="19">
        <v>8.4000000000000005E-2</v>
      </c>
      <c r="AI231" s="21">
        <f t="shared" si="51"/>
        <v>8.3000000000000004E-2</v>
      </c>
      <c r="AJ231" s="19">
        <v>7.3999999999999996E-2</v>
      </c>
      <c r="AK231" s="19">
        <v>7.3999999999999996E-2</v>
      </c>
      <c r="AL231" s="21">
        <f t="shared" si="52"/>
        <v>7.3999999999999996E-2</v>
      </c>
      <c r="AM231" s="19">
        <v>18.707000000000001</v>
      </c>
      <c r="AN231" s="19">
        <v>19.047000000000001</v>
      </c>
      <c r="AO231" s="21">
        <f t="shared" si="53"/>
        <v>18.876999999999999</v>
      </c>
      <c r="AP231" s="46">
        <v>0.17849999999999999</v>
      </c>
      <c r="AQ231" s="46">
        <v>0.18049999999999999</v>
      </c>
      <c r="AR231" s="45">
        <f t="shared" si="54"/>
        <v>0.17949999999999999</v>
      </c>
      <c r="AS231" s="3">
        <v>7.76</v>
      </c>
      <c r="AT231" s="95">
        <v>2.06</v>
      </c>
    </row>
    <row r="232" spans="1:47">
      <c r="A232" s="7" t="s">
        <v>32</v>
      </c>
      <c r="B232" s="5" t="s">
        <v>104</v>
      </c>
      <c r="C232" s="6" t="s">
        <v>44</v>
      </c>
      <c r="D232" s="6" t="s">
        <v>105</v>
      </c>
      <c r="E232" s="23">
        <v>25</v>
      </c>
      <c r="F232" s="23">
        <v>7.5</v>
      </c>
      <c r="G232" s="41">
        <v>323</v>
      </c>
      <c r="H232" s="23">
        <v>6.7</v>
      </c>
      <c r="I232" s="23">
        <v>2.5</v>
      </c>
      <c r="J232" s="23">
        <v>14.7</v>
      </c>
      <c r="K232" s="37">
        <v>10.9</v>
      </c>
      <c r="L232" s="37">
        <v>10.7</v>
      </c>
      <c r="M232" s="37"/>
      <c r="N232" s="20">
        <f t="shared" si="44"/>
        <v>10.8</v>
      </c>
      <c r="O232" s="37">
        <v>9.9</v>
      </c>
      <c r="P232" s="37">
        <v>9.8000000000000007</v>
      </c>
      <c r="Q232" s="38">
        <f t="shared" si="45"/>
        <v>9.9</v>
      </c>
      <c r="R232" s="17">
        <v>2.694</v>
      </c>
      <c r="S232" s="17">
        <v>2.6850000000000001</v>
      </c>
      <c r="T232" s="22">
        <f t="shared" si="46"/>
        <v>2.69</v>
      </c>
      <c r="U232" s="17">
        <v>2.4929999999999999</v>
      </c>
      <c r="V232" s="17">
        <v>2.4780000000000002</v>
      </c>
      <c r="W232" s="22">
        <f t="shared" si="47"/>
        <v>2.4860000000000002</v>
      </c>
      <c r="X232" s="17">
        <v>0.20399999999999999</v>
      </c>
      <c r="Y232" s="17">
        <v>0.20200000000000001</v>
      </c>
      <c r="Z232" s="21">
        <f t="shared" si="48"/>
        <v>0.20300000000000001</v>
      </c>
      <c r="AA232" s="19">
        <v>1.337</v>
      </c>
      <c r="AB232" s="19">
        <v>1.3640000000000001</v>
      </c>
      <c r="AC232" s="21">
        <f t="shared" si="49"/>
        <v>1.351</v>
      </c>
      <c r="AD232" s="19">
        <v>0.21099999999999999</v>
      </c>
      <c r="AE232" s="19">
        <v>0.223</v>
      </c>
      <c r="AF232" s="21">
        <f t="shared" si="50"/>
        <v>0.217</v>
      </c>
      <c r="AG232" s="19">
        <v>0.11600000000000001</v>
      </c>
      <c r="AH232" s="19">
        <v>0.113</v>
      </c>
      <c r="AI232" s="21">
        <f t="shared" si="51"/>
        <v>0.115</v>
      </c>
      <c r="AJ232" s="19">
        <v>0.10299999999999999</v>
      </c>
      <c r="AK232" s="19">
        <v>0.104</v>
      </c>
      <c r="AL232" s="21">
        <f t="shared" si="52"/>
        <v>0.104</v>
      </c>
      <c r="AM232" s="19">
        <v>26.02</v>
      </c>
      <c r="AN232" s="19">
        <v>26.123999999999999</v>
      </c>
      <c r="AO232" s="21">
        <f t="shared" si="53"/>
        <v>26.071999999999999</v>
      </c>
      <c r="AP232" s="46">
        <v>0.27579999999999999</v>
      </c>
      <c r="AQ232" s="46">
        <v>0.27800000000000002</v>
      </c>
      <c r="AR232" s="45">
        <f t="shared" si="54"/>
        <v>0.27689999999999998</v>
      </c>
      <c r="AS232" s="3">
        <v>10.16</v>
      </c>
      <c r="AT232" s="95">
        <v>1.1100000000000001</v>
      </c>
      <c r="AU232" s="95"/>
    </row>
    <row r="233" spans="1:47">
      <c r="A233" s="7" t="s">
        <v>33</v>
      </c>
      <c r="B233" s="5" t="s">
        <v>106</v>
      </c>
      <c r="C233" s="6" t="s">
        <v>107</v>
      </c>
      <c r="D233" s="6" t="s">
        <v>36</v>
      </c>
      <c r="E233" s="23">
        <v>25.3</v>
      </c>
      <c r="F233" s="23">
        <v>7.6</v>
      </c>
      <c r="G233" s="41">
        <v>254</v>
      </c>
      <c r="H233" s="23">
        <v>8.6999999999999993</v>
      </c>
      <c r="I233" s="23">
        <v>2.4</v>
      </c>
      <c r="J233" s="23">
        <v>9</v>
      </c>
      <c r="K233" s="37">
        <v>7.2</v>
      </c>
      <c r="L233" s="37">
        <v>6.8</v>
      </c>
      <c r="M233" s="37"/>
      <c r="N233" s="20">
        <f t="shared" si="44"/>
        <v>7</v>
      </c>
      <c r="O233" s="37">
        <v>5.9</v>
      </c>
      <c r="P233" s="37">
        <v>5.8</v>
      </c>
      <c r="Q233" s="38">
        <f t="shared" si="45"/>
        <v>5.9</v>
      </c>
      <c r="R233" s="17">
        <v>2.7280000000000002</v>
      </c>
      <c r="S233" s="17">
        <v>2.6949999999999998</v>
      </c>
      <c r="T233" s="22">
        <f t="shared" si="46"/>
        <v>2.7120000000000002</v>
      </c>
      <c r="U233" s="17">
        <v>2.4079999999999999</v>
      </c>
      <c r="V233" s="17">
        <v>2.3940000000000001</v>
      </c>
      <c r="W233" s="22">
        <f t="shared" si="47"/>
        <v>2.4009999999999998</v>
      </c>
      <c r="X233" s="17">
        <v>0.154</v>
      </c>
      <c r="Y233" s="17">
        <v>0.154</v>
      </c>
      <c r="Z233" s="21">
        <f t="shared" si="48"/>
        <v>0.154</v>
      </c>
      <c r="AA233" s="19">
        <v>1.744</v>
      </c>
      <c r="AB233" s="19">
        <v>1.8049999999999999</v>
      </c>
      <c r="AC233" s="21">
        <f t="shared" si="49"/>
        <v>1.7749999999999999</v>
      </c>
      <c r="AD233" s="19">
        <v>0.14699999999999999</v>
      </c>
      <c r="AE233" s="19">
        <v>0.15</v>
      </c>
      <c r="AF233" s="21">
        <f t="shared" si="50"/>
        <v>0.14899999999999999</v>
      </c>
      <c r="AG233" s="19">
        <v>0.08</v>
      </c>
      <c r="AH233" s="19">
        <v>7.8E-2</v>
      </c>
      <c r="AI233" s="21">
        <f t="shared" si="51"/>
        <v>7.9000000000000001E-2</v>
      </c>
      <c r="AJ233" s="19">
        <v>7.5999999999999998E-2</v>
      </c>
      <c r="AK233" s="19">
        <v>7.2999999999999995E-2</v>
      </c>
      <c r="AL233" s="21">
        <f t="shared" si="52"/>
        <v>7.4999999999999997E-2</v>
      </c>
      <c r="AM233" s="19">
        <v>18.669</v>
      </c>
      <c r="AN233" s="19">
        <v>19.172999999999998</v>
      </c>
      <c r="AO233" s="21">
        <f t="shared" si="53"/>
        <v>18.920999999999999</v>
      </c>
      <c r="AP233" s="46">
        <v>0.1691</v>
      </c>
      <c r="AQ233" s="46">
        <v>0.1711</v>
      </c>
      <c r="AR233" s="45">
        <f t="shared" si="54"/>
        <v>0.1701</v>
      </c>
      <c r="AS233" s="3">
        <v>9.77</v>
      </c>
      <c r="AT233" s="95">
        <v>3.2</v>
      </c>
    </row>
    <row r="234" spans="1:47">
      <c r="A234" s="7" t="s">
        <v>137</v>
      </c>
      <c r="B234" s="5" t="s">
        <v>138</v>
      </c>
      <c r="C234" s="6"/>
      <c r="D234" s="6"/>
      <c r="E234" s="23">
        <v>23.4</v>
      </c>
      <c r="F234" s="23">
        <v>7.1</v>
      </c>
      <c r="G234" s="41">
        <v>384</v>
      </c>
      <c r="H234" s="23">
        <v>6.8</v>
      </c>
      <c r="I234" s="23">
        <v>10.3</v>
      </c>
      <c r="J234" s="23">
        <v>11.7</v>
      </c>
      <c r="K234" s="37">
        <v>11.11</v>
      </c>
      <c r="L234" s="37">
        <v>9.5</v>
      </c>
      <c r="M234" s="37">
        <v>9.1999999999999993</v>
      </c>
      <c r="N234" s="20">
        <f t="shared" si="44"/>
        <v>9.9</v>
      </c>
      <c r="O234" s="37">
        <v>5.2</v>
      </c>
      <c r="P234" s="37">
        <v>5.0999999999999996</v>
      </c>
      <c r="Q234" s="38">
        <f t="shared" si="45"/>
        <v>5.2</v>
      </c>
      <c r="R234" s="17">
        <v>12.622999999999999</v>
      </c>
      <c r="S234" s="17">
        <v>12.686999999999999</v>
      </c>
      <c r="T234" s="22">
        <f t="shared" si="46"/>
        <v>12.654999999999999</v>
      </c>
      <c r="U234" s="4">
        <v>7.218</v>
      </c>
      <c r="V234" s="4">
        <v>7.2009999999999996</v>
      </c>
      <c r="W234" s="22">
        <f t="shared" si="47"/>
        <v>7.21</v>
      </c>
      <c r="X234" s="17">
        <v>3.024</v>
      </c>
      <c r="Y234" s="17">
        <v>2.899</v>
      </c>
      <c r="Z234" s="21">
        <f t="shared" si="48"/>
        <v>2.9620000000000002</v>
      </c>
      <c r="AA234" s="19">
        <v>4.2460000000000004</v>
      </c>
      <c r="AB234" s="19">
        <v>4.25</v>
      </c>
      <c r="AC234" s="21">
        <f t="shared" si="49"/>
        <v>4.2480000000000002</v>
      </c>
      <c r="AD234" s="19">
        <v>0.50900000000000001</v>
      </c>
      <c r="AE234" s="19">
        <v>0.51200000000000001</v>
      </c>
      <c r="AF234" s="21">
        <f t="shared" si="50"/>
        <v>0.51100000000000001</v>
      </c>
      <c r="AG234" s="5">
        <v>0.13500000000000001</v>
      </c>
      <c r="AH234" s="5">
        <v>0.128</v>
      </c>
      <c r="AI234" s="21">
        <f t="shared" si="51"/>
        <v>0.13200000000000001</v>
      </c>
      <c r="AJ234" s="5">
        <v>0.113</v>
      </c>
      <c r="AK234" s="5">
        <v>0.109</v>
      </c>
      <c r="AL234" s="21">
        <f t="shared" si="52"/>
        <v>0.111</v>
      </c>
      <c r="AM234" s="19">
        <v>46.392000000000003</v>
      </c>
      <c r="AN234" s="19">
        <v>47.412999999999997</v>
      </c>
      <c r="AO234" s="21">
        <f t="shared" si="53"/>
        <v>46.902999999999999</v>
      </c>
      <c r="AP234" s="46">
        <v>0.1288</v>
      </c>
      <c r="AQ234" s="46">
        <v>0.13070000000000001</v>
      </c>
      <c r="AR234" s="45">
        <f t="shared" si="54"/>
        <v>0.1298</v>
      </c>
      <c r="AS234" s="3">
        <v>8.98</v>
      </c>
      <c r="AT234" s="96">
        <v>-0.69</v>
      </c>
    </row>
    <row r="235" spans="1:47">
      <c r="A235" s="7" t="s">
        <v>158</v>
      </c>
      <c r="B235" s="5" t="s">
        <v>159</v>
      </c>
      <c r="C235" s="6"/>
      <c r="D235" s="6"/>
      <c r="E235" s="23">
        <v>23.6</v>
      </c>
      <c r="F235" s="23">
        <v>6.8</v>
      </c>
      <c r="G235" s="41">
        <v>246</v>
      </c>
      <c r="H235" s="23">
        <v>5.6</v>
      </c>
      <c r="I235" s="23">
        <v>3.2</v>
      </c>
      <c r="J235" s="23">
        <v>6.7</v>
      </c>
      <c r="K235" s="37">
        <v>5.05</v>
      </c>
      <c r="L235" s="37">
        <v>4.7</v>
      </c>
      <c r="M235" s="37"/>
      <c r="N235" s="20">
        <f t="shared" si="44"/>
        <v>4.9000000000000004</v>
      </c>
      <c r="O235" s="37">
        <v>4</v>
      </c>
      <c r="P235" s="37">
        <v>3.8</v>
      </c>
      <c r="Q235" s="38">
        <f t="shared" si="45"/>
        <v>3.9</v>
      </c>
      <c r="R235" s="17">
        <v>2.4489999999999998</v>
      </c>
      <c r="S235" s="17">
        <v>2.5030000000000001</v>
      </c>
      <c r="T235" s="22">
        <f t="shared" si="46"/>
        <v>2.476</v>
      </c>
      <c r="U235" s="17">
        <v>2.2639999999999998</v>
      </c>
      <c r="V235" s="17">
        <v>2.2480000000000002</v>
      </c>
      <c r="W235" s="22">
        <f t="shared" si="47"/>
        <v>2.2559999999999998</v>
      </c>
      <c r="X235" s="17">
        <v>1.76</v>
      </c>
      <c r="Y235" s="17">
        <v>1.734</v>
      </c>
      <c r="Z235" s="21">
        <f t="shared" si="48"/>
        <v>1.7470000000000001</v>
      </c>
      <c r="AA235" s="19">
        <v>0.36499999999999999</v>
      </c>
      <c r="AB235" s="19">
        <v>0.36099999999999999</v>
      </c>
      <c r="AC235" s="21">
        <f t="shared" si="49"/>
        <v>0.36299999999999999</v>
      </c>
      <c r="AD235" s="19">
        <v>0.127</v>
      </c>
      <c r="AE235" s="19">
        <v>0.13200000000000001</v>
      </c>
      <c r="AF235" s="21">
        <f t="shared" si="50"/>
        <v>0.13</v>
      </c>
      <c r="AG235" s="19">
        <v>6.7000000000000004E-2</v>
      </c>
      <c r="AH235" s="19">
        <v>6.3E-2</v>
      </c>
      <c r="AI235" s="21">
        <f t="shared" si="51"/>
        <v>6.5000000000000002E-2</v>
      </c>
      <c r="AJ235" s="19">
        <v>4.7E-2</v>
      </c>
      <c r="AK235" s="19">
        <v>4.7E-2</v>
      </c>
      <c r="AL235" s="21">
        <f t="shared" si="52"/>
        <v>4.7E-2</v>
      </c>
      <c r="AM235" s="19">
        <v>53.216000000000001</v>
      </c>
      <c r="AN235" s="19">
        <v>52.404000000000003</v>
      </c>
      <c r="AO235" s="21">
        <f t="shared" si="53"/>
        <v>52.81</v>
      </c>
      <c r="AP235" s="46">
        <v>0.1132</v>
      </c>
      <c r="AQ235" s="46">
        <v>0.1159</v>
      </c>
      <c r="AR235" s="45">
        <f t="shared" si="54"/>
        <v>0.11459999999999999</v>
      </c>
      <c r="AS235" s="3">
        <v>2.16</v>
      </c>
      <c r="AT235" s="96">
        <v>-3.58</v>
      </c>
    </row>
    <row r="236" spans="1:47">
      <c r="A236" s="8" t="s">
        <v>136</v>
      </c>
      <c r="B236" s="9" t="s">
        <v>34</v>
      </c>
      <c r="C236" s="10" t="s">
        <v>35</v>
      </c>
      <c r="D236" s="10" t="s">
        <v>36</v>
      </c>
      <c r="E236" s="20">
        <v>22</v>
      </c>
      <c r="F236" s="20">
        <v>7.8</v>
      </c>
      <c r="G236" s="40">
        <v>128</v>
      </c>
      <c r="H236" s="20">
        <v>8.5</v>
      </c>
      <c r="I236" s="20">
        <v>0.7</v>
      </c>
      <c r="J236" s="20">
        <v>3</v>
      </c>
      <c r="K236" s="36">
        <v>1.9</v>
      </c>
      <c r="L236" s="36">
        <v>2</v>
      </c>
      <c r="M236" s="36"/>
      <c r="N236" s="38">
        <f>ROUND(AVERAGE(K236:M236),1)</f>
        <v>2</v>
      </c>
      <c r="O236" s="36">
        <v>1.8</v>
      </c>
      <c r="P236" s="36">
        <v>1.7</v>
      </c>
      <c r="Q236" s="38">
        <f>ROUND(AVERAGE(O236:P236),1)</f>
        <v>1.8</v>
      </c>
      <c r="R236" s="16">
        <v>0.88900000000000001</v>
      </c>
      <c r="S236" s="16">
        <v>0.93700000000000006</v>
      </c>
      <c r="T236" s="22">
        <f>ROUND(AVERAGE(R236:S236),3)</f>
        <v>0.91300000000000003</v>
      </c>
      <c r="U236" s="32">
        <v>0.84799999999999998</v>
      </c>
      <c r="V236" s="32">
        <v>0.84899999999999998</v>
      </c>
      <c r="W236" s="33">
        <f>ROUND(AVERAGE(U236:V236),3)</f>
        <v>0.84899999999999998</v>
      </c>
      <c r="X236" s="16">
        <v>3.6999999999999998E-2</v>
      </c>
      <c r="Y236" s="16">
        <v>0.04</v>
      </c>
      <c r="Z236" s="21">
        <f>ROUND(AVERAGE(X236:Y236),3)</f>
        <v>3.9E-2</v>
      </c>
      <c r="AA236" s="18">
        <v>0.749</v>
      </c>
      <c r="AB236" s="18">
        <v>0.79500000000000004</v>
      </c>
      <c r="AC236" s="21">
        <f>ROUND(AVERAGE(AA236:AB236),3)</f>
        <v>0.77200000000000002</v>
      </c>
      <c r="AD236" s="18">
        <v>3.9E-2</v>
      </c>
      <c r="AE236" s="18">
        <v>4.3999999999999997E-2</v>
      </c>
      <c r="AF236" s="21">
        <f>ROUND(AVERAGE(AD236:AE236),3)</f>
        <v>4.2000000000000003E-2</v>
      </c>
      <c r="AG236" s="29">
        <v>3.1E-2</v>
      </c>
      <c r="AH236" s="29">
        <v>2.5000000000000001E-2</v>
      </c>
      <c r="AI236" s="31">
        <f>ROUND(AVERAGE(AG236:AH236),3)</f>
        <v>2.8000000000000001E-2</v>
      </c>
      <c r="AJ236" s="29">
        <v>1.4E-2</v>
      </c>
      <c r="AK236" s="29">
        <v>1.2999999999999999E-2</v>
      </c>
      <c r="AL236" s="31">
        <f>ROUND(AVERAGE(AJ236:AK236),3)</f>
        <v>1.4E-2</v>
      </c>
      <c r="AM236" s="18">
        <v>10.35</v>
      </c>
      <c r="AN236" s="18">
        <v>10.739000000000001</v>
      </c>
      <c r="AO236" s="21">
        <f>ROUND(AVERAGE(AM236:AN236),3)</f>
        <v>10.545</v>
      </c>
      <c r="AP236" s="25">
        <v>5.45E-2</v>
      </c>
      <c r="AQ236" s="25">
        <v>5.4600000000000003E-2</v>
      </c>
      <c r="AR236" s="26">
        <f>ROUND(AVERAGE(AP236:AQ236),4)</f>
        <v>5.4600000000000003E-2</v>
      </c>
      <c r="AS236" s="93">
        <v>6.11</v>
      </c>
      <c r="AT236" s="93">
        <v>2.89</v>
      </c>
    </row>
    <row r="237" spans="1:47">
      <c r="A237" s="7" t="s">
        <v>37</v>
      </c>
      <c r="B237" s="5" t="s">
        <v>38</v>
      </c>
      <c r="C237" s="6" t="s">
        <v>39</v>
      </c>
      <c r="D237" s="6" t="s">
        <v>40</v>
      </c>
      <c r="E237" s="23">
        <v>22.9</v>
      </c>
      <c r="F237" s="23">
        <v>7.1</v>
      </c>
      <c r="G237" s="41">
        <v>66</v>
      </c>
      <c r="H237" s="23">
        <v>7.7</v>
      </c>
      <c r="I237" s="23">
        <v>1</v>
      </c>
      <c r="J237" s="23">
        <v>4.4000000000000004</v>
      </c>
      <c r="K237" s="37">
        <v>3.3</v>
      </c>
      <c r="L237" s="37">
        <v>3</v>
      </c>
      <c r="M237" s="37"/>
      <c r="N237" s="38">
        <f t="shared" ref="N237:N273" si="55">ROUND(AVERAGE(K237:M237),1)</f>
        <v>3.2</v>
      </c>
      <c r="O237" s="37">
        <v>2.4</v>
      </c>
      <c r="P237" s="37">
        <v>2.2999999999999998</v>
      </c>
      <c r="Q237" s="38">
        <f t="shared" ref="Q237:Q273" si="56">ROUND(AVERAGE(O237:P237),1)</f>
        <v>2.4</v>
      </c>
      <c r="R237" s="17">
        <v>0.98099999999999998</v>
      </c>
      <c r="S237" s="17">
        <v>0.96299999999999997</v>
      </c>
      <c r="T237" s="22">
        <f t="shared" ref="T237:T273" si="57">ROUND(AVERAGE(R237:S237),3)</f>
        <v>0.97199999999999998</v>
      </c>
      <c r="U237" s="34">
        <v>0.85599999999999998</v>
      </c>
      <c r="V237" s="34">
        <v>0.86499999999999999</v>
      </c>
      <c r="W237" s="33">
        <f t="shared" ref="W237:W273" si="58">ROUND(AVERAGE(U237:V237),3)</f>
        <v>0.86099999999999999</v>
      </c>
      <c r="X237" s="17">
        <v>3.1E-2</v>
      </c>
      <c r="Y237" s="17">
        <v>3.4000000000000002E-2</v>
      </c>
      <c r="Z237" s="21">
        <f t="shared" ref="Z237:Z273" si="59">ROUND(AVERAGE(X237:Y237),3)</f>
        <v>3.3000000000000002E-2</v>
      </c>
      <c r="AA237" s="19">
        <v>0.754</v>
      </c>
      <c r="AB237" s="19">
        <v>0.78500000000000003</v>
      </c>
      <c r="AC237" s="21">
        <f t="shared" ref="AC237:AC273" si="60">ROUND(AVERAGE(AA237:AB237),3)</f>
        <v>0.77</v>
      </c>
      <c r="AD237" s="19">
        <v>3.7999999999999999E-2</v>
      </c>
      <c r="AE237" s="19">
        <v>3.3000000000000002E-2</v>
      </c>
      <c r="AF237" s="21">
        <f t="shared" ref="AF237:AF273" si="61">ROUND(AVERAGE(AD237:AE237),3)</f>
        <v>3.5999999999999997E-2</v>
      </c>
      <c r="AG237" s="30">
        <v>1.2999999999999999E-2</v>
      </c>
      <c r="AH237" s="30">
        <v>1.2E-2</v>
      </c>
      <c r="AI237" s="31">
        <f t="shared" ref="AI237:AI273" si="62">ROUND(AVERAGE(AG237:AH237),3)</f>
        <v>1.2999999999999999E-2</v>
      </c>
      <c r="AJ237" s="30">
        <v>1E-3</v>
      </c>
      <c r="AK237" s="30">
        <v>0</v>
      </c>
      <c r="AL237" s="31">
        <f t="shared" ref="AL237:AL273" si="63">ROUND(AVERAGE(AJ237:AK237),3)</f>
        <v>1E-3</v>
      </c>
      <c r="AM237" s="19">
        <v>4.0720000000000001</v>
      </c>
      <c r="AN237" s="19">
        <v>4.1779999999999999</v>
      </c>
      <c r="AO237" s="21">
        <f t="shared" ref="AO237:AO273" si="64">ROUND(AVERAGE(AM237:AN237),3)</f>
        <v>4.125</v>
      </c>
      <c r="AP237" s="27">
        <v>6.6699999999999995E-2</v>
      </c>
      <c r="AQ237" s="27">
        <v>6.7699999999999996E-2</v>
      </c>
      <c r="AR237" s="26">
        <f t="shared" ref="AR237:AR273" si="65">ROUND(AVERAGE(AP237:AQ237),4)</f>
        <v>6.7199999999999996E-2</v>
      </c>
      <c r="AS237" s="94">
        <v>3.81</v>
      </c>
      <c r="AT237" s="94">
        <v>2.95</v>
      </c>
      <c r="AU237" s="94"/>
    </row>
    <row r="238" spans="1:47">
      <c r="A238" s="7" t="s">
        <v>0</v>
      </c>
      <c r="B238" s="5" t="s">
        <v>41</v>
      </c>
      <c r="C238" s="6" t="s">
        <v>42</v>
      </c>
      <c r="D238" s="6" t="s">
        <v>36</v>
      </c>
      <c r="E238" s="23">
        <v>22.7</v>
      </c>
      <c r="F238" s="23">
        <v>7</v>
      </c>
      <c r="G238" s="41">
        <v>77</v>
      </c>
      <c r="H238" s="23">
        <v>8.1999999999999993</v>
      </c>
      <c r="I238" s="23">
        <v>0.8</v>
      </c>
      <c r="J238" s="23">
        <v>4</v>
      </c>
      <c r="K238" s="37">
        <v>2.8</v>
      </c>
      <c r="L238" s="37">
        <v>2.7</v>
      </c>
      <c r="M238" s="37"/>
      <c r="N238" s="38">
        <f t="shared" si="55"/>
        <v>2.8</v>
      </c>
      <c r="O238" s="37">
        <v>2.2999999999999998</v>
      </c>
      <c r="P238" s="37">
        <v>2.2000000000000002</v>
      </c>
      <c r="Q238" s="38">
        <f t="shared" si="56"/>
        <v>2.2999999999999998</v>
      </c>
      <c r="R238" s="17">
        <v>0.998</v>
      </c>
      <c r="S238" s="17">
        <v>0.97099999999999997</v>
      </c>
      <c r="T238" s="22">
        <f t="shared" si="57"/>
        <v>0.98499999999999999</v>
      </c>
      <c r="U238" s="34">
        <v>0.87</v>
      </c>
      <c r="V238" s="34">
        <v>0.85099999999999998</v>
      </c>
      <c r="W238" s="33">
        <f t="shared" si="58"/>
        <v>0.86099999999999999</v>
      </c>
      <c r="X238" s="17">
        <v>2.8000000000000001E-2</v>
      </c>
      <c r="Y238" s="17">
        <v>3.1E-2</v>
      </c>
      <c r="Z238" s="21">
        <f t="shared" si="59"/>
        <v>0.03</v>
      </c>
      <c r="AA238" s="19">
        <v>0.75800000000000001</v>
      </c>
      <c r="AB238" s="19">
        <v>0.79300000000000004</v>
      </c>
      <c r="AC238" s="21">
        <f t="shared" si="60"/>
        <v>0.77600000000000002</v>
      </c>
      <c r="AD238" s="19">
        <v>3.9E-2</v>
      </c>
      <c r="AE238" s="19">
        <v>3.5999999999999997E-2</v>
      </c>
      <c r="AF238" s="21">
        <f t="shared" si="61"/>
        <v>3.7999999999999999E-2</v>
      </c>
      <c r="AG238" s="30">
        <v>1.2999999999999999E-2</v>
      </c>
      <c r="AH238" s="30">
        <v>1.2E-2</v>
      </c>
      <c r="AI238" s="31">
        <f t="shared" si="62"/>
        <v>1.2999999999999999E-2</v>
      </c>
      <c r="AJ238" s="30">
        <v>1E-3</v>
      </c>
      <c r="AK238" s="30">
        <v>0</v>
      </c>
      <c r="AL238" s="31">
        <f t="shared" si="63"/>
        <v>1E-3</v>
      </c>
      <c r="AM238" s="19">
        <v>4.9989999999999997</v>
      </c>
      <c r="AN238" s="19">
        <v>5.149</v>
      </c>
      <c r="AO238" s="21">
        <f t="shared" si="64"/>
        <v>5.0739999999999998</v>
      </c>
      <c r="AP238" s="27">
        <v>6.3799999999999996E-2</v>
      </c>
      <c r="AQ238" s="27">
        <v>6.4600000000000005E-2</v>
      </c>
      <c r="AR238" s="26">
        <f t="shared" si="65"/>
        <v>6.4199999999999993E-2</v>
      </c>
      <c r="AS238" s="94">
        <v>4.62</v>
      </c>
      <c r="AT238" s="94">
        <v>2.84</v>
      </c>
    </row>
    <row r="239" spans="1:47">
      <c r="A239" s="7" t="s">
        <v>1</v>
      </c>
      <c r="B239" s="5" t="s">
        <v>43</v>
      </c>
      <c r="C239" s="6" t="s">
        <v>44</v>
      </c>
      <c r="D239" s="6" t="s">
        <v>45</v>
      </c>
      <c r="E239" s="23">
        <v>23.5</v>
      </c>
      <c r="F239" s="23">
        <v>7.1</v>
      </c>
      <c r="G239" s="41">
        <v>76</v>
      </c>
      <c r="H239" s="23">
        <v>8</v>
      </c>
      <c r="I239" s="23">
        <v>0.7</v>
      </c>
      <c r="J239" s="23">
        <v>3.8</v>
      </c>
      <c r="K239" s="37">
        <v>2.6</v>
      </c>
      <c r="L239" s="37">
        <v>2.5</v>
      </c>
      <c r="M239" s="37"/>
      <c r="N239" s="38">
        <f t="shared" si="55"/>
        <v>2.6</v>
      </c>
      <c r="O239" s="37">
        <v>2.2999999999999998</v>
      </c>
      <c r="P239" s="37">
        <v>2.2999999999999998</v>
      </c>
      <c r="Q239" s="38">
        <f t="shared" si="56"/>
        <v>2.2999999999999998</v>
      </c>
      <c r="R239" s="17">
        <v>0.70799999999999996</v>
      </c>
      <c r="S239" s="17">
        <v>0.71599999999999997</v>
      </c>
      <c r="T239" s="22">
        <f t="shared" si="57"/>
        <v>0.71199999999999997</v>
      </c>
      <c r="U239" s="34">
        <v>0.58899999999999997</v>
      </c>
      <c r="V239" s="34">
        <v>0.58299999999999996</v>
      </c>
      <c r="W239" s="33">
        <f t="shared" si="58"/>
        <v>0.58599999999999997</v>
      </c>
      <c r="X239" s="17">
        <v>4.7E-2</v>
      </c>
      <c r="Y239" s="17">
        <v>4.4999999999999998E-2</v>
      </c>
      <c r="Z239" s="21">
        <f t="shared" si="59"/>
        <v>4.5999999999999999E-2</v>
      </c>
      <c r="AA239" s="19">
        <v>0.501</v>
      </c>
      <c r="AB239" s="19">
        <v>0.53200000000000003</v>
      </c>
      <c r="AC239" s="21">
        <f t="shared" si="60"/>
        <v>0.51700000000000002</v>
      </c>
      <c r="AD239" s="19">
        <v>4.3999999999999997E-2</v>
      </c>
      <c r="AE239" s="19">
        <v>0.04</v>
      </c>
      <c r="AF239" s="21">
        <f t="shared" si="61"/>
        <v>4.2000000000000003E-2</v>
      </c>
      <c r="AG239" s="30">
        <v>2.3E-2</v>
      </c>
      <c r="AH239" s="30">
        <v>2.4E-2</v>
      </c>
      <c r="AI239" s="31">
        <f t="shared" si="62"/>
        <v>2.4E-2</v>
      </c>
      <c r="AJ239" s="30">
        <v>1.0999999999999999E-2</v>
      </c>
      <c r="AK239" s="30">
        <v>0.01</v>
      </c>
      <c r="AL239" s="31">
        <f t="shared" si="63"/>
        <v>1.0999999999999999E-2</v>
      </c>
      <c r="AM239" s="19">
        <v>4.3739999999999997</v>
      </c>
      <c r="AN239" s="19">
        <v>4.524</v>
      </c>
      <c r="AO239" s="21">
        <f t="shared" si="64"/>
        <v>4.4489999999999998</v>
      </c>
      <c r="AP239" s="27">
        <v>8.9700000000000002E-2</v>
      </c>
      <c r="AQ239" s="27">
        <v>8.9700000000000002E-2</v>
      </c>
      <c r="AR239" s="26">
        <f t="shared" si="65"/>
        <v>8.9700000000000002E-2</v>
      </c>
      <c r="AS239" s="94">
        <v>6.03</v>
      </c>
      <c r="AT239" s="94">
        <v>1.99</v>
      </c>
      <c r="AU239" s="94"/>
    </row>
    <row r="240" spans="1:47">
      <c r="A240" s="7" t="s">
        <v>2</v>
      </c>
      <c r="B240" s="5" t="s">
        <v>46</v>
      </c>
      <c r="C240" s="6" t="s">
        <v>47</v>
      </c>
      <c r="D240" s="6" t="s">
        <v>36</v>
      </c>
      <c r="E240" s="23">
        <v>23.1</v>
      </c>
      <c r="F240" s="23">
        <v>7</v>
      </c>
      <c r="G240" s="41">
        <v>81</v>
      </c>
      <c r="H240" s="23">
        <v>8</v>
      </c>
      <c r="I240" s="23">
        <v>0.8</v>
      </c>
      <c r="J240" s="23">
        <v>3.7</v>
      </c>
      <c r="K240" s="37">
        <v>3</v>
      </c>
      <c r="L240" s="37">
        <v>2.8</v>
      </c>
      <c r="M240" s="37"/>
      <c r="N240" s="38">
        <f t="shared" si="55"/>
        <v>2.9</v>
      </c>
      <c r="O240" s="37">
        <v>2.2000000000000002</v>
      </c>
      <c r="P240" s="37">
        <v>2.1</v>
      </c>
      <c r="Q240" s="38">
        <f t="shared" si="56"/>
        <v>2.2000000000000002</v>
      </c>
      <c r="R240" s="17">
        <v>0.99399999999999999</v>
      </c>
      <c r="S240" s="17">
        <v>1.0109999999999999</v>
      </c>
      <c r="T240" s="22">
        <f t="shared" si="57"/>
        <v>1.0029999999999999</v>
      </c>
      <c r="U240" s="34">
        <v>0.85399999999999998</v>
      </c>
      <c r="V240" s="34">
        <v>0.871</v>
      </c>
      <c r="W240" s="33">
        <f t="shared" si="58"/>
        <v>0.86299999999999999</v>
      </c>
      <c r="X240" s="17">
        <v>5.6000000000000001E-2</v>
      </c>
      <c r="Y240" s="17">
        <v>4.9000000000000002E-2</v>
      </c>
      <c r="Z240" s="21">
        <f t="shared" si="59"/>
        <v>5.2999999999999999E-2</v>
      </c>
      <c r="AA240" s="19">
        <v>0.75700000000000001</v>
      </c>
      <c r="AB240" s="19">
        <v>0.78900000000000003</v>
      </c>
      <c r="AC240" s="21">
        <f t="shared" si="60"/>
        <v>0.77300000000000002</v>
      </c>
      <c r="AD240" s="19">
        <v>5.0999999999999997E-2</v>
      </c>
      <c r="AE240" s="19">
        <v>4.8000000000000001E-2</v>
      </c>
      <c r="AF240" s="21">
        <f t="shared" si="61"/>
        <v>0.05</v>
      </c>
      <c r="AG240" s="30">
        <v>1.7999999999999999E-2</v>
      </c>
      <c r="AH240" s="30">
        <v>1.9E-2</v>
      </c>
      <c r="AI240" s="31">
        <f t="shared" si="62"/>
        <v>1.9E-2</v>
      </c>
      <c r="AJ240" s="30">
        <v>6.0000000000000001E-3</v>
      </c>
      <c r="AK240" s="30">
        <v>8.0000000000000002E-3</v>
      </c>
      <c r="AL240" s="31">
        <f t="shared" si="63"/>
        <v>7.0000000000000001E-3</v>
      </c>
      <c r="AM240" s="19">
        <v>5.27</v>
      </c>
      <c r="AN240" s="19">
        <v>5.423</v>
      </c>
      <c r="AO240" s="21">
        <f t="shared" si="64"/>
        <v>5.3470000000000004</v>
      </c>
      <c r="AP240" s="27">
        <v>6.6900000000000001E-2</v>
      </c>
      <c r="AQ240" s="27">
        <v>6.7900000000000002E-2</v>
      </c>
      <c r="AR240" s="26">
        <f t="shared" si="65"/>
        <v>6.7400000000000002E-2</v>
      </c>
      <c r="AS240" s="94">
        <v>4.99</v>
      </c>
      <c r="AT240" s="94">
        <v>2.78</v>
      </c>
    </row>
    <row r="241" spans="1:47">
      <c r="A241" s="7" t="s">
        <v>3</v>
      </c>
      <c r="B241" s="5" t="s">
        <v>46</v>
      </c>
      <c r="C241" s="6" t="s">
        <v>44</v>
      </c>
      <c r="D241" s="6" t="s">
        <v>48</v>
      </c>
      <c r="E241" s="23">
        <v>23.4</v>
      </c>
      <c r="F241" s="23">
        <v>7.1</v>
      </c>
      <c r="G241" s="41">
        <v>96</v>
      </c>
      <c r="H241" s="23">
        <v>8.1</v>
      </c>
      <c r="I241" s="23">
        <v>0.8</v>
      </c>
      <c r="J241" s="23">
        <v>3.9</v>
      </c>
      <c r="K241" s="37">
        <v>3.1</v>
      </c>
      <c r="L241" s="37">
        <v>3.1</v>
      </c>
      <c r="M241" s="37"/>
      <c r="N241" s="38">
        <f t="shared" si="55"/>
        <v>3.1</v>
      </c>
      <c r="O241" s="37">
        <v>2.4</v>
      </c>
      <c r="P241" s="37">
        <v>2.2999999999999998</v>
      </c>
      <c r="Q241" s="38">
        <f t="shared" si="56"/>
        <v>2.4</v>
      </c>
      <c r="R241" s="17">
        <v>1.0620000000000001</v>
      </c>
      <c r="S241" s="17">
        <v>1.0620000000000001</v>
      </c>
      <c r="T241" s="22">
        <f t="shared" si="57"/>
        <v>1.0620000000000001</v>
      </c>
      <c r="U241" s="34">
        <v>0.91800000000000004</v>
      </c>
      <c r="V241" s="34">
        <v>0.91</v>
      </c>
      <c r="W241" s="33">
        <f t="shared" si="58"/>
        <v>0.91400000000000003</v>
      </c>
      <c r="X241" s="17">
        <v>7.1999999999999995E-2</v>
      </c>
      <c r="Y241" s="17">
        <v>7.8E-2</v>
      </c>
      <c r="Z241" s="21">
        <f t="shared" si="59"/>
        <v>7.4999999999999997E-2</v>
      </c>
      <c r="AA241" s="19">
        <v>0.76100000000000001</v>
      </c>
      <c r="AB241" s="19">
        <v>0.79200000000000004</v>
      </c>
      <c r="AC241" s="21">
        <f t="shared" si="60"/>
        <v>0.77700000000000002</v>
      </c>
      <c r="AD241" s="19">
        <v>6.5000000000000002E-2</v>
      </c>
      <c r="AE241" s="19">
        <v>6.0999999999999999E-2</v>
      </c>
      <c r="AF241" s="21">
        <f t="shared" si="61"/>
        <v>6.3E-2</v>
      </c>
      <c r="AG241" s="30">
        <v>3.1E-2</v>
      </c>
      <c r="AH241" s="30">
        <v>3.1E-2</v>
      </c>
      <c r="AI241" s="31">
        <f t="shared" si="62"/>
        <v>3.1E-2</v>
      </c>
      <c r="AJ241" s="30">
        <v>1.9E-2</v>
      </c>
      <c r="AK241" s="30">
        <v>1.9E-2</v>
      </c>
      <c r="AL241" s="31">
        <f t="shared" si="63"/>
        <v>1.9E-2</v>
      </c>
      <c r="AM241" s="19">
        <v>5.5119999999999996</v>
      </c>
      <c r="AN241" s="19">
        <v>5.6440000000000001</v>
      </c>
      <c r="AO241" s="21">
        <f t="shared" si="64"/>
        <v>5.5780000000000003</v>
      </c>
      <c r="AP241" s="27">
        <v>8.6800000000000002E-2</v>
      </c>
      <c r="AQ241" s="27">
        <v>8.7499999999999994E-2</v>
      </c>
      <c r="AR241" s="26">
        <f t="shared" si="65"/>
        <v>8.72E-2</v>
      </c>
      <c r="AS241" s="95">
        <v>6.02</v>
      </c>
      <c r="AT241" s="95">
        <v>1.75</v>
      </c>
      <c r="AU241" s="95"/>
    </row>
    <row r="242" spans="1:47">
      <c r="A242" s="7" t="s">
        <v>4</v>
      </c>
      <c r="B242" s="5" t="s">
        <v>49</v>
      </c>
      <c r="C242" s="6" t="s">
        <v>44</v>
      </c>
      <c r="D242" s="6" t="s">
        <v>36</v>
      </c>
      <c r="E242" s="23">
        <v>23.2</v>
      </c>
      <c r="F242" s="23">
        <v>6.8</v>
      </c>
      <c r="G242" s="41">
        <v>88</v>
      </c>
      <c r="H242" s="23">
        <v>7.5</v>
      </c>
      <c r="I242" s="23">
        <v>0.7</v>
      </c>
      <c r="J242" s="23">
        <v>3.9</v>
      </c>
      <c r="K242" s="37">
        <v>2.5</v>
      </c>
      <c r="L242" s="37">
        <v>2.5</v>
      </c>
      <c r="M242" s="37"/>
      <c r="N242" s="38">
        <f t="shared" si="55"/>
        <v>2.5</v>
      </c>
      <c r="O242" s="37">
        <v>2.1</v>
      </c>
      <c r="P242" s="37">
        <v>2.2000000000000002</v>
      </c>
      <c r="Q242" s="38">
        <f t="shared" si="56"/>
        <v>2.2000000000000002</v>
      </c>
      <c r="R242" s="17">
        <v>1.0269999999999999</v>
      </c>
      <c r="S242" s="17">
        <v>1.018</v>
      </c>
      <c r="T242" s="22">
        <f t="shared" si="57"/>
        <v>1.0229999999999999</v>
      </c>
      <c r="U242" s="34">
        <v>0.90100000000000002</v>
      </c>
      <c r="V242" s="34">
        <v>0.91300000000000003</v>
      </c>
      <c r="W242" s="33">
        <f t="shared" si="58"/>
        <v>0.90700000000000003</v>
      </c>
      <c r="X242" s="17">
        <v>4.2999999999999997E-2</v>
      </c>
      <c r="Y242" s="17">
        <v>4.5999999999999999E-2</v>
      </c>
      <c r="Z242" s="21">
        <f t="shared" si="59"/>
        <v>4.4999999999999998E-2</v>
      </c>
      <c r="AA242" s="19">
        <v>0.80100000000000005</v>
      </c>
      <c r="AB242" s="19">
        <v>0.82799999999999996</v>
      </c>
      <c r="AC242" s="21">
        <f t="shared" si="60"/>
        <v>0.81499999999999995</v>
      </c>
      <c r="AD242" s="19">
        <v>5.2999999999999999E-2</v>
      </c>
      <c r="AE242" s="19">
        <v>4.9000000000000002E-2</v>
      </c>
      <c r="AF242" s="21">
        <f t="shared" si="61"/>
        <v>5.0999999999999997E-2</v>
      </c>
      <c r="AG242" s="30">
        <v>2.4E-2</v>
      </c>
      <c r="AH242" s="30">
        <v>2.4E-2</v>
      </c>
      <c r="AI242" s="31">
        <f t="shared" si="62"/>
        <v>2.4E-2</v>
      </c>
      <c r="AJ242" s="30">
        <v>1.2999999999999999E-2</v>
      </c>
      <c r="AK242" s="30">
        <v>1.4999999999999999E-2</v>
      </c>
      <c r="AL242" s="31">
        <f t="shared" si="63"/>
        <v>1.4E-2</v>
      </c>
      <c r="AM242" s="19">
        <v>5.6890000000000001</v>
      </c>
      <c r="AN242" s="19">
        <v>5.8760000000000003</v>
      </c>
      <c r="AO242" s="21">
        <f t="shared" si="64"/>
        <v>5.7830000000000004</v>
      </c>
      <c r="AP242" s="27">
        <v>6.8199999999999997E-2</v>
      </c>
      <c r="AQ242" s="27">
        <v>6.88E-2</v>
      </c>
      <c r="AR242" s="26">
        <f t="shared" si="65"/>
        <v>6.8500000000000005E-2</v>
      </c>
      <c r="AS242" s="95">
        <v>5.99</v>
      </c>
      <c r="AT242" s="95">
        <v>2.52</v>
      </c>
    </row>
    <row r="243" spans="1:47">
      <c r="A243" s="7" t="s">
        <v>5</v>
      </c>
      <c r="B243" s="5" t="s">
        <v>50</v>
      </c>
      <c r="C243" s="6" t="s">
        <v>42</v>
      </c>
      <c r="D243" s="6" t="s">
        <v>51</v>
      </c>
      <c r="E243" s="23">
        <v>23.6</v>
      </c>
      <c r="F243" s="23">
        <v>6.8</v>
      </c>
      <c r="G243" s="41">
        <v>111</v>
      </c>
      <c r="H243" s="23">
        <v>7.4</v>
      </c>
      <c r="I243" s="23">
        <v>0.6</v>
      </c>
      <c r="J243" s="23">
        <v>2.8</v>
      </c>
      <c r="K243" s="37">
        <v>1.9</v>
      </c>
      <c r="L243" s="37">
        <v>1.8</v>
      </c>
      <c r="M243" s="37"/>
      <c r="N243" s="38">
        <f t="shared" si="55"/>
        <v>1.9</v>
      </c>
      <c r="O243" s="37">
        <v>1.5</v>
      </c>
      <c r="P243" s="37">
        <v>1.5</v>
      </c>
      <c r="Q243" s="38">
        <f t="shared" si="56"/>
        <v>1.5</v>
      </c>
      <c r="R243" s="17">
        <v>1.7829999999999999</v>
      </c>
      <c r="S243" s="17">
        <v>1.841</v>
      </c>
      <c r="T243" s="22">
        <f t="shared" si="57"/>
        <v>1.8120000000000001</v>
      </c>
      <c r="U243" s="34">
        <v>1.698</v>
      </c>
      <c r="V243" s="34">
        <v>1.698</v>
      </c>
      <c r="W243" s="33">
        <f t="shared" si="58"/>
        <v>1.698</v>
      </c>
      <c r="X243" s="17">
        <v>7.1999999999999995E-2</v>
      </c>
      <c r="Y243" s="17">
        <v>7.2999999999999995E-2</v>
      </c>
      <c r="Z243" s="21">
        <f t="shared" si="59"/>
        <v>7.2999999999999995E-2</v>
      </c>
      <c r="AA243" s="19">
        <v>1.5449999999999999</v>
      </c>
      <c r="AB243" s="19">
        <v>1.6240000000000001</v>
      </c>
      <c r="AC243" s="21">
        <f t="shared" si="60"/>
        <v>1.585</v>
      </c>
      <c r="AD243" s="19">
        <v>0.20599999999999999</v>
      </c>
      <c r="AE243" s="19">
        <v>0.20799999999999999</v>
      </c>
      <c r="AF243" s="21">
        <f t="shared" si="61"/>
        <v>0.20699999999999999</v>
      </c>
      <c r="AG243" s="30">
        <v>0.16700000000000001</v>
      </c>
      <c r="AH243" s="30">
        <v>0.17599999999999999</v>
      </c>
      <c r="AI243" s="31">
        <f t="shared" si="62"/>
        <v>0.17199999999999999</v>
      </c>
      <c r="AJ243" s="30">
        <v>0.16600000000000001</v>
      </c>
      <c r="AK243" s="30">
        <v>0.17100000000000001</v>
      </c>
      <c r="AL243" s="31">
        <f t="shared" si="63"/>
        <v>0.16900000000000001</v>
      </c>
      <c r="AM243" s="19">
        <v>7.0750000000000002</v>
      </c>
      <c r="AN243" s="19">
        <v>7.3440000000000003</v>
      </c>
      <c r="AO243" s="21">
        <f t="shared" si="64"/>
        <v>7.21</v>
      </c>
      <c r="AP243" s="27">
        <v>4.0599999999999997E-2</v>
      </c>
      <c r="AQ243" s="27">
        <v>4.1300000000000003E-2</v>
      </c>
      <c r="AR243" s="26">
        <f t="shared" si="65"/>
        <v>4.1000000000000002E-2</v>
      </c>
      <c r="AS243" s="95">
        <v>11.9</v>
      </c>
      <c r="AT243" s="95">
        <v>5.72</v>
      </c>
      <c r="AU243" s="95"/>
    </row>
    <row r="244" spans="1:47">
      <c r="A244" s="7" t="s">
        <v>6</v>
      </c>
      <c r="B244" s="5" t="s">
        <v>52</v>
      </c>
      <c r="C244" s="6" t="s">
        <v>53</v>
      </c>
      <c r="D244" s="6" t="s">
        <v>36</v>
      </c>
      <c r="E244" s="23">
        <v>24.7</v>
      </c>
      <c r="F244" s="23">
        <v>6.9</v>
      </c>
      <c r="G244" s="41">
        <v>107</v>
      </c>
      <c r="H244" s="23">
        <v>7.6</v>
      </c>
      <c r="I244" s="23">
        <v>0.7</v>
      </c>
      <c r="J244" s="23">
        <v>3.5</v>
      </c>
      <c r="K244" s="37">
        <v>2.4</v>
      </c>
      <c r="L244" s="37">
        <v>2.5</v>
      </c>
      <c r="M244" s="37"/>
      <c r="N244" s="38">
        <f t="shared" si="55"/>
        <v>2.5</v>
      </c>
      <c r="O244" s="37">
        <v>1.9</v>
      </c>
      <c r="P244" s="37">
        <v>2</v>
      </c>
      <c r="Q244" s="38">
        <f t="shared" si="56"/>
        <v>2</v>
      </c>
      <c r="R244" s="17">
        <v>1.38</v>
      </c>
      <c r="S244" s="17">
        <v>1.383</v>
      </c>
      <c r="T244" s="22">
        <f t="shared" si="57"/>
        <v>1.3819999999999999</v>
      </c>
      <c r="U244" s="34">
        <v>1.208</v>
      </c>
      <c r="V244" s="34">
        <v>1.222</v>
      </c>
      <c r="W244" s="33">
        <f t="shared" si="58"/>
        <v>1.2150000000000001</v>
      </c>
      <c r="X244" s="17">
        <v>7.4999999999999997E-2</v>
      </c>
      <c r="Y244" s="17">
        <v>7.1999999999999995E-2</v>
      </c>
      <c r="Z244" s="21">
        <f t="shared" si="59"/>
        <v>7.3999999999999996E-2</v>
      </c>
      <c r="AA244" s="19">
        <v>1.0860000000000001</v>
      </c>
      <c r="AB244" s="19">
        <v>1.133</v>
      </c>
      <c r="AC244" s="21">
        <f t="shared" si="60"/>
        <v>1.1100000000000001</v>
      </c>
      <c r="AD244" s="19">
        <v>0.107</v>
      </c>
      <c r="AE244" s="19">
        <v>0.10299999999999999</v>
      </c>
      <c r="AF244" s="21">
        <f t="shared" si="61"/>
        <v>0.105</v>
      </c>
      <c r="AG244" s="30">
        <v>6.8000000000000005E-2</v>
      </c>
      <c r="AH244" s="30">
        <v>6.5000000000000002E-2</v>
      </c>
      <c r="AI244" s="31">
        <f t="shared" si="62"/>
        <v>6.7000000000000004E-2</v>
      </c>
      <c r="AJ244" s="30">
        <v>6.4000000000000001E-2</v>
      </c>
      <c r="AK244" s="30">
        <v>6.3E-2</v>
      </c>
      <c r="AL244" s="31">
        <f t="shared" si="63"/>
        <v>6.4000000000000001E-2</v>
      </c>
      <c r="AM244" s="19">
        <v>6.7149999999999999</v>
      </c>
      <c r="AN244" s="19">
        <v>6.9210000000000003</v>
      </c>
      <c r="AO244" s="21">
        <f t="shared" si="64"/>
        <v>6.8179999999999996</v>
      </c>
      <c r="AP244" s="27">
        <v>5.62E-2</v>
      </c>
      <c r="AQ244" s="27">
        <v>5.67E-2</v>
      </c>
      <c r="AR244" s="26">
        <f t="shared" si="65"/>
        <v>5.6500000000000002E-2</v>
      </c>
      <c r="AS244" s="95">
        <v>8.8699999999999992</v>
      </c>
      <c r="AT244" s="95">
        <v>4.33</v>
      </c>
    </row>
    <row r="245" spans="1:47">
      <c r="A245" s="7" t="s">
        <v>7</v>
      </c>
      <c r="B245" s="5" t="s">
        <v>54</v>
      </c>
      <c r="C245" s="6" t="s">
        <v>55</v>
      </c>
      <c r="D245" s="6" t="s">
        <v>56</v>
      </c>
      <c r="E245" s="23">
        <v>24.3</v>
      </c>
      <c r="F245" s="23">
        <v>7</v>
      </c>
      <c r="G245" s="41">
        <v>104</v>
      </c>
      <c r="H245" s="23">
        <v>7.5</v>
      </c>
      <c r="I245" s="23">
        <v>1.2</v>
      </c>
      <c r="J245" s="23">
        <v>6.6</v>
      </c>
      <c r="K245" s="37">
        <v>4.7</v>
      </c>
      <c r="L245" s="37">
        <v>4.5999999999999996</v>
      </c>
      <c r="M245" s="37"/>
      <c r="N245" s="38">
        <f t="shared" si="55"/>
        <v>4.7</v>
      </c>
      <c r="O245" s="37">
        <v>4</v>
      </c>
      <c r="P245" s="37">
        <v>4</v>
      </c>
      <c r="Q245" s="38">
        <f t="shared" si="56"/>
        <v>4</v>
      </c>
      <c r="R245" s="17">
        <v>1.1719999999999999</v>
      </c>
      <c r="S245" s="17">
        <v>1.169</v>
      </c>
      <c r="T245" s="22">
        <f t="shared" si="57"/>
        <v>1.171</v>
      </c>
      <c r="U245" s="34">
        <v>0.95499999999999996</v>
      </c>
      <c r="V245" s="34">
        <v>0.96</v>
      </c>
      <c r="W245" s="33">
        <f t="shared" si="58"/>
        <v>0.95799999999999996</v>
      </c>
      <c r="X245" s="17">
        <v>0.20300000000000001</v>
      </c>
      <c r="Y245" s="17">
        <v>0.20200000000000001</v>
      </c>
      <c r="Z245" s="21">
        <f t="shared" si="59"/>
        <v>0.20300000000000001</v>
      </c>
      <c r="AA245" s="19">
        <v>0.59299999999999997</v>
      </c>
      <c r="AB245" s="19">
        <v>0.63800000000000001</v>
      </c>
      <c r="AC245" s="21">
        <f t="shared" si="60"/>
        <v>0.61599999999999999</v>
      </c>
      <c r="AD245" s="19">
        <v>0.14399999999999999</v>
      </c>
      <c r="AE245" s="19">
        <v>0.13700000000000001</v>
      </c>
      <c r="AF245" s="21">
        <f t="shared" si="61"/>
        <v>0.14099999999999999</v>
      </c>
      <c r="AG245" s="30">
        <v>9.5000000000000001E-2</v>
      </c>
      <c r="AH245" s="30">
        <v>9.5000000000000001E-2</v>
      </c>
      <c r="AI245" s="31">
        <f t="shared" si="62"/>
        <v>9.5000000000000001E-2</v>
      </c>
      <c r="AJ245" s="30">
        <v>8.5999999999999993E-2</v>
      </c>
      <c r="AK245" s="30">
        <v>8.5999999999999993E-2</v>
      </c>
      <c r="AL245" s="31">
        <f t="shared" si="63"/>
        <v>8.5999999999999993E-2</v>
      </c>
      <c r="AM245" s="19">
        <v>6.4610000000000003</v>
      </c>
      <c r="AN245" s="19">
        <v>6.6950000000000003</v>
      </c>
      <c r="AO245" s="21">
        <f t="shared" si="64"/>
        <v>6.5780000000000003</v>
      </c>
      <c r="AP245" s="27">
        <v>0.154</v>
      </c>
      <c r="AQ245" s="27">
        <v>0.15459999999999999</v>
      </c>
      <c r="AR245" s="26">
        <f t="shared" si="65"/>
        <v>0.15429999999999999</v>
      </c>
      <c r="AS245" s="95">
        <v>7</v>
      </c>
      <c r="AT245" s="95">
        <v>0.8</v>
      </c>
      <c r="AU245" s="95"/>
    </row>
    <row r="246" spans="1:47">
      <c r="A246" s="7" t="s">
        <v>8</v>
      </c>
      <c r="B246" s="5" t="s">
        <v>54</v>
      </c>
      <c r="C246" s="6" t="s">
        <v>44</v>
      </c>
      <c r="D246" s="6" t="s">
        <v>36</v>
      </c>
      <c r="E246" s="23">
        <v>24.6</v>
      </c>
      <c r="F246" s="23">
        <v>7</v>
      </c>
      <c r="G246" s="41">
        <v>115</v>
      </c>
      <c r="H246" s="23">
        <v>7.2</v>
      </c>
      <c r="I246" s="23">
        <v>0.8</v>
      </c>
      <c r="J246" s="23">
        <v>3.8</v>
      </c>
      <c r="K246" s="37">
        <v>2.9</v>
      </c>
      <c r="L246" s="37">
        <v>2.7</v>
      </c>
      <c r="M246" s="37"/>
      <c r="N246" s="38">
        <f t="shared" si="55"/>
        <v>2.8</v>
      </c>
      <c r="O246" s="37">
        <v>2.2000000000000002</v>
      </c>
      <c r="P246" s="37">
        <v>2.1</v>
      </c>
      <c r="Q246" s="38">
        <f t="shared" si="56"/>
        <v>2.2000000000000002</v>
      </c>
      <c r="R246" s="17">
        <v>1.556</v>
      </c>
      <c r="S246" s="17">
        <v>1.5449999999999999</v>
      </c>
      <c r="T246" s="22">
        <f t="shared" si="57"/>
        <v>1.5509999999999999</v>
      </c>
      <c r="U246" s="34">
        <v>1.415</v>
      </c>
      <c r="V246" s="34">
        <v>1.401</v>
      </c>
      <c r="W246" s="33">
        <f t="shared" si="58"/>
        <v>1.4079999999999999</v>
      </c>
      <c r="X246" s="17">
        <v>9.2999999999999999E-2</v>
      </c>
      <c r="Y246" s="17">
        <v>9.1999999999999998E-2</v>
      </c>
      <c r="Z246" s="21">
        <f t="shared" si="59"/>
        <v>9.2999999999999999E-2</v>
      </c>
      <c r="AA246" s="19">
        <v>1.236</v>
      </c>
      <c r="AB246" s="19">
        <v>1.2829999999999999</v>
      </c>
      <c r="AC246" s="21">
        <f t="shared" si="60"/>
        <v>1.26</v>
      </c>
      <c r="AD246" s="19">
        <v>0.13600000000000001</v>
      </c>
      <c r="AE246" s="19">
        <v>0.13300000000000001</v>
      </c>
      <c r="AF246" s="21">
        <f t="shared" si="61"/>
        <v>0.13500000000000001</v>
      </c>
      <c r="AG246" s="30">
        <v>8.5000000000000006E-2</v>
      </c>
      <c r="AH246" s="30">
        <v>8.3000000000000004E-2</v>
      </c>
      <c r="AI246" s="31">
        <f t="shared" si="62"/>
        <v>8.4000000000000005E-2</v>
      </c>
      <c r="AJ246" s="30">
        <v>8.2000000000000003E-2</v>
      </c>
      <c r="AK246" s="30">
        <v>7.9000000000000001E-2</v>
      </c>
      <c r="AL246" s="31">
        <f t="shared" si="63"/>
        <v>8.1000000000000003E-2</v>
      </c>
      <c r="AM246" s="19">
        <v>7.16</v>
      </c>
      <c r="AN246" s="19">
        <v>7.3719999999999999</v>
      </c>
      <c r="AO246" s="21">
        <f t="shared" si="64"/>
        <v>7.266</v>
      </c>
      <c r="AP246" s="27">
        <v>6.3899999999999998E-2</v>
      </c>
      <c r="AQ246" s="27">
        <v>6.54E-2</v>
      </c>
      <c r="AR246" s="26">
        <f t="shared" si="65"/>
        <v>6.4699999999999994E-2</v>
      </c>
      <c r="AS246" s="95">
        <v>9.2100000000000009</v>
      </c>
      <c r="AT246" s="95">
        <v>4.83</v>
      </c>
    </row>
    <row r="247" spans="1:47">
      <c r="A247" s="7" t="s">
        <v>9</v>
      </c>
      <c r="B247" s="5" t="s">
        <v>57</v>
      </c>
      <c r="C247" s="6" t="s">
        <v>58</v>
      </c>
      <c r="D247" s="6" t="s">
        <v>59</v>
      </c>
      <c r="E247" s="23">
        <v>23.5</v>
      </c>
      <c r="F247" s="23">
        <v>7.1</v>
      </c>
      <c r="G247" s="41">
        <v>105</v>
      </c>
      <c r="H247" s="23">
        <v>8.1999999999999993</v>
      </c>
      <c r="I247" s="23">
        <v>0.7</v>
      </c>
      <c r="J247" s="23">
        <v>3.1</v>
      </c>
      <c r="K247" s="37">
        <v>2.2999999999999998</v>
      </c>
      <c r="L247" s="37">
        <v>2.2000000000000002</v>
      </c>
      <c r="M247" s="37"/>
      <c r="N247" s="38">
        <f t="shared" si="55"/>
        <v>2.2999999999999998</v>
      </c>
      <c r="O247" s="37">
        <v>1.8</v>
      </c>
      <c r="P247" s="37">
        <v>1.7</v>
      </c>
      <c r="Q247" s="38">
        <f t="shared" si="56"/>
        <v>1.8</v>
      </c>
      <c r="R247" s="17">
        <v>1.488</v>
      </c>
      <c r="S247" s="17">
        <v>1.488</v>
      </c>
      <c r="T247" s="22">
        <f t="shared" si="57"/>
        <v>1.488</v>
      </c>
      <c r="U247" s="34">
        <v>1.361</v>
      </c>
      <c r="V247" s="34">
        <v>1.3720000000000001</v>
      </c>
      <c r="W247" s="33">
        <f t="shared" si="58"/>
        <v>1.367</v>
      </c>
      <c r="X247" s="17">
        <v>2.7E-2</v>
      </c>
      <c r="Y247" s="17">
        <v>2.8000000000000001E-2</v>
      </c>
      <c r="Z247" s="21">
        <f t="shared" si="59"/>
        <v>2.8000000000000001E-2</v>
      </c>
      <c r="AA247" s="19">
        <v>1.258</v>
      </c>
      <c r="AB247" s="19">
        <v>1.3260000000000001</v>
      </c>
      <c r="AC247" s="21">
        <f t="shared" si="60"/>
        <v>1.292</v>
      </c>
      <c r="AD247" s="19">
        <v>3.9E-2</v>
      </c>
      <c r="AE247" s="19">
        <v>3.3000000000000002E-2</v>
      </c>
      <c r="AF247" s="21">
        <f t="shared" si="61"/>
        <v>3.5999999999999997E-2</v>
      </c>
      <c r="AG247" s="30">
        <v>1.4999999999999999E-2</v>
      </c>
      <c r="AH247" s="30">
        <v>1.2E-2</v>
      </c>
      <c r="AI247" s="31">
        <f t="shared" si="62"/>
        <v>1.4E-2</v>
      </c>
      <c r="AJ247" s="30">
        <v>7.0000000000000001E-3</v>
      </c>
      <c r="AK247" s="30">
        <v>6.0000000000000001E-3</v>
      </c>
      <c r="AL247" s="31">
        <f t="shared" si="63"/>
        <v>7.0000000000000001E-3</v>
      </c>
      <c r="AM247" s="19">
        <v>5.069</v>
      </c>
      <c r="AN247" s="19">
        <v>5.258</v>
      </c>
      <c r="AO247" s="21">
        <f t="shared" si="64"/>
        <v>5.1639999999999997</v>
      </c>
      <c r="AP247" s="27">
        <v>4.4200000000000003E-2</v>
      </c>
      <c r="AQ247" s="27">
        <v>4.4900000000000002E-2</v>
      </c>
      <c r="AR247" s="26">
        <f t="shared" si="65"/>
        <v>4.4600000000000001E-2</v>
      </c>
      <c r="AS247" s="95">
        <v>6.29</v>
      </c>
      <c r="AT247" s="95">
        <v>2.6</v>
      </c>
      <c r="AU247" s="95"/>
    </row>
    <row r="248" spans="1:47">
      <c r="A248" s="7" t="s">
        <v>10</v>
      </c>
      <c r="B248" s="5" t="s">
        <v>60</v>
      </c>
      <c r="C248" s="6" t="s">
        <v>61</v>
      </c>
      <c r="D248" s="6" t="s">
        <v>36</v>
      </c>
      <c r="E248" s="23">
        <v>24.5</v>
      </c>
      <c r="F248" s="23">
        <v>7.1</v>
      </c>
      <c r="G248" s="41">
        <v>117</v>
      </c>
      <c r="H248" s="23">
        <v>7.9</v>
      </c>
      <c r="I248" s="23">
        <v>0.7</v>
      </c>
      <c r="J248" s="23">
        <v>4</v>
      </c>
      <c r="K248" s="37">
        <v>2.6</v>
      </c>
      <c r="L248" s="37">
        <v>2.7</v>
      </c>
      <c r="M248" s="37"/>
      <c r="N248" s="38">
        <f t="shared" si="55"/>
        <v>2.7</v>
      </c>
      <c r="O248" s="37">
        <v>2.2000000000000002</v>
      </c>
      <c r="P248" s="37">
        <v>2.1</v>
      </c>
      <c r="Q248" s="38">
        <f t="shared" si="56"/>
        <v>2.2000000000000002</v>
      </c>
      <c r="R248" s="17">
        <v>1.6559999999999999</v>
      </c>
      <c r="S248" s="17">
        <v>1.6819999999999999</v>
      </c>
      <c r="T248" s="22">
        <f t="shared" si="57"/>
        <v>1.669</v>
      </c>
      <c r="U248" s="34">
        <v>1.5669999999999999</v>
      </c>
      <c r="V248" s="34">
        <v>1.5720000000000001</v>
      </c>
      <c r="W248" s="33">
        <f t="shared" si="58"/>
        <v>1.57</v>
      </c>
      <c r="X248" s="17">
        <v>0.06</v>
      </c>
      <c r="Y248" s="17">
        <v>6.3E-2</v>
      </c>
      <c r="Z248" s="21">
        <f t="shared" si="59"/>
        <v>6.2E-2</v>
      </c>
      <c r="AA248" s="19">
        <v>1.381</v>
      </c>
      <c r="AB248" s="19">
        <v>1.4490000000000001</v>
      </c>
      <c r="AC248" s="21">
        <f t="shared" si="60"/>
        <v>1.415</v>
      </c>
      <c r="AD248" s="19">
        <v>0.123</v>
      </c>
      <c r="AE248" s="19">
        <v>0.11799999999999999</v>
      </c>
      <c r="AF248" s="21">
        <f t="shared" si="61"/>
        <v>0.121</v>
      </c>
      <c r="AG248" s="30">
        <v>7.6999999999999999E-2</v>
      </c>
      <c r="AH248" s="30">
        <v>8.2000000000000003E-2</v>
      </c>
      <c r="AI248" s="31">
        <f t="shared" si="62"/>
        <v>0.08</v>
      </c>
      <c r="AJ248" s="30">
        <v>7.2999999999999995E-2</v>
      </c>
      <c r="AK248" s="30">
        <v>7.5999999999999998E-2</v>
      </c>
      <c r="AL248" s="31">
        <f t="shared" si="63"/>
        <v>7.4999999999999997E-2</v>
      </c>
      <c r="AM248" s="19">
        <v>6.8479999999999999</v>
      </c>
      <c r="AN248" s="19">
        <v>7.1079999999999997</v>
      </c>
      <c r="AO248" s="21">
        <f t="shared" si="64"/>
        <v>6.9779999999999998</v>
      </c>
      <c r="AP248" s="27">
        <v>6.3700000000000007E-2</v>
      </c>
      <c r="AQ248" s="27">
        <v>6.4600000000000005E-2</v>
      </c>
      <c r="AR248" s="26">
        <f t="shared" si="65"/>
        <v>6.4199999999999993E-2</v>
      </c>
      <c r="AS248" s="95">
        <v>8.4600000000000009</v>
      </c>
      <c r="AT248" s="95">
        <v>3.28</v>
      </c>
    </row>
    <row r="249" spans="1:47">
      <c r="A249" s="7" t="s">
        <v>11</v>
      </c>
      <c r="B249" s="5" t="s">
        <v>108</v>
      </c>
      <c r="C249" s="6" t="s">
        <v>62</v>
      </c>
      <c r="D249" s="6" t="s">
        <v>63</v>
      </c>
      <c r="E249" s="23">
        <v>25.1</v>
      </c>
      <c r="F249" s="23">
        <v>7</v>
      </c>
      <c r="G249" s="41">
        <v>199</v>
      </c>
      <c r="H249" s="23">
        <v>7.3</v>
      </c>
      <c r="I249" s="23">
        <v>1.4</v>
      </c>
      <c r="J249" s="23">
        <v>9.6</v>
      </c>
      <c r="K249" s="37">
        <v>7</v>
      </c>
      <c r="L249" s="37">
        <v>7.2</v>
      </c>
      <c r="M249" s="37"/>
      <c r="N249" s="38">
        <f t="shared" si="55"/>
        <v>7.1</v>
      </c>
      <c r="O249" s="37">
        <v>6</v>
      </c>
      <c r="P249" s="37">
        <v>5.9</v>
      </c>
      <c r="Q249" s="38">
        <f t="shared" si="56"/>
        <v>6</v>
      </c>
      <c r="R249" s="17">
        <v>1.964</v>
      </c>
      <c r="S249" s="17">
        <v>1.9370000000000001</v>
      </c>
      <c r="T249" s="22">
        <f t="shared" si="57"/>
        <v>1.9510000000000001</v>
      </c>
      <c r="U249" s="34">
        <v>1.7310000000000001</v>
      </c>
      <c r="V249" s="34">
        <v>1.736</v>
      </c>
      <c r="W249" s="33">
        <f t="shared" si="58"/>
        <v>1.734</v>
      </c>
      <c r="X249" s="17">
        <v>0.219</v>
      </c>
      <c r="Y249" s="17">
        <v>0.22</v>
      </c>
      <c r="Z249" s="21">
        <f t="shared" si="59"/>
        <v>0.22</v>
      </c>
      <c r="AA249" s="19">
        <v>0.95499999999999996</v>
      </c>
      <c r="AB249" s="19">
        <v>0.998</v>
      </c>
      <c r="AC249" s="21">
        <f t="shared" si="60"/>
        <v>0.97699999999999998</v>
      </c>
      <c r="AD249" s="19">
        <v>0.35799999999999998</v>
      </c>
      <c r="AE249" s="19">
        <v>0.34599999999999997</v>
      </c>
      <c r="AF249" s="21">
        <f t="shared" si="61"/>
        <v>0.35199999999999998</v>
      </c>
      <c r="AG249" s="30">
        <v>0.24</v>
      </c>
      <c r="AH249" s="30">
        <v>0.252</v>
      </c>
      <c r="AI249" s="31">
        <f t="shared" si="62"/>
        <v>0.246</v>
      </c>
      <c r="AJ249" s="30">
        <v>0.23699999999999999</v>
      </c>
      <c r="AK249" s="30">
        <v>0.24099999999999999</v>
      </c>
      <c r="AL249" s="31">
        <f t="shared" si="63"/>
        <v>0.23899999999999999</v>
      </c>
      <c r="AM249" s="19">
        <v>10.994</v>
      </c>
      <c r="AN249" s="19">
        <v>11.319000000000001</v>
      </c>
      <c r="AO249" s="21">
        <f t="shared" si="64"/>
        <v>11.157</v>
      </c>
      <c r="AP249" s="27">
        <v>0.2419</v>
      </c>
      <c r="AQ249" s="27">
        <v>0.2404</v>
      </c>
      <c r="AR249" s="26">
        <f t="shared" si="65"/>
        <v>0.2412</v>
      </c>
      <c r="AS249" s="95">
        <v>9.51</v>
      </c>
      <c r="AT249" s="95">
        <v>-0.05</v>
      </c>
      <c r="AU249" s="95"/>
    </row>
    <row r="250" spans="1:47">
      <c r="A250" s="7" t="s">
        <v>12</v>
      </c>
      <c r="B250" s="5" t="s">
        <v>64</v>
      </c>
      <c r="C250" s="6" t="s">
        <v>65</v>
      </c>
      <c r="D250" s="6" t="s">
        <v>36</v>
      </c>
      <c r="E250" s="23">
        <v>25.3</v>
      </c>
      <c r="F250" s="23">
        <v>7.3</v>
      </c>
      <c r="G250" s="41">
        <v>126</v>
      </c>
      <c r="H250" s="23">
        <v>6.9</v>
      </c>
      <c r="I250" s="23">
        <v>0.7</v>
      </c>
      <c r="J250" s="23">
        <v>4.4000000000000004</v>
      </c>
      <c r="K250" s="37">
        <v>3.1</v>
      </c>
      <c r="L250" s="37">
        <v>3.1</v>
      </c>
      <c r="M250" s="37"/>
      <c r="N250" s="38">
        <f t="shared" si="55"/>
        <v>3.1</v>
      </c>
      <c r="O250" s="37">
        <v>2.7</v>
      </c>
      <c r="P250" s="37">
        <v>2.6</v>
      </c>
      <c r="Q250" s="38">
        <f t="shared" si="56"/>
        <v>2.7</v>
      </c>
      <c r="R250" s="17">
        <v>1.579</v>
      </c>
      <c r="S250" s="17">
        <v>1.5489999999999999</v>
      </c>
      <c r="T250" s="22">
        <f t="shared" si="57"/>
        <v>1.5640000000000001</v>
      </c>
      <c r="U250" s="34">
        <v>1.4590000000000001</v>
      </c>
      <c r="V250" s="34">
        <v>1.444</v>
      </c>
      <c r="W250" s="33">
        <f t="shared" si="58"/>
        <v>1.452</v>
      </c>
      <c r="X250" s="17">
        <v>6.8000000000000005E-2</v>
      </c>
      <c r="Y250" s="17">
        <v>6.6000000000000003E-2</v>
      </c>
      <c r="Z250" s="21">
        <f t="shared" si="59"/>
        <v>6.7000000000000004E-2</v>
      </c>
      <c r="AA250" s="19">
        <v>1.2030000000000001</v>
      </c>
      <c r="AB250" s="19">
        <v>1.256</v>
      </c>
      <c r="AC250" s="21">
        <f t="shared" si="60"/>
        <v>1.23</v>
      </c>
      <c r="AD250" s="19">
        <v>0.14599999999999999</v>
      </c>
      <c r="AE250" s="19">
        <v>0.13600000000000001</v>
      </c>
      <c r="AF250" s="21">
        <f t="shared" si="61"/>
        <v>0.14099999999999999</v>
      </c>
      <c r="AG250" s="30">
        <v>9.4E-2</v>
      </c>
      <c r="AH250" s="30">
        <v>8.7999999999999995E-2</v>
      </c>
      <c r="AI250" s="31">
        <f t="shared" si="62"/>
        <v>9.0999999999999998E-2</v>
      </c>
      <c r="AJ250" s="30">
        <v>8.5999999999999993E-2</v>
      </c>
      <c r="AK250" s="30">
        <v>8.6999999999999994E-2</v>
      </c>
      <c r="AL250" s="31">
        <f t="shared" si="63"/>
        <v>8.6999999999999994E-2</v>
      </c>
      <c r="AM250" s="19">
        <v>7.3920000000000003</v>
      </c>
      <c r="AN250" s="19">
        <v>7.63</v>
      </c>
      <c r="AO250" s="21">
        <f t="shared" si="64"/>
        <v>7.5110000000000001</v>
      </c>
      <c r="AP250" s="27">
        <v>8.2400000000000001E-2</v>
      </c>
      <c r="AQ250" s="27">
        <v>8.2900000000000001E-2</v>
      </c>
      <c r="AR250" s="26">
        <f t="shared" si="65"/>
        <v>8.2699999999999996E-2</v>
      </c>
      <c r="AS250" s="3">
        <v>8.83</v>
      </c>
      <c r="AT250" s="95">
        <v>2.5099999999999998</v>
      </c>
    </row>
    <row r="251" spans="1:47">
      <c r="A251" s="7" t="s">
        <v>13</v>
      </c>
      <c r="B251" s="5" t="s">
        <v>66</v>
      </c>
      <c r="C251" s="6" t="s">
        <v>44</v>
      </c>
      <c r="D251" s="6" t="s">
        <v>67</v>
      </c>
      <c r="E251" s="23">
        <v>25.4</v>
      </c>
      <c r="F251" s="23">
        <v>6.9</v>
      </c>
      <c r="G251" s="41">
        <v>155</v>
      </c>
      <c r="H251" s="23">
        <v>6.5</v>
      </c>
      <c r="I251" s="23">
        <v>1</v>
      </c>
      <c r="J251" s="23">
        <v>6.8</v>
      </c>
      <c r="K251" s="37">
        <v>5</v>
      </c>
      <c r="L251" s="37">
        <v>5</v>
      </c>
      <c r="M251" s="37"/>
      <c r="N251" s="38">
        <f t="shared" si="55"/>
        <v>5</v>
      </c>
      <c r="O251" s="37">
        <v>4</v>
      </c>
      <c r="P251" s="37">
        <v>3.8</v>
      </c>
      <c r="Q251" s="38">
        <f t="shared" si="56"/>
        <v>3.9</v>
      </c>
      <c r="R251" s="17">
        <v>1.5389999999999999</v>
      </c>
      <c r="S251" s="17">
        <v>1.49</v>
      </c>
      <c r="T251" s="22">
        <f t="shared" si="57"/>
        <v>1.5149999999999999</v>
      </c>
      <c r="U251" s="34">
        <v>1.351</v>
      </c>
      <c r="V251" s="34">
        <v>1.339</v>
      </c>
      <c r="W251" s="33">
        <f t="shared" si="58"/>
        <v>1.345</v>
      </c>
      <c r="X251" s="17">
        <v>0.14899999999999999</v>
      </c>
      <c r="Y251" s="17">
        <v>0.14699999999999999</v>
      </c>
      <c r="Z251" s="21">
        <f t="shared" si="59"/>
        <v>0.14799999999999999</v>
      </c>
      <c r="AA251" s="19">
        <v>0.91200000000000003</v>
      </c>
      <c r="AB251" s="19">
        <v>0.96</v>
      </c>
      <c r="AC251" s="21">
        <f t="shared" si="60"/>
        <v>0.93600000000000005</v>
      </c>
      <c r="AD251" s="19">
        <v>0.14799999999999999</v>
      </c>
      <c r="AE251" s="19">
        <v>0.14099999999999999</v>
      </c>
      <c r="AF251" s="21">
        <f t="shared" si="61"/>
        <v>0.14499999999999999</v>
      </c>
      <c r="AG251" s="30">
        <v>7.6999999999999999E-2</v>
      </c>
      <c r="AH251" s="30">
        <v>7.4999999999999997E-2</v>
      </c>
      <c r="AI251" s="31">
        <f t="shared" si="62"/>
        <v>7.5999999999999998E-2</v>
      </c>
      <c r="AJ251" s="30">
        <v>6.9000000000000006E-2</v>
      </c>
      <c r="AK251" s="30">
        <v>6.9000000000000006E-2</v>
      </c>
      <c r="AL251" s="31">
        <f t="shared" si="63"/>
        <v>6.9000000000000006E-2</v>
      </c>
      <c r="AM251" s="19">
        <v>8.7690000000000001</v>
      </c>
      <c r="AN251" s="19">
        <v>9.0980000000000008</v>
      </c>
      <c r="AO251" s="21">
        <f t="shared" si="64"/>
        <v>8.9339999999999993</v>
      </c>
      <c r="AP251" s="27">
        <v>0.13969999999999999</v>
      </c>
      <c r="AQ251" s="27">
        <v>0.14019999999999999</v>
      </c>
      <c r="AR251" s="26">
        <f t="shared" si="65"/>
        <v>0.14000000000000001</v>
      </c>
      <c r="AS251" s="3">
        <v>8.56</v>
      </c>
      <c r="AT251" s="95">
        <v>0.56000000000000005</v>
      </c>
      <c r="AU251" s="95"/>
    </row>
    <row r="252" spans="1:47">
      <c r="A252" s="7" t="s">
        <v>14</v>
      </c>
      <c r="B252" s="5" t="s">
        <v>64</v>
      </c>
      <c r="C252" s="6" t="s">
        <v>68</v>
      </c>
      <c r="D252" s="6" t="s">
        <v>36</v>
      </c>
      <c r="E252" s="23">
        <v>25.4</v>
      </c>
      <c r="F252" s="23">
        <v>7</v>
      </c>
      <c r="G252" s="41">
        <v>126</v>
      </c>
      <c r="H252" s="23">
        <v>6.8</v>
      </c>
      <c r="I252" s="23">
        <v>0.7</v>
      </c>
      <c r="J252" s="23">
        <v>4.4000000000000004</v>
      </c>
      <c r="K252" s="37">
        <v>3.2</v>
      </c>
      <c r="L252" s="37">
        <v>3.1</v>
      </c>
      <c r="M252" s="37"/>
      <c r="N252" s="38">
        <f t="shared" si="55"/>
        <v>3.2</v>
      </c>
      <c r="O252" s="37">
        <v>2.7</v>
      </c>
      <c r="P252" s="37">
        <v>2.5</v>
      </c>
      <c r="Q252" s="38">
        <f t="shared" si="56"/>
        <v>2.6</v>
      </c>
      <c r="R252" s="17">
        <v>1.631</v>
      </c>
      <c r="S252" s="17">
        <v>1.589</v>
      </c>
      <c r="T252" s="22">
        <f t="shared" si="57"/>
        <v>1.61</v>
      </c>
      <c r="U252" s="34">
        <v>1.492</v>
      </c>
      <c r="V252" s="34">
        <v>1.504</v>
      </c>
      <c r="W252" s="33">
        <f t="shared" si="58"/>
        <v>1.498</v>
      </c>
      <c r="X252" s="17">
        <v>6.9000000000000006E-2</v>
      </c>
      <c r="Y252" s="17">
        <v>7.8E-2</v>
      </c>
      <c r="Z252" s="21">
        <f t="shared" si="59"/>
        <v>7.3999999999999996E-2</v>
      </c>
      <c r="AA252" s="19">
        <v>1.252</v>
      </c>
      <c r="AB252" s="19">
        <v>1.3080000000000001</v>
      </c>
      <c r="AC252" s="21">
        <f t="shared" si="60"/>
        <v>1.28</v>
      </c>
      <c r="AD252" s="19">
        <v>0.152</v>
      </c>
      <c r="AE252" s="19">
        <v>0.14099999999999999</v>
      </c>
      <c r="AF252" s="21">
        <f t="shared" si="61"/>
        <v>0.14699999999999999</v>
      </c>
      <c r="AG252" s="30">
        <v>9.6000000000000002E-2</v>
      </c>
      <c r="AH252" s="30">
        <v>9.7000000000000003E-2</v>
      </c>
      <c r="AI252" s="31">
        <f t="shared" si="62"/>
        <v>9.7000000000000003E-2</v>
      </c>
      <c r="AJ252" s="30">
        <v>0.09</v>
      </c>
      <c r="AK252" s="30">
        <v>0.09</v>
      </c>
      <c r="AL252" s="31">
        <f t="shared" si="63"/>
        <v>0.09</v>
      </c>
      <c r="AM252" s="19">
        <v>7.4050000000000002</v>
      </c>
      <c r="AN252" s="19">
        <v>7.6390000000000002</v>
      </c>
      <c r="AO252" s="21">
        <f t="shared" si="64"/>
        <v>7.5220000000000002</v>
      </c>
      <c r="AP252" s="27">
        <v>8.1600000000000006E-2</v>
      </c>
      <c r="AQ252" s="27">
        <v>8.3199999999999996E-2</v>
      </c>
      <c r="AR252" s="26">
        <f t="shared" si="65"/>
        <v>8.2400000000000001E-2</v>
      </c>
      <c r="AS252" s="3">
        <v>8.73</v>
      </c>
      <c r="AT252" s="95">
        <v>2.4300000000000002</v>
      </c>
    </row>
    <row r="253" spans="1:47">
      <c r="A253" s="7" t="s">
        <v>15</v>
      </c>
      <c r="B253" s="5" t="s">
        <v>69</v>
      </c>
      <c r="C253" s="6" t="s">
        <v>70</v>
      </c>
      <c r="D253" s="6" t="s">
        <v>71</v>
      </c>
      <c r="E253" s="23">
        <v>22.6</v>
      </c>
      <c r="F253" s="23">
        <v>6.8</v>
      </c>
      <c r="G253" s="41">
        <v>225</v>
      </c>
      <c r="H253" s="23">
        <v>7</v>
      </c>
      <c r="I253" s="23">
        <v>0.4</v>
      </c>
      <c r="J253" s="23">
        <v>2.8</v>
      </c>
      <c r="K253" s="37">
        <v>2</v>
      </c>
      <c r="L253" s="37">
        <v>1.9</v>
      </c>
      <c r="M253" s="37"/>
      <c r="N253" s="38">
        <f t="shared" si="55"/>
        <v>2</v>
      </c>
      <c r="O253" s="37">
        <v>1.7</v>
      </c>
      <c r="P253" s="37">
        <v>1.7</v>
      </c>
      <c r="Q253" s="38">
        <f t="shared" si="56"/>
        <v>1.7</v>
      </c>
      <c r="R253" s="17">
        <v>2.0179999999999998</v>
      </c>
      <c r="S253" s="17">
        <v>1.972</v>
      </c>
      <c r="T253" s="22">
        <f t="shared" si="57"/>
        <v>1.9950000000000001</v>
      </c>
      <c r="U253" s="34">
        <v>1.9950000000000001</v>
      </c>
      <c r="V253" s="34">
        <v>1.972</v>
      </c>
      <c r="W253" s="33">
        <f t="shared" si="58"/>
        <v>1.984</v>
      </c>
      <c r="X253" s="17">
        <v>2.1999999999999999E-2</v>
      </c>
      <c r="Y253" s="17">
        <v>2.3E-2</v>
      </c>
      <c r="Z253" s="21">
        <f t="shared" si="59"/>
        <v>2.3E-2</v>
      </c>
      <c r="AA253" s="19">
        <v>1.879</v>
      </c>
      <c r="AB253" s="19">
        <v>1.9370000000000001</v>
      </c>
      <c r="AC253" s="21">
        <f t="shared" si="60"/>
        <v>1.9079999999999999</v>
      </c>
      <c r="AD253" s="19">
        <v>3.6999999999999998E-2</v>
      </c>
      <c r="AE253" s="19">
        <v>0.03</v>
      </c>
      <c r="AF253" s="21">
        <f t="shared" si="61"/>
        <v>3.4000000000000002E-2</v>
      </c>
      <c r="AG253" s="30">
        <v>0.02</v>
      </c>
      <c r="AH253" s="30">
        <v>1.7999999999999999E-2</v>
      </c>
      <c r="AI253" s="31">
        <f t="shared" si="62"/>
        <v>1.9E-2</v>
      </c>
      <c r="AJ253" s="30">
        <v>1.9E-2</v>
      </c>
      <c r="AK253" s="30">
        <v>1.7000000000000001E-2</v>
      </c>
      <c r="AL253" s="31">
        <f t="shared" si="63"/>
        <v>1.7999999999999999E-2</v>
      </c>
      <c r="AM253" s="19">
        <v>8.7449999999999992</v>
      </c>
      <c r="AN253" s="19">
        <v>8.9489999999999998</v>
      </c>
      <c r="AO253" s="21">
        <f t="shared" si="64"/>
        <v>8.8469999999999995</v>
      </c>
      <c r="AP253" s="27">
        <v>3.7199999999999997E-2</v>
      </c>
      <c r="AQ253" s="27">
        <v>3.8300000000000001E-2</v>
      </c>
      <c r="AR253" s="26">
        <f t="shared" si="65"/>
        <v>3.78E-2</v>
      </c>
      <c r="AS253" s="3">
        <v>8.9700000000000006</v>
      </c>
      <c r="AT253" s="95">
        <v>0.02</v>
      </c>
      <c r="AU253" s="95"/>
    </row>
    <row r="254" spans="1:47">
      <c r="A254" s="7" t="s">
        <v>16</v>
      </c>
      <c r="B254" s="5" t="s">
        <v>72</v>
      </c>
      <c r="C254" s="6" t="s">
        <v>73</v>
      </c>
      <c r="D254" s="6" t="s">
        <v>36</v>
      </c>
      <c r="E254" s="23">
        <v>25.7</v>
      </c>
      <c r="F254" s="23">
        <v>7.1</v>
      </c>
      <c r="G254" s="41">
        <v>141</v>
      </c>
      <c r="H254" s="23">
        <v>7.8</v>
      </c>
      <c r="I254" s="23">
        <v>0.8</v>
      </c>
      <c r="J254" s="23">
        <v>4.8</v>
      </c>
      <c r="K254" s="37">
        <v>3.1</v>
      </c>
      <c r="L254" s="37">
        <v>3.3</v>
      </c>
      <c r="M254" s="37"/>
      <c r="N254" s="38">
        <f t="shared" si="55"/>
        <v>3.2</v>
      </c>
      <c r="O254" s="37">
        <v>2.7</v>
      </c>
      <c r="P254" s="37">
        <v>2.6</v>
      </c>
      <c r="Q254" s="38">
        <f t="shared" si="56"/>
        <v>2.7</v>
      </c>
      <c r="R254" s="17">
        <v>1.556</v>
      </c>
      <c r="S254" s="17">
        <v>1.5349999999999999</v>
      </c>
      <c r="T254" s="22">
        <f t="shared" si="57"/>
        <v>1.546</v>
      </c>
      <c r="U254" s="34">
        <v>1.419</v>
      </c>
      <c r="V254" s="34">
        <v>1.421</v>
      </c>
      <c r="W254" s="33">
        <f t="shared" si="58"/>
        <v>1.42</v>
      </c>
      <c r="X254" s="17">
        <v>8.5000000000000006E-2</v>
      </c>
      <c r="Y254" s="17">
        <v>8.1000000000000003E-2</v>
      </c>
      <c r="Z254" s="21">
        <f t="shared" si="59"/>
        <v>8.3000000000000004E-2</v>
      </c>
      <c r="AA254" s="19">
        <v>1.18</v>
      </c>
      <c r="AB254" s="19">
        <v>1.2370000000000001</v>
      </c>
      <c r="AC254" s="21">
        <f t="shared" si="60"/>
        <v>1.2090000000000001</v>
      </c>
      <c r="AD254" s="19">
        <v>0.13100000000000001</v>
      </c>
      <c r="AE254" s="19">
        <v>0.122</v>
      </c>
      <c r="AF254" s="21">
        <f t="shared" si="61"/>
        <v>0.127</v>
      </c>
      <c r="AG254" s="30">
        <v>7.8E-2</v>
      </c>
      <c r="AH254" s="30">
        <v>0.08</v>
      </c>
      <c r="AI254" s="31">
        <f t="shared" si="62"/>
        <v>7.9000000000000001E-2</v>
      </c>
      <c r="AJ254" s="30">
        <v>7.3999999999999996E-2</v>
      </c>
      <c r="AK254" s="30">
        <v>7.6999999999999999E-2</v>
      </c>
      <c r="AL254" s="31">
        <f t="shared" si="63"/>
        <v>7.5999999999999998E-2</v>
      </c>
      <c r="AM254" s="19">
        <v>7.5430000000000001</v>
      </c>
      <c r="AN254" s="19">
        <v>7.7889999999999997</v>
      </c>
      <c r="AO254" s="21">
        <f t="shared" si="64"/>
        <v>7.6660000000000004</v>
      </c>
      <c r="AP254" s="27">
        <v>8.1000000000000003E-2</v>
      </c>
      <c r="AQ254" s="27">
        <v>8.1000000000000003E-2</v>
      </c>
      <c r="AR254" s="26">
        <f t="shared" si="65"/>
        <v>8.1000000000000003E-2</v>
      </c>
      <c r="AS254" s="3">
        <v>8.94</v>
      </c>
      <c r="AT254" s="95">
        <v>2.5499999999999998</v>
      </c>
    </row>
    <row r="255" spans="1:47">
      <c r="A255" s="7" t="s">
        <v>17</v>
      </c>
      <c r="B255" s="5" t="s">
        <v>74</v>
      </c>
      <c r="C255" s="6" t="s">
        <v>75</v>
      </c>
      <c r="D255" s="6" t="s">
        <v>76</v>
      </c>
      <c r="E255" s="23">
        <v>24.9</v>
      </c>
      <c r="F255" s="23">
        <v>7.1</v>
      </c>
      <c r="G255" s="41">
        <v>179</v>
      </c>
      <c r="H255" s="23">
        <v>7.7</v>
      </c>
      <c r="I255" s="23">
        <v>0.9</v>
      </c>
      <c r="J255" s="23">
        <v>4.3</v>
      </c>
      <c r="K255" s="37">
        <v>3.2</v>
      </c>
      <c r="L255" s="37">
        <v>3.1</v>
      </c>
      <c r="M255" s="37"/>
      <c r="N255" s="38">
        <f t="shared" si="55"/>
        <v>3.2</v>
      </c>
      <c r="O255" s="37">
        <v>2.5</v>
      </c>
      <c r="P255" s="37">
        <v>2.4</v>
      </c>
      <c r="Q255" s="38">
        <f t="shared" si="56"/>
        <v>2.5</v>
      </c>
      <c r="R255" s="17">
        <v>1.901</v>
      </c>
      <c r="S255" s="17">
        <v>1.879</v>
      </c>
      <c r="T255" s="22">
        <f t="shared" si="57"/>
        <v>1.89</v>
      </c>
      <c r="U255" s="34">
        <v>1.79</v>
      </c>
      <c r="V255" s="34">
        <v>1.7809999999999999</v>
      </c>
      <c r="W255" s="33">
        <f t="shared" si="58"/>
        <v>1.786</v>
      </c>
      <c r="X255" s="17">
        <v>0.13</v>
      </c>
      <c r="Y255" s="17">
        <v>0.13100000000000001</v>
      </c>
      <c r="Z255" s="21">
        <f t="shared" si="59"/>
        <v>0.13100000000000001</v>
      </c>
      <c r="AA255" s="19">
        <v>1.4670000000000001</v>
      </c>
      <c r="AB255" s="19">
        <v>1.514</v>
      </c>
      <c r="AC255" s="21">
        <f t="shared" si="60"/>
        <v>1.4910000000000001</v>
      </c>
      <c r="AD255" s="19">
        <v>9.1999999999999998E-2</v>
      </c>
      <c r="AE255" s="19">
        <v>8.5000000000000006E-2</v>
      </c>
      <c r="AF255" s="21">
        <f t="shared" si="61"/>
        <v>8.8999999999999996E-2</v>
      </c>
      <c r="AG255" s="30">
        <v>4.7E-2</v>
      </c>
      <c r="AH255" s="30">
        <v>4.5999999999999999E-2</v>
      </c>
      <c r="AI255" s="31">
        <f t="shared" si="62"/>
        <v>4.7E-2</v>
      </c>
      <c r="AJ255" s="30">
        <v>3.7999999999999999E-2</v>
      </c>
      <c r="AK255" s="30">
        <v>3.6999999999999998E-2</v>
      </c>
      <c r="AL255" s="31">
        <f t="shared" si="63"/>
        <v>3.7999999999999999E-2</v>
      </c>
      <c r="AM255" s="19">
        <v>10.228</v>
      </c>
      <c r="AN255" s="19">
        <v>10.512</v>
      </c>
      <c r="AO255" s="21">
        <f t="shared" si="64"/>
        <v>10.37</v>
      </c>
      <c r="AP255" s="27">
        <v>6.9000000000000006E-2</v>
      </c>
      <c r="AQ255" s="27">
        <v>6.9900000000000004E-2</v>
      </c>
      <c r="AR255" s="26">
        <f t="shared" si="65"/>
        <v>6.9500000000000006E-2</v>
      </c>
      <c r="AS255" s="3">
        <v>7.36</v>
      </c>
      <c r="AT255" s="95">
        <v>1.4</v>
      </c>
      <c r="AU255" s="95"/>
    </row>
    <row r="256" spans="1:47">
      <c r="A256" s="7" t="s">
        <v>18</v>
      </c>
      <c r="B256" s="5" t="s">
        <v>109</v>
      </c>
      <c r="C256" s="6" t="s">
        <v>77</v>
      </c>
      <c r="D256" s="6" t="s">
        <v>36</v>
      </c>
      <c r="E256" s="23">
        <v>25.7</v>
      </c>
      <c r="F256" s="23">
        <v>7.1</v>
      </c>
      <c r="G256" s="41">
        <v>169</v>
      </c>
      <c r="H256" s="23">
        <v>6.8</v>
      </c>
      <c r="I256" s="23">
        <v>1.2</v>
      </c>
      <c r="J256" s="23">
        <v>5</v>
      </c>
      <c r="K256" s="37">
        <v>3.4</v>
      </c>
      <c r="L256" s="37">
        <v>3.6</v>
      </c>
      <c r="M256" s="37"/>
      <c r="N256" s="38">
        <f t="shared" si="55"/>
        <v>3.5</v>
      </c>
      <c r="O256" s="37">
        <v>2.7</v>
      </c>
      <c r="P256" s="37">
        <v>2.8</v>
      </c>
      <c r="Q256" s="38">
        <f t="shared" si="56"/>
        <v>2.8</v>
      </c>
      <c r="R256" s="17">
        <v>2.1389999999999998</v>
      </c>
      <c r="S256" s="17">
        <v>2.117</v>
      </c>
      <c r="T256" s="22">
        <f t="shared" si="57"/>
        <v>2.1280000000000001</v>
      </c>
      <c r="U256" s="34">
        <v>1.909</v>
      </c>
      <c r="V256" s="34">
        <v>1.9159999999999999</v>
      </c>
      <c r="W256" s="33">
        <f t="shared" si="58"/>
        <v>1.913</v>
      </c>
      <c r="X256" s="17">
        <v>0.161</v>
      </c>
      <c r="Y256" s="17">
        <v>0.161</v>
      </c>
      <c r="Z256" s="21">
        <f t="shared" si="59"/>
        <v>0.161</v>
      </c>
      <c r="AA256" s="19">
        <v>1.6020000000000001</v>
      </c>
      <c r="AB256" s="19">
        <v>1.657</v>
      </c>
      <c r="AC256" s="21">
        <f t="shared" si="60"/>
        <v>1.63</v>
      </c>
      <c r="AD256" s="19">
        <v>0.13100000000000001</v>
      </c>
      <c r="AE256" s="19">
        <v>0.123</v>
      </c>
      <c r="AF256" s="21">
        <f t="shared" si="61"/>
        <v>0.127</v>
      </c>
      <c r="AG256" s="30">
        <v>7.0999999999999994E-2</v>
      </c>
      <c r="AH256" s="30">
        <v>7.5999999999999998E-2</v>
      </c>
      <c r="AI256" s="31">
        <f t="shared" si="62"/>
        <v>7.3999999999999996E-2</v>
      </c>
      <c r="AJ256" s="30">
        <v>6.8000000000000005E-2</v>
      </c>
      <c r="AK256" s="30">
        <v>7.0999999999999994E-2</v>
      </c>
      <c r="AL256" s="31">
        <f t="shared" si="63"/>
        <v>7.0000000000000007E-2</v>
      </c>
      <c r="AM256" s="19">
        <v>10.704000000000001</v>
      </c>
      <c r="AN256" s="19">
        <v>10.954000000000001</v>
      </c>
      <c r="AO256" s="21">
        <f t="shared" si="64"/>
        <v>10.829000000000001</v>
      </c>
      <c r="AP256" s="27">
        <v>7.8600000000000003E-2</v>
      </c>
      <c r="AQ256" s="27">
        <v>7.9399999999999998E-2</v>
      </c>
      <c r="AR256" s="26">
        <f t="shared" si="65"/>
        <v>7.9000000000000001E-2</v>
      </c>
      <c r="AS256" s="3">
        <v>8.7200000000000006</v>
      </c>
      <c r="AT256" s="95">
        <v>1.45</v>
      </c>
    </row>
    <row r="257" spans="1:47">
      <c r="A257" s="7" t="s">
        <v>19</v>
      </c>
      <c r="B257" s="5" t="s">
        <v>78</v>
      </c>
      <c r="C257" s="6" t="s">
        <v>44</v>
      </c>
      <c r="D257" s="6" t="s">
        <v>79</v>
      </c>
      <c r="E257" s="23">
        <v>24</v>
      </c>
      <c r="F257" s="23">
        <v>7.4</v>
      </c>
      <c r="G257" s="41">
        <v>257</v>
      </c>
      <c r="H257" s="23">
        <v>7.6</v>
      </c>
      <c r="I257" s="23">
        <v>0.6</v>
      </c>
      <c r="J257" s="23">
        <v>3.4</v>
      </c>
      <c r="K257" s="37">
        <v>2.6</v>
      </c>
      <c r="L257" s="37">
        <v>2.4</v>
      </c>
      <c r="M257" s="37"/>
      <c r="N257" s="38">
        <f t="shared" si="55"/>
        <v>2.5</v>
      </c>
      <c r="O257" s="37">
        <v>2.1</v>
      </c>
      <c r="P257" s="37">
        <v>2.1</v>
      </c>
      <c r="Q257" s="38">
        <f t="shared" si="56"/>
        <v>2.1</v>
      </c>
      <c r="R257" s="17">
        <v>2.2989999999999999</v>
      </c>
      <c r="S257" s="17">
        <v>2.246</v>
      </c>
      <c r="T257" s="22">
        <f t="shared" si="57"/>
        <v>2.2730000000000001</v>
      </c>
      <c r="U257" s="34">
        <v>2.2389999999999999</v>
      </c>
      <c r="V257" s="34">
        <v>2.2400000000000002</v>
      </c>
      <c r="W257" s="33">
        <f t="shared" si="58"/>
        <v>2.2400000000000002</v>
      </c>
      <c r="X257" s="17">
        <v>2.5000000000000001E-2</v>
      </c>
      <c r="Y257" s="17">
        <v>3.3000000000000002E-2</v>
      </c>
      <c r="Z257" s="21">
        <f t="shared" si="59"/>
        <v>2.9000000000000001E-2</v>
      </c>
      <c r="AA257" s="19">
        <v>2.052</v>
      </c>
      <c r="AB257" s="19">
        <v>2.1070000000000002</v>
      </c>
      <c r="AC257" s="21">
        <f t="shared" si="60"/>
        <v>2.08</v>
      </c>
      <c r="AD257" s="19">
        <v>5.6000000000000001E-2</v>
      </c>
      <c r="AE257" s="19">
        <v>4.8000000000000001E-2</v>
      </c>
      <c r="AF257" s="21">
        <f t="shared" si="61"/>
        <v>5.1999999999999998E-2</v>
      </c>
      <c r="AG257" s="30">
        <v>3.1E-2</v>
      </c>
      <c r="AH257" s="30">
        <v>0.03</v>
      </c>
      <c r="AI257" s="31">
        <f t="shared" si="62"/>
        <v>3.1E-2</v>
      </c>
      <c r="AJ257" s="30">
        <v>2.4E-2</v>
      </c>
      <c r="AK257" s="30">
        <v>2.1999999999999999E-2</v>
      </c>
      <c r="AL257" s="31">
        <f t="shared" si="63"/>
        <v>2.3E-2</v>
      </c>
      <c r="AM257" s="19">
        <v>24.181000000000001</v>
      </c>
      <c r="AN257" s="19">
        <v>24.561</v>
      </c>
      <c r="AO257" s="21">
        <f t="shared" si="64"/>
        <v>24.370999999999999</v>
      </c>
      <c r="AP257" s="27">
        <v>4.7399999999999998E-2</v>
      </c>
      <c r="AQ257" s="27">
        <v>4.8099999999999997E-2</v>
      </c>
      <c r="AR257" s="26">
        <f t="shared" si="65"/>
        <v>4.7800000000000002E-2</v>
      </c>
      <c r="AS257" s="3">
        <v>10.63</v>
      </c>
      <c r="AT257" s="95">
        <v>-0.49</v>
      </c>
      <c r="AU257" s="95"/>
    </row>
    <row r="258" spans="1:47">
      <c r="A258" s="7" t="s">
        <v>20</v>
      </c>
      <c r="B258" s="5" t="s">
        <v>80</v>
      </c>
      <c r="C258" s="6" t="s">
        <v>81</v>
      </c>
      <c r="D258" s="6" t="s">
        <v>36</v>
      </c>
      <c r="E258" s="23">
        <v>26</v>
      </c>
      <c r="F258" s="23">
        <v>7.2</v>
      </c>
      <c r="G258" s="41">
        <v>184</v>
      </c>
      <c r="H258" s="23">
        <v>7.4</v>
      </c>
      <c r="I258" s="23">
        <v>1.1000000000000001</v>
      </c>
      <c r="J258" s="23">
        <v>5</v>
      </c>
      <c r="K258" s="37">
        <v>3.7</v>
      </c>
      <c r="L258" s="37">
        <v>3.8</v>
      </c>
      <c r="M258" s="37"/>
      <c r="N258" s="38">
        <f t="shared" si="55"/>
        <v>3.8</v>
      </c>
      <c r="O258" s="37">
        <v>3</v>
      </c>
      <c r="P258" s="37">
        <v>3</v>
      </c>
      <c r="Q258" s="38">
        <f t="shared" si="56"/>
        <v>3</v>
      </c>
      <c r="R258" s="17">
        <v>2.1869999999999998</v>
      </c>
      <c r="S258" s="17">
        <v>2.1890000000000001</v>
      </c>
      <c r="T258" s="22">
        <f t="shared" si="57"/>
        <v>2.1880000000000002</v>
      </c>
      <c r="U258" s="34">
        <v>2.028</v>
      </c>
      <c r="V258" s="34">
        <v>2.0430000000000001</v>
      </c>
      <c r="W258" s="33">
        <f t="shared" si="58"/>
        <v>2.036</v>
      </c>
      <c r="X258" s="17">
        <v>0.2</v>
      </c>
      <c r="Y258" s="17">
        <v>0.20200000000000001</v>
      </c>
      <c r="Z258" s="21">
        <f t="shared" si="59"/>
        <v>0.20100000000000001</v>
      </c>
      <c r="AA258" s="19">
        <v>1.6439999999999999</v>
      </c>
      <c r="AB258" s="19">
        <v>1.6859999999999999</v>
      </c>
      <c r="AC258" s="21">
        <f t="shared" si="60"/>
        <v>1.665</v>
      </c>
      <c r="AD258" s="19">
        <v>0.152</v>
      </c>
      <c r="AE258" s="19">
        <v>0.14399999999999999</v>
      </c>
      <c r="AF258" s="21">
        <f t="shared" si="61"/>
        <v>0.14799999999999999</v>
      </c>
      <c r="AG258" s="30">
        <v>9.1999999999999998E-2</v>
      </c>
      <c r="AH258" s="30">
        <v>9.4E-2</v>
      </c>
      <c r="AI258" s="31">
        <f t="shared" si="62"/>
        <v>9.2999999999999999E-2</v>
      </c>
      <c r="AJ258" s="30">
        <v>0.09</v>
      </c>
      <c r="AK258" s="30">
        <v>8.8999999999999996E-2</v>
      </c>
      <c r="AL258" s="31">
        <f t="shared" si="63"/>
        <v>0.09</v>
      </c>
      <c r="AM258" s="19">
        <v>10.702</v>
      </c>
      <c r="AN258" s="19">
        <v>10.837999999999999</v>
      </c>
      <c r="AO258" s="21">
        <f t="shared" si="64"/>
        <v>10.77</v>
      </c>
      <c r="AP258" s="27">
        <v>8.2900000000000001E-2</v>
      </c>
      <c r="AQ258" s="27">
        <v>8.3000000000000004E-2</v>
      </c>
      <c r="AR258" s="26">
        <f t="shared" si="65"/>
        <v>8.3000000000000004E-2</v>
      </c>
      <c r="AS258" s="3">
        <v>8.49</v>
      </c>
      <c r="AT258" s="95">
        <v>0.88</v>
      </c>
    </row>
    <row r="259" spans="1:47">
      <c r="A259" s="7" t="s">
        <v>21</v>
      </c>
      <c r="B259" s="5" t="s">
        <v>82</v>
      </c>
      <c r="C259" s="6" t="s">
        <v>44</v>
      </c>
      <c r="D259" s="6" t="s">
        <v>83</v>
      </c>
      <c r="E259" s="23">
        <v>25.9</v>
      </c>
      <c r="F259" s="23">
        <v>7.2</v>
      </c>
      <c r="G259" s="41">
        <v>233</v>
      </c>
      <c r="H259" s="23">
        <v>7.1</v>
      </c>
      <c r="I259" s="23">
        <v>1.2</v>
      </c>
      <c r="J259" s="23">
        <v>8.3000000000000007</v>
      </c>
      <c r="K259" s="37">
        <v>6.3</v>
      </c>
      <c r="L259" s="37">
        <v>6.5</v>
      </c>
      <c r="M259" s="37"/>
      <c r="N259" s="38">
        <f t="shared" si="55"/>
        <v>6.4</v>
      </c>
      <c r="O259" s="37">
        <v>5.9</v>
      </c>
      <c r="P259" s="37">
        <v>5.8</v>
      </c>
      <c r="Q259" s="38">
        <f t="shared" si="56"/>
        <v>5.9</v>
      </c>
      <c r="R259" s="17">
        <v>2.1219999999999999</v>
      </c>
      <c r="S259" s="17">
        <v>2.0920000000000001</v>
      </c>
      <c r="T259" s="22">
        <f t="shared" si="57"/>
        <v>2.1070000000000002</v>
      </c>
      <c r="U259" s="34">
        <v>2.0169999999999999</v>
      </c>
      <c r="V259" s="34">
        <v>2</v>
      </c>
      <c r="W259" s="33">
        <f t="shared" si="58"/>
        <v>2.0089999999999999</v>
      </c>
      <c r="X259" s="17">
        <v>0.11899999999999999</v>
      </c>
      <c r="Y259" s="17">
        <v>0.11799999999999999</v>
      </c>
      <c r="Z259" s="21">
        <f t="shared" si="59"/>
        <v>0.11899999999999999</v>
      </c>
      <c r="AA259" s="19">
        <v>1.3340000000000001</v>
      </c>
      <c r="AB259" s="19">
        <v>1.371</v>
      </c>
      <c r="AC259" s="21">
        <f t="shared" si="60"/>
        <v>1.353</v>
      </c>
      <c r="AD259" s="19">
        <v>0.215</v>
      </c>
      <c r="AE259" s="19">
        <v>0.20300000000000001</v>
      </c>
      <c r="AF259" s="21">
        <f t="shared" si="61"/>
        <v>0.20899999999999999</v>
      </c>
      <c r="AG259" s="30">
        <v>0.125</v>
      </c>
      <c r="AH259" s="30">
        <v>0.124</v>
      </c>
      <c r="AI259" s="31">
        <f t="shared" si="62"/>
        <v>0.125</v>
      </c>
      <c r="AJ259" s="30">
        <v>0.12</v>
      </c>
      <c r="AK259" s="30">
        <v>0.12</v>
      </c>
      <c r="AL259" s="31">
        <f t="shared" si="63"/>
        <v>0.12</v>
      </c>
      <c r="AM259" s="19">
        <v>9.4770000000000003</v>
      </c>
      <c r="AN259" s="19">
        <v>9.6750000000000007</v>
      </c>
      <c r="AO259" s="21">
        <f t="shared" si="64"/>
        <v>9.5760000000000005</v>
      </c>
      <c r="AP259" s="27">
        <v>0.18940000000000001</v>
      </c>
      <c r="AQ259" s="27">
        <v>0.18890000000000001</v>
      </c>
      <c r="AR259" s="26">
        <f t="shared" si="65"/>
        <v>0.18920000000000001</v>
      </c>
      <c r="AS259" s="3">
        <v>8.81</v>
      </c>
      <c r="AT259" s="95">
        <v>2.57</v>
      </c>
      <c r="AU259" s="95"/>
    </row>
    <row r="260" spans="1:47">
      <c r="A260" s="7" t="s">
        <v>22</v>
      </c>
      <c r="B260" s="5" t="s">
        <v>84</v>
      </c>
      <c r="C260" s="6" t="s">
        <v>85</v>
      </c>
      <c r="D260" s="6" t="s">
        <v>36</v>
      </c>
      <c r="E260" s="23">
        <v>25.9</v>
      </c>
      <c r="F260" s="23">
        <v>6.9</v>
      </c>
      <c r="G260" s="41">
        <v>186</v>
      </c>
      <c r="H260" s="23">
        <v>7</v>
      </c>
      <c r="I260" s="23">
        <v>1.2</v>
      </c>
      <c r="J260" s="23">
        <v>5.0999999999999996</v>
      </c>
      <c r="K260" s="37">
        <v>3.7</v>
      </c>
      <c r="L260" s="37">
        <v>3.7</v>
      </c>
      <c r="M260" s="37"/>
      <c r="N260" s="38">
        <f t="shared" si="55"/>
        <v>3.7</v>
      </c>
      <c r="O260" s="37">
        <v>3.2</v>
      </c>
      <c r="P260" s="37">
        <v>3</v>
      </c>
      <c r="Q260" s="38">
        <f t="shared" si="56"/>
        <v>3.1</v>
      </c>
      <c r="R260" s="17">
        <v>2.254</v>
      </c>
      <c r="S260" s="17">
        <v>2.266</v>
      </c>
      <c r="T260" s="22">
        <f t="shared" si="57"/>
        <v>2.2599999999999998</v>
      </c>
      <c r="U260" s="34">
        <v>2.101</v>
      </c>
      <c r="V260" s="34">
        <v>2.121</v>
      </c>
      <c r="W260" s="33">
        <f t="shared" si="58"/>
        <v>2.1110000000000002</v>
      </c>
      <c r="X260" s="17">
        <v>0.20100000000000001</v>
      </c>
      <c r="Y260" s="17">
        <v>0.19400000000000001</v>
      </c>
      <c r="Z260" s="21">
        <f t="shared" si="59"/>
        <v>0.19800000000000001</v>
      </c>
      <c r="AA260" s="19">
        <v>1.6950000000000001</v>
      </c>
      <c r="AB260" s="19">
        <v>1.7270000000000001</v>
      </c>
      <c r="AC260" s="21">
        <f t="shared" si="60"/>
        <v>1.7110000000000001</v>
      </c>
      <c r="AD260" s="19">
        <v>0.16300000000000001</v>
      </c>
      <c r="AE260" s="19">
        <v>0.155</v>
      </c>
      <c r="AF260" s="21">
        <f t="shared" si="61"/>
        <v>0.159</v>
      </c>
      <c r="AG260" s="30">
        <v>9.7000000000000003E-2</v>
      </c>
      <c r="AH260" s="30">
        <v>9.9000000000000005E-2</v>
      </c>
      <c r="AI260" s="31">
        <f t="shared" si="62"/>
        <v>9.8000000000000004E-2</v>
      </c>
      <c r="AJ260" s="30">
        <v>9.7000000000000003E-2</v>
      </c>
      <c r="AK260" s="30">
        <v>9.6000000000000002E-2</v>
      </c>
      <c r="AL260" s="31">
        <f t="shared" si="63"/>
        <v>9.7000000000000003E-2</v>
      </c>
      <c r="AM260" s="19">
        <v>10.662000000000001</v>
      </c>
      <c r="AN260" s="19">
        <v>10.8</v>
      </c>
      <c r="AO260" s="21">
        <f t="shared" si="64"/>
        <v>10.731</v>
      </c>
      <c r="AP260" s="27">
        <v>8.6699999999999999E-2</v>
      </c>
      <c r="AQ260" s="27">
        <v>8.6999999999999994E-2</v>
      </c>
      <c r="AR260" s="26">
        <f t="shared" si="65"/>
        <v>8.6900000000000005E-2</v>
      </c>
      <c r="AS260" s="3">
        <v>8.2899999999999991</v>
      </c>
      <c r="AT260" s="95">
        <v>1.21</v>
      </c>
    </row>
    <row r="261" spans="1:47">
      <c r="A261" s="7" t="s">
        <v>23</v>
      </c>
      <c r="B261" s="5" t="s">
        <v>86</v>
      </c>
      <c r="C261" s="6" t="s">
        <v>87</v>
      </c>
      <c r="D261" s="6" t="s">
        <v>88</v>
      </c>
      <c r="E261" s="23">
        <v>25.5</v>
      </c>
      <c r="F261" s="23">
        <v>7</v>
      </c>
      <c r="G261" s="41">
        <v>182</v>
      </c>
      <c r="H261" s="23">
        <v>6.3</v>
      </c>
      <c r="I261" s="23">
        <v>1</v>
      </c>
      <c r="J261" s="23">
        <v>6.8</v>
      </c>
      <c r="K261" s="37">
        <v>5</v>
      </c>
      <c r="L261" s="37">
        <v>5</v>
      </c>
      <c r="M261" s="37"/>
      <c r="N261" s="38">
        <f t="shared" si="55"/>
        <v>5</v>
      </c>
      <c r="O261" s="37">
        <v>4.4000000000000004</v>
      </c>
      <c r="P261" s="37">
        <v>4.3</v>
      </c>
      <c r="Q261" s="38">
        <f t="shared" si="56"/>
        <v>4.4000000000000004</v>
      </c>
      <c r="R261" s="17">
        <v>1.397</v>
      </c>
      <c r="S261" s="17">
        <v>1.4039999999999999</v>
      </c>
      <c r="T261" s="22">
        <f t="shared" si="57"/>
        <v>1.401</v>
      </c>
      <c r="U261" s="34">
        <v>1.2989999999999999</v>
      </c>
      <c r="V261" s="34">
        <v>1.2929999999999999</v>
      </c>
      <c r="W261" s="33">
        <f t="shared" si="58"/>
        <v>1.296</v>
      </c>
      <c r="X261" s="17">
        <v>0.09</v>
      </c>
      <c r="Y261" s="17">
        <v>9.1999999999999998E-2</v>
      </c>
      <c r="Z261" s="21">
        <f t="shared" si="59"/>
        <v>9.0999999999999998E-2</v>
      </c>
      <c r="AA261" s="19">
        <v>0.89600000000000002</v>
      </c>
      <c r="AB261" s="19">
        <v>0.91200000000000003</v>
      </c>
      <c r="AC261" s="21">
        <f t="shared" si="60"/>
        <v>0.90400000000000003</v>
      </c>
      <c r="AD261" s="19">
        <v>0.17100000000000001</v>
      </c>
      <c r="AE261" s="19">
        <v>0.17100000000000001</v>
      </c>
      <c r="AF261" s="21">
        <f t="shared" si="61"/>
        <v>0.17100000000000001</v>
      </c>
      <c r="AG261" s="30">
        <v>9.6000000000000002E-2</v>
      </c>
      <c r="AH261" s="30">
        <v>9.7000000000000003E-2</v>
      </c>
      <c r="AI261" s="31">
        <f t="shared" si="62"/>
        <v>9.7000000000000003E-2</v>
      </c>
      <c r="AJ261" s="30">
        <v>9.1999999999999998E-2</v>
      </c>
      <c r="AK261" s="30">
        <v>9.4E-2</v>
      </c>
      <c r="AL261" s="31">
        <f t="shared" si="63"/>
        <v>9.2999999999999999E-2</v>
      </c>
      <c r="AM261" s="19">
        <v>10.116</v>
      </c>
      <c r="AN261" s="19">
        <v>10.179</v>
      </c>
      <c r="AO261" s="21">
        <f t="shared" si="64"/>
        <v>10.148</v>
      </c>
      <c r="AP261" s="27">
        <v>0.1198</v>
      </c>
      <c r="AQ261" s="27">
        <v>0.1207</v>
      </c>
      <c r="AR261" s="26">
        <f t="shared" si="65"/>
        <v>0.1203</v>
      </c>
      <c r="AS261" s="3">
        <v>9.08</v>
      </c>
      <c r="AT261" s="95">
        <v>1.4</v>
      </c>
      <c r="AU261" s="95"/>
    </row>
    <row r="262" spans="1:47">
      <c r="A262" s="7" t="s">
        <v>24</v>
      </c>
      <c r="B262" s="5" t="s">
        <v>89</v>
      </c>
      <c r="C262" s="6" t="s">
        <v>42</v>
      </c>
      <c r="D262" s="6" t="s">
        <v>36</v>
      </c>
      <c r="E262" s="23">
        <v>25.8</v>
      </c>
      <c r="F262" s="23">
        <v>7.2</v>
      </c>
      <c r="G262" s="41">
        <v>197</v>
      </c>
      <c r="H262" s="23">
        <v>6.4</v>
      </c>
      <c r="I262" s="23">
        <v>1.1000000000000001</v>
      </c>
      <c r="J262" s="23">
        <v>4.7</v>
      </c>
      <c r="K262" s="37">
        <v>3.7</v>
      </c>
      <c r="L262" s="37">
        <v>3.6</v>
      </c>
      <c r="M262" s="37"/>
      <c r="N262" s="38">
        <f t="shared" si="55"/>
        <v>3.7</v>
      </c>
      <c r="O262" s="37">
        <v>3.1</v>
      </c>
      <c r="P262" s="37">
        <v>2.9</v>
      </c>
      <c r="Q262" s="38">
        <f t="shared" si="56"/>
        <v>3</v>
      </c>
      <c r="R262" s="17">
        <v>2.44</v>
      </c>
      <c r="S262" s="17">
        <v>2.4039999999999999</v>
      </c>
      <c r="T262" s="22">
        <f t="shared" si="57"/>
        <v>2.4220000000000002</v>
      </c>
      <c r="U262" s="34">
        <v>2.278</v>
      </c>
      <c r="V262" s="34">
        <v>2.29</v>
      </c>
      <c r="W262" s="33">
        <f t="shared" si="58"/>
        <v>2.2839999999999998</v>
      </c>
      <c r="X262" s="17">
        <v>0.108</v>
      </c>
      <c r="Y262" s="17">
        <v>0.108</v>
      </c>
      <c r="Z262" s="21">
        <f t="shared" si="59"/>
        <v>0.108</v>
      </c>
      <c r="AA262" s="19">
        <v>1.9750000000000001</v>
      </c>
      <c r="AB262" s="19">
        <v>2.0099999999999998</v>
      </c>
      <c r="AC262" s="21">
        <f t="shared" si="60"/>
        <v>1.9930000000000001</v>
      </c>
      <c r="AD262" s="19">
        <v>0.14899999999999999</v>
      </c>
      <c r="AE262" s="19">
        <v>0.13800000000000001</v>
      </c>
      <c r="AF262" s="21">
        <f t="shared" si="61"/>
        <v>0.14399999999999999</v>
      </c>
      <c r="AG262" s="30">
        <v>8.5999999999999993E-2</v>
      </c>
      <c r="AH262" s="30">
        <v>8.4000000000000005E-2</v>
      </c>
      <c r="AI262" s="31">
        <f t="shared" si="62"/>
        <v>8.5000000000000006E-2</v>
      </c>
      <c r="AJ262" s="30">
        <v>8.5000000000000006E-2</v>
      </c>
      <c r="AK262" s="30">
        <v>8.3000000000000004E-2</v>
      </c>
      <c r="AL262" s="31">
        <f t="shared" si="63"/>
        <v>8.4000000000000005E-2</v>
      </c>
      <c r="AM262" s="19">
        <v>11.35</v>
      </c>
      <c r="AN262" s="19">
        <v>11.528</v>
      </c>
      <c r="AO262" s="21">
        <f t="shared" si="64"/>
        <v>11.439</v>
      </c>
      <c r="AP262" s="27">
        <v>8.1299999999999997E-2</v>
      </c>
      <c r="AQ262" s="27">
        <v>8.1900000000000001E-2</v>
      </c>
      <c r="AR262" s="26">
        <f t="shared" si="65"/>
        <v>8.1600000000000006E-2</v>
      </c>
      <c r="AS262" s="3">
        <v>8.57</v>
      </c>
      <c r="AT262" s="95">
        <v>2.86</v>
      </c>
    </row>
    <row r="263" spans="1:47">
      <c r="A263" s="7" t="s">
        <v>25</v>
      </c>
      <c r="B263" s="5" t="s">
        <v>90</v>
      </c>
      <c r="C263" s="6" t="s">
        <v>44</v>
      </c>
      <c r="D263" s="6" t="s">
        <v>91</v>
      </c>
      <c r="E263" s="23">
        <v>23.9</v>
      </c>
      <c r="F263" s="23">
        <v>7.3</v>
      </c>
      <c r="G263" s="41">
        <v>271</v>
      </c>
      <c r="H263" s="23">
        <v>6.8</v>
      </c>
      <c r="I263" s="23">
        <v>1</v>
      </c>
      <c r="J263" s="23">
        <v>5.2</v>
      </c>
      <c r="K263" s="37">
        <v>4</v>
      </c>
      <c r="L263" s="37">
        <v>4</v>
      </c>
      <c r="M263" s="37"/>
      <c r="N263" s="38">
        <f t="shared" si="55"/>
        <v>4</v>
      </c>
      <c r="O263" s="37">
        <v>3.2</v>
      </c>
      <c r="P263" s="37">
        <v>3.2</v>
      </c>
      <c r="Q263" s="38">
        <f t="shared" si="56"/>
        <v>3.2</v>
      </c>
      <c r="R263" s="17">
        <v>3.15</v>
      </c>
      <c r="S263" s="17">
        <v>3.1110000000000002</v>
      </c>
      <c r="T263" s="22">
        <f t="shared" si="57"/>
        <v>3.1309999999999998</v>
      </c>
      <c r="U263" s="34">
        <v>3.0339999999999998</v>
      </c>
      <c r="V263" s="34">
        <v>3.0369999999999999</v>
      </c>
      <c r="W263" s="33">
        <f t="shared" si="58"/>
        <v>3.036</v>
      </c>
      <c r="X263" s="17">
        <v>8.7999999999999995E-2</v>
      </c>
      <c r="Y263" s="17">
        <v>8.8999999999999996E-2</v>
      </c>
      <c r="Z263" s="21">
        <f t="shared" si="59"/>
        <v>8.8999999999999996E-2</v>
      </c>
      <c r="AA263" s="19">
        <v>2.7909999999999999</v>
      </c>
      <c r="AB263" s="19">
        <v>2.8039999999999998</v>
      </c>
      <c r="AC263" s="21">
        <f t="shared" si="60"/>
        <v>2.798</v>
      </c>
      <c r="AD263" s="19">
        <v>8.7999999999999995E-2</v>
      </c>
      <c r="AE263" s="19">
        <v>7.9000000000000001E-2</v>
      </c>
      <c r="AF263" s="21">
        <f t="shared" si="61"/>
        <v>8.4000000000000005E-2</v>
      </c>
      <c r="AG263" s="30">
        <v>4.5999999999999999E-2</v>
      </c>
      <c r="AH263" s="30">
        <v>4.3999999999999997E-2</v>
      </c>
      <c r="AI263" s="31">
        <f t="shared" si="62"/>
        <v>4.4999999999999998E-2</v>
      </c>
      <c r="AJ263" s="30">
        <v>3.6999999999999998E-2</v>
      </c>
      <c r="AK263" s="30">
        <v>3.6999999999999998E-2</v>
      </c>
      <c r="AL263" s="31">
        <f t="shared" si="63"/>
        <v>3.6999999999999998E-2</v>
      </c>
      <c r="AM263" s="19">
        <v>15.316000000000001</v>
      </c>
      <c r="AN263" s="19">
        <v>15.327</v>
      </c>
      <c r="AO263" s="21">
        <f t="shared" si="64"/>
        <v>15.321999999999999</v>
      </c>
      <c r="AP263" s="27">
        <v>8.7499999999999994E-2</v>
      </c>
      <c r="AQ263" s="27">
        <v>8.7999999999999995E-2</v>
      </c>
      <c r="AR263" s="26">
        <f t="shared" si="65"/>
        <v>8.7800000000000003E-2</v>
      </c>
      <c r="AS263" s="3">
        <v>9.3800000000000008</v>
      </c>
      <c r="AT263" s="95">
        <v>3.81</v>
      </c>
      <c r="AU263" s="95"/>
    </row>
    <row r="264" spans="1:47">
      <c r="A264" s="7" t="s">
        <v>26</v>
      </c>
      <c r="B264" s="5" t="s">
        <v>92</v>
      </c>
      <c r="C264" s="6" t="s">
        <v>93</v>
      </c>
      <c r="D264" s="6" t="s">
        <v>36</v>
      </c>
      <c r="E264" s="23">
        <v>26.4</v>
      </c>
      <c r="F264" s="23">
        <v>6.5</v>
      </c>
      <c r="G264" s="41">
        <v>192</v>
      </c>
      <c r="H264" s="23">
        <v>6.3</v>
      </c>
      <c r="I264" s="23">
        <v>1</v>
      </c>
      <c r="J264" s="23">
        <v>5.4</v>
      </c>
      <c r="K264" s="37">
        <v>4</v>
      </c>
      <c r="L264" s="37">
        <v>3.9</v>
      </c>
      <c r="M264" s="37"/>
      <c r="N264" s="38">
        <f t="shared" si="55"/>
        <v>4</v>
      </c>
      <c r="O264" s="37">
        <v>3.4</v>
      </c>
      <c r="P264" s="37">
        <v>3.3</v>
      </c>
      <c r="Q264" s="38">
        <f t="shared" si="56"/>
        <v>3.4</v>
      </c>
      <c r="R264" s="17">
        <v>2.1070000000000002</v>
      </c>
      <c r="S264" s="17">
        <v>2.0819999999999999</v>
      </c>
      <c r="T264" s="22">
        <f t="shared" si="57"/>
        <v>2.0950000000000002</v>
      </c>
      <c r="U264" s="34">
        <v>1.968</v>
      </c>
      <c r="V264" s="34">
        <v>1.9419999999999999</v>
      </c>
      <c r="W264" s="33">
        <f t="shared" si="58"/>
        <v>1.9550000000000001</v>
      </c>
      <c r="X264" s="17">
        <v>0.12</v>
      </c>
      <c r="Y264" s="17">
        <v>0.112</v>
      </c>
      <c r="Z264" s="21">
        <f t="shared" si="59"/>
        <v>0.11600000000000001</v>
      </c>
      <c r="AA264" s="19">
        <v>1.6180000000000001</v>
      </c>
      <c r="AB264" s="19">
        <v>1.629</v>
      </c>
      <c r="AC264" s="21">
        <f t="shared" si="60"/>
        <v>1.6240000000000001</v>
      </c>
      <c r="AD264" s="19">
        <v>0.16</v>
      </c>
      <c r="AE264" s="19">
        <v>0.14799999999999999</v>
      </c>
      <c r="AF264" s="21">
        <f t="shared" si="61"/>
        <v>0.154</v>
      </c>
      <c r="AG264" s="30">
        <v>9.7000000000000003E-2</v>
      </c>
      <c r="AH264" s="30">
        <v>9.9000000000000005E-2</v>
      </c>
      <c r="AI264" s="31">
        <f t="shared" si="62"/>
        <v>9.8000000000000004E-2</v>
      </c>
      <c r="AJ264" s="30">
        <v>9.2999999999999999E-2</v>
      </c>
      <c r="AK264" s="30">
        <v>9.6000000000000002E-2</v>
      </c>
      <c r="AL264" s="31">
        <f t="shared" si="63"/>
        <v>9.5000000000000001E-2</v>
      </c>
      <c r="AM264" s="19">
        <v>10.824</v>
      </c>
      <c r="AN264" s="19">
        <v>10.888999999999999</v>
      </c>
      <c r="AO264" s="21">
        <f t="shared" si="64"/>
        <v>10.856999999999999</v>
      </c>
      <c r="AP264" s="27">
        <v>9.2299999999999993E-2</v>
      </c>
      <c r="AQ264" s="27">
        <v>9.3600000000000003E-2</v>
      </c>
      <c r="AR264" s="26">
        <f t="shared" si="65"/>
        <v>9.2999999999999999E-2</v>
      </c>
      <c r="AS264" s="3">
        <v>9.07</v>
      </c>
      <c r="AT264" s="95">
        <v>2.54</v>
      </c>
    </row>
    <row r="265" spans="1:47">
      <c r="A265" s="7" t="s">
        <v>27</v>
      </c>
      <c r="B265" s="5" t="s">
        <v>94</v>
      </c>
      <c r="C265" s="6" t="s">
        <v>95</v>
      </c>
      <c r="D265" s="6" t="s">
        <v>96</v>
      </c>
      <c r="E265" s="23">
        <v>22.5</v>
      </c>
      <c r="F265" s="23">
        <v>7.6</v>
      </c>
      <c r="G265" s="41">
        <v>204</v>
      </c>
      <c r="H265" s="23">
        <v>5.4</v>
      </c>
      <c r="I265" s="23">
        <v>0.5</v>
      </c>
      <c r="J265" s="23">
        <v>2.6</v>
      </c>
      <c r="K265" s="37">
        <v>1.9</v>
      </c>
      <c r="L265" s="37">
        <v>1.8</v>
      </c>
      <c r="M265" s="37"/>
      <c r="N265" s="38">
        <f t="shared" si="55"/>
        <v>1.9</v>
      </c>
      <c r="O265" s="37">
        <v>1.6</v>
      </c>
      <c r="P265" s="37">
        <v>1.5</v>
      </c>
      <c r="Q265" s="38">
        <f t="shared" si="56"/>
        <v>1.6</v>
      </c>
      <c r="R265" s="17">
        <v>2.069</v>
      </c>
      <c r="S265" s="17">
        <v>2.0209999999999999</v>
      </c>
      <c r="T265" s="22">
        <f t="shared" si="57"/>
        <v>2.0449999999999999</v>
      </c>
      <c r="U265" s="34">
        <v>2.02</v>
      </c>
      <c r="V265" s="34">
        <v>2.016</v>
      </c>
      <c r="W265" s="33">
        <f t="shared" si="58"/>
        <v>2.0179999999999998</v>
      </c>
      <c r="X265" s="17">
        <v>2.9000000000000001E-2</v>
      </c>
      <c r="Y265" s="17">
        <v>4.1000000000000002E-2</v>
      </c>
      <c r="Z265" s="21">
        <f t="shared" si="59"/>
        <v>3.5000000000000003E-2</v>
      </c>
      <c r="AA265" s="19">
        <v>1.8779999999999999</v>
      </c>
      <c r="AB265" s="19">
        <v>1.9079999999999999</v>
      </c>
      <c r="AC265" s="21">
        <f t="shared" si="60"/>
        <v>1.893</v>
      </c>
      <c r="AD265" s="19">
        <v>5.0999999999999997E-2</v>
      </c>
      <c r="AE265" s="19">
        <v>4.2000000000000003E-2</v>
      </c>
      <c r="AF265" s="21">
        <f t="shared" si="61"/>
        <v>4.7E-2</v>
      </c>
      <c r="AG265" s="30">
        <v>0.03</v>
      </c>
      <c r="AH265" s="30">
        <v>2.7E-2</v>
      </c>
      <c r="AI265" s="31">
        <f t="shared" si="62"/>
        <v>2.9000000000000001E-2</v>
      </c>
      <c r="AJ265" s="30">
        <v>2.8000000000000001E-2</v>
      </c>
      <c r="AK265" s="30">
        <v>2.5999999999999999E-2</v>
      </c>
      <c r="AL265" s="31">
        <f t="shared" si="63"/>
        <v>2.7E-2</v>
      </c>
      <c r="AM265" s="19">
        <v>11.628</v>
      </c>
      <c r="AN265" s="19">
        <v>11.686</v>
      </c>
      <c r="AO265" s="21">
        <f t="shared" si="64"/>
        <v>11.657</v>
      </c>
      <c r="AP265" s="27">
        <v>3.5099999999999999E-2</v>
      </c>
      <c r="AQ265" s="27">
        <v>3.7100000000000001E-2</v>
      </c>
      <c r="AR265" s="26">
        <f t="shared" si="65"/>
        <v>3.61E-2</v>
      </c>
      <c r="AS265" s="3">
        <v>13.35</v>
      </c>
      <c r="AT265" s="95">
        <v>3.66</v>
      </c>
      <c r="AU265" s="95"/>
    </row>
    <row r="266" spans="1:47">
      <c r="A266" s="7" t="s">
        <v>28</v>
      </c>
      <c r="B266" s="5" t="s">
        <v>97</v>
      </c>
      <c r="C266" s="6" t="s">
        <v>98</v>
      </c>
      <c r="D266" s="6" t="s">
        <v>36</v>
      </c>
      <c r="E266" s="23">
        <v>26.5</v>
      </c>
      <c r="F266" s="23">
        <v>7.1</v>
      </c>
      <c r="G266" s="41">
        <v>196</v>
      </c>
      <c r="H266" s="23">
        <v>6.8</v>
      </c>
      <c r="I266" s="23">
        <v>1.8</v>
      </c>
      <c r="J266" s="23">
        <v>5.2</v>
      </c>
      <c r="K266" s="37">
        <v>3.8</v>
      </c>
      <c r="L266" s="37">
        <v>3.7</v>
      </c>
      <c r="M266" s="37"/>
      <c r="N266" s="38">
        <f t="shared" si="55"/>
        <v>3.8</v>
      </c>
      <c r="O266" s="37">
        <v>3.3</v>
      </c>
      <c r="P266" s="37">
        <v>3.2</v>
      </c>
      <c r="Q266" s="38">
        <f t="shared" si="56"/>
        <v>3.3</v>
      </c>
      <c r="R266" s="17">
        <v>2.044</v>
      </c>
      <c r="S266" s="17">
        <v>1.984</v>
      </c>
      <c r="T266" s="22">
        <f t="shared" si="57"/>
        <v>2.0139999999999998</v>
      </c>
      <c r="U266" s="34">
        <v>1.9470000000000001</v>
      </c>
      <c r="V266" s="34">
        <v>1.944</v>
      </c>
      <c r="W266" s="33">
        <f t="shared" si="58"/>
        <v>1.946</v>
      </c>
      <c r="X266" s="17">
        <v>8.8999999999999996E-2</v>
      </c>
      <c r="Y266" s="17">
        <v>8.4000000000000005E-2</v>
      </c>
      <c r="Z266" s="21">
        <f t="shared" si="59"/>
        <v>8.6999999999999994E-2</v>
      </c>
      <c r="AA266" s="19">
        <v>1.62</v>
      </c>
      <c r="AB266" s="19">
        <v>1.645</v>
      </c>
      <c r="AC266" s="21">
        <f t="shared" si="60"/>
        <v>1.633</v>
      </c>
      <c r="AD266" s="19">
        <v>0.13800000000000001</v>
      </c>
      <c r="AE266" s="19">
        <v>0.124</v>
      </c>
      <c r="AF266" s="21">
        <f t="shared" si="61"/>
        <v>0.13100000000000001</v>
      </c>
      <c r="AG266" s="30">
        <v>8.3000000000000004E-2</v>
      </c>
      <c r="AH266" s="30">
        <v>8.8999999999999996E-2</v>
      </c>
      <c r="AI266" s="31">
        <f t="shared" si="62"/>
        <v>8.5999999999999993E-2</v>
      </c>
      <c r="AJ266" s="30">
        <v>8.1000000000000003E-2</v>
      </c>
      <c r="AK266" s="30">
        <v>8.5999999999999993E-2</v>
      </c>
      <c r="AL266" s="31">
        <f t="shared" si="63"/>
        <v>8.4000000000000005E-2</v>
      </c>
      <c r="AM266" s="19">
        <v>11.156000000000001</v>
      </c>
      <c r="AN266" s="19">
        <v>11.225</v>
      </c>
      <c r="AO266" s="21">
        <f t="shared" si="64"/>
        <v>11.191000000000001</v>
      </c>
      <c r="AP266" s="27">
        <v>9.1700000000000004E-2</v>
      </c>
      <c r="AQ266" s="27">
        <v>9.1899999999999996E-2</v>
      </c>
      <c r="AR266" s="26">
        <f t="shared" si="65"/>
        <v>9.1800000000000007E-2</v>
      </c>
      <c r="AS266" s="3">
        <v>9.42</v>
      </c>
      <c r="AT266" s="95">
        <v>2.2599999999999998</v>
      </c>
    </row>
    <row r="267" spans="1:47">
      <c r="A267" s="7" t="s">
        <v>29</v>
      </c>
      <c r="B267" s="5" t="s">
        <v>99</v>
      </c>
      <c r="C267" s="6" t="s">
        <v>44</v>
      </c>
      <c r="D267" s="6" t="s">
        <v>100</v>
      </c>
      <c r="E267" s="23">
        <v>26</v>
      </c>
      <c r="F267" s="23">
        <v>6.9</v>
      </c>
      <c r="G267" s="41">
        <v>220</v>
      </c>
      <c r="H267" s="23">
        <v>5.4</v>
      </c>
      <c r="I267" s="23">
        <v>1.2</v>
      </c>
      <c r="J267" s="23">
        <v>6.8</v>
      </c>
      <c r="K267" s="37">
        <v>5.2</v>
      </c>
      <c r="L267" s="37">
        <v>5.2</v>
      </c>
      <c r="M267" s="37"/>
      <c r="N267" s="38">
        <f t="shared" si="55"/>
        <v>5.2</v>
      </c>
      <c r="O267" s="37">
        <v>4.5</v>
      </c>
      <c r="P267" s="37">
        <v>4.3</v>
      </c>
      <c r="Q267" s="38">
        <f t="shared" si="56"/>
        <v>4.4000000000000004</v>
      </c>
      <c r="R267" s="17">
        <v>1.9339999999999999</v>
      </c>
      <c r="S267" s="17">
        <v>1.889</v>
      </c>
      <c r="T267" s="22">
        <f t="shared" si="57"/>
        <v>1.9119999999999999</v>
      </c>
      <c r="U267" s="34">
        <v>1.728</v>
      </c>
      <c r="V267" s="34">
        <v>1.718</v>
      </c>
      <c r="W267" s="33">
        <f t="shared" si="58"/>
        <v>1.7230000000000001</v>
      </c>
      <c r="X267" s="17">
        <v>0.214</v>
      </c>
      <c r="Y267" s="17">
        <v>0.217</v>
      </c>
      <c r="Z267" s="21">
        <f t="shared" si="59"/>
        <v>0.216</v>
      </c>
      <c r="AA267" s="19">
        <v>1.2070000000000001</v>
      </c>
      <c r="AB267" s="19">
        <v>1.202</v>
      </c>
      <c r="AC267" s="21">
        <f t="shared" si="60"/>
        <v>1.2050000000000001</v>
      </c>
      <c r="AD267" s="19">
        <v>0.29199999999999998</v>
      </c>
      <c r="AE267" s="19">
        <v>0.28000000000000003</v>
      </c>
      <c r="AF267" s="21">
        <f t="shared" si="61"/>
        <v>0.28599999999999998</v>
      </c>
      <c r="AG267" s="30">
        <v>0.18</v>
      </c>
      <c r="AH267" s="30">
        <v>0.17799999999999999</v>
      </c>
      <c r="AI267" s="31">
        <f t="shared" si="62"/>
        <v>0.17899999999999999</v>
      </c>
      <c r="AJ267" s="30">
        <v>0.17699999999999999</v>
      </c>
      <c r="AK267" s="30">
        <v>0.17499999999999999</v>
      </c>
      <c r="AL267" s="31">
        <f t="shared" si="63"/>
        <v>0.17599999999999999</v>
      </c>
      <c r="AM267" s="19">
        <v>13.055</v>
      </c>
      <c r="AN267" s="19">
        <v>12.983000000000001</v>
      </c>
      <c r="AO267" s="21">
        <f t="shared" si="64"/>
        <v>13.019</v>
      </c>
      <c r="AP267" s="27">
        <v>0.12670000000000001</v>
      </c>
      <c r="AQ267" s="27">
        <v>0.12659999999999999</v>
      </c>
      <c r="AR267" s="26">
        <f t="shared" si="65"/>
        <v>0.12670000000000001</v>
      </c>
      <c r="AS267" s="3">
        <v>9.68</v>
      </c>
      <c r="AT267" s="95">
        <v>2.73</v>
      </c>
      <c r="AU267" s="95"/>
    </row>
    <row r="268" spans="1:47">
      <c r="A268" s="7" t="s">
        <v>30</v>
      </c>
      <c r="B268" s="5" t="s">
        <v>101</v>
      </c>
      <c r="C268" s="6" t="s">
        <v>44</v>
      </c>
      <c r="D268" s="6" t="s">
        <v>160</v>
      </c>
      <c r="E268" s="23">
        <v>25.3</v>
      </c>
      <c r="F268" s="23">
        <v>7.4</v>
      </c>
      <c r="G268" s="41">
        <v>210</v>
      </c>
      <c r="H268" s="23">
        <v>7.6</v>
      </c>
      <c r="I268" s="23">
        <v>2.5</v>
      </c>
      <c r="J268" s="23">
        <v>8</v>
      </c>
      <c r="K268" s="37">
        <v>6.3</v>
      </c>
      <c r="L268" s="37">
        <v>6.2</v>
      </c>
      <c r="M268" s="37"/>
      <c r="N268" s="38">
        <f t="shared" si="55"/>
        <v>6.3</v>
      </c>
      <c r="O268" s="37">
        <v>4.5999999999999996</v>
      </c>
      <c r="P268" s="37">
        <v>4.5</v>
      </c>
      <c r="Q268" s="38">
        <f t="shared" si="56"/>
        <v>4.5999999999999996</v>
      </c>
      <c r="R268" s="17">
        <v>2.67</v>
      </c>
      <c r="S268" s="17">
        <v>2.6320000000000001</v>
      </c>
      <c r="T268" s="22">
        <f t="shared" si="57"/>
        <v>2.6509999999999998</v>
      </c>
      <c r="U268" s="34">
        <v>2.4329999999999998</v>
      </c>
      <c r="V268" s="34">
        <v>2.4180000000000001</v>
      </c>
      <c r="W268" s="33">
        <f t="shared" si="58"/>
        <v>2.4260000000000002</v>
      </c>
      <c r="X268" s="17">
        <v>0.52400000000000002</v>
      </c>
      <c r="Y268" s="17">
        <v>0.51700000000000002</v>
      </c>
      <c r="Z268" s="21">
        <f t="shared" si="59"/>
        <v>0.52100000000000002</v>
      </c>
      <c r="AA268" s="19">
        <v>1.534</v>
      </c>
      <c r="AB268" s="19">
        <v>1.5449999999999999</v>
      </c>
      <c r="AC268" s="21">
        <f t="shared" si="60"/>
        <v>1.54</v>
      </c>
      <c r="AD268" s="19">
        <v>0.28000000000000003</v>
      </c>
      <c r="AE268" s="19">
        <v>0.25700000000000001</v>
      </c>
      <c r="AF268" s="21">
        <f t="shared" si="61"/>
        <v>0.26900000000000002</v>
      </c>
      <c r="AG268" s="30">
        <v>8.5000000000000006E-2</v>
      </c>
      <c r="AH268" s="30">
        <v>0.08</v>
      </c>
      <c r="AI268" s="31">
        <f t="shared" si="62"/>
        <v>8.3000000000000004E-2</v>
      </c>
      <c r="AJ268" s="30">
        <v>8.1000000000000003E-2</v>
      </c>
      <c r="AK268" s="30">
        <v>7.8E-2</v>
      </c>
      <c r="AL268" s="31">
        <f t="shared" si="63"/>
        <v>0.08</v>
      </c>
      <c r="AM268" s="19">
        <v>18.033999999999999</v>
      </c>
      <c r="AN268" s="19">
        <v>18.055</v>
      </c>
      <c r="AO268" s="21">
        <f t="shared" si="64"/>
        <v>18.045000000000002</v>
      </c>
      <c r="AP268" s="27">
        <v>0.13980000000000001</v>
      </c>
      <c r="AQ268" s="27">
        <v>0.14069999999999999</v>
      </c>
      <c r="AR268" s="26">
        <f t="shared" si="65"/>
        <v>0.14030000000000001</v>
      </c>
      <c r="AS268" s="3">
        <v>5.7</v>
      </c>
      <c r="AT268" s="95">
        <v>4.75</v>
      </c>
      <c r="AU268" s="95"/>
    </row>
    <row r="269" spans="1:47">
      <c r="A269" s="7" t="s">
        <v>31</v>
      </c>
      <c r="B269" s="5" t="s">
        <v>102</v>
      </c>
      <c r="C269" s="6" t="s">
        <v>103</v>
      </c>
      <c r="D269" s="6" t="s">
        <v>36</v>
      </c>
      <c r="E269" s="23">
        <v>27</v>
      </c>
      <c r="F269" s="23">
        <v>7.2</v>
      </c>
      <c r="G269" s="41">
        <v>200</v>
      </c>
      <c r="H269" s="23">
        <v>6.6</v>
      </c>
      <c r="I269" s="23">
        <v>1</v>
      </c>
      <c r="J269" s="23">
        <v>5.7</v>
      </c>
      <c r="K269" s="37">
        <v>4</v>
      </c>
      <c r="L269" s="37">
        <v>4.0999999999999996</v>
      </c>
      <c r="M269" s="37"/>
      <c r="N269" s="38">
        <f t="shared" si="55"/>
        <v>4.0999999999999996</v>
      </c>
      <c r="O269" s="37">
        <v>3.4</v>
      </c>
      <c r="P269" s="37">
        <v>3.3</v>
      </c>
      <c r="Q269" s="38">
        <f t="shared" si="56"/>
        <v>3.4</v>
      </c>
      <c r="R269" s="17">
        <v>2.0920000000000001</v>
      </c>
      <c r="S269" s="17">
        <v>2.0609999999999999</v>
      </c>
      <c r="T269" s="22">
        <f t="shared" si="57"/>
        <v>2.077</v>
      </c>
      <c r="U269" s="34">
        <v>1.9730000000000001</v>
      </c>
      <c r="V269" s="34">
        <v>2.089</v>
      </c>
      <c r="W269" s="33">
        <f t="shared" si="58"/>
        <v>2.0310000000000001</v>
      </c>
      <c r="X269" s="17">
        <v>9.9000000000000005E-2</v>
      </c>
      <c r="Y269" s="17">
        <v>0.108</v>
      </c>
      <c r="Z269" s="21">
        <f t="shared" si="59"/>
        <v>0.104</v>
      </c>
      <c r="AA269" s="19">
        <v>1.5880000000000001</v>
      </c>
      <c r="AB269" s="19">
        <v>1.6180000000000001</v>
      </c>
      <c r="AC269" s="21">
        <f t="shared" si="60"/>
        <v>1.603</v>
      </c>
      <c r="AD269" s="19">
        <v>0.14599999999999999</v>
      </c>
      <c r="AE269" s="19">
        <v>0.14199999999999999</v>
      </c>
      <c r="AF269" s="21">
        <f t="shared" si="61"/>
        <v>0.14399999999999999</v>
      </c>
      <c r="AG269" s="30">
        <v>8.5000000000000006E-2</v>
      </c>
      <c r="AH269" s="30">
        <v>9.8000000000000004E-2</v>
      </c>
      <c r="AI269" s="31">
        <f t="shared" si="62"/>
        <v>9.1999999999999998E-2</v>
      </c>
      <c r="AJ269" s="30">
        <v>8.4000000000000005E-2</v>
      </c>
      <c r="AK269" s="30">
        <v>9.5000000000000001E-2</v>
      </c>
      <c r="AL269" s="31">
        <f t="shared" si="63"/>
        <v>0.09</v>
      </c>
      <c r="AM269" s="19">
        <v>11.696</v>
      </c>
      <c r="AN269" s="19">
        <v>11.852</v>
      </c>
      <c r="AO269" s="21">
        <f t="shared" si="64"/>
        <v>11.773999999999999</v>
      </c>
      <c r="AP269" s="27">
        <v>9.2600000000000002E-2</v>
      </c>
      <c r="AQ269" s="27">
        <v>9.3700000000000006E-2</v>
      </c>
      <c r="AR269" s="26">
        <f t="shared" si="65"/>
        <v>9.3200000000000005E-2</v>
      </c>
      <c r="AS269" s="3">
        <v>9.36</v>
      </c>
      <c r="AT269" s="95">
        <v>2.82</v>
      </c>
    </row>
    <row r="270" spans="1:47">
      <c r="A270" s="7" t="s">
        <v>32</v>
      </c>
      <c r="B270" s="5" t="s">
        <v>104</v>
      </c>
      <c r="C270" s="6" t="s">
        <v>44</v>
      </c>
      <c r="D270" s="6" t="s">
        <v>105</v>
      </c>
      <c r="E270" s="23">
        <v>25.9</v>
      </c>
      <c r="F270" s="23">
        <v>7.1</v>
      </c>
      <c r="G270" s="41">
        <v>303</v>
      </c>
      <c r="H270" s="23">
        <v>4.5999999999999996</v>
      </c>
      <c r="I270" s="23">
        <v>1</v>
      </c>
      <c r="J270" s="23">
        <v>7.5</v>
      </c>
      <c r="K270" s="37">
        <v>6.1</v>
      </c>
      <c r="L270" s="37">
        <v>6.1</v>
      </c>
      <c r="M270" s="37"/>
      <c r="N270" s="38">
        <f t="shared" si="55"/>
        <v>6.1</v>
      </c>
      <c r="O270" s="37">
        <v>5.2</v>
      </c>
      <c r="P270" s="37">
        <v>5.0999999999999996</v>
      </c>
      <c r="Q270" s="38">
        <f t="shared" si="56"/>
        <v>5.2</v>
      </c>
      <c r="R270" s="17">
        <v>2.8660000000000001</v>
      </c>
      <c r="S270" s="17">
        <v>2.8119999999999998</v>
      </c>
      <c r="T270" s="22">
        <f t="shared" si="57"/>
        <v>2.839</v>
      </c>
      <c r="U270" s="34">
        <v>2.8290000000000002</v>
      </c>
      <c r="V270" s="34">
        <v>2.8359999999999999</v>
      </c>
      <c r="W270" s="33">
        <f t="shared" si="58"/>
        <v>2.8330000000000002</v>
      </c>
      <c r="X270" s="17">
        <v>9.8000000000000004E-2</v>
      </c>
      <c r="Y270" s="17">
        <v>0.11600000000000001</v>
      </c>
      <c r="Z270" s="21">
        <f t="shared" si="59"/>
        <v>0.107</v>
      </c>
      <c r="AA270" s="19">
        <v>2.2109999999999999</v>
      </c>
      <c r="AB270" s="19">
        <v>2.2130000000000001</v>
      </c>
      <c r="AC270" s="21">
        <f t="shared" si="60"/>
        <v>2.2120000000000002</v>
      </c>
      <c r="AD270" s="19">
        <v>0.16900000000000001</v>
      </c>
      <c r="AE270" s="19">
        <v>0.156</v>
      </c>
      <c r="AF270" s="21">
        <f t="shared" si="61"/>
        <v>0.16300000000000001</v>
      </c>
      <c r="AG270" s="30">
        <v>0.123</v>
      </c>
      <c r="AH270" s="30">
        <v>0.121</v>
      </c>
      <c r="AI270" s="31">
        <f t="shared" si="62"/>
        <v>0.122</v>
      </c>
      <c r="AJ270" s="30">
        <v>0.10299999999999999</v>
      </c>
      <c r="AK270" s="30">
        <v>9.9000000000000005E-2</v>
      </c>
      <c r="AL270" s="31">
        <f t="shared" si="63"/>
        <v>0.10100000000000001</v>
      </c>
      <c r="AM270" s="19">
        <v>20.523</v>
      </c>
      <c r="AN270" s="19">
        <v>20.478999999999999</v>
      </c>
      <c r="AO270" s="21">
        <f t="shared" si="64"/>
        <v>20.501000000000001</v>
      </c>
      <c r="AP270" s="27">
        <v>0.14050000000000001</v>
      </c>
      <c r="AQ270" s="27">
        <v>0.1409</v>
      </c>
      <c r="AR270" s="26">
        <f t="shared" si="65"/>
        <v>0.14069999999999999</v>
      </c>
      <c r="AS270" s="3">
        <v>10.91</v>
      </c>
      <c r="AT270" s="95">
        <v>6.07</v>
      </c>
      <c r="AU270" s="95"/>
    </row>
    <row r="271" spans="1:47">
      <c r="A271" s="7" t="s">
        <v>33</v>
      </c>
      <c r="B271" s="5" t="s">
        <v>106</v>
      </c>
      <c r="C271" s="6" t="s">
        <v>107</v>
      </c>
      <c r="D271" s="6" t="s">
        <v>36</v>
      </c>
      <c r="E271" s="23">
        <v>26.4</v>
      </c>
      <c r="F271" s="23">
        <v>6.8</v>
      </c>
      <c r="G271" s="41">
        <v>205</v>
      </c>
      <c r="H271" s="23">
        <v>7.1</v>
      </c>
      <c r="I271" s="23">
        <v>1</v>
      </c>
      <c r="J271" s="23">
        <v>5.6</v>
      </c>
      <c r="K271" s="37">
        <v>4.4000000000000004</v>
      </c>
      <c r="L271" s="37">
        <v>4.2</v>
      </c>
      <c r="M271" s="37"/>
      <c r="N271" s="38">
        <f t="shared" si="55"/>
        <v>4.3</v>
      </c>
      <c r="O271" s="37">
        <v>3.5</v>
      </c>
      <c r="P271" s="37">
        <v>3.4</v>
      </c>
      <c r="Q271" s="38">
        <f t="shared" si="56"/>
        <v>3.5</v>
      </c>
      <c r="R271" s="17">
        <v>2.278</v>
      </c>
      <c r="S271" s="17">
        <v>2.2250000000000001</v>
      </c>
      <c r="T271" s="22">
        <f t="shared" si="57"/>
        <v>2.2519999999999998</v>
      </c>
      <c r="U271" s="34">
        <v>2.2450000000000001</v>
      </c>
      <c r="V271" s="34">
        <v>2.25</v>
      </c>
      <c r="W271" s="33">
        <f t="shared" si="58"/>
        <v>2.2480000000000002</v>
      </c>
      <c r="X271" s="17">
        <v>0.11600000000000001</v>
      </c>
      <c r="Y271" s="17">
        <v>0.106</v>
      </c>
      <c r="Z271" s="21">
        <f t="shared" si="59"/>
        <v>0.111</v>
      </c>
      <c r="AA271" s="19">
        <v>1.7829999999999999</v>
      </c>
      <c r="AB271" s="19">
        <v>1.806</v>
      </c>
      <c r="AC271" s="21">
        <f t="shared" si="60"/>
        <v>1.7949999999999999</v>
      </c>
      <c r="AD271" s="19">
        <v>0.154</v>
      </c>
      <c r="AE271" s="19">
        <v>0.14299999999999999</v>
      </c>
      <c r="AF271" s="21">
        <f t="shared" si="61"/>
        <v>0.14899999999999999</v>
      </c>
      <c r="AG271" s="30">
        <v>0.129</v>
      </c>
      <c r="AH271" s="30">
        <v>0.129</v>
      </c>
      <c r="AI271" s="31">
        <f t="shared" si="62"/>
        <v>0.129</v>
      </c>
      <c r="AJ271" s="30">
        <v>0.11700000000000001</v>
      </c>
      <c r="AK271" s="30">
        <v>0.113</v>
      </c>
      <c r="AL271" s="31">
        <f t="shared" si="63"/>
        <v>0.115</v>
      </c>
      <c r="AM271" s="19">
        <v>13.592000000000001</v>
      </c>
      <c r="AN271" s="19">
        <v>13.72</v>
      </c>
      <c r="AO271" s="21">
        <f t="shared" si="64"/>
        <v>13.656000000000001</v>
      </c>
      <c r="AP271" s="27">
        <v>9.4600000000000004E-2</v>
      </c>
      <c r="AQ271" s="27">
        <v>9.5799999999999996E-2</v>
      </c>
      <c r="AR271" s="26">
        <f t="shared" si="65"/>
        <v>9.5200000000000007E-2</v>
      </c>
      <c r="AS271" s="3">
        <v>9.6300000000000008</v>
      </c>
      <c r="AT271" s="95">
        <v>2.4700000000000002</v>
      </c>
    </row>
    <row r="272" spans="1:47">
      <c r="A272" s="7" t="s">
        <v>137</v>
      </c>
      <c r="B272" s="5" t="s">
        <v>138</v>
      </c>
      <c r="C272" s="6"/>
      <c r="D272" s="6"/>
      <c r="E272" s="23">
        <v>24.7</v>
      </c>
      <c r="F272" s="23">
        <v>6.8</v>
      </c>
      <c r="G272" s="41">
        <v>315</v>
      </c>
      <c r="H272" s="23">
        <v>7.1</v>
      </c>
      <c r="I272" s="23">
        <v>7.4</v>
      </c>
      <c r="J272" s="23">
        <v>12.1</v>
      </c>
      <c r="K272" s="37">
        <v>9.1999999999999993</v>
      </c>
      <c r="L272" s="37">
        <v>9.5</v>
      </c>
      <c r="M272" s="37">
        <v>9.3000000000000007</v>
      </c>
      <c r="N272" s="38">
        <f t="shared" si="55"/>
        <v>9.3000000000000007</v>
      </c>
      <c r="O272" s="37">
        <v>4.8</v>
      </c>
      <c r="P272" s="37">
        <v>4.8</v>
      </c>
      <c r="Q272" s="38">
        <f t="shared" si="56"/>
        <v>4.8</v>
      </c>
      <c r="R272" s="17">
        <v>8.5950000000000006</v>
      </c>
      <c r="S272" s="17">
        <v>8.5589999999999993</v>
      </c>
      <c r="T272" s="22">
        <f t="shared" si="57"/>
        <v>8.577</v>
      </c>
      <c r="U272" s="34">
        <v>7.8979999999999997</v>
      </c>
      <c r="V272" s="34">
        <v>7.9870000000000001</v>
      </c>
      <c r="W272" s="33">
        <f t="shared" si="58"/>
        <v>7.9429999999999996</v>
      </c>
      <c r="X272" s="17">
        <v>2.1789999999999998</v>
      </c>
      <c r="Y272" s="17">
        <v>2.1840000000000002</v>
      </c>
      <c r="Z272" s="21">
        <f t="shared" si="59"/>
        <v>2.1819999999999999</v>
      </c>
      <c r="AA272" s="19">
        <v>5.1630000000000003</v>
      </c>
      <c r="AB272" s="19">
        <v>5.2560000000000002</v>
      </c>
      <c r="AC272" s="21">
        <f t="shared" si="60"/>
        <v>5.21</v>
      </c>
      <c r="AD272" s="19">
        <v>0.45200000000000001</v>
      </c>
      <c r="AE272" s="19">
        <v>0.44900000000000001</v>
      </c>
      <c r="AF272" s="21">
        <f t="shared" si="61"/>
        <v>0.45100000000000001</v>
      </c>
      <c r="AG272" s="30">
        <v>0.216</v>
      </c>
      <c r="AH272" s="30">
        <v>0.218</v>
      </c>
      <c r="AI272" s="31">
        <f t="shared" si="62"/>
        <v>0.217</v>
      </c>
      <c r="AJ272" s="30">
        <v>0.20200000000000001</v>
      </c>
      <c r="AK272" s="30">
        <v>0.2</v>
      </c>
      <c r="AL272" s="31">
        <f t="shared" si="63"/>
        <v>0.20100000000000001</v>
      </c>
      <c r="AM272" s="19">
        <v>37.417000000000002</v>
      </c>
      <c r="AN272" s="19">
        <v>38.012999999999998</v>
      </c>
      <c r="AO272" s="21">
        <f t="shared" si="64"/>
        <v>37.715000000000003</v>
      </c>
      <c r="AP272" s="27">
        <v>9.9000000000000005E-2</v>
      </c>
      <c r="AQ272" s="27">
        <v>9.9299999999999999E-2</v>
      </c>
      <c r="AR272" s="26">
        <f t="shared" si="65"/>
        <v>9.9199999999999997E-2</v>
      </c>
      <c r="AS272" s="3">
        <v>11.7</v>
      </c>
      <c r="AT272" s="96">
        <v>0.36</v>
      </c>
    </row>
    <row r="273" spans="1:47">
      <c r="A273" s="7" t="s">
        <v>158</v>
      </c>
      <c r="B273" s="5" t="s">
        <v>159</v>
      </c>
      <c r="C273" s="6"/>
      <c r="D273" s="6"/>
      <c r="E273" s="23">
        <v>24.6</v>
      </c>
      <c r="F273" s="23">
        <v>6.9</v>
      </c>
      <c r="G273" s="41">
        <v>358</v>
      </c>
      <c r="H273" s="23">
        <v>7</v>
      </c>
      <c r="I273" s="23">
        <v>1.6</v>
      </c>
      <c r="J273" s="23">
        <v>6.9</v>
      </c>
      <c r="K273" s="37">
        <v>4.9000000000000004</v>
      </c>
      <c r="L273" s="37">
        <v>4.5</v>
      </c>
      <c r="M273" s="37"/>
      <c r="N273" s="38">
        <f t="shared" si="55"/>
        <v>4.7</v>
      </c>
      <c r="O273" s="37">
        <v>4.0999999999999996</v>
      </c>
      <c r="P273" s="37">
        <v>4</v>
      </c>
      <c r="Q273" s="38">
        <f t="shared" si="56"/>
        <v>4.0999999999999996</v>
      </c>
      <c r="R273" s="17">
        <v>1.0449999999999999</v>
      </c>
      <c r="S273" s="17">
        <v>1.0509999999999999</v>
      </c>
      <c r="T273" s="22">
        <f t="shared" si="57"/>
        <v>1.048</v>
      </c>
      <c r="U273" s="34">
        <v>0.97699999999999998</v>
      </c>
      <c r="V273" s="34">
        <v>0.95699999999999996</v>
      </c>
      <c r="W273" s="33">
        <f t="shared" si="58"/>
        <v>0.96699999999999997</v>
      </c>
      <c r="X273" s="17">
        <v>0.14199999999999999</v>
      </c>
      <c r="Y273" s="17">
        <v>0.13800000000000001</v>
      </c>
      <c r="Z273" s="21">
        <f t="shared" si="59"/>
        <v>0.14000000000000001</v>
      </c>
      <c r="AA273" s="19">
        <v>0.52600000000000002</v>
      </c>
      <c r="AB273" s="19">
        <v>0.51</v>
      </c>
      <c r="AC273" s="21">
        <f t="shared" si="60"/>
        <v>0.51800000000000002</v>
      </c>
      <c r="AD273" s="19">
        <v>0.104</v>
      </c>
      <c r="AE273" s="19">
        <v>0.10100000000000001</v>
      </c>
      <c r="AF273" s="21">
        <f t="shared" si="61"/>
        <v>0.10299999999999999</v>
      </c>
      <c r="AG273" s="30">
        <v>6.8000000000000005E-2</v>
      </c>
      <c r="AH273" s="30">
        <v>6.0999999999999999E-2</v>
      </c>
      <c r="AI273" s="31">
        <f t="shared" si="62"/>
        <v>6.5000000000000002E-2</v>
      </c>
      <c r="AJ273" s="30">
        <v>3.5999999999999997E-2</v>
      </c>
      <c r="AK273" s="30">
        <v>3.3000000000000002E-2</v>
      </c>
      <c r="AL273" s="31">
        <f t="shared" si="63"/>
        <v>3.5000000000000003E-2</v>
      </c>
      <c r="AM273" s="19">
        <v>58.296999999999997</v>
      </c>
      <c r="AN273" s="19">
        <v>55.573</v>
      </c>
      <c r="AO273" s="21">
        <f t="shared" si="64"/>
        <v>56.935000000000002</v>
      </c>
      <c r="AP273" s="27">
        <v>9.2100000000000001E-2</v>
      </c>
      <c r="AQ273" s="27">
        <v>9.3299999999999994E-2</v>
      </c>
      <c r="AR273" s="26">
        <f t="shared" si="65"/>
        <v>9.2700000000000005E-2</v>
      </c>
      <c r="AS273" s="3">
        <v>20.62</v>
      </c>
      <c r="AT273" s="96">
        <v>0.06</v>
      </c>
    </row>
    <row r="274" spans="1:47">
      <c r="A274" s="8" t="s">
        <v>136</v>
      </c>
      <c r="B274" s="9" t="s">
        <v>34</v>
      </c>
      <c r="C274" s="10" t="s">
        <v>35</v>
      </c>
      <c r="D274" s="10" t="s">
        <v>36</v>
      </c>
      <c r="E274" s="20">
        <v>22</v>
      </c>
      <c r="F274" s="20">
        <v>7.6</v>
      </c>
      <c r="G274" s="40">
        <v>93</v>
      </c>
      <c r="H274" s="20">
        <v>8.6999999999999993</v>
      </c>
      <c r="I274" s="20">
        <v>1</v>
      </c>
      <c r="J274" s="20">
        <v>3.1</v>
      </c>
      <c r="K274" s="36">
        <v>1.9</v>
      </c>
      <c r="L274" s="36">
        <v>1.9</v>
      </c>
      <c r="M274" s="36"/>
      <c r="N274" s="38">
        <f>ROUND(AVERAGE(K274:M274),1)</f>
        <v>1.9</v>
      </c>
      <c r="O274" s="36">
        <v>1.7</v>
      </c>
      <c r="P274" s="36">
        <v>1.6</v>
      </c>
      <c r="Q274" s="38">
        <f>ROUND(AVERAGE(O274:P274),1)</f>
        <v>1.7</v>
      </c>
      <c r="R274" s="16">
        <v>1.0760000000000001</v>
      </c>
      <c r="S274" s="16">
        <v>1.109</v>
      </c>
      <c r="T274" s="22">
        <f>ROUND(AVERAGE(R274:S274),3)</f>
        <v>1.093</v>
      </c>
      <c r="U274" s="32">
        <v>0.96399999999999997</v>
      </c>
      <c r="V274" s="32">
        <v>0.96599999999999997</v>
      </c>
      <c r="W274" s="22">
        <f>ROUND(AVERAGE(U274:V274),3)</f>
        <v>0.96499999999999997</v>
      </c>
      <c r="X274" s="16">
        <v>2.7E-2</v>
      </c>
      <c r="Y274" s="16">
        <v>2.9000000000000001E-2</v>
      </c>
      <c r="Z274" s="21">
        <f>ROUND(AVERAGE(X274:Y274),3)</f>
        <v>2.8000000000000001E-2</v>
      </c>
      <c r="AA274" s="29">
        <v>0.76900000000000002</v>
      </c>
      <c r="AB274" s="29">
        <v>0.78200000000000003</v>
      </c>
      <c r="AC274" s="31">
        <f>ROUND(AVERAGE(AA274:AB274),3)</f>
        <v>0.77600000000000002</v>
      </c>
      <c r="AD274" s="18">
        <v>0.03</v>
      </c>
      <c r="AE274" s="18">
        <v>3.4000000000000002E-2</v>
      </c>
      <c r="AF274" s="21">
        <f>ROUND(AVERAGE(AD274:AE274),3)</f>
        <v>3.2000000000000001E-2</v>
      </c>
      <c r="AG274" s="29">
        <v>2.3E-2</v>
      </c>
      <c r="AH274" s="29">
        <v>2.1000000000000001E-2</v>
      </c>
      <c r="AI274" s="21">
        <f>ROUND(AVERAGE(AG274:AH274),3)</f>
        <v>2.1999999999999999E-2</v>
      </c>
      <c r="AJ274" s="29">
        <v>8.0000000000000002E-3</v>
      </c>
      <c r="AK274" s="29">
        <v>6.0000000000000001E-3</v>
      </c>
      <c r="AL274" s="21">
        <f>ROUND(AVERAGE(AJ274:AK274),3)</f>
        <v>7.0000000000000001E-3</v>
      </c>
      <c r="AM274" s="29">
        <v>7.3310000000000004</v>
      </c>
      <c r="AN274" s="29">
        <v>7.3789999999999996</v>
      </c>
      <c r="AO274" s="31">
        <f>ROUND(AVERAGE(AM274:AN274),3)</f>
        <v>7.3550000000000004</v>
      </c>
      <c r="AP274" s="64">
        <v>5.8500000000000003E-2</v>
      </c>
      <c r="AQ274" s="64">
        <v>5.5199999999999999E-2</v>
      </c>
      <c r="AR274" s="65">
        <f>ROUND(AVERAGE(AP274:AQ274),4)</f>
        <v>5.6899999999999999E-2</v>
      </c>
      <c r="AS274" s="93">
        <v>4.04</v>
      </c>
      <c r="AT274" s="93">
        <v>3.23</v>
      </c>
    </row>
    <row r="275" spans="1:47">
      <c r="A275" s="7" t="s">
        <v>37</v>
      </c>
      <c r="B275" s="5" t="s">
        <v>38</v>
      </c>
      <c r="C275" s="6" t="s">
        <v>39</v>
      </c>
      <c r="D275" s="6" t="s">
        <v>40</v>
      </c>
      <c r="E275" s="23">
        <v>23.2</v>
      </c>
      <c r="F275" s="23">
        <v>7.3</v>
      </c>
      <c r="G275" s="41">
        <v>59</v>
      </c>
      <c r="H275" s="23">
        <v>8</v>
      </c>
      <c r="I275" s="23">
        <v>1.1000000000000001</v>
      </c>
      <c r="J275" s="23">
        <v>3.8</v>
      </c>
      <c r="K275" s="37">
        <v>2.6</v>
      </c>
      <c r="L275" s="37">
        <v>2.4</v>
      </c>
      <c r="M275" s="37"/>
      <c r="N275" s="38">
        <f t="shared" ref="N275:N310" si="66">ROUND(AVERAGE(K275:M275),1)</f>
        <v>2.5</v>
      </c>
      <c r="O275" s="37">
        <v>2.4</v>
      </c>
      <c r="P275" s="37">
        <v>2.2000000000000002</v>
      </c>
      <c r="Q275" s="38">
        <f t="shared" ref="Q275:Q311" si="67">ROUND(AVERAGE(O275:P275),1)</f>
        <v>2.2999999999999998</v>
      </c>
      <c r="R275" s="17">
        <v>0.95899999999999996</v>
      </c>
      <c r="S275" s="17">
        <v>0.97299999999999998</v>
      </c>
      <c r="T275" s="22">
        <f t="shared" ref="T275:T310" si="68">ROUND(AVERAGE(R275:S275),3)</f>
        <v>0.96599999999999997</v>
      </c>
      <c r="U275" s="34">
        <v>0.80400000000000005</v>
      </c>
      <c r="V275" s="34">
        <v>0.78600000000000003</v>
      </c>
      <c r="W275" s="22">
        <f t="shared" ref="W275:W311" si="69">ROUND(AVERAGE(U275:V275),3)</f>
        <v>0.79500000000000004</v>
      </c>
      <c r="X275" s="17">
        <v>2.3E-2</v>
      </c>
      <c r="Y275" s="17">
        <v>0.03</v>
      </c>
      <c r="Z275" s="21">
        <f t="shared" ref="Z275:Z310" si="70">ROUND(AVERAGE(X275:Y275),3)</f>
        <v>2.7E-2</v>
      </c>
      <c r="AA275" s="30">
        <v>0.64700000000000002</v>
      </c>
      <c r="AB275" s="30">
        <v>0.66900000000000004</v>
      </c>
      <c r="AC275" s="31">
        <f t="shared" ref="AC275:AC311" si="71">ROUND(AVERAGE(AA275:AB275),3)</f>
        <v>0.65800000000000003</v>
      </c>
      <c r="AD275" s="19">
        <v>3.1E-2</v>
      </c>
      <c r="AE275" s="19">
        <v>3.4000000000000002E-2</v>
      </c>
      <c r="AF275" s="21">
        <f t="shared" ref="AF275:AF310" si="72">ROUND(AVERAGE(AD275:AE275),3)</f>
        <v>3.3000000000000002E-2</v>
      </c>
      <c r="AG275" s="30">
        <v>1.4999999999999999E-2</v>
      </c>
      <c r="AH275" s="30">
        <v>1.2999999999999999E-2</v>
      </c>
      <c r="AI275" s="21">
        <f t="shared" ref="AI275:AI311" si="73">ROUND(AVERAGE(AG275:AH275),3)</f>
        <v>1.4E-2</v>
      </c>
      <c r="AJ275" s="30">
        <v>0</v>
      </c>
      <c r="AK275" s="30">
        <v>0</v>
      </c>
      <c r="AL275" s="21">
        <f t="shared" ref="AL275:AL311" si="74">ROUND(AVERAGE(AJ275:AK275),3)</f>
        <v>0</v>
      </c>
      <c r="AM275" s="30">
        <v>3.75</v>
      </c>
      <c r="AN275" s="30">
        <v>3.8079999999999998</v>
      </c>
      <c r="AO275" s="31">
        <f t="shared" ref="AO275:AO311" si="75">ROUND(AVERAGE(AM275:AN275),3)</f>
        <v>3.7789999999999999</v>
      </c>
      <c r="AP275" s="66">
        <v>6.9800000000000001E-2</v>
      </c>
      <c r="AQ275" s="66">
        <v>6.7599999999999993E-2</v>
      </c>
      <c r="AR275" s="65">
        <f t="shared" ref="AR275:AR311" si="76">ROUND(AVERAGE(AP275:AQ275),4)</f>
        <v>6.8699999999999997E-2</v>
      </c>
      <c r="AS275" s="94">
        <v>4.16</v>
      </c>
      <c r="AT275" s="94">
        <v>3.24</v>
      </c>
      <c r="AU275" s="94"/>
    </row>
    <row r="276" spans="1:47">
      <c r="A276" s="7" t="s">
        <v>0</v>
      </c>
      <c r="B276" s="5" t="s">
        <v>41</v>
      </c>
      <c r="C276" s="6" t="s">
        <v>42</v>
      </c>
      <c r="D276" s="6" t="s">
        <v>36</v>
      </c>
      <c r="E276" s="23">
        <v>22.8</v>
      </c>
      <c r="F276" s="23">
        <v>7.2</v>
      </c>
      <c r="G276" s="41">
        <v>68</v>
      </c>
      <c r="H276" s="23">
        <v>8.4</v>
      </c>
      <c r="I276" s="23">
        <v>1.1000000000000001</v>
      </c>
      <c r="J276" s="23">
        <v>3.7</v>
      </c>
      <c r="K276" s="37">
        <v>2.2999999999999998</v>
      </c>
      <c r="L276" s="37">
        <v>2.2000000000000002</v>
      </c>
      <c r="M276" s="37"/>
      <c r="N276" s="38">
        <f t="shared" si="66"/>
        <v>2.2999999999999998</v>
      </c>
      <c r="O276" s="37">
        <v>2</v>
      </c>
      <c r="P276" s="37">
        <v>2</v>
      </c>
      <c r="Q276" s="38">
        <f t="shared" si="67"/>
        <v>2</v>
      </c>
      <c r="R276" s="17">
        <v>1.0149999999999999</v>
      </c>
      <c r="S276" s="17">
        <v>1.034</v>
      </c>
      <c r="T276" s="22">
        <f t="shared" si="68"/>
        <v>1.0249999999999999</v>
      </c>
      <c r="U276" s="34">
        <v>0.80600000000000005</v>
      </c>
      <c r="V276" s="34">
        <v>0.81599999999999995</v>
      </c>
      <c r="W276" s="22">
        <f t="shared" si="69"/>
        <v>0.81100000000000005</v>
      </c>
      <c r="X276" s="17">
        <v>0.02</v>
      </c>
      <c r="Y276" s="17">
        <v>1.9E-2</v>
      </c>
      <c r="Z276" s="21">
        <f t="shared" si="70"/>
        <v>0.02</v>
      </c>
      <c r="AA276" s="30">
        <v>0.68799999999999994</v>
      </c>
      <c r="AB276" s="30">
        <v>0.69299999999999995</v>
      </c>
      <c r="AC276" s="31">
        <f t="shared" si="71"/>
        <v>0.69099999999999995</v>
      </c>
      <c r="AD276" s="19">
        <v>2.9000000000000001E-2</v>
      </c>
      <c r="AE276" s="19">
        <v>3.1E-2</v>
      </c>
      <c r="AF276" s="21">
        <f t="shared" si="72"/>
        <v>0.03</v>
      </c>
      <c r="AG276" s="30">
        <v>1.4E-2</v>
      </c>
      <c r="AH276" s="30">
        <v>1.4E-2</v>
      </c>
      <c r="AI276" s="21">
        <f t="shared" si="73"/>
        <v>1.4E-2</v>
      </c>
      <c r="AJ276" s="30">
        <v>0</v>
      </c>
      <c r="AK276" s="30">
        <v>0</v>
      </c>
      <c r="AL276" s="21">
        <f t="shared" si="74"/>
        <v>0</v>
      </c>
      <c r="AM276" s="30">
        <v>4.5410000000000004</v>
      </c>
      <c r="AN276" s="30">
        <v>4.57</v>
      </c>
      <c r="AO276" s="31">
        <f t="shared" si="75"/>
        <v>4.556</v>
      </c>
      <c r="AP276" s="66">
        <v>6.7199999999999996E-2</v>
      </c>
      <c r="AQ276" s="66">
        <v>6.5299999999999997E-2</v>
      </c>
      <c r="AR276" s="65">
        <f t="shared" si="76"/>
        <v>6.6299999999999998E-2</v>
      </c>
      <c r="AS276" s="94">
        <v>4.5599999999999996</v>
      </c>
      <c r="AT276" s="94">
        <v>3.31</v>
      </c>
    </row>
    <row r="277" spans="1:47">
      <c r="A277" s="7" t="s">
        <v>1</v>
      </c>
      <c r="B277" s="5" t="s">
        <v>43</v>
      </c>
      <c r="C277" s="6" t="s">
        <v>44</v>
      </c>
      <c r="D277" s="6" t="s">
        <v>45</v>
      </c>
      <c r="E277" s="23">
        <v>23.2</v>
      </c>
      <c r="F277" s="23">
        <v>7.2</v>
      </c>
      <c r="G277" s="41">
        <v>57</v>
      </c>
      <c r="H277" s="23">
        <v>8.4</v>
      </c>
      <c r="I277" s="23">
        <v>0.8</v>
      </c>
      <c r="J277" s="23">
        <v>3.6</v>
      </c>
      <c r="K277" s="37">
        <v>2.2999999999999998</v>
      </c>
      <c r="L277" s="37">
        <v>2</v>
      </c>
      <c r="M277" s="37"/>
      <c r="N277" s="38">
        <f t="shared" si="66"/>
        <v>2.2000000000000002</v>
      </c>
      <c r="O277" s="37">
        <v>1.9</v>
      </c>
      <c r="P277" s="37">
        <v>1.9</v>
      </c>
      <c r="Q277" s="38">
        <f t="shared" si="67"/>
        <v>1.9</v>
      </c>
      <c r="R277" s="17">
        <v>0.88400000000000001</v>
      </c>
      <c r="S277" s="17">
        <v>0.90400000000000003</v>
      </c>
      <c r="T277" s="22">
        <f t="shared" si="68"/>
        <v>0.89400000000000002</v>
      </c>
      <c r="U277" s="34">
        <v>0.70699999999999996</v>
      </c>
      <c r="V277" s="34">
        <v>0.70899999999999996</v>
      </c>
      <c r="W277" s="22">
        <f t="shared" si="69"/>
        <v>0.70799999999999996</v>
      </c>
      <c r="X277" s="17">
        <v>2.4E-2</v>
      </c>
      <c r="Y277" s="17">
        <v>2.7E-2</v>
      </c>
      <c r="Z277" s="21">
        <f t="shared" si="70"/>
        <v>2.5999999999999999E-2</v>
      </c>
      <c r="AA277" s="30">
        <v>0.58599999999999997</v>
      </c>
      <c r="AB277" s="30">
        <v>0.60299999999999998</v>
      </c>
      <c r="AC277" s="31">
        <f t="shared" si="71"/>
        <v>0.59499999999999997</v>
      </c>
      <c r="AD277" s="19">
        <v>2.9000000000000001E-2</v>
      </c>
      <c r="AE277" s="19">
        <v>3.1E-2</v>
      </c>
      <c r="AF277" s="21">
        <f t="shared" si="72"/>
        <v>0.03</v>
      </c>
      <c r="AG277" s="30">
        <v>1.4999999999999999E-2</v>
      </c>
      <c r="AH277" s="30">
        <v>1.6E-2</v>
      </c>
      <c r="AI277" s="21">
        <f t="shared" si="73"/>
        <v>1.6E-2</v>
      </c>
      <c r="AJ277" s="30">
        <v>2E-3</v>
      </c>
      <c r="AK277" s="30">
        <v>2E-3</v>
      </c>
      <c r="AL277" s="21">
        <f t="shared" si="74"/>
        <v>2E-3</v>
      </c>
      <c r="AM277" s="30">
        <v>3.9049999999999998</v>
      </c>
      <c r="AN277" s="30">
        <v>3.984</v>
      </c>
      <c r="AO277" s="31">
        <f t="shared" si="75"/>
        <v>3.9449999999999998</v>
      </c>
      <c r="AP277" s="66">
        <v>7.5200000000000003E-2</v>
      </c>
      <c r="AQ277" s="66">
        <v>7.3499999999999996E-2</v>
      </c>
      <c r="AR277" s="65">
        <f t="shared" si="76"/>
        <v>7.4399999999999994E-2</v>
      </c>
      <c r="AS277" s="94">
        <v>3.74</v>
      </c>
      <c r="AT277" s="94">
        <v>3.08</v>
      </c>
      <c r="AU277" s="94"/>
    </row>
    <row r="278" spans="1:47">
      <c r="A278" s="7" t="s">
        <v>2</v>
      </c>
      <c r="B278" s="5" t="s">
        <v>46</v>
      </c>
      <c r="C278" s="6" t="s">
        <v>47</v>
      </c>
      <c r="D278" s="6" t="s">
        <v>36</v>
      </c>
      <c r="E278" s="23">
        <v>22.9</v>
      </c>
      <c r="F278" s="23">
        <v>7.1</v>
      </c>
      <c r="G278" s="41">
        <v>68</v>
      </c>
      <c r="H278" s="23">
        <v>8.4</v>
      </c>
      <c r="I278" s="23">
        <v>1.2</v>
      </c>
      <c r="J278" s="23">
        <v>3.8</v>
      </c>
      <c r="K278" s="37">
        <v>2.6</v>
      </c>
      <c r="L278" s="37">
        <v>2.2999999999999998</v>
      </c>
      <c r="M278" s="37"/>
      <c r="N278" s="38">
        <f t="shared" si="66"/>
        <v>2.5</v>
      </c>
      <c r="O278" s="37">
        <v>1.9</v>
      </c>
      <c r="P278" s="37">
        <v>1.8</v>
      </c>
      <c r="Q278" s="38">
        <f t="shared" si="67"/>
        <v>1.9</v>
      </c>
      <c r="R278" s="17">
        <v>0.97499999999999998</v>
      </c>
      <c r="S278" s="17">
        <v>0.99399999999999999</v>
      </c>
      <c r="T278" s="22">
        <f t="shared" si="68"/>
        <v>0.98499999999999999</v>
      </c>
      <c r="U278" s="34">
        <v>0.81499999999999995</v>
      </c>
      <c r="V278" s="34">
        <v>0.82899999999999996</v>
      </c>
      <c r="W278" s="22">
        <f t="shared" si="69"/>
        <v>0.82199999999999995</v>
      </c>
      <c r="X278" s="17">
        <v>2.4E-2</v>
      </c>
      <c r="Y278" s="17">
        <v>2.5000000000000001E-2</v>
      </c>
      <c r="Z278" s="21">
        <f t="shared" si="70"/>
        <v>2.5000000000000001E-2</v>
      </c>
      <c r="AA278" s="30">
        <v>0.68799999999999994</v>
      </c>
      <c r="AB278" s="30">
        <v>0.71</v>
      </c>
      <c r="AC278" s="31">
        <f t="shared" si="71"/>
        <v>0.69899999999999995</v>
      </c>
      <c r="AD278" s="19">
        <v>0.03</v>
      </c>
      <c r="AE278" s="19">
        <v>3.1E-2</v>
      </c>
      <c r="AF278" s="21">
        <f t="shared" si="72"/>
        <v>3.1E-2</v>
      </c>
      <c r="AG278" s="30">
        <v>1.4999999999999999E-2</v>
      </c>
      <c r="AH278" s="30">
        <v>1.4999999999999999E-2</v>
      </c>
      <c r="AI278" s="21">
        <f t="shared" si="73"/>
        <v>1.4999999999999999E-2</v>
      </c>
      <c r="AJ278" s="30">
        <v>1E-3</v>
      </c>
      <c r="AK278" s="30">
        <v>1E-3</v>
      </c>
      <c r="AL278" s="21">
        <f t="shared" si="74"/>
        <v>1E-3</v>
      </c>
      <c r="AM278" s="30">
        <v>4.5620000000000003</v>
      </c>
      <c r="AN278" s="30">
        <v>4.6760000000000002</v>
      </c>
      <c r="AO278" s="31">
        <f t="shared" si="75"/>
        <v>4.6189999999999998</v>
      </c>
      <c r="AP278" s="66">
        <v>6.7400000000000002E-2</v>
      </c>
      <c r="AQ278" s="66">
        <v>6.6199999999999995E-2</v>
      </c>
      <c r="AR278" s="65">
        <f t="shared" si="76"/>
        <v>6.6799999999999998E-2</v>
      </c>
      <c r="AS278" s="94">
        <v>4.84</v>
      </c>
      <c r="AT278" s="94">
        <v>3.06</v>
      </c>
    </row>
    <row r="279" spans="1:47">
      <c r="A279" s="7" t="s">
        <v>3</v>
      </c>
      <c r="B279" s="5" t="s">
        <v>46</v>
      </c>
      <c r="C279" s="6" t="s">
        <v>44</v>
      </c>
      <c r="D279" s="6" t="s">
        <v>48</v>
      </c>
      <c r="E279" s="23">
        <v>22.5</v>
      </c>
      <c r="F279" s="23">
        <v>7.2</v>
      </c>
      <c r="G279" s="41">
        <v>75</v>
      </c>
      <c r="H279" s="23">
        <v>8.5</v>
      </c>
      <c r="I279" s="23">
        <v>1.1000000000000001</v>
      </c>
      <c r="J279" s="23">
        <v>3.1</v>
      </c>
      <c r="K279" s="37">
        <v>2.2000000000000002</v>
      </c>
      <c r="L279" s="37">
        <v>2.1</v>
      </c>
      <c r="M279" s="37"/>
      <c r="N279" s="38">
        <f t="shared" si="66"/>
        <v>2.2000000000000002</v>
      </c>
      <c r="O279" s="37">
        <v>1.6</v>
      </c>
      <c r="P279" s="37">
        <v>1.5</v>
      </c>
      <c r="Q279" s="38">
        <f t="shared" si="67"/>
        <v>1.6</v>
      </c>
      <c r="R279" s="17">
        <v>1.0409999999999999</v>
      </c>
      <c r="S279" s="17">
        <v>1.0620000000000001</v>
      </c>
      <c r="T279" s="22">
        <f t="shared" si="68"/>
        <v>1.052</v>
      </c>
      <c r="U279" s="34">
        <v>0.90800000000000003</v>
      </c>
      <c r="V279" s="34">
        <v>0.91700000000000004</v>
      </c>
      <c r="W279" s="22">
        <f t="shared" si="69"/>
        <v>0.91300000000000003</v>
      </c>
      <c r="X279" s="17">
        <v>2.5999999999999999E-2</v>
      </c>
      <c r="Y279" s="17">
        <v>0.03</v>
      </c>
      <c r="Z279" s="21">
        <f t="shared" si="70"/>
        <v>2.8000000000000001E-2</v>
      </c>
      <c r="AA279" s="30">
        <v>0.78900000000000003</v>
      </c>
      <c r="AB279" s="30">
        <v>0.79900000000000004</v>
      </c>
      <c r="AC279" s="31">
        <f t="shared" si="71"/>
        <v>0.79400000000000004</v>
      </c>
      <c r="AD279" s="19">
        <v>4.2000000000000003E-2</v>
      </c>
      <c r="AE279" s="19">
        <v>4.3999999999999997E-2</v>
      </c>
      <c r="AF279" s="21">
        <f t="shared" si="72"/>
        <v>4.2999999999999997E-2</v>
      </c>
      <c r="AG279" s="30">
        <v>2.5000000000000001E-2</v>
      </c>
      <c r="AH279" s="30">
        <v>2.4E-2</v>
      </c>
      <c r="AI279" s="21">
        <f t="shared" si="73"/>
        <v>2.5000000000000001E-2</v>
      </c>
      <c r="AJ279" s="60">
        <v>8.9999999999999993E-3</v>
      </c>
      <c r="AK279" s="60">
        <v>0.01</v>
      </c>
      <c r="AL279" s="59">
        <f t="shared" si="74"/>
        <v>0.01</v>
      </c>
      <c r="AM279" s="30">
        <v>4.8559999999999999</v>
      </c>
      <c r="AN279" s="30">
        <v>4.9249999999999998</v>
      </c>
      <c r="AO279" s="31">
        <f t="shared" si="75"/>
        <v>4.891</v>
      </c>
      <c r="AP279" s="66">
        <v>6.3600000000000004E-2</v>
      </c>
      <c r="AQ279" s="66">
        <v>6.1499999999999999E-2</v>
      </c>
      <c r="AR279" s="65">
        <f t="shared" si="76"/>
        <v>6.2600000000000003E-2</v>
      </c>
      <c r="AS279" s="95">
        <v>5.85</v>
      </c>
      <c r="AT279" s="95">
        <v>3.45</v>
      </c>
      <c r="AU279" s="95"/>
    </row>
    <row r="280" spans="1:47">
      <c r="A280" s="7" t="s">
        <v>4</v>
      </c>
      <c r="B280" s="5" t="s">
        <v>49</v>
      </c>
      <c r="C280" s="6" t="s">
        <v>44</v>
      </c>
      <c r="D280" s="6" t="s">
        <v>36</v>
      </c>
      <c r="E280" s="23">
        <v>22.9</v>
      </c>
      <c r="F280" s="23">
        <v>7.1</v>
      </c>
      <c r="G280" s="41">
        <v>71</v>
      </c>
      <c r="H280" s="23">
        <v>8.1</v>
      </c>
      <c r="I280" s="23">
        <v>1</v>
      </c>
      <c r="J280" s="23">
        <v>3.3</v>
      </c>
      <c r="K280" s="37">
        <v>2</v>
      </c>
      <c r="L280" s="37">
        <v>2.1</v>
      </c>
      <c r="M280" s="37"/>
      <c r="N280" s="38">
        <f t="shared" si="66"/>
        <v>2.1</v>
      </c>
      <c r="O280" s="37">
        <v>1.7</v>
      </c>
      <c r="P280" s="37">
        <v>1.7</v>
      </c>
      <c r="Q280" s="38">
        <f t="shared" si="67"/>
        <v>1.7</v>
      </c>
      <c r="R280" s="17">
        <v>0.98699999999999999</v>
      </c>
      <c r="S280" s="17">
        <v>1.0169999999999999</v>
      </c>
      <c r="T280" s="22">
        <f t="shared" si="68"/>
        <v>1.002</v>
      </c>
      <c r="U280" s="34">
        <v>0.86</v>
      </c>
      <c r="V280" s="34">
        <v>0.84799999999999998</v>
      </c>
      <c r="W280" s="22">
        <f t="shared" si="69"/>
        <v>0.85399999999999998</v>
      </c>
      <c r="X280" s="17">
        <v>2.4E-2</v>
      </c>
      <c r="Y280" s="17">
        <v>1.9E-2</v>
      </c>
      <c r="Z280" s="21">
        <f t="shared" si="70"/>
        <v>2.1999999999999999E-2</v>
      </c>
      <c r="AA280" s="30">
        <v>0.751</v>
      </c>
      <c r="AB280" s="30">
        <v>0.753</v>
      </c>
      <c r="AC280" s="31">
        <f t="shared" si="71"/>
        <v>0.752</v>
      </c>
      <c r="AD280" s="19">
        <v>3.1E-2</v>
      </c>
      <c r="AE280" s="19">
        <v>3.2000000000000001E-2</v>
      </c>
      <c r="AF280" s="21">
        <f t="shared" si="72"/>
        <v>3.2000000000000001E-2</v>
      </c>
      <c r="AG280" s="30">
        <v>1.7000000000000001E-2</v>
      </c>
      <c r="AH280" s="30">
        <v>1.7999999999999999E-2</v>
      </c>
      <c r="AI280" s="21">
        <f t="shared" si="73"/>
        <v>1.7999999999999999E-2</v>
      </c>
      <c r="AJ280" s="30">
        <v>4.0000000000000001E-3</v>
      </c>
      <c r="AK280" s="30">
        <v>4.0000000000000001E-3</v>
      </c>
      <c r="AL280" s="21">
        <f t="shared" si="74"/>
        <v>4.0000000000000001E-3</v>
      </c>
      <c r="AM280" s="30">
        <v>4.82</v>
      </c>
      <c r="AN280" s="30">
        <v>4.867</v>
      </c>
      <c r="AO280" s="31">
        <f t="shared" si="75"/>
        <v>4.8440000000000003</v>
      </c>
      <c r="AP280" s="66">
        <v>6.3799999999999996E-2</v>
      </c>
      <c r="AQ280" s="66">
        <v>6.1699999999999998E-2</v>
      </c>
      <c r="AR280" s="65">
        <f t="shared" si="76"/>
        <v>6.2799999999999995E-2</v>
      </c>
      <c r="AS280" s="95">
        <v>5.44</v>
      </c>
      <c r="AT280" s="95">
        <v>3.11</v>
      </c>
    </row>
    <row r="281" spans="1:47">
      <c r="A281" s="7" t="s">
        <v>5</v>
      </c>
      <c r="B281" s="5" t="s">
        <v>50</v>
      </c>
      <c r="C281" s="6" t="s">
        <v>42</v>
      </c>
      <c r="D281" s="6" t="s">
        <v>51</v>
      </c>
      <c r="E281" s="23">
        <v>22.8</v>
      </c>
      <c r="F281" s="23">
        <v>6.6</v>
      </c>
      <c r="G281" s="41">
        <v>80</v>
      </c>
      <c r="H281" s="23">
        <v>8.3000000000000007</v>
      </c>
      <c r="I281" s="23">
        <v>1</v>
      </c>
      <c r="J281" s="23">
        <v>2.9</v>
      </c>
      <c r="K281" s="37">
        <v>1.9</v>
      </c>
      <c r="L281" s="37">
        <v>1.9</v>
      </c>
      <c r="M281" s="37"/>
      <c r="N281" s="38">
        <f t="shared" si="66"/>
        <v>1.9</v>
      </c>
      <c r="O281" s="37">
        <v>1.6</v>
      </c>
      <c r="P281" s="37">
        <v>1.5</v>
      </c>
      <c r="Q281" s="38">
        <f t="shared" si="67"/>
        <v>1.6</v>
      </c>
      <c r="R281" s="17">
        <v>1.4119999999999999</v>
      </c>
      <c r="S281" s="17">
        <v>1.375</v>
      </c>
      <c r="T281" s="22">
        <f t="shared" si="68"/>
        <v>1.3939999999999999</v>
      </c>
      <c r="U281" s="34">
        <v>1.246</v>
      </c>
      <c r="V281" s="34">
        <v>1.2609999999999999</v>
      </c>
      <c r="W281" s="22">
        <f t="shared" si="69"/>
        <v>1.254</v>
      </c>
      <c r="X281" s="17">
        <v>3.6999999999999998E-2</v>
      </c>
      <c r="Y281" s="17">
        <v>0.03</v>
      </c>
      <c r="Z281" s="21">
        <f t="shared" si="70"/>
        <v>3.4000000000000002E-2</v>
      </c>
      <c r="AA281" s="30">
        <v>1.1240000000000001</v>
      </c>
      <c r="AB281" s="30">
        <v>1.1339999999999999</v>
      </c>
      <c r="AC281" s="31">
        <f t="shared" si="71"/>
        <v>1.129</v>
      </c>
      <c r="AD281" s="19">
        <v>7.6999999999999999E-2</v>
      </c>
      <c r="AE281" s="19">
        <v>7.3999999999999996E-2</v>
      </c>
      <c r="AF281" s="21">
        <f t="shared" si="72"/>
        <v>7.5999999999999998E-2</v>
      </c>
      <c r="AG281" s="30">
        <v>5.6000000000000001E-2</v>
      </c>
      <c r="AH281" s="30">
        <v>5.7000000000000002E-2</v>
      </c>
      <c r="AI281" s="21">
        <f t="shared" si="73"/>
        <v>5.7000000000000002E-2</v>
      </c>
      <c r="AJ281" s="30">
        <v>4.7E-2</v>
      </c>
      <c r="AK281" s="30">
        <v>4.9000000000000002E-2</v>
      </c>
      <c r="AL281" s="21">
        <f t="shared" si="74"/>
        <v>4.8000000000000001E-2</v>
      </c>
      <c r="AM281" s="30">
        <v>5.1239999999999997</v>
      </c>
      <c r="AN281" s="30">
        <v>5.1479999999999997</v>
      </c>
      <c r="AO281" s="31">
        <f t="shared" si="75"/>
        <v>5.1360000000000001</v>
      </c>
      <c r="AP281" s="66">
        <v>4.7399999999999998E-2</v>
      </c>
      <c r="AQ281" s="66">
        <v>4.6199999999999998E-2</v>
      </c>
      <c r="AR281" s="65">
        <f t="shared" si="76"/>
        <v>4.6800000000000001E-2</v>
      </c>
      <c r="AS281" s="95">
        <v>6.88</v>
      </c>
      <c r="AT281" s="95">
        <v>4.84</v>
      </c>
      <c r="AU281" s="95"/>
    </row>
    <row r="282" spans="1:47">
      <c r="A282" s="7" t="s">
        <v>6</v>
      </c>
      <c r="B282" s="5" t="s">
        <v>52</v>
      </c>
      <c r="C282" s="6" t="s">
        <v>53</v>
      </c>
      <c r="D282" s="6" t="s">
        <v>36</v>
      </c>
      <c r="E282" s="23">
        <v>23.2</v>
      </c>
      <c r="F282" s="23">
        <v>6.8</v>
      </c>
      <c r="G282" s="41">
        <v>77</v>
      </c>
      <c r="H282" s="23">
        <v>8.5</v>
      </c>
      <c r="I282" s="23">
        <v>0.9</v>
      </c>
      <c r="J282" s="23">
        <v>3.3</v>
      </c>
      <c r="K282" s="37">
        <v>2</v>
      </c>
      <c r="L282" s="37">
        <v>1.9</v>
      </c>
      <c r="M282" s="37"/>
      <c r="N282" s="38">
        <f t="shared" si="66"/>
        <v>2</v>
      </c>
      <c r="O282" s="37">
        <v>1.6</v>
      </c>
      <c r="P282" s="37">
        <v>1.6</v>
      </c>
      <c r="Q282" s="38">
        <f t="shared" si="67"/>
        <v>1.6</v>
      </c>
      <c r="R282" s="17">
        <v>1.1679999999999999</v>
      </c>
      <c r="S282" s="17">
        <v>1.1739999999999999</v>
      </c>
      <c r="T282" s="22">
        <f t="shared" si="68"/>
        <v>1.171</v>
      </c>
      <c r="U282" s="34">
        <v>1.0029999999999999</v>
      </c>
      <c r="V282" s="34">
        <v>1.0169999999999999</v>
      </c>
      <c r="W282" s="22">
        <f t="shared" si="69"/>
        <v>1.01</v>
      </c>
      <c r="X282" s="17">
        <v>2.5000000000000001E-2</v>
      </c>
      <c r="Y282" s="17">
        <v>2.5000000000000001E-2</v>
      </c>
      <c r="Z282" s="21">
        <f t="shared" si="70"/>
        <v>2.5000000000000001E-2</v>
      </c>
      <c r="AA282" s="30">
        <v>0.91</v>
      </c>
      <c r="AB282" s="30">
        <v>0.93100000000000005</v>
      </c>
      <c r="AC282" s="31">
        <f t="shared" si="71"/>
        <v>0.92100000000000004</v>
      </c>
      <c r="AD282" s="19">
        <v>4.8000000000000001E-2</v>
      </c>
      <c r="AE282" s="19">
        <v>4.7E-2</v>
      </c>
      <c r="AF282" s="21">
        <f t="shared" si="72"/>
        <v>4.8000000000000001E-2</v>
      </c>
      <c r="AG282" s="30">
        <v>3.5000000000000003E-2</v>
      </c>
      <c r="AH282" s="30">
        <v>3.4000000000000002E-2</v>
      </c>
      <c r="AI282" s="21">
        <f t="shared" si="73"/>
        <v>3.5000000000000003E-2</v>
      </c>
      <c r="AJ282" s="30">
        <v>0.02</v>
      </c>
      <c r="AK282" s="30">
        <v>0.02</v>
      </c>
      <c r="AL282" s="21">
        <f t="shared" si="74"/>
        <v>0.02</v>
      </c>
      <c r="AM282" s="30">
        <v>5.0629999999999997</v>
      </c>
      <c r="AN282" s="30">
        <v>5.157</v>
      </c>
      <c r="AO282" s="31">
        <f t="shared" si="75"/>
        <v>5.1100000000000003</v>
      </c>
      <c r="AP282" s="66">
        <v>5.7599999999999998E-2</v>
      </c>
      <c r="AQ282" s="66">
        <v>5.6000000000000001E-2</v>
      </c>
      <c r="AR282" s="65">
        <f t="shared" si="76"/>
        <v>5.6800000000000003E-2</v>
      </c>
      <c r="AS282" s="95">
        <v>6.38</v>
      </c>
      <c r="AT282" s="95">
        <v>4.01</v>
      </c>
    </row>
    <row r="283" spans="1:47">
      <c r="A283" s="7" t="s">
        <v>7</v>
      </c>
      <c r="B283" s="5" t="s">
        <v>54</v>
      </c>
      <c r="C283" s="6" t="s">
        <v>55</v>
      </c>
      <c r="D283" s="6" t="s">
        <v>56</v>
      </c>
      <c r="E283" s="23">
        <v>22.4</v>
      </c>
      <c r="F283" s="23">
        <v>6.7</v>
      </c>
      <c r="G283" s="41">
        <v>61</v>
      </c>
      <c r="H283" s="23">
        <v>8.5</v>
      </c>
      <c r="I283" s="23">
        <v>1.3</v>
      </c>
      <c r="J283" s="23">
        <v>3.9</v>
      </c>
      <c r="K283" s="37">
        <v>2.5</v>
      </c>
      <c r="L283" s="37">
        <v>2.5</v>
      </c>
      <c r="M283" s="37"/>
      <c r="N283" s="38">
        <f t="shared" si="66"/>
        <v>2.5</v>
      </c>
      <c r="O283" s="37">
        <v>2.2999999999999998</v>
      </c>
      <c r="P283" s="37">
        <v>2.2000000000000002</v>
      </c>
      <c r="Q283" s="38">
        <f t="shared" si="67"/>
        <v>2.2999999999999998</v>
      </c>
      <c r="R283" s="17">
        <v>0.77300000000000002</v>
      </c>
      <c r="S283" s="17">
        <v>0.80200000000000005</v>
      </c>
      <c r="T283" s="22">
        <f t="shared" si="68"/>
        <v>0.78800000000000003</v>
      </c>
      <c r="U283" s="34">
        <v>0.625</v>
      </c>
      <c r="V283" s="34">
        <v>0.63500000000000001</v>
      </c>
      <c r="W283" s="22">
        <f t="shared" si="69"/>
        <v>0.63</v>
      </c>
      <c r="X283" s="17">
        <v>3.7999999999999999E-2</v>
      </c>
      <c r="Y283" s="17">
        <v>4.2000000000000003E-2</v>
      </c>
      <c r="Z283" s="21">
        <f t="shared" si="70"/>
        <v>0.04</v>
      </c>
      <c r="AA283" s="30">
        <v>0.47899999999999998</v>
      </c>
      <c r="AB283" s="30">
        <v>0.49199999999999999</v>
      </c>
      <c r="AC283" s="31">
        <f t="shared" si="71"/>
        <v>0.48599999999999999</v>
      </c>
      <c r="AD283" s="19">
        <v>4.7E-2</v>
      </c>
      <c r="AE283" s="19">
        <v>4.7E-2</v>
      </c>
      <c r="AF283" s="21">
        <f t="shared" si="72"/>
        <v>4.7E-2</v>
      </c>
      <c r="AG283" s="30">
        <v>3.2000000000000001E-2</v>
      </c>
      <c r="AH283" s="30">
        <v>3.2000000000000001E-2</v>
      </c>
      <c r="AI283" s="21">
        <f t="shared" si="73"/>
        <v>3.2000000000000001E-2</v>
      </c>
      <c r="AJ283" s="30">
        <v>1.7999999999999999E-2</v>
      </c>
      <c r="AK283" s="30">
        <v>1.7999999999999999E-2</v>
      </c>
      <c r="AL283" s="21">
        <f t="shared" si="74"/>
        <v>1.7999999999999999E-2</v>
      </c>
      <c r="AM283" s="30">
        <v>5.117</v>
      </c>
      <c r="AN283" s="30">
        <v>5.23</v>
      </c>
      <c r="AO283" s="31">
        <f t="shared" si="75"/>
        <v>5.1740000000000004</v>
      </c>
      <c r="AP283" s="66">
        <v>7.6100000000000001E-2</v>
      </c>
      <c r="AQ283" s="66">
        <v>7.4800000000000005E-2</v>
      </c>
      <c r="AR283" s="65">
        <f t="shared" si="76"/>
        <v>7.5499999999999998E-2</v>
      </c>
      <c r="AS283" s="95">
        <v>5.6</v>
      </c>
      <c r="AT283" s="95">
        <v>3.19</v>
      </c>
      <c r="AU283" s="95"/>
    </row>
    <row r="284" spans="1:47">
      <c r="A284" s="7" t="s">
        <v>8</v>
      </c>
      <c r="B284" s="5" t="s">
        <v>54</v>
      </c>
      <c r="C284" s="6" t="s">
        <v>44</v>
      </c>
      <c r="D284" s="6" t="s">
        <v>36</v>
      </c>
      <c r="E284" s="23">
        <v>24.4</v>
      </c>
      <c r="F284" s="23">
        <v>6.7</v>
      </c>
      <c r="G284" s="41">
        <v>83</v>
      </c>
      <c r="H284" s="23">
        <v>8</v>
      </c>
      <c r="I284" s="23">
        <v>1</v>
      </c>
      <c r="J284" s="23">
        <v>3.5</v>
      </c>
      <c r="K284" s="37">
        <v>2.1</v>
      </c>
      <c r="L284" s="37">
        <v>2.2999999999999998</v>
      </c>
      <c r="M284" s="37"/>
      <c r="N284" s="38">
        <f t="shared" si="66"/>
        <v>2.2000000000000002</v>
      </c>
      <c r="O284" s="37">
        <v>1.9</v>
      </c>
      <c r="P284" s="37">
        <v>1.7</v>
      </c>
      <c r="Q284" s="38">
        <f t="shared" si="67"/>
        <v>1.8</v>
      </c>
      <c r="R284" s="17">
        <v>1.3220000000000001</v>
      </c>
      <c r="S284" s="17">
        <v>1.3440000000000001</v>
      </c>
      <c r="T284" s="22">
        <f t="shared" si="68"/>
        <v>1.333</v>
      </c>
      <c r="U284" s="34">
        <v>1.153</v>
      </c>
      <c r="V284" s="34">
        <v>1.171</v>
      </c>
      <c r="W284" s="22">
        <f t="shared" si="69"/>
        <v>1.1619999999999999</v>
      </c>
      <c r="X284" s="17">
        <v>5.5E-2</v>
      </c>
      <c r="Y284" s="17">
        <v>5.0999999999999997E-2</v>
      </c>
      <c r="Z284" s="21">
        <f t="shared" si="70"/>
        <v>5.2999999999999999E-2</v>
      </c>
      <c r="AA284" s="30">
        <v>1.016</v>
      </c>
      <c r="AB284" s="30">
        <v>1.028</v>
      </c>
      <c r="AC284" s="31">
        <f t="shared" si="71"/>
        <v>1.022</v>
      </c>
      <c r="AD284" s="19">
        <v>9.7000000000000003E-2</v>
      </c>
      <c r="AE284" s="19">
        <v>9.8000000000000004E-2</v>
      </c>
      <c r="AF284" s="21">
        <f t="shared" si="72"/>
        <v>9.8000000000000004E-2</v>
      </c>
      <c r="AG284" s="30">
        <v>6.6000000000000003E-2</v>
      </c>
      <c r="AH284" s="30">
        <v>7.3999999999999996E-2</v>
      </c>
      <c r="AI284" s="21">
        <f t="shared" si="73"/>
        <v>7.0000000000000007E-2</v>
      </c>
      <c r="AJ284" s="30">
        <v>5.7000000000000002E-2</v>
      </c>
      <c r="AK284" s="30">
        <v>6.0999999999999999E-2</v>
      </c>
      <c r="AL284" s="21">
        <f t="shared" si="74"/>
        <v>5.8999999999999997E-2</v>
      </c>
      <c r="AM284" s="30">
        <v>5.4269999999999996</v>
      </c>
      <c r="AN284" s="30">
        <v>5.4870000000000001</v>
      </c>
      <c r="AO284" s="31">
        <f t="shared" si="75"/>
        <v>5.4569999999999999</v>
      </c>
      <c r="AP284" s="66">
        <v>6.5100000000000005E-2</v>
      </c>
      <c r="AQ284" s="66">
        <v>6.3899999999999998E-2</v>
      </c>
      <c r="AR284" s="65">
        <f t="shared" si="76"/>
        <v>6.4500000000000002E-2</v>
      </c>
      <c r="AS284" s="95">
        <v>7.77</v>
      </c>
      <c r="AT284" s="95">
        <v>4.05</v>
      </c>
    </row>
    <row r="285" spans="1:47">
      <c r="A285" s="7" t="s">
        <v>9</v>
      </c>
      <c r="B285" s="5" t="s">
        <v>57</v>
      </c>
      <c r="C285" s="6" t="s">
        <v>58</v>
      </c>
      <c r="D285" s="6" t="s">
        <v>59</v>
      </c>
      <c r="E285" s="23">
        <v>19.600000000000001</v>
      </c>
      <c r="F285" s="23">
        <v>6.7</v>
      </c>
      <c r="G285" s="41">
        <v>80</v>
      </c>
      <c r="H285" s="23">
        <v>8.9</v>
      </c>
      <c r="I285" s="23">
        <v>0.8</v>
      </c>
      <c r="J285" s="23">
        <v>3.2</v>
      </c>
      <c r="K285" s="37">
        <v>2.1</v>
      </c>
      <c r="L285" s="37">
        <v>2.1</v>
      </c>
      <c r="M285" s="37"/>
      <c r="N285" s="38">
        <f t="shared" si="66"/>
        <v>2.1</v>
      </c>
      <c r="O285" s="37">
        <v>1.7</v>
      </c>
      <c r="P285" s="37">
        <v>1.7</v>
      </c>
      <c r="Q285" s="38">
        <f t="shared" si="67"/>
        <v>1.7</v>
      </c>
      <c r="R285" s="17">
        <v>1.5489999999999999</v>
      </c>
      <c r="S285" s="17">
        <v>1.552</v>
      </c>
      <c r="T285" s="22">
        <f t="shared" si="68"/>
        <v>1.5509999999999999</v>
      </c>
      <c r="U285" s="34">
        <v>1.319</v>
      </c>
      <c r="V285" s="34">
        <v>1.331</v>
      </c>
      <c r="W285" s="22">
        <f t="shared" si="69"/>
        <v>1.325</v>
      </c>
      <c r="X285" s="17">
        <v>0.03</v>
      </c>
      <c r="Y285" s="17">
        <v>3.4000000000000002E-2</v>
      </c>
      <c r="Z285" s="21">
        <f t="shared" si="70"/>
        <v>3.2000000000000001E-2</v>
      </c>
      <c r="AA285" s="30">
        <v>1.214</v>
      </c>
      <c r="AB285" s="30">
        <v>1.2290000000000001</v>
      </c>
      <c r="AC285" s="31">
        <f t="shared" si="71"/>
        <v>1.222</v>
      </c>
      <c r="AD285" s="19">
        <v>2.3E-2</v>
      </c>
      <c r="AE285" s="19">
        <v>2.3E-2</v>
      </c>
      <c r="AF285" s="21">
        <f t="shared" si="72"/>
        <v>2.3E-2</v>
      </c>
      <c r="AG285" s="30">
        <v>1.0999999999999999E-2</v>
      </c>
      <c r="AH285" s="30">
        <v>8.9999999999999993E-3</v>
      </c>
      <c r="AI285" s="21">
        <f t="shared" si="73"/>
        <v>0.01</v>
      </c>
      <c r="AJ285" s="60">
        <v>2E-3</v>
      </c>
      <c r="AK285" s="60">
        <v>1E-3</v>
      </c>
      <c r="AL285" s="59">
        <f t="shared" si="74"/>
        <v>2E-3</v>
      </c>
      <c r="AM285" s="30">
        <v>4.7809999999999997</v>
      </c>
      <c r="AN285" s="30">
        <v>4.8230000000000004</v>
      </c>
      <c r="AO285" s="31">
        <f t="shared" si="75"/>
        <v>4.8019999999999996</v>
      </c>
      <c r="AP285" s="66">
        <v>4.8099999999999997E-2</v>
      </c>
      <c r="AQ285" s="66">
        <v>4.7100000000000003E-2</v>
      </c>
      <c r="AR285" s="65">
        <f t="shared" si="76"/>
        <v>4.7600000000000003E-2</v>
      </c>
      <c r="AS285" s="95">
        <v>5.33</v>
      </c>
      <c r="AT285" s="95">
        <v>2.58</v>
      </c>
      <c r="AU285" s="95"/>
    </row>
    <row r="286" spans="1:47">
      <c r="A286" s="7" t="s">
        <v>10</v>
      </c>
      <c r="B286" s="5" t="s">
        <v>60</v>
      </c>
      <c r="C286" s="6" t="s">
        <v>61</v>
      </c>
      <c r="D286" s="6" t="s">
        <v>36</v>
      </c>
      <c r="E286" s="23">
        <v>23</v>
      </c>
      <c r="F286" s="23">
        <v>6.7</v>
      </c>
      <c r="G286" s="41">
        <v>83</v>
      </c>
      <c r="H286" s="23">
        <v>8.4</v>
      </c>
      <c r="I286" s="23">
        <v>1.4</v>
      </c>
      <c r="J286" s="23">
        <v>3.7</v>
      </c>
      <c r="K286" s="37">
        <v>2.1</v>
      </c>
      <c r="L286" s="37">
        <v>2.2000000000000002</v>
      </c>
      <c r="M286" s="37"/>
      <c r="N286" s="38">
        <f t="shared" si="66"/>
        <v>2.2000000000000002</v>
      </c>
      <c r="O286" s="37">
        <v>1.8</v>
      </c>
      <c r="P286" s="37">
        <v>1.8</v>
      </c>
      <c r="Q286" s="38">
        <f t="shared" si="67"/>
        <v>1.8</v>
      </c>
      <c r="R286" s="17">
        <v>1.4330000000000001</v>
      </c>
      <c r="S286" s="17">
        <v>1.431</v>
      </c>
      <c r="T286" s="22">
        <f t="shared" si="68"/>
        <v>1.4319999999999999</v>
      </c>
      <c r="U286" s="34">
        <v>1.236</v>
      </c>
      <c r="V286" s="34">
        <v>1.242</v>
      </c>
      <c r="W286" s="22">
        <f t="shared" si="69"/>
        <v>1.2390000000000001</v>
      </c>
      <c r="X286" s="17">
        <v>0.04</v>
      </c>
      <c r="Y286" s="17">
        <v>2.5000000000000001E-2</v>
      </c>
      <c r="Z286" s="21">
        <f t="shared" si="70"/>
        <v>3.3000000000000002E-2</v>
      </c>
      <c r="AA286" s="30">
        <v>1.091</v>
      </c>
      <c r="AB286" s="30">
        <v>1.1120000000000001</v>
      </c>
      <c r="AC286" s="31">
        <f t="shared" si="71"/>
        <v>1.1020000000000001</v>
      </c>
      <c r="AD286" s="19">
        <v>5.0999999999999997E-2</v>
      </c>
      <c r="AE286" s="19">
        <v>5.0999999999999997E-2</v>
      </c>
      <c r="AF286" s="21">
        <f t="shared" si="72"/>
        <v>5.0999999999999997E-2</v>
      </c>
      <c r="AG286" s="30">
        <v>0.03</v>
      </c>
      <c r="AH286" s="30">
        <v>3.3000000000000002E-2</v>
      </c>
      <c r="AI286" s="21">
        <f t="shared" si="73"/>
        <v>3.2000000000000001E-2</v>
      </c>
      <c r="AJ286" s="30">
        <v>1.6E-2</v>
      </c>
      <c r="AK286" s="30">
        <v>1.7999999999999999E-2</v>
      </c>
      <c r="AL286" s="21">
        <f t="shared" si="74"/>
        <v>1.7000000000000001E-2</v>
      </c>
      <c r="AM286" s="30">
        <v>5.2069999999999999</v>
      </c>
      <c r="AN286" s="30">
        <v>5.2969999999999997</v>
      </c>
      <c r="AO286" s="31">
        <f t="shared" si="75"/>
        <v>5.2519999999999998</v>
      </c>
      <c r="AP286" s="66">
        <v>6.1699999999999998E-2</v>
      </c>
      <c r="AQ286" s="66">
        <v>6.0400000000000002E-2</v>
      </c>
      <c r="AR286" s="65">
        <f t="shared" si="76"/>
        <v>6.1100000000000002E-2</v>
      </c>
      <c r="AS286" s="95">
        <v>6.31</v>
      </c>
      <c r="AT286" s="95">
        <v>3.55</v>
      </c>
    </row>
    <row r="287" spans="1:47">
      <c r="A287" s="7" t="s">
        <v>11</v>
      </c>
      <c r="B287" s="5" t="s">
        <v>108</v>
      </c>
      <c r="C287" s="6" t="s">
        <v>62</v>
      </c>
      <c r="D287" s="6" t="s">
        <v>63</v>
      </c>
      <c r="E287" s="23">
        <v>24.6</v>
      </c>
      <c r="F287" s="23">
        <v>6.8</v>
      </c>
      <c r="G287" s="41">
        <v>110</v>
      </c>
      <c r="H287" s="23">
        <v>8.6</v>
      </c>
      <c r="I287" s="23">
        <v>1.5</v>
      </c>
      <c r="J287" s="23">
        <v>4</v>
      </c>
      <c r="K287" s="37">
        <v>2.7</v>
      </c>
      <c r="L287" s="37">
        <v>2.7</v>
      </c>
      <c r="M287" s="37"/>
      <c r="N287" s="38">
        <f t="shared" si="66"/>
        <v>2.7</v>
      </c>
      <c r="O287" s="37">
        <v>2.2000000000000002</v>
      </c>
      <c r="P287" s="37">
        <v>2.1</v>
      </c>
      <c r="Q287" s="38">
        <f t="shared" si="67"/>
        <v>2.2000000000000002</v>
      </c>
      <c r="R287" s="17">
        <v>1.5109999999999999</v>
      </c>
      <c r="S287" s="17">
        <v>1.528</v>
      </c>
      <c r="T287" s="22">
        <f t="shared" si="68"/>
        <v>1.52</v>
      </c>
      <c r="U287" s="34">
        <v>1.2889999999999999</v>
      </c>
      <c r="V287" s="34">
        <v>1.3009999999999999</v>
      </c>
      <c r="W287" s="22">
        <f t="shared" si="69"/>
        <v>1.2949999999999999</v>
      </c>
      <c r="X287" s="17">
        <v>3.2000000000000001E-2</v>
      </c>
      <c r="Y287" s="17">
        <v>0.03</v>
      </c>
      <c r="Z287" s="21">
        <f t="shared" si="70"/>
        <v>3.1E-2</v>
      </c>
      <c r="AA287" s="30">
        <v>1.1399999999999999</v>
      </c>
      <c r="AB287" s="30">
        <v>1.1439999999999999</v>
      </c>
      <c r="AC287" s="31">
        <f t="shared" si="71"/>
        <v>1.1419999999999999</v>
      </c>
      <c r="AD287" s="19">
        <v>6.8000000000000005E-2</v>
      </c>
      <c r="AE287" s="19">
        <v>6.7000000000000004E-2</v>
      </c>
      <c r="AF287" s="21">
        <f t="shared" si="72"/>
        <v>6.8000000000000005E-2</v>
      </c>
      <c r="AG287" s="30">
        <v>0.05</v>
      </c>
      <c r="AH287" s="30">
        <v>0.05</v>
      </c>
      <c r="AI287" s="21">
        <f t="shared" si="73"/>
        <v>0.05</v>
      </c>
      <c r="AJ287" s="30">
        <v>3.5999999999999997E-2</v>
      </c>
      <c r="AK287" s="30">
        <v>3.6999999999999998E-2</v>
      </c>
      <c r="AL287" s="21">
        <f t="shared" si="74"/>
        <v>3.6999999999999998E-2</v>
      </c>
      <c r="AM287" s="30">
        <v>6.6459999999999999</v>
      </c>
      <c r="AN287" s="30">
        <v>6.6050000000000004</v>
      </c>
      <c r="AO287" s="31">
        <f t="shared" si="75"/>
        <v>6.6260000000000003</v>
      </c>
      <c r="AP287" s="66">
        <v>8.3000000000000004E-2</v>
      </c>
      <c r="AQ287" s="66">
        <v>8.1799999999999998E-2</v>
      </c>
      <c r="AR287" s="65">
        <f t="shared" si="76"/>
        <v>8.2400000000000001E-2</v>
      </c>
      <c r="AS287" s="95">
        <v>6.58</v>
      </c>
      <c r="AT287" s="95">
        <v>3.86</v>
      </c>
      <c r="AU287" s="95"/>
    </row>
    <row r="288" spans="1:47">
      <c r="A288" s="7" t="s">
        <v>12</v>
      </c>
      <c r="B288" s="5" t="s">
        <v>64</v>
      </c>
      <c r="C288" s="6" t="s">
        <v>65</v>
      </c>
      <c r="D288" s="6" t="s">
        <v>36</v>
      </c>
      <c r="E288" s="23">
        <v>23.4</v>
      </c>
      <c r="F288" s="23">
        <v>7.2</v>
      </c>
      <c r="G288" s="41">
        <v>88</v>
      </c>
      <c r="H288" s="23">
        <v>8.5</v>
      </c>
      <c r="I288" s="23">
        <v>1.4</v>
      </c>
      <c r="J288" s="23">
        <v>3.5</v>
      </c>
      <c r="K288" s="37">
        <v>2.2999999999999998</v>
      </c>
      <c r="L288" s="37">
        <v>2.2999999999999998</v>
      </c>
      <c r="M288" s="37"/>
      <c r="N288" s="38">
        <f t="shared" si="66"/>
        <v>2.2999999999999998</v>
      </c>
      <c r="O288" s="37">
        <v>1.9</v>
      </c>
      <c r="P288" s="37">
        <v>1.9</v>
      </c>
      <c r="Q288" s="38">
        <f t="shared" si="67"/>
        <v>1.9</v>
      </c>
      <c r="R288" s="17">
        <v>1.429</v>
      </c>
      <c r="S288" s="17">
        <v>1.4470000000000001</v>
      </c>
      <c r="T288" s="22">
        <f t="shared" si="68"/>
        <v>1.4379999999999999</v>
      </c>
      <c r="U288" s="34">
        <v>1.2549999999999999</v>
      </c>
      <c r="V288" s="34">
        <v>1.25</v>
      </c>
      <c r="W288" s="22">
        <f t="shared" si="69"/>
        <v>1.2529999999999999</v>
      </c>
      <c r="X288" s="17">
        <v>2.3E-2</v>
      </c>
      <c r="Y288" s="17">
        <v>2.1999999999999999E-2</v>
      </c>
      <c r="Z288" s="21">
        <f t="shared" si="70"/>
        <v>2.3E-2</v>
      </c>
      <c r="AA288" s="30">
        <v>1.107</v>
      </c>
      <c r="AB288" s="30">
        <v>1.1180000000000001</v>
      </c>
      <c r="AC288" s="31">
        <f t="shared" si="71"/>
        <v>1.113</v>
      </c>
      <c r="AD288" s="19">
        <v>6.5000000000000002E-2</v>
      </c>
      <c r="AE288" s="19">
        <v>6.0999999999999999E-2</v>
      </c>
      <c r="AF288" s="21">
        <f t="shared" si="72"/>
        <v>6.3E-2</v>
      </c>
      <c r="AG288" s="30">
        <v>4.2000000000000003E-2</v>
      </c>
      <c r="AH288" s="30">
        <v>4.2000000000000003E-2</v>
      </c>
      <c r="AI288" s="21">
        <f t="shared" si="73"/>
        <v>4.2000000000000003E-2</v>
      </c>
      <c r="AJ288" s="30">
        <v>2.8000000000000001E-2</v>
      </c>
      <c r="AK288" s="30">
        <v>2.8000000000000001E-2</v>
      </c>
      <c r="AL288" s="21">
        <f t="shared" si="74"/>
        <v>2.8000000000000001E-2</v>
      </c>
      <c r="AM288" s="30">
        <v>5.3250000000000002</v>
      </c>
      <c r="AN288" s="30">
        <v>5.3819999999999997</v>
      </c>
      <c r="AO288" s="31">
        <f t="shared" si="75"/>
        <v>5.3540000000000001</v>
      </c>
      <c r="AP288" s="66">
        <v>6.8000000000000005E-2</v>
      </c>
      <c r="AQ288" s="66">
        <v>6.7400000000000002E-2</v>
      </c>
      <c r="AR288" s="65">
        <f t="shared" si="76"/>
        <v>6.7699999999999996E-2</v>
      </c>
      <c r="AS288" s="3">
        <v>6.33</v>
      </c>
      <c r="AT288" s="95">
        <v>4.24</v>
      </c>
    </row>
    <row r="289" spans="1:47">
      <c r="A289" s="7" t="s">
        <v>13</v>
      </c>
      <c r="B289" s="5" t="s">
        <v>66</v>
      </c>
      <c r="C289" s="6" t="s">
        <v>44</v>
      </c>
      <c r="D289" s="6" t="s">
        <v>67</v>
      </c>
      <c r="E289" s="23">
        <v>25.4</v>
      </c>
      <c r="F289" s="23">
        <v>7</v>
      </c>
      <c r="G289" s="41">
        <v>141</v>
      </c>
      <c r="H289" s="23">
        <v>7.6</v>
      </c>
      <c r="I289" s="23">
        <v>1.4</v>
      </c>
      <c r="J289" s="23">
        <v>6.6</v>
      </c>
      <c r="K289" s="37">
        <v>4.5</v>
      </c>
      <c r="L289" s="37">
        <v>4.5999999999999996</v>
      </c>
      <c r="M289" s="37"/>
      <c r="N289" s="38">
        <f t="shared" si="66"/>
        <v>4.5999999999999996</v>
      </c>
      <c r="O289" s="37">
        <v>3.9</v>
      </c>
      <c r="P289" s="37">
        <v>3.9</v>
      </c>
      <c r="Q289" s="38">
        <f t="shared" si="67"/>
        <v>3.9</v>
      </c>
      <c r="R289" s="17">
        <v>2.1840000000000002</v>
      </c>
      <c r="S289" s="17">
        <v>2.1739999999999999</v>
      </c>
      <c r="T289" s="22">
        <f t="shared" si="68"/>
        <v>2.1789999999999998</v>
      </c>
      <c r="U289" s="34">
        <v>1.901</v>
      </c>
      <c r="V289" s="34">
        <v>1.927</v>
      </c>
      <c r="W289" s="22">
        <f t="shared" si="69"/>
        <v>1.9139999999999999</v>
      </c>
      <c r="X289" s="17">
        <v>2.7E-2</v>
      </c>
      <c r="Y289" s="17">
        <v>2.4E-2</v>
      </c>
      <c r="Z289" s="21">
        <f t="shared" si="70"/>
        <v>2.5999999999999999E-2</v>
      </c>
      <c r="AA289" s="30">
        <v>1.6160000000000001</v>
      </c>
      <c r="AB289" s="30">
        <v>1.64</v>
      </c>
      <c r="AC289" s="31">
        <f t="shared" si="71"/>
        <v>1.6279999999999999</v>
      </c>
      <c r="AD289" s="19">
        <v>7.8E-2</v>
      </c>
      <c r="AE289" s="19">
        <v>7.4999999999999997E-2</v>
      </c>
      <c r="AF289" s="21">
        <f t="shared" si="72"/>
        <v>7.6999999999999999E-2</v>
      </c>
      <c r="AG289" s="30">
        <v>5.2999999999999999E-2</v>
      </c>
      <c r="AH289" s="30">
        <v>5.5E-2</v>
      </c>
      <c r="AI289" s="21">
        <f t="shared" si="73"/>
        <v>5.3999999999999999E-2</v>
      </c>
      <c r="AJ289" s="30">
        <v>3.6999999999999998E-2</v>
      </c>
      <c r="AK289" s="30">
        <v>3.7999999999999999E-2</v>
      </c>
      <c r="AL289" s="21">
        <f t="shared" si="74"/>
        <v>3.7999999999999999E-2</v>
      </c>
      <c r="AM289" s="30">
        <v>8.1210000000000004</v>
      </c>
      <c r="AN289" s="30">
        <v>8.1359999999999992</v>
      </c>
      <c r="AO289" s="31">
        <f t="shared" si="75"/>
        <v>8.1289999999999996</v>
      </c>
      <c r="AP289" s="66">
        <v>0.1462</v>
      </c>
      <c r="AQ289" s="66">
        <v>0.14319999999999999</v>
      </c>
      <c r="AR289" s="65">
        <f t="shared" si="76"/>
        <v>0.1447</v>
      </c>
      <c r="AS289" s="3">
        <v>7.76</v>
      </c>
      <c r="AT289" s="95">
        <v>3.75</v>
      </c>
      <c r="AU289" s="95"/>
    </row>
    <row r="290" spans="1:47">
      <c r="A290" s="7" t="s">
        <v>14</v>
      </c>
      <c r="B290" s="5" t="s">
        <v>64</v>
      </c>
      <c r="C290" s="6" t="s">
        <v>68</v>
      </c>
      <c r="D290" s="6" t="s">
        <v>36</v>
      </c>
      <c r="E290" s="23">
        <v>24</v>
      </c>
      <c r="F290" s="23">
        <v>7.1</v>
      </c>
      <c r="G290" s="41">
        <v>90</v>
      </c>
      <c r="H290" s="23">
        <v>8.6</v>
      </c>
      <c r="I290" s="23">
        <v>1.5</v>
      </c>
      <c r="J290" s="23">
        <v>3.9</v>
      </c>
      <c r="K290" s="37">
        <v>2.4</v>
      </c>
      <c r="L290" s="37">
        <v>2.5</v>
      </c>
      <c r="M290" s="37"/>
      <c r="N290" s="38">
        <f t="shared" si="66"/>
        <v>2.5</v>
      </c>
      <c r="O290" s="37">
        <v>2.1</v>
      </c>
      <c r="P290" s="37">
        <v>1.9</v>
      </c>
      <c r="Q290" s="38">
        <f t="shared" si="67"/>
        <v>2</v>
      </c>
      <c r="R290" s="17">
        <v>1.546</v>
      </c>
      <c r="S290" s="17">
        <v>1.5589999999999999</v>
      </c>
      <c r="T290" s="22">
        <f t="shared" si="68"/>
        <v>1.5529999999999999</v>
      </c>
      <c r="U290" s="34">
        <v>1.325</v>
      </c>
      <c r="V290" s="34">
        <v>1.31</v>
      </c>
      <c r="W290" s="22">
        <f t="shared" si="69"/>
        <v>1.3180000000000001</v>
      </c>
      <c r="X290" s="17">
        <v>2.8000000000000001E-2</v>
      </c>
      <c r="Y290" s="17">
        <v>2.5000000000000001E-2</v>
      </c>
      <c r="Z290" s="21">
        <f t="shared" si="70"/>
        <v>2.7E-2</v>
      </c>
      <c r="AA290" s="30">
        <v>1.1539999999999999</v>
      </c>
      <c r="AB290" s="30">
        <v>1.165</v>
      </c>
      <c r="AC290" s="31">
        <f t="shared" si="71"/>
        <v>1.1599999999999999</v>
      </c>
      <c r="AD290" s="19">
        <v>7.0000000000000007E-2</v>
      </c>
      <c r="AE290" s="19">
        <v>6.8000000000000005E-2</v>
      </c>
      <c r="AF290" s="21">
        <f t="shared" si="72"/>
        <v>6.9000000000000006E-2</v>
      </c>
      <c r="AG290" s="30">
        <v>4.9000000000000002E-2</v>
      </c>
      <c r="AH290" s="30">
        <v>4.9000000000000002E-2</v>
      </c>
      <c r="AI290" s="21">
        <f t="shared" si="73"/>
        <v>4.9000000000000002E-2</v>
      </c>
      <c r="AJ290" s="30">
        <v>3.5999999999999997E-2</v>
      </c>
      <c r="AK290" s="30">
        <v>3.5999999999999997E-2</v>
      </c>
      <c r="AL290" s="21">
        <f t="shared" si="74"/>
        <v>3.5999999999999997E-2</v>
      </c>
      <c r="AM290" s="30">
        <v>5.6379999999999999</v>
      </c>
      <c r="AN290" s="30">
        <v>5.6260000000000003</v>
      </c>
      <c r="AO290" s="31">
        <f t="shared" si="75"/>
        <v>5.6319999999999997</v>
      </c>
      <c r="AP290" s="66">
        <v>7.7100000000000002E-2</v>
      </c>
      <c r="AQ290" s="66">
        <v>7.6200000000000004E-2</v>
      </c>
      <c r="AR290" s="65">
        <f t="shared" si="76"/>
        <v>7.6700000000000004E-2</v>
      </c>
      <c r="AS290" s="3">
        <v>6.59</v>
      </c>
      <c r="AT290" s="95">
        <v>4.16</v>
      </c>
    </row>
    <row r="291" spans="1:47">
      <c r="A291" s="7" t="s">
        <v>15</v>
      </c>
      <c r="B291" s="5" t="s">
        <v>69</v>
      </c>
      <c r="C291" s="6" t="s">
        <v>70</v>
      </c>
      <c r="D291" s="6" t="s">
        <v>71</v>
      </c>
      <c r="E291" s="23">
        <v>25.4</v>
      </c>
      <c r="F291" s="23">
        <v>6.9</v>
      </c>
      <c r="G291" s="41">
        <v>158</v>
      </c>
      <c r="H291" s="23">
        <v>6.8</v>
      </c>
      <c r="I291" s="23">
        <v>1.5</v>
      </c>
      <c r="J291" s="23">
        <v>5.0999999999999996</v>
      </c>
      <c r="K291" s="37">
        <v>3.3</v>
      </c>
      <c r="L291" s="37">
        <v>3.3</v>
      </c>
      <c r="M291" s="37"/>
      <c r="N291" s="38">
        <f t="shared" si="66"/>
        <v>3.3</v>
      </c>
      <c r="O291" s="37">
        <v>2.8</v>
      </c>
      <c r="P291" s="37">
        <v>2.7</v>
      </c>
      <c r="Q291" s="38">
        <f t="shared" si="67"/>
        <v>2.8</v>
      </c>
      <c r="R291" s="17">
        <v>1.319</v>
      </c>
      <c r="S291" s="17">
        <v>1.321</v>
      </c>
      <c r="T291" s="22">
        <f t="shared" si="68"/>
        <v>1.32</v>
      </c>
      <c r="U291" s="34">
        <v>1.044</v>
      </c>
      <c r="V291" s="34">
        <v>1.038</v>
      </c>
      <c r="W291" s="22">
        <f t="shared" si="69"/>
        <v>1.0409999999999999</v>
      </c>
      <c r="X291" s="17">
        <v>2.5999999999999999E-2</v>
      </c>
      <c r="Y291" s="17">
        <v>5.6000000000000001E-2</v>
      </c>
      <c r="Z291" s="21">
        <f t="shared" si="70"/>
        <v>4.1000000000000002E-2</v>
      </c>
      <c r="AA291" s="30">
        <v>0.88100000000000001</v>
      </c>
      <c r="AB291" s="30">
        <v>0.88700000000000001</v>
      </c>
      <c r="AC291" s="31">
        <f t="shared" si="71"/>
        <v>0.88400000000000001</v>
      </c>
      <c r="AD291" s="19">
        <v>2.3E-2</v>
      </c>
      <c r="AE291" s="19">
        <v>2.7E-2</v>
      </c>
      <c r="AF291" s="21">
        <f t="shared" si="72"/>
        <v>2.5000000000000001E-2</v>
      </c>
      <c r="AG291" s="30">
        <v>1.6E-2</v>
      </c>
      <c r="AH291" s="30">
        <v>1.2999999999999999E-2</v>
      </c>
      <c r="AI291" s="21">
        <f t="shared" si="73"/>
        <v>1.4999999999999999E-2</v>
      </c>
      <c r="AJ291" s="30">
        <v>3.0000000000000001E-3</v>
      </c>
      <c r="AK291" s="30">
        <v>2E-3</v>
      </c>
      <c r="AL291" s="21">
        <f t="shared" si="74"/>
        <v>3.0000000000000001E-3</v>
      </c>
      <c r="AM291" s="30">
        <v>5.7249999999999996</v>
      </c>
      <c r="AN291" s="30">
        <v>5.7439999999999998</v>
      </c>
      <c r="AO291" s="31">
        <f t="shared" si="75"/>
        <v>5.7350000000000003</v>
      </c>
      <c r="AP291" s="66">
        <v>9.2499999999999999E-2</v>
      </c>
      <c r="AQ291" s="66">
        <v>9.0800000000000006E-2</v>
      </c>
      <c r="AR291" s="65">
        <f t="shared" si="76"/>
        <v>9.1700000000000004E-2</v>
      </c>
      <c r="AS291" s="3">
        <v>5.72</v>
      </c>
      <c r="AT291" s="95">
        <v>3.28</v>
      </c>
      <c r="AU291" s="95"/>
    </row>
    <row r="292" spans="1:47">
      <c r="A292" s="7" t="s">
        <v>16</v>
      </c>
      <c r="B292" s="5" t="s">
        <v>72</v>
      </c>
      <c r="C292" s="6" t="s">
        <v>73</v>
      </c>
      <c r="D292" s="6" t="s">
        <v>36</v>
      </c>
      <c r="E292" s="23">
        <v>24.8</v>
      </c>
      <c r="F292" s="23">
        <v>7</v>
      </c>
      <c r="G292" s="41">
        <v>101</v>
      </c>
      <c r="H292" s="23">
        <v>8.3000000000000007</v>
      </c>
      <c r="I292" s="23">
        <v>1.4</v>
      </c>
      <c r="J292" s="23">
        <v>4.3</v>
      </c>
      <c r="K292" s="37">
        <v>2.7</v>
      </c>
      <c r="L292" s="37">
        <v>2.8</v>
      </c>
      <c r="M292" s="37"/>
      <c r="N292" s="38">
        <f t="shared" si="66"/>
        <v>2.8</v>
      </c>
      <c r="O292" s="37">
        <v>2.2999999999999998</v>
      </c>
      <c r="P292" s="37">
        <v>2.1</v>
      </c>
      <c r="Q292" s="38">
        <f t="shared" si="67"/>
        <v>2.2000000000000002</v>
      </c>
      <c r="R292" s="17">
        <v>1.571</v>
      </c>
      <c r="S292" s="17">
        <v>1.5369999999999999</v>
      </c>
      <c r="T292" s="22">
        <f t="shared" si="68"/>
        <v>1.554</v>
      </c>
      <c r="U292" s="34">
        <v>1.24</v>
      </c>
      <c r="V292" s="34">
        <v>1.232</v>
      </c>
      <c r="W292" s="22">
        <f t="shared" si="69"/>
        <v>1.236</v>
      </c>
      <c r="X292" s="17">
        <v>2.7E-2</v>
      </c>
      <c r="Y292" s="17">
        <v>1.9E-2</v>
      </c>
      <c r="Z292" s="21">
        <f t="shared" si="70"/>
        <v>2.3E-2</v>
      </c>
      <c r="AA292" s="30">
        <v>1.073</v>
      </c>
      <c r="AB292" s="30">
        <v>1.1040000000000001</v>
      </c>
      <c r="AC292" s="31">
        <f t="shared" si="71"/>
        <v>1.089</v>
      </c>
      <c r="AD292" s="19">
        <v>7.0000000000000007E-2</v>
      </c>
      <c r="AE292" s="19">
        <v>6.4000000000000001E-2</v>
      </c>
      <c r="AF292" s="21">
        <f t="shared" si="72"/>
        <v>6.7000000000000004E-2</v>
      </c>
      <c r="AG292" s="30">
        <v>3.9E-2</v>
      </c>
      <c r="AH292" s="30">
        <v>4.1000000000000002E-2</v>
      </c>
      <c r="AI292" s="21">
        <f t="shared" si="73"/>
        <v>0.04</v>
      </c>
      <c r="AJ292" s="30">
        <v>2.5999999999999999E-2</v>
      </c>
      <c r="AK292" s="30">
        <v>2.8000000000000001E-2</v>
      </c>
      <c r="AL292" s="21">
        <f t="shared" si="74"/>
        <v>2.7E-2</v>
      </c>
      <c r="AM292" s="30">
        <v>5.484</v>
      </c>
      <c r="AN292" s="30">
        <v>5.593</v>
      </c>
      <c r="AO292" s="31">
        <f t="shared" si="75"/>
        <v>5.5389999999999997</v>
      </c>
      <c r="AP292" s="66">
        <v>8.1500000000000003E-2</v>
      </c>
      <c r="AQ292" s="66">
        <v>7.9799999999999996E-2</v>
      </c>
      <c r="AR292" s="65">
        <f t="shared" si="76"/>
        <v>8.0699999999999994E-2</v>
      </c>
      <c r="AS292" s="3">
        <v>6.53</v>
      </c>
      <c r="AT292" s="95">
        <v>3.1</v>
      </c>
    </row>
    <row r="293" spans="1:47">
      <c r="A293" s="7" t="s">
        <v>17</v>
      </c>
      <c r="B293" s="5" t="s">
        <v>74</v>
      </c>
      <c r="C293" s="6" t="s">
        <v>75</v>
      </c>
      <c r="D293" s="6" t="s">
        <v>76</v>
      </c>
      <c r="E293" s="23">
        <v>24.4</v>
      </c>
      <c r="F293" s="23">
        <v>7</v>
      </c>
      <c r="G293" s="41">
        <v>146</v>
      </c>
      <c r="H293" s="23">
        <v>8.1999999999999993</v>
      </c>
      <c r="I293" s="23">
        <v>1.6</v>
      </c>
      <c r="J293" s="23">
        <v>4.2</v>
      </c>
      <c r="K293" s="37">
        <v>2.7</v>
      </c>
      <c r="L293" s="37">
        <v>3</v>
      </c>
      <c r="M293" s="37"/>
      <c r="N293" s="38">
        <f t="shared" si="66"/>
        <v>2.9</v>
      </c>
      <c r="O293" s="37">
        <v>2.2000000000000002</v>
      </c>
      <c r="P293" s="37">
        <v>2.1</v>
      </c>
      <c r="Q293" s="38">
        <f t="shared" si="67"/>
        <v>2.2000000000000002</v>
      </c>
      <c r="R293" s="17">
        <v>2.3719999999999999</v>
      </c>
      <c r="S293" s="17">
        <v>2.4340000000000002</v>
      </c>
      <c r="T293" s="22">
        <f t="shared" si="68"/>
        <v>2.403</v>
      </c>
      <c r="U293" s="34">
        <v>2.093</v>
      </c>
      <c r="V293" s="34">
        <v>2.0910000000000002</v>
      </c>
      <c r="W293" s="22">
        <f t="shared" si="69"/>
        <v>2.0920000000000001</v>
      </c>
      <c r="X293" s="17">
        <v>5.6000000000000001E-2</v>
      </c>
      <c r="Y293" s="17">
        <v>5.1999999999999998E-2</v>
      </c>
      <c r="Z293" s="21">
        <f t="shared" si="70"/>
        <v>5.3999999999999999E-2</v>
      </c>
      <c r="AA293" s="30">
        <v>1.8380000000000001</v>
      </c>
      <c r="AB293" s="30">
        <v>1.893</v>
      </c>
      <c r="AC293" s="31">
        <f t="shared" si="71"/>
        <v>1.8660000000000001</v>
      </c>
      <c r="AD293" s="19">
        <v>8.8999999999999996E-2</v>
      </c>
      <c r="AE293" s="19">
        <v>8.5000000000000006E-2</v>
      </c>
      <c r="AF293" s="21">
        <f t="shared" si="72"/>
        <v>8.6999999999999994E-2</v>
      </c>
      <c r="AG293" s="30">
        <v>5.1999999999999998E-2</v>
      </c>
      <c r="AH293" s="30">
        <v>5.2999999999999999E-2</v>
      </c>
      <c r="AI293" s="21">
        <f t="shared" si="73"/>
        <v>5.2999999999999999E-2</v>
      </c>
      <c r="AJ293" s="30">
        <v>3.6999999999999998E-2</v>
      </c>
      <c r="AK293" s="30">
        <v>3.7999999999999999E-2</v>
      </c>
      <c r="AL293" s="21">
        <f t="shared" si="74"/>
        <v>3.7999999999999999E-2</v>
      </c>
      <c r="AM293" s="30">
        <v>7.6379999999999999</v>
      </c>
      <c r="AN293" s="30">
        <v>7.7949999999999999</v>
      </c>
      <c r="AO293" s="31">
        <f t="shared" si="75"/>
        <v>7.7169999999999996</v>
      </c>
      <c r="AP293" s="66">
        <v>8.1299999999999997E-2</v>
      </c>
      <c r="AQ293" s="66">
        <v>7.9100000000000004E-2</v>
      </c>
      <c r="AR293" s="65">
        <f t="shared" si="76"/>
        <v>8.0199999999999994E-2</v>
      </c>
      <c r="AS293" s="3">
        <v>7.25</v>
      </c>
      <c r="AT293" s="95">
        <v>2.84</v>
      </c>
      <c r="AU293" s="95"/>
    </row>
    <row r="294" spans="1:47">
      <c r="A294" s="7" t="s">
        <v>18</v>
      </c>
      <c r="B294" s="5" t="s">
        <v>109</v>
      </c>
      <c r="C294" s="6" t="s">
        <v>77</v>
      </c>
      <c r="D294" s="6" t="s">
        <v>36</v>
      </c>
      <c r="E294" s="23">
        <v>25</v>
      </c>
      <c r="F294" s="23">
        <v>7</v>
      </c>
      <c r="G294" s="41">
        <v>119</v>
      </c>
      <c r="H294" s="23">
        <v>7.8</v>
      </c>
      <c r="I294" s="23">
        <v>1.5</v>
      </c>
      <c r="J294" s="23">
        <v>4.4000000000000004</v>
      </c>
      <c r="K294" s="37">
        <v>2.8</v>
      </c>
      <c r="L294" s="37">
        <v>3.1</v>
      </c>
      <c r="M294" s="37"/>
      <c r="N294" s="38">
        <f t="shared" si="66"/>
        <v>3</v>
      </c>
      <c r="O294" s="37">
        <v>2.2000000000000002</v>
      </c>
      <c r="P294" s="37">
        <v>2.2999999999999998</v>
      </c>
      <c r="Q294" s="38">
        <f t="shared" si="67"/>
        <v>2.2999999999999998</v>
      </c>
      <c r="R294" s="17">
        <v>1.8640000000000001</v>
      </c>
      <c r="S294" s="17">
        <v>1.9</v>
      </c>
      <c r="T294" s="22">
        <f t="shared" si="68"/>
        <v>1.8819999999999999</v>
      </c>
      <c r="U294" s="34">
        <v>1.595</v>
      </c>
      <c r="V294" s="34">
        <v>1.583</v>
      </c>
      <c r="W294" s="22">
        <f t="shared" si="69"/>
        <v>1.589</v>
      </c>
      <c r="X294" s="17">
        <v>7.0000000000000007E-2</v>
      </c>
      <c r="Y294" s="17">
        <v>7.2999999999999995E-2</v>
      </c>
      <c r="Z294" s="21">
        <f t="shared" si="70"/>
        <v>7.1999999999999995E-2</v>
      </c>
      <c r="AA294" s="30">
        <v>1.397</v>
      </c>
      <c r="AB294" s="30">
        <v>1.423</v>
      </c>
      <c r="AC294" s="31">
        <f t="shared" si="71"/>
        <v>1.41</v>
      </c>
      <c r="AD294" s="19">
        <v>9.5000000000000001E-2</v>
      </c>
      <c r="AE294" s="19">
        <v>9.1999999999999998E-2</v>
      </c>
      <c r="AF294" s="21">
        <f t="shared" si="72"/>
        <v>9.4E-2</v>
      </c>
      <c r="AG294" s="30">
        <v>5.3999999999999999E-2</v>
      </c>
      <c r="AH294" s="30">
        <v>5.5E-2</v>
      </c>
      <c r="AI294" s="21">
        <f t="shared" si="73"/>
        <v>5.5E-2</v>
      </c>
      <c r="AJ294" s="30">
        <v>3.9E-2</v>
      </c>
      <c r="AK294" s="30">
        <v>4.2000000000000003E-2</v>
      </c>
      <c r="AL294" s="21">
        <f t="shared" si="74"/>
        <v>4.1000000000000002E-2</v>
      </c>
      <c r="AM294" s="30">
        <v>6.7439999999999998</v>
      </c>
      <c r="AN294" s="30">
        <v>6.86</v>
      </c>
      <c r="AO294" s="31">
        <f t="shared" si="75"/>
        <v>6.8019999999999996</v>
      </c>
      <c r="AP294" s="66">
        <v>8.4000000000000005E-2</v>
      </c>
      <c r="AQ294" s="66">
        <v>8.2100000000000006E-2</v>
      </c>
      <c r="AR294" s="65">
        <f t="shared" si="76"/>
        <v>8.3099999999999993E-2</v>
      </c>
      <c r="AS294" s="3">
        <v>7.18</v>
      </c>
      <c r="AT294" s="95">
        <v>3.1</v>
      </c>
    </row>
    <row r="295" spans="1:47">
      <c r="A295" s="7" t="s">
        <v>19</v>
      </c>
      <c r="B295" s="5" t="s">
        <v>78</v>
      </c>
      <c r="C295" s="6" t="s">
        <v>44</v>
      </c>
      <c r="D295" s="6" t="s">
        <v>79</v>
      </c>
      <c r="E295" s="23">
        <v>22.8</v>
      </c>
      <c r="F295" s="23">
        <v>7.5</v>
      </c>
      <c r="G295" s="41">
        <v>170</v>
      </c>
      <c r="H295" s="23">
        <v>8</v>
      </c>
      <c r="I295" s="23">
        <v>1.1000000000000001</v>
      </c>
      <c r="J295" s="23">
        <v>3.6</v>
      </c>
      <c r="K295" s="37">
        <v>2.6</v>
      </c>
      <c r="L295" s="37">
        <v>2.8</v>
      </c>
      <c r="M295" s="37"/>
      <c r="N295" s="38">
        <f t="shared" si="66"/>
        <v>2.7</v>
      </c>
      <c r="O295" s="37">
        <v>2.2000000000000002</v>
      </c>
      <c r="P295" s="37">
        <v>2.2000000000000002</v>
      </c>
      <c r="Q295" s="38">
        <f t="shared" si="67"/>
        <v>2.2000000000000002</v>
      </c>
      <c r="R295" s="17">
        <v>2.8740000000000001</v>
      </c>
      <c r="S295" s="17">
        <v>2.8740000000000001</v>
      </c>
      <c r="T295" s="22">
        <f t="shared" si="68"/>
        <v>2.8740000000000001</v>
      </c>
      <c r="U295" s="34">
        <v>2.6139999999999999</v>
      </c>
      <c r="V295" s="34">
        <v>2.6349999999999998</v>
      </c>
      <c r="W295" s="22">
        <f t="shared" si="69"/>
        <v>2.625</v>
      </c>
      <c r="X295" s="17">
        <v>2.9000000000000001E-2</v>
      </c>
      <c r="Y295" s="17">
        <v>0.03</v>
      </c>
      <c r="Z295" s="21">
        <f t="shared" si="70"/>
        <v>0.03</v>
      </c>
      <c r="AA295" s="30">
        <v>2.4649999999999999</v>
      </c>
      <c r="AB295" s="30">
        <v>2.4929999999999999</v>
      </c>
      <c r="AC295" s="31">
        <f t="shared" si="71"/>
        <v>2.4790000000000001</v>
      </c>
      <c r="AD295" s="19">
        <v>6.5000000000000002E-2</v>
      </c>
      <c r="AE295" s="19">
        <v>6.2E-2</v>
      </c>
      <c r="AF295" s="21">
        <f t="shared" si="72"/>
        <v>6.4000000000000001E-2</v>
      </c>
      <c r="AG295" s="30">
        <v>4.7E-2</v>
      </c>
      <c r="AH295" s="30">
        <v>4.2999999999999997E-2</v>
      </c>
      <c r="AI295" s="21">
        <f t="shared" si="73"/>
        <v>4.4999999999999998E-2</v>
      </c>
      <c r="AJ295" s="30">
        <v>3.2000000000000001E-2</v>
      </c>
      <c r="AK295" s="30">
        <v>3.2000000000000001E-2</v>
      </c>
      <c r="AL295" s="21">
        <f t="shared" si="74"/>
        <v>3.2000000000000001E-2</v>
      </c>
      <c r="AM295" s="30">
        <v>9.9930000000000003</v>
      </c>
      <c r="AN295" s="30">
        <v>10.050000000000001</v>
      </c>
      <c r="AO295" s="31">
        <f t="shared" si="75"/>
        <v>10.022</v>
      </c>
      <c r="AP295" s="66">
        <v>7.5399999999999995E-2</v>
      </c>
      <c r="AQ295" s="66">
        <v>7.3599999999999999E-2</v>
      </c>
      <c r="AR295" s="65">
        <f t="shared" si="76"/>
        <v>7.4499999999999997E-2</v>
      </c>
      <c r="AS295" s="3">
        <v>7.13</v>
      </c>
      <c r="AT295" s="95">
        <v>2.15</v>
      </c>
      <c r="AU295" s="95"/>
    </row>
    <row r="296" spans="1:47">
      <c r="A296" s="7" t="s">
        <v>20</v>
      </c>
      <c r="B296" s="5" t="s">
        <v>80</v>
      </c>
      <c r="C296" s="6" t="s">
        <v>81</v>
      </c>
      <c r="D296" s="6" t="s">
        <v>36</v>
      </c>
      <c r="E296" s="23">
        <v>25.1</v>
      </c>
      <c r="F296" s="23">
        <v>7.5</v>
      </c>
      <c r="G296" s="41">
        <v>124</v>
      </c>
      <c r="H296" s="23">
        <v>7.9</v>
      </c>
      <c r="I296" s="23">
        <v>1.5</v>
      </c>
      <c r="J296" s="23">
        <v>4.5</v>
      </c>
      <c r="K296" s="37">
        <v>2.9</v>
      </c>
      <c r="L296" s="37">
        <v>3</v>
      </c>
      <c r="M296" s="37"/>
      <c r="N296" s="38">
        <f t="shared" si="66"/>
        <v>3</v>
      </c>
      <c r="O296" s="37">
        <v>2.4</v>
      </c>
      <c r="P296" s="37">
        <v>2.2000000000000002</v>
      </c>
      <c r="Q296" s="38">
        <f t="shared" si="67"/>
        <v>2.2999999999999998</v>
      </c>
      <c r="R296" s="17">
        <v>1.8089999999999999</v>
      </c>
      <c r="S296" s="17">
        <v>1.792</v>
      </c>
      <c r="T296" s="22">
        <f t="shared" si="68"/>
        <v>1.8009999999999999</v>
      </c>
      <c r="U296" s="34">
        <v>1.575</v>
      </c>
      <c r="V296" s="34">
        <v>1.5649999999999999</v>
      </c>
      <c r="W296" s="22">
        <f t="shared" si="69"/>
        <v>1.57</v>
      </c>
      <c r="X296" s="17">
        <v>5.0999999999999997E-2</v>
      </c>
      <c r="Y296" s="17">
        <v>5.2999999999999999E-2</v>
      </c>
      <c r="Z296" s="21">
        <f t="shared" si="70"/>
        <v>5.1999999999999998E-2</v>
      </c>
      <c r="AA296" s="30">
        <v>1.389</v>
      </c>
      <c r="AB296" s="30">
        <v>1.401</v>
      </c>
      <c r="AC296" s="31">
        <f t="shared" si="71"/>
        <v>1.395</v>
      </c>
      <c r="AD296" s="19">
        <v>0.1</v>
      </c>
      <c r="AE296" s="19">
        <v>9.2999999999999999E-2</v>
      </c>
      <c r="AF296" s="21">
        <f t="shared" si="72"/>
        <v>9.7000000000000003E-2</v>
      </c>
      <c r="AG296" s="30">
        <v>6.0999999999999999E-2</v>
      </c>
      <c r="AH296" s="30">
        <v>0.06</v>
      </c>
      <c r="AI296" s="21">
        <f t="shared" si="73"/>
        <v>6.0999999999999999E-2</v>
      </c>
      <c r="AJ296" s="30">
        <v>4.3999999999999997E-2</v>
      </c>
      <c r="AK296" s="30">
        <v>4.4999999999999998E-2</v>
      </c>
      <c r="AL296" s="21">
        <f t="shared" si="74"/>
        <v>4.4999999999999998E-2</v>
      </c>
      <c r="AM296" s="30">
        <v>6.5359999999999996</v>
      </c>
      <c r="AN296" s="30">
        <v>6.6059999999999999</v>
      </c>
      <c r="AO296" s="31">
        <f t="shared" si="75"/>
        <v>6.5709999999999997</v>
      </c>
      <c r="AP296" s="66">
        <v>8.5400000000000004E-2</v>
      </c>
      <c r="AQ296" s="66">
        <v>8.2799999999999999E-2</v>
      </c>
      <c r="AR296" s="65">
        <f t="shared" si="76"/>
        <v>8.4099999999999994E-2</v>
      </c>
      <c r="AS296" s="3">
        <v>7.25</v>
      </c>
      <c r="AT296" s="95">
        <v>3.07</v>
      </c>
    </row>
    <row r="297" spans="1:47">
      <c r="A297" s="7" t="s">
        <v>21</v>
      </c>
      <c r="B297" s="5" t="s">
        <v>82</v>
      </c>
      <c r="C297" s="6" t="s">
        <v>44</v>
      </c>
      <c r="D297" s="6" t="s">
        <v>83</v>
      </c>
      <c r="E297" s="23">
        <v>25.6</v>
      </c>
      <c r="F297" s="23">
        <v>7.4</v>
      </c>
      <c r="G297" s="41">
        <v>164</v>
      </c>
      <c r="H297" s="23">
        <v>7.7</v>
      </c>
      <c r="I297" s="23">
        <v>1.8</v>
      </c>
      <c r="J297" s="23">
        <v>6.4</v>
      </c>
      <c r="K297" s="37">
        <v>4.3</v>
      </c>
      <c r="L297" s="37">
        <v>4.3</v>
      </c>
      <c r="M297" s="37"/>
      <c r="N297" s="38">
        <f t="shared" si="66"/>
        <v>4.3</v>
      </c>
      <c r="O297" s="37">
        <v>4</v>
      </c>
      <c r="P297" s="37">
        <v>3.9</v>
      </c>
      <c r="Q297" s="38">
        <f t="shared" si="67"/>
        <v>4</v>
      </c>
      <c r="R297" s="17">
        <v>2.4860000000000002</v>
      </c>
      <c r="S297" s="17">
        <v>2.5049999999999999</v>
      </c>
      <c r="T297" s="22">
        <f t="shared" si="68"/>
        <v>2.496</v>
      </c>
      <c r="U297" s="34">
        <v>2.2650000000000001</v>
      </c>
      <c r="V297" s="34">
        <v>2.2559999999999998</v>
      </c>
      <c r="W297" s="22">
        <f t="shared" si="69"/>
        <v>2.2610000000000001</v>
      </c>
      <c r="X297" s="17">
        <v>6.0999999999999999E-2</v>
      </c>
      <c r="Y297" s="17">
        <v>5.8999999999999997E-2</v>
      </c>
      <c r="Z297" s="21">
        <f t="shared" si="70"/>
        <v>0.06</v>
      </c>
      <c r="AA297" s="30">
        <v>1.9159999999999999</v>
      </c>
      <c r="AB297" s="30">
        <v>1.905</v>
      </c>
      <c r="AC297" s="31">
        <f t="shared" si="71"/>
        <v>1.911</v>
      </c>
      <c r="AD297" s="19">
        <v>0.10199999999999999</v>
      </c>
      <c r="AE297" s="19">
        <v>0.10100000000000001</v>
      </c>
      <c r="AF297" s="21">
        <f t="shared" si="72"/>
        <v>0.10199999999999999</v>
      </c>
      <c r="AG297" s="30">
        <v>7.1999999999999995E-2</v>
      </c>
      <c r="AH297" s="30">
        <v>7.2999999999999995E-2</v>
      </c>
      <c r="AI297" s="21">
        <f t="shared" si="73"/>
        <v>7.2999999999999995E-2</v>
      </c>
      <c r="AJ297" s="30">
        <v>5.2999999999999999E-2</v>
      </c>
      <c r="AK297" s="30">
        <v>5.2999999999999999E-2</v>
      </c>
      <c r="AL297" s="21">
        <f t="shared" si="74"/>
        <v>5.2999999999999999E-2</v>
      </c>
      <c r="AM297" s="30">
        <v>8.1660000000000004</v>
      </c>
      <c r="AN297" s="30">
        <v>8.1460000000000008</v>
      </c>
      <c r="AO297" s="31">
        <f t="shared" si="75"/>
        <v>8.1560000000000006</v>
      </c>
      <c r="AP297" s="66">
        <v>0.1381</v>
      </c>
      <c r="AQ297" s="66">
        <v>0.1361</v>
      </c>
      <c r="AR297" s="65">
        <f t="shared" si="76"/>
        <v>0.1371</v>
      </c>
      <c r="AS297" s="3">
        <v>6.62</v>
      </c>
      <c r="AT297" s="95">
        <v>3.69</v>
      </c>
      <c r="AU297" s="95"/>
    </row>
    <row r="298" spans="1:47">
      <c r="A298" s="7" t="s">
        <v>22</v>
      </c>
      <c r="B298" s="5" t="s">
        <v>84</v>
      </c>
      <c r="C298" s="6" t="s">
        <v>85</v>
      </c>
      <c r="D298" s="6" t="s">
        <v>36</v>
      </c>
      <c r="E298" s="23">
        <v>25</v>
      </c>
      <c r="F298" s="23">
        <v>7.2</v>
      </c>
      <c r="G298" s="41">
        <v>136</v>
      </c>
      <c r="H298" s="23">
        <v>7.7</v>
      </c>
      <c r="I298" s="23">
        <v>1</v>
      </c>
      <c r="J298" s="23">
        <v>5</v>
      </c>
      <c r="K298" s="37">
        <v>3.4</v>
      </c>
      <c r="L298" s="37">
        <v>3.5</v>
      </c>
      <c r="M298" s="37"/>
      <c r="N298" s="38">
        <f t="shared" si="66"/>
        <v>3.5</v>
      </c>
      <c r="O298" s="37">
        <v>2.8</v>
      </c>
      <c r="P298" s="37">
        <v>2.7</v>
      </c>
      <c r="Q298" s="38">
        <f t="shared" si="67"/>
        <v>2.8</v>
      </c>
      <c r="R298" s="17">
        <v>2.1179999999999999</v>
      </c>
      <c r="S298" s="17">
        <v>2.153</v>
      </c>
      <c r="T298" s="22">
        <f t="shared" si="68"/>
        <v>2.1360000000000001</v>
      </c>
      <c r="U298" s="34">
        <v>1.857</v>
      </c>
      <c r="V298" s="34">
        <v>1.835</v>
      </c>
      <c r="W298" s="22">
        <f t="shared" si="69"/>
        <v>1.8460000000000001</v>
      </c>
      <c r="X298" s="17">
        <v>4.8000000000000001E-2</v>
      </c>
      <c r="Y298" s="17">
        <v>4.5999999999999999E-2</v>
      </c>
      <c r="Z298" s="21">
        <f t="shared" si="70"/>
        <v>4.7E-2</v>
      </c>
      <c r="AA298" s="30">
        <v>1.599</v>
      </c>
      <c r="AB298" s="30">
        <v>1.621</v>
      </c>
      <c r="AC298" s="31">
        <f t="shared" si="71"/>
        <v>1.61</v>
      </c>
      <c r="AD298" s="19">
        <v>0.107</v>
      </c>
      <c r="AE298" s="19">
        <v>0.106</v>
      </c>
      <c r="AF298" s="21">
        <f t="shared" si="72"/>
        <v>0.107</v>
      </c>
      <c r="AG298" s="30">
        <v>6.7000000000000004E-2</v>
      </c>
      <c r="AH298" s="30">
        <v>6.6000000000000003E-2</v>
      </c>
      <c r="AI298" s="21">
        <f t="shared" si="73"/>
        <v>6.7000000000000004E-2</v>
      </c>
      <c r="AJ298" s="30">
        <v>0.05</v>
      </c>
      <c r="AK298" s="30">
        <v>0.05</v>
      </c>
      <c r="AL298" s="21">
        <f t="shared" si="74"/>
        <v>0.05</v>
      </c>
      <c r="AM298" s="30">
        <v>7.1829999999999998</v>
      </c>
      <c r="AN298" s="30">
        <v>7.2750000000000004</v>
      </c>
      <c r="AO298" s="31">
        <f t="shared" si="75"/>
        <v>7.2290000000000001</v>
      </c>
      <c r="AP298" s="66">
        <v>9.9099999999999994E-2</v>
      </c>
      <c r="AQ298" s="66">
        <v>9.7500000000000003E-2</v>
      </c>
      <c r="AR298" s="65">
        <f t="shared" si="76"/>
        <v>9.8299999999999998E-2</v>
      </c>
      <c r="AS298" s="3">
        <v>6.96</v>
      </c>
      <c r="AT298" s="95">
        <v>2.81</v>
      </c>
    </row>
    <row r="299" spans="1:47">
      <c r="A299" s="7" t="s">
        <v>23</v>
      </c>
      <c r="B299" s="5" t="s">
        <v>86</v>
      </c>
      <c r="C299" s="6" t="s">
        <v>87</v>
      </c>
      <c r="D299" s="6" t="s">
        <v>88</v>
      </c>
      <c r="E299" s="23">
        <v>26</v>
      </c>
      <c r="F299" s="23">
        <v>6.9</v>
      </c>
      <c r="G299" s="41">
        <v>158</v>
      </c>
      <c r="H299" s="23">
        <v>6.7</v>
      </c>
      <c r="I299" s="23">
        <v>0.8</v>
      </c>
      <c r="J299" s="23">
        <v>6.4</v>
      </c>
      <c r="K299" s="37">
        <v>4.4000000000000004</v>
      </c>
      <c r="L299" s="37">
        <v>4.5</v>
      </c>
      <c r="M299" s="37"/>
      <c r="N299" s="38">
        <f t="shared" si="66"/>
        <v>4.5</v>
      </c>
      <c r="O299" s="37">
        <v>4</v>
      </c>
      <c r="P299" s="37">
        <v>3.8</v>
      </c>
      <c r="Q299" s="38">
        <f t="shared" si="67"/>
        <v>3.9</v>
      </c>
      <c r="R299" s="17">
        <v>1.746</v>
      </c>
      <c r="S299" s="17">
        <v>1.75</v>
      </c>
      <c r="T299" s="22">
        <f t="shared" si="68"/>
        <v>1.748</v>
      </c>
      <c r="U299" s="34">
        <v>1.498</v>
      </c>
      <c r="V299" s="34">
        <v>1.498</v>
      </c>
      <c r="W299" s="22">
        <f t="shared" si="69"/>
        <v>1.498</v>
      </c>
      <c r="X299" s="17">
        <v>2.5999999999999999E-2</v>
      </c>
      <c r="Y299" s="17">
        <v>2.7E-2</v>
      </c>
      <c r="Z299" s="21">
        <f t="shared" si="70"/>
        <v>2.7E-2</v>
      </c>
      <c r="AA299" s="30">
        <v>1.2549999999999999</v>
      </c>
      <c r="AB299" s="30">
        <v>1.244</v>
      </c>
      <c r="AC299" s="31">
        <f t="shared" si="71"/>
        <v>1.25</v>
      </c>
      <c r="AD299" s="19">
        <v>0.111</v>
      </c>
      <c r="AE299" s="19">
        <v>0.109</v>
      </c>
      <c r="AF299" s="21">
        <f t="shared" si="72"/>
        <v>0.11</v>
      </c>
      <c r="AG299" s="30">
        <v>7.0999999999999994E-2</v>
      </c>
      <c r="AH299" s="30">
        <v>7.2999999999999995E-2</v>
      </c>
      <c r="AI299" s="21">
        <f t="shared" si="73"/>
        <v>7.1999999999999995E-2</v>
      </c>
      <c r="AJ299" s="30">
        <v>5.7000000000000002E-2</v>
      </c>
      <c r="AK299" s="30">
        <v>5.7000000000000002E-2</v>
      </c>
      <c r="AL299" s="21">
        <f t="shared" si="74"/>
        <v>5.7000000000000002E-2</v>
      </c>
      <c r="AM299" s="30">
        <v>8.5690000000000008</v>
      </c>
      <c r="AN299" s="30">
        <v>8.5069999999999997</v>
      </c>
      <c r="AO299" s="31">
        <f t="shared" si="75"/>
        <v>8.5380000000000003</v>
      </c>
      <c r="AP299" s="66">
        <v>0.1351</v>
      </c>
      <c r="AQ299" s="66">
        <v>0.13339999999999999</v>
      </c>
      <c r="AR299" s="65">
        <f t="shared" si="76"/>
        <v>0.1343</v>
      </c>
      <c r="AS299" s="3">
        <v>7.96</v>
      </c>
      <c r="AT299" s="95">
        <v>2.08</v>
      </c>
      <c r="AU299" s="95"/>
    </row>
    <row r="300" spans="1:47">
      <c r="A300" s="7" t="s">
        <v>24</v>
      </c>
      <c r="B300" s="5" t="s">
        <v>89</v>
      </c>
      <c r="C300" s="6" t="s">
        <v>42</v>
      </c>
      <c r="D300" s="6" t="s">
        <v>36</v>
      </c>
      <c r="E300" s="23">
        <v>25.2</v>
      </c>
      <c r="F300" s="23">
        <v>7.3</v>
      </c>
      <c r="G300" s="41">
        <v>133</v>
      </c>
      <c r="H300" s="23">
        <v>7.4</v>
      </c>
      <c r="I300" s="23">
        <v>0.9</v>
      </c>
      <c r="J300" s="23">
        <v>4.2</v>
      </c>
      <c r="K300" s="37">
        <v>3.2</v>
      </c>
      <c r="L300" s="37">
        <v>3</v>
      </c>
      <c r="M300" s="37"/>
      <c r="N300" s="38">
        <f t="shared" si="66"/>
        <v>3.1</v>
      </c>
      <c r="O300" s="37">
        <v>2.4</v>
      </c>
      <c r="P300" s="37">
        <v>2.4</v>
      </c>
      <c r="Q300" s="38">
        <f t="shared" si="67"/>
        <v>2.4</v>
      </c>
      <c r="R300" s="17">
        <v>2.052</v>
      </c>
      <c r="S300" s="17">
        <v>2.08</v>
      </c>
      <c r="T300" s="22">
        <f t="shared" si="68"/>
        <v>2.0659999999999998</v>
      </c>
      <c r="U300" s="34">
        <v>1.827</v>
      </c>
      <c r="V300" s="34">
        <v>1.8109999999999999</v>
      </c>
      <c r="W300" s="22">
        <f t="shared" si="69"/>
        <v>1.819</v>
      </c>
      <c r="X300" s="17">
        <v>4.2000000000000003E-2</v>
      </c>
      <c r="Y300" s="17">
        <v>4.4999999999999998E-2</v>
      </c>
      <c r="Z300" s="21">
        <f t="shared" si="70"/>
        <v>4.3999999999999997E-2</v>
      </c>
      <c r="AA300" s="30">
        <v>1.63</v>
      </c>
      <c r="AB300" s="30">
        <v>1.641</v>
      </c>
      <c r="AC300" s="31">
        <f t="shared" si="71"/>
        <v>1.6359999999999999</v>
      </c>
      <c r="AD300" s="19">
        <v>0.10100000000000001</v>
      </c>
      <c r="AE300" s="19">
        <v>0.10100000000000001</v>
      </c>
      <c r="AF300" s="21">
        <f t="shared" si="72"/>
        <v>0.10100000000000001</v>
      </c>
      <c r="AG300" s="30">
        <v>6.3E-2</v>
      </c>
      <c r="AH300" s="30">
        <v>6.2E-2</v>
      </c>
      <c r="AI300" s="21">
        <f t="shared" si="73"/>
        <v>6.3E-2</v>
      </c>
      <c r="AJ300" s="30">
        <v>4.8000000000000001E-2</v>
      </c>
      <c r="AK300" s="30">
        <v>4.8000000000000001E-2</v>
      </c>
      <c r="AL300" s="21">
        <f t="shared" si="74"/>
        <v>4.8000000000000001E-2</v>
      </c>
      <c r="AM300" s="30">
        <v>7.1310000000000002</v>
      </c>
      <c r="AN300" s="30">
        <v>7.2220000000000004</v>
      </c>
      <c r="AO300" s="31">
        <f t="shared" si="75"/>
        <v>7.1769999999999996</v>
      </c>
      <c r="AP300" s="66">
        <v>8.6699999999999999E-2</v>
      </c>
      <c r="AQ300" s="66">
        <v>8.5000000000000006E-2</v>
      </c>
      <c r="AR300" s="65">
        <f t="shared" si="76"/>
        <v>8.5900000000000004E-2</v>
      </c>
      <c r="AS300" s="3">
        <v>7.24</v>
      </c>
      <c r="AT300" s="95">
        <v>3.14</v>
      </c>
    </row>
    <row r="301" spans="1:47">
      <c r="A301" s="7" t="s">
        <v>25</v>
      </c>
      <c r="B301" s="5" t="s">
        <v>90</v>
      </c>
      <c r="C301" s="6" t="s">
        <v>44</v>
      </c>
      <c r="D301" s="6" t="s">
        <v>91</v>
      </c>
      <c r="E301" s="23">
        <v>24.5</v>
      </c>
      <c r="F301" s="23">
        <v>7.2</v>
      </c>
      <c r="G301" s="41">
        <v>251</v>
      </c>
      <c r="H301" s="23">
        <v>7.7</v>
      </c>
      <c r="I301" s="23">
        <v>0.7</v>
      </c>
      <c r="J301" s="23">
        <v>4.3</v>
      </c>
      <c r="K301" s="37">
        <v>3.2</v>
      </c>
      <c r="L301" s="37">
        <v>3.2</v>
      </c>
      <c r="M301" s="37"/>
      <c r="N301" s="38">
        <f t="shared" si="66"/>
        <v>3.2</v>
      </c>
      <c r="O301" s="37">
        <v>3</v>
      </c>
      <c r="P301" s="37">
        <v>2.9</v>
      </c>
      <c r="Q301" s="38">
        <f t="shared" si="67"/>
        <v>3</v>
      </c>
      <c r="R301" s="17">
        <v>4.6040000000000001</v>
      </c>
      <c r="S301" s="17">
        <v>4.5890000000000004</v>
      </c>
      <c r="T301" s="22">
        <f t="shared" si="68"/>
        <v>4.5970000000000004</v>
      </c>
      <c r="U301" s="34">
        <v>4.2290000000000001</v>
      </c>
      <c r="V301" s="34">
        <v>4.2270000000000003</v>
      </c>
      <c r="W301" s="22">
        <f t="shared" si="69"/>
        <v>4.2279999999999998</v>
      </c>
      <c r="X301" s="17">
        <v>3.4000000000000002E-2</v>
      </c>
      <c r="Y301" s="17">
        <v>2.4E-2</v>
      </c>
      <c r="Z301" s="21">
        <f t="shared" si="70"/>
        <v>2.9000000000000001E-2</v>
      </c>
      <c r="AA301" s="30">
        <v>4.0599999999999996</v>
      </c>
      <c r="AB301" s="30">
        <v>4.1319999999999997</v>
      </c>
      <c r="AC301" s="31">
        <f t="shared" si="71"/>
        <v>4.0960000000000001</v>
      </c>
      <c r="AD301" s="19">
        <v>9.2999999999999999E-2</v>
      </c>
      <c r="AE301" s="19">
        <v>9.0999999999999998E-2</v>
      </c>
      <c r="AF301" s="21">
        <f t="shared" si="72"/>
        <v>9.1999999999999998E-2</v>
      </c>
      <c r="AG301" s="30">
        <v>7.3999999999999996E-2</v>
      </c>
      <c r="AH301" s="30">
        <v>7.5999999999999998E-2</v>
      </c>
      <c r="AI301" s="21">
        <f t="shared" si="73"/>
        <v>7.4999999999999997E-2</v>
      </c>
      <c r="AJ301" s="30">
        <v>0.06</v>
      </c>
      <c r="AK301" s="30">
        <v>6.2E-2</v>
      </c>
      <c r="AL301" s="21">
        <f t="shared" si="74"/>
        <v>6.0999999999999999E-2</v>
      </c>
      <c r="AM301" s="30">
        <v>12.225</v>
      </c>
      <c r="AN301" s="30">
        <v>12.566000000000001</v>
      </c>
      <c r="AO301" s="31">
        <f t="shared" si="75"/>
        <v>12.396000000000001</v>
      </c>
      <c r="AP301" s="66">
        <v>9.8100000000000007E-2</v>
      </c>
      <c r="AQ301" s="66">
        <v>9.6799999999999997E-2</v>
      </c>
      <c r="AR301" s="65">
        <f t="shared" si="76"/>
        <v>9.7500000000000003E-2</v>
      </c>
      <c r="AS301" s="3">
        <v>7.14</v>
      </c>
      <c r="AT301" s="95">
        <v>3.58</v>
      </c>
      <c r="AU301" s="95"/>
    </row>
    <row r="302" spans="1:47">
      <c r="A302" s="7" t="s">
        <v>26</v>
      </c>
      <c r="B302" s="5" t="s">
        <v>92</v>
      </c>
      <c r="C302" s="6" t="s">
        <v>93</v>
      </c>
      <c r="D302" s="6" t="s">
        <v>36</v>
      </c>
      <c r="E302" s="23">
        <v>25.6</v>
      </c>
      <c r="F302" s="23">
        <v>7.2</v>
      </c>
      <c r="G302" s="41">
        <v>131</v>
      </c>
      <c r="H302" s="23">
        <v>7</v>
      </c>
      <c r="I302" s="23">
        <v>1</v>
      </c>
      <c r="J302" s="23">
        <v>4.5</v>
      </c>
      <c r="K302" s="37">
        <v>3.2</v>
      </c>
      <c r="L302" s="37">
        <v>3.2</v>
      </c>
      <c r="M302" s="37"/>
      <c r="N302" s="38">
        <f t="shared" si="66"/>
        <v>3.2</v>
      </c>
      <c r="O302" s="37">
        <v>2.7</v>
      </c>
      <c r="P302" s="37">
        <v>2.6</v>
      </c>
      <c r="Q302" s="38">
        <f t="shared" si="67"/>
        <v>2.7</v>
      </c>
      <c r="R302" s="17">
        <v>2.1749999999999998</v>
      </c>
      <c r="S302" s="17">
        <v>2.1190000000000002</v>
      </c>
      <c r="T302" s="22">
        <f t="shared" si="68"/>
        <v>2.1469999999999998</v>
      </c>
      <c r="U302" s="34">
        <v>1.85</v>
      </c>
      <c r="V302" s="34">
        <v>1.837</v>
      </c>
      <c r="W302" s="22">
        <f t="shared" si="69"/>
        <v>1.8440000000000001</v>
      </c>
      <c r="X302" s="17">
        <v>6.0999999999999999E-2</v>
      </c>
      <c r="Y302" s="17">
        <v>5.8999999999999997E-2</v>
      </c>
      <c r="Z302" s="21">
        <f t="shared" si="70"/>
        <v>0.06</v>
      </c>
      <c r="AA302" s="30">
        <v>1.613</v>
      </c>
      <c r="AB302" s="30">
        <v>1.613</v>
      </c>
      <c r="AC302" s="31">
        <f t="shared" si="71"/>
        <v>1.613</v>
      </c>
      <c r="AD302" s="19">
        <v>0.104</v>
      </c>
      <c r="AE302" s="19">
        <v>9.8000000000000004E-2</v>
      </c>
      <c r="AF302" s="21">
        <f t="shared" si="72"/>
        <v>0.10100000000000001</v>
      </c>
      <c r="AG302" s="30">
        <v>7.0999999999999994E-2</v>
      </c>
      <c r="AH302" s="30">
        <v>7.0999999999999994E-2</v>
      </c>
      <c r="AI302" s="21">
        <f t="shared" si="73"/>
        <v>7.0999999999999994E-2</v>
      </c>
      <c r="AJ302" s="30">
        <v>5.3999999999999999E-2</v>
      </c>
      <c r="AK302" s="30">
        <v>5.5E-2</v>
      </c>
      <c r="AL302" s="21">
        <f t="shared" si="74"/>
        <v>5.5E-2</v>
      </c>
      <c r="AM302" s="30">
        <v>7.1369999999999996</v>
      </c>
      <c r="AN302" s="30">
        <v>7.1710000000000003</v>
      </c>
      <c r="AO302" s="31">
        <f t="shared" si="75"/>
        <v>7.1539999999999999</v>
      </c>
      <c r="AP302" s="66">
        <v>9.6199999999999994E-2</v>
      </c>
      <c r="AQ302" s="66">
        <v>9.4299999999999995E-2</v>
      </c>
      <c r="AR302" s="65">
        <f t="shared" si="76"/>
        <v>9.5299999999999996E-2</v>
      </c>
      <c r="AS302" s="3">
        <v>6.6</v>
      </c>
      <c r="AT302" s="95">
        <v>2.85</v>
      </c>
    </row>
    <row r="303" spans="1:47">
      <c r="A303" s="7" t="s">
        <v>27</v>
      </c>
      <c r="B303" s="5" t="s">
        <v>94</v>
      </c>
      <c r="C303" s="6" t="s">
        <v>95</v>
      </c>
      <c r="D303" s="6" t="s">
        <v>96</v>
      </c>
      <c r="E303" s="23">
        <v>23</v>
      </c>
      <c r="F303" s="23">
        <v>7.5</v>
      </c>
      <c r="G303" s="41">
        <v>178</v>
      </c>
      <c r="H303" s="23">
        <v>7.5</v>
      </c>
      <c r="I303" s="23">
        <v>0.6</v>
      </c>
      <c r="J303" s="23">
        <v>3.8</v>
      </c>
      <c r="K303" s="37">
        <v>2.9</v>
      </c>
      <c r="L303" s="37">
        <v>2.7</v>
      </c>
      <c r="M303" s="37"/>
      <c r="N303" s="38">
        <f t="shared" si="66"/>
        <v>2.8</v>
      </c>
      <c r="O303" s="37">
        <v>2.4</v>
      </c>
      <c r="P303" s="37">
        <v>2.2999999999999998</v>
      </c>
      <c r="Q303" s="38">
        <f t="shared" si="67"/>
        <v>2.4</v>
      </c>
      <c r="R303" s="17">
        <v>4.4050000000000002</v>
      </c>
      <c r="S303" s="17">
        <v>4.3929999999999998</v>
      </c>
      <c r="T303" s="22">
        <f t="shared" si="68"/>
        <v>4.399</v>
      </c>
      <c r="U303" s="34">
        <v>4.1449999999999996</v>
      </c>
      <c r="V303" s="34">
        <v>4.1280000000000001</v>
      </c>
      <c r="W303" s="22">
        <f t="shared" si="69"/>
        <v>4.1369999999999996</v>
      </c>
      <c r="X303" s="17">
        <v>2.4E-2</v>
      </c>
      <c r="Y303" s="17">
        <v>2.1000000000000001E-2</v>
      </c>
      <c r="Z303" s="21">
        <f t="shared" si="70"/>
        <v>2.3E-2</v>
      </c>
      <c r="AA303" s="30">
        <v>3.9940000000000002</v>
      </c>
      <c r="AB303" s="30">
        <v>4.0129999999999999</v>
      </c>
      <c r="AC303" s="31">
        <f t="shared" si="71"/>
        <v>4.0039999999999996</v>
      </c>
      <c r="AD303" s="19">
        <v>5.7000000000000002E-2</v>
      </c>
      <c r="AE303" s="19">
        <v>5.6000000000000001E-2</v>
      </c>
      <c r="AF303" s="21">
        <f t="shared" si="72"/>
        <v>5.7000000000000002E-2</v>
      </c>
      <c r="AG303" s="30">
        <v>4.4999999999999998E-2</v>
      </c>
      <c r="AH303" s="30">
        <v>4.2999999999999997E-2</v>
      </c>
      <c r="AI303" s="21">
        <f t="shared" si="73"/>
        <v>4.3999999999999997E-2</v>
      </c>
      <c r="AJ303" s="30">
        <v>2.8000000000000001E-2</v>
      </c>
      <c r="AK303" s="30">
        <v>2.8000000000000001E-2</v>
      </c>
      <c r="AL303" s="21">
        <f t="shared" si="74"/>
        <v>2.8000000000000001E-2</v>
      </c>
      <c r="AM303" s="30">
        <v>9.0589999999999993</v>
      </c>
      <c r="AN303" s="30">
        <v>9.1720000000000006</v>
      </c>
      <c r="AO303" s="31">
        <f t="shared" si="75"/>
        <v>9.1159999999999997</v>
      </c>
      <c r="AP303" s="66">
        <v>7.8200000000000006E-2</v>
      </c>
      <c r="AQ303" s="66">
        <v>7.5200000000000003E-2</v>
      </c>
      <c r="AR303" s="65">
        <f t="shared" si="76"/>
        <v>7.6700000000000004E-2</v>
      </c>
      <c r="AS303" s="3">
        <v>8.7899999999999991</v>
      </c>
      <c r="AT303" s="95">
        <v>2.52</v>
      </c>
      <c r="AU303" s="95"/>
    </row>
    <row r="304" spans="1:47">
      <c r="A304" s="7" t="s">
        <v>28</v>
      </c>
      <c r="B304" s="5" t="s">
        <v>97</v>
      </c>
      <c r="C304" s="6" t="s">
        <v>98</v>
      </c>
      <c r="D304" s="6" t="s">
        <v>36</v>
      </c>
      <c r="E304" s="23">
        <v>25.6</v>
      </c>
      <c r="F304" s="23">
        <v>6.7</v>
      </c>
      <c r="G304" s="41">
        <v>132</v>
      </c>
      <c r="H304" s="23">
        <v>7.5</v>
      </c>
      <c r="I304" s="23">
        <v>0.9</v>
      </c>
      <c r="J304" s="23">
        <v>4.9000000000000004</v>
      </c>
      <c r="K304" s="37">
        <v>3.4</v>
      </c>
      <c r="L304" s="37">
        <v>3.5</v>
      </c>
      <c r="M304" s="37"/>
      <c r="N304" s="38">
        <f t="shared" si="66"/>
        <v>3.5</v>
      </c>
      <c r="O304" s="37">
        <v>2.7</v>
      </c>
      <c r="P304" s="37">
        <v>2.7</v>
      </c>
      <c r="Q304" s="38">
        <f t="shared" si="67"/>
        <v>2.7</v>
      </c>
      <c r="R304" s="17">
        <v>2.2130000000000001</v>
      </c>
      <c r="S304" s="17">
        <v>2.2250000000000001</v>
      </c>
      <c r="T304" s="22">
        <f t="shared" si="68"/>
        <v>2.2189999999999999</v>
      </c>
      <c r="U304" s="34">
        <v>1.885</v>
      </c>
      <c r="V304" s="34">
        <v>1.8680000000000001</v>
      </c>
      <c r="W304" s="22">
        <f t="shared" si="69"/>
        <v>1.877</v>
      </c>
      <c r="X304" s="17">
        <v>6.0999999999999999E-2</v>
      </c>
      <c r="Y304" s="17">
        <v>6.5000000000000002E-2</v>
      </c>
      <c r="Z304" s="21">
        <f t="shared" si="70"/>
        <v>6.3E-2</v>
      </c>
      <c r="AA304" s="30">
        <v>1.7170000000000001</v>
      </c>
      <c r="AB304" s="30">
        <v>1.7270000000000001</v>
      </c>
      <c r="AC304" s="31">
        <f t="shared" si="71"/>
        <v>1.722</v>
      </c>
      <c r="AD304" s="19">
        <v>0.11600000000000001</v>
      </c>
      <c r="AE304" s="19">
        <v>0.11899999999999999</v>
      </c>
      <c r="AF304" s="21">
        <f t="shared" si="72"/>
        <v>0.11799999999999999</v>
      </c>
      <c r="AG304" s="30">
        <v>6.8000000000000005E-2</v>
      </c>
      <c r="AH304" s="30">
        <v>7.0999999999999994E-2</v>
      </c>
      <c r="AI304" s="21">
        <f t="shared" si="73"/>
        <v>7.0000000000000007E-2</v>
      </c>
      <c r="AJ304" s="30">
        <v>5.6000000000000001E-2</v>
      </c>
      <c r="AK304" s="30">
        <v>0.06</v>
      </c>
      <c r="AL304" s="21">
        <f t="shared" si="74"/>
        <v>5.8000000000000003E-2</v>
      </c>
      <c r="AM304" s="30">
        <v>7.0049999999999999</v>
      </c>
      <c r="AN304" s="30">
        <v>7.0579999999999998</v>
      </c>
      <c r="AO304" s="31">
        <f t="shared" si="75"/>
        <v>7.032</v>
      </c>
      <c r="AP304" s="66">
        <v>9.5899999999999999E-2</v>
      </c>
      <c r="AQ304" s="66">
        <v>9.3799999999999994E-2</v>
      </c>
      <c r="AR304" s="65">
        <f t="shared" si="76"/>
        <v>9.4899999999999998E-2</v>
      </c>
      <c r="AS304" s="3">
        <v>6.78</v>
      </c>
      <c r="AT304" s="95">
        <v>3</v>
      </c>
    </row>
    <row r="305" spans="1:47">
      <c r="A305" s="7" t="s">
        <v>29</v>
      </c>
      <c r="B305" s="5" t="s">
        <v>99</v>
      </c>
      <c r="C305" s="6" t="s">
        <v>44</v>
      </c>
      <c r="D305" s="6" t="s">
        <v>100</v>
      </c>
      <c r="E305" s="23">
        <v>24.7</v>
      </c>
      <c r="F305" s="23">
        <v>7.1</v>
      </c>
      <c r="G305" s="41">
        <v>186</v>
      </c>
      <c r="H305" s="23">
        <v>6.5</v>
      </c>
      <c r="I305" s="23">
        <v>0.8</v>
      </c>
      <c r="J305" s="23">
        <v>5.7</v>
      </c>
      <c r="K305" s="37">
        <v>3.8</v>
      </c>
      <c r="L305" s="37">
        <v>4</v>
      </c>
      <c r="M305" s="37"/>
      <c r="N305" s="38">
        <f t="shared" si="66"/>
        <v>3.9</v>
      </c>
      <c r="O305" s="37">
        <v>3.2</v>
      </c>
      <c r="P305" s="37">
        <v>3.3</v>
      </c>
      <c r="Q305" s="38">
        <f t="shared" si="67"/>
        <v>3.3</v>
      </c>
      <c r="R305" s="17">
        <v>2.6659999999999999</v>
      </c>
      <c r="S305" s="17">
        <v>2.6789999999999998</v>
      </c>
      <c r="T305" s="22">
        <f t="shared" si="68"/>
        <v>2.673</v>
      </c>
      <c r="U305" s="34">
        <v>2.2509999999999999</v>
      </c>
      <c r="V305" s="34">
        <v>2.2669999999999999</v>
      </c>
      <c r="W305" s="22">
        <f t="shared" si="69"/>
        <v>2.2589999999999999</v>
      </c>
      <c r="X305" s="17">
        <v>4.2999999999999997E-2</v>
      </c>
      <c r="Y305" s="17">
        <v>4.3999999999999997E-2</v>
      </c>
      <c r="Z305" s="21">
        <f t="shared" si="70"/>
        <v>4.3999999999999997E-2</v>
      </c>
      <c r="AA305" s="30">
        <v>1.968</v>
      </c>
      <c r="AB305" s="30">
        <v>1.984</v>
      </c>
      <c r="AC305" s="31">
        <f t="shared" si="71"/>
        <v>1.976</v>
      </c>
      <c r="AD305" s="19">
        <v>0.16200000000000001</v>
      </c>
      <c r="AE305" s="19">
        <v>0.159</v>
      </c>
      <c r="AF305" s="21">
        <f t="shared" si="72"/>
        <v>0.161</v>
      </c>
      <c r="AG305" s="30">
        <v>9.4E-2</v>
      </c>
      <c r="AH305" s="30">
        <v>9.2999999999999999E-2</v>
      </c>
      <c r="AI305" s="21">
        <f t="shared" si="73"/>
        <v>9.4E-2</v>
      </c>
      <c r="AJ305" s="30">
        <v>7.8E-2</v>
      </c>
      <c r="AK305" s="30">
        <v>7.4999999999999997E-2</v>
      </c>
      <c r="AL305" s="21">
        <f t="shared" si="74"/>
        <v>7.6999999999999999E-2</v>
      </c>
      <c r="AM305" s="30">
        <v>10.999000000000001</v>
      </c>
      <c r="AN305" s="30">
        <v>11.074</v>
      </c>
      <c r="AO305" s="31">
        <f t="shared" si="75"/>
        <v>11.037000000000001</v>
      </c>
      <c r="AP305" s="66">
        <v>0.10829999999999999</v>
      </c>
      <c r="AQ305" s="66">
        <v>0.1062</v>
      </c>
      <c r="AR305" s="65">
        <f t="shared" si="76"/>
        <v>0.10730000000000001</v>
      </c>
      <c r="AS305" s="3">
        <v>9.19</v>
      </c>
      <c r="AT305" s="95">
        <v>3.3</v>
      </c>
      <c r="AU305" s="95"/>
    </row>
    <row r="306" spans="1:47">
      <c r="A306" s="7" t="s">
        <v>30</v>
      </c>
      <c r="B306" s="5" t="s">
        <v>101</v>
      </c>
      <c r="C306" s="6" t="s">
        <v>44</v>
      </c>
      <c r="D306" s="6" t="s">
        <v>160</v>
      </c>
      <c r="E306" s="23">
        <v>26.8</v>
      </c>
      <c r="F306" s="23">
        <v>8.8000000000000007</v>
      </c>
      <c r="G306" s="41">
        <v>254</v>
      </c>
      <c r="H306" s="23">
        <v>6.7</v>
      </c>
      <c r="I306" s="23">
        <v>1.2</v>
      </c>
      <c r="J306" s="23">
        <v>5</v>
      </c>
      <c r="K306" s="37">
        <v>3.6</v>
      </c>
      <c r="L306" s="37">
        <v>3.6</v>
      </c>
      <c r="M306" s="37"/>
      <c r="N306" s="38">
        <f t="shared" si="66"/>
        <v>3.6</v>
      </c>
      <c r="O306" s="37">
        <v>3.2</v>
      </c>
      <c r="P306" s="37">
        <v>3.2</v>
      </c>
      <c r="Q306" s="38">
        <f t="shared" si="67"/>
        <v>3.2</v>
      </c>
      <c r="R306" s="17">
        <v>2.9420000000000002</v>
      </c>
      <c r="S306" s="17">
        <v>3.0030000000000001</v>
      </c>
      <c r="T306" s="22">
        <f t="shared" si="68"/>
        <v>2.9729999999999999</v>
      </c>
      <c r="U306" s="34">
        <v>2.6059999999999999</v>
      </c>
      <c r="V306" s="34">
        <v>2.6160000000000001</v>
      </c>
      <c r="W306" s="22">
        <f t="shared" si="69"/>
        <v>2.6110000000000002</v>
      </c>
      <c r="X306" s="17">
        <v>0.153</v>
      </c>
      <c r="Y306" s="17">
        <v>0.157</v>
      </c>
      <c r="Z306" s="21">
        <f t="shared" si="70"/>
        <v>0.155</v>
      </c>
      <c r="AA306" s="30">
        <v>2.1280000000000001</v>
      </c>
      <c r="AB306" s="30">
        <v>2.157</v>
      </c>
      <c r="AC306" s="31">
        <f t="shared" si="71"/>
        <v>2.1429999999999998</v>
      </c>
      <c r="AD306" s="19">
        <v>0.14899999999999999</v>
      </c>
      <c r="AE306" s="19">
        <v>0.15</v>
      </c>
      <c r="AF306" s="21">
        <f t="shared" si="72"/>
        <v>0.15</v>
      </c>
      <c r="AG306" s="30">
        <v>0.105</v>
      </c>
      <c r="AH306" s="30">
        <v>0.105</v>
      </c>
      <c r="AI306" s="21">
        <f t="shared" si="73"/>
        <v>0.105</v>
      </c>
      <c r="AJ306" s="30">
        <v>9.0999999999999998E-2</v>
      </c>
      <c r="AK306" s="30">
        <v>9.1999999999999998E-2</v>
      </c>
      <c r="AL306" s="21">
        <f t="shared" si="74"/>
        <v>9.1999999999999998E-2</v>
      </c>
      <c r="AM306" s="30">
        <v>19.585000000000001</v>
      </c>
      <c r="AN306" s="30">
        <v>19.908999999999999</v>
      </c>
      <c r="AO306" s="31">
        <f t="shared" si="75"/>
        <v>19.747</v>
      </c>
      <c r="AP306" s="66">
        <v>0.1077</v>
      </c>
      <c r="AQ306" s="66">
        <v>0.1052</v>
      </c>
      <c r="AR306" s="65">
        <f t="shared" si="76"/>
        <v>0.1065</v>
      </c>
      <c r="AS306" s="3">
        <v>8.93</v>
      </c>
      <c r="AT306" s="95">
        <v>2.5</v>
      </c>
      <c r="AU306" s="95"/>
    </row>
    <row r="307" spans="1:47">
      <c r="A307" s="7" t="s">
        <v>31</v>
      </c>
      <c r="B307" s="5" t="s">
        <v>102</v>
      </c>
      <c r="C307" s="6" t="s">
        <v>103</v>
      </c>
      <c r="D307" s="6" t="s">
        <v>36</v>
      </c>
      <c r="E307" s="23">
        <v>26</v>
      </c>
      <c r="F307" s="23">
        <v>6.9</v>
      </c>
      <c r="G307" s="41">
        <v>133</v>
      </c>
      <c r="H307" s="23">
        <v>7.6</v>
      </c>
      <c r="I307" s="23">
        <v>0.9</v>
      </c>
      <c r="J307" s="23">
        <v>4.7</v>
      </c>
      <c r="K307" s="37">
        <v>3.3</v>
      </c>
      <c r="L307" s="37">
        <v>3.2</v>
      </c>
      <c r="M307" s="37"/>
      <c r="N307" s="38">
        <f t="shared" si="66"/>
        <v>3.3</v>
      </c>
      <c r="O307" s="37">
        <v>2.7</v>
      </c>
      <c r="P307" s="37">
        <v>2.8</v>
      </c>
      <c r="Q307" s="38">
        <f t="shared" si="67"/>
        <v>2.8</v>
      </c>
      <c r="R307" s="17">
        <v>2.3460000000000001</v>
      </c>
      <c r="S307" s="17">
        <v>2.3759999999999999</v>
      </c>
      <c r="T307" s="22">
        <f t="shared" si="68"/>
        <v>2.3610000000000002</v>
      </c>
      <c r="U307" s="34">
        <v>1.8979999999999999</v>
      </c>
      <c r="V307" s="34">
        <v>1.9179999999999999</v>
      </c>
      <c r="W307" s="22">
        <f t="shared" si="69"/>
        <v>1.9079999999999999</v>
      </c>
      <c r="X307" s="17">
        <v>4.3999999999999997E-2</v>
      </c>
      <c r="Y307" s="17">
        <v>0.04</v>
      </c>
      <c r="Z307" s="21">
        <f t="shared" si="70"/>
        <v>4.2000000000000003E-2</v>
      </c>
      <c r="AA307" s="30">
        <v>1.69</v>
      </c>
      <c r="AB307" s="30">
        <v>1.7430000000000001</v>
      </c>
      <c r="AC307" s="31">
        <f t="shared" si="71"/>
        <v>1.7170000000000001</v>
      </c>
      <c r="AD307" s="19">
        <v>0.115</v>
      </c>
      <c r="AE307" s="19">
        <v>0.114</v>
      </c>
      <c r="AF307" s="21">
        <f t="shared" si="72"/>
        <v>0.115</v>
      </c>
      <c r="AG307" s="30">
        <v>7.3999999999999996E-2</v>
      </c>
      <c r="AH307" s="30">
        <v>7.1999999999999995E-2</v>
      </c>
      <c r="AI307" s="21">
        <f t="shared" si="73"/>
        <v>7.2999999999999995E-2</v>
      </c>
      <c r="AJ307" s="30">
        <v>5.7000000000000002E-2</v>
      </c>
      <c r="AK307" s="30">
        <v>5.7000000000000002E-2</v>
      </c>
      <c r="AL307" s="21">
        <f t="shared" si="74"/>
        <v>5.7000000000000002E-2</v>
      </c>
      <c r="AM307" s="30">
        <v>7.0140000000000002</v>
      </c>
      <c r="AN307" s="30">
        <v>7.2530000000000001</v>
      </c>
      <c r="AO307" s="31">
        <f t="shared" si="75"/>
        <v>7.1340000000000003</v>
      </c>
      <c r="AP307" s="66">
        <v>9.8799999999999999E-2</v>
      </c>
      <c r="AQ307" s="66">
        <v>9.6600000000000005E-2</v>
      </c>
      <c r="AR307" s="65">
        <f t="shared" si="76"/>
        <v>9.7699999999999995E-2</v>
      </c>
      <c r="AS307" s="3">
        <v>6.89</v>
      </c>
      <c r="AT307" s="95">
        <v>2.83</v>
      </c>
    </row>
    <row r="308" spans="1:47">
      <c r="A308" s="7" t="s">
        <v>32</v>
      </c>
      <c r="B308" s="5" t="s">
        <v>104</v>
      </c>
      <c r="C308" s="6" t="s">
        <v>44</v>
      </c>
      <c r="D308" s="6" t="s">
        <v>105</v>
      </c>
      <c r="E308" s="23">
        <v>27.2</v>
      </c>
      <c r="F308" s="23">
        <v>6.9</v>
      </c>
      <c r="G308" s="41">
        <v>186</v>
      </c>
      <c r="H308" s="23">
        <v>6.4</v>
      </c>
      <c r="I308" s="23">
        <v>1.1000000000000001</v>
      </c>
      <c r="J308" s="23">
        <v>6.3</v>
      </c>
      <c r="K308" s="37">
        <v>4.5999999999999996</v>
      </c>
      <c r="L308" s="37">
        <v>4.3</v>
      </c>
      <c r="M308" s="37"/>
      <c r="N308" s="38">
        <f t="shared" si="66"/>
        <v>4.5</v>
      </c>
      <c r="O308" s="37">
        <v>3.7</v>
      </c>
      <c r="P308" s="37">
        <v>3.9</v>
      </c>
      <c r="Q308" s="38">
        <f t="shared" si="67"/>
        <v>3.8</v>
      </c>
      <c r="R308" s="17">
        <v>2.198</v>
      </c>
      <c r="S308" s="17">
        <v>2.2599999999999998</v>
      </c>
      <c r="T308" s="22">
        <f t="shared" si="68"/>
        <v>2.2290000000000001</v>
      </c>
      <c r="U308" s="34">
        <v>1.88</v>
      </c>
      <c r="V308" s="34">
        <v>1.877</v>
      </c>
      <c r="W308" s="22">
        <f t="shared" si="69"/>
        <v>1.879</v>
      </c>
      <c r="X308" s="17">
        <v>5.8000000000000003E-2</v>
      </c>
      <c r="Y308" s="17">
        <v>5.1999999999999998E-2</v>
      </c>
      <c r="Z308" s="21">
        <f t="shared" si="70"/>
        <v>5.5E-2</v>
      </c>
      <c r="AA308" s="30">
        <v>1.5329999999999999</v>
      </c>
      <c r="AB308" s="30">
        <v>1.528</v>
      </c>
      <c r="AC308" s="31">
        <f t="shared" si="71"/>
        <v>1.5309999999999999</v>
      </c>
      <c r="AD308" s="19">
        <v>0.16900000000000001</v>
      </c>
      <c r="AE308" s="19">
        <v>0.16800000000000001</v>
      </c>
      <c r="AF308" s="21">
        <f t="shared" si="72"/>
        <v>0.16900000000000001</v>
      </c>
      <c r="AG308" s="30">
        <v>9.7000000000000003E-2</v>
      </c>
      <c r="AH308" s="30">
        <v>9.4E-2</v>
      </c>
      <c r="AI308" s="21">
        <f t="shared" si="73"/>
        <v>9.6000000000000002E-2</v>
      </c>
      <c r="AJ308" s="30">
        <v>0.08</v>
      </c>
      <c r="AK308" s="30">
        <v>0.08</v>
      </c>
      <c r="AL308" s="21">
        <f t="shared" si="74"/>
        <v>0.08</v>
      </c>
      <c r="AM308" s="30">
        <v>10.694000000000001</v>
      </c>
      <c r="AN308" s="30">
        <v>10.756</v>
      </c>
      <c r="AO308" s="31">
        <f t="shared" si="75"/>
        <v>10.725</v>
      </c>
      <c r="AP308" s="66">
        <v>0.13089999999999999</v>
      </c>
      <c r="AQ308" s="66">
        <v>0.12809999999999999</v>
      </c>
      <c r="AR308" s="65">
        <f t="shared" si="76"/>
        <v>0.1295</v>
      </c>
      <c r="AS308" s="3">
        <v>8.34</v>
      </c>
      <c r="AT308" s="95">
        <v>3.67</v>
      </c>
      <c r="AU308" s="95"/>
    </row>
    <row r="309" spans="1:47">
      <c r="A309" s="7" t="s">
        <v>33</v>
      </c>
      <c r="B309" s="5" t="s">
        <v>106</v>
      </c>
      <c r="C309" s="6" t="s">
        <v>107</v>
      </c>
      <c r="D309" s="6" t="s">
        <v>36</v>
      </c>
      <c r="E309" s="23">
        <v>26.5</v>
      </c>
      <c r="F309" s="23">
        <v>7.3</v>
      </c>
      <c r="G309" s="41">
        <v>139</v>
      </c>
      <c r="H309" s="23">
        <v>7.7</v>
      </c>
      <c r="I309" s="23">
        <v>1</v>
      </c>
      <c r="J309" s="23">
        <v>5</v>
      </c>
      <c r="K309" s="37">
        <v>3.6</v>
      </c>
      <c r="L309" s="37">
        <v>3.6</v>
      </c>
      <c r="M309" s="37"/>
      <c r="N309" s="38">
        <f t="shared" si="66"/>
        <v>3.6</v>
      </c>
      <c r="O309" s="37">
        <v>2.8</v>
      </c>
      <c r="P309" s="37">
        <v>2.7</v>
      </c>
      <c r="Q309" s="38">
        <f t="shared" si="67"/>
        <v>2.8</v>
      </c>
      <c r="R309" s="17">
        <v>2.4470000000000001</v>
      </c>
      <c r="S309" s="17">
        <v>2.496</v>
      </c>
      <c r="T309" s="22">
        <f t="shared" si="68"/>
        <v>2.472</v>
      </c>
      <c r="U309" s="34">
        <v>1.9990000000000001</v>
      </c>
      <c r="V309" s="34">
        <v>1.992</v>
      </c>
      <c r="W309" s="22">
        <f t="shared" si="69"/>
        <v>1.996</v>
      </c>
      <c r="X309" s="17">
        <v>4.2000000000000003E-2</v>
      </c>
      <c r="Y309" s="17">
        <v>4.5999999999999999E-2</v>
      </c>
      <c r="Z309" s="21">
        <f t="shared" si="70"/>
        <v>4.3999999999999997E-2</v>
      </c>
      <c r="AA309" s="30">
        <v>1.7769999999999999</v>
      </c>
      <c r="AB309" s="30">
        <v>1.8260000000000001</v>
      </c>
      <c r="AC309" s="31">
        <f t="shared" si="71"/>
        <v>1.802</v>
      </c>
      <c r="AD309" s="19">
        <v>0.14699999999999999</v>
      </c>
      <c r="AE309" s="19">
        <v>0.14799999999999999</v>
      </c>
      <c r="AF309" s="21">
        <f t="shared" si="72"/>
        <v>0.14799999999999999</v>
      </c>
      <c r="AG309" s="30">
        <v>8.7999999999999995E-2</v>
      </c>
      <c r="AH309" s="30">
        <v>8.6999999999999994E-2</v>
      </c>
      <c r="AI309" s="21">
        <f t="shared" si="73"/>
        <v>8.7999999999999995E-2</v>
      </c>
      <c r="AJ309" s="30">
        <v>7.2999999999999995E-2</v>
      </c>
      <c r="AK309" s="30">
        <v>7.2999999999999995E-2</v>
      </c>
      <c r="AL309" s="21">
        <f t="shared" si="74"/>
        <v>7.2999999999999995E-2</v>
      </c>
      <c r="AM309" s="30">
        <v>7.33</v>
      </c>
      <c r="AN309" s="30">
        <v>7.532</v>
      </c>
      <c r="AO309" s="31">
        <f t="shared" si="75"/>
        <v>7.431</v>
      </c>
      <c r="AP309" s="66">
        <v>0.1031</v>
      </c>
      <c r="AQ309" s="66">
        <v>0.1016</v>
      </c>
      <c r="AR309" s="65">
        <f t="shared" si="76"/>
        <v>0.1024</v>
      </c>
      <c r="AS309" s="3">
        <v>7.51</v>
      </c>
      <c r="AT309" s="95">
        <v>2.96</v>
      </c>
    </row>
    <row r="310" spans="1:47">
      <c r="A310" s="7" t="s">
        <v>137</v>
      </c>
      <c r="B310" s="5" t="s">
        <v>138</v>
      </c>
      <c r="C310" s="6"/>
      <c r="D310" s="6"/>
      <c r="E310" s="23">
        <v>23.8</v>
      </c>
      <c r="F310" s="23">
        <v>6.8</v>
      </c>
      <c r="G310" s="41">
        <v>288</v>
      </c>
      <c r="H310" s="23">
        <v>7.3</v>
      </c>
      <c r="I310" s="23">
        <v>9.1999999999999993</v>
      </c>
      <c r="J310" s="23">
        <v>13.8</v>
      </c>
      <c r="K310" s="37">
        <v>8</v>
      </c>
      <c r="L310" s="37">
        <v>9.9</v>
      </c>
      <c r="M310" s="37">
        <v>9.3000000000000007</v>
      </c>
      <c r="N310" s="38">
        <f t="shared" si="66"/>
        <v>9.1</v>
      </c>
      <c r="O310" s="37">
        <v>4.5999999999999996</v>
      </c>
      <c r="P310" s="37">
        <v>4.5999999999999996</v>
      </c>
      <c r="Q310" s="38">
        <f t="shared" si="67"/>
        <v>4.5999999999999996</v>
      </c>
      <c r="R310" s="17">
        <v>8.73</v>
      </c>
      <c r="S310" s="17">
        <v>8.7210000000000001</v>
      </c>
      <c r="T310" s="22">
        <f t="shared" si="68"/>
        <v>8.7260000000000009</v>
      </c>
      <c r="U310" s="34">
        <v>7.3</v>
      </c>
      <c r="V310" s="34">
        <v>7.3339999999999996</v>
      </c>
      <c r="W310" s="22">
        <f t="shared" si="69"/>
        <v>7.3170000000000002</v>
      </c>
      <c r="X310" s="17">
        <v>3.2919999999999998</v>
      </c>
      <c r="Y310" s="17">
        <v>3.3260000000000001</v>
      </c>
      <c r="Z310" s="21">
        <f t="shared" si="70"/>
        <v>3.3090000000000002</v>
      </c>
      <c r="AA310" s="30">
        <v>3.508</v>
      </c>
      <c r="AB310" s="30">
        <v>3.5419999999999998</v>
      </c>
      <c r="AC310" s="31">
        <f t="shared" si="71"/>
        <v>3.5249999999999999</v>
      </c>
      <c r="AD310" s="19">
        <v>0.70699999999999996</v>
      </c>
      <c r="AE310" s="19">
        <v>0.67400000000000004</v>
      </c>
      <c r="AF310" s="21">
        <f t="shared" si="72"/>
        <v>0.69099999999999995</v>
      </c>
      <c r="AG310" s="30">
        <v>0.26</v>
      </c>
      <c r="AH310" s="30">
        <v>0.26100000000000001</v>
      </c>
      <c r="AI310" s="21">
        <f t="shared" si="73"/>
        <v>0.26100000000000001</v>
      </c>
      <c r="AJ310" s="30">
        <v>0.23300000000000001</v>
      </c>
      <c r="AK310" s="30">
        <v>0.23300000000000001</v>
      </c>
      <c r="AL310" s="21">
        <f t="shared" si="74"/>
        <v>0.23300000000000001</v>
      </c>
      <c r="AM310" s="30">
        <v>28.785</v>
      </c>
      <c r="AN310" s="30">
        <v>29.123000000000001</v>
      </c>
      <c r="AO310" s="31">
        <f t="shared" si="75"/>
        <v>28.954000000000001</v>
      </c>
      <c r="AP310" s="66">
        <v>0.10009999999999999</v>
      </c>
      <c r="AQ310" s="66">
        <v>9.8100000000000007E-2</v>
      </c>
      <c r="AR310" s="65">
        <f t="shared" si="76"/>
        <v>9.9099999999999994E-2</v>
      </c>
      <c r="AS310" s="3">
        <v>12.29</v>
      </c>
      <c r="AT310" s="96">
        <v>2.3199999999999998</v>
      </c>
      <c r="AU310" s="3"/>
    </row>
    <row r="311" spans="1:47">
      <c r="A311" s="7" t="s">
        <v>162</v>
      </c>
      <c r="B311" s="5" t="s">
        <v>163</v>
      </c>
      <c r="C311" s="6"/>
      <c r="D311" s="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37">
        <v>1.1000000000000001</v>
      </c>
      <c r="P311" s="37">
        <v>1</v>
      </c>
      <c r="Q311" s="38">
        <f t="shared" si="67"/>
        <v>1.1000000000000001</v>
      </c>
      <c r="R311" s="4"/>
      <c r="S311" s="4"/>
      <c r="T311" s="4"/>
      <c r="U311" s="55">
        <v>24.536999999999999</v>
      </c>
      <c r="V311" s="4">
        <v>24.591999999999999</v>
      </c>
      <c r="W311" s="22">
        <f t="shared" si="69"/>
        <v>24.565000000000001</v>
      </c>
      <c r="X311" s="4"/>
      <c r="Y311" s="4"/>
      <c r="Z311" s="4"/>
      <c r="AA311" s="34">
        <v>24.472000000000001</v>
      </c>
      <c r="AB311" s="34">
        <v>24.364999999999998</v>
      </c>
      <c r="AC311" s="31">
        <f t="shared" si="71"/>
        <v>24.419</v>
      </c>
      <c r="AD311" s="4"/>
      <c r="AE311" s="4"/>
      <c r="AF311" s="5"/>
      <c r="AG311" s="5">
        <v>0.218</v>
      </c>
      <c r="AH311" s="5">
        <v>0.22500000000000001</v>
      </c>
      <c r="AI311" s="21">
        <f t="shared" si="73"/>
        <v>0.222</v>
      </c>
      <c r="AJ311" s="5">
        <v>0.20499999999999999</v>
      </c>
      <c r="AK311" s="5">
        <v>0.20100000000000001</v>
      </c>
      <c r="AL311" s="21">
        <f t="shared" si="74"/>
        <v>0.20300000000000001</v>
      </c>
      <c r="AM311" s="52">
        <v>42.9</v>
      </c>
      <c r="AN311" s="52">
        <v>42.804000000000002</v>
      </c>
      <c r="AO311" s="61">
        <f t="shared" si="75"/>
        <v>42.851999999999997</v>
      </c>
      <c r="AP311" s="67">
        <v>1.9099999999999999E-2</v>
      </c>
      <c r="AQ311" s="67">
        <v>1.9E-2</v>
      </c>
      <c r="AR311" s="68">
        <f t="shared" si="76"/>
        <v>1.9099999999999999E-2</v>
      </c>
      <c r="AS311" s="3"/>
      <c r="AT311" s="96"/>
    </row>
    <row r="312" spans="1:47" s="1" customFormat="1">
      <c r="A312" s="71" t="s">
        <v>118</v>
      </c>
      <c r="B312" s="73" t="s">
        <v>119</v>
      </c>
      <c r="C312" s="74" t="s">
        <v>120</v>
      </c>
      <c r="D312" s="74" t="s">
        <v>121</v>
      </c>
      <c r="E312" s="73" t="s">
        <v>122</v>
      </c>
      <c r="F312" s="73"/>
      <c r="G312" s="73"/>
      <c r="H312" s="73"/>
      <c r="I312" s="69" t="s">
        <v>123</v>
      </c>
      <c r="J312" s="79" t="s">
        <v>133</v>
      </c>
      <c r="K312" s="76" t="s">
        <v>124</v>
      </c>
      <c r="L312" s="77"/>
      <c r="M312" s="78"/>
      <c r="N312" s="76" t="s">
        <v>125</v>
      </c>
      <c r="O312" s="77"/>
      <c r="P312" s="78"/>
      <c r="Q312" s="76" t="s">
        <v>135</v>
      </c>
      <c r="R312" s="77"/>
      <c r="S312" s="78"/>
      <c r="T312" s="76" t="s">
        <v>126</v>
      </c>
      <c r="U312" s="77"/>
      <c r="V312" s="78"/>
      <c r="W312" s="76" t="s">
        <v>127</v>
      </c>
      <c r="X312" s="77"/>
      <c r="Y312" s="78"/>
      <c r="Z312" s="76" t="s">
        <v>128</v>
      </c>
      <c r="AA312" s="77"/>
      <c r="AB312" s="78"/>
      <c r="AC312" s="76" t="s">
        <v>129</v>
      </c>
      <c r="AD312" s="77"/>
      <c r="AE312" s="78"/>
      <c r="AF312" s="76" t="s">
        <v>130</v>
      </c>
      <c r="AG312" s="77"/>
      <c r="AH312" s="78"/>
      <c r="AI312" s="76" t="s">
        <v>131</v>
      </c>
      <c r="AJ312" s="77"/>
      <c r="AK312" s="78"/>
      <c r="AL312" s="76" t="s">
        <v>132</v>
      </c>
      <c r="AM312" s="77"/>
      <c r="AN312" s="78"/>
      <c r="AO312" s="76" t="s">
        <v>134</v>
      </c>
      <c r="AP312" s="77"/>
      <c r="AQ312" s="78"/>
    </row>
    <row r="313" spans="1:47" s="1" customFormat="1" ht="17.25" thickBot="1">
      <c r="A313" s="72"/>
      <c r="B313" s="70"/>
      <c r="C313" s="75"/>
      <c r="D313" s="75"/>
      <c r="E313" s="12" t="s">
        <v>111</v>
      </c>
      <c r="F313" s="12" t="s">
        <v>110</v>
      </c>
      <c r="G313" s="12" t="s">
        <v>113</v>
      </c>
      <c r="H313" s="12" t="s">
        <v>112</v>
      </c>
      <c r="I313" s="70"/>
      <c r="J313" s="80"/>
      <c r="K313" s="13" t="s">
        <v>115</v>
      </c>
      <c r="L313" s="13" t="s">
        <v>116</v>
      </c>
      <c r="M313" s="12" t="s">
        <v>114</v>
      </c>
      <c r="N313" s="13" t="s">
        <v>115</v>
      </c>
      <c r="O313" s="13" t="s">
        <v>116</v>
      </c>
      <c r="P313" s="12" t="s">
        <v>114</v>
      </c>
      <c r="Q313" s="13" t="s">
        <v>115</v>
      </c>
      <c r="R313" s="13" t="s">
        <v>116</v>
      </c>
      <c r="S313" s="12" t="s">
        <v>114</v>
      </c>
      <c r="T313" s="13" t="s">
        <v>115</v>
      </c>
      <c r="U313" s="13" t="s">
        <v>116</v>
      </c>
      <c r="V313" s="12" t="s">
        <v>114</v>
      </c>
      <c r="W313" s="13" t="s">
        <v>115</v>
      </c>
      <c r="X313" s="13" t="s">
        <v>116</v>
      </c>
      <c r="Y313" s="12" t="s">
        <v>114</v>
      </c>
      <c r="Z313" s="13" t="s">
        <v>115</v>
      </c>
      <c r="AA313" s="13" t="s">
        <v>116</v>
      </c>
      <c r="AB313" s="12" t="s">
        <v>114</v>
      </c>
      <c r="AC313" s="13" t="s">
        <v>115</v>
      </c>
      <c r="AD313" s="13" t="s">
        <v>116</v>
      </c>
      <c r="AE313" s="12" t="s">
        <v>114</v>
      </c>
      <c r="AF313" s="13" t="s">
        <v>115</v>
      </c>
      <c r="AG313" s="13" t="s">
        <v>116</v>
      </c>
      <c r="AH313" s="12" t="s">
        <v>114</v>
      </c>
      <c r="AI313" s="13" t="s">
        <v>115</v>
      </c>
      <c r="AJ313" s="13" t="s">
        <v>116</v>
      </c>
      <c r="AK313" s="12" t="s">
        <v>114</v>
      </c>
      <c r="AL313" s="13" t="s">
        <v>115</v>
      </c>
      <c r="AM313" s="13" t="s">
        <v>116</v>
      </c>
      <c r="AN313" s="12" t="s">
        <v>114</v>
      </c>
      <c r="AO313" s="13" t="s">
        <v>115</v>
      </c>
      <c r="AP313" s="13" t="s">
        <v>116</v>
      </c>
      <c r="AQ313" s="12" t="s">
        <v>114</v>
      </c>
      <c r="AR313" s="1" t="s">
        <v>166</v>
      </c>
      <c r="AS313" s="1" t="s">
        <v>167</v>
      </c>
    </row>
    <row r="314" spans="1:47">
      <c r="A314" s="8" t="s">
        <v>136</v>
      </c>
      <c r="B314" s="9" t="s">
        <v>34</v>
      </c>
      <c r="C314" s="10" t="s">
        <v>35</v>
      </c>
      <c r="D314" s="10" t="s">
        <v>36</v>
      </c>
      <c r="E314" s="20">
        <v>26.9</v>
      </c>
      <c r="F314" s="20">
        <v>7.6</v>
      </c>
      <c r="G314" s="40">
        <v>120</v>
      </c>
      <c r="H314" s="20">
        <v>8</v>
      </c>
      <c r="I314" s="20">
        <v>0.9</v>
      </c>
      <c r="J314" s="20">
        <v>3.8</v>
      </c>
      <c r="K314" s="14">
        <v>2.6</v>
      </c>
      <c r="L314" s="14">
        <v>2.7</v>
      </c>
      <c r="M314" s="20">
        <f>ROUND(AVERAGE(K314:L314),1)</f>
        <v>2.7</v>
      </c>
      <c r="N314" s="36">
        <v>2.1</v>
      </c>
      <c r="O314" s="36">
        <v>2.1</v>
      </c>
      <c r="P314" s="38">
        <f>ROUND(AVERAGE(N314:O314),1)</f>
        <v>2.1</v>
      </c>
      <c r="Q314" s="16">
        <v>0.58699999999999997</v>
      </c>
      <c r="R314" s="16">
        <v>0.58699999999999997</v>
      </c>
      <c r="S314" s="22">
        <f>ROUND(AVERAGE(Q314:R314),3)</f>
        <v>0.58699999999999997</v>
      </c>
      <c r="T314" s="16">
        <v>0.53</v>
      </c>
      <c r="U314" s="16">
        <v>0.52800000000000002</v>
      </c>
      <c r="V314" s="22">
        <f>ROUND(AVERAGE(T314:U314),3)</f>
        <v>0.52900000000000003</v>
      </c>
      <c r="W314" s="16">
        <v>0.03</v>
      </c>
      <c r="X314" s="16">
        <v>0.03</v>
      </c>
      <c r="Y314" s="21">
        <f>ROUND(AVERAGE(W314:X314),3)</f>
        <v>0.03</v>
      </c>
      <c r="Z314" s="18">
        <v>0.36499999999999999</v>
      </c>
      <c r="AA314" s="18">
        <v>0.373</v>
      </c>
      <c r="AB314" s="21">
        <f>ROUND(AVERAGE(Z314:AA314),3)</f>
        <v>0.36899999999999999</v>
      </c>
      <c r="AC314" s="18">
        <v>6.4000000000000001E-2</v>
      </c>
      <c r="AD314" s="18">
        <v>5.5E-2</v>
      </c>
      <c r="AE314" s="21">
        <f>ROUND(AVERAGE(AC314:AD314),3)</f>
        <v>0.06</v>
      </c>
      <c r="AF314" s="29">
        <v>3.5999999999999997E-2</v>
      </c>
      <c r="AG314" s="29">
        <v>3.7999999999999999E-2</v>
      </c>
      <c r="AH314" s="21">
        <f>ROUND(AVERAGE(AF314:AG314),3)</f>
        <v>3.6999999999999998E-2</v>
      </c>
      <c r="AI314" s="18">
        <v>2.4E-2</v>
      </c>
      <c r="AJ314" s="18">
        <v>2.5999999999999999E-2</v>
      </c>
      <c r="AK314" s="21">
        <f>ROUND(AVERAGE(AI314:AJ314),3)</f>
        <v>2.5000000000000001E-2</v>
      </c>
      <c r="AL314" s="18">
        <v>9.5549999999999997</v>
      </c>
      <c r="AM314" s="18">
        <v>9.3989999999999991</v>
      </c>
      <c r="AN314" s="21">
        <f>ROUND(AVERAGE(AL314:AM314),3)</f>
        <v>9.4770000000000003</v>
      </c>
      <c r="AO314" s="44">
        <v>7.7799999999999994E-2</v>
      </c>
      <c r="AP314" s="44">
        <v>7.4899999999999994E-2</v>
      </c>
      <c r="AQ314" s="45">
        <f>ROUND(AVERAGE(AO314:AP314),4)</f>
        <v>7.6399999999999996E-2</v>
      </c>
      <c r="AR314" s="93">
        <v>6.48</v>
      </c>
      <c r="AS314" s="93">
        <v>4.3099999999999996</v>
      </c>
    </row>
    <row r="315" spans="1:47">
      <c r="A315" s="7" t="s">
        <v>37</v>
      </c>
      <c r="B315" s="5" t="s">
        <v>38</v>
      </c>
      <c r="C315" s="6" t="s">
        <v>39</v>
      </c>
      <c r="D315" s="6" t="s">
        <v>40</v>
      </c>
      <c r="E315" s="23">
        <v>27.5</v>
      </c>
      <c r="F315" s="23">
        <v>7.1</v>
      </c>
      <c r="G315" s="41">
        <v>90</v>
      </c>
      <c r="H315" s="23">
        <v>7</v>
      </c>
      <c r="I315" s="23">
        <v>0.8</v>
      </c>
      <c r="J315" s="23">
        <v>3.8</v>
      </c>
      <c r="K315" s="15">
        <v>2.6</v>
      </c>
      <c r="L315" s="15">
        <v>2.6</v>
      </c>
      <c r="M315" s="20">
        <f t="shared" ref="M315:M351" si="77">ROUND(AVERAGE(K315:L315),1)</f>
        <v>2.6</v>
      </c>
      <c r="N315" s="37">
        <v>2.2000000000000002</v>
      </c>
      <c r="O315" s="37">
        <v>2.1</v>
      </c>
      <c r="P315" s="38">
        <f t="shared" ref="P315:P351" si="78">ROUND(AVERAGE(N315:O315),1)</f>
        <v>2.2000000000000002</v>
      </c>
      <c r="Q315" s="17">
        <v>0.83399999999999996</v>
      </c>
      <c r="R315" s="17">
        <v>0.83</v>
      </c>
      <c r="S315" s="22">
        <f t="shared" ref="S315:S351" si="79">ROUND(AVERAGE(Q315:R315),3)</f>
        <v>0.83199999999999996</v>
      </c>
      <c r="T315" s="17">
        <v>0.78400000000000003</v>
      </c>
      <c r="U315" s="17">
        <v>0.8</v>
      </c>
      <c r="V315" s="22">
        <f t="shared" ref="V315:V351" si="80">ROUND(AVERAGE(T315:U315),3)</f>
        <v>0.79200000000000004</v>
      </c>
      <c r="W315" s="17">
        <v>3.2000000000000001E-2</v>
      </c>
      <c r="X315" s="17">
        <v>5.1999999999999998E-2</v>
      </c>
      <c r="Y315" s="21">
        <f t="shared" ref="Y315:Y351" si="81">ROUND(AVERAGE(W315:X315),3)</f>
        <v>4.2000000000000003E-2</v>
      </c>
      <c r="Z315" s="19">
        <v>0.61799999999999999</v>
      </c>
      <c r="AA315" s="19">
        <v>0.627</v>
      </c>
      <c r="AB315" s="21">
        <f t="shared" ref="AB315:AB351" si="82">ROUND(AVERAGE(Z315:AA315),3)</f>
        <v>0.623</v>
      </c>
      <c r="AC315" s="19">
        <v>3.7999999999999999E-2</v>
      </c>
      <c r="AD315" s="19">
        <v>3.2000000000000001E-2</v>
      </c>
      <c r="AE315" s="21">
        <f t="shared" ref="AE315:AE351" si="83">ROUND(AVERAGE(AC315:AD315),3)</f>
        <v>3.5000000000000003E-2</v>
      </c>
      <c r="AF315" s="30">
        <v>0.02</v>
      </c>
      <c r="AG315" s="30">
        <v>1.7999999999999999E-2</v>
      </c>
      <c r="AH315" s="21">
        <f t="shared" ref="AH315:AH351" si="84">ROUND(AVERAGE(AF315:AG315),3)</f>
        <v>1.9E-2</v>
      </c>
      <c r="AI315" s="19">
        <v>4.0000000000000001E-3</v>
      </c>
      <c r="AJ315" s="19">
        <v>7.0000000000000001E-3</v>
      </c>
      <c r="AK315" s="21">
        <f t="shared" ref="AK315:AK351" si="85">ROUND(AVERAGE(AI315:AJ315),3)</f>
        <v>6.0000000000000001E-3</v>
      </c>
      <c r="AL315" s="19">
        <v>4.9539999999999997</v>
      </c>
      <c r="AM315" s="19">
        <v>4.9589999999999996</v>
      </c>
      <c r="AN315" s="21">
        <f t="shared" ref="AN315:AN351" si="86">ROUND(AVERAGE(AL315:AM315),3)</f>
        <v>4.9569999999999999</v>
      </c>
      <c r="AO315" s="46">
        <v>6.9199999999999998E-2</v>
      </c>
      <c r="AP315" s="46">
        <v>6.7699999999999996E-2</v>
      </c>
      <c r="AQ315" s="45">
        <f t="shared" ref="AQ315:AQ351" si="87">ROUND(AVERAGE(AO315:AP315),4)</f>
        <v>6.8500000000000005E-2</v>
      </c>
      <c r="AR315" s="94">
        <v>7.12</v>
      </c>
      <c r="AS315" s="94">
        <v>2.0699999999999998</v>
      </c>
    </row>
    <row r="316" spans="1:47">
      <c r="A316" s="7" t="s">
        <v>0</v>
      </c>
      <c r="B316" s="5" t="s">
        <v>41</v>
      </c>
      <c r="C316" s="6" t="s">
        <v>42</v>
      </c>
      <c r="D316" s="6" t="s">
        <v>36</v>
      </c>
      <c r="E316" s="23">
        <v>27.3</v>
      </c>
      <c r="F316" s="23">
        <v>7</v>
      </c>
      <c r="G316" s="41">
        <v>113</v>
      </c>
      <c r="H316" s="23">
        <v>8</v>
      </c>
      <c r="I316" s="23">
        <v>0.8</v>
      </c>
      <c r="J316" s="23">
        <v>3.7</v>
      </c>
      <c r="K316" s="15">
        <v>2.4</v>
      </c>
      <c r="L316" s="15">
        <v>2.6</v>
      </c>
      <c r="M316" s="20">
        <f t="shared" si="77"/>
        <v>2.5</v>
      </c>
      <c r="N316" s="37">
        <v>2.2000000000000002</v>
      </c>
      <c r="O316" s="37">
        <v>2</v>
      </c>
      <c r="P316" s="38">
        <f t="shared" si="78"/>
        <v>2.1</v>
      </c>
      <c r="Q316" s="17">
        <v>0.75800000000000001</v>
      </c>
      <c r="R316" s="17">
        <v>0.749</v>
      </c>
      <c r="S316" s="22">
        <f t="shared" si="79"/>
        <v>0.754</v>
      </c>
      <c r="T316" s="17">
        <v>0.70799999999999996</v>
      </c>
      <c r="U316" s="17">
        <v>0.69699999999999995</v>
      </c>
      <c r="V316" s="22">
        <f t="shared" si="80"/>
        <v>0.70299999999999996</v>
      </c>
      <c r="W316" s="17">
        <v>3.5000000000000003E-2</v>
      </c>
      <c r="X316" s="17">
        <v>3.6999999999999998E-2</v>
      </c>
      <c r="Y316" s="21">
        <f t="shared" si="81"/>
        <v>3.5999999999999997E-2</v>
      </c>
      <c r="Z316" s="19">
        <v>0.55000000000000004</v>
      </c>
      <c r="AA316" s="19">
        <v>0.55600000000000005</v>
      </c>
      <c r="AB316" s="21">
        <f t="shared" si="82"/>
        <v>0.55300000000000005</v>
      </c>
      <c r="AC316" s="19">
        <v>4.4999999999999998E-2</v>
      </c>
      <c r="AD316" s="19">
        <v>3.6999999999999998E-2</v>
      </c>
      <c r="AE316" s="21">
        <f t="shared" si="83"/>
        <v>4.1000000000000002E-2</v>
      </c>
      <c r="AF316" s="30">
        <v>2.1000000000000001E-2</v>
      </c>
      <c r="AG316" s="30">
        <v>0.02</v>
      </c>
      <c r="AH316" s="21">
        <f t="shared" si="84"/>
        <v>2.1000000000000001E-2</v>
      </c>
      <c r="AI316" s="19">
        <v>1.2999999999999999E-2</v>
      </c>
      <c r="AJ316" s="19">
        <v>0.01</v>
      </c>
      <c r="AK316" s="21">
        <f t="shared" si="85"/>
        <v>1.2E-2</v>
      </c>
      <c r="AL316" s="19">
        <v>7.2030000000000003</v>
      </c>
      <c r="AM316" s="19">
        <v>7.1909999999999998</v>
      </c>
      <c r="AN316" s="21">
        <f t="shared" si="86"/>
        <v>7.1970000000000001</v>
      </c>
      <c r="AO316" s="46">
        <v>6.7699999999999996E-2</v>
      </c>
      <c r="AP316" s="46">
        <v>6.6199999999999995E-2</v>
      </c>
      <c r="AQ316" s="45">
        <f t="shared" si="87"/>
        <v>6.7000000000000004E-2</v>
      </c>
      <c r="AR316" s="94">
        <v>7.98</v>
      </c>
      <c r="AS316" s="94">
        <v>3.39</v>
      </c>
    </row>
    <row r="317" spans="1:47">
      <c r="A317" s="7" t="s">
        <v>1</v>
      </c>
      <c r="B317" s="5" t="s">
        <v>43</v>
      </c>
      <c r="C317" s="6" t="s">
        <v>44</v>
      </c>
      <c r="D317" s="6" t="s">
        <v>45</v>
      </c>
      <c r="E317" s="23">
        <v>27.1</v>
      </c>
      <c r="F317" s="23">
        <v>7.2</v>
      </c>
      <c r="G317" s="41">
        <v>85</v>
      </c>
      <c r="H317" s="23">
        <v>7.6</v>
      </c>
      <c r="I317" s="23">
        <v>0.7</v>
      </c>
      <c r="J317" s="23">
        <v>4.0999999999999996</v>
      </c>
      <c r="K317" s="15">
        <v>2.7</v>
      </c>
      <c r="L317" s="15">
        <v>2.6</v>
      </c>
      <c r="M317" s="20">
        <f t="shared" si="77"/>
        <v>2.7</v>
      </c>
      <c r="N317" s="37">
        <v>2.6</v>
      </c>
      <c r="O317" s="37">
        <v>2.4</v>
      </c>
      <c r="P317" s="38">
        <f t="shared" si="78"/>
        <v>2.5</v>
      </c>
      <c r="Q317" s="17">
        <v>0.52700000000000002</v>
      </c>
      <c r="R317" s="17">
        <v>0.504</v>
      </c>
      <c r="S317" s="22">
        <f t="shared" si="79"/>
        <v>0.51600000000000001</v>
      </c>
      <c r="T317" s="17">
        <v>0.46300000000000002</v>
      </c>
      <c r="U317" s="17">
        <v>0.48099999999999998</v>
      </c>
      <c r="V317" s="22">
        <f t="shared" si="80"/>
        <v>0.47199999999999998</v>
      </c>
      <c r="W317" s="17">
        <v>5.2999999999999999E-2</v>
      </c>
      <c r="X317" s="17">
        <v>5.3999999999999999E-2</v>
      </c>
      <c r="Y317" s="21">
        <f t="shared" si="81"/>
        <v>5.3999999999999999E-2</v>
      </c>
      <c r="Z317" s="19">
        <v>0.30499999999999999</v>
      </c>
      <c r="AA317" s="19">
        <v>0.309</v>
      </c>
      <c r="AB317" s="21">
        <f t="shared" si="82"/>
        <v>0.307</v>
      </c>
      <c r="AC317" s="19">
        <v>4.2999999999999997E-2</v>
      </c>
      <c r="AD317" s="19">
        <v>3.6999999999999998E-2</v>
      </c>
      <c r="AE317" s="21">
        <f t="shared" si="83"/>
        <v>0.04</v>
      </c>
      <c r="AF317" s="30">
        <v>2.4E-2</v>
      </c>
      <c r="AG317" s="30">
        <v>2.5000000000000001E-2</v>
      </c>
      <c r="AH317" s="21">
        <f t="shared" si="84"/>
        <v>2.5000000000000001E-2</v>
      </c>
      <c r="AI317" s="19">
        <v>0.01</v>
      </c>
      <c r="AJ317" s="19">
        <v>0.01</v>
      </c>
      <c r="AK317" s="21">
        <f t="shared" si="85"/>
        <v>0.01</v>
      </c>
      <c r="AL317" s="19">
        <v>4.7670000000000003</v>
      </c>
      <c r="AM317" s="19">
        <v>4.7590000000000003</v>
      </c>
      <c r="AN317" s="21">
        <f t="shared" si="86"/>
        <v>4.7629999999999999</v>
      </c>
      <c r="AO317" s="46">
        <v>0.106</v>
      </c>
      <c r="AP317" s="46">
        <v>0.1037</v>
      </c>
      <c r="AQ317" s="45">
        <f t="shared" si="87"/>
        <v>0.10489999999999999</v>
      </c>
      <c r="AR317" s="94">
        <v>7.23</v>
      </c>
      <c r="AS317" s="94">
        <v>2.39</v>
      </c>
    </row>
    <row r="318" spans="1:47">
      <c r="A318" s="7" t="s">
        <v>2</v>
      </c>
      <c r="B318" s="5" t="s">
        <v>46</v>
      </c>
      <c r="C318" s="6" t="s">
        <v>47</v>
      </c>
      <c r="D318" s="6" t="s">
        <v>36</v>
      </c>
      <c r="E318" s="23">
        <v>27.9</v>
      </c>
      <c r="F318" s="23">
        <v>7.1</v>
      </c>
      <c r="G318" s="41">
        <v>111</v>
      </c>
      <c r="H318" s="23">
        <v>7.3</v>
      </c>
      <c r="I318" s="23">
        <v>0.9</v>
      </c>
      <c r="J318" s="23">
        <v>3.8</v>
      </c>
      <c r="K318" s="15">
        <v>2.5</v>
      </c>
      <c r="L318" s="15">
        <v>2.5</v>
      </c>
      <c r="M318" s="20">
        <f t="shared" si="77"/>
        <v>2.5</v>
      </c>
      <c r="N318" s="37">
        <v>2.2000000000000002</v>
      </c>
      <c r="O318" s="37">
        <v>2.1</v>
      </c>
      <c r="P318" s="38">
        <f t="shared" si="78"/>
        <v>2.2000000000000002</v>
      </c>
      <c r="Q318" s="17">
        <v>0.95099999999999996</v>
      </c>
      <c r="R318" s="17">
        <v>0.91700000000000004</v>
      </c>
      <c r="S318" s="22">
        <f t="shared" si="79"/>
        <v>0.93400000000000005</v>
      </c>
      <c r="T318" s="17">
        <v>0.86699999999999999</v>
      </c>
      <c r="U318" s="17">
        <v>0.85899999999999999</v>
      </c>
      <c r="V318" s="22">
        <f t="shared" si="80"/>
        <v>0.86299999999999999</v>
      </c>
      <c r="W318" s="17">
        <v>6.2E-2</v>
      </c>
      <c r="X318" s="17">
        <v>6.2E-2</v>
      </c>
      <c r="Y318" s="21">
        <f t="shared" si="81"/>
        <v>6.2E-2</v>
      </c>
      <c r="Z318" s="19">
        <v>0.65</v>
      </c>
      <c r="AA318" s="19">
        <v>0.66100000000000003</v>
      </c>
      <c r="AB318" s="21">
        <f t="shared" si="82"/>
        <v>0.65600000000000003</v>
      </c>
      <c r="AC318" s="19">
        <v>5.1999999999999998E-2</v>
      </c>
      <c r="AD318" s="19">
        <v>4.3999999999999997E-2</v>
      </c>
      <c r="AE318" s="21">
        <f t="shared" si="83"/>
        <v>4.8000000000000001E-2</v>
      </c>
      <c r="AF318" s="30">
        <v>2.7E-2</v>
      </c>
      <c r="AG318" s="30">
        <v>2.8000000000000001E-2</v>
      </c>
      <c r="AH318" s="21">
        <f t="shared" si="84"/>
        <v>2.8000000000000001E-2</v>
      </c>
      <c r="AI318" s="19">
        <v>1.6E-2</v>
      </c>
      <c r="AJ318" s="19">
        <v>1.4999999999999999E-2</v>
      </c>
      <c r="AK318" s="21">
        <f t="shared" si="85"/>
        <v>1.6E-2</v>
      </c>
      <c r="AL318" s="19">
        <v>7.1970000000000001</v>
      </c>
      <c r="AM318" s="19">
        <v>7.1859999999999999</v>
      </c>
      <c r="AN318" s="21">
        <f t="shared" si="86"/>
        <v>7.1920000000000002</v>
      </c>
      <c r="AO318" s="46">
        <v>7.0000000000000007E-2</v>
      </c>
      <c r="AP318" s="46">
        <v>7.0000000000000007E-2</v>
      </c>
      <c r="AQ318" s="45">
        <f t="shared" si="87"/>
        <v>7.0000000000000007E-2</v>
      </c>
      <c r="AR318" s="94">
        <v>7.29</v>
      </c>
      <c r="AS318" s="94">
        <v>5.72</v>
      </c>
    </row>
    <row r="319" spans="1:47">
      <c r="A319" s="7" t="s">
        <v>3</v>
      </c>
      <c r="B319" s="5" t="s">
        <v>46</v>
      </c>
      <c r="C319" s="6" t="s">
        <v>44</v>
      </c>
      <c r="D319" s="6" t="s">
        <v>48</v>
      </c>
      <c r="E319" s="23">
        <v>27.4</v>
      </c>
      <c r="F319" s="23">
        <v>7.4</v>
      </c>
      <c r="G319" s="41">
        <v>87</v>
      </c>
      <c r="H319" s="23">
        <v>9.6999999999999993</v>
      </c>
      <c r="I319" s="23">
        <v>0.9</v>
      </c>
      <c r="J319" s="23">
        <v>3.6</v>
      </c>
      <c r="K319" s="15">
        <v>2.5</v>
      </c>
      <c r="L319" s="15">
        <v>2.5</v>
      </c>
      <c r="M319" s="20">
        <f t="shared" si="77"/>
        <v>2.5</v>
      </c>
      <c r="N319" s="37">
        <v>2.1</v>
      </c>
      <c r="O319" s="37">
        <v>2</v>
      </c>
      <c r="P319" s="38">
        <f t="shared" si="78"/>
        <v>2.1</v>
      </c>
      <c r="Q319" s="17">
        <v>0.53800000000000003</v>
      </c>
      <c r="R319" s="17">
        <v>0.54100000000000004</v>
      </c>
      <c r="S319" s="22">
        <f t="shared" si="79"/>
        <v>0.54</v>
      </c>
      <c r="T319" s="17">
        <v>0.48199999999999998</v>
      </c>
      <c r="U319" s="17">
        <v>0.47799999999999998</v>
      </c>
      <c r="V319" s="22">
        <f t="shared" si="80"/>
        <v>0.48</v>
      </c>
      <c r="W319" s="17">
        <v>3.4000000000000002E-2</v>
      </c>
      <c r="X319" s="17">
        <v>3.6999999999999998E-2</v>
      </c>
      <c r="Y319" s="21">
        <f t="shared" si="81"/>
        <v>3.5999999999999997E-2</v>
      </c>
      <c r="Z319" s="19">
        <v>0.33600000000000002</v>
      </c>
      <c r="AA319" s="19">
        <v>0.34499999999999997</v>
      </c>
      <c r="AB319" s="21">
        <f t="shared" si="82"/>
        <v>0.34100000000000003</v>
      </c>
      <c r="AC319" s="19">
        <v>0.05</v>
      </c>
      <c r="AD319" s="19">
        <v>4.2999999999999997E-2</v>
      </c>
      <c r="AE319" s="21">
        <f t="shared" si="83"/>
        <v>4.7E-2</v>
      </c>
      <c r="AF319" s="30">
        <v>2.1000000000000001E-2</v>
      </c>
      <c r="AG319" s="30">
        <v>2.1000000000000001E-2</v>
      </c>
      <c r="AH319" s="21">
        <f t="shared" si="84"/>
        <v>2.1000000000000001E-2</v>
      </c>
      <c r="AI319" s="19">
        <v>1.0999999999999999E-2</v>
      </c>
      <c r="AJ319" s="19">
        <v>0.01</v>
      </c>
      <c r="AK319" s="21">
        <f t="shared" si="85"/>
        <v>1.0999999999999999E-2</v>
      </c>
      <c r="AL319" s="19">
        <v>4.8970000000000002</v>
      </c>
      <c r="AM319" s="19">
        <v>4.9089999999999998</v>
      </c>
      <c r="AN319" s="21">
        <f t="shared" si="86"/>
        <v>4.9029999999999996</v>
      </c>
      <c r="AO319" s="46">
        <v>6.8699999999999997E-2</v>
      </c>
      <c r="AP319" s="46">
        <v>6.8599999999999994E-2</v>
      </c>
      <c r="AQ319" s="45">
        <f t="shared" si="87"/>
        <v>6.8699999999999997E-2</v>
      </c>
      <c r="AR319" s="95">
        <v>6.94</v>
      </c>
      <c r="AS319" s="97">
        <v>4.21</v>
      </c>
    </row>
    <row r="320" spans="1:47">
      <c r="A320" s="7" t="s">
        <v>4</v>
      </c>
      <c r="B320" s="5" t="s">
        <v>49</v>
      </c>
      <c r="C320" s="6" t="s">
        <v>44</v>
      </c>
      <c r="D320" s="6" t="s">
        <v>36</v>
      </c>
      <c r="E320" s="23">
        <v>27.2</v>
      </c>
      <c r="F320" s="23">
        <v>7</v>
      </c>
      <c r="G320" s="41">
        <v>102</v>
      </c>
      <c r="H320" s="23">
        <v>7</v>
      </c>
      <c r="I320" s="23">
        <v>0.7</v>
      </c>
      <c r="J320" s="23">
        <v>3.6</v>
      </c>
      <c r="K320" s="15">
        <v>2.2000000000000002</v>
      </c>
      <c r="L320" s="15">
        <v>2.2999999999999998</v>
      </c>
      <c r="M320" s="20">
        <f t="shared" si="77"/>
        <v>2.2999999999999998</v>
      </c>
      <c r="N320" s="37">
        <v>2</v>
      </c>
      <c r="O320" s="37">
        <v>1.9</v>
      </c>
      <c r="P320" s="38">
        <f t="shared" si="78"/>
        <v>2</v>
      </c>
      <c r="Q320" s="17">
        <v>0.747</v>
      </c>
      <c r="R320" s="17">
        <v>0.755</v>
      </c>
      <c r="S320" s="22">
        <f t="shared" si="79"/>
        <v>0.751</v>
      </c>
      <c r="T320" s="17">
        <v>0.68300000000000005</v>
      </c>
      <c r="U320" s="17">
        <v>0.68799999999999994</v>
      </c>
      <c r="V320" s="22">
        <f t="shared" si="80"/>
        <v>0.68600000000000005</v>
      </c>
      <c r="W320" s="17">
        <v>3.5999999999999997E-2</v>
      </c>
      <c r="X320" s="17">
        <v>5.2999999999999999E-2</v>
      </c>
      <c r="Y320" s="21">
        <f t="shared" si="81"/>
        <v>4.4999999999999998E-2</v>
      </c>
      <c r="Z320" s="19">
        <v>0.53</v>
      </c>
      <c r="AA320" s="19">
        <v>0.53400000000000003</v>
      </c>
      <c r="AB320" s="21">
        <f t="shared" si="82"/>
        <v>0.53200000000000003</v>
      </c>
      <c r="AC320" s="19">
        <v>4.2000000000000003E-2</v>
      </c>
      <c r="AD320" s="19">
        <v>3.4000000000000002E-2</v>
      </c>
      <c r="AE320" s="21">
        <f t="shared" si="83"/>
        <v>3.7999999999999999E-2</v>
      </c>
      <c r="AF320" s="30">
        <v>0.02</v>
      </c>
      <c r="AG320" s="30">
        <v>2.1000000000000001E-2</v>
      </c>
      <c r="AH320" s="21">
        <f t="shared" si="84"/>
        <v>2.1000000000000001E-2</v>
      </c>
      <c r="AI320" s="19">
        <v>0.01</v>
      </c>
      <c r="AJ320" s="19">
        <v>8.0000000000000002E-3</v>
      </c>
      <c r="AK320" s="21">
        <f t="shared" si="85"/>
        <v>8.9999999999999993E-3</v>
      </c>
      <c r="AL320" s="19">
        <v>6.548</v>
      </c>
      <c r="AM320" s="19">
        <v>6.4720000000000004</v>
      </c>
      <c r="AN320" s="21">
        <f t="shared" si="86"/>
        <v>6.51</v>
      </c>
      <c r="AO320" s="46">
        <v>6.3100000000000003E-2</v>
      </c>
      <c r="AP320" s="46">
        <v>6.4699999999999994E-2</v>
      </c>
      <c r="AQ320" s="45">
        <f t="shared" si="87"/>
        <v>6.3899999999999998E-2</v>
      </c>
      <c r="AR320" s="95">
        <v>8.08</v>
      </c>
      <c r="AS320" s="97">
        <v>4.28</v>
      </c>
    </row>
    <row r="321" spans="1:45">
      <c r="A321" s="7" t="s">
        <v>5</v>
      </c>
      <c r="B321" s="5" t="s">
        <v>50</v>
      </c>
      <c r="C321" s="6" t="s">
        <v>42</v>
      </c>
      <c r="D321" s="6" t="s">
        <v>51</v>
      </c>
      <c r="E321" s="23">
        <v>27.1</v>
      </c>
      <c r="F321" s="23">
        <v>6.9</v>
      </c>
      <c r="G321" s="41">
        <v>132</v>
      </c>
      <c r="H321" s="23">
        <v>6.3</v>
      </c>
      <c r="I321" s="23">
        <v>0.7</v>
      </c>
      <c r="J321" s="23">
        <v>3.9</v>
      </c>
      <c r="K321" s="15">
        <v>2.6</v>
      </c>
      <c r="L321" s="15">
        <v>2.5</v>
      </c>
      <c r="M321" s="20">
        <f t="shared" si="77"/>
        <v>2.6</v>
      </c>
      <c r="N321" s="37">
        <v>2.2000000000000002</v>
      </c>
      <c r="O321" s="37">
        <v>2.1</v>
      </c>
      <c r="P321" s="38">
        <f t="shared" si="78"/>
        <v>2.2000000000000002</v>
      </c>
      <c r="Q321" s="17">
        <v>1.5329999999999999</v>
      </c>
      <c r="R321" s="17">
        <v>1.54</v>
      </c>
      <c r="S321" s="22">
        <f t="shared" si="79"/>
        <v>1.5369999999999999</v>
      </c>
      <c r="T321" s="17">
        <v>1.47</v>
      </c>
      <c r="U321" s="17">
        <v>1.4790000000000001</v>
      </c>
      <c r="V321" s="22">
        <f t="shared" si="80"/>
        <v>1.4750000000000001</v>
      </c>
      <c r="W321" s="17">
        <v>5.8999999999999997E-2</v>
      </c>
      <c r="X321" s="17">
        <v>5.6000000000000001E-2</v>
      </c>
      <c r="Y321" s="21">
        <f t="shared" si="81"/>
        <v>5.8000000000000003E-2</v>
      </c>
      <c r="Z321" s="19">
        <v>1.224</v>
      </c>
      <c r="AA321" s="19">
        <v>1.236</v>
      </c>
      <c r="AB321" s="21">
        <f t="shared" si="82"/>
        <v>1.23</v>
      </c>
      <c r="AC321" s="19">
        <v>0.21299999999999999</v>
      </c>
      <c r="AD321" s="19">
        <v>0.20499999999999999</v>
      </c>
      <c r="AE321" s="21">
        <f t="shared" si="83"/>
        <v>0.20899999999999999</v>
      </c>
      <c r="AF321" s="30">
        <v>0.184</v>
      </c>
      <c r="AG321" s="30">
        <v>0.19</v>
      </c>
      <c r="AH321" s="21">
        <f t="shared" si="84"/>
        <v>0.187</v>
      </c>
      <c r="AI321" s="19">
        <v>0.183</v>
      </c>
      <c r="AJ321" s="19">
        <v>0.183</v>
      </c>
      <c r="AK321" s="21">
        <f t="shared" si="85"/>
        <v>0.183</v>
      </c>
      <c r="AL321" s="19">
        <v>7.2750000000000004</v>
      </c>
      <c r="AM321" s="19">
        <v>7.2949999999999999</v>
      </c>
      <c r="AN321" s="21">
        <f t="shared" si="86"/>
        <v>7.2850000000000001</v>
      </c>
      <c r="AO321" s="46">
        <v>6.3299999999999995E-2</v>
      </c>
      <c r="AP321" s="46">
        <v>6.5199999999999994E-2</v>
      </c>
      <c r="AQ321" s="45">
        <f t="shared" si="87"/>
        <v>6.4299999999999996E-2</v>
      </c>
      <c r="AR321" s="95">
        <v>11.84</v>
      </c>
      <c r="AS321" s="97">
        <v>8.41</v>
      </c>
    </row>
    <row r="322" spans="1:45">
      <c r="A322" s="7" t="s">
        <v>6</v>
      </c>
      <c r="B322" s="5" t="s">
        <v>52</v>
      </c>
      <c r="C322" s="6" t="s">
        <v>53</v>
      </c>
      <c r="D322" s="6" t="s">
        <v>36</v>
      </c>
      <c r="E322" s="23">
        <v>28.9</v>
      </c>
      <c r="F322" s="23">
        <v>7.1</v>
      </c>
      <c r="G322" s="41">
        <v>116</v>
      </c>
      <c r="H322" s="23">
        <v>7.6</v>
      </c>
      <c r="I322" s="23">
        <v>0.8</v>
      </c>
      <c r="J322" s="23">
        <v>3.6</v>
      </c>
      <c r="K322" s="15">
        <v>2.2999999999999998</v>
      </c>
      <c r="L322" s="15">
        <v>2.2000000000000002</v>
      </c>
      <c r="M322" s="20">
        <f t="shared" si="77"/>
        <v>2.2999999999999998</v>
      </c>
      <c r="N322" s="37">
        <v>2</v>
      </c>
      <c r="O322" s="37">
        <v>2</v>
      </c>
      <c r="P322" s="38">
        <f t="shared" si="78"/>
        <v>2</v>
      </c>
      <c r="Q322" s="17">
        <v>1.131</v>
      </c>
      <c r="R322" s="17">
        <v>1.1359999999999999</v>
      </c>
      <c r="S322" s="22">
        <f t="shared" si="79"/>
        <v>1.1339999999999999</v>
      </c>
      <c r="T322" s="17">
        <v>1.06</v>
      </c>
      <c r="U322" s="17">
        <v>1.05</v>
      </c>
      <c r="V322" s="22">
        <f t="shared" si="80"/>
        <v>1.0549999999999999</v>
      </c>
      <c r="W322" s="17">
        <v>0.06</v>
      </c>
      <c r="X322" s="17">
        <v>6.3E-2</v>
      </c>
      <c r="Y322" s="21">
        <f t="shared" si="81"/>
        <v>6.2E-2</v>
      </c>
      <c r="Z322" s="19">
        <v>0.86699999999999999</v>
      </c>
      <c r="AA322" s="19">
        <v>0.87</v>
      </c>
      <c r="AB322" s="21">
        <f t="shared" si="82"/>
        <v>0.86899999999999999</v>
      </c>
      <c r="AC322" s="19">
        <v>0.10299999999999999</v>
      </c>
      <c r="AD322" s="19">
        <v>9.5000000000000001E-2</v>
      </c>
      <c r="AE322" s="21">
        <f t="shared" si="83"/>
        <v>9.9000000000000005E-2</v>
      </c>
      <c r="AF322" s="30">
        <v>8.4000000000000005E-2</v>
      </c>
      <c r="AG322" s="30">
        <v>8.2000000000000003E-2</v>
      </c>
      <c r="AH322" s="21">
        <f t="shared" si="84"/>
        <v>8.3000000000000004E-2</v>
      </c>
      <c r="AI322" s="19">
        <v>7.5999999999999998E-2</v>
      </c>
      <c r="AJ322" s="19">
        <v>7.6999999999999999E-2</v>
      </c>
      <c r="AK322" s="21">
        <f t="shared" si="85"/>
        <v>7.6999999999999999E-2</v>
      </c>
      <c r="AL322" s="19">
        <v>6.4480000000000004</v>
      </c>
      <c r="AM322" s="19">
        <v>6.47</v>
      </c>
      <c r="AN322" s="21">
        <f t="shared" si="86"/>
        <v>6.4589999999999996</v>
      </c>
      <c r="AO322" s="46">
        <v>5.4800000000000001E-2</v>
      </c>
      <c r="AP322" s="46">
        <v>5.7000000000000002E-2</v>
      </c>
      <c r="AQ322" s="45">
        <f t="shared" si="87"/>
        <v>5.5899999999999998E-2</v>
      </c>
      <c r="AR322" s="95">
        <v>9.56</v>
      </c>
      <c r="AS322" s="97">
        <v>7.55</v>
      </c>
    </row>
    <row r="323" spans="1:45">
      <c r="A323" s="7" t="s">
        <v>7</v>
      </c>
      <c r="B323" s="5" t="s">
        <v>54</v>
      </c>
      <c r="C323" s="6" t="s">
        <v>55</v>
      </c>
      <c r="D323" s="6" t="s">
        <v>56</v>
      </c>
      <c r="E323" s="23">
        <v>29.2</v>
      </c>
      <c r="F323" s="23">
        <v>7.2</v>
      </c>
      <c r="G323" s="41">
        <v>114</v>
      </c>
      <c r="H323" s="23">
        <v>8</v>
      </c>
      <c r="I323" s="23">
        <v>1.6</v>
      </c>
      <c r="J323" s="23">
        <v>4.5999999999999996</v>
      </c>
      <c r="K323" s="15">
        <v>3.3</v>
      </c>
      <c r="L323" s="15">
        <v>2.9</v>
      </c>
      <c r="M323" s="20">
        <f t="shared" si="77"/>
        <v>3.1</v>
      </c>
      <c r="N323" s="37">
        <v>2.6</v>
      </c>
      <c r="O323" s="37">
        <v>2.5</v>
      </c>
      <c r="P323" s="38">
        <f t="shared" si="78"/>
        <v>2.6</v>
      </c>
      <c r="Q323" s="17">
        <v>0.89300000000000002</v>
      </c>
      <c r="R323" s="17">
        <v>0.88600000000000001</v>
      </c>
      <c r="S323" s="22">
        <f t="shared" si="79"/>
        <v>0.89</v>
      </c>
      <c r="T323" s="17">
        <v>0.73799999999999999</v>
      </c>
      <c r="U323" s="17">
        <v>0.73699999999999999</v>
      </c>
      <c r="V323" s="22">
        <f t="shared" si="80"/>
        <v>0.73799999999999999</v>
      </c>
      <c r="W323" s="17">
        <v>7.0999999999999994E-2</v>
      </c>
      <c r="X323" s="17">
        <v>7.2999999999999995E-2</v>
      </c>
      <c r="Y323" s="21">
        <f t="shared" si="81"/>
        <v>7.1999999999999995E-2</v>
      </c>
      <c r="Z323" s="19">
        <v>0.48099999999999998</v>
      </c>
      <c r="AA323" s="19">
        <v>0.48499999999999999</v>
      </c>
      <c r="AB323" s="21">
        <f t="shared" si="82"/>
        <v>0.48299999999999998</v>
      </c>
      <c r="AC323" s="19">
        <v>0.13200000000000001</v>
      </c>
      <c r="AD323" s="19">
        <v>0.123</v>
      </c>
      <c r="AE323" s="21">
        <f t="shared" si="83"/>
        <v>0.128</v>
      </c>
      <c r="AF323" s="30">
        <v>8.6999999999999994E-2</v>
      </c>
      <c r="AG323" s="30">
        <v>8.6999999999999994E-2</v>
      </c>
      <c r="AH323" s="21">
        <f t="shared" si="84"/>
        <v>8.6999999999999994E-2</v>
      </c>
      <c r="AI323" s="19">
        <v>7.5999999999999998E-2</v>
      </c>
      <c r="AJ323" s="19">
        <v>7.6999999999999999E-2</v>
      </c>
      <c r="AK323" s="21">
        <f t="shared" si="85"/>
        <v>7.6999999999999999E-2</v>
      </c>
      <c r="AL323" s="19">
        <v>6.7510000000000003</v>
      </c>
      <c r="AM323" s="19">
        <v>6.7869999999999999</v>
      </c>
      <c r="AN323" s="21">
        <f t="shared" si="86"/>
        <v>6.7690000000000001</v>
      </c>
      <c r="AO323" s="46">
        <v>7.6799999999999993E-2</v>
      </c>
      <c r="AP323" s="46">
        <v>7.8399999999999997E-2</v>
      </c>
      <c r="AQ323" s="45">
        <f t="shared" si="87"/>
        <v>7.7600000000000002E-2</v>
      </c>
      <c r="AR323" s="95">
        <v>9.84</v>
      </c>
      <c r="AS323" s="97">
        <v>3.75</v>
      </c>
    </row>
    <row r="324" spans="1:45">
      <c r="A324" s="7" t="s">
        <v>8</v>
      </c>
      <c r="B324" s="5" t="s">
        <v>54</v>
      </c>
      <c r="C324" s="6" t="s">
        <v>44</v>
      </c>
      <c r="D324" s="6" t="s">
        <v>36</v>
      </c>
      <c r="E324" s="23">
        <v>30.4</v>
      </c>
      <c r="F324" s="23">
        <v>7.4</v>
      </c>
      <c r="G324" s="41">
        <v>131</v>
      </c>
      <c r="H324" s="23">
        <v>7.4</v>
      </c>
      <c r="I324" s="23">
        <v>0.7</v>
      </c>
      <c r="J324" s="23">
        <v>4.2</v>
      </c>
      <c r="K324" s="15">
        <v>2.8</v>
      </c>
      <c r="L324" s="15">
        <v>2.8</v>
      </c>
      <c r="M324" s="20">
        <f t="shared" si="77"/>
        <v>2.8</v>
      </c>
      <c r="N324" s="37">
        <v>2.2999999999999998</v>
      </c>
      <c r="O324" s="37">
        <v>2.4</v>
      </c>
      <c r="P324" s="38">
        <f t="shared" si="78"/>
        <v>2.4</v>
      </c>
      <c r="Q324" s="17">
        <v>1.3959999999999999</v>
      </c>
      <c r="R324" s="17">
        <v>1.4359999999999999</v>
      </c>
      <c r="S324" s="22">
        <f t="shared" si="79"/>
        <v>1.4159999999999999</v>
      </c>
      <c r="T324" s="17">
        <v>1.3280000000000001</v>
      </c>
      <c r="U324" s="17">
        <v>1.343</v>
      </c>
      <c r="V324" s="22">
        <f t="shared" si="80"/>
        <v>1.3360000000000001</v>
      </c>
      <c r="W324" s="17">
        <v>8.5000000000000006E-2</v>
      </c>
      <c r="X324" s="17">
        <v>8.2000000000000003E-2</v>
      </c>
      <c r="Y324" s="21">
        <f t="shared" si="81"/>
        <v>8.4000000000000005E-2</v>
      </c>
      <c r="Z324" s="19">
        <v>1.0569999999999999</v>
      </c>
      <c r="AA324" s="19">
        <v>1.0669999999999999</v>
      </c>
      <c r="AB324" s="21">
        <f t="shared" si="82"/>
        <v>1.0620000000000001</v>
      </c>
      <c r="AC324" s="19">
        <v>0.156</v>
      </c>
      <c r="AD324" s="19">
        <v>0.14599999999999999</v>
      </c>
      <c r="AE324" s="21">
        <f t="shared" si="83"/>
        <v>0.151</v>
      </c>
      <c r="AF324" s="30">
        <v>0.11600000000000001</v>
      </c>
      <c r="AG324" s="30">
        <v>0.122</v>
      </c>
      <c r="AH324" s="21">
        <f t="shared" si="84"/>
        <v>0.11899999999999999</v>
      </c>
      <c r="AI324" s="19">
        <v>0.114</v>
      </c>
      <c r="AJ324" s="19">
        <v>0.11799999999999999</v>
      </c>
      <c r="AK324" s="21">
        <f t="shared" si="85"/>
        <v>0.11600000000000001</v>
      </c>
      <c r="AL324" s="19">
        <v>7.274</v>
      </c>
      <c r="AM324" s="19">
        <v>7.3140000000000001</v>
      </c>
      <c r="AN324" s="21">
        <f t="shared" si="86"/>
        <v>7.2939999999999996</v>
      </c>
      <c r="AO324" s="46">
        <v>7.0699999999999999E-2</v>
      </c>
      <c r="AP324" s="46">
        <v>7.3200000000000001E-2</v>
      </c>
      <c r="AQ324" s="45">
        <f t="shared" si="87"/>
        <v>7.1999999999999995E-2</v>
      </c>
      <c r="AR324" s="95">
        <v>9.8000000000000007</v>
      </c>
      <c r="AS324" s="97">
        <v>5.49</v>
      </c>
    </row>
    <row r="325" spans="1:45">
      <c r="A325" s="7" t="s">
        <v>9</v>
      </c>
      <c r="B325" s="5" t="s">
        <v>57</v>
      </c>
      <c r="C325" s="6" t="s">
        <v>58</v>
      </c>
      <c r="D325" s="6" t="s">
        <v>59</v>
      </c>
      <c r="E325" s="23">
        <v>30.4</v>
      </c>
      <c r="F325" s="23">
        <v>7.5</v>
      </c>
      <c r="G325" s="41">
        <v>116</v>
      </c>
      <c r="H325" s="23">
        <v>8</v>
      </c>
      <c r="I325" s="23">
        <v>0.5</v>
      </c>
      <c r="J325" s="23">
        <v>3.1</v>
      </c>
      <c r="K325" s="15">
        <v>2.1</v>
      </c>
      <c r="L325" s="15">
        <v>2.1</v>
      </c>
      <c r="M325" s="20">
        <f t="shared" si="77"/>
        <v>2.1</v>
      </c>
      <c r="N325" s="37">
        <v>1.6</v>
      </c>
      <c r="O325" s="37">
        <v>1.5</v>
      </c>
      <c r="P325" s="38">
        <f t="shared" si="78"/>
        <v>1.6</v>
      </c>
      <c r="Q325" s="17">
        <v>1.0680000000000001</v>
      </c>
      <c r="R325" s="17">
        <v>1.0820000000000001</v>
      </c>
      <c r="S325" s="22">
        <f t="shared" si="79"/>
        <v>1.075</v>
      </c>
      <c r="T325" s="17">
        <v>1.004</v>
      </c>
      <c r="U325" s="17">
        <v>1.008</v>
      </c>
      <c r="V325" s="22">
        <f t="shared" si="80"/>
        <v>1.006</v>
      </c>
      <c r="W325" s="17">
        <v>0.02</v>
      </c>
      <c r="X325" s="17">
        <v>2.5999999999999999E-2</v>
      </c>
      <c r="Y325" s="21">
        <f t="shared" si="81"/>
        <v>2.3E-2</v>
      </c>
      <c r="Z325" s="19">
        <v>0.86799999999999999</v>
      </c>
      <c r="AA325" s="19">
        <v>0.879</v>
      </c>
      <c r="AB325" s="21">
        <f t="shared" si="82"/>
        <v>0.874</v>
      </c>
      <c r="AC325" s="19">
        <v>3.3000000000000002E-2</v>
      </c>
      <c r="AD325" s="19">
        <v>2.4E-2</v>
      </c>
      <c r="AE325" s="21">
        <f t="shared" si="83"/>
        <v>2.9000000000000001E-2</v>
      </c>
      <c r="AF325" s="30">
        <v>1.2E-2</v>
      </c>
      <c r="AG325" s="30">
        <v>8.9999999999999993E-3</v>
      </c>
      <c r="AH325" s="21">
        <f t="shared" si="84"/>
        <v>1.0999999999999999E-2</v>
      </c>
      <c r="AI325" s="19">
        <v>5.0000000000000001E-3</v>
      </c>
      <c r="AJ325" s="19">
        <v>2E-3</v>
      </c>
      <c r="AK325" s="21">
        <f t="shared" si="85"/>
        <v>4.0000000000000001E-3</v>
      </c>
      <c r="AL325" s="19">
        <v>4.7969999999999997</v>
      </c>
      <c r="AM325" s="19">
        <v>4.8479999999999999</v>
      </c>
      <c r="AN325" s="21">
        <f t="shared" si="86"/>
        <v>4.8230000000000004</v>
      </c>
      <c r="AO325" s="46">
        <v>3.9399999999999998E-2</v>
      </c>
      <c r="AP325" s="46">
        <v>4.1700000000000001E-2</v>
      </c>
      <c r="AQ325" s="45">
        <f t="shared" si="87"/>
        <v>4.0599999999999997E-2</v>
      </c>
      <c r="AR325" s="95">
        <v>7.64</v>
      </c>
      <c r="AS325" s="97">
        <v>3.6</v>
      </c>
    </row>
    <row r="326" spans="1:45">
      <c r="A326" s="7" t="s">
        <v>10</v>
      </c>
      <c r="B326" s="5" t="s">
        <v>60</v>
      </c>
      <c r="C326" s="6" t="s">
        <v>61</v>
      </c>
      <c r="D326" s="6" t="s">
        <v>36</v>
      </c>
      <c r="E326" s="23">
        <v>29.6</v>
      </c>
      <c r="F326" s="23">
        <v>7.7</v>
      </c>
      <c r="G326" s="41">
        <v>126</v>
      </c>
      <c r="H326" s="23">
        <v>8.4</v>
      </c>
      <c r="I326" s="23">
        <v>0.6</v>
      </c>
      <c r="J326" s="23">
        <v>3.6</v>
      </c>
      <c r="K326" s="15">
        <v>2.2000000000000002</v>
      </c>
      <c r="L326" s="15">
        <v>2.4</v>
      </c>
      <c r="M326" s="20">
        <f t="shared" si="77"/>
        <v>2.2999999999999998</v>
      </c>
      <c r="N326" s="37">
        <v>2</v>
      </c>
      <c r="O326" s="37">
        <v>2</v>
      </c>
      <c r="P326" s="38">
        <f t="shared" si="78"/>
        <v>2</v>
      </c>
      <c r="Q326" s="17">
        <v>1.2130000000000001</v>
      </c>
      <c r="R326" s="17">
        <v>1.2210000000000001</v>
      </c>
      <c r="S326" s="22">
        <f t="shared" si="79"/>
        <v>1.2170000000000001</v>
      </c>
      <c r="T326" s="17">
        <v>1.1850000000000001</v>
      </c>
      <c r="U326" s="17">
        <v>1.181</v>
      </c>
      <c r="V326" s="22">
        <f t="shared" si="80"/>
        <v>1.1830000000000001</v>
      </c>
      <c r="W326" s="17">
        <v>3.2000000000000001E-2</v>
      </c>
      <c r="X326" s="17">
        <v>2.7E-2</v>
      </c>
      <c r="Y326" s="21">
        <f t="shared" si="81"/>
        <v>0.03</v>
      </c>
      <c r="Z326" s="19">
        <v>0.98799999999999999</v>
      </c>
      <c r="AA326" s="19">
        <v>0.997</v>
      </c>
      <c r="AB326" s="21">
        <f t="shared" si="82"/>
        <v>0.99299999999999999</v>
      </c>
      <c r="AC326" s="19">
        <v>8.6999999999999994E-2</v>
      </c>
      <c r="AD326" s="19">
        <v>7.5999999999999998E-2</v>
      </c>
      <c r="AE326" s="21">
        <f t="shared" si="83"/>
        <v>8.2000000000000003E-2</v>
      </c>
      <c r="AF326" s="30">
        <v>5.7000000000000002E-2</v>
      </c>
      <c r="AG326" s="30">
        <v>0.06</v>
      </c>
      <c r="AH326" s="21">
        <f t="shared" si="84"/>
        <v>5.8999999999999997E-2</v>
      </c>
      <c r="AI326" s="19">
        <v>0.05</v>
      </c>
      <c r="AJ326" s="19">
        <v>5.3999999999999999E-2</v>
      </c>
      <c r="AK326" s="21">
        <f t="shared" si="85"/>
        <v>5.1999999999999998E-2</v>
      </c>
      <c r="AL326" s="19">
        <v>6.1859999999999999</v>
      </c>
      <c r="AM326" s="19">
        <v>6.2080000000000002</v>
      </c>
      <c r="AN326" s="21">
        <f t="shared" si="86"/>
        <v>6.1970000000000001</v>
      </c>
      <c r="AO326" s="46">
        <v>5.8999999999999997E-2</v>
      </c>
      <c r="AP326" s="46">
        <v>6.1499999999999999E-2</v>
      </c>
      <c r="AQ326" s="45">
        <f t="shared" si="87"/>
        <v>6.0299999999999999E-2</v>
      </c>
      <c r="AR326" s="95">
        <v>8.89</v>
      </c>
      <c r="AS326" s="97">
        <v>4.53</v>
      </c>
    </row>
    <row r="327" spans="1:45">
      <c r="A327" s="7" t="s">
        <v>11</v>
      </c>
      <c r="B327" s="5" t="s">
        <v>108</v>
      </c>
      <c r="C327" s="6" t="s">
        <v>62</v>
      </c>
      <c r="D327" s="6" t="s">
        <v>63</v>
      </c>
      <c r="E327" s="23">
        <v>30.2</v>
      </c>
      <c r="F327" s="23">
        <v>7.2</v>
      </c>
      <c r="G327" s="41">
        <v>185</v>
      </c>
      <c r="H327" s="23">
        <v>7.2</v>
      </c>
      <c r="I327" s="23">
        <v>1.4</v>
      </c>
      <c r="J327" s="23">
        <v>6.6</v>
      </c>
      <c r="K327" s="15">
        <v>4.5999999999999996</v>
      </c>
      <c r="L327" s="15">
        <v>4.5999999999999996</v>
      </c>
      <c r="M327" s="20">
        <f t="shared" si="77"/>
        <v>4.5999999999999996</v>
      </c>
      <c r="N327" s="37">
        <v>4</v>
      </c>
      <c r="O327" s="37">
        <v>3.9</v>
      </c>
      <c r="P327" s="38">
        <f t="shared" si="78"/>
        <v>4</v>
      </c>
      <c r="Q327" s="17">
        <v>1.123</v>
      </c>
      <c r="R327" s="17">
        <v>1.1259999999999999</v>
      </c>
      <c r="S327" s="22">
        <f t="shared" si="79"/>
        <v>1.125</v>
      </c>
      <c r="T327" s="17">
        <v>1.032</v>
      </c>
      <c r="U327" s="17">
        <v>1.026</v>
      </c>
      <c r="V327" s="22">
        <f t="shared" si="80"/>
        <v>1.0289999999999999</v>
      </c>
      <c r="W327" s="17">
        <v>0.2</v>
      </c>
      <c r="X327" s="17">
        <v>0.20100000000000001</v>
      </c>
      <c r="Y327" s="21">
        <f t="shared" si="81"/>
        <v>0.20100000000000001</v>
      </c>
      <c r="Z327" s="19">
        <v>0.504</v>
      </c>
      <c r="AA327" s="19">
        <v>0.46700000000000003</v>
      </c>
      <c r="AB327" s="21">
        <f t="shared" si="82"/>
        <v>0.48599999999999999</v>
      </c>
      <c r="AC327" s="19">
        <v>0.20100000000000001</v>
      </c>
      <c r="AD327" s="19">
        <v>0.185</v>
      </c>
      <c r="AE327" s="21">
        <f t="shared" si="83"/>
        <v>0.193</v>
      </c>
      <c r="AF327" s="30">
        <v>0.11799999999999999</v>
      </c>
      <c r="AG327" s="30">
        <v>0.11799999999999999</v>
      </c>
      <c r="AH327" s="21">
        <f t="shared" si="84"/>
        <v>0.11799999999999999</v>
      </c>
      <c r="AI327" s="19">
        <v>0.114</v>
      </c>
      <c r="AJ327" s="19">
        <v>0.112</v>
      </c>
      <c r="AK327" s="21">
        <f t="shared" si="85"/>
        <v>0.113</v>
      </c>
      <c r="AL327" s="19">
        <v>9.7289999999999992</v>
      </c>
      <c r="AM327" s="19">
        <v>8.9239999999999995</v>
      </c>
      <c r="AN327" s="21">
        <f t="shared" si="86"/>
        <v>9.327</v>
      </c>
      <c r="AO327" s="46">
        <v>0.1363</v>
      </c>
      <c r="AP327" s="46">
        <v>0.13769999999999999</v>
      </c>
      <c r="AQ327" s="45">
        <f t="shared" si="87"/>
        <v>0.13700000000000001</v>
      </c>
      <c r="AR327" s="95">
        <v>8.7799999999999994</v>
      </c>
      <c r="AS327" s="97">
        <v>3.66</v>
      </c>
    </row>
    <row r="328" spans="1:45">
      <c r="A328" s="7" t="s">
        <v>12</v>
      </c>
      <c r="B328" s="5" t="s">
        <v>64</v>
      </c>
      <c r="C328" s="6" t="s">
        <v>65</v>
      </c>
      <c r="D328" s="6" t="s">
        <v>36</v>
      </c>
      <c r="E328" s="23">
        <v>31</v>
      </c>
      <c r="F328" s="23">
        <v>7</v>
      </c>
      <c r="G328" s="41">
        <v>120</v>
      </c>
      <c r="H328" s="23">
        <v>6.4</v>
      </c>
      <c r="I328" s="23">
        <v>0.8</v>
      </c>
      <c r="J328" s="23">
        <v>4</v>
      </c>
      <c r="K328" s="15">
        <v>2.6</v>
      </c>
      <c r="L328" s="15">
        <v>2.4</v>
      </c>
      <c r="M328" s="20">
        <f t="shared" si="77"/>
        <v>2.5</v>
      </c>
      <c r="N328" s="37">
        <v>2.2000000000000002</v>
      </c>
      <c r="O328" s="37">
        <v>2.2000000000000002</v>
      </c>
      <c r="P328" s="38">
        <f t="shared" si="78"/>
        <v>2.2000000000000002</v>
      </c>
      <c r="Q328" s="17">
        <v>1.1000000000000001</v>
      </c>
      <c r="R328" s="17">
        <v>1.0980000000000001</v>
      </c>
      <c r="S328" s="22">
        <f t="shared" si="79"/>
        <v>1.099</v>
      </c>
      <c r="T328" s="17">
        <v>1.016</v>
      </c>
      <c r="U328" s="17">
        <v>1.02</v>
      </c>
      <c r="V328" s="22">
        <f t="shared" si="80"/>
        <v>1.018</v>
      </c>
      <c r="W328" s="17">
        <v>3.5000000000000003E-2</v>
      </c>
      <c r="X328" s="17">
        <v>3.4000000000000002E-2</v>
      </c>
      <c r="Y328" s="21">
        <f t="shared" si="81"/>
        <v>3.5000000000000003E-2</v>
      </c>
      <c r="Z328" s="19">
        <v>0.80600000000000005</v>
      </c>
      <c r="AA328" s="19">
        <v>0.80700000000000005</v>
      </c>
      <c r="AB328" s="21">
        <f t="shared" si="82"/>
        <v>0.80700000000000005</v>
      </c>
      <c r="AC328" s="19">
        <v>9.6000000000000002E-2</v>
      </c>
      <c r="AD328" s="19">
        <v>8.4000000000000005E-2</v>
      </c>
      <c r="AE328" s="21">
        <f t="shared" si="83"/>
        <v>0.09</v>
      </c>
      <c r="AF328" s="30">
        <v>6.8000000000000005E-2</v>
      </c>
      <c r="AG328" s="30">
        <v>6.7000000000000004E-2</v>
      </c>
      <c r="AH328" s="21">
        <f t="shared" si="84"/>
        <v>6.8000000000000005E-2</v>
      </c>
      <c r="AI328" s="19">
        <v>5.8999999999999997E-2</v>
      </c>
      <c r="AJ328" s="19">
        <v>5.6000000000000001E-2</v>
      </c>
      <c r="AK328" s="21">
        <f t="shared" si="85"/>
        <v>5.8000000000000003E-2</v>
      </c>
      <c r="AL328" s="19">
        <v>6.7969999999999997</v>
      </c>
      <c r="AM328" s="19">
        <v>6.8029999999999999</v>
      </c>
      <c r="AN328" s="21">
        <f t="shared" si="86"/>
        <v>6.8</v>
      </c>
      <c r="AO328" s="46">
        <v>6.9800000000000001E-2</v>
      </c>
      <c r="AP328" s="46">
        <v>7.2900000000000006E-2</v>
      </c>
      <c r="AQ328" s="45">
        <f t="shared" si="87"/>
        <v>7.1400000000000005E-2</v>
      </c>
      <c r="AR328" s="3">
        <v>8.91</v>
      </c>
      <c r="AS328" s="97">
        <v>3.92</v>
      </c>
    </row>
    <row r="329" spans="1:45">
      <c r="A329" s="7" t="s">
        <v>13</v>
      </c>
      <c r="B329" s="5" t="s">
        <v>66</v>
      </c>
      <c r="C329" s="6" t="s">
        <v>44</v>
      </c>
      <c r="D329" s="6" t="s">
        <v>67</v>
      </c>
      <c r="E329" s="23">
        <v>29.5</v>
      </c>
      <c r="F329" s="23">
        <v>7</v>
      </c>
      <c r="G329" s="41">
        <v>144</v>
      </c>
      <c r="H329" s="23">
        <v>7.3</v>
      </c>
      <c r="I329" s="23">
        <v>1.2</v>
      </c>
      <c r="J329" s="23">
        <v>5.2</v>
      </c>
      <c r="K329" s="15">
        <v>3.6</v>
      </c>
      <c r="L329" s="15">
        <v>3.6</v>
      </c>
      <c r="M329" s="20">
        <f t="shared" si="77"/>
        <v>3.6</v>
      </c>
      <c r="N329" s="37">
        <v>2.9</v>
      </c>
      <c r="O329" s="37">
        <v>3</v>
      </c>
      <c r="P329" s="38">
        <f t="shared" si="78"/>
        <v>3</v>
      </c>
      <c r="Q329" s="17">
        <v>0.94199999999999995</v>
      </c>
      <c r="R329" s="17">
        <v>0.94599999999999995</v>
      </c>
      <c r="S329" s="22">
        <f t="shared" si="79"/>
        <v>0.94399999999999995</v>
      </c>
      <c r="T329" s="17">
        <v>0.84299999999999997</v>
      </c>
      <c r="U329" s="17">
        <v>0.85</v>
      </c>
      <c r="V329" s="22">
        <f t="shared" si="80"/>
        <v>0.84699999999999998</v>
      </c>
      <c r="W329" s="17">
        <v>0.1</v>
      </c>
      <c r="X329" s="17">
        <v>0.105</v>
      </c>
      <c r="Y329" s="21">
        <f t="shared" si="81"/>
        <v>0.10299999999999999</v>
      </c>
      <c r="Z329" s="19">
        <v>0.51500000000000001</v>
      </c>
      <c r="AA329" s="19">
        <v>0.51600000000000001</v>
      </c>
      <c r="AB329" s="21">
        <f t="shared" si="82"/>
        <v>0.51600000000000001</v>
      </c>
      <c r="AC329" s="19">
        <v>9.1999999999999998E-2</v>
      </c>
      <c r="AD329" s="19">
        <v>8.1000000000000003E-2</v>
      </c>
      <c r="AE329" s="21">
        <f t="shared" si="83"/>
        <v>8.6999999999999994E-2</v>
      </c>
      <c r="AF329" s="30">
        <v>4.4999999999999998E-2</v>
      </c>
      <c r="AG329" s="30">
        <v>4.5999999999999999E-2</v>
      </c>
      <c r="AH329" s="21">
        <f t="shared" si="84"/>
        <v>4.5999999999999999E-2</v>
      </c>
      <c r="AI329" s="19">
        <v>3.2000000000000001E-2</v>
      </c>
      <c r="AJ329" s="19">
        <v>0.03</v>
      </c>
      <c r="AK329" s="21">
        <f t="shared" si="85"/>
        <v>3.1E-2</v>
      </c>
      <c r="AL329" s="19">
        <v>7.8170000000000002</v>
      </c>
      <c r="AM329" s="19">
        <v>7.7830000000000004</v>
      </c>
      <c r="AN329" s="21">
        <f t="shared" si="86"/>
        <v>7.8</v>
      </c>
      <c r="AO329" s="46">
        <v>9.2600000000000002E-2</v>
      </c>
      <c r="AP329" s="46">
        <v>9.5000000000000001E-2</v>
      </c>
      <c r="AQ329" s="45">
        <f t="shared" si="87"/>
        <v>9.3799999999999994E-2</v>
      </c>
      <c r="AR329" s="3">
        <v>8.86</v>
      </c>
      <c r="AS329" s="97">
        <v>3.47</v>
      </c>
    </row>
    <row r="330" spans="1:45">
      <c r="A330" s="7" t="s">
        <v>14</v>
      </c>
      <c r="B330" s="5" t="s">
        <v>64</v>
      </c>
      <c r="C330" s="6" t="s">
        <v>68</v>
      </c>
      <c r="D330" s="6" t="s">
        <v>36</v>
      </c>
      <c r="E330" s="23">
        <v>30.5</v>
      </c>
      <c r="F330" s="23">
        <v>7.1</v>
      </c>
      <c r="G330" s="41">
        <v>124</v>
      </c>
      <c r="H330" s="23">
        <v>6.6</v>
      </c>
      <c r="I330" s="23">
        <v>0.9</v>
      </c>
      <c r="J330" s="23">
        <v>4.2</v>
      </c>
      <c r="K330" s="15">
        <v>2.7</v>
      </c>
      <c r="L330" s="15">
        <v>2.7</v>
      </c>
      <c r="M330" s="20">
        <f t="shared" si="77"/>
        <v>2.7</v>
      </c>
      <c r="N330" s="37">
        <v>2.4</v>
      </c>
      <c r="O330" s="37">
        <v>2.2999999999999998</v>
      </c>
      <c r="P330" s="38">
        <f t="shared" si="78"/>
        <v>2.4</v>
      </c>
      <c r="Q330" s="17">
        <v>1.1659999999999999</v>
      </c>
      <c r="R330" s="17">
        <v>1.1819999999999999</v>
      </c>
      <c r="S330" s="22">
        <f t="shared" si="79"/>
        <v>1.1739999999999999</v>
      </c>
      <c r="T330" s="17">
        <v>1.109</v>
      </c>
      <c r="U330" s="17">
        <v>1.1200000000000001</v>
      </c>
      <c r="V330" s="22">
        <f t="shared" si="80"/>
        <v>1.115</v>
      </c>
      <c r="W330" s="17">
        <v>4.2000000000000003E-2</v>
      </c>
      <c r="X330" s="17">
        <v>4.3999999999999997E-2</v>
      </c>
      <c r="Y330" s="21">
        <f t="shared" si="81"/>
        <v>4.2999999999999997E-2</v>
      </c>
      <c r="Z330" s="19">
        <v>0.86599999999999999</v>
      </c>
      <c r="AA330" s="19">
        <v>0.86499999999999999</v>
      </c>
      <c r="AB330" s="21">
        <f t="shared" si="82"/>
        <v>0.86599999999999999</v>
      </c>
      <c r="AC330" s="19">
        <v>0.124</v>
      </c>
      <c r="AD330" s="19">
        <v>0.113</v>
      </c>
      <c r="AE330" s="21">
        <f t="shared" si="83"/>
        <v>0.11899999999999999</v>
      </c>
      <c r="AF330" s="30">
        <v>0.09</v>
      </c>
      <c r="AG330" s="30">
        <v>9.1999999999999998E-2</v>
      </c>
      <c r="AH330" s="21">
        <f t="shared" si="84"/>
        <v>9.0999999999999998E-2</v>
      </c>
      <c r="AI330" s="19">
        <v>8.2000000000000003E-2</v>
      </c>
      <c r="AJ330" s="19">
        <v>8.5000000000000006E-2</v>
      </c>
      <c r="AK330" s="21">
        <f t="shared" si="85"/>
        <v>8.4000000000000005E-2</v>
      </c>
      <c r="AL330" s="19">
        <v>6.96</v>
      </c>
      <c r="AM330" s="19">
        <v>6.9279999999999999</v>
      </c>
      <c r="AN330" s="21">
        <f t="shared" si="86"/>
        <v>6.944</v>
      </c>
      <c r="AO330" s="46">
        <v>7.46E-2</v>
      </c>
      <c r="AP330" s="46">
        <v>7.7799999999999994E-2</v>
      </c>
      <c r="AQ330" s="45">
        <f t="shared" si="87"/>
        <v>7.6200000000000004E-2</v>
      </c>
      <c r="AR330" s="3">
        <v>9.4</v>
      </c>
      <c r="AS330" s="97">
        <v>3.55</v>
      </c>
    </row>
    <row r="331" spans="1:45">
      <c r="A331" s="7" t="s">
        <v>15</v>
      </c>
      <c r="B331" s="5" t="s">
        <v>69</v>
      </c>
      <c r="C331" s="6" t="s">
        <v>70</v>
      </c>
      <c r="D331" s="6" t="s">
        <v>71</v>
      </c>
      <c r="E331" s="23">
        <v>27</v>
      </c>
      <c r="F331" s="23">
        <v>7</v>
      </c>
      <c r="G331" s="41">
        <v>204</v>
      </c>
      <c r="H331" s="23">
        <v>6.9</v>
      </c>
      <c r="I331" s="23">
        <v>0.7</v>
      </c>
      <c r="J331" s="23">
        <v>3.4</v>
      </c>
      <c r="K331" s="15">
        <v>2.4</v>
      </c>
      <c r="L331" s="15">
        <v>2.4</v>
      </c>
      <c r="M331" s="20">
        <f t="shared" si="77"/>
        <v>2.4</v>
      </c>
      <c r="N331" s="37">
        <v>2.1</v>
      </c>
      <c r="O331" s="37">
        <v>2</v>
      </c>
      <c r="P331" s="38">
        <f t="shared" si="78"/>
        <v>2.1</v>
      </c>
      <c r="Q331" s="17">
        <v>1.637</v>
      </c>
      <c r="R331" s="17">
        <v>1.673</v>
      </c>
      <c r="S331" s="22">
        <f t="shared" si="79"/>
        <v>1.655</v>
      </c>
      <c r="T331" s="17">
        <v>1.6040000000000001</v>
      </c>
      <c r="U331" s="17">
        <v>1.5920000000000001</v>
      </c>
      <c r="V331" s="22">
        <f t="shared" si="80"/>
        <v>1.5980000000000001</v>
      </c>
      <c r="W331" s="17">
        <v>2.4E-2</v>
      </c>
      <c r="X331" s="17">
        <v>2.4E-2</v>
      </c>
      <c r="Y331" s="21">
        <f t="shared" si="81"/>
        <v>2.4E-2</v>
      </c>
      <c r="Z331" s="19">
        <v>1.46</v>
      </c>
      <c r="AA331" s="19">
        <v>1.4430000000000001</v>
      </c>
      <c r="AB331" s="21">
        <f t="shared" si="82"/>
        <v>1.452</v>
      </c>
      <c r="AC331" s="19">
        <v>4.3999999999999997E-2</v>
      </c>
      <c r="AD331" s="19">
        <v>3.3000000000000002E-2</v>
      </c>
      <c r="AE331" s="21">
        <f t="shared" si="83"/>
        <v>3.9E-2</v>
      </c>
      <c r="AF331" s="30">
        <v>2.5000000000000001E-2</v>
      </c>
      <c r="AG331" s="30">
        <v>2.3E-2</v>
      </c>
      <c r="AH331" s="21">
        <f t="shared" si="84"/>
        <v>2.4E-2</v>
      </c>
      <c r="AI331" s="19">
        <v>1.7000000000000001E-2</v>
      </c>
      <c r="AJ331" s="19">
        <v>1.7000000000000001E-2</v>
      </c>
      <c r="AK331" s="21">
        <f t="shared" si="85"/>
        <v>1.7000000000000001E-2</v>
      </c>
      <c r="AL331" s="19">
        <v>6.9669999999999996</v>
      </c>
      <c r="AM331" s="19">
        <v>6.8940000000000001</v>
      </c>
      <c r="AN331" s="21">
        <f t="shared" si="86"/>
        <v>6.931</v>
      </c>
      <c r="AO331" s="46">
        <v>5.6899999999999999E-2</v>
      </c>
      <c r="AP331" s="46">
        <v>5.96E-2</v>
      </c>
      <c r="AQ331" s="45">
        <f t="shared" si="87"/>
        <v>5.8299999999999998E-2</v>
      </c>
      <c r="AR331" s="3">
        <v>10.18</v>
      </c>
      <c r="AS331" s="97">
        <v>2.0699999999999998</v>
      </c>
    </row>
    <row r="332" spans="1:45">
      <c r="A332" s="7" t="s">
        <v>16</v>
      </c>
      <c r="B332" s="5" t="s">
        <v>72</v>
      </c>
      <c r="C332" s="6" t="s">
        <v>73</v>
      </c>
      <c r="D332" s="6" t="s">
        <v>36</v>
      </c>
      <c r="E332" s="23">
        <v>31.6</v>
      </c>
      <c r="F332" s="23">
        <v>7.8</v>
      </c>
      <c r="G332" s="41">
        <v>127</v>
      </c>
      <c r="H332" s="23">
        <v>8.6999999999999993</v>
      </c>
      <c r="I332" s="23">
        <v>1.4</v>
      </c>
      <c r="J332" s="23">
        <v>4.3</v>
      </c>
      <c r="K332" s="15">
        <v>2.9</v>
      </c>
      <c r="L332" s="15">
        <v>2.9</v>
      </c>
      <c r="M332" s="20">
        <f t="shared" si="77"/>
        <v>2.9</v>
      </c>
      <c r="N332" s="37">
        <v>2.4</v>
      </c>
      <c r="O332" s="37">
        <v>2.2999999999999998</v>
      </c>
      <c r="P332" s="38">
        <f t="shared" si="78"/>
        <v>2.4</v>
      </c>
      <c r="Q332" s="17">
        <v>0.93799999999999994</v>
      </c>
      <c r="R332" s="17">
        <v>0.93300000000000005</v>
      </c>
      <c r="S332" s="22">
        <f t="shared" si="79"/>
        <v>0.93600000000000005</v>
      </c>
      <c r="T332" s="17">
        <v>0.83799999999999997</v>
      </c>
      <c r="U332" s="17">
        <v>0.82899999999999996</v>
      </c>
      <c r="V332" s="22">
        <f t="shared" si="80"/>
        <v>0.83399999999999996</v>
      </c>
      <c r="W332" s="17">
        <v>2.5999999999999999E-2</v>
      </c>
      <c r="X332" s="17">
        <v>2.5000000000000001E-2</v>
      </c>
      <c r="Y332" s="21">
        <f t="shared" si="81"/>
        <v>2.5999999999999999E-2</v>
      </c>
      <c r="Z332" s="19">
        <v>0.64500000000000002</v>
      </c>
      <c r="AA332" s="19">
        <v>0.63300000000000001</v>
      </c>
      <c r="AB332" s="21">
        <f t="shared" si="82"/>
        <v>0.63900000000000001</v>
      </c>
      <c r="AC332" s="19">
        <v>9.5000000000000001E-2</v>
      </c>
      <c r="AD332" s="19">
        <v>8.3000000000000004E-2</v>
      </c>
      <c r="AE332" s="21">
        <f t="shared" si="83"/>
        <v>8.8999999999999996E-2</v>
      </c>
      <c r="AF332" s="30">
        <v>5.3999999999999999E-2</v>
      </c>
      <c r="AG332" s="30">
        <v>5.5E-2</v>
      </c>
      <c r="AH332" s="21">
        <f t="shared" si="84"/>
        <v>5.5E-2</v>
      </c>
      <c r="AI332" s="19">
        <v>4.5999999999999999E-2</v>
      </c>
      <c r="AJ332" s="19">
        <v>4.2999999999999997E-2</v>
      </c>
      <c r="AK332" s="21">
        <f t="shared" si="85"/>
        <v>4.4999999999999998E-2</v>
      </c>
      <c r="AL332" s="19">
        <v>6.851</v>
      </c>
      <c r="AM332" s="19">
        <v>6.71</v>
      </c>
      <c r="AN332" s="21">
        <f t="shared" si="86"/>
        <v>6.7809999999999997</v>
      </c>
      <c r="AO332" s="46">
        <v>7.2999999999999995E-2</v>
      </c>
      <c r="AP332" s="46">
        <v>7.51E-2</v>
      </c>
      <c r="AQ332" s="45">
        <f t="shared" si="87"/>
        <v>7.4099999999999999E-2</v>
      </c>
      <c r="AR332" s="3">
        <v>9.58</v>
      </c>
      <c r="AS332" s="97">
        <v>3.37</v>
      </c>
    </row>
    <row r="333" spans="1:45">
      <c r="A333" s="7" t="s">
        <v>17</v>
      </c>
      <c r="B333" s="5" t="s">
        <v>74</v>
      </c>
      <c r="C333" s="6" t="s">
        <v>75</v>
      </c>
      <c r="D333" s="6" t="s">
        <v>76</v>
      </c>
      <c r="E333" s="23">
        <v>31.3</v>
      </c>
      <c r="F333" s="23">
        <v>7.6</v>
      </c>
      <c r="G333" s="41">
        <v>217</v>
      </c>
      <c r="H333" s="23">
        <v>7.5</v>
      </c>
      <c r="I333" s="23">
        <v>1.5</v>
      </c>
      <c r="J333" s="23">
        <v>4.5</v>
      </c>
      <c r="K333" s="15">
        <v>3.2</v>
      </c>
      <c r="L333" s="15">
        <v>3.4</v>
      </c>
      <c r="M333" s="20">
        <f t="shared" si="77"/>
        <v>3.3</v>
      </c>
      <c r="N333" s="37">
        <v>2.7</v>
      </c>
      <c r="O333" s="37">
        <v>2.7</v>
      </c>
      <c r="P333" s="38">
        <f t="shared" si="78"/>
        <v>2.7</v>
      </c>
      <c r="Q333" s="17">
        <v>1.659</v>
      </c>
      <c r="R333" s="17">
        <v>1.651</v>
      </c>
      <c r="S333" s="22">
        <f t="shared" si="79"/>
        <v>1.655</v>
      </c>
      <c r="T333" s="17">
        <v>1.5529999999999999</v>
      </c>
      <c r="U333" s="17">
        <v>1.5780000000000001</v>
      </c>
      <c r="V333" s="22">
        <f t="shared" si="80"/>
        <v>1.5660000000000001</v>
      </c>
      <c r="W333" s="17">
        <v>7.6999999999999999E-2</v>
      </c>
      <c r="X333" s="17">
        <v>7.4999999999999997E-2</v>
      </c>
      <c r="Y333" s="21">
        <f t="shared" si="81"/>
        <v>7.5999999999999998E-2</v>
      </c>
      <c r="Z333" s="19">
        <v>1.1459999999999999</v>
      </c>
      <c r="AA333" s="19">
        <v>1.204</v>
      </c>
      <c r="AB333" s="21">
        <f t="shared" si="82"/>
        <v>1.175</v>
      </c>
      <c r="AC333" s="19">
        <v>0.107</v>
      </c>
      <c r="AD333" s="19">
        <v>9.5000000000000001E-2</v>
      </c>
      <c r="AE333" s="21">
        <f t="shared" si="83"/>
        <v>0.10100000000000001</v>
      </c>
      <c r="AF333" s="30">
        <v>5.6000000000000001E-2</v>
      </c>
      <c r="AG333" s="30">
        <v>5.7000000000000002E-2</v>
      </c>
      <c r="AH333" s="21">
        <f t="shared" si="84"/>
        <v>5.7000000000000002E-2</v>
      </c>
      <c r="AI333" s="19">
        <v>4.3999999999999997E-2</v>
      </c>
      <c r="AJ333" s="19">
        <v>4.4999999999999998E-2</v>
      </c>
      <c r="AK333" s="21">
        <f t="shared" si="85"/>
        <v>4.4999999999999998E-2</v>
      </c>
      <c r="AL333" s="19">
        <v>9.5850000000000009</v>
      </c>
      <c r="AM333" s="19">
        <v>10.144</v>
      </c>
      <c r="AN333" s="21">
        <f t="shared" si="86"/>
        <v>9.8650000000000002</v>
      </c>
      <c r="AO333" s="46">
        <v>7.9299999999999995E-2</v>
      </c>
      <c r="AP333" s="46">
        <v>8.2000000000000003E-2</v>
      </c>
      <c r="AQ333" s="45">
        <f t="shared" si="87"/>
        <v>8.0699999999999994E-2</v>
      </c>
      <c r="AR333" s="3">
        <v>9.19</v>
      </c>
      <c r="AS333" s="97">
        <v>3.42</v>
      </c>
    </row>
    <row r="334" spans="1:45">
      <c r="A334" s="7" t="s">
        <v>18</v>
      </c>
      <c r="B334" s="5" t="s">
        <v>109</v>
      </c>
      <c r="C334" s="6" t="s">
        <v>77</v>
      </c>
      <c r="D334" s="6" t="s">
        <v>36</v>
      </c>
      <c r="E334" s="23">
        <v>31.1</v>
      </c>
      <c r="F334" s="23">
        <v>7.2</v>
      </c>
      <c r="G334" s="41">
        <v>180</v>
      </c>
      <c r="H334" s="23">
        <v>7</v>
      </c>
      <c r="I334" s="23">
        <v>1.5</v>
      </c>
      <c r="J334" s="23">
        <v>4.8</v>
      </c>
      <c r="K334" s="15">
        <v>3.5</v>
      </c>
      <c r="L334" s="15">
        <v>3.2</v>
      </c>
      <c r="M334" s="20">
        <f t="shared" si="77"/>
        <v>3.4</v>
      </c>
      <c r="N334" s="37">
        <v>2.7</v>
      </c>
      <c r="O334" s="37">
        <v>2.8</v>
      </c>
      <c r="P334" s="38">
        <f t="shared" si="78"/>
        <v>2.8</v>
      </c>
      <c r="Q334" s="17">
        <v>1.786</v>
      </c>
      <c r="R334" s="17">
        <v>1.8049999999999999</v>
      </c>
      <c r="S334" s="22">
        <f t="shared" si="79"/>
        <v>1.796</v>
      </c>
      <c r="T334" s="17">
        <v>1.7470000000000001</v>
      </c>
      <c r="U334" s="17">
        <v>1.7370000000000001</v>
      </c>
      <c r="V334" s="22">
        <f t="shared" si="80"/>
        <v>1.742</v>
      </c>
      <c r="W334" s="17">
        <v>0.16</v>
      </c>
      <c r="X334" s="17">
        <v>0.161</v>
      </c>
      <c r="Y334" s="21">
        <f t="shared" si="81"/>
        <v>0.161</v>
      </c>
      <c r="Z334" s="19">
        <v>1.321</v>
      </c>
      <c r="AA334" s="19">
        <v>1.3049999999999999</v>
      </c>
      <c r="AB334" s="21">
        <f t="shared" si="82"/>
        <v>1.3129999999999999</v>
      </c>
      <c r="AC334" s="19">
        <v>0.11899999999999999</v>
      </c>
      <c r="AD334" s="19">
        <v>0.108</v>
      </c>
      <c r="AE334" s="21">
        <f t="shared" si="83"/>
        <v>0.114</v>
      </c>
      <c r="AF334" s="30">
        <v>8.3000000000000004E-2</v>
      </c>
      <c r="AG334" s="30">
        <v>8.6999999999999994E-2</v>
      </c>
      <c r="AH334" s="21">
        <f t="shared" si="84"/>
        <v>8.5000000000000006E-2</v>
      </c>
      <c r="AI334" s="19">
        <v>7.2999999999999995E-2</v>
      </c>
      <c r="AJ334" s="19">
        <v>7.5999999999999998E-2</v>
      </c>
      <c r="AK334" s="21">
        <f t="shared" si="85"/>
        <v>7.4999999999999997E-2</v>
      </c>
      <c r="AL334" s="19">
        <v>11.183999999999999</v>
      </c>
      <c r="AM334" s="19">
        <v>11.052</v>
      </c>
      <c r="AN334" s="21">
        <f t="shared" si="86"/>
        <v>11.118</v>
      </c>
      <c r="AO334" s="46">
        <v>8.43E-2</v>
      </c>
      <c r="AP334" s="46">
        <v>8.6699999999999999E-2</v>
      </c>
      <c r="AQ334" s="45">
        <f t="shared" si="87"/>
        <v>8.5500000000000007E-2</v>
      </c>
      <c r="AR334" s="3">
        <v>10.18</v>
      </c>
      <c r="AS334" s="97">
        <v>2.82</v>
      </c>
    </row>
    <row r="335" spans="1:45">
      <c r="A335" s="7" t="s">
        <v>19</v>
      </c>
      <c r="B335" s="5" t="s">
        <v>78</v>
      </c>
      <c r="C335" s="6" t="s">
        <v>44</v>
      </c>
      <c r="D335" s="6" t="s">
        <v>79</v>
      </c>
      <c r="E335" s="23">
        <v>29.5</v>
      </c>
      <c r="F335" s="23">
        <v>7.4</v>
      </c>
      <c r="G335" s="41">
        <v>281</v>
      </c>
      <c r="H335" s="23">
        <v>7.4</v>
      </c>
      <c r="I335" s="23">
        <v>0.9</v>
      </c>
      <c r="J335" s="23">
        <v>4.3</v>
      </c>
      <c r="K335" s="15">
        <v>3.1</v>
      </c>
      <c r="L335" s="15">
        <v>3</v>
      </c>
      <c r="M335" s="20">
        <f t="shared" si="77"/>
        <v>3.1</v>
      </c>
      <c r="N335" s="37">
        <v>2.7</v>
      </c>
      <c r="O335" s="37">
        <v>2.6</v>
      </c>
      <c r="P335" s="38">
        <f t="shared" si="78"/>
        <v>2.7</v>
      </c>
      <c r="Q335" s="17">
        <v>1.28</v>
      </c>
      <c r="R335" s="17">
        <v>1.23</v>
      </c>
      <c r="S335" s="22">
        <f t="shared" si="79"/>
        <v>1.2549999999999999</v>
      </c>
      <c r="T335" s="17">
        <v>1.2250000000000001</v>
      </c>
      <c r="U335" s="17">
        <v>1.212</v>
      </c>
      <c r="V335" s="22">
        <f t="shared" si="80"/>
        <v>1.2190000000000001</v>
      </c>
      <c r="W335" s="17">
        <v>3.7999999999999999E-2</v>
      </c>
      <c r="X335" s="17">
        <v>3.5999999999999997E-2</v>
      </c>
      <c r="Y335" s="21">
        <f t="shared" si="81"/>
        <v>3.6999999999999998E-2</v>
      </c>
      <c r="Z335" s="19">
        <v>0.86</v>
      </c>
      <c r="AA335" s="19">
        <v>0.86799999999999999</v>
      </c>
      <c r="AB335" s="21">
        <f t="shared" si="82"/>
        <v>0.86399999999999999</v>
      </c>
      <c r="AC335" s="19">
        <v>6.2E-2</v>
      </c>
      <c r="AD335" s="19">
        <v>0.05</v>
      </c>
      <c r="AE335" s="21">
        <f t="shared" si="83"/>
        <v>5.6000000000000001E-2</v>
      </c>
      <c r="AF335" s="30">
        <v>4.2999999999999997E-2</v>
      </c>
      <c r="AG335" s="30">
        <v>4.1000000000000002E-2</v>
      </c>
      <c r="AH335" s="21">
        <f t="shared" si="84"/>
        <v>4.2000000000000003E-2</v>
      </c>
      <c r="AI335" s="19">
        <v>3.3000000000000002E-2</v>
      </c>
      <c r="AJ335" s="19">
        <v>3.3000000000000002E-2</v>
      </c>
      <c r="AK335" s="21">
        <f t="shared" si="85"/>
        <v>3.3000000000000002E-2</v>
      </c>
      <c r="AL335" s="19">
        <v>27.431999999999999</v>
      </c>
      <c r="AM335" s="19">
        <v>27.574999999999999</v>
      </c>
      <c r="AN335" s="21">
        <f t="shared" si="86"/>
        <v>27.504000000000001</v>
      </c>
      <c r="AO335" s="46">
        <v>7.7100000000000002E-2</v>
      </c>
      <c r="AP335" s="46">
        <v>7.9299999999999995E-2</v>
      </c>
      <c r="AQ335" s="45">
        <f t="shared" si="87"/>
        <v>7.8200000000000006E-2</v>
      </c>
      <c r="AR335" s="3">
        <v>18.36</v>
      </c>
      <c r="AS335" s="97">
        <v>-1.54</v>
      </c>
    </row>
    <row r="336" spans="1:45">
      <c r="A336" s="7" t="s">
        <v>20</v>
      </c>
      <c r="B336" s="5" t="s">
        <v>80</v>
      </c>
      <c r="C336" s="6" t="s">
        <v>81</v>
      </c>
      <c r="D336" s="6" t="s">
        <v>36</v>
      </c>
      <c r="E336" s="23">
        <v>31.5</v>
      </c>
      <c r="F336" s="23">
        <v>7.3</v>
      </c>
      <c r="G336" s="41">
        <v>200</v>
      </c>
      <c r="H336" s="23">
        <v>7.5</v>
      </c>
      <c r="I336" s="23">
        <v>1.8</v>
      </c>
      <c r="J336" s="23">
        <v>5.0999999999999996</v>
      </c>
      <c r="K336" s="15">
        <v>3.5</v>
      </c>
      <c r="L336" s="15">
        <v>3.6</v>
      </c>
      <c r="M336" s="20">
        <f t="shared" si="77"/>
        <v>3.6</v>
      </c>
      <c r="N336" s="37">
        <v>2.9</v>
      </c>
      <c r="O336" s="37">
        <v>2.9</v>
      </c>
      <c r="P336" s="38">
        <f t="shared" si="78"/>
        <v>2.9</v>
      </c>
      <c r="Q336" s="17">
        <v>2.0139999999999998</v>
      </c>
      <c r="R336" s="17">
        <v>1.984</v>
      </c>
      <c r="S336" s="22">
        <f t="shared" si="79"/>
        <v>1.9990000000000001</v>
      </c>
      <c r="T336" s="17">
        <v>1.899</v>
      </c>
      <c r="U336" s="17">
        <v>1.911</v>
      </c>
      <c r="V336" s="22">
        <f t="shared" si="80"/>
        <v>1.905</v>
      </c>
      <c r="W336" s="17">
        <v>0.154</v>
      </c>
      <c r="X336" s="17">
        <v>0.14799999999999999</v>
      </c>
      <c r="Y336" s="21">
        <f t="shared" si="81"/>
        <v>0.151</v>
      </c>
      <c r="Z336" s="19">
        <v>1.38</v>
      </c>
      <c r="AA336" s="19">
        <v>1.4</v>
      </c>
      <c r="AB336" s="21">
        <f t="shared" si="82"/>
        <v>1.39</v>
      </c>
      <c r="AC336" s="19">
        <v>0.19500000000000001</v>
      </c>
      <c r="AD336" s="19">
        <v>0.18</v>
      </c>
      <c r="AE336" s="21">
        <f t="shared" si="83"/>
        <v>0.188</v>
      </c>
      <c r="AF336" s="30">
        <v>0.13900000000000001</v>
      </c>
      <c r="AG336" s="30">
        <v>0.14299999999999999</v>
      </c>
      <c r="AH336" s="21">
        <f t="shared" si="84"/>
        <v>0.14099999999999999</v>
      </c>
      <c r="AI336" s="19">
        <v>0.13300000000000001</v>
      </c>
      <c r="AJ336" s="19">
        <v>0.13300000000000001</v>
      </c>
      <c r="AK336" s="21">
        <f t="shared" si="85"/>
        <v>0.13300000000000001</v>
      </c>
      <c r="AL336" s="19">
        <v>10.944000000000001</v>
      </c>
      <c r="AM336" s="19">
        <v>11.089</v>
      </c>
      <c r="AN336" s="21">
        <f t="shared" si="86"/>
        <v>11.016999999999999</v>
      </c>
      <c r="AO336" s="46">
        <v>8.8999999999999996E-2</v>
      </c>
      <c r="AP336" s="46">
        <v>9.0999999999999998E-2</v>
      </c>
      <c r="AQ336" s="45">
        <f t="shared" si="87"/>
        <v>0.09</v>
      </c>
      <c r="AR336" s="3">
        <v>9.26</v>
      </c>
      <c r="AS336" s="97">
        <v>2.59</v>
      </c>
    </row>
    <row r="337" spans="1:45">
      <c r="A337" s="7" t="s">
        <v>21</v>
      </c>
      <c r="B337" s="5" t="s">
        <v>82</v>
      </c>
      <c r="C337" s="6" t="s">
        <v>44</v>
      </c>
      <c r="D337" s="6" t="s">
        <v>83</v>
      </c>
      <c r="E337" s="23">
        <v>30.3</v>
      </c>
      <c r="F337" s="23">
        <v>7.1</v>
      </c>
      <c r="G337" s="41">
        <v>188</v>
      </c>
      <c r="H337" s="23">
        <v>7.6</v>
      </c>
      <c r="I337" s="23">
        <v>1.2</v>
      </c>
      <c r="J337" s="23">
        <v>5.5</v>
      </c>
      <c r="K337" s="15">
        <v>3.8</v>
      </c>
      <c r="L337" s="15">
        <v>3.8</v>
      </c>
      <c r="M337" s="20">
        <f t="shared" si="77"/>
        <v>3.8</v>
      </c>
      <c r="N337" s="37">
        <v>3.5</v>
      </c>
      <c r="O337" s="37">
        <v>3.5</v>
      </c>
      <c r="P337" s="38">
        <f t="shared" si="78"/>
        <v>3.5</v>
      </c>
      <c r="Q337" s="17">
        <v>1.282</v>
      </c>
      <c r="R337" s="17">
        <v>1.218</v>
      </c>
      <c r="S337" s="22">
        <f t="shared" si="79"/>
        <v>1.25</v>
      </c>
      <c r="T337" s="17">
        <v>1.208</v>
      </c>
      <c r="U337" s="17">
        <v>1.2030000000000001</v>
      </c>
      <c r="V337" s="22">
        <f t="shared" si="80"/>
        <v>1.206</v>
      </c>
      <c r="W337" s="17">
        <v>8.7999999999999995E-2</v>
      </c>
      <c r="X337" s="17">
        <v>8.8999999999999996E-2</v>
      </c>
      <c r="Y337" s="21">
        <f t="shared" si="81"/>
        <v>8.8999999999999996E-2</v>
      </c>
      <c r="Z337" s="19">
        <v>0.75800000000000001</v>
      </c>
      <c r="AA337" s="19">
        <v>0.76300000000000001</v>
      </c>
      <c r="AB337" s="21">
        <f t="shared" si="82"/>
        <v>0.76100000000000001</v>
      </c>
      <c r="AC337" s="19">
        <v>0.109</v>
      </c>
      <c r="AD337" s="19">
        <v>9.5000000000000001E-2</v>
      </c>
      <c r="AE337" s="21">
        <f t="shared" si="83"/>
        <v>0.10199999999999999</v>
      </c>
      <c r="AF337" s="30">
        <v>7.2999999999999995E-2</v>
      </c>
      <c r="AG337" s="30">
        <v>7.0999999999999994E-2</v>
      </c>
      <c r="AH337" s="21">
        <f t="shared" si="84"/>
        <v>7.1999999999999995E-2</v>
      </c>
      <c r="AI337" s="19">
        <v>5.6000000000000001E-2</v>
      </c>
      <c r="AJ337" s="19">
        <v>5.6000000000000001E-2</v>
      </c>
      <c r="AK337" s="21">
        <f t="shared" si="85"/>
        <v>5.6000000000000001E-2</v>
      </c>
      <c r="AL337" s="19">
        <v>7.9829999999999997</v>
      </c>
      <c r="AM337" s="19">
        <v>8.0739999999999998</v>
      </c>
      <c r="AN337" s="21">
        <f t="shared" si="86"/>
        <v>8.0289999999999999</v>
      </c>
      <c r="AO337" s="46">
        <v>0.1084</v>
      </c>
      <c r="AP337" s="46">
        <v>0.1106</v>
      </c>
      <c r="AQ337" s="45">
        <f t="shared" si="87"/>
        <v>0.1095</v>
      </c>
      <c r="AR337" s="3">
        <v>7.7</v>
      </c>
      <c r="AS337" s="97">
        <v>2.2200000000000002</v>
      </c>
    </row>
    <row r="338" spans="1:45">
      <c r="A338" s="7" t="s">
        <v>22</v>
      </c>
      <c r="B338" s="5" t="s">
        <v>84</v>
      </c>
      <c r="C338" s="6" t="s">
        <v>85</v>
      </c>
      <c r="D338" s="6" t="s">
        <v>36</v>
      </c>
      <c r="E338" s="23">
        <v>31.1</v>
      </c>
      <c r="F338" s="23">
        <v>7.4</v>
      </c>
      <c r="G338" s="41">
        <v>197</v>
      </c>
      <c r="H338" s="23">
        <v>8</v>
      </c>
      <c r="I338" s="23">
        <v>1.9</v>
      </c>
      <c r="J338" s="23">
        <v>5.2</v>
      </c>
      <c r="K338" s="15">
        <v>3.4</v>
      </c>
      <c r="L338" s="15">
        <v>3.5</v>
      </c>
      <c r="M338" s="20">
        <f t="shared" si="77"/>
        <v>3.5</v>
      </c>
      <c r="N338" s="37">
        <v>3.1</v>
      </c>
      <c r="O338" s="37">
        <v>3</v>
      </c>
      <c r="P338" s="38">
        <f t="shared" si="78"/>
        <v>3.1</v>
      </c>
      <c r="Q338" s="17">
        <v>1.7729999999999999</v>
      </c>
      <c r="R338" s="17">
        <v>1.766</v>
      </c>
      <c r="S338" s="22">
        <f t="shared" si="79"/>
        <v>1.77</v>
      </c>
      <c r="T338" s="17">
        <v>1.661</v>
      </c>
      <c r="U338" s="17">
        <v>1.6870000000000001</v>
      </c>
      <c r="V338" s="22">
        <f t="shared" si="80"/>
        <v>1.6739999999999999</v>
      </c>
      <c r="W338" s="17">
        <v>6.4000000000000001E-2</v>
      </c>
      <c r="X338" s="17">
        <v>6.6000000000000003E-2</v>
      </c>
      <c r="Y338" s="21">
        <f t="shared" si="81"/>
        <v>6.5000000000000002E-2</v>
      </c>
      <c r="Z338" s="19">
        <v>1.2649999999999999</v>
      </c>
      <c r="AA338" s="19">
        <v>1.276</v>
      </c>
      <c r="AB338" s="21">
        <f t="shared" si="82"/>
        <v>1.2709999999999999</v>
      </c>
      <c r="AC338" s="19">
        <v>0.161</v>
      </c>
      <c r="AD338" s="19">
        <v>0.14899999999999999</v>
      </c>
      <c r="AE338" s="21">
        <f t="shared" si="83"/>
        <v>0.155</v>
      </c>
      <c r="AF338" s="30">
        <v>0.10100000000000001</v>
      </c>
      <c r="AG338" s="30">
        <v>0.10199999999999999</v>
      </c>
      <c r="AH338" s="21">
        <f t="shared" si="84"/>
        <v>0.10199999999999999</v>
      </c>
      <c r="AI338" s="19">
        <v>8.8999999999999996E-2</v>
      </c>
      <c r="AJ338" s="19">
        <v>9.1999999999999998E-2</v>
      </c>
      <c r="AK338" s="21">
        <f t="shared" si="85"/>
        <v>9.0999999999999998E-2</v>
      </c>
      <c r="AL338" s="19">
        <v>10.654999999999999</v>
      </c>
      <c r="AM338" s="19">
        <v>10.702</v>
      </c>
      <c r="AN338" s="21">
        <f t="shared" si="86"/>
        <v>10.679</v>
      </c>
      <c r="AO338" s="46">
        <v>8.6499999999999994E-2</v>
      </c>
      <c r="AP338" s="46">
        <v>8.8700000000000001E-2</v>
      </c>
      <c r="AQ338" s="45">
        <f t="shared" si="87"/>
        <v>8.7599999999999997E-2</v>
      </c>
      <c r="AR338" s="3">
        <v>8.8800000000000008</v>
      </c>
      <c r="AS338" s="97">
        <v>3.25</v>
      </c>
    </row>
    <row r="339" spans="1:45">
      <c r="A339" s="7" t="s">
        <v>23</v>
      </c>
      <c r="B339" s="5" t="s">
        <v>86</v>
      </c>
      <c r="C339" s="6" t="s">
        <v>87</v>
      </c>
      <c r="D339" s="6" t="s">
        <v>88</v>
      </c>
      <c r="E339" s="23">
        <v>28.8</v>
      </c>
      <c r="F339" s="23">
        <v>7</v>
      </c>
      <c r="G339" s="41">
        <v>155</v>
      </c>
      <c r="H339" s="23">
        <v>7.4</v>
      </c>
      <c r="I339" s="23">
        <v>1</v>
      </c>
      <c r="J339" s="23">
        <v>5.9</v>
      </c>
      <c r="K339" s="15">
        <v>4.0999999999999996</v>
      </c>
      <c r="L339" s="15">
        <v>4.2</v>
      </c>
      <c r="M339" s="20">
        <f t="shared" si="77"/>
        <v>4.2</v>
      </c>
      <c r="N339" s="37">
        <v>3.9</v>
      </c>
      <c r="O339" s="37">
        <v>3.8</v>
      </c>
      <c r="P339" s="38">
        <f t="shared" si="78"/>
        <v>3.9</v>
      </c>
      <c r="Q339" s="17">
        <v>1.37</v>
      </c>
      <c r="R339" s="17">
        <v>1.3280000000000001</v>
      </c>
      <c r="S339" s="22">
        <f t="shared" si="79"/>
        <v>1.349</v>
      </c>
      <c r="T339" s="17">
        <v>1.2709999999999999</v>
      </c>
      <c r="U339" s="17">
        <v>1.2729999999999999</v>
      </c>
      <c r="V339" s="22">
        <f t="shared" si="80"/>
        <v>1.272</v>
      </c>
      <c r="W339" s="17">
        <v>2.3E-2</v>
      </c>
      <c r="X339" s="17">
        <v>2.1999999999999999E-2</v>
      </c>
      <c r="Y339" s="21">
        <f t="shared" si="81"/>
        <v>2.3E-2</v>
      </c>
      <c r="Z339" s="19">
        <v>0.93799999999999994</v>
      </c>
      <c r="AA339" s="19">
        <v>0.94199999999999995</v>
      </c>
      <c r="AB339" s="21">
        <f t="shared" si="82"/>
        <v>0.94</v>
      </c>
      <c r="AC339" s="19">
        <v>0.108</v>
      </c>
      <c r="AD339" s="19">
        <v>9.2999999999999999E-2</v>
      </c>
      <c r="AE339" s="21">
        <f t="shared" si="83"/>
        <v>0.10100000000000001</v>
      </c>
      <c r="AF339" s="30">
        <v>7.4999999999999997E-2</v>
      </c>
      <c r="AG339" s="30">
        <v>7.3999999999999996E-2</v>
      </c>
      <c r="AH339" s="21">
        <f t="shared" si="84"/>
        <v>7.4999999999999997E-2</v>
      </c>
      <c r="AI339" s="19">
        <v>6.6000000000000003E-2</v>
      </c>
      <c r="AJ339" s="19">
        <v>6.7000000000000004E-2</v>
      </c>
      <c r="AK339" s="21">
        <f t="shared" si="85"/>
        <v>6.7000000000000004E-2</v>
      </c>
      <c r="AL339" s="19">
        <v>7.8170000000000002</v>
      </c>
      <c r="AM339" s="19">
        <v>7.8280000000000003</v>
      </c>
      <c r="AN339" s="21">
        <f t="shared" si="86"/>
        <v>7.8230000000000004</v>
      </c>
      <c r="AO339" s="46">
        <v>0.1173</v>
      </c>
      <c r="AP339" s="46">
        <v>0.11799999999999999</v>
      </c>
      <c r="AQ339" s="45">
        <f t="shared" si="87"/>
        <v>0.1177</v>
      </c>
      <c r="AR339" s="3">
        <v>7.78</v>
      </c>
      <c r="AS339" s="97">
        <v>2.31</v>
      </c>
    </row>
    <row r="340" spans="1:45">
      <c r="A340" s="7" t="s">
        <v>24</v>
      </c>
      <c r="B340" s="5" t="s">
        <v>89</v>
      </c>
      <c r="C340" s="6" t="s">
        <v>42</v>
      </c>
      <c r="D340" s="6" t="s">
        <v>36</v>
      </c>
      <c r="E340" s="23">
        <v>31.8</v>
      </c>
      <c r="F340" s="23">
        <v>7.4</v>
      </c>
      <c r="G340" s="41">
        <v>209</v>
      </c>
      <c r="H340" s="23">
        <v>8.9</v>
      </c>
      <c r="I340" s="23">
        <v>1.5</v>
      </c>
      <c r="J340" s="23">
        <v>4.7</v>
      </c>
      <c r="K340" s="15">
        <v>3.4</v>
      </c>
      <c r="L340" s="15">
        <v>3.5</v>
      </c>
      <c r="M340" s="20">
        <f t="shared" si="77"/>
        <v>3.5</v>
      </c>
      <c r="N340" s="37">
        <v>3.1</v>
      </c>
      <c r="O340" s="37">
        <v>3</v>
      </c>
      <c r="P340" s="38">
        <f t="shared" si="78"/>
        <v>3.1</v>
      </c>
      <c r="Q340" s="17">
        <v>2.0750000000000002</v>
      </c>
      <c r="R340" s="17">
        <v>2.0139999999999998</v>
      </c>
      <c r="S340" s="22">
        <f t="shared" si="79"/>
        <v>2.0449999999999999</v>
      </c>
      <c r="T340" s="17">
        <v>1.9470000000000001</v>
      </c>
      <c r="U340" s="17">
        <v>1.964</v>
      </c>
      <c r="V340" s="22">
        <f t="shared" si="80"/>
        <v>1.956</v>
      </c>
      <c r="W340" s="17">
        <v>3.7999999999999999E-2</v>
      </c>
      <c r="X340" s="17">
        <v>3.5000000000000003E-2</v>
      </c>
      <c r="Y340" s="21">
        <f t="shared" si="81"/>
        <v>3.6999999999999998E-2</v>
      </c>
      <c r="Z340" s="19">
        <v>1.5589999999999999</v>
      </c>
      <c r="AA340" s="19">
        <v>1.591</v>
      </c>
      <c r="AB340" s="21">
        <f t="shared" si="82"/>
        <v>1.575</v>
      </c>
      <c r="AC340" s="19">
        <v>0.16900000000000001</v>
      </c>
      <c r="AD340" s="19">
        <v>0.153</v>
      </c>
      <c r="AE340" s="21">
        <f t="shared" si="83"/>
        <v>0.161</v>
      </c>
      <c r="AF340" s="30">
        <v>0.122</v>
      </c>
      <c r="AG340" s="30">
        <v>0.123</v>
      </c>
      <c r="AH340" s="21">
        <f t="shared" si="84"/>
        <v>0.123</v>
      </c>
      <c r="AI340" s="19">
        <v>0.114</v>
      </c>
      <c r="AJ340" s="19">
        <v>0.11600000000000001</v>
      </c>
      <c r="AK340" s="21">
        <f t="shared" si="85"/>
        <v>0.115</v>
      </c>
      <c r="AL340" s="19">
        <v>11.148999999999999</v>
      </c>
      <c r="AM340" s="19">
        <v>11.334</v>
      </c>
      <c r="AN340" s="21">
        <f t="shared" si="86"/>
        <v>11.242000000000001</v>
      </c>
      <c r="AO340" s="46">
        <v>8.6099999999999996E-2</v>
      </c>
      <c r="AP340" s="46">
        <v>8.8099999999999998E-2</v>
      </c>
      <c r="AQ340" s="45">
        <f t="shared" si="87"/>
        <v>8.7099999999999997E-2</v>
      </c>
      <c r="AR340" s="3">
        <v>10.16</v>
      </c>
      <c r="AS340" s="97">
        <v>5.48</v>
      </c>
    </row>
    <row r="341" spans="1:45">
      <c r="A341" s="7" t="s">
        <v>25</v>
      </c>
      <c r="B341" s="5" t="s">
        <v>90</v>
      </c>
      <c r="C341" s="6" t="s">
        <v>44</v>
      </c>
      <c r="D341" s="6" t="s">
        <v>91</v>
      </c>
      <c r="E341" s="23">
        <v>26.9</v>
      </c>
      <c r="F341" s="23">
        <v>7.3</v>
      </c>
      <c r="G341" s="41">
        <v>219</v>
      </c>
      <c r="H341" s="23">
        <v>7.4</v>
      </c>
      <c r="I341" s="23">
        <v>1.1000000000000001</v>
      </c>
      <c r="J341" s="23">
        <v>5.6</v>
      </c>
      <c r="K341" s="15">
        <v>4</v>
      </c>
      <c r="L341" s="15">
        <v>4</v>
      </c>
      <c r="M341" s="20">
        <f t="shared" si="77"/>
        <v>4</v>
      </c>
      <c r="N341" s="37">
        <v>3.6</v>
      </c>
      <c r="O341" s="37">
        <v>3.5</v>
      </c>
      <c r="P341" s="38">
        <f t="shared" si="78"/>
        <v>3.6</v>
      </c>
      <c r="Q341" s="17">
        <v>3.0630000000000002</v>
      </c>
      <c r="R341" s="17">
        <v>3.1110000000000002</v>
      </c>
      <c r="S341" s="22">
        <f t="shared" si="79"/>
        <v>3.0870000000000002</v>
      </c>
      <c r="T341" s="17">
        <v>3.056</v>
      </c>
      <c r="U341" s="17">
        <v>3.0710000000000002</v>
      </c>
      <c r="V341" s="22">
        <f t="shared" si="80"/>
        <v>3.0640000000000001</v>
      </c>
      <c r="W341" s="17">
        <v>0.04</v>
      </c>
      <c r="X341" s="17">
        <v>4.1000000000000002E-2</v>
      </c>
      <c r="Y341" s="21">
        <f t="shared" si="81"/>
        <v>4.1000000000000002E-2</v>
      </c>
      <c r="Z341" s="19">
        <v>2.552</v>
      </c>
      <c r="AA341" s="19">
        <v>2.6269999999999998</v>
      </c>
      <c r="AB341" s="21">
        <f t="shared" si="82"/>
        <v>2.59</v>
      </c>
      <c r="AC341" s="19">
        <v>0.14199999999999999</v>
      </c>
      <c r="AD341" s="19">
        <v>0.128</v>
      </c>
      <c r="AE341" s="21">
        <f t="shared" si="83"/>
        <v>0.13500000000000001</v>
      </c>
      <c r="AF341" s="30">
        <v>9.4E-2</v>
      </c>
      <c r="AG341" s="30">
        <v>9.1999999999999998E-2</v>
      </c>
      <c r="AH341" s="21">
        <f t="shared" si="84"/>
        <v>9.2999999999999999E-2</v>
      </c>
      <c r="AI341" s="19">
        <v>8.4000000000000005E-2</v>
      </c>
      <c r="AJ341" s="19">
        <v>8.3000000000000004E-2</v>
      </c>
      <c r="AK341" s="21">
        <f t="shared" si="85"/>
        <v>8.4000000000000005E-2</v>
      </c>
      <c r="AL341" s="19">
        <v>9.5549999999999997</v>
      </c>
      <c r="AM341" s="19">
        <v>9.84</v>
      </c>
      <c r="AN341" s="21">
        <f t="shared" si="86"/>
        <v>9.6980000000000004</v>
      </c>
      <c r="AO341" s="46">
        <v>0.11459999999999999</v>
      </c>
      <c r="AP341" s="46">
        <v>0.1162</v>
      </c>
      <c r="AQ341" s="45">
        <f t="shared" si="87"/>
        <v>0.1154</v>
      </c>
      <c r="AR341" s="3">
        <v>6.4</v>
      </c>
      <c r="AS341" s="97">
        <v>4.04</v>
      </c>
    </row>
    <row r="342" spans="1:45">
      <c r="A342" s="7" t="s">
        <v>26</v>
      </c>
      <c r="B342" s="5" t="s">
        <v>92</v>
      </c>
      <c r="C342" s="6" t="s">
        <v>93</v>
      </c>
      <c r="D342" s="6" t="s">
        <v>36</v>
      </c>
      <c r="E342" s="23">
        <v>30.9</v>
      </c>
      <c r="F342" s="23">
        <v>7.6</v>
      </c>
      <c r="G342" s="41">
        <v>195</v>
      </c>
      <c r="H342" s="23">
        <v>8.6</v>
      </c>
      <c r="I342" s="23">
        <v>2.2000000000000002</v>
      </c>
      <c r="J342" s="23">
        <v>5.5</v>
      </c>
      <c r="K342" s="15">
        <v>3.9</v>
      </c>
      <c r="L342" s="15">
        <v>3.9</v>
      </c>
      <c r="M342" s="20">
        <f t="shared" si="77"/>
        <v>3.9</v>
      </c>
      <c r="N342" s="37">
        <v>3.4</v>
      </c>
      <c r="O342" s="37">
        <v>3.3</v>
      </c>
      <c r="P342" s="38">
        <f t="shared" si="78"/>
        <v>3.4</v>
      </c>
      <c r="Q342" s="17">
        <v>1.9279999999999999</v>
      </c>
      <c r="R342" s="17">
        <v>1.8620000000000001</v>
      </c>
      <c r="S342" s="22">
        <f t="shared" si="79"/>
        <v>1.895</v>
      </c>
      <c r="T342" s="17">
        <v>1.794</v>
      </c>
      <c r="U342" s="17">
        <v>1.78</v>
      </c>
      <c r="V342" s="22">
        <f t="shared" si="80"/>
        <v>1.7869999999999999</v>
      </c>
      <c r="W342" s="17">
        <v>4.4999999999999998E-2</v>
      </c>
      <c r="X342" s="17">
        <v>4.7E-2</v>
      </c>
      <c r="Y342" s="21">
        <f t="shared" si="81"/>
        <v>4.5999999999999999E-2</v>
      </c>
      <c r="Z342" s="19">
        <v>1.429</v>
      </c>
      <c r="AA342" s="19">
        <v>1.4339999999999999</v>
      </c>
      <c r="AB342" s="21">
        <f t="shared" si="82"/>
        <v>1.4319999999999999</v>
      </c>
      <c r="AC342" s="19">
        <v>0.14799999999999999</v>
      </c>
      <c r="AD342" s="19">
        <v>0.13100000000000001</v>
      </c>
      <c r="AE342" s="21">
        <f t="shared" si="83"/>
        <v>0.14000000000000001</v>
      </c>
      <c r="AF342" s="30">
        <v>8.8999999999999996E-2</v>
      </c>
      <c r="AG342" s="30">
        <v>8.7999999999999995E-2</v>
      </c>
      <c r="AH342" s="21">
        <f t="shared" si="84"/>
        <v>8.8999999999999996E-2</v>
      </c>
      <c r="AI342" s="19">
        <v>7.9000000000000001E-2</v>
      </c>
      <c r="AJ342" s="19">
        <v>7.4999999999999997E-2</v>
      </c>
      <c r="AK342" s="21">
        <f t="shared" si="85"/>
        <v>7.6999999999999999E-2</v>
      </c>
      <c r="AL342" s="19">
        <v>10.539</v>
      </c>
      <c r="AM342" s="19">
        <v>10.558</v>
      </c>
      <c r="AN342" s="21">
        <f t="shared" si="86"/>
        <v>10.548999999999999</v>
      </c>
      <c r="AO342" s="46">
        <v>9.1200000000000003E-2</v>
      </c>
      <c r="AP342" s="46">
        <v>9.3799999999999994E-2</v>
      </c>
      <c r="AQ342" s="45">
        <f t="shared" si="87"/>
        <v>9.2499999999999999E-2</v>
      </c>
      <c r="AR342" s="3">
        <v>8.77</v>
      </c>
      <c r="AS342" s="97">
        <v>4.63</v>
      </c>
    </row>
    <row r="343" spans="1:45">
      <c r="A343" s="7" t="s">
        <v>27</v>
      </c>
      <c r="B343" s="5" t="s">
        <v>94</v>
      </c>
      <c r="C343" s="6" t="s">
        <v>95</v>
      </c>
      <c r="D343" s="6" t="s">
        <v>96</v>
      </c>
      <c r="E343" s="23">
        <v>24.7</v>
      </c>
      <c r="F343" s="23">
        <v>8.1999999999999993</v>
      </c>
      <c r="G343" s="41">
        <v>198</v>
      </c>
      <c r="H343" s="23">
        <v>4.8</v>
      </c>
      <c r="I343" s="23">
        <v>0.7</v>
      </c>
      <c r="J343" s="23">
        <v>3</v>
      </c>
      <c r="K343" s="15">
        <v>2.2000000000000002</v>
      </c>
      <c r="L343" s="15">
        <v>2.5</v>
      </c>
      <c r="M343" s="20">
        <f t="shared" si="77"/>
        <v>2.4</v>
      </c>
      <c r="N343" s="37">
        <v>1.9</v>
      </c>
      <c r="O343" s="37">
        <v>1.9</v>
      </c>
      <c r="P343" s="38">
        <f t="shared" si="78"/>
        <v>1.9</v>
      </c>
      <c r="Q343" s="17">
        <v>1.117</v>
      </c>
      <c r="R343" s="17">
        <v>1.0629999999999999</v>
      </c>
      <c r="S343" s="22">
        <f t="shared" si="79"/>
        <v>1.0900000000000001</v>
      </c>
      <c r="T343" s="17">
        <v>1.0069999999999999</v>
      </c>
      <c r="U343" s="17">
        <v>0.98699999999999999</v>
      </c>
      <c r="V343" s="22">
        <f t="shared" si="80"/>
        <v>0.997</v>
      </c>
      <c r="W343" s="17">
        <v>1.7999999999999999E-2</v>
      </c>
      <c r="X343" s="17">
        <v>1.7000000000000001E-2</v>
      </c>
      <c r="Y343" s="21">
        <f t="shared" si="81"/>
        <v>1.7999999999999999E-2</v>
      </c>
      <c r="Z343" s="19">
        <v>0.82699999999999996</v>
      </c>
      <c r="AA343" s="19">
        <v>0.83799999999999997</v>
      </c>
      <c r="AB343" s="21">
        <f t="shared" si="82"/>
        <v>0.83299999999999996</v>
      </c>
      <c r="AC343" s="19">
        <v>6.0999999999999999E-2</v>
      </c>
      <c r="AD343" s="19">
        <v>4.8000000000000001E-2</v>
      </c>
      <c r="AE343" s="21">
        <f t="shared" si="83"/>
        <v>5.5E-2</v>
      </c>
      <c r="AF343" s="30">
        <v>4.2000000000000003E-2</v>
      </c>
      <c r="AG343" s="30">
        <v>3.9E-2</v>
      </c>
      <c r="AH343" s="21">
        <f t="shared" si="84"/>
        <v>4.1000000000000002E-2</v>
      </c>
      <c r="AI343" s="19">
        <v>3.5999999999999997E-2</v>
      </c>
      <c r="AJ343" s="19">
        <v>3.4000000000000002E-2</v>
      </c>
      <c r="AK343" s="21">
        <f t="shared" si="85"/>
        <v>3.5000000000000003E-2</v>
      </c>
      <c r="AL343" s="19">
        <v>9.6470000000000002</v>
      </c>
      <c r="AM343" s="19">
        <v>9.7590000000000003</v>
      </c>
      <c r="AN343" s="21">
        <f t="shared" si="86"/>
        <v>9.7029999999999994</v>
      </c>
      <c r="AO343" s="46">
        <v>5.3600000000000002E-2</v>
      </c>
      <c r="AP343" s="46">
        <v>5.5899999999999998E-2</v>
      </c>
      <c r="AQ343" s="45">
        <f t="shared" si="87"/>
        <v>5.4800000000000001E-2</v>
      </c>
      <c r="AR343" s="3">
        <v>13.99</v>
      </c>
      <c r="AS343" s="97">
        <v>6.17</v>
      </c>
    </row>
    <row r="344" spans="1:45">
      <c r="A344" s="7" t="s">
        <v>28</v>
      </c>
      <c r="B344" s="5" t="s">
        <v>97</v>
      </c>
      <c r="C344" s="6" t="s">
        <v>98</v>
      </c>
      <c r="D344" s="6" t="s">
        <v>36</v>
      </c>
      <c r="E344" s="23">
        <v>30.8</v>
      </c>
      <c r="F344" s="23">
        <v>7.3</v>
      </c>
      <c r="G344" s="41">
        <v>180</v>
      </c>
      <c r="H344" s="23">
        <v>6.3</v>
      </c>
      <c r="I344" s="23">
        <v>2.7</v>
      </c>
      <c r="J344" s="23">
        <v>5.0999999999999996</v>
      </c>
      <c r="K344" s="15">
        <v>3.3</v>
      </c>
      <c r="L344" s="15">
        <v>3.4</v>
      </c>
      <c r="M344" s="20">
        <f t="shared" si="77"/>
        <v>3.4</v>
      </c>
      <c r="N344" s="37">
        <v>3.1</v>
      </c>
      <c r="O344" s="37">
        <v>3</v>
      </c>
      <c r="P344" s="38">
        <f t="shared" si="78"/>
        <v>3.1</v>
      </c>
      <c r="Q344" s="17">
        <v>1.75</v>
      </c>
      <c r="R344" s="17">
        <v>1.6970000000000001</v>
      </c>
      <c r="S344" s="22">
        <f t="shared" si="79"/>
        <v>1.724</v>
      </c>
      <c r="T344" s="17">
        <v>1.611</v>
      </c>
      <c r="U344" s="17">
        <v>1.6180000000000001</v>
      </c>
      <c r="V344" s="22">
        <f t="shared" si="80"/>
        <v>1.615</v>
      </c>
      <c r="W344" s="17">
        <v>2.5000000000000001E-2</v>
      </c>
      <c r="X344" s="17">
        <v>2.9000000000000001E-2</v>
      </c>
      <c r="Y344" s="21">
        <f t="shared" si="81"/>
        <v>2.7E-2</v>
      </c>
      <c r="Z344" s="19">
        <v>1.304</v>
      </c>
      <c r="AA344" s="19">
        <v>1.31</v>
      </c>
      <c r="AB344" s="21">
        <f t="shared" si="82"/>
        <v>1.3069999999999999</v>
      </c>
      <c r="AC344" s="19">
        <v>0.12</v>
      </c>
      <c r="AD344" s="19">
        <v>0.107</v>
      </c>
      <c r="AE344" s="21">
        <f t="shared" si="83"/>
        <v>0.114</v>
      </c>
      <c r="AF344" s="30">
        <v>7.3999999999999996E-2</v>
      </c>
      <c r="AG344" s="30">
        <v>7.8E-2</v>
      </c>
      <c r="AH344" s="21">
        <f t="shared" si="84"/>
        <v>7.5999999999999998E-2</v>
      </c>
      <c r="AI344" s="19">
        <v>6.9000000000000006E-2</v>
      </c>
      <c r="AJ344" s="19">
        <v>7.0000000000000007E-2</v>
      </c>
      <c r="AK344" s="21">
        <f t="shared" si="85"/>
        <v>7.0000000000000007E-2</v>
      </c>
      <c r="AL344" s="19">
        <v>10.151999999999999</v>
      </c>
      <c r="AM344" s="19">
        <v>10.172000000000001</v>
      </c>
      <c r="AN344" s="21">
        <f t="shared" si="86"/>
        <v>10.162000000000001</v>
      </c>
      <c r="AO344" s="46">
        <v>8.6099999999999996E-2</v>
      </c>
      <c r="AP344" s="46">
        <v>8.7599999999999997E-2</v>
      </c>
      <c r="AQ344" s="45">
        <f t="shared" si="87"/>
        <v>8.6900000000000005E-2</v>
      </c>
      <c r="AR344" s="3">
        <v>9.02</v>
      </c>
      <c r="AS344" s="97">
        <v>4.45</v>
      </c>
    </row>
    <row r="345" spans="1:45">
      <c r="A345" s="7" t="s">
        <v>29</v>
      </c>
      <c r="B345" s="5" t="s">
        <v>99</v>
      </c>
      <c r="C345" s="6" t="s">
        <v>44</v>
      </c>
      <c r="D345" s="6" t="s">
        <v>100</v>
      </c>
      <c r="E345" s="23">
        <v>29.6</v>
      </c>
      <c r="F345" s="23">
        <v>8.9</v>
      </c>
      <c r="G345" s="41">
        <v>213</v>
      </c>
      <c r="H345" s="23">
        <v>5</v>
      </c>
      <c r="I345" s="23">
        <v>1.3</v>
      </c>
      <c r="J345" s="23">
        <v>6.5</v>
      </c>
      <c r="K345" s="15">
        <v>4.5999999999999996</v>
      </c>
      <c r="L345" s="15">
        <v>4.5999999999999996</v>
      </c>
      <c r="M345" s="20">
        <f t="shared" si="77"/>
        <v>4.5999999999999996</v>
      </c>
      <c r="N345" s="37">
        <v>4.0999999999999996</v>
      </c>
      <c r="O345" s="37">
        <v>4.0999999999999996</v>
      </c>
      <c r="P345" s="38">
        <f t="shared" si="78"/>
        <v>4.0999999999999996</v>
      </c>
      <c r="Q345" s="17">
        <v>1.927</v>
      </c>
      <c r="R345" s="17">
        <v>1.921</v>
      </c>
      <c r="S345" s="22">
        <f t="shared" si="79"/>
        <v>1.9239999999999999</v>
      </c>
      <c r="T345" s="17">
        <v>1.839</v>
      </c>
      <c r="U345" s="17">
        <v>1.8540000000000001</v>
      </c>
      <c r="V345" s="22">
        <f t="shared" si="80"/>
        <v>1.847</v>
      </c>
      <c r="W345" s="17">
        <v>0.247</v>
      </c>
      <c r="X345" s="17">
        <v>0.246</v>
      </c>
      <c r="Y345" s="21">
        <f t="shared" si="81"/>
        <v>0.247</v>
      </c>
      <c r="Z345" s="19">
        <v>1.177</v>
      </c>
      <c r="AA345" s="19">
        <v>1.1870000000000001</v>
      </c>
      <c r="AB345" s="21">
        <f t="shared" si="82"/>
        <v>1.1819999999999999</v>
      </c>
      <c r="AC345" s="19">
        <v>0.29199999999999998</v>
      </c>
      <c r="AD345" s="19">
        <v>0.28599999999999998</v>
      </c>
      <c r="AE345" s="21">
        <f t="shared" si="83"/>
        <v>0.28899999999999998</v>
      </c>
      <c r="AF345" s="30">
        <v>0.24099999999999999</v>
      </c>
      <c r="AG345" s="30">
        <v>0.251</v>
      </c>
      <c r="AH345" s="21">
        <f t="shared" si="84"/>
        <v>0.246</v>
      </c>
      <c r="AI345" s="19">
        <v>0.22800000000000001</v>
      </c>
      <c r="AJ345" s="19">
        <v>0.22900000000000001</v>
      </c>
      <c r="AK345" s="21">
        <f t="shared" si="85"/>
        <v>0.22900000000000001</v>
      </c>
      <c r="AL345" s="19">
        <v>12.7</v>
      </c>
      <c r="AM345" s="19">
        <v>12.766</v>
      </c>
      <c r="AN345" s="21">
        <f t="shared" si="86"/>
        <v>12.733000000000001</v>
      </c>
      <c r="AO345" s="46">
        <v>0.1162</v>
      </c>
      <c r="AP345" s="46">
        <v>0.11749999999999999</v>
      </c>
      <c r="AQ345" s="45">
        <f t="shared" si="87"/>
        <v>0.1169</v>
      </c>
      <c r="AR345" s="3">
        <v>9.9600000000000009</v>
      </c>
      <c r="AS345" s="97">
        <v>4.8600000000000003</v>
      </c>
    </row>
    <row r="346" spans="1:45">
      <c r="A346" s="7" t="s">
        <v>30</v>
      </c>
      <c r="B346" s="5" t="s">
        <v>101</v>
      </c>
      <c r="C346" s="6" t="s">
        <v>44</v>
      </c>
      <c r="D346" s="6" t="s">
        <v>160</v>
      </c>
      <c r="E346" s="23">
        <v>31</v>
      </c>
      <c r="F346" s="23">
        <v>8.8000000000000007</v>
      </c>
      <c r="G346" s="41">
        <v>282</v>
      </c>
      <c r="H346" s="23">
        <v>7.3</v>
      </c>
      <c r="I346" s="23">
        <v>1.5</v>
      </c>
      <c r="J346" s="23">
        <v>5.6</v>
      </c>
      <c r="K346" s="15">
        <v>4</v>
      </c>
      <c r="L346" s="15">
        <v>4.2</v>
      </c>
      <c r="M346" s="20">
        <f t="shared" si="77"/>
        <v>4.0999999999999996</v>
      </c>
      <c r="N346" s="37">
        <v>3.5</v>
      </c>
      <c r="O346" s="37">
        <v>3.5</v>
      </c>
      <c r="P346" s="38">
        <f t="shared" si="78"/>
        <v>3.5</v>
      </c>
      <c r="Q346" s="17">
        <v>2.46</v>
      </c>
      <c r="R346" s="17">
        <v>2.4239999999999999</v>
      </c>
      <c r="S346" s="22">
        <f t="shared" si="79"/>
        <v>2.4420000000000002</v>
      </c>
      <c r="T346" s="17">
        <v>2.351</v>
      </c>
      <c r="U346" s="17">
        <v>2.355</v>
      </c>
      <c r="V346" s="22">
        <f t="shared" si="80"/>
        <v>2.3530000000000002</v>
      </c>
      <c r="W346" s="17">
        <v>0.25900000000000001</v>
      </c>
      <c r="X346" s="17">
        <v>0.26100000000000001</v>
      </c>
      <c r="Y346" s="21">
        <f t="shared" si="81"/>
        <v>0.26</v>
      </c>
      <c r="Z346" s="19">
        <v>1.6220000000000001</v>
      </c>
      <c r="AA346" s="19">
        <v>1.6259999999999999</v>
      </c>
      <c r="AB346" s="21">
        <f t="shared" si="82"/>
        <v>1.6240000000000001</v>
      </c>
      <c r="AC346" s="19">
        <v>0.17799999999999999</v>
      </c>
      <c r="AD346" s="19">
        <v>0.161</v>
      </c>
      <c r="AE346" s="21">
        <f t="shared" si="83"/>
        <v>0.17</v>
      </c>
      <c r="AF346" s="30">
        <v>0.11799999999999999</v>
      </c>
      <c r="AG346" s="30">
        <v>0.11799999999999999</v>
      </c>
      <c r="AH346" s="21">
        <f t="shared" si="84"/>
        <v>0.11799999999999999</v>
      </c>
      <c r="AI346" s="19">
        <v>0.106</v>
      </c>
      <c r="AJ346" s="19">
        <v>0.10199999999999999</v>
      </c>
      <c r="AK346" s="21">
        <f t="shared" si="85"/>
        <v>0.104</v>
      </c>
      <c r="AL346" s="19">
        <v>30.443000000000001</v>
      </c>
      <c r="AM346" s="19">
        <v>29.927</v>
      </c>
      <c r="AN346" s="21">
        <f t="shared" si="86"/>
        <v>30.184999999999999</v>
      </c>
      <c r="AO346" s="46">
        <v>9.4200000000000006E-2</v>
      </c>
      <c r="AP346" s="46">
        <v>9.5399999999999999E-2</v>
      </c>
      <c r="AQ346" s="45">
        <f t="shared" si="87"/>
        <v>9.4799999999999995E-2</v>
      </c>
      <c r="AR346" s="3">
        <v>10.63</v>
      </c>
      <c r="AS346" s="97">
        <v>2.4700000000000002</v>
      </c>
    </row>
    <row r="347" spans="1:45">
      <c r="A347" s="7" t="s">
        <v>31</v>
      </c>
      <c r="B347" s="5" t="s">
        <v>102</v>
      </c>
      <c r="C347" s="6" t="s">
        <v>103</v>
      </c>
      <c r="D347" s="6" t="s">
        <v>36</v>
      </c>
      <c r="E347" s="23">
        <v>31.8</v>
      </c>
      <c r="F347" s="23">
        <v>9.1</v>
      </c>
      <c r="G347" s="41">
        <v>180</v>
      </c>
      <c r="H347" s="23">
        <v>8</v>
      </c>
      <c r="I347" s="23">
        <v>1.4</v>
      </c>
      <c r="J347" s="23">
        <v>5.0999999999999996</v>
      </c>
      <c r="K347" s="15">
        <v>3.4</v>
      </c>
      <c r="L347" s="15">
        <v>3.5</v>
      </c>
      <c r="M347" s="20">
        <f t="shared" si="77"/>
        <v>3.5</v>
      </c>
      <c r="N347" s="37">
        <v>3.1</v>
      </c>
      <c r="O347" s="37">
        <v>3</v>
      </c>
      <c r="P347" s="38">
        <f t="shared" si="78"/>
        <v>3.1</v>
      </c>
      <c r="Q347" s="17">
        <v>1.5940000000000001</v>
      </c>
      <c r="R347" s="17">
        <v>1.5409999999999999</v>
      </c>
      <c r="S347" s="22">
        <f t="shared" si="79"/>
        <v>1.5680000000000001</v>
      </c>
      <c r="T347" s="17">
        <v>1.5680000000000001</v>
      </c>
      <c r="U347" s="17">
        <v>1.552</v>
      </c>
      <c r="V347" s="22">
        <f t="shared" si="80"/>
        <v>1.56</v>
      </c>
      <c r="W347" s="17">
        <v>2.4E-2</v>
      </c>
      <c r="X347" s="17">
        <v>5.6000000000000001E-2</v>
      </c>
      <c r="Y347" s="21">
        <f t="shared" si="81"/>
        <v>0.04</v>
      </c>
      <c r="Z347" s="19">
        <v>1.224</v>
      </c>
      <c r="AA347" s="19">
        <v>1.242</v>
      </c>
      <c r="AB347" s="21">
        <f t="shared" si="82"/>
        <v>1.2330000000000001</v>
      </c>
      <c r="AC347" s="19">
        <v>0.13900000000000001</v>
      </c>
      <c r="AD347" s="19">
        <v>0.11700000000000001</v>
      </c>
      <c r="AE347" s="21">
        <f t="shared" si="83"/>
        <v>0.128</v>
      </c>
      <c r="AF347" s="30">
        <v>9.4E-2</v>
      </c>
      <c r="AG347" s="30">
        <v>9.1999999999999998E-2</v>
      </c>
      <c r="AH347" s="21">
        <f t="shared" si="84"/>
        <v>9.2999999999999999E-2</v>
      </c>
      <c r="AI347" s="19">
        <v>8.5000000000000006E-2</v>
      </c>
      <c r="AJ347" s="19">
        <v>8.4000000000000005E-2</v>
      </c>
      <c r="AK347" s="21">
        <f t="shared" si="85"/>
        <v>8.5000000000000006E-2</v>
      </c>
      <c r="AL347" s="19">
        <v>10.673999999999999</v>
      </c>
      <c r="AM347" s="19">
        <v>10.782</v>
      </c>
      <c r="AN347" s="21">
        <f t="shared" si="86"/>
        <v>10.728</v>
      </c>
      <c r="AO347" s="46">
        <v>8.43E-2</v>
      </c>
      <c r="AP347" s="46">
        <v>8.5900000000000004E-2</v>
      </c>
      <c r="AQ347" s="45">
        <f t="shared" si="87"/>
        <v>8.5099999999999995E-2</v>
      </c>
      <c r="AR347" s="3">
        <v>9.52</v>
      </c>
      <c r="AS347" s="97">
        <v>4.3</v>
      </c>
    </row>
    <row r="348" spans="1:45">
      <c r="A348" s="7" t="s">
        <v>32</v>
      </c>
      <c r="B348" s="5" t="s">
        <v>104</v>
      </c>
      <c r="C348" s="6" t="s">
        <v>44</v>
      </c>
      <c r="D348" s="6" t="s">
        <v>105</v>
      </c>
      <c r="E348" s="23">
        <v>31.3</v>
      </c>
      <c r="F348" s="23">
        <v>9.5</v>
      </c>
      <c r="G348" s="41">
        <v>194</v>
      </c>
      <c r="H348" s="23">
        <v>6.7</v>
      </c>
      <c r="I348" s="23">
        <v>1.4</v>
      </c>
      <c r="J348" s="23">
        <v>5.6</v>
      </c>
      <c r="K348" s="15">
        <v>4</v>
      </c>
      <c r="L348" s="15">
        <v>3.8</v>
      </c>
      <c r="M348" s="20">
        <f t="shared" si="77"/>
        <v>3.9</v>
      </c>
      <c r="N348" s="37">
        <v>3.5</v>
      </c>
      <c r="O348" s="37">
        <v>3.6</v>
      </c>
      <c r="P348" s="38">
        <f t="shared" si="78"/>
        <v>3.6</v>
      </c>
      <c r="Q348" s="17">
        <v>1.913</v>
      </c>
      <c r="R348" s="17">
        <v>1.879</v>
      </c>
      <c r="S348" s="22">
        <f t="shared" si="79"/>
        <v>1.8959999999999999</v>
      </c>
      <c r="T348" s="17">
        <v>1.7949999999999999</v>
      </c>
      <c r="U348" s="17">
        <v>1.7889999999999999</v>
      </c>
      <c r="V348" s="22">
        <f t="shared" si="80"/>
        <v>1.792</v>
      </c>
      <c r="W348" s="17">
        <v>9.5000000000000001E-2</v>
      </c>
      <c r="X348" s="17">
        <v>8.2000000000000003E-2</v>
      </c>
      <c r="Y348" s="21">
        <f t="shared" si="81"/>
        <v>8.8999999999999996E-2</v>
      </c>
      <c r="Z348" s="19">
        <v>1.3280000000000001</v>
      </c>
      <c r="AA348" s="19">
        <v>1.3420000000000001</v>
      </c>
      <c r="AB348" s="21">
        <f t="shared" si="82"/>
        <v>1.335</v>
      </c>
      <c r="AC348" s="19">
        <v>0.184</v>
      </c>
      <c r="AD348" s="19">
        <v>0.17199999999999999</v>
      </c>
      <c r="AE348" s="21">
        <f t="shared" si="83"/>
        <v>0.17799999999999999</v>
      </c>
      <c r="AF348" s="30">
        <v>0.123</v>
      </c>
      <c r="AG348" s="30">
        <v>0.125</v>
      </c>
      <c r="AH348" s="21">
        <f t="shared" si="84"/>
        <v>0.124</v>
      </c>
      <c r="AI348" s="19">
        <v>0.121</v>
      </c>
      <c r="AJ348" s="19">
        <v>0.122</v>
      </c>
      <c r="AK348" s="21">
        <f t="shared" si="85"/>
        <v>0.122</v>
      </c>
      <c r="AL348" s="19">
        <v>11.593</v>
      </c>
      <c r="AM348" s="19">
        <v>11.693</v>
      </c>
      <c r="AN348" s="21">
        <f t="shared" si="86"/>
        <v>11.643000000000001</v>
      </c>
      <c r="AO348" s="46">
        <v>0.1046</v>
      </c>
      <c r="AP348" s="46">
        <v>0.1065</v>
      </c>
      <c r="AQ348" s="45">
        <f t="shared" si="87"/>
        <v>0.1056</v>
      </c>
      <c r="AR348" s="3">
        <v>9.2899999999999991</v>
      </c>
      <c r="AS348" s="97">
        <v>4</v>
      </c>
    </row>
    <row r="349" spans="1:45">
      <c r="A349" s="7" t="s">
        <v>33</v>
      </c>
      <c r="B349" s="5" t="s">
        <v>106</v>
      </c>
      <c r="C349" s="6" t="s">
        <v>107</v>
      </c>
      <c r="D349" s="6" t="s">
        <v>36</v>
      </c>
      <c r="E349" s="23">
        <v>31.9</v>
      </c>
      <c r="F349" s="23">
        <v>9.3000000000000007</v>
      </c>
      <c r="G349" s="41">
        <v>192</v>
      </c>
      <c r="H349" s="23">
        <v>7.9</v>
      </c>
      <c r="I349" s="23">
        <v>1.5</v>
      </c>
      <c r="J349" s="23">
        <v>5.5</v>
      </c>
      <c r="K349" s="15">
        <v>3.7</v>
      </c>
      <c r="L349" s="15">
        <v>3.6</v>
      </c>
      <c r="M349" s="20">
        <f t="shared" si="77"/>
        <v>3.7</v>
      </c>
      <c r="N349" s="37">
        <v>3.1</v>
      </c>
      <c r="O349" s="37">
        <v>3</v>
      </c>
      <c r="P349" s="38">
        <f t="shared" si="78"/>
        <v>3.1</v>
      </c>
      <c r="Q349" s="17">
        <v>2.0289999999999999</v>
      </c>
      <c r="R349" s="17">
        <v>2.0350000000000001</v>
      </c>
      <c r="S349" s="22">
        <f t="shared" si="79"/>
        <v>2.032</v>
      </c>
      <c r="T349" s="17">
        <v>1.899</v>
      </c>
      <c r="U349" s="17">
        <v>1.9139999999999999</v>
      </c>
      <c r="V349" s="22">
        <f t="shared" si="80"/>
        <v>1.907</v>
      </c>
      <c r="W349" s="17">
        <v>3.5999999999999997E-2</v>
      </c>
      <c r="X349" s="17">
        <v>4.5999999999999999E-2</v>
      </c>
      <c r="Y349" s="21">
        <f t="shared" si="81"/>
        <v>4.1000000000000002E-2</v>
      </c>
      <c r="Z349" s="19">
        <v>1.5609999999999999</v>
      </c>
      <c r="AA349" s="19">
        <v>1.6160000000000001</v>
      </c>
      <c r="AB349" s="21">
        <f t="shared" si="82"/>
        <v>1.589</v>
      </c>
      <c r="AC349" s="19">
        <v>0.16600000000000001</v>
      </c>
      <c r="AD349" s="19">
        <v>0.151</v>
      </c>
      <c r="AE349" s="21">
        <f t="shared" si="83"/>
        <v>0.159</v>
      </c>
      <c r="AF349" s="30">
        <v>0.109</v>
      </c>
      <c r="AG349" s="30">
        <v>0.112</v>
      </c>
      <c r="AH349" s="21">
        <f t="shared" si="84"/>
        <v>0.111</v>
      </c>
      <c r="AI349" s="19">
        <v>0.1</v>
      </c>
      <c r="AJ349" s="19">
        <v>9.5000000000000001E-2</v>
      </c>
      <c r="AK349" s="21">
        <f t="shared" si="85"/>
        <v>9.8000000000000004E-2</v>
      </c>
      <c r="AL349" s="19">
        <v>11.712</v>
      </c>
      <c r="AM349" s="19">
        <v>12.114000000000001</v>
      </c>
      <c r="AN349" s="21">
        <f t="shared" si="86"/>
        <v>11.913</v>
      </c>
      <c r="AO349" s="46">
        <v>8.4699999999999998E-2</v>
      </c>
      <c r="AP349" s="46">
        <v>8.6599999999999996E-2</v>
      </c>
      <c r="AQ349" s="45">
        <f t="shared" si="87"/>
        <v>8.5699999999999998E-2</v>
      </c>
      <c r="AR349" s="3">
        <v>10.68</v>
      </c>
      <c r="AS349" s="97">
        <v>3.97</v>
      </c>
    </row>
    <row r="350" spans="1:45">
      <c r="A350" s="7" t="s">
        <v>137</v>
      </c>
      <c r="B350" s="5" t="s">
        <v>138</v>
      </c>
      <c r="C350" s="6"/>
      <c r="D350" s="6"/>
      <c r="E350" s="23">
        <v>28.2</v>
      </c>
      <c r="F350" s="23">
        <v>7.4</v>
      </c>
      <c r="G350" s="41">
        <v>293</v>
      </c>
      <c r="H350" s="23">
        <v>7.1</v>
      </c>
      <c r="I350" s="23">
        <v>8.9</v>
      </c>
      <c r="J350" s="23">
        <v>11</v>
      </c>
      <c r="K350" s="4">
        <v>7.4</v>
      </c>
      <c r="L350" s="4">
        <v>7.7</v>
      </c>
      <c r="M350" s="20">
        <f t="shared" si="77"/>
        <v>7.6</v>
      </c>
      <c r="N350" s="37">
        <v>4.7</v>
      </c>
      <c r="O350" s="37">
        <v>4.5</v>
      </c>
      <c r="P350" s="38">
        <f t="shared" si="78"/>
        <v>4.5999999999999996</v>
      </c>
      <c r="Q350" s="17">
        <v>7.4290000000000003</v>
      </c>
      <c r="R350" s="17">
        <v>7.492</v>
      </c>
      <c r="S350" s="22">
        <f t="shared" si="79"/>
        <v>7.4610000000000003</v>
      </c>
      <c r="T350" s="4">
        <v>6.7050000000000001</v>
      </c>
      <c r="U350" s="4">
        <v>6.681</v>
      </c>
      <c r="V350" s="22">
        <f t="shared" si="80"/>
        <v>6.6929999999999996</v>
      </c>
      <c r="W350" s="17">
        <v>2.3170000000000002</v>
      </c>
      <c r="X350" s="17">
        <v>2.286</v>
      </c>
      <c r="Y350" s="21">
        <f t="shared" si="81"/>
        <v>2.302</v>
      </c>
      <c r="Z350" s="19">
        <v>3.8849999999999998</v>
      </c>
      <c r="AA350" s="19">
        <v>3.956</v>
      </c>
      <c r="AB350" s="21">
        <f t="shared" si="82"/>
        <v>3.9209999999999998</v>
      </c>
      <c r="AC350" s="19">
        <v>0.47799999999999998</v>
      </c>
      <c r="AD350" s="19">
        <v>0.44600000000000001</v>
      </c>
      <c r="AE350" s="21">
        <f t="shared" si="83"/>
        <v>0.46200000000000002</v>
      </c>
      <c r="AF350" s="30">
        <v>0.20499999999999999</v>
      </c>
      <c r="AG350" s="30">
        <v>0.21199999999999999</v>
      </c>
      <c r="AH350" s="21">
        <f t="shared" si="84"/>
        <v>0.20899999999999999</v>
      </c>
      <c r="AI350" s="5">
        <v>0.17499999999999999</v>
      </c>
      <c r="AJ350" s="5">
        <v>0.17199999999999999</v>
      </c>
      <c r="AK350" s="21">
        <f t="shared" si="85"/>
        <v>0.17399999999999999</v>
      </c>
      <c r="AL350" s="19">
        <v>33.479999999999997</v>
      </c>
      <c r="AM350" s="19">
        <v>33.658000000000001</v>
      </c>
      <c r="AN350" s="21">
        <f t="shared" si="86"/>
        <v>33.569000000000003</v>
      </c>
      <c r="AO350" s="46">
        <v>9.8599999999999993E-2</v>
      </c>
      <c r="AP350" s="46">
        <v>0.10009999999999999</v>
      </c>
      <c r="AQ350" s="45">
        <f t="shared" si="87"/>
        <v>9.9400000000000002E-2</v>
      </c>
      <c r="AR350" s="3">
        <v>12.98</v>
      </c>
      <c r="AS350" s="98">
        <v>2.63</v>
      </c>
    </row>
    <row r="351" spans="1:45">
      <c r="A351" s="7" t="s">
        <v>145</v>
      </c>
      <c r="B351" s="5" t="s">
        <v>161</v>
      </c>
      <c r="C351" s="6"/>
      <c r="D351" s="6"/>
      <c r="E351" s="23">
        <v>27.9</v>
      </c>
      <c r="F351" s="23">
        <v>7.1</v>
      </c>
      <c r="G351" s="41">
        <v>440</v>
      </c>
      <c r="H351" s="23">
        <v>7.4</v>
      </c>
      <c r="I351" s="23">
        <v>0.8</v>
      </c>
      <c r="J351" s="23">
        <v>5.3</v>
      </c>
      <c r="K351" s="4">
        <v>3.8</v>
      </c>
      <c r="L351" s="4">
        <v>3.5</v>
      </c>
      <c r="M351" s="20">
        <f t="shared" si="77"/>
        <v>3.7</v>
      </c>
      <c r="N351" s="37">
        <v>3.4</v>
      </c>
      <c r="O351" s="37">
        <v>3.4</v>
      </c>
      <c r="P351" s="38">
        <f t="shared" si="78"/>
        <v>3.4</v>
      </c>
      <c r="Q351" s="17">
        <v>2.927</v>
      </c>
      <c r="R351" s="17">
        <v>2.907</v>
      </c>
      <c r="S351" s="22">
        <f t="shared" si="79"/>
        <v>2.9169999999999998</v>
      </c>
      <c r="T351" s="4">
        <v>2.8959999999999999</v>
      </c>
      <c r="U351" s="4">
        <v>2.8940000000000001</v>
      </c>
      <c r="V351" s="22">
        <f t="shared" si="80"/>
        <v>2.895</v>
      </c>
      <c r="W351" s="17">
        <v>1.149</v>
      </c>
      <c r="X351" s="17">
        <v>1.1659999999999999</v>
      </c>
      <c r="Y351" s="21">
        <f t="shared" si="81"/>
        <v>1.1579999999999999</v>
      </c>
      <c r="Z351" s="19">
        <v>1.3049999999999999</v>
      </c>
      <c r="AA351" s="19">
        <v>1.2869999999999999</v>
      </c>
      <c r="AB351" s="21">
        <f t="shared" si="82"/>
        <v>1.296</v>
      </c>
      <c r="AC351" s="19">
        <v>4.2000000000000003E-2</v>
      </c>
      <c r="AD351" s="19">
        <v>0.03</v>
      </c>
      <c r="AE351" s="21">
        <f t="shared" si="83"/>
        <v>3.5999999999999997E-2</v>
      </c>
      <c r="AF351" s="30">
        <v>0.02</v>
      </c>
      <c r="AG351" s="30">
        <v>1.7000000000000001E-2</v>
      </c>
      <c r="AH351" s="21">
        <f t="shared" si="84"/>
        <v>1.9E-2</v>
      </c>
      <c r="AI351" s="5">
        <v>8.0000000000000002E-3</v>
      </c>
      <c r="AJ351" s="5">
        <v>7.0000000000000001E-3</v>
      </c>
      <c r="AK351" s="21">
        <f t="shared" si="85"/>
        <v>8.0000000000000002E-3</v>
      </c>
      <c r="AL351" s="19">
        <v>60.848999999999997</v>
      </c>
      <c r="AM351" s="19">
        <v>60.213000000000001</v>
      </c>
      <c r="AN351" s="21">
        <f t="shared" si="86"/>
        <v>60.530999999999999</v>
      </c>
      <c r="AO351" s="46">
        <v>7.0300000000000001E-2</v>
      </c>
      <c r="AP351" s="46">
        <v>7.22E-2</v>
      </c>
      <c r="AQ351" s="45">
        <f t="shared" si="87"/>
        <v>7.1300000000000002E-2</v>
      </c>
      <c r="AR351" s="3">
        <v>20.47</v>
      </c>
      <c r="AS351" s="98">
        <v>1.22</v>
      </c>
    </row>
    <row r="352" spans="1:45" s="1" customFormat="1">
      <c r="A352" s="71" t="s">
        <v>118</v>
      </c>
      <c r="B352" s="73" t="s">
        <v>119</v>
      </c>
      <c r="C352" s="74" t="s">
        <v>120</v>
      </c>
      <c r="D352" s="74" t="s">
        <v>121</v>
      </c>
      <c r="E352" s="73" t="s">
        <v>122</v>
      </c>
      <c r="F352" s="73"/>
      <c r="G352" s="73"/>
      <c r="H352" s="73"/>
      <c r="I352" s="69" t="s">
        <v>123</v>
      </c>
      <c r="J352" s="79" t="s">
        <v>133</v>
      </c>
      <c r="K352" s="76" t="s">
        <v>124</v>
      </c>
      <c r="L352" s="77"/>
      <c r="M352" s="77"/>
      <c r="N352" s="78"/>
      <c r="O352" s="76" t="s">
        <v>125</v>
      </c>
      <c r="P352" s="77"/>
      <c r="Q352" s="78"/>
      <c r="R352" s="76" t="s">
        <v>135</v>
      </c>
      <c r="S352" s="77"/>
      <c r="T352" s="78"/>
      <c r="U352" s="76" t="s">
        <v>126</v>
      </c>
      <c r="V352" s="77"/>
      <c r="W352" s="78"/>
      <c r="X352" s="76" t="s">
        <v>127</v>
      </c>
      <c r="Y352" s="77"/>
      <c r="Z352" s="78"/>
      <c r="AA352" s="76" t="s">
        <v>128</v>
      </c>
      <c r="AB352" s="77"/>
      <c r="AC352" s="78"/>
      <c r="AD352" s="76" t="s">
        <v>129</v>
      </c>
      <c r="AE352" s="77"/>
      <c r="AF352" s="78"/>
      <c r="AG352" s="76" t="s">
        <v>130</v>
      </c>
      <c r="AH352" s="77"/>
      <c r="AI352" s="78"/>
      <c r="AJ352" s="76" t="s">
        <v>131</v>
      </c>
      <c r="AK352" s="77"/>
      <c r="AL352" s="78"/>
      <c r="AM352" s="76" t="s">
        <v>132</v>
      </c>
      <c r="AN352" s="77"/>
      <c r="AO352" s="78"/>
      <c r="AP352" s="76" t="s">
        <v>134</v>
      </c>
      <c r="AQ352" s="77"/>
      <c r="AR352" s="78"/>
    </row>
    <row r="353" spans="1:46" s="1" customFormat="1" ht="17.25" thickBot="1">
      <c r="A353" s="72"/>
      <c r="B353" s="70"/>
      <c r="C353" s="75"/>
      <c r="D353" s="75"/>
      <c r="E353" s="12" t="s">
        <v>111</v>
      </c>
      <c r="F353" s="12" t="s">
        <v>110</v>
      </c>
      <c r="G353" s="12" t="s">
        <v>113</v>
      </c>
      <c r="H353" s="12" t="s">
        <v>112</v>
      </c>
      <c r="I353" s="70"/>
      <c r="J353" s="80"/>
      <c r="K353" s="13" t="s">
        <v>115</v>
      </c>
      <c r="L353" s="13" t="s">
        <v>116</v>
      </c>
      <c r="M353" s="13" t="s">
        <v>117</v>
      </c>
      <c r="N353" s="12" t="s">
        <v>114</v>
      </c>
      <c r="O353" s="13" t="s">
        <v>115</v>
      </c>
      <c r="P353" s="13" t="s">
        <v>116</v>
      </c>
      <c r="Q353" s="12" t="s">
        <v>114</v>
      </c>
      <c r="R353" s="13" t="s">
        <v>115</v>
      </c>
      <c r="S353" s="13" t="s">
        <v>116</v>
      </c>
      <c r="T353" s="12" t="s">
        <v>114</v>
      </c>
      <c r="U353" s="13" t="s">
        <v>115</v>
      </c>
      <c r="V353" s="13" t="s">
        <v>116</v>
      </c>
      <c r="W353" s="12" t="s">
        <v>114</v>
      </c>
      <c r="X353" s="13" t="s">
        <v>115</v>
      </c>
      <c r="Y353" s="13" t="s">
        <v>116</v>
      </c>
      <c r="Z353" s="12" t="s">
        <v>114</v>
      </c>
      <c r="AA353" s="13" t="s">
        <v>115</v>
      </c>
      <c r="AB353" s="13" t="s">
        <v>116</v>
      </c>
      <c r="AC353" s="12" t="s">
        <v>114</v>
      </c>
      <c r="AD353" s="13" t="s">
        <v>115</v>
      </c>
      <c r="AE353" s="13" t="s">
        <v>116</v>
      </c>
      <c r="AF353" s="12" t="s">
        <v>114</v>
      </c>
      <c r="AG353" s="13" t="s">
        <v>115</v>
      </c>
      <c r="AH353" s="13" t="s">
        <v>116</v>
      </c>
      <c r="AI353" s="12" t="s">
        <v>114</v>
      </c>
      <c r="AJ353" s="13" t="s">
        <v>115</v>
      </c>
      <c r="AK353" s="13" t="s">
        <v>116</v>
      </c>
      <c r="AL353" s="12" t="s">
        <v>114</v>
      </c>
      <c r="AM353" s="13" t="s">
        <v>115</v>
      </c>
      <c r="AN353" s="13" t="s">
        <v>116</v>
      </c>
      <c r="AO353" s="12" t="s">
        <v>114</v>
      </c>
      <c r="AP353" s="13" t="s">
        <v>115</v>
      </c>
      <c r="AQ353" s="13" t="s">
        <v>116</v>
      </c>
      <c r="AR353" s="12" t="s">
        <v>114</v>
      </c>
      <c r="AS353" s="1" t="s">
        <v>166</v>
      </c>
      <c r="AT353" s="1" t="s">
        <v>167</v>
      </c>
    </row>
    <row r="354" spans="1:46">
      <c r="A354" s="8" t="s">
        <v>136</v>
      </c>
      <c r="B354" s="9" t="s">
        <v>34</v>
      </c>
      <c r="C354" s="10" t="s">
        <v>35</v>
      </c>
      <c r="D354" s="10" t="s">
        <v>36</v>
      </c>
      <c r="E354" s="20">
        <v>25.3</v>
      </c>
      <c r="F354" s="20">
        <v>7.6</v>
      </c>
      <c r="G354" s="40">
        <v>134</v>
      </c>
      <c r="H354" s="20">
        <v>7.9</v>
      </c>
      <c r="I354" s="20">
        <v>1</v>
      </c>
      <c r="J354" s="20">
        <v>3.9</v>
      </c>
      <c r="K354" s="36">
        <v>2.7</v>
      </c>
      <c r="L354" s="36">
        <v>3.1</v>
      </c>
      <c r="M354" s="36"/>
      <c r="N354" s="38">
        <f>ROUND(AVERAGE(K354:M354),1)</f>
        <v>2.9</v>
      </c>
      <c r="O354" s="36">
        <v>2.1</v>
      </c>
      <c r="P354" s="36">
        <v>2.1</v>
      </c>
      <c r="Q354" s="38">
        <f>ROUND(AVERAGE(O354:P354),1)</f>
        <v>2.1</v>
      </c>
      <c r="R354" s="16">
        <v>0.60099999999999998</v>
      </c>
      <c r="S354" s="16">
        <v>0.56499999999999995</v>
      </c>
      <c r="T354" s="22">
        <f>ROUND(AVERAGE(R354:S354),3)</f>
        <v>0.58299999999999996</v>
      </c>
      <c r="U354" s="32">
        <v>0.496</v>
      </c>
      <c r="V354" s="32">
        <v>0.47699999999999998</v>
      </c>
      <c r="W354" s="33">
        <f>ROUND(AVERAGE(U354:V354),3)</f>
        <v>0.48699999999999999</v>
      </c>
      <c r="X354" s="16">
        <v>5.7000000000000002E-2</v>
      </c>
      <c r="Y354" s="16">
        <v>4.1000000000000002E-2</v>
      </c>
      <c r="Z354" s="21">
        <f>ROUND(AVERAGE(X354:Y354),3)</f>
        <v>4.9000000000000002E-2</v>
      </c>
      <c r="AA354" s="18">
        <v>0.34300000000000003</v>
      </c>
      <c r="AB354" s="18">
        <v>0.35199999999999998</v>
      </c>
      <c r="AC354" s="21">
        <f>ROUND(AVERAGE(AA354:AB354),3)</f>
        <v>0.34799999999999998</v>
      </c>
      <c r="AD354" s="18">
        <v>6.2E-2</v>
      </c>
      <c r="AE354" s="18">
        <v>5.8000000000000003E-2</v>
      </c>
      <c r="AF354" s="21">
        <f>ROUND(AVERAGE(AD354:AE354),3)</f>
        <v>0.06</v>
      </c>
      <c r="AG354" s="29">
        <v>3.1E-2</v>
      </c>
      <c r="AH354" s="29">
        <v>2.5999999999999999E-2</v>
      </c>
      <c r="AI354" s="31">
        <f>ROUND(AVERAGE(AG354:AH354),3)</f>
        <v>2.9000000000000001E-2</v>
      </c>
      <c r="AJ354" s="29">
        <v>1.4E-2</v>
      </c>
      <c r="AK354" s="29">
        <v>1.2999999999999999E-2</v>
      </c>
      <c r="AL354" s="31">
        <f>ROUND(AVERAGE(AJ354:AK354),3)</f>
        <v>1.4E-2</v>
      </c>
      <c r="AM354" s="18">
        <v>10.989000000000001</v>
      </c>
      <c r="AN354" s="18">
        <v>11.4</v>
      </c>
      <c r="AO354" s="21">
        <f>ROUND(AVERAGE(AM354:AN354),3)</f>
        <v>11.195</v>
      </c>
      <c r="AP354" s="44">
        <v>8.1000000000000003E-2</v>
      </c>
      <c r="AQ354" s="44">
        <v>8.1100000000000005E-2</v>
      </c>
      <c r="AR354" s="45">
        <f>ROUND(AVERAGE(AP354:AQ354),4)</f>
        <v>8.1100000000000005E-2</v>
      </c>
      <c r="AS354" s="93">
        <v>7.02</v>
      </c>
      <c r="AT354" s="93">
        <v>1.72</v>
      </c>
    </row>
    <row r="355" spans="1:46">
      <c r="A355" s="7" t="s">
        <v>37</v>
      </c>
      <c r="B355" s="5" t="s">
        <v>38</v>
      </c>
      <c r="C355" s="6" t="s">
        <v>39</v>
      </c>
      <c r="D355" s="6" t="s">
        <v>40</v>
      </c>
      <c r="E355" s="23">
        <v>26.3</v>
      </c>
      <c r="F355" s="23">
        <v>7.2</v>
      </c>
      <c r="G355" s="41">
        <v>114</v>
      </c>
      <c r="H355" s="23">
        <v>6.6</v>
      </c>
      <c r="I355" s="23">
        <v>0.9</v>
      </c>
      <c r="J355" s="23">
        <v>3.3</v>
      </c>
      <c r="K355" s="37">
        <v>2.2999999999999998</v>
      </c>
      <c r="L355" s="37">
        <v>2.7</v>
      </c>
      <c r="M355" s="37"/>
      <c r="N355" s="38">
        <f t="shared" ref="N355:N391" si="88">ROUND(AVERAGE(K355:M355),1)</f>
        <v>2.5</v>
      </c>
      <c r="O355" s="37">
        <v>2.1</v>
      </c>
      <c r="P355" s="37">
        <v>2.1</v>
      </c>
      <c r="Q355" s="38">
        <f t="shared" ref="Q355:Q391" si="89">ROUND(AVERAGE(O355:P355),1)</f>
        <v>2.1</v>
      </c>
      <c r="R355" s="17">
        <v>0.58299999999999996</v>
      </c>
      <c r="S355" s="17">
        <v>0.57499999999999996</v>
      </c>
      <c r="T355" s="22">
        <f t="shared" ref="T355:T391" si="90">ROUND(AVERAGE(R355:S355),3)</f>
        <v>0.57899999999999996</v>
      </c>
      <c r="U355" s="34">
        <v>0.54900000000000004</v>
      </c>
      <c r="V355" s="34">
        <v>0.54800000000000004</v>
      </c>
      <c r="W355" s="33">
        <f t="shared" ref="W355:W391" si="91">ROUND(AVERAGE(U355:V355),3)</f>
        <v>0.54900000000000004</v>
      </c>
      <c r="X355" s="17">
        <v>2.1000000000000001E-2</v>
      </c>
      <c r="Y355" s="17">
        <v>2.1999999999999999E-2</v>
      </c>
      <c r="Z355" s="21">
        <f t="shared" ref="Z355:Z391" si="92">ROUND(AVERAGE(X355:Y355),3)</f>
        <v>2.1999999999999999E-2</v>
      </c>
      <c r="AA355" s="19">
        <v>0.41099999999999998</v>
      </c>
      <c r="AB355" s="19">
        <v>0.44</v>
      </c>
      <c r="AC355" s="21">
        <f t="shared" ref="AC355:AC391" si="93">ROUND(AVERAGE(AA355:AB355),3)</f>
        <v>0.42599999999999999</v>
      </c>
      <c r="AD355" s="19">
        <v>3.4000000000000002E-2</v>
      </c>
      <c r="AE355" s="19">
        <v>3.1E-2</v>
      </c>
      <c r="AF355" s="21">
        <f t="shared" ref="AF355:AF391" si="94">ROUND(AVERAGE(AD355:AE355),3)</f>
        <v>3.3000000000000002E-2</v>
      </c>
      <c r="AG355" s="30">
        <v>2.1000000000000001E-2</v>
      </c>
      <c r="AH355" s="30">
        <v>0.02</v>
      </c>
      <c r="AI355" s="31">
        <f t="shared" ref="AI355:AI391" si="95">ROUND(AVERAGE(AG355:AH355),3)</f>
        <v>2.1000000000000001E-2</v>
      </c>
      <c r="AJ355" s="30">
        <v>8.9999999999999993E-3</v>
      </c>
      <c r="AK355" s="30">
        <v>8.9999999999999993E-3</v>
      </c>
      <c r="AL355" s="31">
        <f t="shared" ref="AL355:AL391" si="96">ROUND(AVERAGE(AJ355:AK355),3)</f>
        <v>8.9999999999999993E-3</v>
      </c>
      <c r="AM355" s="19">
        <v>5.47</v>
      </c>
      <c r="AN355" s="19">
        <v>5.85</v>
      </c>
      <c r="AO355" s="21">
        <f t="shared" ref="AO355:AO391" si="97">ROUND(AVERAGE(AM355:AN355),3)</f>
        <v>5.66</v>
      </c>
      <c r="AP355" s="46">
        <v>6.5600000000000006E-2</v>
      </c>
      <c r="AQ355" s="46">
        <v>7.1300000000000002E-2</v>
      </c>
      <c r="AR355" s="45">
        <f t="shared" ref="AR355:AR391" si="98">ROUND(AVERAGE(AP355:AQ355),4)</f>
        <v>6.8500000000000005E-2</v>
      </c>
      <c r="AS355" s="94">
        <v>10.19</v>
      </c>
      <c r="AT355" s="3">
        <v>4.17</v>
      </c>
    </row>
    <row r="356" spans="1:46">
      <c r="A356" s="7" t="s">
        <v>0</v>
      </c>
      <c r="B356" s="5" t="s">
        <v>41</v>
      </c>
      <c r="C356" s="6" t="s">
        <v>42</v>
      </c>
      <c r="D356" s="6" t="s">
        <v>36</v>
      </c>
      <c r="E356" s="23">
        <v>26.1</v>
      </c>
      <c r="F356" s="23">
        <v>6.9</v>
      </c>
      <c r="G356" s="41">
        <v>130</v>
      </c>
      <c r="H356" s="23">
        <v>7.9</v>
      </c>
      <c r="I356" s="23">
        <v>1</v>
      </c>
      <c r="J356" s="23">
        <v>3.3</v>
      </c>
      <c r="K356" s="37">
        <v>2.2999999999999998</v>
      </c>
      <c r="L356" s="37">
        <v>2.5</v>
      </c>
      <c r="M356" s="37"/>
      <c r="N356" s="38">
        <f t="shared" si="88"/>
        <v>2.4</v>
      </c>
      <c r="O356" s="37">
        <v>1.9</v>
      </c>
      <c r="P356" s="37">
        <v>1.9</v>
      </c>
      <c r="Q356" s="38">
        <f t="shared" si="89"/>
        <v>1.9</v>
      </c>
      <c r="R356" s="17">
        <v>0.57299999999999995</v>
      </c>
      <c r="S356" s="17">
        <v>0.57699999999999996</v>
      </c>
      <c r="T356" s="22">
        <f t="shared" si="90"/>
        <v>0.57499999999999996</v>
      </c>
      <c r="U356" s="34">
        <v>0.48499999999999999</v>
      </c>
      <c r="V356" s="34">
        <v>0.46100000000000002</v>
      </c>
      <c r="W356" s="33">
        <f t="shared" si="91"/>
        <v>0.47299999999999998</v>
      </c>
      <c r="X356" s="17">
        <v>0.04</v>
      </c>
      <c r="Y356" s="17">
        <v>3.7999999999999999E-2</v>
      </c>
      <c r="Z356" s="21">
        <f t="shared" si="92"/>
        <v>3.9E-2</v>
      </c>
      <c r="AA356" s="19">
        <v>0.38400000000000001</v>
      </c>
      <c r="AB356" s="19">
        <v>0.40300000000000002</v>
      </c>
      <c r="AC356" s="21">
        <f t="shared" si="93"/>
        <v>0.39400000000000002</v>
      </c>
      <c r="AD356" s="19">
        <v>4.5999999999999999E-2</v>
      </c>
      <c r="AE356" s="19">
        <v>4.1000000000000002E-2</v>
      </c>
      <c r="AF356" s="21">
        <f t="shared" si="94"/>
        <v>4.3999999999999997E-2</v>
      </c>
      <c r="AG356" s="30">
        <v>0.02</v>
      </c>
      <c r="AH356" s="30">
        <v>1.7999999999999999E-2</v>
      </c>
      <c r="AI356" s="31">
        <f t="shared" si="95"/>
        <v>1.9E-2</v>
      </c>
      <c r="AJ356" s="30">
        <v>8.9999999999999993E-3</v>
      </c>
      <c r="AK356" s="30">
        <v>0.01</v>
      </c>
      <c r="AL356" s="31">
        <f t="shared" si="96"/>
        <v>0.01</v>
      </c>
      <c r="AM356" s="19">
        <v>7.9009999999999998</v>
      </c>
      <c r="AN356" s="19">
        <v>8.1750000000000007</v>
      </c>
      <c r="AO356" s="21">
        <f t="shared" si="97"/>
        <v>8.0380000000000003</v>
      </c>
      <c r="AP356" s="46">
        <v>6.0199999999999997E-2</v>
      </c>
      <c r="AQ356" s="46">
        <v>6.5299999999999997E-2</v>
      </c>
      <c r="AR356" s="45">
        <f t="shared" si="98"/>
        <v>6.2799999999999995E-2</v>
      </c>
      <c r="AS356" s="94">
        <v>9.24</v>
      </c>
      <c r="AT356" s="94">
        <v>4.72</v>
      </c>
    </row>
    <row r="357" spans="1:46">
      <c r="A357" s="7" t="s">
        <v>1</v>
      </c>
      <c r="B357" s="5" t="s">
        <v>43</v>
      </c>
      <c r="C357" s="6" t="s">
        <v>44</v>
      </c>
      <c r="D357" s="6" t="s">
        <v>45</v>
      </c>
      <c r="E357" s="23">
        <v>25.5</v>
      </c>
      <c r="F357" s="23">
        <v>7.2</v>
      </c>
      <c r="G357" s="41">
        <v>79</v>
      </c>
      <c r="H357" s="23">
        <v>7.6</v>
      </c>
      <c r="I357" s="23">
        <v>1.2</v>
      </c>
      <c r="J357" s="23">
        <v>3.9</v>
      </c>
      <c r="K357" s="37">
        <v>2.5</v>
      </c>
      <c r="L357" s="37">
        <v>2.7</v>
      </c>
      <c r="M357" s="37"/>
      <c r="N357" s="38">
        <f t="shared" si="88"/>
        <v>2.6</v>
      </c>
      <c r="O357" s="37">
        <v>2.2999999999999998</v>
      </c>
      <c r="P357" s="37">
        <v>2.2000000000000002</v>
      </c>
      <c r="Q357" s="38">
        <f t="shared" si="89"/>
        <v>2.2999999999999998</v>
      </c>
      <c r="R357" s="17">
        <v>0.44500000000000001</v>
      </c>
      <c r="S357" s="17">
        <v>0.434</v>
      </c>
      <c r="T357" s="22">
        <f t="shared" si="90"/>
        <v>0.44</v>
      </c>
      <c r="U357" s="34">
        <v>0.34799999999999998</v>
      </c>
      <c r="V357" s="34">
        <v>0.35699999999999998</v>
      </c>
      <c r="W357" s="33">
        <f t="shared" si="91"/>
        <v>0.35299999999999998</v>
      </c>
      <c r="X357" s="17">
        <v>4.5999999999999999E-2</v>
      </c>
      <c r="Y357" s="17">
        <v>5.2999999999999999E-2</v>
      </c>
      <c r="Z357" s="21">
        <f t="shared" si="92"/>
        <v>0.05</v>
      </c>
      <c r="AA357" s="19">
        <v>0.255</v>
      </c>
      <c r="AB357" s="19">
        <v>0.26400000000000001</v>
      </c>
      <c r="AC357" s="21">
        <f t="shared" si="93"/>
        <v>0.26</v>
      </c>
      <c r="AD357" s="19">
        <v>4.8000000000000001E-2</v>
      </c>
      <c r="AE357" s="19">
        <v>4.1000000000000002E-2</v>
      </c>
      <c r="AF357" s="21">
        <f t="shared" si="94"/>
        <v>4.4999999999999998E-2</v>
      </c>
      <c r="AG357" s="30">
        <v>2.1999999999999999E-2</v>
      </c>
      <c r="AH357" s="30">
        <v>2.3E-2</v>
      </c>
      <c r="AI357" s="31">
        <f t="shared" si="95"/>
        <v>2.3E-2</v>
      </c>
      <c r="AJ357" s="30">
        <v>1.2E-2</v>
      </c>
      <c r="AK357" s="30">
        <v>1.2E-2</v>
      </c>
      <c r="AL357" s="31">
        <f t="shared" si="96"/>
        <v>1.2E-2</v>
      </c>
      <c r="AM357" s="19">
        <v>4.3940000000000001</v>
      </c>
      <c r="AN357" s="19">
        <v>4.5039999999999996</v>
      </c>
      <c r="AO357" s="21">
        <f t="shared" si="97"/>
        <v>4.4489999999999998</v>
      </c>
      <c r="AP357" s="46">
        <v>9.7500000000000003E-2</v>
      </c>
      <c r="AQ357" s="46">
        <v>0.1022</v>
      </c>
      <c r="AR357" s="45">
        <f t="shared" si="98"/>
        <v>9.9900000000000003E-2</v>
      </c>
      <c r="AS357" s="94">
        <v>6.89</v>
      </c>
      <c r="AT357" s="3">
        <v>0.98</v>
      </c>
    </row>
    <row r="358" spans="1:46">
      <c r="A358" s="7" t="s">
        <v>2</v>
      </c>
      <c r="B358" s="5" t="s">
        <v>46</v>
      </c>
      <c r="C358" s="6" t="s">
        <v>47</v>
      </c>
      <c r="D358" s="6" t="s">
        <v>36</v>
      </c>
      <c r="E358" s="23">
        <v>26.6</v>
      </c>
      <c r="F358" s="23">
        <v>7</v>
      </c>
      <c r="G358" s="41">
        <v>119</v>
      </c>
      <c r="H358" s="23">
        <v>6.9</v>
      </c>
      <c r="I358" s="23">
        <v>1.3</v>
      </c>
      <c r="J358" s="23">
        <v>3.5</v>
      </c>
      <c r="K358" s="37">
        <v>2.4</v>
      </c>
      <c r="L358" s="37">
        <v>2.5</v>
      </c>
      <c r="M358" s="37"/>
      <c r="N358" s="38">
        <f t="shared" si="88"/>
        <v>2.5</v>
      </c>
      <c r="O358" s="37">
        <v>2</v>
      </c>
      <c r="P358" s="37">
        <v>1.9</v>
      </c>
      <c r="Q358" s="38">
        <f t="shared" si="89"/>
        <v>2</v>
      </c>
      <c r="R358" s="17">
        <v>0.58499999999999996</v>
      </c>
      <c r="S358" s="17">
        <v>0.57999999999999996</v>
      </c>
      <c r="T358" s="22">
        <f t="shared" si="90"/>
        <v>0.58299999999999996</v>
      </c>
      <c r="U358" s="34">
        <v>0.51300000000000001</v>
      </c>
      <c r="V358" s="34">
        <v>0.52</v>
      </c>
      <c r="W358" s="33">
        <f t="shared" si="91"/>
        <v>0.51700000000000002</v>
      </c>
      <c r="X358" s="17">
        <v>6.2E-2</v>
      </c>
      <c r="Y358" s="17">
        <v>9.5000000000000001E-2</v>
      </c>
      <c r="Z358" s="21">
        <f t="shared" si="92"/>
        <v>7.9000000000000001E-2</v>
      </c>
      <c r="AA358" s="19">
        <v>0.375</v>
      </c>
      <c r="AB358" s="19">
        <v>0.38700000000000001</v>
      </c>
      <c r="AC358" s="21">
        <f t="shared" si="93"/>
        <v>0.38100000000000001</v>
      </c>
      <c r="AD358" s="19">
        <v>5.1999999999999998E-2</v>
      </c>
      <c r="AE358" s="19">
        <v>4.4999999999999998E-2</v>
      </c>
      <c r="AF358" s="21">
        <f t="shared" si="94"/>
        <v>4.9000000000000002E-2</v>
      </c>
      <c r="AG358" s="30">
        <v>2.5000000000000001E-2</v>
      </c>
      <c r="AH358" s="30">
        <v>2.8000000000000001E-2</v>
      </c>
      <c r="AI358" s="31">
        <f t="shared" si="95"/>
        <v>2.7E-2</v>
      </c>
      <c r="AJ358" s="30">
        <v>1.4999999999999999E-2</v>
      </c>
      <c r="AK358" s="30">
        <v>1.6E-2</v>
      </c>
      <c r="AL358" s="31">
        <f t="shared" si="96"/>
        <v>1.6E-2</v>
      </c>
      <c r="AM358" s="19">
        <v>7.7370000000000001</v>
      </c>
      <c r="AN358" s="19">
        <v>7.8079999999999998</v>
      </c>
      <c r="AO358" s="21">
        <f t="shared" si="97"/>
        <v>7.7729999999999997</v>
      </c>
      <c r="AP358" s="46">
        <v>6.54E-2</v>
      </c>
      <c r="AQ358" s="46">
        <v>7.0000000000000007E-2</v>
      </c>
      <c r="AR358" s="45">
        <f t="shared" si="98"/>
        <v>6.7699999999999996E-2</v>
      </c>
      <c r="AS358" s="94">
        <v>9.2100000000000009</v>
      </c>
      <c r="AT358" s="94">
        <v>2.58</v>
      </c>
    </row>
    <row r="359" spans="1:46">
      <c r="A359" s="7" t="s">
        <v>3</v>
      </c>
      <c r="B359" s="5" t="s">
        <v>46</v>
      </c>
      <c r="C359" s="6" t="s">
        <v>44</v>
      </c>
      <c r="D359" s="6" t="s">
        <v>48</v>
      </c>
      <c r="E359" s="23">
        <v>25.5</v>
      </c>
      <c r="F359" s="23">
        <v>7.1</v>
      </c>
      <c r="G359" s="41">
        <v>99</v>
      </c>
      <c r="H359" s="23">
        <v>7.7</v>
      </c>
      <c r="I359" s="23">
        <v>1.6</v>
      </c>
      <c r="J359" s="23">
        <v>4.0999999999999996</v>
      </c>
      <c r="K359" s="37">
        <v>2.9</v>
      </c>
      <c r="L359" s="37">
        <v>2.9</v>
      </c>
      <c r="M359" s="37"/>
      <c r="N359" s="38">
        <f t="shared" si="88"/>
        <v>2.9</v>
      </c>
      <c r="O359" s="37">
        <v>2.2999999999999998</v>
      </c>
      <c r="P359" s="37">
        <v>2.1</v>
      </c>
      <c r="Q359" s="38">
        <f t="shared" si="89"/>
        <v>2.2000000000000002</v>
      </c>
      <c r="R359" s="17">
        <v>0.55600000000000005</v>
      </c>
      <c r="S359" s="17">
        <v>0.55700000000000005</v>
      </c>
      <c r="T359" s="22">
        <f t="shared" si="90"/>
        <v>0.55700000000000005</v>
      </c>
      <c r="U359" s="34">
        <v>0.443</v>
      </c>
      <c r="V359" s="34">
        <v>0.45100000000000001</v>
      </c>
      <c r="W359" s="33">
        <f t="shared" si="91"/>
        <v>0.44700000000000001</v>
      </c>
      <c r="X359" s="17">
        <v>4.1000000000000002E-2</v>
      </c>
      <c r="Y359" s="17">
        <v>0.04</v>
      </c>
      <c r="Z359" s="21">
        <f t="shared" si="92"/>
        <v>4.1000000000000002E-2</v>
      </c>
      <c r="AA359" s="19">
        <v>0.32900000000000001</v>
      </c>
      <c r="AB359" s="19">
        <v>0.34100000000000003</v>
      </c>
      <c r="AC359" s="21">
        <f t="shared" si="93"/>
        <v>0.33500000000000002</v>
      </c>
      <c r="AD359" s="19">
        <v>6.6000000000000003E-2</v>
      </c>
      <c r="AE359" s="19">
        <v>5.8000000000000003E-2</v>
      </c>
      <c r="AF359" s="21">
        <f t="shared" si="94"/>
        <v>6.2E-2</v>
      </c>
      <c r="AG359" s="30">
        <v>2.7E-2</v>
      </c>
      <c r="AH359" s="30">
        <v>2.5999999999999999E-2</v>
      </c>
      <c r="AI359" s="31">
        <f t="shared" si="95"/>
        <v>2.7E-2</v>
      </c>
      <c r="AJ359" s="30">
        <v>1.4999999999999999E-2</v>
      </c>
      <c r="AK359" s="30">
        <v>1.4E-2</v>
      </c>
      <c r="AL359" s="31">
        <f t="shared" si="96"/>
        <v>1.4999999999999999E-2</v>
      </c>
      <c r="AM359" s="19">
        <v>5.915</v>
      </c>
      <c r="AN359" s="19">
        <v>6.0190000000000001</v>
      </c>
      <c r="AO359" s="21">
        <f t="shared" si="97"/>
        <v>5.9669999999999996</v>
      </c>
      <c r="AP359" s="46">
        <v>7.9899999999999999E-2</v>
      </c>
      <c r="AQ359" s="46">
        <v>8.3099999999999993E-2</v>
      </c>
      <c r="AR359" s="45">
        <f t="shared" si="98"/>
        <v>8.1500000000000003E-2</v>
      </c>
      <c r="AS359" s="95">
        <v>8.0500000000000007</v>
      </c>
      <c r="AT359" s="3">
        <v>1.92</v>
      </c>
    </row>
    <row r="360" spans="1:46">
      <c r="A360" s="7" t="s">
        <v>4</v>
      </c>
      <c r="B360" s="5" t="s">
        <v>49</v>
      </c>
      <c r="C360" s="6" t="s">
        <v>44</v>
      </c>
      <c r="D360" s="6" t="s">
        <v>36</v>
      </c>
      <c r="E360" s="23">
        <v>26.7</v>
      </c>
      <c r="F360" s="23">
        <v>7</v>
      </c>
      <c r="G360" s="41">
        <v>113</v>
      </c>
      <c r="H360" s="23">
        <v>6.3</v>
      </c>
      <c r="I360" s="23">
        <v>1.3</v>
      </c>
      <c r="J360" s="23">
        <v>3.3</v>
      </c>
      <c r="K360" s="37">
        <v>2.2000000000000002</v>
      </c>
      <c r="L360" s="37">
        <v>2.5</v>
      </c>
      <c r="M360" s="37"/>
      <c r="N360" s="38">
        <f t="shared" si="88"/>
        <v>2.4</v>
      </c>
      <c r="O360" s="37">
        <v>2</v>
      </c>
      <c r="P360" s="37">
        <v>1.9</v>
      </c>
      <c r="Q360" s="38">
        <f t="shared" si="89"/>
        <v>2</v>
      </c>
      <c r="R360" s="17">
        <v>0.51500000000000001</v>
      </c>
      <c r="S360" s="17">
        <v>0.51600000000000001</v>
      </c>
      <c r="T360" s="22">
        <f t="shared" si="90"/>
        <v>0.51600000000000001</v>
      </c>
      <c r="U360" s="34">
        <v>0.45900000000000002</v>
      </c>
      <c r="V360" s="34">
        <v>0.435</v>
      </c>
      <c r="W360" s="33">
        <f t="shared" si="91"/>
        <v>0.44700000000000001</v>
      </c>
      <c r="X360" s="17">
        <v>3.6999999999999998E-2</v>
      </c>
      <c r="Y360" s="17">
        <v>3.6999999999999998E-2</v>
      </c>
      <c r="Z360" s="21">
        <f t="shared" si="92"/>
        <v>3.6999999999999998E-2</v>
      </c>
      <c r="AA360" s="19">
        <v>0.35399999999999998</v>
      </c>
      <c r="AB360" s="19">
        <v>0.38800000000000001</v>
      </c>
      <c r="AC360" s="21">
        <f t="shared" si="93"/>
        <v>0.371</v>
      </c>
      <c r="AD360" s="19">
        <v>4.4999999999999998E-2</v>
      </c>
      <c r="AE360" s="19">
        <v>3.9E-2</v>
      </c>
      <c r="AF360" s="21">
        <f t="shared" si="94"/>
        <v>4.2000000000000003E-2</v>
      </c>
      <c r="AG360" s="30">
        <v>2.1999999999999999E-2</v>
      </c>
      <c r="AH360" s="30">
        <v>0.02</v>
      </c>
      <c r="AI360" s="31">
        <f t="shared" si="95"/>
        <v>2.1000000000000001E-2</v>
      </c>
      <c r="AJ360" s="30">
        <v>1.0999999999999999E-2</v>
      </c>
      <c r="AK360" s="30">
        <v>1.0999999999999999E-2</v>
      </c>
      <c r="AL360" s="31">
        <f t="shared" si="96"/>
        <v>1.0999999999999999E-2</v>
      </c>
      <c r="AM360" s="19">
        <v>7.1420000000000003</v>
      </c>
      <c r="AN360" s="19">
        <v>7.6719999999999997</v>
      </c>
      <c r="AO360" s="21">
        <f t="shared" si="97"/>
        <v>7.407</v>
      </c>
      <c r="AP360" s="46">
        <v>6.6699999999999995E-2</v>
      </c>
      <c r="AQ360" s="46">
        <v>7.0300000000000001E-2</v>
      </c>
      <c r="AR360" s="45">
        <f t="shared" si="98"/>
        <v>6.8500000000000005E-2</v>
      </c>
      <c r="AS360" s="95">
        <v>9.14</v>
      </c>
      <c r="AT360" s="97">
        <v>2.2400000000000002</v>
      </c>
    </row>
    <row r="361" spans="1:46">
      <c r="A361" s="7" t="s">
        <v>5</v>
      </c>
      <c r="B361" s="5" t="s">
        <v>50</v>
      </c>
      <c r="C361" s="6" t="s">
        <v>42</v>
      </c>
      <c r="D361" s="6" t="s">
        <v>51</v>
      </c>
      <c r="E361" s="23">
        <v>25.9</v>
      </c>
      <c r="F361" s="23">
        <v>7</v>
      </c>
      <c r="G361" s="41">
        <v>145</v>
      </c>
      <c r="H361" s="23">
        <v>6</v>
      </c>
      <c r="I361" s="23">
        <v>1.1000000000000001</v>
      </c>
      <c r="J361" s="23">
        <v>3.9</v>
      </c>
      <c r="K361" s="37">
        <v>2.5</v>
      </c>
      <c r="L361" s="37">
        <v>2.7</v>
      </c>
      <c r="M361" s="37"/>
      <c r="N361" s="38">
        <f t="shared" si="88"/>
        <v>2.6</v>
      </c>
      <c r="O361" s="37">
        <v>2.1</v>
      </c>
      <c r="P361" s="37">
        <v>2.1</v>
      </c>
      <c r="Q361" s="38">
        <f t="shared" si="89"/>
        <v>2.1</v>
      </c>
      <c r="R361" s="17">
        <v>1.647</v>
      </c>
      <c r="S361" s="17">
        <v>1.63</v>
      </c>
      <c r="T361" s="22">
        <f t="shared" si="90"/>
        <v>1.639</v>
      </c>
      <c r="U361" s="34">
        <v>1.4910000000000001</v>
      </c>
      <c r="V361" s="34">
        <v>1.51</v>
      </c>
      <c r="W361" s="33">
        <f t="shared" si="91"/>
        <v>1.5009999999999999</v>
      </c>
      <c r="X361" s="17">
        <v>6.7000000000000004E-2</v>
      </c>
      <c r="Y361" s="17">
        <v>6.7000000000000004E-2</v>
      </c>
      <c r="Z361" s="21">
        <f t="shared" si="92"/>
        <v>6.7000000000000004E-2</v>
      </c>
      <c r="AA361" s="19">
        <v>1.365</v>
      </c>
      <c r="AB361" s="19">
        <v>1.4039999999999999</v>
      </c>
      <c r="AC361" s="21">
        <f t="shared" si="93"/>
        <v>1.385</v>
      </c>
      <c r="AD361" s="19">
        <v>0.26100000000000001</v>
      </c>
      <c r="AE361" s="19">
        <v>0.23400000000000001</v>
      </c>
      <c r="AF361" s="21">
        <f t="shared" si="94"/>
        <v>0.248</v>
      </c>
      <c r="AG361" s="30">
        <v>0.185</v>
      </c>
      <c r="AH361" s="30">
        <v>0.19400000000000001</v>
      </c>
      <c r="AI361" s="31">
        <f t="shared" si="95"/>
        <v>0.19</v>
      </c>
      <c r="AJ361" s="30">
        <v>0.183</v>
      </c>
      <c r="AK361" s="30">
        <v>0.184</v>
      </c>
      <c r="AL361" s="31">
        <f t="shared" si="96"/>
        <v>0.184</v>
      </c>
      <c r="AM361" s="19">
        <v>7.8579999999999997</v>
      </c>
      <c r="AN361" s="19">
        <v>8.0389999999999997</v>
      </c>
      <c r="AO361" s="21">
        <f t="shared" si="97"/>
        <v>7.9489999999999998</v>
      </c>
      <c r="AP361" s="46">
        <v>6.4600000000000005E-2</v>
      </c>
      <c r="AQ361" s="46">
        <v>6.8400000000000002E-2</v>
      </c>
      <c r="AR361" s="45">
        <f t="shared" si="98"/>
        <v>6.6500000000000004E-2</v>
      </c>
      <c r="AS361" s="95">
        <v>8.84</v>
      </c>
      <c r="AT361" s="3">
        <v>11.7</v>
      </c>
    </row>
    <row r="362" spans="1:46">
      <c r="A362" s="7" t="s">
        <v>6</v>
      </c>
      <c r="B362" s="5" t="s">
        <v>52</v>
      </c>
      <c r="C362" s="6" t="s">
        <v>53</v>
      </c>
      <c r="D362" s="6" t="s">
        <v>36</v>
      </c>
      <c r="E362" s="23">
        <v>28.5</v>
      </c>
      <c r="F362" s="23">
        <v>6.9</v>
      </c>
      <c r="G362" s="41">
        <v>131</v>
      </c>
      <c r="H362" s="23">
        <v>6.6</v>
      </c>
      <c r="I362" s="23">
        <v>1.4</v>
      </c>
      <c r="J362" s="23">
        <v>3.8</v>
      </c>
      <c r="K362" s="37">
        <v>2.5</v>
      </c>
      <c r="L362" s="37">
        <v>2.7</v>
      </c>
      <c r="M362" s="37"/>
      <c r="N362" s="38">
        <f t="shared" si="88"/>
        <v>2.6</v>
      </c>
      <c r="O362" s="37">
        <v>2.1</v>
      </c>
      <c r="P362" s="37">
        <v>2.1</v>
      </c>
      <c r="Q362" s="38">
        <f t="shared" si="89"/>
        <v>2.1</v>
      </c>
      <c r="R362" s="17">
        <v>0.76200000000000001</v>
      </c>
      <c r="S362" s="17">
        <v>0.74299999999999999</v>
      </c>
      <c r="T362" s="22">
        <f t="shared" si="90"/>
        <v>0.753</v>
      </c>
      <c r="U362" s="34">
        <v>0.68100000000000005</v>
      </c>
      <c r="V362" s="34">
        <v>0.67600000000000005</v>
      </c>
      <c r="W362" s="33">
        <f t="shared" si="91"/>
        <v>0.67900000000000005</v>
      </c>
      <c r="X362" s="17">
        <v>6.0999999999999999E-2</v>
      </c>
      <c r="Y362" s="17">
        <v>5.8999999999999997E-2</v>
      </c>
      <c r="Z362" s="21">
        <f t="shared" si="92"/>
        <v>0.06</v>
      </c>
      <c r="AA362" s="19">
        <v>0.52100000000000002</v>
      </c>
      <c r="AB362" s="19">
        <v>0.54700000000000004</v>
      </c>
      <c r="AC362" s="21">
        <f t="shared" si="93"/>
        <v>0.53400000000000003</v>
      </c>
      <c r="AD362" s="19">
        <v>9.0999999999999998E-2</v>
      </c>
      <c r="AE362" s="19">
        <v>7.9000000000000001E-2</v>
      </c>
      <c r="AF362" s="21">
        <f t="shared" si="94"/>
        <v>8.5000000000000006E-2</v>
      </c>
      <c r="AG362" s="30">
        <v>5.6000000000000001E-2</v>
      </c>
      <c r="AH362" s="30">
        <v>5.2999999999999999E-2</v>
      </c>
      <c r="AI362" s="31">
        <f t="shared" si="95"/>
        <v>5.5E-2</v>
      </c>
      <c r="AJ362" s="30">
        <v>4.3999999999999997E-2</v>
      </c>
      <c r="AK362" s="30">
        <v>4.2999999999999997E-2</v>
      </c>
      <c r="AL362" s="31">
        <f t="shared" si="96"/>
        <v>4.3999999999999997E-2</v>
      </c>
      <c r="AM362" s="19">
        <v>7.6760000000000002</v>
      </c>
      <c r="AN362" s="19">
        <v>7.8609999999999998</v>
      </c>
      <c r="AO362" s="21">
        <f t="shared" si="97"/>
        <v>7.7690000000000001</v>
      </c>
      <c r="AP362" s="46">
        <v>6.1800000000000001E-2</v>
      </c>
      <c r="AQ362" s="46">
        <v>6.54E-2</v>
      </c>
      <c r="AR362" s="45">
        <f t="shared" si="98"/>
        <v>6.3600000000000004E-2</v>
      </c>
      <c r="AS362" s="95">
        <v>9.59</v>
      </c>
      <c r="AT362" s="97">
        <v>7.67</v>
      </c>
    </row>
    <row r="363" spans="1:46">
      <c r="A363" s="7" t="s">
        <v>7</v>
      </c>
      <c r="B363" s="5" t="s">
        <v>54</v>
      </c>
      <c r="C363" s="6" t="s">
        <v>55</v>
      </c>
      <c r="D363" s="6" t="s">
        <v>56</v>
      </c>
      <c r="E363" s="23">
        <v>27.3</v>
      </c>
      <c r="F363" s="23">
        <v>7</v>
      </c>
      <c r="G363" s="41">
        <v>214</v>
      </c>
      <c r="H363" s="23">
        <v>6.6</v>
      </c>
      <c r="I363" s="23">
        <v>1.7</v>
      </c>
      <c r="J363" s="23">
        <v>5.3</v>
      </c>
      <c r="K363" s="37">
        <v>4</v>
      </c>
      <c r="L363" s="37">
        <v>4.3</v>
      </c>
      <c r="M363" s="37"/>
      <c r="N363" s="38">
        <f t="shared" si="88"/>
        <v>4.2</v>
      </c>
      <c r="O363" s="37">
        <v>3.1</v>
      </c>
      <c r="P363" s="37">
        <v>3</v>
      </c>
      <c r="Q363" s="38">
        <f t="shared" si="89"/>
        <v>3.1</v>
      </c>
      <c r="R363" s="17">
        <v>1.405</v>
      </c>
      <c r="S363" s="17">
        <v>1.3620000000000001</v>
      </c>
      <c r="T363" s="22">
        <f t="shared" si="90"/>
        <v>1.3839999999999999</v>
      </c>
      <c r="U363" s="34">
        <v>1.2589999999999999</v>
      </c>
      <c r="V363" s="34">
        <v>1.276</v>
      </c>
      <c r="W363" s="33">
        <f t="shared" si="91"/>
        <v>1.268</v>
      </c>
      <c r="X363" s="17">
        <v>0.30599999999999999</v>
      </c>
      <c r="Y363" s="17">
        <v>0.30499999999999999</v>
      </c>
      <c r="Z363" s="21">
        <f t="shared" si="92"/>
        <v>0.30599999999999999</v>
      </c>
      <c r="AA363" s="19">
        <v>0.69499999999999995</v>
      </c>
      <c r="AB363" s="19">
        <v>0.73</v>
      </c>
      <c r="AC363" s="21">
        <f t="shared" si="93"/>
        <v>0.71299999999999997</v>
      </c>
      <c r="AD363" s="19">
        <v>0.17</v>
      </c>
      <c r="AE363" s="19">
        <v>0.14199999999999999</v>
      </c>
      <c r="AF363" s="21">
        <f t="shared" si="94"/>
        <v>0.156</v>
      </c>
      <c r="AG363" s="30">
        <v>9.1999999999999998E-2</v>
      </c>
      <c r="AH363" s="30">
        <v>9.5000000000000001E-2</v>
      </c>
      <c r="AI363" s="31">
        <f t="shared" si="95"/>
        <v>9.4E-2</v>
      </c>
      <c r="AJ363" s="30">
        <v>8.5999999999999993E-2</v>
      </c>
      <c r="AK363" s="30">
        <v>8.6999999999999994E-2</v>
      </c>
      <c r="AL363" s="31">
        <f t="shared" si="96"/>
        <v>8.6999999999999994E-2</v>
      </c>
      <c r="AM363" s="19">
        <v>15.39</v>
      </c>
      <c r="AN363" s="19">
        <v>15.731999999999999</v>
      </c>
      <c r="AO363" s="21">
        <f t="shared" si="97"/>
        <v>15.561</v>
      </c>
      <c r="AP363" s="46">
        <v>8.1500000000000003E-2</v>
      </c>
      <c r="AQ363" s="46">
        <v>8.4500000000000006E-2</v>
      </c>
      <c r="AR363" s="45">
        <f t="shared" si="98"/>
        <v>8.3000000000000004E-2</v>
      </c>
      <c r="AS363" s="95">
        <v>9.6999999999999993</v>
      </c>
      <c r="AT363" s="3">
        <v>-0.45</v>
      </c>
    </row>
    <row r="364" spans="1:46">
      <c r="A364" s="7" t="s">
        <v>8</v>
      </c>
      <c r="B364" s="5" t="s">
        <v>54</v>
      </c>
      <c r="C364" s="6" t="s">
        <v>44</v>
      </c>
      <c r="D364" s="6" t="s">
        <v>36</v>
      </c>
      <c r="E364" s="23">
        <v>28</v>
      </c>
      <c r="F364" s="23">
        <v>7.1</v>
      </c>
      <c r="G364" s="41">
        <v>142</v>
      </c>
      <c r="H364" s="23">
        <v>7</v>
      </c>
      <c r="I364" s="23">
        <v>1.3</v>
      </c>
      <c r="J364" s="23">
        <v>5.0999999999999996</v>
      </c>
      <c r="K364" s="37">
        <v>3.8</v>
      </c>
      <c r="L364" s="37">
        <v>3.7</v>
      </c>
      <c r="M364" s="37"/>
      <c r="N364" s="38">
        <f t="shared" si="88"/>
        <v>3.8</v>
      </c>
      <c r="O364" s="37">
        <v>3</v>
      </c>
      <c r="P364" s="37">
        <v>2.9</v>
      </c>
      <c r="Q364" s="38">
        <f t="shared" si="89"/>
        <v>3</v>
      </c>
      <c r="R364" s="17">
        <v>1.159</v>
      </c>
      <c r="S364" s="17">
        <v>1.137</v>
      </c>
      <c r="T364" s="22">
        <f t="shared" si="90"/>
        <v>1.1479999999999999</v>
      </c>
      <c r="U364" s="34">
        <v>0.98199999999999998</v>
      </c>
      <c r="V364" s="34">
        <v>1.016</v>
      </c>
      <c r="W364" s="33">
        <f t="shared" si="91"/>
        <v>0.999</v>
      </c>
      <c r="X364" s="17">
        <v>7.5999999999999998E-2</v>
      </c>
      <c r="Y364" s="17">
        <v>7.6999999999999999E-2</v>
      </c>
      <c r="Z364" s="21">
        <f t="shared" si="92"/>
        <v>7.6999999999999999E-2</v>
      </c>
      <c r="AA364" s="19">
        <v>0.77200000000000002</v>
      </c>
      <c r="AB364" s="19">
        <v>0.78700000000000003</v>
      </c>
      <c r="AC364" s="21">
        <f t="shared" si="93"/>
        <v>0.78</v>
      </c>
      <c r="AD364" s="19">
        <v>0.155</v>
      </c>
      <c r="AE364" s="19">
        <v>0.13700000000000001</v>
      </c>
      <c r="AF364" s="21">
        <f t="shared" si="94"/>
        <v>0.14599999999999999</v>
      </c>
      <c r="AG364" s="30">
        <v>8.4000000000000005E-2</v>
      </c>
      <c r="AH364" s="30">
        <v>9.5000000000000001E-2</v>
      </c>
      <c r="AI364" s="31">
        <f t="shared" si="95"/>
        <v>0.09</v>
      </c>
      <c r="AJ364" s="30">
        <v>8.2000000000000003E-2</v>
      </c>
      <c r="AK364" s="30">
        <v>8.6999999999999994E-2</v>
      </c>
      <c r="AL364" s="31">
        <f t="shared" si="96"/>
        <v>8.5000000000000006E-2</v>
      </c>
      <c r="AM364" s="19">
        <v>8.4779999999999998</v>
      </c>
      <c r="AN364" s="19">
        <v>8.5649999999999995</v>
      </c>
      <c r="AO364" s="21">
        <f t="shared" si="97"/>
        <v>8.5220000000000002</v>
      </c>
      <c r="AP364" s="46">
        <v>9.0499999999999997E-2</v>
      </c>
      <c r="AQ364" s="46">
        <v>9.4E-2</v>
      </c>
      <c r="AR364" s="45">
        <f t="shared" si="98"/>
        <v>9.2299999999999993E-2</v>
      </c>
      <c r="AS364" s="95">
        <v>8.35</v>
      </c>
      <c r="AT364" s="97">
        <v>8.5500000000000007</v>
      </c>
    </row>
    <row r="365" spans="1:46">
      <c r="A365" s="7" t="s">
        <v>9</v>
      </c>
      <c r="B365" s="5" t="s">
        <v>57</v>
      </c>
      <c r="C365" s="6" t="s">
        <v>58</v>
      </c>
      <c r="D365" s="6" t="s">
        <v>59</v>
      </c>
      <c r="E365" s="23">
        <v>26</v>
      </c>
      <c r="F365" s="23">
        <v>7.2</v>
      </c>
      <c r="G365" s="41">
        <v>106</v>
      </c>
      <c r="H365" s="23">
        <v>8</v>
      </c>
      <c r="I365" s="23">
        <v>1.3</v>
      </c>
      <c r="J365" s="23">
        <v>3.5</v>
      </c>
      <c r="K365" s="37">
        <v>2.6</v>
      </c>
      <c r="L365" s="37">
        <v>2.7</v>
      </c>
      <c r="M365" s="37"/>
      <c r="N365" s="38">
        <f t="shared" si="88"/>
        <v>2.7</v>
      </c>
      <c r="O365" s="37">
        <v>2.1</v>
      </c>
      <c r="P365" s="37">
        <v>2.1</v>
      </c>
      <c r="Q365" s="38">
        <f t="shared" si="89"/>
        <v>2.1</v>
      </c>
      <c r="R365" s="17">
        <v>0.88700000000000001</v>
      </c>
      <c r="S365" s="17">
        <v>0.86599999999999999</v>
      </c>
      <c r="T365" s="22">
        <f t="shared" si="90"/>
        <v>0.877</v>
      </c>
      <c r="U365" s="34">
        <v>0.81799999999999995</v>
      </c>
      <c r="V365" s="34">
        <v>0.81699999999999995</v>
      </c>
      <c r="W365" s="33">
        <f t="shared" si="91"/>
        <v>0.81799999999999995</v>
      </c>
      <c r="X365" s="17">
        <v>0.05</v>
      </c>
      <c r="Y365" s="17">
        <v>4.8999999999999998E-3</v>
      </c>
      <c r="Z365" s="21">
        <f t="shared" si="92"/>
        <v>2.7E-2</v>
      </c>
      <c r="AA365" s="19">
        <v>0.66200000000000003</v>
      </c>
      <c r="AB365" s="19">
        <v>0.68799999999999994</v>
      </c>
      <c r="AC365" s="21">
        <f t="shared" si="93"/>
        <v>0.67500000000000004</v>
      </c>
      <c r="AD365" s="19">
        <v>5.8000000000000003E-2</v>
      </c>
      <c r="AE365" s="19">
        <v>4.8000000000000001E-2</v>
      </c>
      <c r="AF365" s="21">
        <f t="shared" si="94"/>
        <v>5.2999999999999999E-2</v>
      </c>
      <c r="AG365" s="30">
        <v>2.7E-2</v>
      </c>
      <c r="AH365" s="30">
        <v>2.5000000000000001E-2</v>
      </c>
      <c r="AI365" s="31">
        <f t="shared" si="95"/>
        <v>2.5999999999999999E-2</v>
      </c>
      <c r="AJ365" s="30">
        <v>1.7000000000000001E-2</v>
      </c>
      <c r="AK365" s="30">
        <v>1.6E-2</v>
      </c>
      <c r="AL365" s="31">
        <f t="shared" si="96"/>
        <v>1.7000000000000001E-2</v>
      </c>
      <c r="AM365" s="19">
        <v>4.7679999999999998</v>
      </c>
      <c r="AN365" s="19">
        <v>4.8719999999999999</v>
      </c>
      <c r="AO365" s="21">
        <f t="shared" si="97"/>
        <v>4.82</v>
      </c>
      <c r="AP365" s="46">
        <v>5.3400000000000003E-2</v>
      </c>
      <c r="AQ365" s="46">
        <v>5.74E-2</v>
      </c>
      <c r="AR365" s="45">
        <f t="shared" si="98"/>
        <v>5.5399999999999998E-2</v>
      </c>
      <c r="AS365" s="95">
        <v>7.25</v>
      </c>
      <c r="AT365" s="3">
        <v>2.76</v>
      </c>
    </row>
    <row r="366" spans="1:46">
      <c r="A366" s="7" t="s">
        <v>10</v>
      </c>
      <c r="B366" s="5" t="s">
        <v>60</v>
      </c>
      <c r="C366" s="6" t="s">
        <v>61</v>
      </c>
      <c r="D366" s="6" t="s">
        <v>36</v>
      </c>
      <c r="E366" s="23">
        <v>26.9</v>
      </c>
      <c r="F366" s="23">
        <v>7.3</v>
      </c>
      <c r="G366" s="41">
        <v>131</v>
      </c>
      <c r="H366" s="23">
        <v>8.1999999999999993</v>
      </c>
      <c r="I366" s="23">
        <v>1.3</v>
      </c>
      <c r="J366" s="23">
        <v>4.0999999999999996</v>
      </c>
      <c r="K366" s="37">
        <v>2.9</v>
      </c>
      <c r="L366" s="37">
        <v>3</v>
      </c>
      <c r="M366" s="37"/>
      <c r="N366" s="38">
        <f t="shared" si="88"/>
        <v>3</v>
      </c>
      <c r="O366" s="37">
        <v>2.6</v>
      </c>
      <c r="P366" s="37">
        <v>2.5</v>
      </c>
      <c r="Q366" s="38">
        <f t="shared" si="89"/>
        <v>2.6</v>
      </c>
      <c r="R366" s="17">
        <v>1.139</v>
      </c>
      <c r="S366" s="17">
        <v>1.1140000000000001</v>
      </c>
      <c r="T366" s="22">
        <f t="shared" si="90"/>
        <v>1.127</v>
      </c>
      <c r="U366" s="34">
        <v>0.98099999999999998</v>
      </c>
      <c r="V366" s="34">
        <v>0.996</v>
      </c>
      <c r="W366" s="33">
        <f t="shared" si="91"/>
        <v>0.98899999999999999</v>
      </c>
      <c r="X366" s="17">
        <v>3.5000000000000003E-2</v>
      </c>
      <c r="Y366" s="17">
        <v>3.4000000000000002E-2</v>
      </c>
      <c r="Z366" s="21">
        <f t="shared" si="92"/>
        <v>3.5000000000000003E-2</v>
      </c>
      <c r="AA366" s="19">
        <v>0.874</v>
      </c>
      <c r="AB366" s="19">
        <v>0.89800000000000002</v>
      </c>
      <c r="AC366" s="21">
        <f t="shared" si="93"/>
        <v>0.88600000000000001</v>
      </c>
      <c r="AD366" s="19">
        <v>9.4E-2</v>
      </c>
      <c r="AE366" s="19">
        <v>8.1000000000000003E-2</v>
      </c>
      <c r="AF366" s="21">
        <f t="shared" si="94"/>
        <v>8.7999999999999995E-2</v>
      </c>
      <c r="AG366" s="30">
        <v>5.2999999999999999E-2</v>
      </c>
      <c r="AH366" s="30">
        <v>0.06</v>
      </c>
      <c r="AI366" s="31">
        <f t="shared" si="95"/>
        <v>5.7000000000000002E-2</v>
      </c>
      <c r="AJ366" s="30">
        <v>4.9000000000000002E-2</v>
      </c>
      <c r="AK366" s="30">
        <v>0.05</v>
      </c>
      <c r="AL366" s="31">
        <f t="shared" si="96"/>
        <v>0.05</v>
      </c>
      <c r="AM366" s="19">
        <v>6.6550000000000002</v>
      </c>
      <c r="AN366" s="19">
        <v>6.7619999999999996</v>
      </c>
      <c r="AO366" s="21">
        <f t="shared" si="97"/>
        <v>6.7089999999999996</v>
      </c>
      <c r="AP366" s="46">
        <v>7.5499999999999998E-2</v>
      </c>
      <c r="AQ366" s="46">
        <v>7.8399999999999997E-2</v>
      </c>
      <c r="AR366" s="45">
        <f t="shared" si="98"/>
        <v>7.6999999999999999E-2</v>
      </c>
      <c r="AS366" s="95">
        <v>7.76</v>
      </c>
      <c r="AT366" s="97">
        <v>6.5</v>
      </c>
    </row>
    <row r="367" spans="1:46">
      <c r="A367" s="7" t="s">
        <v>11</v>
      </c>
      <c r="B367" s="5" t="s">
        <v>108</v>
      </c>
      <c r="C367" s="6" t="s">
        <v>62</v>
      </c>
      <c r="D367" s="6" t="s">
        <v>63</v>
      </c>
      <c r="E367" s="23">
        <v>26.3</v>
      </c>
      <c r="F367" s="23">
        <v>7</v>
      </c>
      <c r="G367" s="41">
        <v>163</v>
      </c>
      <c r="H367" s="23">
        <v>7.1</v>
      </c>
      <c r="I367" s="23">
        <v>2.5</v>
      </c>
      <c r="J367" s="23">
        <v>8.1</v>
      </c>
      <c r="K367" s="37">
        <v>5.7</v>
      </c>
      <c r="L367" s="37">
        <v>6</v>
      </c>
      <c r="M367" s="37"/>
      <c r="N367" s="38">
        <f t="shared" si="88"/>
        <v>5.9</v>
      </c>
      <c r="O367" s="37">
        <v>4.7</v>
      </c>
      <c r="P367" s="37">
        <v>4.7</v>
      </c>
      <c r="Q367" s="38">
        <f t="shared" si="89"/>
        <v>4.7</v>
      </c>
      <c r="R367" s="17">
        <v>1.784</v>
      </c>
      <c r="S367" s="17">
        <v>1.7829999999999999</v>
      </c>
      <c r="T367" s="22">
        <f t="shared" si="90"/>
        <v>1.784</v>
      </c>
      <c r="U367" s="34">
        <v>1.631</v>
      </c>
      <c r="V367" s="34">
        <v>1.6379999999999999</v>
      </c>
      <c r="W367" s="33">
        <f t="shared" si="91"/>
        <v>1.635</v>
      </c>
      <c r="X367" s="17">
        <v>0.126</v>
      </c>
      <c r="Y367" s="17">
        <v>0.126</v>
      </c>
      <c r="Z367" s="21">
        <f t="shared" si="92"/>
        <v>0.126</v>
      </c>
      <c r="AA367" s="19">
        <v>1.1379999999999999</v>
      </c>
      <c r="AB367" s="19">
        <v>1.1950000000000001</v>
      </c>
      <c r="AC367" s="21">
        <f t="shared" si="93"/>
        <v>1.167</v>
      </c>
      <c r="AD367" s="19">
        <v>0.187</v>
      </c>
      <c r="AE367" s="19">
        <v>0.16900000000000001</v>
      </c>
      <c r="AF367" s="21">
        <f t="shared" si="94"/>
        <v>0.17799999999999999</v>
      </c>
      <c r="AG367" s="30">
        <v>0.10299999999999999</v>
      </c>
      <c r="AH367" s="30">
        <v>0.106</v>
      </c>
      <c r="AI367" s="31">
        <f t="shared" si="95"/>
        <v>0.105</v>
      </c>
      <c r="AJ367" s="30">
        <v>8.7999999999999995E-2</v>
      </c>
      <c r="AK367" s="30">
        <v>8.8999999999999996E-2</v>
      </c>
      <c r="AL367" s="31">
        <f t="shared" si="96"/>
        <v>8.8999999999999996E-2</v>
      </c>
      <c r="AM367" s="19">
        <v>9.9410000000000007</v>
      </c>
      <c r="AN367" s="19">
        <v>10.228999999999999</v>
      </c>
      <c r="AO367" s="21">
        <f t="shared" si="97"/>
        <v>10.085000000000001</v>
      </c>
      <c r="AP367" s="46">
        <v>0.1555</v>
      </c>
      <c r="AQ367" s="46">
        <v>0.158</v>
      </c>
      <c r="AR367" s="45">
        <f t="shared" si="98"/>
        <v>0.15679999999999999</v>
      </c>
      <c r="AS367" s="95">
        <v>7.51</v>
      </c>
      <c r="AT367" s="3">
        <v>2.52</v>
      </c>
    </row>
    <row r="368" spans="1:46">
      <c r="A368" s="7" t="s">
        <v>12</v>
      </c>
      <c r="B368" s="5" t="s">
        <v>64</v>
      </c>
      <c r="C368" s="6" t="s">
        <v>65</v>
      </c>
      <c r="D368" s="6" t="s">
        <v>36</v>
      </c>
      <c r="E368" s="23">
        <v>27.7</v>
      </c>
      <c r="F368" s="23">
        <v>7</v>
      </c>
      <c r="G368" s="41">
        <v>128</v>
      </c>
      <c r="H368" s="23">
        <v>6.3</v>
      </c>
      <c r="I368" s="23">
        <v>1.8</v>
      </c>
      <c r="J368" s="23">
        <v>5</v>
      </c>
      <c r="K368" s="37">
        <v>3.7</v>
      </c>
      <c r="L368" s="37">
        <v>3.6</v>
      </c>
      <c r="M368" s="37"/>
      <c r="N368" s="38">
        <f t="shared" si="88"/>
        <v>3.7</v>
      </c>
      <c r="O368" s="37">
        <v>3.2</v>
      </c>
      <c r="P368" s="37">
        <v>3</v>
      </c>
      <c r="Q368" s="38">
        <f t="shared" si="89"/>
        <v>3.1</v>
      </c>
      <c r="R368" s="17">
        <v>1.26</v>
      </c>
      <c r="S368" s="17">
        <v>1.226</v>
      </c>
      <c r="T368" s="22">
        <f t="shared" si="90"/>
        <v>1.2430000000000001</v>
      </c>
      <c r="U368" s="34">
        <v>1.1619999999999999</v>
      </c>
      <c r="V368" s="34">
        <v>1.1759999999999999</v>
      </c>
      <c r="W368" s="33">
        <f t="shared" si="91"/>
        <v>1.169</v>
      </c>
      <c r="X368" s="17">
        <v>7.0999999999999994E-2</v>
      </c>
      <c r="Y368" s="17">
        <v>7.1999999999999995E-2</v>
      </c>
      <c r="Z368" s="21">
        <f t="shared" si="92"/>
        <v>7.1999999999999995E-2</v>
      </c>
      <c r="AA368" s="19">
        <v>0.88400000000000001</v>
      </c>
      <c r="AB368" s="19">
        <v>0.92200000000000004</v>
      </c>
      <c r="AC368" s="21">
        <f t="shared" si="93"/>
        <v>0.90300000000000002</v>
      </c>
      <c r="AD368" s="19">
        <v>0.13500000000000001</v>
      </c>
      <c r="AE368" s="19">
        <v>0.113</v>
      </c>
      <c r="AF368" s="21">
        <f t="shared" si="94"/>
        <v>0.124</v>
      </c>
      <c r="AG368" s="30">
        <v>8.3000000000000004E-2</v>
      </c>
      <c r="AH368" s="30">
        <v>8.5999999999999993E-2</v>
      </c>
      <c r="AI368" s="31">
        <f t="shared" si="95"/>
        <v>8.5000000000000006E-2</v>
      </c>
      <c r="AJ368" s="30">
        <v>7.3999999999999996E-2</v>
      </c>
      <c r="AK368" s="30">
        <v>7.3999999999999996E-2</v>
      </c>
      <c r="AL368" s="31">
        <f t="shared" si="96"/>
        <v>7.3999999999999996E-2</v>
      </c>
      <c r="AM368" s="19">
        <v>7.4349999999999996</v>
      </c>
      <c r="AN368" s="19">
        <v>7.6079999999999997</v>
      </c>
      <c r="AO368" s="21">
        <f t="shared" si="97"/>
        <v>7.5220000000000002</v>
      </c>
      <c r="AP368" s="46">
        <v>9.4600000000000004E-2</v>
      </c>
      <c r="AQ368" s="46">
        <v>9.8100000000000007E-2</v>
      </c>
      <c r="AR368" s="45">
        <f t="shared" si="98"/>
        <v>9.64E-2</v>
      </c>
      <c r="AS368" s="3">
        <v>7.41</v>
      </c>
      <c r="AT368" s="97">
        <v>4.71</v>
      </c>
    </row>
    <row r="369" spans="1:46">
      <c r="A369" s="7" t="s">
        <v>13</v>
      </c>
      <c r="B369" s="5" t="s">
        <v>66</v>
      </c>
      <c r="C369" s="6" t="s">
        <v>44</v>
      </c>
      <c r="D369" s="6" t="s">
        <v>67</v>
      </c>
      <c r="E369" s="23">
        <v>26.2</v>
      </c>
      <c r="F369" s="23">
        <v>6.6</v>
      </c>
      <c r="G369" s="41">
        <v>129</v>
      </c>
      <c r="H369" s="23">
        <v>6.1</v>
      </c>
      <c r="I369" s="23">
        <v>2.2999999999999998</v>
      </c>
      <c r="J369" s="23">
        <v>6.6</v>
      </c>
      <c r="K369" s="37">
        <v>4.8</v>
      </c>
      <c r="L369" s="37">
        <v>4.9000000000000004</v>
      </c>
      <c r="M369" s="37"/>
      <c r="N369" s="38">
        <f t="shared" si="88"/>
        <v>4.9000000000000004</v>
      </c>
      <c r="O369" s="37">
        <v>4</v>
      </c>
      <c r="P369" s="37">
        <v>4</v>
      </c>
      <c r="Q369" s="38">
        <f t="shared" si="89"/>
        <v>4</v>
      </c>
      <c r="R369" s="17">
        <v>1.1839999999999999</v>
      </c>
      <c r="S369" s="17">
        <v>1.1619999999999999</v>
      </c>
      <c r="T369" s="22">
        <f t="shared" si="90"/>
        <v>1.173</v>
      </c>
      <c r="U369" s="34">
        <v>1.03</v>
      </c>
      <c r="V369" s="34">
        <v>1.056</v>
      </c>
      <c r="W369" s="33">
        <f t="shared" si="91"/>
        <v>1.0429999999999999</v>
      </c>
      <c r="X369" s="17">
        <v>8.7999999999999995E-2</v>
      </c>
      <c r="Y369" s="17">
        <v>8.6999999999999994E-2</v>
      </c>
      <c r="Z369" s="21">
        <f t="shared" si="92"/>
        <v>8.7999999999999995E-2</v>
      </c>
      <c r="AA369" s="19">
        <v>0.69299999999999995</v>
      </c>
      <c r="AB369" s="19">
        <v>0.71599999999999997</v>
      </c>
      <c r="AC369" s="21">
        <f t="shared" si="93"/>
        <v>0.70499999999999996</v>
      </c>
      <c r="AD369" s="19">
        <v>0.126</v>
      </c>
      <c r="AE369" s="19">
        <v>0.108</v>
      </c>
      <c r="AF369" s="21">
        <f t="shared" si="94"/>
        <v>0.11700000000000001</v>
      </c>
      <c r="AG369" s="30">
        <v>6.6000000000000003E-2</v>
      </c>
      <c r="AH369" s="30">
        <v>6.9000000000000006E-2</v>
      </c>
      <c r="AI369" s="31">
        <f t="shared" si="95"/>
        <v>6.8000000000000005E-2</v>
      </c>
      <c r="AJ369" s="30">
        <v>5.6000000000000001E-2</v>
      </c>
      <c r="AK369" s="30">
        <v>5.5E-2</v>
      </c>
      <c r="AL369" s="31">
        <f t="shared" si="96"/>
        <v>5.6000000000000001E-2</v>
      </c>
      <c r="AM369" s="19">
        <v>7.5110000000000001</v>
      </c>
      <c r="AN369" s="19">
        <v>7.6360000000000001</v>
      </c>
      <c r="AO369" s="21">
        <f t="shared" si="97"/>
        <v>7.5739999999999998</v>
      </c>
      <c r="AP369" s="46">
        <v>0.1255</v>
      </c>
      <c r="AQ369" s="46">
        <v>0.129</v>
      </c>
      <c r="AR369" s="45">
        <f t="shared" si="98"/>
        <v>0.1273</v>
      </c>
      <c r="AS369" s="3">
        <v>7.64</v>
      </c>
      <c r="AT369" s="3">
        <v>5.69</v>
      </c>
    </row>
    <row r="370" spans="1:46">
      <c r="A370" s="7" t="s">
        <v>14</v>
      </c>
      <c r="B370" s="5" t="s">
        <v>64</v>
      </c>
      <c r="C370" s="6" t="s">
        <v>68</v>
      </c>
      <c r="D370" s="6" t="s">
        <v>36</v>
      </c>
      <c r="E370" s="23">
        <v>27.5</v>
      </c>
      <c r="F370" s="23">
        <v>6.6</v>
      </c>
      <c r="G370" s="41">
        <v>130</v>
      </c>
      <c r="H370" s="23">
        <v>6.5</v>
      </c>
      <c r="I370" s="23">
        <v>2.6</v>
      </c>
      <c r="J370" s="23">
        <v>5.4</v>
      </c>
      <c r="K370" s="37">
        <v>3.8</v>
      </c>
      <c r="L370" s="37">
        <v>3.9</v>
      </c>
      <c r="M370" s="37"/>
      <c r="N370" s="38">
        <f t="shared" si="88"/>
        <v>3.9</v>
      </c>
      <c r="O370" s="37">
        <v>3.1</v>
      </c>
      <c r="P370" s="37">
        <v>3.1</v>
      </c>
      <c r="Q370" s="38">
        <f t="shared" si="89"/>
        <v>3.1</v>
      </c>
      <c r="R370" s="17">
        <v>1.35</v>
      </c>
      <c r="S370" s="17">
        <v>1.3460000000000001</v>
      </c>
      <c r="T370" s="22">
        <f t="shared" si="90"/>
        <v>1.3480000000000001</v>
      </c>
      <c r="U370" s="34">
        <v>1.206</v>
      </c>
      <c r="V370" s="34">
        <v>1.1990000000000001</v>
      </c>
      <c r="W370" s="33">
        <f t="shared" si="91"/>
        <v>1.2030000000000001</v>
      </c>
      <c r="X370" s="17">
        <v>8.4000000000000005E-2</v>
      </c>
      <c r="Y370" s="17">
        <v>8.3000000000000004E-2</v>
      </c>
      <c r="Z370" s="21">
        <f t="shared" si="92"/>
        <v>8.4000000000000005E-2</v>
      </c>
      <c r="AA370" s="19">
        <v>0.91200000000000003</v>
      </c>
      <c r="AB370" s="19">
        <v>0.94799999999999995</v>
      </c>
      <c r="AC370" s="21">
        <f t="shared" si="93"/>
        <v>0.93</v>
      </c>
      <c r="AD370" s="19">
        <v>0.16200000000000001</v>
      </c>
      <c r="AE370" s="19">
        <v>0.14000000000000001</v>
      </c>
      <c r="AF370" s="21">
        <f t="shared" si="94"/>
        <v>0.151</v>
      </c>
      <c r="AG370" s="30">
        <v>0.104</v>
      </c>
      <c r="AH370" s="30">
        <v>0.10299999999999999</v>
      </c>
      <c r="AI370" s="31">
        <f t="shared" si="95"/>
        <v>0.104</v>
      </c>
      <c r="AJ370" s="30">
        <v>9.4E-2</v>
      </c>
      <c r="AK370" s="30">
        <v>9.5000000000000001E-2</v>
      </c>
      <c r="AL370" s="31">
        <f t="shared" si="96"/>
        <v>9.5000000000000001E-2</v>
      </c>
      <c r="AM370" s="19">
        <v>7.423</v>
      </c>
      <c r="AN370" s="19">
        <v>7.5259999999999998</v>
      </c>
      <c r="AO370" s="21">
        <f t="shared" si="97"/>
        <v>7.4749999999999996</v>
      </c>
      <c r="AP370" s="46">
        <v>9.8799999999999999E-2</v>
      </c>
      <c r="AQ370" s="46">
        <v>0.10249999999999999</v>
      </c>
      <c r="AR370" s="45">
        <f t="shared" si="98"/>
        <v>0.1007</v>
      </c>
      <c r="AS370" s="3">
        <v>7.67</v>
      </c>
      <c r="AT370" s="97">
        <v>5.16</v>
      </c>
    </row>
    <row r="371" spans="1:46">
      <c r="A371" s="7" t="s">
        <v>15</v>
      </c>
      <c r="B371" s="5" t="s">
        <v>69</v>
      </c>
      <c r="C371" s="6" t="s">
        <v>70</v>
      </c>
      <c r="D371" s="6" t="s">
        <v>71</v>
      </c>
      <c r="E371" s="23">
        <v>26.1</v>
      </c>
      <c r="F371" s="23">
        <v>6.7</v>
      </c>
      <c r="G371" s="41">
        <v>198</v>
      </c>
      <c r="H371" s="23">
        <v>6.3</v>
      </c>
      <c r="I371" s="23">
        <v>1.5</v>
      </c>
      <c r="J371" s="23">
        <v>4.5</v>
      </c>
      <c r="K371" s="37">
        <v>3.1</v>
      </c>
      <c r="L371" s="37">
        <v>3.4</v>
      </c>
      <c r="M371" s="37"/>
      <c r="N371" s="38">
        <f t="shared" si="88"/>
        <v>3.3</v>
      </c>
      <c r="O371" s="37">
        <v>2.8</v>
      </c>
      <c r="P371" s="37">
        <v>2.7</v>
      </c>
      <c r="Q371" s="38">
        <f t="shared" si="89"/>
        <v>2.8</v>
      </c>
      <c r="R371" s="17">
        <v>0.76</v>
      </c>
      <c r="S371" s="17">
        <v>0.72399999999999998</v>
      </c>
      <c r="T371" s="22">
        <f t="shared" si="90"/>
        <v>0.74199999999999999</v>
      </c>
      <c r="U371" s="34">
        <v>0.65100000000000002</v>
      </c>
      <c r="V371" s="34">
        <v>0.67500000000000004</v>
      </c>
      <c r="W371" s="33">
        <f t="shared" si="91"/>
        <v>0.66300000000000003</v>
      </c>
      <c r="X371" s="17">
        <v>1.7999999999999999E-2</v>
      </c>
      <c r="Y371" s="17">
        <v>1.4E-2</v>
      </c>
      <c r="Z371" s="21">
        <f t="shared" si="92"/>
        <v>1.6E-2</v>
      </c>
      <c r="AA371" s="19">
        <v>0.55600000000000005</v>
      </c>
      <c r="AB371" s="19">
        <v>0.57899999999999996</v>
      </c>
      <c r="AC371" s="21">
        <f t="shared" si="93"/>
        <v>0.56799999999999995</v>
      </c>
      <c r="AD371" s="19">
        <v>4.1000000000000002E-2</v>
      </c>
      <c r="AE371" s="19">
        <v>3.3000000000000002E-2</v>
      </c>
      <c r="AF371" s="21">
        <f t="shared" si="94"/>
        <v>3.6999999999999998E-2</v>
      </c>
      <c r="AG371" s="30">
        <v>2.1000000000000001E-2</v>
      </c>
      <c r="AH371" s="30">
        <v>1.7999999999999999E-2</v>
      </c>
      <c r="AI371" s="31">
        <f t="shared" si="95"/>
        <v>0.02</v>
      </c>
      <c r="AJ371" s="30">
        <v>0.01</v>
      </c>
      <c r="AK371" s="30">
        <v>8.0000000000000002E-3</v>
      </c>
      <c r="AL371" s="31">
        <f t="shared" si="96"/>
        <v>8.9999999999999993E-3</v>
      </c>
      <c r="AM371" s="19">
        <v>6.165</v>
      </c>
      <c r="AN371" s="19">
        <v>6.2759999999999998</v>
      </c>
      <c r="AO371" s="21">
        <f t="shared" si="97"/>
        <v>6.2210000000000001</v>
      </c>
      <c r="AP371" s="46">
        <v>8.1100000000000005E-2</v>
      </c>
      <c r="AQ371" s="46">
        <v>8.4500000000000006E-2</v>
      </c>
      <c r="AR371" s="45">
        <f t="shared" si="98"/>
        <v>8.2799999999999999E-2</v>
      </c>
      <c r="AS371" s="3">
        <v>8.68</v>
      </c>
      <c r="AT371" s="3">
        <v>2.0299999999999998</v>
      </c>
    </row>
    <row r="372" spans="1:46">
      <c r="A372" s="7" t="s">
        <v>16</v>
      </c>
      <c r="B372" s="5" t="s">
        <v>72</v>
      </c>
      <c r="C372" s="6" t="s">
        <v>73</v>
      </c>
      <c r="D372" s="6" t="s">
        <v>36</v>
      </c>
      <c r="E372" s="23">
        <v>28.3</v>
      </c>
      <c r="F372" s="23">
        <v>6.9</v>
      </c>
      <c r="G372" s="41">
        <v>135</v>
      </c>
      <c r="H372" s="23">
        <v>7.4</v>
      </c>
      <c r="I372" s="23">
        <v>1.9</v>
      </c>
      <c r="J372" s="23">
        <v>5.2</v>
      </c>
      <c r="K372" s="37">
        <v>3.5</v>
      </c>
      <c r="L372" s="37">
        <v>3.5</v>
      </c>
      <c r="M372" s="37"/>
      <c r="N372" s="38">
        <f t="shared" si="88"/>
        <v>3.5</v>
      </c>
      <c r="O372" s="37">
        <v>3</v>
      </c>
      <c r="P372" s="37">
        <v>2.9</v>
      </c>
      <c r="Q372" s="38">
        <f t="shared" si="89"/>
        <v>3</v>
      </c>
      <c r="R372" s="17">
        <v>1.1719999999999999</v>
      </c>
      <c r="S372" s="17">
        <v>1.1459999999999999</v>
      </c>
      <c r="T372" s="22">
        <f t="shared" si="90"/>
        <v>1.159</v>
      </c>
      <c r="U372" s="34">
        <v>1.022</v>
      </c>
      <c r="V372" s="34">
        <v>1.0429999999999999</v>
      </c>
      <c r="W372" s="33">
        <f t="shared" si="91"/>
        <v>1.0329999999999999</v>
      </c>
      <c r="X372" s="17">
        <v>0.104</v>
      </c>
      <c r="Y372" s="17">
        <v>0.10299999999999999</v>
      </c>
      <c r="Z372" s="21">
        <f t="shared" si="92"/>
        <v>0.104</v>
      </c>
      <c r="AA372" s="19">
        <v>0.73899999999999999</v>
      </c>
      <c r="AB372" s="19">
        <v>0.76600000000000001</v>
      </c>
      <c r="AC372" s="21">
        <f t="shared" si="93"/>
        <v>0.753</v>
      </c>
      <c r="AD372" s="19">
        <v>0.16400000000000001</v>
      </c>
      <c r="AE372" s="19">
        <v>0.14199999999999999</v>
      </c>
      <c r="AF372" s="21">
        <f t="shared" si="94"/>
        <v>0.153</v>
      </c>
      <c r="AG372" s="30">
        <v>9.1999999999999998E-2</v>
      </c>
      <c r="AH372" s="30">
        <v>9.6000000000000002E-2</v>
      </c>
      <c r="AI372" s="31">
        <f t="shared" si="95"/>
        <v>9.4E-2</v>
      </c>
      <c r="AJ372" s="30">
        <v>8.5000000000000006E-2</v>
      </c>
      <c r="AK372" s="30">
        <v>8.6999999999999994E-2</v>
      </c>
      <c r="AL372" s="31">
        <f t="shared" si="96"/>
        <v>8.5999999999999993E-2</v>
      </c>
      <c r="AM372" s="19">
        <v>7.1529999999999996</v>
      </c>
      <c r="AN372" s="19">
        <v>7.2160000000000002</v>
      </c>
      <c r="AO372" s="21">
        <f t="shared" si="97"/>
        <v>7.1849999999999996</v>
      </c>
      <c r="AP372" s="46">
        <v>8.8900000000000007E-2</v>
      </c>
      <c r="AQ372" s="46">
        <v>9.1800000000000007E-2</v>
      </c>
      <c r="AR372" s="45">
        <f t="shared" si="98"/>
        <v>9.0399999999999994E-2</v>
      </c>
      <c r="AS372" s="3">
        <v>8.7899999999999991</v>
      </c>
      <c r="AT372" s="97">
        <v>4.2</v>
      </c>
    </row>
    <row r="373" spans="1:46">
      <c r="A373" s="7" t="s">
        <v>17</v>
      </c>
      <c r="B373" s="5" t="s">
        <v>74</v>
      </c>
      <c r="C373" s="6" t="s">
        <v>75</v>
      </c>
      <c r="D373" s="6" t="s">
        <v>76</v>
      </c>
      <c r="E373" s="23">
        <v>28.2</v>
      </c>
      <c r="F373" s="23">
        <v>7</v>
      </c>
      <c r="G373" s="41">
        <v>262</v>
      </c>
      <c r="H373" s="23">
        <v>7.5</v>
      </c>
      <c r="I373" s="23">
        <v>1.7</v>
      </c>
      <c r="J373" s="23">
        <v>4.3</v>
      </c>
      <c r="K373" s="37">
        <v>3.1</v>
      </c>
      <c r="L373" s="37">
        <v>3</v>
      </c>
      <c r="M373" s="37"/>
      <c r="N373" s="38">
        <f t="shared" si="88"/>
        <v>3.1</v>
      </c>
      <c r="O373" s="37">
        <v>2.4</v>
      </c>
      <c r="P373" s="37">
        <v>2.4</v>
      </c>
      <c r="Q373" s="38">
        <f t="shared" si="89"/>
        <v>2.4</v>
      </c>
      <c r="R373" s="17">
        <v>1.175</v>
      </c>
      <c r="S373" s="17">
        <v>1.135</v>
      </c>
      <c r="T373" s="22">
        <f t="shared" si="90"/>
        <v>1.155</v>
      </c>
      <c r="U373" s="34">
        <v>1.0469999999999999</v>
      </c>
      <c r="V373" s="34">
        <v>1.0369999999999999</v>
      </c>
      <c r="W373" s="33">
        <f t="shared" si="91"/>
        <v>1.042</v>
      </c>
      <c r="X373" s="17">
        <v>5.8999999999999997E-2</v>
      </c>
      <c r="Y373" s="17">
        <v>5.3999999999999999E-2</v>
      </c>
      <c r="Z373" s="21">
        <f t="shared" si="92"/>
        <v>5.7000000000000002E-2</v>
      </c>
      <c r="AA373" s="19">
        <v>0.85799999999999998</v>
      </c>
      <c r="AB373" s="19">
        <v>0.86099999999999999</v>
      </c>
      <c r="AC373" s="21">
        <f t="shared" si="93"/>
        <v>0.86</v>
      </c>
      <c r="AD373" s="19">
        <v>0.106</v>
      </c>
      <c r="AE373" s="19">
        <v>8.6999999999999994E-2</v>
      </c>
      <c r="AF373" s="21">
        <f t="shared" si="94"/>
        <v>9.7000000000000003E-2</v>
      </c>
      <c r="AG373" s="30">
        <v>5.7000000000000002E-2</v>
      </c>
      <c r="AH373" s="30">
        <v>5.6000000000000001E-2</v>
      </c>
      <c r="AI373" s="31">
        <f t="shared" si="95"/>
        <v>5.7000000000000002E-2</v>
      </c>
      <c r="AJ373" s="30">
        <v>4.7E-2</v>
      </c>
      <c r="AK373" s="30">
        <v>4.5999999999999999E-2</v>
      </c>
      <c r="AL373" s="31">
        <f t="shared" si="96"/>
        <v>4.7E-2</v>
      </c>
      <c r="AM373" s="19">
        <v>13.086</v>
      </c>
      <c r="AN373" s="19">
        <v>13.045</v>
      </c>
      <c r="AO373" s="21">
        <f t="shared" si="97"/>
        <v>13.066000000000001</v>
      </c>
      <c r="AP373" s="46">
        <v>6.4799999999999996E-2</v>
      </c>
      <c r="AQ373" s="46">
        <v>6.8900000000000003E-2</v>
      </c>
      <c r="AR373" s="45">
        <f t="shared" si="98"/>
        <v>6.6900000000000001E-2</v>
      </c>
      <c r="AS373" s="3">
        <v>11.42</v>
      </c>
      <c r="AT373" s="3">
        <v>2.79</v>
      </c>
    </row>
    <row r="374" spans="1:46">
      <c r="A374" s="7" t="s">
        <v>18</v>
      </c>
      <c r="B374" s="5" t="s">
        <v>109</v>
      </c>
      <c r="C374" s="6" t="s">
        <v>77</v>
      </c>
      <c r="D374" s="6" t="s">
        <v>36</v>
      </c>
      <c r="E374" s="23">
        <v>28.7</v>
      </c>
      <c r="F374" s="23">
        <v>7</v>
      </c>
      <c r="G374" s="41">
        <v>194</v>
      </c>
      <c r="H374" s="23">
        <v>7</v>
      </c>
      <c r="I374" s="23">
        <v>2</v>
      </c>
      <c r="J374" s="23">
        <v>4.9000000000000004</v>
      </c>
      <c r="K374" s="37">
        <v>3.4</v>
      </c>
      <c r="L374" s="37">
        <v>3.6</v>
      </c>
      <c r="M374" s="37"/>
      <c r="N374" s="38">
        <f t="shared" si="88"/>
        <v>3.5</v>
      </c>
      <c r="O374" s="37">
        <v>2.8</v>
      </c>
      <c r="P374" s="37">
        <v>2.8</v>
      </c>
      <c r="Q374" s="38">
        <f t="shared" si="89"/>
        <v>2.8</v>
      </c>
      <c r="R374" s="17">
        <v>1.393</v>
      </c>
      <c r="S374" s="17">
        <v>1.34</v>
      </c>
      <c r="T374" s="22">
        <f t="shared" si="90"/>
        <v>1.367</v>
      </c>
      <c r="U374" s="34">
        <v>1.226</v>
      </c>
      <c r="V374" s="34">
        <v>1.2010000000000001</v>
      </c>
      <c r="W374" s="33">
        <f t="shared" si="91"/>
        <v>1.214</v>
      </c>
      <c r="X374" s="17">
        <v>0.107</v>
      </c>
      <c r="Y374" s="17">
        <v>0.109</v>
      </c>
      <c r="Z374" s="21">
        <f t="shared" si="92"/>
        <v>0.108</v>
      </c>
      <c r="AA374" s="19">
        <v>0.92400000000000004</v>
      </c>
      <c r="AB374" s="19">
        <v>0.95399999999999996</v>
      </c>
      <c r="AC374" s="21">
        <f t="shared" si="93"/>
        <v>0.93899999999999995</v>
      </c>
      <c r="AD374" s="19">
        <v>0.152</v>
      </c>
      <c r="AE374" s="19">
        <v>0.128</v>
      </c>
      <c r="AF374" s="21">
        <f t="shared" si="94"/>
        <v>0.14000000000000001</v>
      </c>
      <c r="AG374" s="30">
        <v>7.9000000000000001E-2</v>
      </c>
      <c r="AH374" s="30">
        <v>8.2000000000000003E-2</v>
      </c>
      <c r="AI374" s="31">
        <f t="shared" si="95"/>
        <v>8.1000000000000003E-2</v>
      </c>
      <c r="AJ374" s="30">
        <v>7.0000000000000007E-2</v>
      </c>
      <c r="AK374" s="30">
        <v>7.3999999999999996E-2</v>
      </c>
      <c r="AL374" s="31">
        <f t="shared" si="96"/>
        <v>7.1999999999999995E-2</v>
      </c>
      <c r="AM374" s="19">
        <v>10.933999999999999</v>
      </c>
      <c r="AN374" s="19">
        <v>11.074</v>
      </c>
      <c r="AO374" s="21">
        <f t="shared" si="97"/>
        <v>11.004</v>
      </c>
      <c r="AP374" s="46">
        <v>8.1100000000000005E-2</v>
      </c>
      <c r="AQ374" s="46">
        <v>8.3699999999999997E-2</v>
      </c>
      <c r="AR374" s="45">
        <f t="shared" si="98"/>
        <v>8.2400000000000001E-2</v>
      </c>
      <c r="AS374" s="3">
        <v>9.89</v>
      </c>
      <c r="AT374" s="97">
        <v>2.56</v>
      </c>
    </row>
    <row r="375" spans="1:46">
      <c r="A375" s="7" t="s">
        <v>19</v>
      </c>
      <c r="B375" s="5" t="s">
        <v>78</v>
      </c>
      <c r="C375" s="6" t="s">
        <v>44</v>
      </c>
      <c r="D375" s="6" t="s">
        <v>79</v>
      </c>
      <c r="E375" s="23">
        <v>27.5</v>
      </c>
      <c r="F375" s="23">
        <v>6.8</v>
      </c>
      <c r="G375" s="41">
        <v>230</v>
      </c>
      <c r="H375" s="23">
        <v>7.5</v>
      </c>
      <c r="I375" s="23">
        <v>1</v>
      </c>
      <c r="J375" s="23">
        <v>3.7</v>
      </c>
      <c r="K375" s="37">
        <v>2.4</v>
      </c>
      <c r="L375" s="37">
        <v>2.6</v>
      </c>
      <c r="M375" s="37"/>
      <c r="N375" s="38">
        <f t="shared" si="88"/>
        <v>2.5</v>
      </c>
      <c r="O375" s="37">
        <v>2.2000000000000002</v>
      </c>
      <c r="P375" s="37">
        <v>2.1</v>
      </c>
      <c r="Q375" s="38">
        <f t="shared" si="89"/>
        <v>2.2000000000000002</v>
      </c>
      <c r="R375" s="17">
        <v>0.73799999999999999</v>
      </c>
      <c r="S375" s="17">
        <v>0.69799999999999995</v>
      </c>
      <c r="T375" s="22">
        <f t="shared" si="90"/>
        <v>0.71799999999999997</v>
      </c>
      <c r="U375" s="34">
        <v>0.67500000000000004</v>
      </c>
      <c r="V375" s="34">
        <v>0.67600000000000005</v>
      </c>
      <c r="W375" s="33">
        <f t="shared" si="91"/>
        <v>0.67600000000000005</v>
      </c>
      <c r="X375" s="17">
        <v>1.9E-2</v>
      </c>
      <c r="Y375" s="17">
        <v>1.7999999999999999E-2</v>
      </c>
      <c r="Z375" s="21">
        <f t="shared" si="92"/>
        <v>1.9E-2</v>
      </c>
      <c r="AA375" s="19">
        <v>0.52100000000000002</v>
      </c>
      <c r="AB375" s="19">
        <v>0.53300000000000003</v>
      </c>
      <c r="AC375" s="21">
        <f t="shared" si="93"/>
        <v>0.52700000000000002</v>
      </c>
      <c r="AD375" s="19">
        <v>5.3999999999999999E-2</v>
      </c>
      <c r="AE375" s="19">
        <v>4.4999999999999998E-2</v>
      </c>
      <c r="AF375" s="21">
        <f t="shared" si="94"/>
        <v>0.05</v>
      </c>
      <c r="AG375" s="30">
        <v>0.04</v>
      </c>
      <c r="AH375" s="30">
        <v>3.7999999999999999E-2</v>
      </c>
      <c r="AI375" s="31">
        <f t="shared" si="95"/>
        <v>3.9E-2</v>
      </c>
      <c r="AJ375" s="30">
        <v>0.03</v>
      </c>
      <c r="AK375" s="30">
        <v>2.8000000000000001E-2</v>
      </c>
      <c r="AL375" s="31">
        <f t="shared" si="96"/>
        <v>2.9000000000000001E-2</v>
      </c>
      <c r="AM375" s="19">
        <v>24.783999999999999</v>
      </c>
      <c r="AN375" s="19">
        <v>24.831</v>
      </c>
      <c r="AO375" s="21">
        <f t="shared" si="97"/>
        <v>24.808</v>
      </c>
      <c r="AP375" s="46">
        <v>5.6599999999999998E-2</v>
      </c>
      <c r="AQ375" s="46">
        <v>5.9900000000000002E-2</v>
      </c>
      <c r="AR375" s="45">
        <f t="shared" si="98"/>
        <v>5.8299999999999998E-2</v>
      </c>
      <c r="AS375" s="3">
        <v>17.27</v>
      </c>
      <c r="AT375" s="3">
        <v>2.92</v>
      </c>
    </row>
    <row r="376" spans="1:46">
      <c r="A376" s="7" t="s">
        <v>20</v>
      </c>
      <c r="B376" s="5" t="s">
        <v>80</v>
      </c>
      <c r="C376" s="6" t="s">
        <v>81</v>
      </c>
      <c r="D376" s="6" t="s">
        <v>36</v>
      </c>
      <c r="E376" s="23">
        <v>29.2</v>
      </c>
      <c r="F376" s="23">
        <v>7</v>
      </c>
      <c r="G376" s="41">
        <v>188</v>
      </c>
      <c r="H376" s="23">
        <v>7.7</v>
      </c>
      <c r="I376" s="23">
        <v>1.7</v>
      </c>
      <c r="J376" s="23">
        <v>4.9000000000000004</v>
      </c>
      <c r="K376" s="37">
        <v>3.6</v>
      </c>
      <c r="L376" s="37">
        <v>3.5</v>
      </c>
      <c r="M376" s="37"/>
      <c r="N376" s="38">
        <f t="shared" si="88"/>
        <v>3.6</v>
      </c>
      <c r="O376" s="37">
        <v>2.8</v>
      </c>
      <c r="P376" s="37">
        <v>2.8</v>
      </c>
      <c r="Q376" s="38">
        <f t="shared" si="89"/>
        <v>2.8</v>
      </c>
      <c r="R376" s="17">
        <v>1.3049999999999999</v>
      </c>
      <c r="S376" s="17">
        <v>1.2729999999999999</v>
      </c>
      <c r="T376" s="22">
        <f t="shared" si="90"/>
        <v>1.2889999999999999</v>
      </c>
      <c r="U376" s="34">
        <v>1.1579999999999999</v>
      </c>
      <c r="V376" s="34">
        <v>1.1659999999999999</v>
      </c>
      <c r="W376" s="33">
        <f t="shared" si="91"/>
        <v>1.1619999999999999</v>
      </c>
      <c r="X376" s="17">
        <v>8.3000000000000004E-2</v>
      </c>
      <c r="Y376" s="17">
        <v>8.1000000000000003E-2</v>
      </c>
      <c r="Z376" s="21">
        <f t="shared" si="92"/>
        <v>8.2000000000000003E-2</v>
      </c>
      <c r="AA376" s="19">
        <v>0.89</v>
      </c>
      <c r="AB376" s="19">
        <v>0.91500000000000004</v>
      </c>
      <c r="AC376" s="21">
        <f t="shared" si="93"/>
        <v>0.90300000000000002</v>
      </c>
      <c r="AD376" s="19">
        <v>0.14000000000000001</v>
      </c>
      <c r="AE376" s="19">
        <v>0.121</v>
      </c>
      <c r="AF376" s="21">
        <f t="shared" si="94"/>
        <v>0.13100000000000001</v>
      </c>
      <c r="AG376" s="30">
        <v>0.08</v>
      </c>
      <c r="AH376" s="30">
        <v>8.3000000000000004E-2</v>
      </c>
      <c r="AI376" s="31">
        <f t="shared" si="95"/>
        <v>8.2000000000000003E-2</v>
      </c>
      <c r="AJ376" s="30">
        <v>7.1999999999999995E-2</v>
      </c>
      <c r="AK376" s="30">
        <v>7.3999999999999996E-2</v>
      </c>
      <c r="AL376" s="31">
        <f t="shared" si="96"/>
        <v>7.2999999999999995E-2</v>
      </c>
      <c r="AM376" s="19">
        <v>10.702</v>
      </c>
      <c r="AN376" s="19">
        <v>10.906000000000001</v>
      </c>
      <c r="AO376" s="21">
        <f t="shared" si="97"/>
        <v>10.804</v>
      </c>
      <c r="AP376" s="46">
        <v>7.8E-2</v>
      </c>
      <c r="AQ376" s="46">
        <v>8.1000000000000003E-2</v>
      </c>
      <c r="AR376" s="45">
        <f t="shared" si="98"/>
        <v>7.9500000000000001E-2</v>
      </c>
      <c r="AS376" s="3">
        <v>10.08</v>
      </c>
      <c r="AT376" s="97">
        <v>3.24</v>
      </c>
    </row>
    <row r="377" spans="1:46">
      <c r="A377" s="7" t="s">
        <v>21</v>
      </c>
      <c r="B377" s="5" t="s">
        <v>82</v>
      </c>
      <c r="C377" s="6" t="s">
        <v>44</v>
      </c>
      <c r="D377" s="6" t="s">
        <v>83</v>
      </c>
      <c r="E377" s="23">
        <v>27.5</v>
      </c>
      <c r="F377" s="23">
        <v>7.1</v>
      </c>
      <c r="G377" s="41">
        <v>200</v>
      </c>
      <c r="H377" s="23">
        <v>7.1</v>
      </c>
      <c r="I377" s="23">
        <v>1.2</v>
      </c>
      <c r="J377" s="23">
        <v>5.0999999999999996</v>
      </c>
      <c r="K377" s="37">
        <v>3.6</v>
      </c>
      <c r="L377" s="37">
        <v>3.8</v>
      </c>
      <c r="M377" s="37"/>
      <c r="N377" s="38">
        <f t="shared" si="88"/>
        <v>3.7</v>
      </c>
      <c r="O377" s="37">
        <v>3.4</v>
      </c>
      <c r="P377" s="37">
        <v>3.4</v>
      </c>
      <c r="Q377" s="38">
        <f t="shared" si="89"/>
        <v>3.4</v>
      </c>
      <c r="R377" s="17">
        <v>1.1499999999999999</v>
      </c>
      <c r="S377" s="17">
        <v>1.1140000000000001</v>
      </c>
      <c r="T377" s="22">
        <f t="shared" si="90"/>
        <v>1.1319999999999999</v>
      </c>
      <c r="U377" s="34">
        <v>1.014</v>
      </c>
      <c r="V377" s="34">
        <v>1.034</v>
      </c>
      <c r="W377" s="33">
        <f t="shared" si="91"/>
        <v>1.024</v>
      </c>
      <c r="X377" s="17">
        <v>5.8000000000000003E-2</v>
      </c>
      <c r="Y377" s="17">
        <v>0.06</v>
      </c>
      <c r="Z377" s="21">
        <f t="shared" si="92"/>
        <v>5.8999999999999997E-2</v>
      </c>
      <c r="AA377" s="19">
        <v>0.76800000000000002</v>
      </c>
      <c r="AB377" s="19">
        <v>0.78700000000000003</v>
      </c>
      <c r="AC377" s="21">
        <f t="shared" si="93"/>
        <v>0.77800000000000002</v>
      </c>
      <c r="AD377" s="19">
        <v>0.11600000000000001</v>
      </c>
      <c r="AE377" s="19">
        <v>0.1</v>
      </c>
      <c r="AF377" s="21">
        <f t="shared" si="94"/>
        <v>0.108</v>
      </c>
      <c r="AG377" s="30">
        <v>6.2E-2</v>
      </c>
      <c r="AH377" s="30">
        <v>6.2E-2</v>
      </c>
      <c r="AI377" s="31">
        <f t="shared" si="95"/>
        <v>6.2E-2</v>
      </c>
      <c r="AJ377" s="30">
        <v>5.2999999999999999E-2</v>
      </c>
      <c r="AK377" s="30">
        <v>5.2999999999999999E-2</v>
      </c>
      <c r="AL377" s="31">
        <f t="shared" si="96"/>
        <v>5.2999999999999999E-2</v>
      </c>
      <c r="AM377" s="19">
        <v>9.8949999999999996</v>
      </c>
      <c r="AN377" s="19">
        <v>9.9649999999999999</v>
      </c>
      <c r="AO377" s="21">
        <f t="shared" si="97"/>
        <v>9.93</v>
      </c>
      <c r="AP377" s="46">
        <v>0.10059999999999999</v>
      </c>
      <c r="AQ377" s="46">
        <v>0.1041</v>
      </c>
      <c r="AR377" s="45">
        <f t="shared" si="98"/>
        <v>0.1024</v>
      </c>
      <c r="AS377" s="3">
        <v>7.85</v>
      </c>
      <c r="AT377" s="3">
        <v>3.26</v>
      </c>
    </row>
    <row r="378" spans="1:46">
      <c r="A378" s="7" t="s">
        <v>22</v>
      </c>
      <c r="B378" s="5" t="s">
        <v>84</v>
      </c>
      <c r="C378" s="6" t="s">
        <v>85</v>
      </c>
      <c r="D378" s="6" t="s">
        <v>36</v>
      </c>
      <c r="E378" s="23">
        <v>28.2</v>
      </c>
      <c r="F378" s="23">
        <v>7</v>
      </c>
      <c r="G378" s="41">
        <v>185</v>
      </c>
      <c r="H378" s="23">
        <v>7.2</v>
      </c>
      <c r="I378" s="23">
        <v>1.3</v>
      </c>
      <c r="J378" s="23">
        <v>5.2</v>
      </c>
      <c r="K378" s="37">
        <v>3.4</v>
      </c>
      <c r="L378" s="37">
        <v>3.4</v>
      </c>
      <c r="M378" s="37"/>
      <c r="N378" s="38">
        <f t="shared" si="88"/>
        <v>3.4</v>
      </c>
      <c r="O378" s="37">
        <v>3.1</v>
      </c>
      <c r="P378" s="37">
        <v>3</v>
      </c>
      <c r="Q378" s="38">
        <f t="shared" si="89"/>
        <v>3.1</v>
      </c>
      <c r="R378" s="17">
        <v>1.2829999999999999</v>
      </c>
      <c r="S378" s="17">
        <v>1.2709999999999999</v>
      </c>
      <c r="T378" s="22">
        <f t="shared" si="90"/>
        <v>1.2769999999999999</v>
      </c>
      <c r="U378" s="34">
        <v>1.167</v>
      </c>
      <c r="V378" s="34">
        <v>1.1859999999999999</v>
      </c>
      <c r="W378" s="33">
        <f t="shared" si="91"/>
        <v>1.177</v>
      </c>
      <c r="X378" s="17">
        <v>6.8000000000000005E-2</v>
      </c>
      <c r="Y378" s="17">
        <v>6.6000000000000003E-2</v>
      </c>
      <c r="Z378" s="21">
        <f t="shared" si="92"/>
        <v>6.7000000000000004E-2</v>
      </c>
      <c r="AA378" s="19">
        <v>0.90900000000000003</v>
      </c>
      <c r="AB378" s="19">
        <v>0.92100000000000004</v>
      </c>
      <c r="AC378" s="21">
        <f t="shared" si="93"/>
        <v>0.91500000000000004</v>
      </c>
      <c r="AD378" s="19">
        <v>0.14199999999999999</v>
      </c>
      <c r="AE378" s="19">
        <v>0.128</v>
      </c>
      <c r="AF378" s="21">
        <f t="shared" si="94"/>
        <v>0.13500000000000001</v>
      </c>
      <c r="AG378" s="30">
        <v>8.7999999999999995E-2</v>
      </c>
      <c r="AH378" s="30">
        <v>9.0999999999999998E-2</v>
      </c>
      <c r="AI378" s="31">
        <f t="shared" si="95"/>
        <v>0.09</v>
      </c>
      <c r="AJ378" s="30">
        <v>8.1000000000000003E-2</v>
      </c>
      <c r="AK378" s="30">
        <v>8.1000000000000003E-2</v>
      </c>
      <c r="AL378" s="31">
        <f t="shared" si="96"/>
        <v>8.1000000000000003E-2</v>
      </c>
      <c r="AM378" s="19">
        <v>10.563000000000001</v>
      </c>
      <c r="AN378" s="19">
        <v>10.582000000000001</v>
      </c>
      <c r="AO378" s="21">
        <f t="shared" si="97"/>
        <v>10.573</v>
      </c>
      <c r="AP378" s="46">
        <v>8.2699999999999996E-2</v>
      </c>
      <c r="AQ378" s="46">
        <v>8.5900000000000004E-2</v>
      </c>
      <c r="AR378" s="45">
        <f t="shared" si="98"/>
        <v>8.43E-2</v>
      </c>
      <c r="AS378" s="3">
        <v>9.86</v>
      </c>
      <c r="AT378" s="97">
        <v>2.83</v>
      </c>
    </row>
    <row r="379" spans="1:46">
      <c r="A379" s="7" t="s">
        <v>23</v>
      </c>
      <c r="B379" s="5" t="s">
        <v>86</v>
      </c>
      <c r="C379" s="6" t="s">
        <v>87</v>
      </c>
      <c r="D379" s="6" t="s">
        <v>88</v>
      </c>
      <c r="E379" s="23">
        <v>27.3</v>
      </c>
      <c r="F379" s="23">
        <v>6.9</v>
      </c>
      <c r="G379" s="41">
        <v>160</v>
      </c>
      <c r="H379" s="23">
        <v>6.8</v>
      </c>
      <c r="I379" s="23">
        <v>0.8</v>
      </c>
      <c r="J379" s="23">
        <v>4.9000000000000004</v>
      </c>
      <c r="K379" s="37">
        <v>3.5</v>
      </c>
      <c r="L379" s="37">
        <v>3.7</v>
      </c>
      <c r="M379" s="37"/>
      <c r="N379" s="38">
        <f t="shared" si="88"/>
        <v>3.6</v>
      </c>
      <c r="O379" s="37">
        <v>3.3</v>
      </c>
      <c r="P379" s="37">
        <v>3.4</v>
      </c>
      <c r="Q379" s="38">
        <f t="shared" si="89"/>
        <v>3.4</v>
      </c>
      <c r="R379" s="17">
        <v>0.81100000000000005</v>
      </c>
      <c r="S379" s="17">
        <v>0.78900000000000003</v>
      </c>
      <c r="T379" s="22">
        <f t="shared" si="90"/>
        <v>0.8</v>
      </c>
      <c r="U379" s="34">
        <v>0.746</v>
      </c>
      <c r="V379" s="34">
        <v>0.73099999999999998</v>
      </c>
      <c r="W379" s="33">
        <f t="shared" si="91"/>
        <v>0.73899999999999999</v>
      </c>
      <c r="X379" s="17">
        <v>0.04</v>
      </c>
      <c r="Y379" s="17">
        <v>3.4000000000000002E-2</v>
      </c>
      <c r="Z379" s="21">
        <f t="shared" si="92"/>
        <v>3.6999999999999998E-2</v>
      </c>
      <c r="AA379" s="19">
        <v>0.50600000000000001</v>
      </c>
      <c r="AB379" s="19">
        <v>0.51300000000000001</v>
      </c>
      <c r="AC379" s="21">
        <f t="shared" si="93"/>
        <v>0.51</v>
      </c>
      <c r="AD379" s="19">
        <v>0.113</v>
      </c>
      <c r="AE379" s="19">
        <v>9.8000000000000004E-2</v>
      </c>
      <c r="AF379" s="21">
        <f t="shared" si="94"/>
        <v>0.106</v>
      </c>
      <c r="AG379" s="30">
        <v>7.5999999999999998E-2</v>
      </c>
      <c r="AH379" s="30">
        <v>7.5999999999999998E-2</v>
      </c>
      <c r="AI379" s="31">
        <f t="shared" si="95"/>
        <v>7.5999999999999998E-2</v>
      </c>
      <c r="AJ379" s="30">
        <v>6.8000000000000005E-2</v>
      </c>
      <c r="AK379" s="30">
        <v>6.8000000000000005E-2</v>
      </c>
      <c r="AL379" s="31">
        <f t="shared" si="96"/>
        <v>6.8000000000000005E-2</v>
      </c>
      <c r="AM379" s="19">
        <v>9.6590000000000007</v>
      </c>
      <c r="AN379" s="19">
        <v>9.6110000000000007</v>
      </c>
      <c r="AO379" s="21">
        <f t="shared" si="97"/>
        <v>9.6349999999999998</v>
      </c>
      <c r="AP379" s="46">
        <v>8.9599999999999999E-2</v>
      </c>
      <c r="AQ379" s="46">
        <v>9.2700000000000005E-2</v>
      </c>
      <c r="AR379" s="45">
        <f t="shared" si="98"/>
        <v>9.1200000000000003E-2</v>
      </c>
      <c r="AS379" s="3">
        <v>9.98</v>
      </c>
      <c r="AT379" s="3">
        <v>3.92</v>
      </c>
    </row>
    <row r="380" spans="1:46">
      <c r="A380" s="7" t="s">
        <v>24</v>
      </c>
      <c r="B380" s="5" t="s">
        <v>89</v>
      </c>
      <c r="C380" s="6" t="s">
        <v>42</v>
      </c>
      <c r="D380" s="6" t="s">
        <v>36</v>
      </c>
      <c r="E380" s="23">
        <v>28.8</v>
      </c>
      <c r="F380" s="23">
        <v>6.8</v>
      </c>
      <c r="G380" s="41">
        <v>189</v>
      </c>
      <c r="H380" s="23">
        <v>7</v>
      </c>
      <c r="I380" s="23">
        <v>1.8</v>
      </c>
      <c r="J380" s="23">
        <v>5.0999999999999996</v>
      </c>
      <c r="K380" s="37">
        <v>3.9</v>
      </c>
      <c r="L380" s="37">
        <v>3.5</v>
      </c>
      <c r="M380" s="37"/>
      <c r="N380" s="38">
        <f t="shared" si="88"/>
        <v>3.7</v>
      </c>
      <c r="O380" s="37">
        <v>3.2</v>
      </c>
      <c r="P380" s="37">
        <v>3.1</v>
      </c>
      <c r="Q380" s="38">
        <f t="shared" si="89"/>
        <v>3.2</v>
      </c>
      <c r="R380" s="17">
        <v>1.6419999999999999</v>
      </c>
      <c r="S380" s="17">
        <v>1.593</v>
      </c>
      <c r="T380" s="22">
        <f t="shared" si="90"/>
        <v>1.6180000000000001</v>
      </c>
      <c r="U380" s="34">
        <v>1.4319999999999999</v>
      </c>
      <c r="V380" s="34">
        <v>1.45</v>
      </c>
      <c r="W380" s="33">
        <f t="shared" si="91"/>
        <v>1.4410000000000001</v>
      </c>
      <c r="X380" s="17">
        <v>5.0999999999999997E-2</v>
      </c>
      <c r="Y380" s="17">
        <v>5.2999999999999999E-2</v>
      </c>
      <c r="Z380" s="21">
        <f t="shared" si="92"/>
        <v>5.1999999999999998E-2</v>
      </c>
      <c r="AA380" s="19">
        <v>1.163</v>
      </c>
      <c r="AB380" s="19">
        <v>1.17</v>
      </c>
      <c r="AC380" s="21">
        <f t="shared" si="93"/>
        <v>1.167</v>
      </c>
      <c r="AD380" s="19">
        <v>0.154</v>
      </c>
      <c r="AE380" s="19">
        <v>0.13200000000000001</v>
      </c>
      <c r="AF380" s="21">
        <f t="shared" si="94"/>
        <v>0.14299999999999999</v>
      </c>
      <c r="AG380" s="30">
        <v>7.9000000000000001E-2</v>
      </c>
      <c r="AH380" s="30">
        <v>8.1000000000000003E-2</v>
      </c>
      <c r="AI380" s="31">
        <f t="shared" si="95"/>
        <v>0.08</v>
      </c>
      <c r="AJ380" s="30">
        <v>7.0999999999999994E-2</v>
      </c>
      <c r="AK380" s="30">
        <v>7.0000000000000007E-2</v>
      </c>
      <c r="AL380" s="31">
        <f t="shared" si="96"/>
        <v>7.0999999999999994E-2</v>
      </c>
      <c r="AM380" s="19">
        <v>11.763999999999999</v>
      </c>
      <c r="AN380" s="19">
        <v>11.648</v>
      </c>
      <c r="AO380" s="21">
        <f t="shared" si="97"/>
        <v>11.706</v>
      </c>
      <c r="AP380" s="46">
        <v>8.1799999999999998E-2</v>
      </c>
      <c r="AQ380" s="46">
        <v>8.5199999999999998E-2</v>
      </c>
      <c r="AR380" s="45">
        <f t="shared" si="98"/>
        <v>8.3500000000000005E-2</v>
      </c>
      <c r="AS380" s="3">
        <v>9.65</v>
      </c>
      <c r="AT380" s="97">
        <v>3.86</v>
      </c>
    </row>
    <row r="381" spans="1:46">
      <c r="A381" s="7" t="s">
        <v>25</v>
      </c>
      <c r="B381" s="5" t="s">
        <v>90</v>
      </c>
      <c r="C381" s="6" t="s">
        <v>44</v>
      </c>
      <c r="D381" s="6" t="s">
        <v>91</v>
      </c>
      <c r="E381" s="23">
        <v>26.6</v>
      </c>
      <c r="F381" s="23">
        <v>7.1</v>
      </c>
      <c r="G381" s="41">
        <v>220</v>
      </c>
      <c r="H381" s="23">
        <v>7.1</v>
      </c>
      <c r="I381" s="23">
        <v>1.2</v>
      </c>
      <c r="J381" s="23">
        <v>5.2</v>
      </c>
      <c r="K381" s="37">
        <v>3.6</v>
      </c>
      <c r="L381" s="37">
        <v>3.9</v>
      </c>
      <c r="M381" s="37"/>
      <c r="N381" s="38">
        <f t="shared" si="88"/>
        <v>3.8</v>
      </c>
      <c r="O381" s="37">
        <v>3.4</v>
      </c>
      <c r="P381" s="37">
        <v>3.3</v>
      </c>
      <c r="Q381" s="38">
        <f t="shared" si="89"/>
        <v>3.4</v>
      </c>
      <c r="R381" s="17">
        <v>1.409</v>
      </c>
      <c r="S381" s="17">
        <v>1.3819999999999999</v>
      </c>
      <c r="T381" s="22">
        <f t="shared" si="90"/>
        <v>1.3959999999999999</v>
      </c>
      <c r="U381" s="34">
        <v>1.2949999999999999</v>
      </c>
      <c r="V381" s="34">
        <v>1.306</v>
      </c>
      <c r="W381" s="33">
        <f t="shared" si="91"/>
        <v>1.3009999999999999</v>
      </c>
      <c r="X381" s="17">
        <v>5.2999999999999999E-2</v>
      </c>
      <c r="Y381" s="17">
        <v>5.1999999999999998E-2</v>
      </c>
      <c r="Z381" s="21">
        <f t="shared" si="92"/>
        <v>5.2999999999999999E-2</v>
      </c>
      <c r="AA381" s="19">
        <v>1.0429999999999999</v>
      </c>
      <c r="AB381" s="19">
        <v>1.0649999999999999</v>
      </c>
      <c r="AC381" s="21">
        <f t="shared" si="93"/>
        <v>1.054</v>
      </c>
      <c r="AD381" s="19">
        <v>9.8000000000000004E-2</v>
      </c>
      <c r="AE381" s="19">
        <v>8.5999999999999993E-2</v>
      </c>
      <c r="AF381" s="21">
        <f t="shared" si="94"/>
        <v>9.1999999999999998E-2</v>
      </c>
      <c r="AG381" s="30">
        <v>5.7000000000000002E-2</v>
      </c>
      <c r="AH381" s="30">
        <v>5.7000000000000002E-2</v>
      </c>
      <c r="AI381" s="31">
        <f t="shared" si="95"/>
        <v>5.7000000000000002E-2</v>
      </c>
      <c r="AJ381" s="30">
        <v>4.7E-2</v>
      </c>
      <c r="AK381" s="30">
        <v>4.5999999999999999E-2</v>
      </c>
      <c r="AL381" s="31">
        <f t="shared" si="96"/>
        <v>4.7E-2</v>
      </c>
      <c r="AM381" s="19">
        <v>13.116</v>
      </c>
      <c r="AN381" s="19">
        <v>13.243</v>
      </c>
      <c r="AO381" s="21">
        <f t="shared" si="97"/>
        <v>13.18</v>
      </c>
      <c r="AP381" s="46">
        <v>8.9399999999999993E-2</v>
      </c>
      <c r="AQ381" s="46">
        <v>9.2799999999999994E-2</v>
      </c>
      <c r="AR381" s="45">
        <f t="shared" si="98"/>
        <v>9.11E-2</v>
      </c>
      <c r="AS381" s="3">
        <v>10.56</v>
      </c>
      <c r="AT381" s="3">
        <v>3.04</v>
      </c>
    </row>
    <row r="382" spans="1:46">
      <c r="A382" s="7" t="s">
        <v>26</v>
      </c>
      <c r="B382" s="5" t="s">
        <v>92</v>
      </c>
      <c r="C382" s="6" t="s">
        <v>93</v>
      </c>
      <c r="D382" s="6" t="s">
        <v>36</v>
      </c>
      <c r="E382" s="23">
        <v>29.3</v>
      </c>
      <c r="F382" s="23">
        <v>6.3</v>
      </c>
      <c r="G382" s="41">
        <v>196</v>
      </c>
      <c r="H382" s="23">
        <v>6.9</v>
      </c>
      <c r="I382" s="23">
        <v>1.7</v>
      </c>
      <c r="J382" s="23">
        <v>5.3</v>
      </c>
      <c r="K382" s="37">
        <v>3.8</v>
      </c>
      <c r="L382" s="37">
        <v>4</v>
      </c>
      <c r="M382" s="37"/>
      <c r="N382" s="38">
        <f t="shared" si="88"/>
        <v>3.9</v>
      </c>
      <c r="O382" s="37">
        <v>3.3</v>
      </c>
      <c r="P382" s="37">
        <v>3.1</v>
      </c>
      <c r="Q382" s="38">
        <f t="shared" si="89"/>
        <v>3.2</v>
      </c>
      <c r="R382" s="17">
        <v>1.6080000000000001</v>
      </c>
      <c r="S382" s="17">
        <v>1.5609999999999999</v>
      </c>
      <c r="T382" s="22">
        <f t="shared" si="90"/>
        <v>1.585</v>
      </c>
      <c r="U382" s="34">
        <v>1.399</v>
      </c>
      <c r="V382" s="34">
        <v>1.385</v>
      </c>
      <c r="W382" s="33">
        <f t="shared" si="91"/>
        <v>1.3919999999999999</v>
      </c>
      <c r="X382" s="17">
        <v>4.4999999999999998E-2</v>
      </c>
      <c r="Y382" s="17">
        <v>4.4999999999999998E-2</v>
      </c>
      <c r="Z382" s="21">
        <f t="shared" si="92"/>
        <v>4.4999999999999998E-2</v>
      </c>
      <c r="AA382" s="19">
        <v>1.2010000000000001</v>
      </c>
      <c r="AB382" s="19">
        <v>1.208</v>
      </c>
      <c r="AC382" s="21">
        <f t="shared" si="93"/>
        <v>1.2050000000000001</v>
      </c>
      <c r="AD382" s="19">
        <v>0.17399999999999999</v>
      </c>
      <c r="AE382" s="19">
        <v>0.153</v>
      </c>
      <c r="AF382" s="21">
        <f t="shared" si="94"/>
        <v>0.16400000000000001</v>
      </c>
      <c r="AG382" s="30">
        <v>0.111</v>
      </c>
      <c r="AH382" s="30">
        <v>0.105</v>
      </c>
      <c r="AI382" s="31">
        <f t="shared" si="95"/>
        <v>0.108</v>
      </c>
      <c r="AJ382" s="30">
        <v>9.8000000000000004E-2</v>
      </c>
      <c r="AK382" s="30">
        <v>9.7000000000000003E-2</v>
      </c>
      <c r="AL382" s="31">
        <f t="shared" si="96"/>
        <v>9.8000000000000004E-2</v>
      </c>
      <c r="AM382" s="19">
        <v>12.558</v>
      </c>
      <c r="AN382" s="19">
        <v>12.528</v>
      </c>
      <c r="AO382" s="21">
        <f t="shared" si="97"/>
        <v>12.542999999999999</v>
      </c>
      <c r="AP382" s="46">
        <v>8.5599999999999996E-2</v>
      </c>
      <c r="AQ382" s="46">
        <v>8.8599999999999998E-2</v>
      </c>
      <c r="AR382" s="45">
        <f t="shared" si="98"/>
        <v>8.7099999999999997E-2</v>
      </c>
      <c r="AS382" s="3">
        <v>9.4600000000000009</v>
      </c>
      <c r="AT382" s="97">
        <v>5.88</v>
      </c>
    </row>
    <row r="383" spans="1:46">
      <c r="A383" s="7" t="s">
        <v>27</v>
      </c>
      <c r="B383" s="5" t="s">
        <v>94</v>
      </c>
      <c r="C383" s="6" t="s">
        <v>95</v>
      </c>
      <c r="D383" s="6" t="s">
        <v>96</v>
      </c>
      <c r="E383" s="23">
        <v>25.2</v>
      </c>
      <c r="F383" s="23">
        <v>6.7</v>
      </c>
      <c r="G383" s="41">
        <v>174</v>
      </c>
      <c r="H383" s="23">
        <v>4.4000000000000004</v>
      </c>
      <c r="I383" s="23">
        <v>1.3</v>
      </c>
      <c r="J383" s="23">
        <v>4.2</v>
      </c>
      <c r="K383" s="37">
        <v>2.2999999999999998</v>
      </c>
      <c r="L383" s="37">
        <v>2.2999999999999998</v>
      </c>
      <c r="M383" s="37"/>
      <c r="N383" s="38">
        <f t="shared" si="88"/>
        <v>2.2999999999999998</v>
      </c>
      <c r="O383" s="37">
        <v>1.9</v>
      </c>
      <c r="P383" s="37">
        <v>1.9</v>
      </c>
      <c r="Q383" s="38">
        <f t="shared" si="89"/>
        <v>1.9</v>
      </c>
      <c r="R383" s="17">
        <v>0.38300000000000001</v>
      </c>
      <c r="S383" s="17">
        <v>0.38900000000000001</v>
      </c>
      <c r="T383" s="22">
        <f t="shared" si="90"/>
        <v>0.38600000000000001</v>
      </c>
      <c r="U383" s="34">
        <v>0.28100000000000003</v>
      </c>
      <c r="V383" s="34">
        <v>0.28499999999999998</v>
      </c>
      <c r="W383" s="33">
        <f t="shared" si="91"/>
        <v>0.28299999999999997</v>
      </c>
      <c r="X383" s="17">
        <v>1.9E-2</v>
      </c>
      <c r="Y383" s="17">
        <v>1.7999999999999999E-2</v>
      </c>
      <c r="Z383" s="21">
        <f t="shared" si="92"/>
        <v>1.9E-2</v>
      </c>
      <c r="AA383" s="19">
        <v>0.20699999999999999</v>
      </c>
      <c r="AB383" s="19">
        <v>0.21</v>
      </c>
      <c r="AC383" s="21">
        <f t="shared" si="93"/>
        <v>0.20899999999999999</v>
      </c>
      <c r="AD383" s="19">
        <v>8.1000000000000003E-2</v>
      </c>
      <c r="AE383" s="19">
        <v>7.4999999999999997E-2</v>
      </c>
      <c r="AF383" s="21">
        <f t="shared" si="94"/>
        <v>7.8E-2</v>
      </c>
      <c r="AG383" s="30">
        <v>4.1000000000000002E-2</v>
      </c>
      <c r="AH383" s="30">
        <v>4.2999999999999997E-2</v>
      </c>
      <c r="AI383" s="31">
        <f t="shared" si="95"/>
        <v>4.2000000000000003E-2</v>
      </c>
      <c r="AJ383" s="30">
        <v>3.6999999999999998E-2</v>
      </c>
      <c r="AK383" s="30">
        <v>3.5999999999999997E-2</v>
      </c>
      <c r="AL383" s="31">
        <f t="shared" si="96"/>
        <v>3.6999999999999998E-2</v>
      </c>
      <c r="AM383" s="19">
        <v>8.2080000000000002</v>
      </c>
      <c r="AN383" s="19">
        <v>8.2850000000000001</v>
      </c>
      <c r="AO383" s="21">
        <f t="shared" si="97"/>
        <v>8.2469999999999999</v>
      </c>
      <c r="AP383" s="46">
        <v>5.0799999999999998E-2</v>
      </c>
      <c r="AQ383" s="46">
        <v>5.3699999999999998E-2</v>
      </c>
      <c r="AR383" s="45">
        <f t="shared" si="98"/>
        <v>5.2299999999999999E-2</v>
      </c>
      <c r="AS383" s="3">
        <v>13.92</v>
      </c>
      <c r="AT383" s="3">
        <v>6.38</v>
      </c>
    </row>
    <row r="384" spans="1:46">
      <c r="A384" s="7" t="s">
        <v>28</v>
      </c>
      <c r="B384" s="5" t="s">
        <v>97</v>
      </c>
      <c r="C384" s="6" t="s">
        <v>98</v>
      </c>
      <c r="D384" s="6" t="s">
        <v>36</v>
      </c>
      <c r="E384" s="23">
        <v>28.8</v>
      </c>
      <c r="F384" s="23">
        <v>6.5</v>
      </c>
      <c r="G384" s="41">
        <v>201</v>
      </c>
      <c r="H384" s="23">
        <v>7</v>
      </c>
      <c r="I384" s="23">
        <v>1.4</v>
      </c>
      <c r="J384" s="23">
        <v>5.3</v>
      </c>
      <c r="K384" s="37">
        <v>3.6</v>
      </c>
      <c r="L384" s="37">
        <v>3.7</v>
      </c>
      <c r="M384" s="37"/>
      <c r="N384" s="38">
        <f t="shared" si="88"/>
        <v>3.7</v>
      </c>
      <c r="O384" s="37">
        <v>3.2</v>
      </c>
      <c r="P384" s="37">
        <v>3.1</v>
      </c>
      <c r="Q384" s="38">
        <f t="shared" si="89"/>
        <v>3.2</v>
      </c>
      <c r="R384" s="17">
        <v>1.292</v>
      </c>
      <c r="S384" s="17">
        <v>1.2150000000000001</v>
      </c>
      <c r="T384" s="22">
        <f t="shared" si="90"/>
        <v>1.254</v>
      </c>
      <c r="U384" s="34">
        <v>1.109</v>
      </c>
      <c r="V384" s="34">
        <v>1.115</v>
      </c>
      <c r="W384" s="33">
        <f t="shared" si="91"/>
        <v>1.1120000000000001</v>
      </c>
      <c r="X384" s="17">
        <v>3.1E-2</v>
      </c>
      <c r="Y384" s="17">
        <v>3.1E-2</v>
      </c>
      <c r="Z384" s="21">
        <f t="shared" si="92"/>
        <v>3.1E-2</v>
      </c>
      <c r="AA384" s="19">
        <v>0.90500000000000003</v>
      </c>
      <c r="AB384" s="19">
        <v>0.90800000000000003</v>
      </c>
      <c r="AC384" s="21">
        <f t="shared" si="93"/>
        <v>0.90700000000000003</v>
      </c>
      <c r="AD384" s="19">
        <v>0.14000000000000001</v>
      </c>
      <c r="AE384" s="19">
        <v>0.12</v>
      </c>
      <c r="AF384" s="21">
        <f t="shared" si="94"/>
        <v>0.13</v>
      </c>
      <c r="AG384" s="30">
        <v>8.1000000000000003E-2</v>
      </c>
      <c r="AH384" s="30">
        <v>8.7999999999999995E-2</v>
      </c>
      <c r="AI384" s="31">
        <f t="shared" si="95"/>
        <v>8.5000000000000006E-2</v>
      </c>
      <c r="AJ384" s="30">
        <v>7.5999999999999998E-2</v>
      </c>
      <c r="AK384" s="30">
        <v>7.9000000000000001E-2</v>
      </c>
      <c r="AL384" s="31">
        <f t="shared" si="96"/>
        <v>7.8E-2</v>
      </c>
      <c r="AM384" s="19">
        <v>11.885999999999999</v>
      </c>
      <c r="AN384" s="19">
        <v>11.756</v>
      </c>
      <c r="AO384" s="21">
        <f t="shared" si="97"/>
        <v>11.821</v>
      </c>
      <c r="AP384" s="46">
        <v>8.4900000000000003E-2</v>
      </c>
      <c r="AQ384" s="46">
        <v>8.77E-2</v>
      </c>
      <c r="AR384" s="45">
        <f t="shared" si="98"/>
        <v>8.6300000000000002E-2</v>
      </c>
      <c r="AS384" s="3">
        <v>10.47</v>
      </c>
      <c r="AT384" s="97">
        <v>4.58</v>
      </c>
    </row>
    <row r="385" spans="1:46">
      <c r="A385" s="7" t="s">
        <v>29</v>
      </c>
      <c r="B385" s="5" t="s">
        <v>99</v>
      </c>
      <c r="C385" s="6" t="s">
        <v>44</v>
      </c>
      <c r="D385" s="6" t="s">
        <v>100</v>
      </c>
      <c r="E385" s="23">
        <v>28.7</v>
      </c>
      <c r="F385" s="23">
        <v>6.6</v>
      </c>
      <c r="G385" s="41">
        <v>204</v>
      </c>
      <c r="H385" s="23">
        <v>5.4</v>
      </c>
      <c r="I385" s="23">
        <v>1</v>
      </c>
      <c r="J385" s="23">
        <v>5.3</v>
      </c>
      <c r="K385" s="37">
        <v>3.7</v>
      </c>
      <c r="L385" s="37">
        <v>4</v>
      </c>
      <c r="M385" s="37"/>
      <c r="N385" s="38">
        <f t="shared" si="88"/>
        <v>3.9</v>
      </c>
      <c r="O385" s="37">
        <v>3.3</v>
      </c>
      <c r="P385" s="37">
        <v>3.2</v>
      </c>
      <c r="Q385" s="38">
        <f t="shared" si="89"/>
        <v>3.3</v>
      </c>
      <c r="R385" s="17">
        <v>1.0209999999999999</v>
      </c>
      <c r="S385" s="17">
        <v>0.95</v>
      </c>
      <c r="T385" s="22">
        <f t="shared" si="90"/>
        <v>0.98599999999999999</v>
      </c>
      <c r="U385" s="34">
        <v>0.91300000000000003</v>
      </c>
      <c r="V385" s="34">
        <v>0.90400000000000003</v>
      </c>
      <c r="W385" s="33">
        <f t="shared" si="91"/>
        <v>0.90900000000000003</v>
      </c>
      <c r="X385" s="17">
        <v>3.5999999999999997E-2</v>
      </c>
      <c r="Y385" s="17">
        <v>3.6999999999999998E-2</v>
      </c>
      <c r="Z385" s="21">
        <f t="shared" si="92"/>
        <v>3.6999999999999998E-2</v>
      </c>
      <c r="AA385" s="19">
        <v>0.66800000000000004</v>
      </c>
      <c r="AB385" s="19">
        <v>0.68799999999999994</v>
      </c>
      <c r="AC385" s="21">
        <f t="shared" si="93"/>
        <v>0.67800000000000005</v>
      </c>
      <c r="AD385" s="19">
        <v>0.182</v>
      </c>
      <c r="AE385" s="19">
        <v>0.152</v>
      </c>
      <c r="AF385" s="21">
        <f t="shared" si="94"/>
        <v>0.16700000000000001</v>
      </c>
      <c r="AG385" s="30">
        <v>0.13100000000000001</v>
      </c>
      <c r="AH385" s="30">
        <v>0.127</v>
      </c>
      <c r="AI385" s="31">
        <f t="shared" si="95"/>
        <v>0.129</v>
      </c>
      <c r="AJ385" s="30">
        <v>0.123</v>
      </c>
      <c r="AK385" s="30">
        <v>0.124</v>
      </c>
      <c r="AL385" s="31">
        <f t="shared" si="96"/>
        <v>0.124</v>
      </c>
      <c r="AM385" s="19">
        <v>11.936999999999999</v>
      </c>
      <c r="AN385" s="19">
        <v>12.034000000000001</v>
      </c>
      <c r="AO385" s="21">
        <f t="shared" si="97"/>
        <v>11.986000000000001</v>
      </c>
      <c r="AP385" s="46">
        <v>9.3299999999999994E-2</v>
      </c>
      <c r="AQ385" s="46">
        <v>9.6699999999999994E-2</v>
      </c>
      <c r="AR385" s="45">
        <f t="shared" si="98"/>
        <v>9.5000000000000001E-2</v>
      </c>
      <c r="AS385" s="3">
        <v>10.58</v>
      </c>
      <c r="AT385" s="3">
        <v>2.88</v>
      </c>
    </row>
    <row r="386" spans="1:46">
      <c r="A386" s="7" t="s">
        <v>30</v>
      </c>
      <c r="B386" s="5" t="s">
        <v>101</v>
      </c>
      <c r="C386" s="6" t="s">
        <v>44</v>
      </c>
      <c r="D386" s="6" t="s">
        <v>160</v>
      </c>
      <c r="E386" s="23">
        <v>28.9</v>
      </c>
      <c r="F386" s="23">
        <v>6.7</v>
      </c>
      <c r="G386" s="41">
        <v>269</v>
      </c>
      <c r="H386" s="23">
        <v>7.8</v>
      </c>
      <c r="I386" s="23">
        <v>2.2000000000000002</v>
      </c>
      <c r="J386" s="23">
        <v>6.1</v>
      </c>
      <c r="K386" s="37">
        <v>4.4000000000000004</v>
      </c>
      <c r="L386" s="37">
        <v>4.7</v>
      </c>
      <c r="M386" s="37"/>
      <c r="N386" s="38">
        <f t="shared" si="88"/>
        <v>4.5999999999999996</v>
      </c>
      <c r="O386" s="37">
        <v>3.6</v>
      </c>
      <c r="P386" s="37">
        <v>3.7</v>
      </c>
      <c r="Q386" s="38">
        <f t="shared" si="89"/>
        <v>3.7</v>
      </c>
      <c r="R386" s="17">
        <v>1.61</v>
      </c>
      <c r="S386" s="17">
        <v>1.5429999999999999</v>
      </c>
      <c r="T386" s="22">
        <f t="shared" si="90"/>
        <v>1.577</v>
      </c>
      <c r="U386" s="34">
        <v>1.395</v>
      </c>
      <c r="V386" s="34">
        <v>1.4019999999999999</v>
      </c>
      <c r="W386" s="33">
        <f t="shared" si="91"/>
        <v>1.399</v>
      </c>
      <c r="X386" s="17">
        <v>0.08</v>
      </c>
      <c r="Y386" s="17">
        <v>9.1999999999999998E-2</v>
      </c>
      <c r="Z386" s="21">
        <f t="shared" si="92"/>
        <v>8.5999999999999993E-2</v>
      </c>
      <c r="AA386" s="19">
        <v>1.0389999999999999</v>
      </c>
      <c r="AB386" s="19">
        <v>1.0620000000000001</v>
      </c>
      <c r="AC386" s="21">
        <f t="shared" si="93"/>
        <v>1.0509999999999999</v>
      </c>
      <c r="AD386" s="19">
        <v>0.16</v>
      </c>
      <c r="AE386" s="19">
        <v>0.14099999999999999</v>
      </c>
      <c r="AF386" s="21">
        <f t="shared" si="94"/>
        <v>0.151</v>
      </c>
      <c r="AG386" s="30">
        <v>8.5000000000000006E-2</v>
      </c>
      <c r="AH386" s="30">
        <v>8.3000000000000004E-2</v>
      </c>
      <c r="AI386" s="31">
        <f t="shared" si="95"/>
        <v>8.4000000000000005E-2</v>
      </c>
      <c r="AJ386" s="30">
        <v>7.2999999999999995E-2</v>
      </c>
      <c r="AK386" s="30">
        <v>7.4999999999999997E-2</v>
      </c>
      <c r="AL386" s="31">
        <f t="shared" si="96"/>
        <v>7.3999999999999996E-2</v>
      </c>
      <c r="AM386" s="19">
        <v>28.738</v>
      </c>
      <c r="AN386" s="19">
        <v>29.033999999999999</v>
      </c>
      <c r="AO386" s="21">
        <f t="shared" si="97"/>
        <v>28.885999999999999</v>
      </c>
      <c r="AP386" s="46">
        <v>9.5200000000000007E-2</v>
      </c>
      <c r="AQ386" s="46">
        <v>9.8500000000000004E-2</v>
      </c>
      <c r="AR386" s="45">
        <f t="shared" si="98"/>
        <v>9.69E-2</v>
      </c>
      <c r="AS386" s="3">
        <v>10.77</v>
      </c>
      <c r="AT386" s="3">
        <v>0.17</v>
      </c>
    </row>
    <row r="387" spans="1:46">
      <c r="A387" s="7" t="s">
        <v>31</v>
      </c>
      <c r="B387" s="5" t="s">
        <v>102</v>
      </c>
      <c r="C387" s="6" t="s">
        <v>103</v>
      </c>
      <c r="D387" s="6" t="s">
        <v>36</v>
      </c>
      <c r="E387" s="23">
        <v>29.4</v>
      </c>
      <c r="F387" s="23">
        <v>7.1</v>
      </c>
      <c r="G387" s="41">
        <v>201</v>
      </c>
      <c r="H387" s="23">
        <v>7.6</v>
      </c>
      <c r="I387" s="23">
        <v>1.3</v>
      </c>
      <c r="J387" s="23">
        <v>4.8</v>
      </c>
      <c r="K387" s="37">
        <v>3.5</v>
      </c>
      <c r="L387" s="37">
        <v>3.7</v>
      </c>
      <c r="M387" s="37"/>
      <c r="N387" s="38">
        <f t="shared" si="88"/>
        <v>3.6</v>
      </c>
      <c r="O387" s="37">
        <v>3.2</v>
      </c>
      <c r="P387" s="37">
        <v>3.2</v>
      </c>
      <c r="Q387" s="38">
        <f t="shared" si="89"/>
        <v>3.2</v>
      </c>
      <c r="R387" s="17">
        <v>1.1140000000000001</v>
      </c>
      <c r="S387" s="17">
        <v>1.0840000000000001</v>
      </c>
      <c r="T387" s="22">
        <f t="shared" si="90"/>
        <v>1.099</v>
      </c>
      <c r="U387" s="34">
        <v>0.98699999999999999</v>
      </c>
      <c r="V387" s="34">
        <v>0.98599999999999999</v>
      </c>
      <c r="W387" s="33">
        <f t="shared" si="91"/>
        <v>0.98699999999999999</v>
      </c>
      <c r="X387" s="17">
        <v>2.8000000000000001E-2</v>
      </c>
      <c r="Y387" s="17">
        <v>2.8000000000000001E-2</v>
      </c>
      <c r="Z387" s="21">
        <f t="shared" si="92"/>
        <v>2.8000000000000001E-2</v>
      </c>
      <c r="AA387" s="19">
        <v>0.74399999999999999</v>
      </c>
      <c r="AB387" s="19">
        <v>0.76200000000000001</v>
      </c>
      <c r="AC387" s="21">
        <f t="shared" si="93"/>
        <v>0.753</v>
      </c>
      <c r="AD387" s="19">
        <v>0.13200000000000001</v>
      </c>
      <c r="AE387" s="19">
        <v>0.11700000000000001</v>
      </c>
      <c r="AF387" s="21">
        <f t="shared" si="94"/>
        <v>0.125</v>
      </c>
      <c r="AG387" s="30">
        <v>0.09</v>
      </c>
      <c r="AH387" s="30">
        <v>8.8999999999999996E-2</v>
      </c>
      <c r="AI387" s="31">
        <f t="shared" si="95"/>
        <v>0.09</v>
      </c>
      <c r="AJ387" s="30">
        <v>8.1000000000000003E-2</v>
      </c>
      <c r="AK387" s="30">
        <v>0.08</v>
      </c>
      <c r="AL387" s="31">
        <f t="shared" si="96"/>
        <v>8.1000000000000003E-2</v>
      </c>
      <c r="AM387" s="19">
        <v>11.881</v>
      </c>
      <c r="AN387" s="19">
        <v>11.952</v>
      </c>
      <c r="AO387" s="21">
        <f t="shared" si="97"/>
        <v>11.917</v>
      </c>
      <c r="AP387" s="46">
        <v>8.6400000000000005E-2</v>
      </c>
      <c r="AQ387" s="46">
        <v>8.9300000000000004E-2</v>
      </c>
      <c r="AR387" s="45">
        <f t="shared" si="98"/>
        <v>8.7900000000000006E-2</v>
      </c>
      <c r="AS387" s="3">
        <v>10.85</v>
      </c>
      <c r="AT387" s="97">
        <v>4.29</v>
      </c>
    </row>
    <row r="388" spans="1:46">
      <c r="A388" s="7" t="s">
        <v>32</v>
      </c>
      <c r="B388" s="5" t="s">
        <v>104</v>
      </c>
      <c r="C388" s="6" t="s">
        <v>44</v>
      </c>
      <c r="D388" s="6" t="s">
        <v>105</v>
      </c>
      <c r="E388" s="23">
        <v>27.9</v>
      </c>
      <c r="F388" s="23">
        <v>7.1</v>
      </c>
      <c r="G388" s="41">
        <v>222</v>
      </c>
      <c r="H388" s="23">
        <v>6</v>
      </c>
      <c r="I388" s="23">
        <v>1.3</v>
      </c>
      <c r="J388" s="23">
        <v>6.1</v>
      </c>
      <c r="K388" s="37">
        <v>4.3</v>
      </c>
      <c r="L388" s="37">
        <v>4.5999999999999996</v>
      </c>
      <c r="M388" s="37"/>
      <c r="N388" s="38">
        <f t="shared" si="88"/>
        <v>4.5</v>
      </c>
      <c r="O388" s="37">
        <v>3.9</v>
      </c>
      <c r="P388" s="37">
        <v>3.9</v>
      </c>
      <c r="Q388" s="38">
        <f t="shared" si="89"/>
        <v>3.9</v>
      </c>
      <c r="R388" s="17">
        <v>1.3939999999999999</v>
      </c>
      <c r="S388" s="17">
        <v>1.31</v>
      </c>
      <c r="T388" s="22">
        <f t="shared" si="90"/>
        <v>1.3520000000000001</v>
      </c>
      <c r="U388" s="34">
        <v>1.2190000000000001</v>
      </c>
      <c r="V388" s="34">
        <v>1.2</v>
      </c>
      <c r="W388" s="33">
        <f t="shared" si="91"/>
        <v>1.21</v>
      </c>
      <c r="X388" s="17">
        <v>5.1999999999999998E-2</v>
      </c>
      <c r="Y388" s="17">
        <v>5.2999999999999999E-2</v>
      </c>
      <c r="Z388" s="21">
        <f t="shared" si="92"/>
        <v>5.2999999999999999E-2</v>
      </c>
      <c r="AA388" s="19">
        <v>0.88400000000000001</v>
      </c>
      <c r="AB388" s="19">
        <v>0.90300000000000002</v>
      </c>
      <c r="AC388" s="21">
        <f t="shared" si="93"/>
        <v>0.89400000000000002</v>
      </c>
      <c r="AD388" s="19">
        <v>0.16900000000000001</v>
      </c>
      <c r="AE388" s="19">
        <v>0.14799999999999999</v>
      </c>
      <c r="AF388" s="21">
        <f t="shared" si="94"/>
        <v>0.159</v>
      </c>
      <c r="AG388" s="30">
        <v>9.7000000000000003E-2</v>
      </c>
      <c r="AH388" s="30">
        <v>9.2999999999999999E-2</v>
      </c>
      <c r="AI388" s="31">
        <f t="shared" si="95"/>
        <v>9.5000000000000001E-2</v>
      </c>
      <c r="AJ388" s="30">
        <v>8.7999999999999995E-2</v>
      </c>
      <c r="AK388" s="30">
        <v>8.5000000000000006E-2</v>
      </c>
      <c r="AL388" s="31">
        <f t="shared" si="96"/>
        <v>8.6999999999999994E-2</v>
      </c>
      <c r="AM388" s="19">
        <v>15.331</v>
      </c>
      <c r="AN388" s="19">
        <v>15.474</v>
      </c>
      <c r="AO388" s="21">
        <f t="shared" si="97"/>
        <v>15.403</v>
      </c>
      <c r="AP388" s="46">
        <v>0.11509999999999999</v>
      </c>
      <c r="AQ388" s="46">
        <v>0.11799999999999999</v>
      </c>
      <c r="AR388" s="45">
        <f t="shared" si="98"/>
        <v>0.1166</v>
      </c>
      <c r="AS388" s="3">
        <v>10.58</v>
      </c>
      <c r="AT388" s="3">
        <v>2.82</v>
      </c>
    </row>
    <row r="389" spans="1:46">
      <c r="A389" s="7" t="s">
        <v>33</v>
      </c>
      <c r="B389" s="5" t="s">
        <v>106</v>
      </c>
      <c r="C389" s="6" t="s">
        <v>107</v>
      </c>
      <c r="D389" s="6" t="s">
        <v>36</v>
      </c>
      <c r="E389" s="23">
        <v>29.3</v>
      </c>
      <c r="F389" s="23">
        <v>6.9</v>
      </c>
      <c r="G389" s="41">
        <v>204</v>
      </c>
      <c r="H389" s="23">
        <v>7.7</v>
      </c>
      <c r="I389" s="23">
        <v>1.3</v>
      </c>
      <c r="J389" s="23">
        <v>5.3</v>
      </c>
      <c r="K389" s="37">
        <v>3.5</v>
      </c>
      <c r="L389" s="37">
        <v>4.2</v>
      </c>
      <c r="M389" s="37"/>
      <c r="N389" s="38">
        <f t="shared" si="88"/>
        <v>3.9</v>
      </c>
      <c r="O389" s="37">
        <v>3.2</v>
      </c>
      <c r="P389" s="37">
        <v>3.2</v>
      </c>
      <c r="Q389" s="38">
        <f t="shared" si="89"/>
        <v>3.2</v>
      </c>
      <c r="R389" s="17">
        <v>1.3120000000000001</v>
      </c>
      <c r="S389" s="17">
        <v>1.234</v>
      </c>
      <c r="T389" s="22">
        <f t="shared" si="90"/>
        <v>1.2729999999999999</v>
      </c>
      <c r="U389" s="34">
        <v>1.1339999999999999</v>
      </c>
      <c r="V389" s="34">
        <v>1.1200000000000001</v>
      </c>
      <c r="W389" s="33">
        <f t="shared" si="91"/>
        <v>1.127</v>
      </c>
      <c r="X389" s="17">
        <v>0.04</v>
      </c>
      <c r="Y389" s="17">
        <v>0.04</v>
      </c>
      <c r="Z389" s="21">
        <f t="shared" si="92"/>
        <v>0.04</v>
      </c>
      <c r="AA389" s="19">
        <v>0.90500000000000003</v>
      </c>
      <c r="AB389" s="19">
        <v>0.92600000000000005</v>
      </c>
      <c r="AC389" s="21">
        <f t="shared" si="93"/>
        <v>0.91600000000000004</v>
      </c>
      <c r="AD389" s="19">
        <v>0.14299999999999999</v>
      </c>
      <c r="AE389" s="19">
        <v>0.11899999999999999</v>
      </c>
      <c r="AF389" s="21">
        <f t="shared" si="94"/>
        <v>0.13100000000000001</v>
      </c>
      <c r="AG389" s="30">
        <v>8.2000000000000003E-2</v>
      </c>
      <c r="AH389" s="30">
        <v>7.9000000000000001E-2</v>
      </c>
      <c r="AI389" s="31">
        <f t="shared" si="95"/>
        <v>8.1000000000000003E-2</v>
      </c>
      <c r="AJ389" s="30">
        <v>7.4999999999999997E-2</v>
      </c>
      <c r="AK389" s="30">
        <v>7.6999999999999999E-2</v>
      </c>
      <c r="AL389" s="31">
        <f t="shared" si="96"/>
        <v>7.5999999999999998E-2</v>
      </c>
      <c r="AM389" s="19">
        <v>12.521000000000001</v>
      </c>
      <c r="AN389" s="19">
        <v>12.545999999999999</v>
      </c>
      <c r="AO389" s="21">
        <f t="shared" si="97"/>
        <v>12.534000000000001</v>
      </c>
      <c r="AP389" s="46">
        <v>8.8300000000000003E-2</v>
      </c>
      <c r="AQ389" s="46">
        <v>9.1399999999999995E-2</v>
      </c>
      <c r="AR389" s="45">
        <f t="shared" si="98"/>
        <v>8.9899999999999994E-2</v>
      </c>
      <c r="AS389" s="3">
        <v>11.38</v>
      </c>
      <c r="AT389" s="97">
        <v>3.18</v>
      </c>
    </row>
    <row r="390" spans="1:46">
      <c r="A390" s="7" t="s">
        <v>137</v>
      </c>
      <c r="B390" s="5" t="s">
        <v>138</v>
      </c>
      <c r="C390" s="6"/>
      <c r="D390" s="6"/>
      <c r="E390" s="23">
        <v>26.8</v>
      </c>
      <c r="F390" s="23">
        <v>6.8</v>
      </c>
      <c r="G390" s="41">
        <v>345</v>
      </c>
      <c r="H390" s="23">
        <v>6.6</v>
      </c>
      <c r="I390" s="23">
        <v>9.4</v>
      </c>
      <c r="J390" s="23">
        <v>12.9</v>
      </c>
      <c r="K390" s="37">
        <v>9.1999999999999993</v>
      </c>
      <c r="L390" s="37">
        <v>7.4</v>
      </c>
      <c r="M390" s="37">
        <v>9.6999999999999993</v>
      </c>
      <c r="N390" s="38">
        <f t="shared" si="88"/>
        <v>8.8000000000000007</v>
      </c>
      <c r="O390" s="37">
        <v>5.2</v>
      </c>
      <c r="P390" s="37">
        <v>5.2</v>
      </c>
      <c r="Q390" s="38">
        <f t="shared" si="89"/>
        <v>5.2</v>
      </c>
      <c r="R390" s="17">
        <v>7.2930000000000001</v>
      </c>
      <c r="S390" s="17">
        <v>7.3179999999999996</v>
      </c>
      <c r="T390" s="22">
        <f t="shared" si="90"/>
        <v>7.306</v>
      </c>
      <c r="U390" s="34">
        <v>6.2249999999999996</v>
      </c>
      <c r="V390" s="34">
        <v>6.2460000000000004</v>
      </c>
      <c r="W390" s="33">
        <f t="shared" si="91"/>
        <v>6.2359999999999998</v>
      </c>
      <c r="X390" s="17">
        <v>2.4500000000000002</v>
      </c>
      <c r="Y390" s="17">
        <v>2.4390000000000001</v>
      </c>
      <c r="Z390" s="21">
        <f t="shared" si="92"/>
        <v>2.4449999999999998</v>
      </c>
      <c r="AA390" s="19">
        <v>3.38</v>
      </c>
      <c r="AB390" s="19">
        <v>3.41</v>
      </c>
      <c r="AC390" s="21">
        <f t="shared" si="93"/>
        <v>3.395</v>
      </c>
      <c r="AD390" s="19">
        <v>0.57299999999999995</v>
      </c>
      <c r="AE390" s="19">
        <v>0.59199999999999997</v>
      </c>
      <c r="AF390" s="21">
        <f t="shared" si="94"/>
        <v>0.58299999999999996</v>
      </c>
      <c r="AG390" s="30">
        <v>0.26800000000000002</v>
      </c>
      <c r="AH390" s="30">
        <v>0.26500000000000001</v>
      </c>
      <c r="AI390" s="31">
        <f t="shared" si="95"/>
        <v>0.26700000000000002</v>
      </c>
      <c r="AJ390" s="30">
        <v>0.24399999999999999</v>
      </c>
      <c r="AK390" s="30">
        <v>0.24299999999999999</v>
      </c>
      <c r="AL390" s="31">
        <f t="shared" si="96"/>
        <v>0.24399999999999999</v>
      </c>
      <c r="AM390" s="19">
        <v>42.511000000000003</v>
      </c>
      <c r="AN390" s="19">
        <v>42.731000000000002</v>
      </c>
      <c r="AO390" s="21">
        <f t="shared" si="97"/>
        <v>42.621000000000002</v>
      </c>
      <c r="AP390" s="46">
        <v>0.11</v>
      </c>
      <c r="AQ390" s="46">
        <v>0.1132</v>
      </c>
      <c r="AR390" s="45">
        <f t="shared" si="98"/>
        <v>0.1116</v>
      </c>
      <c r="AS390" s="3">
        <v>12.28</v>
      </c>
      <c r="AT390" s="98">
        <v>-1.7</v>
      </c>
    </row>
    <row r="391" spans="1:46">
      <c r="A391" s="7" t="s">
        <v>158</v>
      </c>
      <c r="B391" s="5" t="s">
        <v>159</v>
      </c>
      <c r="C391" s="6"/>
      <c r="D391" s="6"/>
      <c r="E391" s="23"/>
      <c r="F391" s="23"/>
      <c r="G391" s="41"/>
      <c r="H391" s="23"/>
      <c r="I391" s="23">
        <v>2.5</v>
      </c>
      <c r="J391" s="23">
        <v>6.7</v>
      </c>
      <c r="K391" s="37">
        <v>4.5999999999999996</v>
      </c>
      <c r="L391" s="37">
        <v>4.8</v>
      </c>
      <c r="M391" s="37"/>
      <c r="N391" s="38">
        <f t="shared" si="88"/>
        <v>4.7</v>
      </c>
      <c r="O391" s="37">
        <v>4</v>
      </c>
      <c r="P391" s="37">
        <v>3.9</v>
      </c>
      <c r="Q391" s="38">
        <f t="shared" si="89"/>
        <v>4</v>
      </c>
      <c r="R391" s="17">
        <v>2.77</v>
      </c>
      <c r="S391" s="17">
        <v>2.6859999999999999</v>
      </c>
      <c r="T391" s="22">
        <f t="shared" si="90"/>
        <v>2.7280000000000002</v>
      </c>
      <c r="U391" s="34">
        <v>2.452</v>
      </c>
      <c r="V391" s="34">
        <v>2.4409999999999998</v>
      </c>
      <c r="W391" s="33">
        <f t="shared" si="91"/>
        <v>2.4470000000000001</v>
      </c>
      <c r="X391" s="17">
        <v>0.48099999999999998</v>
      </c>
      <c r="Y391" s="17">
        <v>0.48699999999999999</v>
      </c>
      <c r="Z391" s="21">
        <f t="shared" si="92"/>
        <v>0.48399999999999999</v>
      </c>
      <c r="AA391" s="19">
        <v>1.633</v>
      </c>
      <c r="AB391" s="19">
        <v>1.637</v>
      </c>
      <c r="AC391" s="21">
        <f t="shared" si="93"/>
        <v>1.635</v>
      </c>
      <c r="AD391" s="19">
        <v>0.10199999999999999</v>
      </c>
      <c r="AE391" s="19">
        <v>9.2999999999999999E-2</v>
      </c>
      <c r="AF391" s="21">
        <f t="shared" si="94"/>
        <v>9.8000000000000004E-2</v>
      </c>
      <c r="AG391" s="30">
        <v>3.5000000000000003E-2</v>
      </c>
      <c r="AH391" s="30">
        <v>3.2000000000000001E-2</v>
      </c>
      <c r="AI391" s="31">
        <f t="shared" si="95"/>
        <v>3.4000000000000002E-2</v>
      </c>
      <c r="AJ391" s="30">
        <v>1.0999999999999999E-2</v>
      </c>
      <c r="AK391" s="30">
        <v>8.9999999999999993E-3</v>
      </c>
      <c r="AL391" s="31">
        <f t="shared" si="96"/>
        <v>0.01</v>
      </c>
      <c r="AM391" s="19">
        <v>67.558000000000007</v>
      </c>
      <c r="AN391" s="19">
        <v>67.617000000000004</v>
      </c>
      <c r="AO391" s="21">
        <f t="shared" si="97"/>
        <v>67.587999999999994</v>
      </c>
      <c r="AP391" s="46">
        <v>9.5000000000000001E-2</v>
      </c>
      <c r="AQ391" s="46">
        <v>9.7799999999999998E-2</v>
      </c>
      <c r="AR391" s="45">
        <f t="shared" si="98"/>
        <v>9.64E-2</v>
      </c>
      <c r="AS391" s="3">
        <v>20.5</v>
      </c>
      <c r="AT391" s="98">
        <v>5.45</v>
      </c>
    </row>
    <row r="392" spans="1:46">
      <c r="A392" s="8" t="s">
        <v>136</v>
      </c>
      <c r="B392" s="9" t="s">
        <v>34</v>
      </c>
      <c r="C392" s="10" t="s">
        <v>35</v>
      </c>
      <c r="D392" s="10" t="s">
        <v>36</v>
      </c>
      <c r="E392" s="20">
        <v>25.8</v>
      </c>
      <c r="F392" s="20">
        <v>7.6</v>
      </c>
      <c r="G392" s="40">
        <v>152</v>
      </c>
      <c r="H392" s="20">
        <v>7.8</v>
      </c>
      <c r="I392" s="20">
        <v>1.1000000000000001</v>
      </c>
      <c r="J392" s="20">
        <v>4.5999999999999996</v>
      </c>
      <c r="K392" s="14">
        <v>3</v>
      </c>
      <c r="L392" s="14">
        <v>2.4</v>
      </c>
      <c r="M392" s="14"/>
      <c r="N392" s="20">
        <f>ROUND(AVERAGE(K392:M392),1)</f>
        <v>2.7</v>
      </c>
      <c r="O392" s="36">
        <v>2.2000000000000002</v>
      </c>
      <c r="P392" s="36">
        <v>2.1</v>
      </c>
      <c r="Q392" s="38">
        <f>ROUND(AVERAGE(O392:P392),1)</f>
        <v>2.2000000000000002</v>
      </c>
      <c r="R392" s="16">
        <v>0.47</v>
      </c>
      <c r="S392" s="16">
        <v>0.47299999999999998</v>
      </c>
      <c r="T392" s="22">
        <f>ROUND(AVERAGE(R392:S392),3)</f>
        <v>0.47199999999999998</v>
      </c>
      <c r="U392" s="32">
        <v>0.36099999999999999</v>
      </c>
      <c r="V392" s="32">
        <v>0.35299999999999998</v>
      </c>
      <c r="W392" s="33">
        <f>ROUND(AVERAGE(U392:V392),3)</f>
        <v>0.35699999999999998</v>
      </c>
      <c r="X392" s="16">
        <v>0.04</v>
      </c>
      <c r="Y392" s="16">
        <v>4.1000000000000002E-2</v>
      </c>
      <c r="Z392" s="21">
        <f>ROUND(AVERAGE(X392:Y392),3)</f>
        <v>4.1000000000000002E-2</v>
      </c>
      <c r="AA392" s="18">
        <v>0.218</v>
      </c>
      <c r="AB392" s="18">
        <v>0.215</v>
      </c>
      <c r="AC392" s="21">
        <f>ROUND(AVERAGE(AA392:AB392),3)</f>
        <v>0.217</v>
      </c>
      <c r="AD392" s="18">
        <v>5.1999999999999998E-2</v>
      </c>
      <c r="AE392" s="18">
        <v>4.9000000000000002E-2</v>
      </c>
      <c r="AF392" s="21">
        <f>ROUND(AVERAGE(AD392:AE392),3)</f>
        <v>5.0999999999999997E-2</v>
      </c>
      <c r="AG392" s="29">
        <v>2.7E-2</v>
      </c>
      <c r="AH392" s="29">
        <v>2.3E-2</v>
      </c>
      <c r="AI392" s="31">
        <f>ROUND(AVERAGE(AG392:AH392),3)</f>
        <v>2.5000000000000001E-2</v>
      </c>
      <c r="AJ392" s="29">
        <v>1.0999999999999999E-2</v>
      </c>
      <c r="AK392" s="29">
        <v>8.9999999999999993E-3</v>
      </c>
      <c r="AL392" s="31">
        <f>ROUND(AVERAGE(AJ392:AK392),3)</f>
        <v>0.01</v>
      </c>
      <c r="AM392" s="18">
        <v>11.629</v>
      </c>
      <c r="AN392" s="18">
        <v>11.726000000000001</v>
      </c>
      <c r="AO392" s="21">
        <f>ROUND(AVERAGE(AM392:AN392),3)</f>
        <v>11.678000000000001</v>
      </c>
      <c r="AP392" s="44">
        <v>6.6500000000000004E-2</v>
      </c>
      <c r="AQ392" s="44">
        <v>6.3700000000000007E-2</v>
      </c>
      <c r="AR392" s="45">
        <f>ROUND(AVERAGE(AP392:AQ392),4)</f>
        <v>6.5100000000000005E-2</v>
      </c>
      <c r="AS392" s="93">
        <v>6.82</v>
      </c>
      <c r="AT392" s="93">
        <v>2.14</v>
      </c>
    </row>
    <row r="393" spans="1:46">
      <c r="A393" s="7" t="s">
        <v>37</v>
      </c>
      <c r="B393" s="5" t="s">
        <v>38</v>
      </c>
      <c r="C393" s="6" t="s">
        <v>39</v>
      </c>
      <c r="D393" s="6" t="s">
        <v>40</v>
      </c>
      <c r="E393" s="23">
        <v>26.2</v>
      </c>
      <c r="F393" s="23">
        <v>6.9</v>
      </c>
      <c r="G393" s="41">
        <v>120</v>
      </c>
      <c r="H393" s="23">
        <v>6</v>
      </c>
      <c r="I393" s="23">
        <v>0.8</v>
      </c>
      <c r="J393" s="23">
        <v>3.5</v>
      </c>
      <c r="K393" s="15">
        <v>2.5</v>
      </c>
      <c r="L393" s="15">
        <v>2.1</v>
      </c>
      <c r="M393" s="15"/>
      <c r="N393" s="20">
        <f t="shared" ref="N393:N429" si="99">ROUND(AVERAGE(K393:M393),1)</f>
        <v>2.2999999999999998</v>
      </c>
      <c r="O393" s="37">
        <v>2.1</v>
      </c>
      <c r="P393" s="37">
        <v>2.1</v>
      </c>
      <c r="Q393" s="38">
        <f t="shared" ref="Q393:Q429" si="100">ROUND(AVERAGE(O393:P393),1)</f>
        <v>2.1</v>
      </c>
      <c r="R393" s="17">
        <v>0.42899999999999999</v>
      </c>
      <c r="S393" s="17">
        <v>0.45300000000000001</v>
      </c>
      <c r="T393" s="22">
        <f t="shared" ref="T393:T429" si="101">ROUND(AVERAGE(R393:S393),3)</f>
        <v>0.441</v>
      </c>
      <c r="U393" s="34">
        <v>0.39800000000000002</v>
      </c>
      <c r="V393" s="34">
        <v>0.39300000000000002</v>
      </c>
      <c r="W393" s="33">
        <f t="shared" ref="W393:W429" si="102">ROUND(AVERAGE(U393:V393),3)</f>
        <v>0.39600000000000002</v>
      </c>
      <c r="X393" s="17">
        <v>2.1999999999999999E-2</v>
      </c>
      <c r="Y393" s="17">
        <v>2.3E-2</v>
      </c>
      <c r="Z393" s="21">
        <f t="shared" ref="Z393:Z429" si="103">ROUND(AVERAGE(X393:Y393),3)</f>
        <v>2.3E-2</v>
      </c>
      <c r="AA393" s="19">
        <v>0.26600000000000001</v>
      </c>
      <c r="AB393" s="19">
        <v>0.26200000000000001</v>
      </c>
      <c r="AC393" s="21">
        <f t="shared" ref="AC393:AC429" si="104">ROUND(AVERAGE(AA393:AB393),3)</f>
        <v>0.26400000000000001</v>
      </c>
      <c r="AD393" s="19">
        <v>0.03</v>
      </c>
      <c r="AE393" s="19">
        <v>2.5000000000000001E-2</v>
      </c>
      <c r="AF393" s="21">
        <f t="shared" ref="AF393:AF429" si="105">ROUND(AVERAGE(AD393:AE393),3)</f>
        <v>2.8000000000000001E-2</v>
      </c>
      <c r="AG393" s="30">
        <v>1.7999999999999999E-2</v>
      </c>
      <c r="AH393" s="30">
        <v>1.7999999999999999E-2</v>
      </c>
      <c r="AI393" s="31">
        <f t="shared" ref="AI393:AI429" si="106">ROUND(AVERAGE(AG393:AH393),3)</f>
        <v>1.7999999999999999E-2</v>
      </c>
      <c r="AJ393" s="30">
        <v>7.0000000000000001E-3</v>
      </c>
      <c r="AK393" s="30">
        <v>6.0000000000000001E-3</v>
      </c>
      <c r="AL393" s="31">
        <f t="shared" ref="AL393:AL429" si="107">ROUND(AVERAGE(AJ393:AK393),3)</f>
        <v>7.0000000000000001E-3</v>
      </c>
      <c r="AM393" s="19">
        <v>5.9459999999999997</v>
      </c>
      <c r="AN393" s="19">
        <v>5.9820000000000002</v>
      </c>
      <c r="AO393" s="21">
        <f t="shared" ref="AO393:AO429" si="108">ROUND(AVERAGE(AM393:AN393),3)</f>
        <v>5.9640000000000004</v>
      </c>
      <c r="AP393" s="46">
        <v>6.2100000000000002E-2</v>
      </c>
      <c r="AQ393" s="46">
        <v>5.9799999999999999E-2</v>
      </c>
      <c r="AR393" s="45">
        <f t="shared" ref="AR393:AR429" si="109">ROUND(AVERAGE(AP393:AQ393),4)</f>
        <v>6.0999999999999999E-2</v>
      </c>
      <c r="AS393" s="94">
        <v>9.64</v>
      </c>
      <c r="AT393" s="3">
        <v>5.64</v>
      </c>
    </row>
    <row r="394" spans="1:46">
      <c r="A394" s="7" t="s">
        <v>0</v>
      </c>
      <c r="B394" s="5" t="s">
        <v>41</v>
      </c>
      <c r="C394" s="6" t="s">
        <v>42</v>
      </c>
      <c r="D394" s="6" t="s">
        <v>36</v>
      </c>
      <c r="E394" s="23">
        <v>26.7</v>
      </c>
      <c r="F394" s="23">
        <v>6.9</v>
      </c>
      <c r="G394" s="41">
        <v>138</v>
      </c>
      <c r="H394" s="23">
        <v>8</v>
      </c>
      <c r="I394" s="23">
        <v>0.9</v>
      </c>
      <c r="J394" s="23">
        <v>3.2</v>
      </c>
      <c r="K394" s="15">
        <v>2.5</v>
      </c>
      <c r="L394" s="15">
        <v>2.2000000000000002</v>
      </c>
      <c r="M394" s="15"/>
      <c r="N394" s="20">
        <f t="shared" si="99"/>
        <v>2.4</v>
      </c>
      <c r="O394" s="37">
        <v>2</v>
      </c>
      <c r="P394" s="37">
        <v>1.9</v>
      </c>
      <c r="Q394" s="38">
        <f t="shared" si="100"/>
        <v>2</v>
      </c>
      <c r="R394" s="17">
        <v>0.40300000000000002</v>
      </c>
      <c r="S394" s="17">
        <v>0.42</v>
      </c>
      <c r="T394" s="22">
        <f t="shared" si="101"/>
        <v>0.41199999999999998</v>
      </c>
      <c r="U394" s="34">
        <v>0.32100000000000001</v>
      </c>
      <c r="V394" s="34">
        <v>0.316</v>
      </c>
      <c r="W394" s="33">
        <f t="shared" si="102"/>
        <v>0.31900000000000001</v>
      </c>
      <c r="X394" s="17">
        <v>3.4000000000000002E-2</v>
      </c>
      <c r="Y394" s="17">
        <v>3.5000000000000003E-2</v>
      </c>
      <c r="Z394" s="21">
        <f t="shared" si="103"/>
        <v>3.5000000000000003E-2</v>
      </c>
      <c r="AA394" s="19">
        <v>0.21099999999999999</v>
      </c>
      <c r="AB394" s="19">
        <v>0.20599999999999999</v>
      </c>
      <c r="AC394" s="21">
        <f t="shared" si="104"/>
        <v>0.20899999999999999</v>
      </c>
      <c r="AD394" s="19">
        <v>3.6999999999999998E-2</v>
      </c>
      <c r="AE394" s="19">
        <v>3.2000000000000001E-2</v>
      </c>
      <c r="AF394" s="21">
        <f t="shared" si="105"/>
        <v>3.5000000000000003E-2</v>
      </c>
      <c r="AG394" s="30">
        <v>1.7000000000000001E-2</v>
      </c>
      <c r="AH394" s="30">
        <v>1.7000000000000001E-2</v>
      </c>
      <c r="AI394" s="31">
        <f t="shared" si="106"/>
        <v>1.7000000000000001E-2</v>
      </c>
      <c r="AJ394" s="30">
        <v>5.0000000000000001E-3</v>
      </c>
      <c r="AK394" s="30">
        <v>4.0000000000000001E-3</v>
      </c>
      <c r="AL394" s="31">
        <f t="shared" si="107"/>
        <v>5.0000000000000001E-3</v>
      </c>
      <c r="AM394" s="19">
        <v>8.7859999999999996</v>
      </c>
      <c r="AN394" s="19">
        <v>8.8580000000000005</v>
      </c>
      <c r="AO394" s="21">
        <f t="shared" si="108"/>
        <v>8.8219999999999992</v>
      </c>
      <c r="AP394" s="46">
        <v>5.7799999999999997E-2</v>
      </c>
      <c r="AQ394" s="46">
        <v>5.5800000000000002E-2</v>
      </c>
      <c r="AR394" s="45">
        <f t="shared" si="109"/>
        <v>5.6800000000000003E-2</v>
      </c>
      <c r="AS394" s="94">
        <v>8.9499999999999993</v>
      </c>
      <c r="AT394" s="94">
        <v>4.49</v>
      </c>
    </row>
    <row r="395" spans="1:46">
      <c r="A395" s="7" t="s">
        <v>1</v>
      </c>
      <c r="B395" s="5" t="s">
        <v>43</v>
      </c>
      <c r="C395" s="6" t="s">
        <v>44</v>
      </c>
      <c r="D395" s="6" t="s">
        <v>45</v>
      </c>
      <c r="E395" s="23">
        <v>25.9</v>
      </c>
      <c r="F395" s="23">
        <v>7.2</v>
      </c>
      <c r="G395" s="41">
        <v>85</v>
      </c>
      <c r="H395" s="23">
        <v>7.7</v>
      </c>
      <c r="I395" s="23">
        <v>0.8</v>
      </c>
      <c r="J395" s="23">
        <v>4.5</v>
      </c>
      <c r="K395" s="15">
        <v>2.9</v>
      </c>
      <c r="L395" s="15">
        <v>2.5</v>
      </c>
      <c r="M395" s="15"/>
      <c r="N395" s="20">
        <f t="shared" si="99"/>
        <v>2.7</v>
      </c>
      <c r="O395" s="37">
        <v>2.4</v>
      </c>
      <c r="P395" s="37">
        <v>2.2999999999999998</v>
      </c>
      <c r="Q395" s="38">
        <f t="shared" si="100"/>
        <v>2.4</v>
      </c>
      <c r="R395" s="17">
        <v>0.42399999999999999</v>
      </c>
      <c r="S395" s="17">
        <v>0.43</v>
      </c>
      <c r="T395" s="22">
        <f t="shared" si="101"/>
        <v>0.42699999999999999</v>
      </c>
      <c r="U395" s="34">
        <v>0.32100000000000001</v>
      </c>
      <c r="V395" s="34">
        <v>0.317</v>
      </c>
      <c r="W395" s="33">
        <f t="shared" si="102"/>
        <v>0.31900000000000001</v>
      </c>
      <c r="X395" s="17">
        <v>4.2000000000000003E-2</v>
      </c>
      <c r="Y395" s="17">
        <v>4.2000000000000003E-2</v>
      </c>
      <c r="Z395" s="21">
        <f t="shared" si="103"/>
        <v>4.2000000000000003E-2</v>
      </c>
      <c r="AA395" s="19">
        <v>0.19900000000000001</v>
      </c>
      <c r="AB395" s="19">
        <v>0.19500000000000001</v>
      </c>
      <c r="AC395" s="21">
        <f t="shared" si="104"/>
        <v>0.19700000000000001</v>
      </c>
      <c r="AD395" s="19">
        <v>4.4999999999999998E-2</v>
      </c>
      <c r="AE395" s="19">
        <v>0.04</v>
      </c>
      <c r="AF395" s="21">
        <f t="shared" si="105"/>
        <v>4.2999999999999997E-2</v>
      </c>
      <c r="AG395" s="30">
        <v>2.4E-2</v>
      </c>
      <c r="AH395" s="30">
        <v>2.3E-2</v>
      </c>
      <c r="AI395" s="31">
        <f t="shared" si="106"/>
        <v>2.4E-2</v>
      </c>
      <c r="AJ395" s="30">
        <v>8.0000000000000002E-3</v>
      </c>
      <c r="AK395" s="30">
        <v>8.0000000000000002E-3</v>
      </c>
      <c r="AL395" s="31">
        <f t="shared" si="107"/>
        <v>8.0000000000000002E-3</v>
      </c>
      <c r="AM395" s="19">
        <v>4.8959999999999999</v>
      </c>
      <c r="AN395" s="19">
        <v>4.9329999999999998</v>
      </c>
      <c r="AO395" s="21">
        <f t="shared" si="108"/>
        <v>4.915</v>
      </c>
      <c r="AP395" s="46">
        <v>9.1800000000000007E-2</v>
      </c>
      <c r="AQ395" s="46">
        <v>8.9399999999999993E-2</v>
      </c>
      <c r="AR395" s="45">
        <f t="shared" si="109"/>
        <v>9.06E-2</v>
      </c>
      <c r="AS395" s="94">
        <v>6.06</v>
      </c>
      <c r="AT395" s="3">
        <v>1.17</v>
      </c>
    </row>
    <row r="396" spans="1:46">
      <c r="A396" s="7" t="s">
        <v>2</v>
      </c>
      <c r="B396" s="5" t="s">
        <v>46</v>
      </c>
      <c r="C396" s="6" t="s">
        <v>47</v>
      </c>
      <c r="D396" s="6" t="s">
        <v>36</v>
      </c>
      <c r="E396" s="23">
        <v>27.7</v>
      </c>
      <c r="F396" s="23">
        <v>7</v>
      </c>
      <c r="G396" s="41">
        <v>126</v>
      </c>
      <c r="H396" s="23">
        <v>7</v>
      </c>
      <c r="I396" s="23">
        <v>1</v>
      </c>
      <c r="J396" s="23">
        <v>4.0999999999999996</v>
      </c>
      <c r="K396" s="15">
        <v>2.8</v>
      </c>
      <c r="L396" s="15">
        <v>2.6</v>
      </c>
      <c r="M396" s="15"/>
      <c r="N396" s="20">
        <f t="shared" si="99"/>
        <v>2.7</v>
      </c>
      <c r="O396" s="37">
        <v>2.2999999999999998</v>
      </c>
      <c r="P396" s="37">
        <v>2.2000000000000002</v>
      </c>
      <c r="Q396" s="38">
        <f t="shared" si="100"/>
        <v>2.2999999999999998</v>
      </c>
      <c r="R396" s="17">
        <v>0.47399999999999998</v>
      </c>
      <c r="S396" s="17">
        <v>0.48299999999999998</v>
      </c>
      <c r="T396" s="22">
        <f t="shared" si="101"/>
        <v>0.47899999999999998</v>
      </c>
      <c r="U396" s="34">
        <v>0.373</v>
      </c>
      <c r="V396" s="34">
        <v>0.38200000000000001</v>
      </c>
      <c r="W396" s="33">
        <f t="shared" si="102"/>
        <v>0.378</v>
      </c>
      <c r="X396" s="17">
        <v>6.4000000000000001E-2</v>
      </c>
      <c r="Y396" s="17">
        <v>6.5000000000000002E-2</v>
      </c>
      <c r="Z396" s="21">
        <f t="shared" si="103"/>
        <v>6.5000000000000002E-2</v>
      </c>
      <c r="AA396" s="19">
        <v>0.23200000000000001</v>
      </c>
      <c r="AB396" s="19">
        <v>0.22700000000000001</v>
      </c>
      <c r="AC396" s="21">
        <f t="shared" si="104"/>
        <v>0.23</v>
      </c>
      <c r="AD396" s="19">
        <v>4.9000000000000002E-2</v>
      </c>
      <c r="AE396" s="19">
        <v>4.2999999999999997E-2</v>
      </c>
      <c r="AF396" s="21">
        <f t="shared" si="105"/>
        <v>4.5999999999999999E-2</v>
      </c>
      <c r="AG396" s="30">
        <v>2.5999999999999999E-2</v>
      </c>
      <c r="AH396" s="30">
        <v>2.7E-2</v>
      </c>
      <c r="AI396" s="31">
        <f t="shared" si="106"/>
        <v>2.7E-2</v>
      </c>
      <c r="AJ396" s="30">
        <v>1.0999999999999999E-2</v>
      </c>
      <c r="AK396" s="30">
        <v>1.0999999999999999E-2</v>
      </c>
      <c r="AL396" s="31">
        <f t="shared" si="107"/>
        <v>1.0999999999999999E-2</v>
      </c>
      <c r="AM396" s="19">
        <v>8.2390000000000008</v>
      </c>
      <c r="AN396" s="19">
        <v>8.2919999999999998</v>
      </c>
      <c r="AO396" s="21">
        <f t="shared" si="108"/>
        <v>8.266</v>
      </c>
      <c r="AP396" s="46">
        <v>7.2700000000000001E-2</v>
      </c>
      <c r="AQ396" s="46">
        <v>7.0599999999999996E-2</v>
      </c>
      <c r="AR396" s="45">
        <f t="shared" si="109"/>
        <v>7.17E-2</v>
      </c>
      <c r="AS396" s="94">
        <v>8.14</v>
      </c>
      <c r="AT396" s="94">
        <v>2.14</v>
      </c>
    </row>
    <row r="397" spans="1:46">
      <c r="A397" s="7" t="s">
        <v>3</v>
      </c>
      <c r="B397" s="5" t="s">
        <v>46</v>
      </c>
      <c r="C397" s="6" t="s">
        <v>44</v>
      </c>
      <c r="D397" s="6" t="s">
        <v>48</v>
      </c>
      <c r="E397" s="23">
        <v>26.4</v>
      </c>
      <c r="F397" s="23">
        <v>7.3</v>
      </c>
      <c r="G397" s="41">
        <v>113</v>
      </c>
      <c r="H397" s="23">
        <v>7.7</v>
      </c>
      <c r="I397" s="23">
        <v>1</v>
      </c>
      <c r="J397" s="23">
        <v>4.2</v>
      </c>
      <c r="K397" s="15">
        <v>3</v>
      </c>
      <c r="L397" s="15">
        <v>2.7</v>
      </c>
      <c r="M397" s="15"/>
      <c r="N397" s="20">
        <f t="shared" si="99"/>
        <v>2.9</v>
      </c>
      <c r="O397" s="37">
        <v>2.4</v>
      </c>
      <c r="P397" s="37">
        <v>2.2999999999999998</v>
      </c>
      <c r="Q397" s="38">
        <f t="shared" si="100"/>
        <v>2.4</v>
      </c>
      <c r="R397" s="17">
        <v>0.41799999999999998</v>
      </c>
      <c r="S397" s="17">
        <v>0.46800000000000003</v>
      </c>
      <c r="T397" s="22">
        <f t="shared" si="101"/>
        <v>0.443</v>
      </c>
      <c r="U397" s="34">
        <v>0.432</v>
      </c>
      <c r="V397" s="34">
        <v>0.43099999999999999</v>
      </c>
      <c r="W397" s="33">
        <f t="shared" si="102"/>
        <v>0.432</v>
      </c>
      <c r="X397" s="17">
        <v>4.7E-2</v>
      </c>
      <c r="Y397" s="17">
        <v>4.5999999999999999E-2</v>
      </c>
      <c r="Z397" s="21">
        <f t="shared" si="103"/>
        <v>4.7E-2</v>
      </c>
      <c r="AA397" s="19">
        <v>0.28199999999999997</v>
      </c>
      <c r="AB397" s="19">
        <v>0.27600000000000002</v>
      </c>
      <c r="AC397" s="21">
        <f t="shared" si="104"/>
        <v>0.27900000000000003</v>
      </c>
      <c r="AD397" s="19">
        <v>5.3999999999999999E-2</v>
      </c>
      <c r="AE397" s="19">
        <v>4.5999999999999999E-2</v>
      </c>
      <c r="AF397" s="21">
        <f t="shared" si="105"/>
        <v>0.05</v>
      </c>
      <c r="AG397" s="30">
        <v>2.7E-2</v>
      </c>
      <c r="AH397" s="30">
        <v>2.5999999999999999E-2</v>
      </c>
      <c r="AI397" s="31">
        <f t="shared" si="106"/>
        <v>2.7E-2</v>
      </c>
      <c r="AJ397" s="30">
        <v>1.2E-2</v>
      </c>
      <c r="AK397" s="30">
        <v>1.2E-2</v>
      </c>
      <c r="AL397" s="31">
        <f t="shared" si="107"/>
        <v>1.2E-2</v>
      </c>
      <c r="AM397" s="19">
        <v>6.7290000000000001</v>
      </c>
      <c r="AN397" s="19">
        <v>6.7629999999999999</v>
      </c>
      <c r="AO397" s="21">
        <f t="shared" si="108"/>
        <v>6.7460000000000004</v>
      </c>
      <c r="AP397" s="46">
        <v>8.1699999999999995E-2</v>
      </c>
      <c r="AQ397" s="46">
        <v>7.9500000000000001E-2</v>
      </c>
      <c r="AR397" s="45">
        <f t="shared" si="109"/>
        <v>8.0600000000000005E-2</v>
      </c>
      <c r="AS397" s="95">
        <v>8.14</v>
      </c>
      <c r="AT397" s="3">
        <v>2.48</v>
      </c>
    </row>
    <row r="398" spans="1:46">
      <c r="A398" s="7" t="s">
        <v>4</v>
      </c>
      <c r="B398" s="5" t="s">
        <v>49</v>
      </c>
      <c r="C398" s="6" t="s">
        <v>44</v>
      </c>
      <c r="D398" s="6" t="s">
        <v>36</v>
      </c>
      <c r="E398" s="23">
        <v>27.9</v>
      </c>
      <c r="F398" s="23">
        <v>7</v>
      </c>
      <c r="G398" s="41">
        <v>124</v>
      </c>
      <c r="H398" s="23">
        <v>6.8</v>
      </c>
      <c r="I398" s="23">
        <v>0.8</v>
      </c>
      <c r="J398" s="23">
        <v>3.6</v>
      </c>
      <c r="K398" s="15">
        <v>2.8</v>
      </c>
      <c r="L398" s="15">
        <v>2.5</v>
      </c>
      <c r="M398" s="15"/>
      <c r="N398" s="20">
        <f t="shared" si="99"/>
        <v>2.7</v>
      </c>
      <c r="O398" s="37">
        <v>2.2999999999999998</v>
      </c>
      <c r="P398" s="37">
        <v>2.2000000000000002</v>
      </c>
      <c r="Q398" s="38">
        <f t="shared" si="100"/>
        <v>2.2999999999999998</v>
      </c>
      <c r="R398" s="17">
        <v>0.45200000000000001</v>
      </c>
      <c r="S398" s="17">
        <v>0.46300000000000002</v>
      </c>
      <c r="T398" s="22">
        <f t="shared" si="101"/>
        <v>0.45800000000000002</v>
      </c>
      <c r="U398" s="34">
        <v>0.38300000000000001</v>
      </c>
      <c r="V398" s="34">
        <v>0.38600000000000001</v>
      </c>
      <c r="W398" s="33">
        <f t="shared" si="102"/>
        <v>0.38500000000000001</v>
      </c>
      <c r="X398" s="17">
        <v>3.5999999999999997E-2</v>
      </c>
      <c r="Y398" s="17">
        <v>3.5999999999999997E-2</v>
      </c>
      <c r="Z398" s="21">
        <f t="shared" si="103"/>
        <v>3.5999999999999997E-2</v>
      </c>
      <c r="AA398" s="19">
        <v>0.248</v>
      </c>
      <c r="AB398" s="19">
        <v>0.24299999999999999</v>
      </c>
      <c r="AC398" s="21">
        <f t="shared" si="104"/>
        <v>0.246</v>
      </c>
      <c r="AD398" s="19">
        <v>4.4999999999999998E-2</v>
      </c>
      <c r="AE398" s="19">
        <v>3.5999999999999997E-2</v>
      </c>
      <c r="AF398" s="21">
        <f t="shared" si="105"/>
        <v>4.1000000000000002E-2</v>
      </c>
      <c r="AG398" s="30">
        <v>2.4E-2</v>
      </c>
      <c r="AH398" s="30">
        <v>2.4E-2</v>
      </c>
      <c r="AI398" s="31">
        <f t="shared" si="106"/>
        <v>2.4E-2</v>
      </c>
      <c r="AJ398" s="30">
        <v>0.01</v>
      </c>
      <c r="AK398" s="30">
        <v>1.0999999999999999E-2</v>
      </c>
      <c r="AL398" s="31">
        <f t="shared" si="107"/>
        <v>1.0999999999999999E-2</v>
      </c>
      <c r="AM398" s="19">
        <v>7.9390000000000001</v>
      </c>
      <c r="AN398" s="19">
        <v>7.9950000000000001</v>
      </c>
      <c r="AO398" s="21">
        <f t="shared" si="108"/>
        <v>7.9669999999999996</v>
      </c>
      <c r="AP398" s="46">
        <v>7.5999999999999998E-2</v>
      </c>
      <c r="AQ398" s="46">
        <v>7.3400000000000007E-2</v>
      </c>
      <c r="AR398" s="45">
        <f t="shared" si="109"/>
        <v>7.4700000000000003E-2</v>
      </c>
      <c r="AS398" s="95">
        <v>8.52</v>
      </c>
      <c r="AT398" s="97">
        <v>2.4900000000000002</v>
      </c>
    </row>
    <row r="399" spans="1:46">
      <c r="A399" s="7" t="s">
        <v>5</v>
      </c>
      <c r="B399" s="5" t="s">
        <v>50</v>
      </c>
      <c r="C399" s="6" t="s">
        <v>42</v>
      </c>
      <c r="D399" s="6" t="s">
        <v>51</v>
      </c>
      <c r="E399" s="23">
        <v>26.6</v>
      </c>
      <c r="F399" s="23">
        <v>6.6</v>
      </c>
      <c r="G399" s="41">
        <v>145</v>
      </c>
      <c r="H399" s="23">
        <v>6.2</v>
      </c>
      <c r="I399" s="23">
        <v>0.9</v>
      </c>
      <c r="J399" s="23">
        <v>4.3</v>
      </c>
      <c r="K399" s="15">
        <v>2.8</v>
      </c>
      <c r="L399" s="15">
        <v>2.5</v>
      </c>
      <c r="M399" s="15"/>
      <c r="N399" s="20">
        <f t="shared" si="99"/>
        <v>2.7</v>
      </c>
      <c r="O399" s="37">
        <v>2.2000000000000002</v>
      </c>
      <c r="P399" s="37">
        <v>2.1</v>
      </c>
      <c r="Q399" s="38">
        <f t="shared" si="100"/>
        <v>2.2000000000000002</v>
      </c>
      <c r="R399" s="17">
        <v>1.768</v>
      </c>
      <c r="S399" s="17">
        <v>1.7669999999999999</v>
      </c>
      <c r="T399" s="22">
        <f t="shared" si="101"/>
        <v>1.768</v>
      </c>
      <c r="U399" s="34">
        <v>1.677</v>
      </c>
      <c r="V399" s="34">
        <v>1.6719999999999999</v>
      </c>
      <c r="W399" s="33">
        <f t="shared" si="102"/>
        <v>1.675</v>
      </c>
      <c r="X399" s="17">
        <v>7.4999999999999997E-2</v>
      </c>
      <c r="Y399" s="17">
        <v>7.6999999999999999E-2</v>
      </c>
      <c r="Z399" s="21">
        <f t="shared" si="103"/>
        <v>7.5999999999999998E-2</v>
      </c>
      <c r="AA399" s="19">
        <v>1.486</v>
      </c>
      <c r="AB399" s="19">
        <v>1.4710000000000001</v>
      </c>
      <c r="AC399" s="21">
        <f t="shared" si="104"/>
        <v>1.4790000000000001</v>
      </c>
      <c r="AD399" s="19">
        <v>0.214</v>
      </c>
      <c r="AE399" s="19">
        <v>0.20699999999999999</v>
      </c>
      <c r="AF399" s="21">
        <f t="shared" si="105"/>
        <v>0.21099999999999999</v>
      </c>
      <c r="AG399" s="30">
        <v>0.17299999999999999</v>
      </c>
      <c r="AH399" s="30">
        <v>0.18</v>
      </c>
      <c r="AI399" s="31">
        <f t="shared" si="106"/>
        <v>0.17699999999999999</v>
      </c>
      <c r="AJ399" s="30">
        <v>0.16800000000000001</v>
      </c>
      <c r="AK399" s="30">
        <v>0.17100000000000001</v>
      </c>
      <c r="AL399" s="31">
        <f t="shared" si="107"/>
        <v>0.17</v>
      </c>
      <c r="AM399" s="19">
        <v>8.5579999999999998</v>
      </c>
      <c r="AN399" s="19">
        <v>8.6110000000000007</v>
      </c>
      <c r="AO399" s="21">
        <f t="shared" si="108"/>
        <v>8.5850000000000009</v>
      </c>
      <c r="AP399" s="46">
        <v>6.83E-2</v>
      </c>
      <c r="AQ399" s="46">
        <v>6.5699999999999995E-2</v>
      </c>
      <c r="AR399" s="45">
        <f t="shared" si="109"/>
        <v>6.7000000000000004E-2</v>
      </c>
      <c r="AS399" s="95">
        <v>11.91</v>
      </c>
      <c r="AT399" s="3">
        <v>12.7</v>
      </c>
    </row>
    <row r="400" spans="1:46">
      <c r="A400" s="7" t="s">
        <v>6</v>
      </c>
      <c r="B400" s="5" t="s">
        <v>52</v>
      </c>
      <c r="C400" s="6" t="s">
        <v>53</v>
      </c>
      <c r="D400" s="6" t="s">
        <v>36</v>
      </c>
      <c r="E400" s="23">
        <v>28.3</v>
      </c>
      <c r="F400" s="23">
        <v>6.7</v>
      </c>
      <c r="G400" s="41">
        <v>125</v>
      </c>
      <c r="H400" s="23">
        <v>6.6</v>
      </c>
      <c r="I400" s="23">
        <v>0.7</v>
      </c>
      <c r="J400" s="23">
        <v>4.3</v>
      </c>
      <c r="K400" s="15">
        <v>3</v>
      </c>
      <c r="L400" s="15">
        <v>2.9</v>
      </c>
      <c r="M400" s="15"/>
      <c r="N400" s="20">
        <f t="shared" si="99"/>
        <v>3</v>
      </c>
      <c r="O400" s="37">
        <v>2.5</v>
      </c>
      <c r="P400" s="37">
        <v>2.5</v>
      </c>
      <c r="Q400" s="38">
        <f t="shared" si="100"/>
        <v>2.5</v>
      </c>
      <c r="R400" s="17">
        <v>0.78</v>
      </c>
      <c r="S400" s="17">
        <v>0.79200000000000004</v>
      </c>
      <c r="T400" s="22">
        <f t="shared" si="101"/>
        <v>0.78600000000000003</v>
      </c>
      <c r="U400" s="34">
        <v>0.66900000000000004</v>
      </c>
      <c r="V400" s="34">
        <v>0.68</v>
      </c>
      <c r="W400" s="33">
        <f t="shared" si="102"/>
        <v>0.67500000000000004</v>
      </c>
      <c r="X400" s="17">
        <v>6.4000000000000001E-2</v>
      </c>
      <c r="Y400" s="17">
        <v>6.4000000000000001E-2</v>
      </c>
      <c r="Z400" s="21">
        <f t="shared" si="103"/>
        <v>6.4000000000000001E-2</v>
      </c>
      <c r="AA400" s="19">
        <v>0.47699999999999998</v>
      </c>
      <c r="AB400" s="19">
        <v>0.46899999999999997</v>
      </c>
      <c r="AC400" s="21">
        <f t="shared" si="104"/>
        <v>0.47299999999999998</v>
      </c>
      <c r="AD400" s="19">
        <v>9.7000000000000003E-2</v>
      </c>
      <c r="AE400" s="19">
        <v>8.7999999999999995E-2</v>
      </c>
      <c r="AF400" s="21">
        <f t="shared" si="105"/>
        <v>9.2999999999999999E-2</v>
      </c>
      <c r="AG400" s="30">
        <v>6.9000000000000006E-2</v>
      </c>
      <c r="AH400" s="30">
        <v>6.9000000000000006E-2</v>
      </c>
      <c r="AI400" s="31">
        <f t="shared" si="106"/>
        <v>6.9000000000000006E-2</v>
      </c>
      <c r="AJ400" s="30">
        <v>5.1999999999999998E-2</v>
      </c>
      <c r="AK400" s="30">
        <v>5.8000000000000003E-2</v>
      </c>
      <c r="AL400" s="31">
        <f t="shared" si="107"/>
        <v>5.5E-2</v>
      </c>
      <c r="AM400" s="19">
        <v>8.1509999999999998</v>
      </c>
      <c r="AN400" s="19">
        <v>8.1969999999999992</v>
      </c>
      <c r="AO400" s="21">
        <f t="shared" si="108"/>
        <v>8.1739999999999995</v>
      </c>
      <c r="AP400" s="46">
        <v>7.6999999999999999E-2</v>
      </c>
      <c r="AQ400" s="46">
        <v>7.4700000000000003E-2</v>
      </c>
      <c r="AR400" s="45">
        <f t="shared" si="109"/>
        <v>7.5899999999999995E-2</v>
      </c>
      <c r="AS400" s="95">
        <v>11.4</v>
      </c>
      <c r="AT400" s="97">
        <v>7.81</v>
      </c>
    </row>
    <row r="401" spans="1:46">
      <c r="A401" s="7" t="s">
        <v>7</v>
      </c>
      <c r="B401" s="5" t="s">
        <v>54</v>
      </c>
      <c r="C401" s="6" t="s">
        <v>55</v>
      </c>
      <c r="D401" s="6" t="s">
        <v>56</v>
      </c>
      <c r="E401" s="23">
        <v>28.1</v>
      </c>
      <c r="F401" s="23">
        <v>6.9</v>
      </c>
      <c r="G401" s="41">
        <v>173</v>
      </c>
      <c r="H401" s="23">
        <v>7</v>
      </c>
      <c r="I401" s="23">
        <v>1.2</v>
      </c>
      <c r="J401" s="23">
        <v>4.7</v>
      </c>
      <c r="K401" s="15">
        <v>3.6</v>
      </c>
      <c r="L401" s="15">
        <v>3.3</v>
      </c>
      <c r="M401" s="15"/>
      <c r="N401" s="20">
        <f t="shared" si="99"/>
        <v>3.5</v>
      </c>
      <c r="O401" s="37">
        <v>2.7</v>
      </c>
      <c r="P401" s="37">
        <v>2.6</v>
      </c>
      <c r="Q401" s="38">
        <f t="shared" si="100"/>
        <v>2.7</v>
      </c>
      <c r="R401" s="17">
        <v>1.3779999999999999</v>
      </c>
      <c r="S401" s="17">
        <v>1.363</v>
      </c>
      <c r="T401" s="22">
        <f t="shared" si="101"/>
        <v>1.371</v>
      </c>
      <c r="U401" s="34">
        <v>1.2230000000000001</v>
      </c>
      <c r="V401" s="34">
        <v>1.2110000000000001</v>
      </c>
      <c r="W401" s="33">
        <f t="shared" si="102"/>
        <v>1.2170000000000001</v>
      </c>
      <c r="X401" s="17">
        <v>0.191</v>
      </c>
      <c r="Y401" s="17">
        <v>0.19400000000000001</v>
      </c>
      <c r="Z401" s="21">
        <f t="shared" si="103"/>
        <v>0.193</v>
      </c>
      <c r="AA401" s="19">
        <v>0.85599999999999998</v>
      </c>
      <c r="AB401" s="19">
        <v>0.84799999999999998</v>
      </c>
      <c r="AC401" s="21">
        <f t="shared" si="104"/>
        <v>0.85199999999999998</v>
      </c>
      <c r="AD401" s="19">
        <v>0.17399999999999999</v>
      </c>
      <c r="AE401" s="19">
        <v>0.16500000000000001</v>
      </c>
      <c r="AF401" s="21">
        <f t="shared" si="105"/>
        <v>0.17</v>
      </c>
      <c r="AG401" s="30">
        <v>0.125</v>
      </c>
      <c r="AH401" s="30">
        <v>0.12</v>
      </c>
      <c r="AI401" s="31">
        <f t="shared" si="106"/>
        <v>0.123</v>
      </c>
      <c r="AJ401" s="30">
        <v>0.114</v>
      </c>
      <c r="AK401" s="30">
        <v>0.11600000000000001</v>
      </c>
      <c r="AL401" s="31">
        <f t="shared" si="107"/>
        <v>0.115</v>
      </c>
      <c r="AM401" s="19">
        <v>11.505000000000001</v>
      </c>
      <c r="AN401" s="19">
        <v>11.566000000000001</v>
      </c>
      <c r="AO401" s="21">
        <f t="shared" si="108"/>
        <v>11.536</v>
      </c>
      <c r="AP401" s="46">
        <v>8.4900000000000003E-2</v>
      </c>
      <c r="AQ401" s="46">
        <v>8.2799999999999999E-2</v>
      </c>
      <c r="AR401" s="45">
        <f t="shared" si="109"/>
        <v>8.3900000000000002E-2</v>
      </c>
      <c r="AS401" s="95">
        <v>10.39</v>
      </c>
      <c r="AT401" s="3">
        <v>2.93</v>
      </c>
    </row>
    <row r="402" spans="1:46">
      <c r="A402" s="7" t="s">
        <v>8</v>
      </c>
      <c r="B402" s="5" t="s">
        <v>54</v>
      </c>
      <c r="C402" s="6" t="s">
        <v>44</v>
      </c>
      <c r="D402" s="6" t="s">
        <v>36</v>
      </c>
      <c r="E402" s="23">
        <v>28.1</v>
      </c>
      <c r="F402" s="23">
        <v>7</v>
      </c>
      <c r="G402" s="41">
        <v>147</v>
      </c>
      <c r="H402" s="23">
        <v>7.2</v>
      </c>
      <c r="I402" s="23">
        <v>1</v>
      </c>
      <c r="J402" s="23">
        <v>5</v>
      </c>
      <c r="K402" s="15">
        <v>3.6</v>
      </c>
      <c r="L402" s="15">
        <v>3.4</v>
      </c>
      <c r="M402" s="15"/>
      <c r="N402" s="20">
        <f t="shared" si="99"/>
        <v>3.5</v>
      </c>
      <c r="O402" s="37">
        <v>2.7</v>
      </c>
      <c r="P402" s="37">
        <v>2.6</v>
      </c>
      <c r="Q402" s="38">
        <f t="shared" si="100"/>
        <v>2.7</v>
      </c>
      <c r="R402" s="17">
        <v>1.5009999999999999</v>
      </c>
      <c r="S402" s="17">
        <v>1.494</v>
      </c>
      <c r="T402" s="22">
        <f t="shared" si="101"/>
        <v>1.498</v>
      </c>
      <c r="U402" s="34">
        <v>1.335</v>
      </c>
      <c r="V402" s="34">
        <v>1.325</v>
      </c>
      <c r="W402" s="33">
        <f t="shared" si="102"/>
        <v>1.33</v>
      </c>
      <c r="X402" s="17">
        <v>0.08</v>
      </c>
      <c r="Y402" s="17">
        <v>0.08</v>
      </c>
      <c r="Z402" s="21">
        <f t="shared" si="103"/>
        <v>0.08</v>
      </c>
      <c r="AA402" s="19">
        <v>1.0940000000000001</v>
      </c>
      <c r="AB402" s="19">
        <v>1.0840000000000001</v>
      </c>
      <c r="AC402" s="21">
        <f t="shared" si="104"/>
        <v>1.089</v>
      </c>
      <c r="AD402" s="19">
        <v>0.2</v>
      </c>
      <c r="AE402" s="19">
        <v>0.193</v>
      </c>
      <c r="AF402" s="21">
        <f t="shared" si="105"/>
        <v>0.19700000000000001</v>
      </c>
      <c r="AG402" s="30">
        <v>0.14099999999999999</v>
      </c>
      <c r="AH402" s="30">
        <v>0.151</v>
      </c>
      <c r="AI402" s="31">
        <f t="shared" si="106"/>
        <v>0.14599999999999999</v>
      </c>
      <c r="AJ402" s="30">
        <v>0.13900000000000001</v>
      </c>
      <c r="AK402" s="30">
        <v>0.14199999999999999</v>
      </c>
      <c r="AL402" s="31">
        <f t="shared" si="107"/>
        <v>0.14099999999999999</v>
      </c>
      <c r="AM402" s="19">
        <v>9.0210000000000008</v>
      </c>
      <c r="AN402" s="19">
        <v>9.0570000000000004</v>
      </c>
      <c r="AO402" s="21">
        <f t="shared" si="108"/>
        <v>9.0389999999999997</v>
      </c>
      <c r="AP402" s="46">
        <v>8.5300000000000001E-2</v>
      </c>
      <c r="AQ402" s="46">
        <v>8.3099999999999993E-2</v>
      </c>
      <c r="AR402" s="45">
        <f t="shared" si="109"/>
        <v>8.4199999999999997E-2</v>
      </c>
      <c r="AS402" s="95">
        <v>9.1300000000000008</v>
      </c>
      <c r="AT402" s="97">
        <v>8.59</v>
      </c>
    </row>
    <row r="403" spans="1:46">
      <c r="A403" s="7" t="s">
        <v>9</v>
      </c>
      <c r="B403" s="5" t="s">
        <v>57</v>
      </c>
      <c r="C403" s="6" t="s">
        <v>58</v>
      </c>
      <c r="D403" s="6" t="s">
        <v>59</v>
      </c>
      <c r="E403" s="23">
        <v>27.4</v>
      </c>
      <c r="F403" s="23">
        <v>7.2</v>
      </c>
      <c r="G403" s="41">
        <v>118</v>
      </c>
      <c r="H403" s="23">
        <v>8</v>
      </c>
      <c r="I403" s="23">
        <v>1</v>
      </c>
      <c r="J403" s="23">
        <v>3.6</v>
      </c>
      <c r="K403" s="15">
        <v>2.2999999999999998</v>
      </c>
      <c r="L403" s="15">
        <v>2.6</v>
      </c>
      <c r="M403" s="15"/>
      <c r="N403" s="20">
        <f t="shared" si="99"/>
        <v>2.5</v>
      </c>
      <c r="O403" s="37">
        <v>1.7</v>
      </c>
      <c r="P403" s="37">
        <v>1.6</v>
      </c>
      <c r="Q403" s="38">
        <f t="shared" si="100"/>
        <v>1.7</v>
      </c>
      <c r="R403" s="17">
        <v>0.75800000000000001</v>
      </c>
      <c r="S403" s="17">
        <v>0.753</v>
      </c>
      <c r="T403" s="22">
        <f t="shared" si="101"/>
        <v>0.75600000000000001</v>
      </c>
      <c r="U403" s="34">
        <v>0.628</v>
      </c>
      <c r="V403" s="34">
        <v>0.61699999999999999</v>
      </c>
      <c r="W403" s="33">
        <f t="shared" si="102"/>
        <v>0.623</v>
      </c>
      <c r="X403" s="17">
        <v>4.1000000000000002E-2</v>
      </c>
      <c r="Y403" s="17">
        <v>4.1000000000000002E-2</v>
      </c>
      <c r="Z403" s="21">
        <f t="shared" si="103"/>
        <v>4.1000000000000002E-2</v>
      </c>
      <c r="AA403" s="19">
        <v>0.51100000000000001</v>
      </c>
      <c r="AB403" s="19">
        <v>0.5</v>
      </c>
      <c r="AC403" s="21">
        <f t="shared" si="104"/>
        <v>0.50600000000000001</v>
      </c>
      <c r="AD403" s="19">
        <v>6.4000000000000001E-2</v>
      </c>
      <c r="AE403" s="19">
        <v>5.1999999999999998E-2</v>
      </c>
      <c r="AF403" s="21">
        <f t="shared" si="105"/>
        <v>5.8000000000000003E-2</v>
      </c>
      <c r="AG403" s="30">
        <v>2.5999999999999999E-2</v>
      </c>
      <c r="AH403" s="30">
        <v>2.1000000000000001E-2</v>
      </c>
      <c r="AI403" s="31">
        <f t="shared" si="106"/>
        <v>2.4E-2</v>
      </c>
      <c r="AJ403" s="30">
        <v>1.2999999999999999E-2</v>
      </c>
      <c r="AK403" s="30">
        <v>0.01</v>
      </c>
      <c r="AL403" s="31">
        <f t="shared" si="107"/>
        <v>1.2E-2</v>
      </c>
      <c r="AM403" s="19">
        <v>5.0069999999999997</v>
      </c>
      <c r="AN403" s="19">
        <v>5.0229999999999997</v>
      </c>
      <c r="AO403" s="21">
        <f t="shared" si="108"/>
        <v>5.0149999999999997</v>
      </c>
      <c r="AP403" s="46">
        <v>4.9099999999999998E-2</v>
      </c>
      <c r="AQ403" s="46">
        <v>4.7100000000000003E-2</v>
      </c>
      <c r="AR403" s="45">
        <f t="shared" si="109"/>
        <v>4.8099999999999997E-2</v>
      </c>
      <c r="AS403" s="95">
        <v>9.24</v>
      </c>
      <c r="AT403" s="3">
        <v>4.13</v>
      </c>
    </row>
    <row r="404" spans="1:46">
      <c r="A404" s="7" t="s">
        <v>10</v>
      </c>
      <c r="B404" s="5" t="s">
        <v>60</v>
      </c>
      <c r="C404" s="6" t="s">
        <v>61</v>
      </c>
      <c r="D404" s="6" t="s">
        <v>36</v>
      </c>
      <c r="E404" s="23">
        <v>28.1</v>
      </c>
      <c r="F404" s="23">
        <v>7.6</v>
      </c>
      <c r="G404" s="41">
        <v>139</v>
      </c>
      <c r="H404" s="23">
        <v>8.9</v>
      </c>
      <c r="I404" s="23">
        <v>0.4</v>
      </c>
      <c r="J404" s="23">
        <v>3.9</v>
      </c>
      <c r="K404" s="15">
        <v>2.9</v>
      </c>
      <c r="L404" s="15">
        <v>2.8</v>
      </c>
      <c r="M404" s="15"/>
      <c r="N404" s="20">
        <f t="shared" si="99"/>
        <v>2.9</v>
      </c>
      <c r="O404" s="37">
        <v>2.5</v>
      </c>
      <c r="P404" s="37">
        <v>2.5</v>
      </c>
      <c r="Q404" s="38">
        <f t="shared" si="100"/>
        <v>2.5</v>
      </c>
      <c r="R404" s="17">
        <v>1.173</v>
      </c>
      <c r="S404" s="17">
        <v>1.167</v>
      </c>
      <c r="T404" s="22">
        <f t="shared" si="101"/>
        <v>1.17</v>
      </c>
      <c r="U404" s="34">
        <v>1.085</v>
      </c>
      <c r="V404" s="34">
        <v>1.081</v>
      </c>
      <c r="W404" s="33">
        <f t="shared" si="102"/>
        <v>1.083</v>
      </c>
      <c r="X404" s="17">
        <v>2.1000000000000001E-2</v>
      </c>
      <c r="Y404" s="17">
        <v>2.1000000000000001E-2</v>
      </c>
      <c r="Z404" s="21">
        <f t="shared" si="103"/>
        <v>2.1000000000000001E-2</v>
      </c>
      <c r="AA404" s="19">
        <v>0.9</v>
      </c>
      <c r="AB404" s="19">
        <v>0.88800000000000001</v>
      </c>
      <c r="AC404" s="21">
        <f t="shared" si="104"/>
        <v>0.89400000000000002</v>
      </c>
      <c r="AD404" s="19">
        <v>0.11600000000000001</v>
      </c>
      <c r="AE404" s="19">
        <v>0.104</v>
      </c>
      <c r="AF404" s="21">
        <f t="shared" si="105"/>
        <v>0.11</v>
      </c>
      <c r="AG404" s="30">
        <v>8.5999999999999993E-2</v>
      </c>
      <c r="AH404" s="30">
        <v>8.7999999999999995E-2</v>
      </c>
      <c r="AI404" s="31">
        <f t="shared" si="106"/>
        <v>8.6999999999999994E-2</v>
      </c>
      <c r="AJ404" s="30">
        <v>8.4000000000000005E-2</v>
      </c>
      <c r="AK404" s="30">
        <v>8.3000000000000004E-2</v>
      </c>
      <c r="AL404" s="31">
        <f t="shared" si="107"/>
        <v>8.4000000000000005E-2</v>
      </c>
      <c r="AM404" s="19">
        <v>7.6710000000000003</v>
      </c>
      <c r="AN404" s="19">
        <v>7.6970000000000001</v>
      </c>
      <c r="AO404" s="21">
        <f t="shared" si="108"/>
        <v>7.6840000000000002</v>
      </c>
      <c r="AP404" s="46">
        <v>7.9200000000000007E-2</v>
      </c>
      <c r="AQ404" s="46">
        <v>7.6200000000000004E-2</v>
      </c>
      <c r="AR404" s="45">
        <f t="shared" si="109"/>
        <v>7.7700000000000005E-2</v>
      </c>
      <c r="AS404" s="95">
        <v>9.93</v>
      </c>
      <c r="AT404" s="97">
        <v>6.68</v>
      </c>
    </row>
    <row r="405" spans="1:46">
      <c r="A405" s="7" t="s">
        <v>11</v>
      </c>
      <c r="B405" s="5" t="s">
        <v>108</v>
      </c>
      <c r="C405" s="6" t="s">
        <v>62</v>
      </c>
      <c r="D405" s="6" t="s">
        <v>63</v>
      </c>
      <c r="E405" s="23">
        <v>27</v>
      </c>
      <c r="F405" s="23">
        <v>6.6</v>
      </c>
      <c r="G405" s="41">
        <v>194</v>
      </c>
      <c r="H405" s="23">
        <v>7.5</v>
      </c>
      <c r="I405" s="23">
        <v>0.7</v>
      </c>
      <c r="J405" s="23">
        <v>4.9000000000000004</v>
      </c>
      <c r="K405" s="15">
        <v>3.5</v>
      </c>
      <c r="L405" s="15">
        <v>3.3</v>
      </c>
      <c r="M405" s="15"/>
      <c r="N405" s="20">
        <f t="shared" si="99"/>
        <v>3.4</v>
      </c>
      <c r="O405" s="37">
        <v>2.7</v>
      </c>
      <c r="P405" s="37">
        <v>2.7</v>
      </c>
      <c r="Q405" s="38">
        <f t="shared" si="100"/>
        <v>2.7</v>
      </c>
      <c r="R405" s="17">
        <v>1.5009999999999999</v>
      </c>
      <c r="S405" s="17">
        <v>1.4710000000000001</v>
      </c>
      <c r="T405" s="22">
        <f t="shared" si="101"/>
        <v>1.486</v>
      </c>
      <c r="U405" s="34">
        <v>1.3440000000000001</v>
      </c>
      <c r="V405" s="34">
        <v>1.3340000000000001</v>
      </c>
      <c r="W405" s="33">
        <f t="shared" si="102"/>
        <v>1.339</v>
      </c>
      <c r="X405" s="17">
        <v>9.9000000000000005E-2</v>
      </c>
      <c r="Y405" s="17">
        <v>9.9000000000000005E-2</v>
      </c>
      <c r="Z405" s="21">
        <f t="shared" si="103"/>
        <v>9.9000000000000005E-2</v>
      </c>
      <c r="AA405" s="19">
        <v>1.0820000000000001</v>
      </c>
      <c r="AB405" s="19">
        <v>1.0680000000000001</v>
      </c>
      <c r="AC405" s="21">
        <f t="shared" si="104"/>
        <v>1.075</v>
      </c>
      <c r="AD405" s="19">
        <v>0.111</v>
      </c>
      <c r="AE405" s="19">
        <v>0.1</v>
      </c>
      <c r="AF405" s="21">
        <f t="shared" si="105"/>
        <v>0.106</v>
      </c>
      <c r="AG405" s="30">
        <v>7.0999999999999994E-2</v>
      </c>
      <c r="AH405" s="30">
        <v>6.7000000000000004E-2</v>
      </c>
      <c r="AI405" s="31">
        <f t="shared" si="106"/>
        <v>6.9000000000000006E-2</v>
      </c>
      <c r="AJ405" s="30">
        <v>0.06</v>
      </c>
      <c r="AK405" s="30">
        <v>5.8999999999999997E-2</v>
      </c>
      <c r="AL405" s="31">
        <f t="shared" si="107"/>
        <v>0.06</v>
      </c>
      <c r="AM405" s="19">
        <v>10.018000000000001</v>
      </c>
      <c r="AN405" s="19">
        <v>10.077999999999999</v>
      </c>
      <c r="AO405" s="21">
        <f t="shared" si="108"/>
        <v>10.048</v>
      </c>
      <c r="AP405" s="46">
        <v>8.9200000000000002E-2</v>
      </c>
      <c r="AQ405" s="46">
        <v>8.6699999999999999E-2</v>
      </c>
      <c r="AR405" s="45">
        <f t="shared" si="109"/>
        <v>8.7999999999999995E-2</v>
      </c>
      <c r="AS405" s="95">
        <v>9.4</v>
      </c>
      <c r="AT405" s="3">
        <v>4.03</v>
      </c>
    </row>
    <row r="406" spans="1:46">
      <c r="A406" s="7" t="s">
        <v>12</v>
      </c>
      <c r="B406" s="5" t="s">
        <v>64</v>
      </c>
      <c r="C406" s="6" t="s">
        <v>65</v>
      </c>
      <c r="D406" s="6" t="s">
        <v>36</v>
      </c>
      <c r="E406" s="23">
        <v>28.9</v>
      </c>
      <c r="F406" s="23">
        <v>6.7</v>
      </c>
      <c r="G406" s="41">
        <v>146</v>
      </c>
      <c r="H406" s="23">
        <v>6.3</v>
      </c>
      <c r="I406" s="23">
        <v>0.5</v>
      </c>
      <c r="J406" s="23">
        <v>4.5999999999999996</v>
      </c>
      <c r="K406" s="15">
        <v>3.3</v>
      </c>
      <c r="L406" s="15">
        <v>3.3</v>
      </c>
      <c r="M406" s="15"/>
      <c r="N406" s="20">
        <f t="shared" si="99"/>
        <v>3.3</v>
      </c>
      <c r="O406" s="37">
        <v>2.9</v>
      </c>
      <c r="P406" s="37">
        <v>2.9</v>
      </c>
      <c r="Q406" s="38">
        <f t="shared" si="100"/>
        <v>2.9</v>
      </c>
      <c r="R406" s="17">
        <v>1.171</v>
      </c>
      <c r="S406" s="17">
        <v>1.129</v>
      </c>
      <c r="T406" s="22">
        <f t="shared" si="101"/>
        <v>1.1499999999999999</v>
      </c>
      <c r="U406" s="34">
        <v>1.0469999999999999</v>
      </c>
      <c r="V406" s="34">
        <v>1.0269999999999999</v>
      </c>
      <c r="W406" s="33">
        <f t="shared" si="102"/>
        <v>1.0369999999999999</v>
      </c>
      <c r="X406" s="17">
        <v>4.2000000000000003E-2</v>
      </c>
      <c r="Y406" s="17">
        <v>4.4999999999999998E-2</v>
      </c>
      <c r="Z406" s="21">
        <f t="shared" si="103"/>
        <v>4.3999999999999997E-2</v>
      </c>
      <c r="AA406" s="19">
        <v>0.85399999999999998</v>
      </c>
      <c r="AB406" s="19">
        <v>0.83799999999999997</v>
      </c>
      <c r="AC406" s="21">
        <f t="shared" si="104"/>
        <v>0.84599999999999997</v>
      </c>
      <c r="AD406" s="19">
        <v>0.113</v>
      </c>
      <c r="AE406" s="19">
        <v>0.10100000000000001</v>
      </c>
      <c r="AF406" s="21">
        <f t="shared" si="105"/>
        <v>0.107</v>
      </c>
      <c r="AG406" s="30">
        <v>8.2000000000000003E-2</v>
      </c>
      <c r="AH406" s="30">
        <v>8.2000000000000003E-2</v>
      </c>
      <c r="AI406" s="31">
        <f t="shared" si="106"/>
        <v>8.2000000000000003E-2</v>
      </c>
      <c r="AJ406" s="30">
        <v>7.5999999999999998E-2</v>
      </c>
      <c r="AK406" s="30">
        <v>7.6999999999999999E-2</v>
      </c>
      <c r="AL406" s="31">
        <f t="shared" si="107"/>
        <v>7.6999999999999999E-2</v>
      </c>
      <c r="AM406" s="19">
        <v>8.3059999999999992</v>
      </c>
      <c r="AN406" s="19">
        <v>8.35</v>
      </c>
      <c r="AO406" s="21">
        <f t="shared" si="108"/>
        <v>8.3279999999999994</v>
      </c>
      <c r="AP406" s="46">
        <v>9.3200000000000005E-2</v>
      </c>
      <c r="AQ406" s="46">
        <v>9.0899999999999995E-2</v>
      </c>
      <c r="AR406" s="45">
        <f t="shared" si="109"/>
        <v>9.2100000000000001E-2</v>
      </c>
      <c r="AS406" s="3">
        <v>9.16</v>
      </c>
      <c r="AT406" s="97">
        <v>6.76</v>
      </c>
    </row>
    <row r="407" spans="1:46">
      <c r="A407" s="7" t="s">
        <v>13</v>
      </c>
      <c r="B407" s="5" t="s">
        <v>66</v>
      </c>
      <c r="C407" s="6" t="s">
        <v>44</v>
      </c>
      <c r="D407" s="6" t="s">
        <v>67</v>
      </c>
      <c r="E407" s="23">
        <v>26.8</v>
      </c>
      <c r="F407" s="23">
        <v>6.7</v>
      </c>
      <c r="G407" s="41">
        <v>162</v>
      </c>
      <c r="H407" s="23">
        <v>7.1</v>
      </c>
      <c r="I407" s="23">
        <v>0.7</v>
      </c>
      <c r="J407" s="23">
        <v>5.8</v>
      </c>
      <c r="K407" s="15">
        <v>4.0999999999999996</v>
      </c>
      <c r="L407" s="15">
        <v>4</v>
      </c>
      <c r="M407" s="15"/>
      <c r="N407" s="20">
        <f t="shared" si="99"/>
        <v>4.0999999999999996</v>
      </c>
      <c r="O407" s="37">
        <v>3.5</v>
      </c>
      <c r="P407" s="37">
        <v>3.4</v>
      </c>
      <c r="Q407" s="38">
        <f t="shared" si="100"/>
        <v>3.5</v>
      </c>
      <c r="R407" s="17">
        <v>1.29</v>
      </c>
      <c r="S407" s="17">
        <v>1.3149999999999999</v>
      </c>
      <c r="T407" s="22">
        <f t="shared" si="101"/>
        <v>1.3029999999999999</v>
      </c>
      <c r="U407" s="34">
        <v>1.1879999999999999</v>
      </c>
      <c r="V407" s="34">
        <v>1.198</v>
      </c>
      <c r="W407" s="33">
        <f t="shared" si="102"/>
        <v>1.1930000000000001</v>
      </c>
      <c r="X407" s="17">
        <v>4.8000000000000001E-2</v>
      </c>
      <c r="Y407" s="17">
        <v>4.8000000000000001E-2</v>
      </c>
      <c r="Z407" s="21">
        <f t="shared" si="103"/>
        <v>4.8000000000000001E-2</v>
      </c>
      <c r="AA407" s="19">
        <v>0.88600000000000001</v>
      </c>
      <c r="AB407" s="19">
        <v>0.877</v>
      </c>
      <c r="AC407" s="21">
        <f t="shared" si="104"/>
        <v>0.88200000000000001</v>
      </c>
      <c r="AD407" s="19">
        <v>9.7000000000000003E-2</v>
      </c>
      <c r="AE407" s="19">
        <v>8.5000000000000006E-2</v>
      </c>
      <c r="AF407" s="21">
        <f t="shared" si="105"/>
        <v>9.0999999999999998E-2</v>
      </c>
      <c r="AG407" s="30">
        <v>6.3E-2</v>
      </c>
      <c r="AH407" s="30">
        <v>6.3E-2</v>
      </c>
      <c r="AI407" s="31">
        <f t="shared" si="106"/>
        <v>6.3E-2</v>
      </c>
      <c r="AJ407" s="30">
        <v>0.05</v>
      </c>
      <c r="AK407" s="30">
        <v>4.9000000000000002E-2</v>
      </c>
      <c r="AL407" s="31">
        <f t="shared" si="107"/>
        <v>0.05</v>
      </c>
      <c r="AM407" s="19">
        <v>8.6890000000000001</v>
      </c>
      <c r="AN407" s="19">
        <v>8.7460000000000004</v>
      </c>
      <c r="AO407" s="21">
        <f t="shared" si="108"/>
        <v>8.718</v>
      </c>
      <c r="AP407" s="46">
        <v>0.1171</v>
      </c>
      <c r="AQ407" s="46">
        <v>0.114</v>
      </c>
      <c r="AR407" s="45">
        <f t="shared" si="109"/>
        <v>0.11559999999999999</v>
      </c>
      <c r="AS407" s="3">
        <v>9.92</v>
      </c>
      <c r="AT407" s="3">
        <v>5.32</v>
      </c>
    </row>
    <row r="408" spans="1:46">
      <c r="A408" s="7" t="s">
        <v>14</v>
      </c>
      <c r="B408" s="5" t="s">
        <v>64</v>
      </c>
      <c r="C408" s="6" t="s">
        <v>68</v>
      </c>
      <c r="D408" s="6" t="s">
        <v>36</v>
      </c>
      <c r="E408" s="23">
        <v>28.6</v>
      </c>
      <c r="F408" s="23">
        <v>6.8</v>
      </c>
      <c r="G408" s="41">
        <v>150</v>
      </c>
      <c r="H408" s="23">
        <v>6.7</v>
      </c>
      <c r="I408" s="23">
        <v>0.5</v>
      </c>
      <c r="J408" s="23">
        <v>5.0999999999999996</v>
      </c>
      <c r="K408" s="15">
        <v>3.6</v>
      </c>
      <c r="L408" s="15">
        <v>3.5</v>
      </c>
      <c r="M408" s="15"/>
      <c r="N408" s="20">
        <f t="shared" si="99"/>
        <v>3.6</v>
      </c>
      <c r="O408" s="37">
        <v>3.1</v>
      </c>
      <c r="P408" s="37">
        <v>3</v>
      </c>
      <c r="Q408" s="38">
        <f t="shared" si="100"/>
        <v>3.1</v>
      </c>
      <c r="R408" s="17">
        <v>1.323</v>
      </c>
      <c r="S408" s="17">
        <v>1.278</v>
      </c>
      <c r="T408" s="22">
        <f t="shared" si="101"/>
        <v>1.3009999999999999</v>
      </c>
      <c r="U408" s="34">
        <v>1.1930000000000001</v>
      </c>
      <c r="V408" s="34">
        <v>1.198</v>
      </c>
      <c r="W408" s="33">
        <f t="shared" si="102"/>
        <v>1.196</v>
      </c>
      <c r="X408" s="17">
        <v>0.05</v>
      </c>
      <c r="Y408" s="17">
        <v>0.05</v>
      </c>
      <c r="Z408" s="21">
        <f t="shared" si="103"/>
        <v>0.05</v>
      </c>
      <c r="AA408" s="19">
        <v>0.96</v>
      </c>
      <c r="AB408" s="19">
        <v>0.95299999999999996</v>
      </c>
      <c r="AC408" s="21">
        <f t="shared" si="104"/>
        <v>0.95699999999999996</v>
      </c>
      <c r="AD408" s="19">
        <v>0.14099999999999999</v>
      </c>
      <c r="AE408" s="19">
        <v>0.126</v>
      </c>
      <c r="AF408" s="21">
        <f t="shared" si="105"/>
        <v>0.13400000000000001</v>
      </c>
      <c r="AG408" s="30">
        <v>0.109</v>
      </c>
      <c r="AH408" s="30">
        <v>0.112</v>
      </c>
      <c r="AI408" s="31">
        <f t="shared" si="106"/>
        <v>0.111</v>
      </c>
      <c r="AJ408" s="30">
        <v>0.105</v>
      </c>
      <c r="AK408" s="30">
        <v>0.108</v>
      </c>
      <c r="AL408" s="31">
        <f t="shared" si="107"/>
        <v>0.107</v>
      </c>
      <c r="AM408" s="19">
        <v>8.3979999999999997</v>
      </c>
      <c r="AN408" s="19">
        <v>8.4280000000000008</v>
      </c>
      <c r="AO408" s="21">
        <f t="shared" si="108"/>
        <v>8.4130000000000003</v>
      </c>
      <c r="AP408" s="46">
        <v>9.9699999999999997E-2</v>
      </c>
      <c r="AQ408" s="46">
        <v>9.7699999999999995E-2</v>
      </c>
      <c r="AR408" s="45">
        <f t="shared" si="109"/>
        <v>9.8699999999999996E-2</v>
      </c>
      <c r="AS408" s="3">
        <v>9.57</v>
      </c>
      <c r="AT408" s="97">
        <v>4.54</v>
      </c>
    </row>
    <row r="409" spans="1:46">
      <c r="A409" s="7" t="s">
        <v>15</v>
      </c>
      <c r="B409" s="5" t="s">
        <v>69</v>
      </c>
      <c r="C409" s="6" t="s">
        <v>70</v>
      </c>
      <c r="D409" s="6" t="s">
        <v>71</v>
      </c>
      <c r="E409" s="23">
        <v>26.6</v>
      </c>
      <c r="F409" s="23">
        <v>6.8</v>
      </c>
      <c r="G409" s="41">
        <v>197</v>
      </c>
      <c r="H409" s="23">
        <v>6.6</v>
      </c>
      <c r="I409" s="23">
        <v>0.4</v>
      </c>
      <c r="J409" s="23">
        <v>4.7</v>
      </c>
      <c r="K409" s="15">
        <v>3.1</v>
      </c>
      <c r="L409" s="15">
        <v>3</v>
      </c>
      <c r="M409" s="15"/>
      <c r="N409" s="20">
        <f t="shared" si="99"/>
        <v>3.1</v>
      </c>
      <c r="O409" s="37">
        <v>2.6</v>
      </c>
      <c r="P409" s="37">
        <v>2.5</v>
      </c>
      <c r="Q409" s="38">
        <f t="shared" si="100"/>
        <v>2.6</v>
      </c>
      <c r="R409" s="17">
        <v>0.873</v>
      </c>
      <c r="S409" s="17">
        <v>0.871</v>
      </c>
      <c r="T409" s="22">
        <f t="shared" si="101"/>
        <v>0.872</v>
      </c>
      <c r="U409" s="34">
        <v>0.81299999999999994</v>
      </c>
      <c r="V409" s="34">
        <v>0.81799999999999995</v>
      </c>
      <c r="W409" s="33">
        <f t="shared" si="102"/>
        <v>0.81599999999999995</v>
      </c>
      <c r="X409" s="17">
        <v>1.4999999999999999E-2</v>
      </c>
      <c r="Y409" s="17">
        <v>1.6E-2</v>
      </c>
      <c r="Z409" s="21">
        <f t="shared" si="103"/>
        <v>1.6E-2</v>
      </c>
      <c r="AA409" s="19">
        <v>0.66900000000000004</v>
      </c>
      <c r="AB409" s="19">
        <v>0.66100000000000003</v>
      </c>
      <c r="AC409" s="21">
        <f t="shared" si="104"/>
        <v>0.66500000000000004</v>
      </c>
      <c r="AD409" s="19">
        <v>4.2000000000000003E-2</v>
      </c>
      <c r="AE409" s="19">
        <v>0.03</v>
      </c>
      <c r="AF409" s="21">
        <f t="shared" si="105"/>
        <v>3.5999999999999997E-2</v>
      </c>
      <c r="AG409" s="30">
        <v>2.1000000000000001E-2</v>
      </c>
      <c r="AH409" s="30">
        <v>1.9E-2</v>
      </c>
      <c r="AI409" s="31">
        <f t="shared" si="106"/>
        <v>0.02</v>
      </c>
      <c r="AJ409" s="30">
        <v>0.01</v>
      </c>
      <c r="AK409" s="30">
        <v>7.0000000000000001E-3</v>
      </c>
      <c r="AL409" s="31">
        <f t="shared" si="107"/>
        <v>8.9999999999999993E-3</v>
      </c>
      <c r="AM409" s="19">
        <v>5.3150000000000004</v>
      </c>
      <c r="AN409" s="19">
        <v>5.3410000000000002</v>
      </c>
      <c r="AO409" s="21">
        <f t="shared" si="108"/>
        <v>5.3280000000000003</v>
      </c>
      <c r="AP409" s="46">
        <v>7.6999999999999999E-2</v>
      </c>
      <c r="AQ409" s="46">
        <v>7.51E-2</v>
      </c>
      <c r="AR409" s="45">
        <f t="shared" si="109"/>
        <v>7.6100000000000001E-2</v>
      </c>
      <c r="AS409" s="3">
        <v>8.3699999999999992</v>
      </c>
      <c r="AT409" s="3">
        <v>2.06</v>
      </c>
    </row>
    <row r="410" spans="1:46">
      <c r="A410" s="7" t="s">
        <v>16</v>
      </c>
      <c r="B410" s="5" t="s">
        <v>72</v>
      </c>
      <c r="C410" s="6" t="s">
        <v>73</v>
      </c>
      <c r="D410" s="6" t="s">
        <v>36</v>
      </c>
      <c r="E410" s="23">
        <v>28.2</v>
      </c>
      <c r="F410" s="23">
        <v>7</v>
      </c>
      <c r="G410" s="41">
        <v>152</v>
      </c>
      <c r="H410" s="23">
        <v>8.3000000000000007</v>
      </c>
      <c r="I410" s="23">
        <v>0.7</v>
      </c>
      <c r="J410" s="23">
        <v>5.7</v>
      </c>
      <c r="K410" s="15">
        <v>4</v>
      </c>
      <c r="L410" s="15">
        <v>4</v>
      </c>
      <c r="M410" s="15"/>
      <c r="N410" s="20">
        <f t="shared" si="99"/>
        <v>4</v>
      </c>
      <c r="O410" s="37">
        <v>3.5</v>
      </c>
      <c r="P410" s="37">
        <v>3.4</v>
      </c>
      <c r="Q410" s="38">
        <f t="shared" si="100"/>
        <v>3.5</v>
      </c>
      <c r="R410" s="17">
        <v>1.403</v>
      </c>
      <c r="S410" s="17">
        <v>1.399</v>
      </c>
      <c r="T410" s="22">
        <f t="shared" si="101"/>
        <v>1.401</v>
      </c>
      <c r="U410" s="34">
        <v>1.278</v>
      </c>
      <c r="V410" s="34">
        <v>1.2669999999999999</v>
      </c>
      <c r="W410" s="33">
        <f t="shared" si="102"/>
        <v>1.2729999999999999</v>
      </c>
      <c r="X410" s="17">
        <v>4.5999999999999999E-2</v>
      </c>
      <c r="Y410" s="17">
        <v>4.7E-2</v>
      </c>
      <c r="Z410" s="21">
        <f t="shared" si="103"/>
        <v>4.7E-2</v>
      </c>
      <c r="AA410" s="19">
        <v>0.997</v>
      </c>
      <c r="AB410" s="19">
        <v>0.99</v>
      </c>
      <c r="AC410" s="21">
        <f t="shared" si="104"/>
        <v>0.99399999999999999</v>
      </c>
      <c r="AD410" s="19">
        <v>0.115</v>
      </c>
      <c r="AE410" s="19">
        <v>0.10199999999999999</v>
      </c>
      <c r="AF410" s="21">
        <f t="shared" si="105"/>
        <v>0.109</v>
      </c>
      <c r="AG410" s="30">
        <v>0.08</v>
      </c>
      <c r="AH410" s="30">
        <v>0.08</v>
      </c>
      <c r="AI410" s="31">
        <f t="shared" si="106"/>
        <v>0.08</v>
      </c>
      <c r="AJ410" s="30">
        <v>6.9000000000000006E-2</v>
      </c>
      <c r="AK410" s="30">
        <v>7.1999999999999995E-2</v>
      </c>
      <c r="AL410" s="31">
        <f t="shared" si="107"/>
        <v>7.0999999999999994E-2</v>
      </c>
      <c r="AM410" s="19">
        <v>7.4139999999999997</v>
      </c>
      <c r="AN410" s="19">
        <v>7.4329999999999998</v>
      </c>
      <c r="AO410" s="21">
        <f t="shared" si="108"/>
        <v>7.4240000000000004</v>
      </c>
      <c r="AP410" s="46">
        <v>0.114</v>
      </c>
      <c r="AQ410" s="46">
        <v>0.1116</v>
      </c>
      <c r="AR410" s="45">
        <f t="shared" si="109"/>
        <v>0.1128</v>
      </c>
      <c r="AS410" s="3">
        <v>7.99</v>
      </c>
      <c r="AT410" s="97">
        <v>4.2300000000000004</v>
      </c>
    </row>
    <row r="411" spans="1:46">
      <c r="A411" s="7" t="s">
        <v>17</v>
      </c>
      <c r="B411" s="5" t="s">
        <v>74</v>
      </c>
      <c r="C411" s="6" t="s">
        <v>75</v>
      </c>
      <c r="D411" s="6" t="s">
        <v>76</v>
      </c>
      <c r="E411" s="23">
        <v>28.5</v>
      </c>
      <c r="F411" s="23">
        <v>7</v>
      </c>
      <c r="G411" s="41">
        <v>231</v>
      </c>
      <c r="H411" s="23">
        <v>7.4</v>
      </c>
      <c r="I411" s="23">
        <v>0.7</v>
      </c>
      <c r="J411" s="23">
        <v>4.8</v>
      </c>
      <c r="K411" s="15">
        <v>3.6</v>
      </c>
      <c r="L411" s="15">
        <v>3.3</v>
      </c>
      <c r="M411" s="15"/>
      <c r="N411" s="20">
        <f t="shared" si="99"/>
        <v>3.5</v>
      </c>
      <c r="O411" s="37">
        <v>2.9</v>
      </c>
      <c r="P411" s="37">
        <v>2.9</v>
      </c>
      <c r="Q411" s="38">
        <f t="shared" si="100"/>
        <v>2.9</v>
      </c>
      <c r="R411" s="17">
        <v>1.42</v>
      </c>
      <c r="S411" s="17">
        <v>1.413</v>
      </c>
      <c r="T411" s="22">
        <f t="shared" si="101"/>
        <v>1.417</v>
      </c>
      <c r="U411" s="34">
        <v>1.2629999999999999</v>
      </c>
      <c r="V411" s="34">
        <v>1.2509999999999999</v>
      </c>
      <c r="W411" s="33">
        <f t="shared" si="102"/>
        <v>1.2569999999999999</v>
      </c>
      <c r="X411" s="17">
        <v>6.7000000000000004E-2</v>
      </c>
      <c r="Y411" s="17">
        <v>6.7000000000000004E-2</v>
      </c>
      <c r="Z411" s="21">
        <f t="shared" si="103"/>
        <v>6.7000000000000004E-2</v>
      </c>
      <c r="AA411" s="19">
        <v>1.0269999999999999</v>
      </c>
      <c r="AB411" s="19">
        <v>1.02</v>
      </c>
      <c r="AC411" s="21">
        <f t="shared" si="104"/>
        <v>1.024</v>
      </c>
      <c r="AD411" s="19">
        <v>0.12</v>
      </c>
      <c r="AE411" s="19">
        <v>0.108</v>
      </c>
      <c r="AF411" s="21">
        <f t="shared" si="105"/>
        <v>0.114</v>
      </c>
      <c r="AG411" s="30">
        <v>8.4000000000000005E-2</v>
      </c>
      <c r="AH411" s="30">
        <v>0.08</v>
      </c>
      <c r="AI411" s="31">
        <f t="shared" si="106"/>
        <v>8.2000000000000003E-2</v>
      </c>
      <c r="AJ411" s="30">
        <v>7.4999999999999997E-2</v>
      </c>
      <c r="AK411" s="30">
        <v>7.8E-2</v>
      </c>
      <c r="AL411" s="31">
        <f t="shared" si="107"/>
        <v>7.6999999999999999E-2</v>
      </c>
      <c r="AM411" s="19">
        <v>10.234</v>
      </c>
      <c r="AN411" s="19">
        <v>10.227</v>
      </c>
      <c r="AO411" s="21">
        <f t="shared" si="108"/>
        <v>10.231</v>
      </c>
      <c r="AP411" s="46">
        <v>9.5000000000000001E-2</v>
      </c>
      <c r="AQ411" s="46">
        <v>9.2700000000000005E-2</v>
      </c>
      <c r="AR411" s="45">
        <f t="shared" si="109"/>
        <v>9.3899999999999997E-2</v>
      </c>
      <c r="AS411" s="3">
        <v>10.210000000000001</v>
      </c>
      <c r="AT411" s="3">
        <v>3.52</v>
      </c>
    </row>
    <row r="412" spans="1:46">
      <c r="A412" s="7" t="s">
        <v>18</v>
      </c>
      <c r="B412" s="5" t="s">
        <v>109</v>
      </c>
      <c r="C412" s="6" t="s">
        <v>77</v>
      </c>
      <c r="D412" s="6" t="s">
        <v>36</v>
      </c>
      <c r="E412" s="23">
        <v>28.7</v>
      </c>
      <c r="F412" s="23">
        <v>7</v>
      </c>
      <c r="G412" s="41">
        <v>204</v>
      </c>
      <c r="H412" s="23">
        <v>7.1</v>
      </c>
      <c r="I412" s="23">
        <v>0.9</v>
      </c>
      <c r="J412" s="23">
        <v>5.6</v>
      </c>
      <c r="K412" s="15">
        <v>4.0999999999999996</v>
      </c>
      <c r="L412" s="15">
        <v>4</v>
      </c>
      <c r="M412" s="15"/>
      <c r="N412" s="20">
        <f t="shared" si="99"/>
        <v>4.0999999999999996</v>
      </c>
      <c r="O412" s="37">
        <v>3.4</v>
      </c>
      <c r="P412" s="37">
        <v>3.5</v>
      </c>
      <c r="Q412" s="38">
        <f t="shared" si="100"/>
        <v>3.5</v>
      </c>
      <c r="R412" s="17">
        <v>1.9650000000000001</v>
      </c>
      <c r="S412" s="17">
        <v>1.92</v>
      </c>
      <c r="T412" s="22">
        <f t="shared" si="101"/>
        <v>1.9430000000000001</v>
      </c>
      <c r="U412" s="34">
        <v>1.7949999999999999</v>
      </c>
      <c r="V412" s="34">
        <v>1.8029999999999999</v>
      </c>
      <c r="W412" s="33">
        <f t="shared" si="102"/>
        <v>1.7989999999999999</v>
      </c>
      <c r="X412" s="17">
        <v>0.16800000000000001</v>
      </c>
      <c r="Y412" s="17">
        <v>0.16600000000000001</v>
      </c>
      <c r="Z412" s="21">
        <f t="shared" si="103"/>
        <v>0.16700000000000001</v>
      </c>
      <c r="AA412" s="19">
        <v>1.365</v>
      </c>
      <c r="AB412" s="19">
        <v>1.3640000000000001</v>
      </c>
      <c r="AC412" s="21">
        <f t="shared" si="104"/>
        <v>1.365</v>
      </c>
      <c r="AD412" s="19">
        <v>0.16900000000000001</v>
      </c>
      <c r="AE412" s="19">
        <v>0.14899999999999999</v>
      </c>
      <c r="AF412" s="21">
        <f t="shared" si="105"/>
        <v>0.159</v>
      </c>
      <c r="AG412" s="30">
        <v>0.11899999999999999</v>
      </c>
      <c r="AH412" s="30">
        <v>0.125</v>
      </c>
      <c r="AI412" s="31">
        <f t="shared" si="106"/>
        <v>0.122</v>
      </c>
      <c r="AJ412" s="30">
        <v>0.111</v>
      </c>
      <c r="AK412" s="30">
        <v>0.11899999999999999</v>
      </c>
      <c r="AL412" s="31">
        <f t="shared" si="107"/>
        <v>0.115</v>
      </c>
      <c r="AM412" s="19">
        <v>11.401999999999999</v>
      </c>
      <c r="AN412" s="19">
        <v>11.378</v>
      </c>
      <c r="AO412" s="21">
        <f t="shared" si="108"/>
        <v>11.39</v>
      </c>
      <c r="AP412" s="46">
        <v>0.108</v>
      </c>
      <c r="AQ412" s="46">
        <v>0.10539999999999999</v>
      </c>
      <c r="AR412" s="45">
        <f t="shared" si="109"/>
        <v>0.1067</v>
      </c>
      <c r="AS412" s="3">
        <v>8.9700000000000006</v>
      </c>
      <c r="AT412" s="97">
        <v>2.99</v>
      </c>
    </row>
    <row r="413" spans="1:46">
      <c r="A413" s="7" t="s">
        <v>19</v>
      </c>
      <c r="B413" s="5" t="s">
        <v>78</v>
      </c>
      <c r="C413" s="6" t="s">
        <v>44</v>
      </c>
      <c r="D413" s="6" t="s">
        <v>79</v>
      </c>
      <c r="E413" s="23">
        <v>26.6</v>
      </c>
      <c r="F413" s="23">
        <v>6.9</v>
      </c>
      <c r="G413" s="41">
        <v>239</v>
      </c>
      <c r="H413" s="23">
        <v>7</v>
      </c>
      <c r="I413" s="23">
        <v>0.3</v>
      </c>
      <c r="J413" s="23">
        <v>3.5</v>
      </c>
      <c r="K413" s="15">
        <v>2.4</v>
      </c>
      <c r="L413" s="15">
        <v>2.2999999999999998</v>
      </c>
      <c r="M413" s="15"/>
      <c r="N413" s="20">
        <f t="shared" si="99"/>
        <v>2.4</v>
      </c>
      <c r="O413" s="37">
        <v>2</v>
      </c>
      <c r="P413" s="37">
        <v>2</v>
      </c>
      <c r="Q413" s="38">
        <f t="shared" si="100"/>
        <v>2</v>
      </c>
      <c r="R413" s="17">
        <v>1.163</v>
      </c>
      <c r="S413" s="17">
        <v>1.1140000000000001</v>
      </c>
      <c r="T413" s="22">
        <f t="shared" si="101"/>
        <v>1.139</v>
      </c>
      <c r="U413" s="34">
        <v>1.0820000000000001</v>
      </c>
      <c r="V413" s="34">
        <v>1.0629999999999999</v>
      </c>
      <c r="W413" s="33">
        <f t="shared" si="102"/>
        <v>1.073</v>
      </c>
      <c r="X413" s="17">
        <v>1.6E-2</v>
      </c>
      <c r="Y413" s="17">
        <v>1.4999999999999999E-2</v>
      </c>
      <c r="Z413" s="21">
        <f t="shared" si="103"/>
        <v>1.6E-2</v>
      </c>
      <c r="AA413" s="19">
        <v>0.90300000000000002</v>
      </c>
      <c r="AB413" s="19">
        <v>0.89900000000000002</v>
      </c>
      <c r="AC413" s="21">
        <f t="shared" si="104"/>
        <v>0.90100000000000002</v>
      </c>
      <c r="AD413" s="19">
        <v>4.8000000000000001E-2</v>
      </c>
      <c r="AE413" s="19">
        <v>3.6999999999999998E-2</v>
      </c>
      <c r="AF413" s="21">
        <f t="shared" si="105"/>
        <v>4.2999999999999997E-2</v>
      </c>
      <c r="AG413" s="30">
        <v>3.3000000000000002E-2</v>
      </c>
      <c r="AH413" s="30">
        <v>3.5999999999999997E-2</v>
      </c>
      <c r="AI413" s="31">
        <f t="shared" si="106"/>
        <v>3.5000000000000003E-2</v>
      </c>
      <c r="AJ413" s="30">
        <v>2.3E-2</v>
      </c>
      <c r="AK413" s="30">
        <v>2.1000000000000001E-2</v>
      </c>
      <c r="AL413" s="31">
        <f t="shared" si="107"/>
        <v>2.1999999999999999E-2</v>
      </c>
      <c r="AM413" s="19">
        <v>21.538</v>
      </c>
      <c r="AN413" s="19">
        <v>21.456</v>
      </c>
      <c r="AO413" s="21">
        <f t="shared" si="108"/>
        <v>21.497</v>
      </c>
      <c r="AP413" s="46">
        <v>5.6399999999999999E-2</v>
      </c>
      <c r="AQ413" s="46">
        <v>5.5100000000000003E-2</v>
      </c>
      <c r="AR413" s="45">
        <f t="shared" si="109"/>
        <v>5.5800000000000002E-2</v>
      </c>
      <c r="AS413" s="3">
        <v>14.28</v>
      </c>
      <c r="AT413" s="3">
        <v>2.68</v>
      </c>
    </row>
    <row r="414" spans="1:46">
      <c r="A414" s="7" t="s">
        <v>20</v>
      </c>
      <c r="B414" s="5" t="s">
        <v>80</v>
      </c>
      <c r="C414" s="6" t="s">
        <v>81</v>
      </c>
      <c r="D414" s="6" t="s">
        <v>36</v>
      </c>
      <c r="E414" s="23">
        <v>28.7</v>
      </c>
      <c r="F414" s="23">
        <v>7</v>
      </c>
      <c r="G414" s="41">
        <v>187</v>
      </c>
      <c r="H414" s="23">
        <v>7.9</v>
      </c>
      <c r="I414" s="23">
        <v>0.8</v>
      </c>
      <c r="J414" s="23">
        <v>5.8</v>
      </c>
      <c r="K414" s="15">
        <v>4.0999999999999996</v>
      </c>
      <c r="L414" s="15">
        <v>3.9</v>
      </c>
      <c r="M414" s="15"/>
      <c r="N414" s="20">
        <f t="shared" si="99"/>
        <v>4</v>
      </c>
      <c r="O414" s="37">
        <v>3.6</v>
      </c>
      <c r="P414" s="37">
        <v>3.5</v>
      </c>
      <c r="Q414" s="38">
        <f t="shared" si="100"/>
        <v>3.6</v>
      </c>
      <c r="R414" s="17">
        <v>2.1030000000000002</v>
      </c>
      <c r="S414" s="17">
        <v>2.073</v>
      </c>
      <c r="T414" s="22">
        <f t="shared" si="101"/>
        <v>2.0880000000000001</v>
      </c>
      <c r="U414" s="34">
        <v>1.9670000000000001</v>
      </c>
      <c r="V414" s="34">
        <v>1.954</v>
      </c>
      <c r="W414" s="33">
        <f t="shared" si="102"/>
        <v>1.9610000000000001</v>
      </c>
      <c r="X414" s="17">
        <v>0.114</v>
      </c>
      <c r="Y414" s="17">
        <v>0.113</v>
      </c>
      <c r="Z414" s="21">
        <f t="shared" si="103"/>
        <v>0.114</v>
      </c>
      <c r="AA414" s="19">
        <v>1.587</v>
      </c>
      <c r="AB414" s="19">
        <v>1.595</v>
      </c>
      <c r="AC414" s="21">
        <f t="shared" si="104"/>
        <v>1.591</v>
      </c>
      <c r="AD414" s="19">
        <v>0.16900000000000001</v>
      </c>
      <c r="AE414" s="19">
        <v>0.158</v>
      </c>
      <c r="AF414" s="21">
        <f t="shared" si="105"/>
        <v>0.16400000000000001</v>
      </c>
      <c r="AG414" s="30">
        <v>0.13700000000000001</v>
      </c>
      <c r="AH414" s="30">
        <v>0.13900000000000001</v>
      </c>
      <c r="AI414" s="31">
        <f t="shared" si="106"/>
        <v>0.13800000000000001</v>
      </c>
      <c r="AJ414" s="30">
        <v>0.126</v>
      </c>
      <c r="AK414" s="30">
        <v>0.128</v>
      </c>
      <c r="AL414" s="31">
        <f t="shared" si="107"/>
        <v>0.127</v>
      </c>
      <c r="AM414" s="19">
        <v>10.387</v>
      </c>
      <c r="AN414" s="19">
        <v>10.324</v>
      </c>
      <c r="AO414" s="21">
        <f t="shared" si="108"/>
        <v>10.356</v>
      </c>
      <c r="AP414" s="46">
        <v>0.1135</v>
      </c>
      <c r="AQ414" s="46">
        <v>0.1108</v>
      </c>
      <c r="AR414" s="45">
        <f t="shared" si="109"/>
        <v>0.11219999999999999</v>
      </c>
      <c r="AS414" s="3">
        <v>8.1999999999999993</v>
      </c>
      <c r="AT414" s="97">
        <v>3.7</v>
      </c>
    </row>
    <row r="415" spans="1:46">
      <c r="A415" s="7" t="s">
        <v>21</v>
      </c>
      <c r="B415" s="5" t="s">
        <v>82</v>
      </c>
      <c r="C415" s="6" t="s">
        <v>44</v>
      </c>
      <c r="D415" s="6" t="s">
        <v>83</v>
      </c>
      <c r="E415" s="23">
        <v>27.8</v>
      </c>
      <c r="F415" s="23">
        <v>7.1</v>
      </c>
      <c r="G415" s="41">
        <v>182</v>
      </c>
      <c r="H415" s="23">
        <v>7.3</v>
      </c>
      <c r="I415" s="23">
        <v>0.6</v>
      </c>
      <c r="J415" s="23">
        <v>5.6</v>
      </c>
      <c r="K415" s="15">
        <v>3.9</v>
      </c>
      <c r="L415" s="15">
        <v>3.9</v>
      </c>
      <c r="M415" s="15"/>
      <c r="N415" s="20">
        <f t="shared" si="99"/>
        <v>3.9</v>
      </c>
      <c r="O415" s="37">
        <v>3.9</v>
      </c>
      <c r="P415" s="37">
        <v>3.8</v>
      </c>
      <c r="Q415" s="38">
        <f t="shared" si="100"/>
        <v>3.9</v>
      </c>
      <c r="R415" s="17">
        <v>1.5640000000000001</v>
      </c>
      <c r="S415" s="17">
        <v>1.5089999999999999</v>
      </c>
      <c r="T415" s="22">
        <f t="shared" si="101"/>
        <v>1.5369999999999999</v>
      </c>
      <c r="U415" s="34">
        <v>1.423</v>
      </c>
      <c r="V415" s="34">
        <v>1.429</v>
      </c>
      <c r="W415" s="33">
        <f t="shared" si="102"/>
        <v>1.4259999999999999</v>
      </c>
      <c r="X415" s="17">
        <v>4.8000000000000001E-2</v>
      </c>
      <c r="Y415" s="17">
        <v>4.4999999999999998E-2</v>
      </c>
      <c r="Z415" s="21">
        <f t="shared" si="103"/>
        <v>4.7E-2</v>
      </c>
      <c r="AA415" s="19">
        <v>1.111</v>
      </c>
      <c r="AB415" s="19">
        <v>1.1140000000000001</v>
      </c>
      <c r="AC415" s="21">
        <f t="shared" si="104"/>
        <v>1.113</v>
      </c>
      <c r="AD415" s="19">
        <v>0.11700000000000001</v>
      </c>
      <c r="AE415" s="19">
        <v>0.114</v>
      </c>
      <c r="AF415" s="21">
        <f t="shared" si="105"/>
        <v>0.11600000000000001</v>
      </c>
      <c r="AG415" s="30">
        <v>9.6000000000000002E-2</v>
      </c>
      <c r="AH415" s="30">
        <v>8.6999999999999994E-2</v>
      </c>
      <c r="AI415" s="31">
        <f t="shared" si="106"/>
        <v>9.1999999999999998E-2</v>
      </c>
      <c r="AJ415" s="30">
        <v>7.8E-2</v>
      </c>
      <c r="AK415" s="30">
        <v>7.6999999999999999E-2</v>
      </c>
      <c r="AL415" s="31">
        <f t="shared" si="107"/>
        <v>7.8E-2</v>
      </c>
      <c r="AM415" s="19">
        <v>8.9039999999999999</v>
      </c>
      <c r="AN415" s="19">
        <v>8.8520000000000003</v>
      </c>
      <c r="AO415" s="21">
        <f t="shared" si="108"/>
        <v>8.8780000000000001</v>
      </c>
      <c r="AP415" s="46">
        <v>0.113</v>
      </c>
      <c r="AQ415" s="46">
        <v>0.1109</v>
      </c>
      <c r="AR415" s="45">
        <f t="shared" si="109"/>
        <v>0.112</v>
      </c>
      <c r="AS415" s="3">
        <v>8.4600000000000009</v>
      </c>
      <c r="AT415" s="3">
        <v>3.57</v>
      </c>
    </row>
    <row r="416" spans="1:46">
      <c r="A416" s="7" t="s">
        <v>22</v>
      </c>
      <c r="B416" s="5" t="s">
        <v>84</v>
      </c>
      <c r="C416" s="6" t="s">
        <v>85</v>
      </c>
      <c r="D416" s="6" t="s">
        <v>36</v>
      </c>
      <c r="E416" s="23">
        <v>28.3</v>
      </c>
      <c r="F416" s="23">
        <v>7</v>
      </c>
      <c r="G416" s="41">
        <v>187</v>
      </c>
      <c r="H416" s="23">
        <v>7.7</v>
      </c>
      <c r="I416" s="23">
        <v>1.1000000000000001</v>
      </c>
      <c r="J416" s="23">
        <v>5.7</v>
      </c>
      <c r="K416" s="15">
        <v>4</v>
      </c>
      <c r="L416" s="15">
        <v>4</v>
      </c>
      <c r="M416" s="15"/>
      <c r="N416" s="20">
        <f t="shared" si="99"/>
        <v>4</v>
      </c>
      <c r="O416" s="37">
        <v>3.9</v>
      </c>
      <c r="P416" s="37">
        <v>3.7</v>
      </c>
      <c r="Q416" s="38">
        <f t="shared" si="100"/>
        <v>3.8</v>
      </c>
      <c r="R416" s="17">
        <v>1.865</v>
      </c>
      <c r="S416" s="17">
        <v>1.84</v>
      </c>
      <c r="T416" s="22">
        <f t="shared" si="101"/>
        <v>1.853</v>
      </c>
      <c r="U416" s="34">
        <v>1.766</v>
      </c>
      <c r="V416" s="34">
        <v>1.788</v>
      </c>
      <c r="W416" s="33">
        <f t="shared" si="102"/>
        <v>1.7769999999999999</v>
      </c>
      <c r="X416" s="17">
        <v>6.2E-2</v>
      </c>
      <c r="Y416" s="17">
        <v>0.06</v>
      </c>
      <c r="Z416" s="21">
        <f t="shared" si="103"/>
        <v>6.0999999999999999E-2</v>
      </c>
      <c r="AA416" s="19">
        <v>1.4530000000000001</v>
      </c>
      <c r="AB416" s="19">
        <v>1.4590000000000001</v>
      </c>
      <c r="AC416" s="21">
        <f t="shared" si="104"/>
        <v>1.456</v>
      </c>
      <c r="AD416" s="19">
        <v>0.15</v>
      </c>
      <c r="AE416" s="19">
        <v>0.13300000000000001</v>
      </c>
      <c r="AF416" s="21">
        <f t="shared" si="105"/>
        <v>0.14199999999999999</v>
      </c>
      <c r="AG416" s="30">
        <v>0.114</v>
      </c>
      <c r="AH416" s="30">
        <v>0.11600000000000001</v>
      </c>
      <c r="AI416" s="31">
        <f t="shared" si="106"/>
        <v>0.115</v>
      </c>
      <c r="AJ416" s="30">
        <v>0.111</v>
      </c>
      <c r="AK416" s="30">
        <v>0.111</v>
      </c>
      <c r="AL416" s="31">
        <f t="shared" si="107"/>
        <v>0.111</v>
      </c>
      <c r="AM416" s="19">
        <v>9.8940000000000001</v>
      </c>
      <c r="AN416" s="19">
        <v>9.8209999999999997</v>
      </c>
      <c r="AO416" s="21">
        <f t="shared" si="108"/>
        <v>9.8580000000000005</v>
      </c>
      <c r="AP416" s="46">
        <v>0.112</v>
      </c>
      <c r="AQ416" s="46">
        <v>0.10929999999999999</v>
      </c>
      <c r="AR416" s="45">
        <f t="shared" si="109"/>
        <v>0.11070000000000001</v>
      </c>
      <c r="AS416" s="3">
        <v>8.2200000000000006</v>
      </c>
      <c r="AT416" s="97">
        <v>4.79</v>
      </c>
    </row>
    <row r="417" spans="1:46">
      <c r="A417" s="7" t="s">
        <v>23</v>
      </c>
      <c r="B417" s="5" t="s">
        <v>86</v>
      </c>
      <c r="C417" s="6" t="s">
        <v>87</v>
      </c>
      <c r="D417" s="6" t="s">
        <v>88</v>
      </c>
      <c r="E417" s="23">
        <v>26.6</v>
      </c>
      <c r="F417" s="23">
        <v>7.3</v>
      </c>
      <c r="G417" s="41">
        <v>185</v>
      </c>
      <c r="H417" s="23">
        <v>7</v>
      </c>
      <c r="I417" s="23">
        <v>0.8</v>
      </c>
      <c r="J417" s="23">
        <v>5.4</v>
      </c>
      <c r="K417" s="15">
        <v>3.9</v>
      </c>
      <c r="L417" s="15">
        <v>3.8</v>
      </c>
      <c r="M417" s="15"/>
      <c r="N417" s="20">
        <f t="shared" si="99"/>
        <v>3.9</v>
      </c>
      <c r="O417" s="37">
        <v>3.6</v>
      </c>
      <c r="P417" s="37">
        <v>3.5</v>
      </c>
      <c r="Q417" s="38">
        <f t="shared" si="100"/>
        <v>3.6</v>
      </c>
      <c r="R417" s="17">
        <v>1.0009999999999999</v>
      </c>
      <c r="S417" s="17">
        <v>0.97599999999999998</v>
      </c>
      <c r="T417" s="22">
        <f t="shared" si="101"/>
        <v>0.98899999999999999</v>
      </c>
      <c r="U417" s="34">
        <v>0.94299999999999995</v>
      </c>
      <c r="V417" s="34">
        <v>0.95</v>
      </c>
      <c r="W417" s="33">
        <f t="shared" si="102"/>
        <v>0.94699999999999995</v>
      </c>
      <c r="X417" s="17">
        <v>0.03</v>
      </c>
      <c r="Y417" s="17">
        <v>0.03</v>
      </c>
      <c r="Z417" s="21">
        <f t="shared" si="103"/>
        <v>0.03</v>
      </c>
      <c r="AA417" s="19">
        <v>0.64600000000000002</v>
      </c>
      <c r="AB417" s="19">
        <v>0.65</v>
      </c>
      <c r="AC417" s="21">
        <f t="shared" si="104"/>
        <v>0.64800000000000002</v>
      </c>
      <c r="AD417" s="19">
        <v>0.104</v>
      </c>
      <c r="AE417" s="19">
        <v>9.4E-2</v>
      </c>
      <c r="AF417" s="21">
        <f t="shared" si="105"/>
        <v>9.9000000000000005E-2</v>
      </c>
      <c r="AG417" s="30">
        <v>7.9000000000000001E-2</v>
      </c>
      <c r="AH417" s="30">
        <v>7.9000000000000001E-2</v>
      </c>
      <c r="AI417" s="31">
        <f t="shared" si="106"/>
        <v>7.9000000000000001E-2</v>
      </c>
      <c r="AJ417" s="30">
        <v>7.1999999999999995E-2</v>
      </c>
      <c r="AK417" s="30">
        <v>7.0999999999999994E-2</v>
      </c>
      <c r="AL417" s="31">
        <f t="shared" si="107"/>
        <v>7.1999999999999995E-2</v>
      </c>
      <c r="AM417" s="19">
        <v>9.5370000000000008</v>
      </c>
      <c r="AN417" s="19">
        <v>9.4789999999999992</v>
      </c>
      <c r="AO417" s="21">
        <f t="shared" si="108"/>
        <v>9.5079999999999991</v>
      </c>
      <c r="AP417" s="46">
        <v>0.1077</v>
      </c>
      <c r="AQ417" s="46">
        <v>0.1053</v>
      </c>
      <c r="AR417" s="45">
        <f t="shared" si="109"/>
        <v>0.1065</v>
      </c>
      <c r="AS417" s="3">
        <v>9.67</v>
      </c>
      <c r="AT417" s="3">
        <v>4.28</v>
      </c>
    </row>
    <row r="418" spans="1:46">
      <c r="A418" s="7" t="s">
        <v>24</v>
      </c>
      <c r="B418" s="5" t="s">
        <v>89</v>
      </c>
      <c r="C418" s="6" t="s">
        <v>42</v>
      </c>
      <c r="D418" s="6" t="s">
        <v>36</v>
      </c>
      <c r="E418" s="23">
        <v>28.9</v>
      </c>
      <c r="F418" s="23">
        <v>6.9</v>
      </c>
      <c r="G418" s="41">
        <v>199</v>
      </c>
      <c r="H418" s="23">
        <v>8.1</v>
      </c>
      <c r="I418" s="23">
        <v>1</v>
      </c>
      <c r="J418" s="23">
        <v>5.6</v>
      </c>
      <c r="K418" s="15">
        <v>3.9</v>
      </c>
      <c r="L418" s="15">
        <v>3.9</v>
      </c>
      <c r="M418" s="15"/>
      <c r="N418" s="20">
        <f t="shared" si="99"/>
        <v>3.9</v>
      </c>
      <c r="O418" s="37">
        <v>3.6</v>
      </c>
      <c r="P418" s="37">
        <v>3.5</v>
      </c>
      <c r="Q418" s="38">
        <f t="shared" si="100"/>
        <v>3.6</v>
      </c>
      <c r="R418" s="17">
        <v>2.097</v>
      </c>
      <c r="S418" s="17">
        <v>2.0760000000000001</v>
      </c>
      <c r="T418" s="22">
        <f t="shared" si="101"/>
        <v>2.0870000000000002</v>
      </c>
      <c r="U418" s="34">
        <v>2.0059999999999998</v>
      </c>
      <c r="V418" s="34">
        <v>2.0190000000000001</v>
      </c>
      <c r="W418" s="33">
        <f t="shared" si="102"/>
        <v>2.0129999999999999</v>
      </c>
      <c r="X418" s="17">
        <v>3.9E-2</v>
      </c>
      <c r="Y418" s="17">
        <v>4.1000000000000002E-2</v>
      </c>
      <c r="Z418" s="21">
        <f t="shared" si="103"/>
        <v>0.04</v>
      </c>
      <c r="AA418" s="19">
        <v>1.7030000000000001</v>
      </c>
      <c r="AB418" s="19">
        <v>1.7070000000000001</v>
      </c>
      <c r="AC418" s="21">
        <f t="shared" si="104"/>
        <v>1.7050000000000001</v>
      </c>
      <c r="AD418" s="19">
        <v>0.153</v>
      </c>
      <c r="AE418" s="19">
        <v>0.14899999999999999</v>
      </c>
      <c r="AF418" s="21">
        <f t="shared" si="105"/>
        <v>0.151</v>
      </c>
      <c r="AG418" s="30">
        <v>0.11899999999999999</v>
      </c>
      <c r="AH418" s="30">
        <v>0.11700000000000001</v>
      </c>
      <c r="AI418" s="31">
        <f t="shared" si="106"/>
        <v>0.11799999999999999</v>
      </c>
      <c r="AJ418" s="30">
        <v>0.114</v>
      </c>
      <c r="AK418" s="30">
        <v>0.114</v>
      </c>
      <c r="AL418" s="31">
        <f t="shared" si="107"/>
        <v>0.114</v>
      </c>
      <c r="AM418" s="19">
        <v>10.654999999999999</v>
      </c>
      <c r="AN418" s="19">
        <v>10.589</v>
      </c>
      <c r="AO418" s="21">
        <f t="shared" si="108"/>
        <v>10.622</v>
      </c>
      <c r="AP418" s="46">
        <v>0.1084</v>
      </c>
      <c r="AQ418" s="46">
        <v>0.1051</v>
      </c>
      <c r="AR418" s="45">
        <f t="shared" si="109"/>
        <v>0.10680000000000001</v>
      </c>
      <c r="AS418" s="3">
        <v>8.64</v>
      </c>
      <c r="AT418" s="97">
        <v>5.61</v>
      </c>
    </row>
    <row r="419" spans="1:46">
      <c r="A419" s="7" t="s">
        <v>25</v>
      </c>
      <c r="B419" s="5" t="s">
        <v>90</v>
      </c>
      <c r="C419" s="6" t="s">
        <v>44</v>
      </c>
      <c r="D419" s="6" t="s">
        <v>91</v>
      </c>
      <c r="E419" s="23">
        <v>26.5</v>
      </c>
      <c r="F419" s="23">
        <v>6.8</v>
      </c>
      <c r="G419" s="41">
        <v>240</v>
      </c>
      <c r="H419" s="23">
        <v>7.1</v>
      </c>
      <c r="I419" s="23">
        <v>0.9</v>
      </c>
      <c r="J419" s="23">
        <v>4.9000000000000004</v>
      </c>
      <c r="K419" s="15">
        <v>3.1</v>
      </c>
      <c r="L419" s="15">
        <v>3.1</v>
      </c>
      <c r="M419" s="15"/>
      <c r="N419" s="20">
        <f t="shared" si="99"/>
        <v>3.1</v>
      </c>
      <c r="O419" s="37">
        <v>3</v>
      </c>
      <c r="P419" s="37">
        <v>2.9</v>
      </c>
      <c r="Q419" s="38">
        <f t="shared" si="100"/>
        <v>3</v>
      </c>
      <c r="R419" s="17">
        <v>1.6140000000000001</v>
      </c>
      <c r="S419" s="17">
        <v>1.5940000000000001</v>
      </c>
      <c r="T419" s="22">
        <f t="shared" si="101"/>
        <v>1.6040000000000001</v>
      </c>
      <c r="U419" s="34">
        <v>1.522</v>
      </c>
      <c r="V419" s="34">
        <v>1.5</v>
      </c>
      <c r="W419" s="33">
        <f t="shared" si="102"/>
        <v>1.5109999999999999</v>
      </c>
      <c r="X419" s="17">
        <v>3.7999999999999999E-2</v>
      </c>
      <c r="Y419" s="17">
        <v>3.7999999999999999E-2</v>
      </c>
      <c r="Z419" s="21">
        <f t="shared" si="103"/>
        <v>3.7999999999999999E-2</v>
      </c>
      <c r="AA419" s="19">
        <v>1.274</v>
      </c>
      <c r="AB419" s="19">
        <v>1.29</v>
      </c>
      <c r="AC419" s="21">
        <f t="shared" si="104"/>
        <v>1.282</v>
      </c>
      <c r="AD419" s="19">
        <v>7.4999999999999997E-2</v>
      </c>
      <c r="AE419" s="19">
        <v>6.7000000000000004E-2</v>
      </c>
      <c r="AF419" s="21">
        <f t="shared" si="105"/>
        <v>7.0999999999999994E-2</v>
      </c>
      <c r="AG419" s="30">
        <v>5.2999999999999999E-2</v>
      </c>
      <c r="AH419" s="30">
        <v>0.05</v>
      </c>
      <c r="AI419" s="31">
        <f t="shared" si="106"/>
        <v>5.1999999999999998E-2</v>
      </c>
      <c r="AJ419" s="30">
        <v>4.2000000000000003E-2</v>
      </c>
      <c r="AK419" s="30">
        <v>0.04</v>
      </c>
      <c r="AL419" s="31">
        <f t="shared" si="107"/>
        <v>4.1000000000000002E-2</v>
      </c>
      <c r="AM419" s="19">
        <v>12.965</v>
      </c>
      <c r="AN419" s="19">
        <v>12.848000000000001</v>
      </c>
      <c r="AO419" s="21">
        <f t="shared" si="108"/>
        <v>12.907</v>
      </c>
      <c r="AP419" s="46">
        <v>8.4099999999999994E-2</v>
      </c>
      <c r="AQ419" s="46">
        <v>8.0799999999999997E-2</v>
      </c>
      <c r="AR419" s="45">
        <f t="shared" si="109"/>
        <v>8.2500000000000004E-2</v>
      </c>
      <c r="AS419" s="3">
        <v>10.41</v>
      </c>
      <c r="AT419" s="3">
        <v>3.55</v>
      </c>
    </row>
    <row r="420" spans="1:46">
      <c r="A420" s="7" t="s">
        <v>26</v>
      </c>
      <c r="B420" s="5" t="s">
        <v>92</v>
      </c>
      <c r="C420" s="6" t="s">
        <v>93</v>
      </c>
      <c r="D420" s="6" t="s">
        <v>36</v>
      </c>
      <c r="E420" s="23">
        <v>28.9</v>
      </c>
      <c r="F420" s="23">
        <v>6.5</v>
      </c>
      <c r="G420" s="41">
        <v>179</v>
      </c>
      <c r="H420" s="23">
        <v>6.9</v>
      </c>
      <c r="I420" s="23">
        <v>1</v>
      </c>
      <c r="J420" s="23">
        <v>5.9</v>
      </c>
      <c r="K420" s="15">
        <v>4.2</v>
      </c>
      <c r="L420" s="15">
        <v>4</v>
      </c>
      <c r="M420" s="15"/>
      <c r="N420" s="20">
        <f t="shared" si="99"/>
        <v>4.0999999999999996</v>
      </c>
      <c r="O420" s="37">
        <v>3.9</v>
      </c>
      <c r="P420" s="37">
        <v>3.8</v>
      </c>
      <c r="Q420" s="38">
        <f t="shared" si="100"/>
        <v>3.9</v>
      </c>
      <c r="R420" s="17">
        <v>1.81</v>
      </c>
      <c r="S420" s="17">
        <v>1.772</v>
      </c>
      <c r="T420" s="22">
        <f t="shared" si="101"/>
        <v>1.7909999999999999</v>
      </c>
      <c r="U420" s="34">
        <v>1.7</v>
      </c>
      <c r="V420" s="34">
        <v>1.6910000000000001</v>
      </c>
      <c r="W420" s="33">
        <f t="shared" si="102"/>
        <v>1.696</v>
      </c>
      <c r="X420" s="17">
        <v>7.1999999999999995E-2</v>
      </c>
      <c r="Y420" s="17">
        <v>7.2999999999999995E-2</v>
      </c>
      <c r="Z420" s="21">
        <f t="shared" si="103"/>
        <v>7.2999999999999995E-2</v>
      </c>
      <c r="AA420" s="19">
        <v>1.3420000000000001</v>
      </c>
      <c r="AB420" s="19">
        <v>1.3520000000000001</v>
      </c>
      <c r="AC420" s="21">
        <f t="shared" si="104"/>
        <v>1.347</v>
      </c>
      <c r="AD420" s="19">
        <v>0.16600000000000001</v>
      </c>
      <c r="AE420" s="19">
        <v>0.154</v>
      </c>
      <c r="AF420" s="21">
        <f t="shared" si="105"/>
        <v>0.16</v>
      </c>
      <c r="AG420" s="30">
        <v>0.13400000000000001</v>
      </c>
      <c r="AH420" s="30">
        <v>0.13700000000000001</v>
      </c>
      <c r="AI420" s="31">
        <f t="shared" si="106"/>
        <v>0.13600000000000001</v>
      </c>
      <c r="AJ420" s="30">
        <v>0.13100000000000001</v>
      </c>
      <c r="AK420" s="30">
        <v>0.13200000000000001</v>
      </c>
      <c r="AL420" s="31">
        <f t="shared" si="107"/>
        <v>0.13200000000000001</v>
      </c>
      <c r="AM420" s="19">
        <v>9.3729999999999993</v>
      </c>
      <c r="AN420" s="19">
        <v>9.3059999999999992</v>
      </c>
      <c r="AO420" s="21">
        <f t="shared" si="108"/>
        <v>9.34</v>
      </c>
      <c r="AP420" s="46">
        <v>0.1197</v>
      </c>
      <c r="AQ420" s="46">
        <v>0.1154</v>
      </c>
      <c r="AR420" s="45">
        <f t="shared" si="109"/>
        <v>0.1176</v>
      </c>
      <c r="AS420" s="3">
        <v>8.1300000000000008</v>
      </c>
      <c r="AT420" s="97">
        <v>4.6900000000000004</v>
      </c>
    </row>
    <row r="421" spans="1:46">
      <c r="A421" s="7" t="s">
        <v>27</v>
      </c>
      <c r="B421" s="5" t="s">
        <v>94</v>
      </c>
      <c r="C421" s="6" t="s">
        <v>95</v>
      </c>
      <c r="D421" s="6" t="s">
        <v>96</v>
      </c>
      <c r="E421" s="23">
        <v>25.4</v>
      </c>
      <c r="F421" s="23">
        <v>7.5</v>
      </c>
      <c r="G421" s="41">
        <v>187</v>
      </c>
      <c r="H421" s="23">
        <v>4.2</v>
      </c>
      <c r="I421" s="23">
        <v>0.7</v>
      </c>
      <c r="J421" s="23">
        <v>3</v>
      </c>
      <c r="K421" s="15">
        <v>2.2999999999999998</v>
      </c>
      <c r="L421" s="15">
        <v>2.1</v>
      </c>
      <c r="M421" s="15"/>
      <c r="N421" s="20">
        <f t="shared" si="99"/>
        <v>2.2000000000000002</v>
      </c>
      <c r="O421" s="37">
        <v>2.1</v>
      </c>
      <c r="P421" s="37">
        <v>1.9</v>
      </c>
      <c r="Q421" s="38">
        <f t="shared" si="100"/>
        <v>2</v>
      </c>
      <c r="R421" s="17">
        <v>0.27300000000000002</v>
      </c>
      <c r="S421" s="17">
        <v>0.27200000000000002</v>
      </c>
      <c r="T421" s="22">
        <f t="shared" si="101"/>
        <v>0.27300000000000002</v>
      </c>
      <c r="U421" s="34">
        <v>0.24</v>
      </c>
      <c r="V421" s="34">
        <v>0.22600000000000001</v>
      </c>
      <c r="W421" s="33">
        <f t="shared" si="102"/>
        <v>0.23300000000000001</v>
      </c>
      <c r="X421" s="17">
        <v>2.1999999999999999E-2</v>
      </c>
      <c r="Y421" s="17">
        <v>2.3E-2</v>
      </c>
      <c r="Z421" s="21">
        <f t="shared" si="103"/>
        <v>2.3E-2</v>
      </c>
      <c r="AA421" s="19">
        <v>0.104</v>
      </c>
      <c r="AB421" s="19">
        <v>0.104</v>
      </c>
      <c r="AC421" s="21">
        <f t="shared" si="104"/>
        <v>0.104</v>
      </c>
      <c r="AD421" s="19">
        <v>6.7000000000000004E-2</v>
      </c>
      <c r="AE421" s="19">
        <v>5.8999999999999997E-2</v>
      </c>
      <c r="AF421" s="21">
        <f t="shared" si="105"/>
        <v>6.3E-2</v>
      </c>
      <c r="AG421" s="30">
        <v>4.3999999999999997E-2</v>
      </c>
      <c r="AH421" s="30">
        <v>4.1000000000000002E-2</v>
      </c>
      <c r="AI421" s="31">
        <f t="shared" si="106"/>
        <v>4.2999999999999997E-2</v>
      </c>
      <c r="AJ421" s="30">
        <v>3.5000000000000003E-2</v>
      </c>
      <c r="AK421" s="30">
        <v>3.3000000000000002E-2</v>
      </c>
      <c r="AL421" s="31">
        <f t="shared" si="107"/>
        <v>3.4000000000000002E-2</v>
      </c>
      <c r="AM421" s="19">
        <v>8.7810000000000006</v>
      </c>
      <c r="AN421" s="19">
        <v>8.7140000000000004</v>
      </c>
      <c r="AO421" s="21">
        <f t="shared" si="108"/>
        <v>8.7479999999999993</v>
      </c>
      <c r="AP421" s="46">
        <v>5.8700000000000002E-2</v>
      </c>
      <c r="AQ421" s="46">
        <v>5.7700000000000001E-2</v>
      </c>
      <c r="AR421" s="45">
        <f t="shared" si="109"/>
        <v>5.8200000000000002E-2</v>
      </c>
      <c r="AS421" s="3">
        <v>10.73</v>
      </c>
      <c r="AT421" s="3">
        <v>5.16</v>
      </c>
    </row>
    <row r="422" spans="1:46">
      <c r="A422" s="7" t="s">
        <v>28</v>
      </c>
      <c r="B422" s="5" t="s">
        <v>97</v>
      </c>
      <c r="C422" s="6" t="s">
        <v>98</v>
      </c>
      <c r="D422" s="6" t="s">
        <v>36</v>
      </c>
      <c r="E422" s="23">
        <v>28.9</v>
      </c>
      <c r="F422" s="23">
        <v>7.2</v>
      </c>
      <c r="G422" s="41">
        <v>189</v>
      </c>
      <c r="H422" s="23">
        <v>6.5</v>
      </c>
      <c r="I422" s="23">
        <v>2.1</v>
      </c>
      <c r="J422" s="23">
        <v>5.6</v>
      </c>
      <c r="K422" s="15">
        <v>4</v>
      </c>
      <c r="L422" s="15">
        <v>4.0999999999999996</v>
      </c>
      <c r="M422" s="15"/>
      <c r="N422" s="20">
        <f t="shared" si="99"/>
        <v>4.0999999999999996</v>
      </c>
      <c r="O422" s="37">
        <v>3.8</v>
      </c>
      <c r="P422" s="37">
        <v>3.7</v>
      </c>
      <c r="Q422" s="38">
        <f t="shared" si="100"/>
        <v>3.8</v>
      </c>
      <c r="R422" s="17">
        <v>1.68</v>
      </c>
      <c r="S422" s="17">
        <v>1.67</v>
      </c>
      <c r="T422" s="22">
        <f t="shared" si="101"/>
        <v>1.675</v>
      </c>
      <c r="U422" s="34">
        <v>1.552</v>
      </c>
      <c r="V422" s="34">
        <v>1.5660000000000001</v>
      </c>
      <c r="W422" s="33">
        <f t="shared" si="102"/>
        <v>1.5589999999999999</v>
      </c>
      <c r="X422" s="17">
        <v>5.8999999999999997E-2</v>
      </c>
      <c r="Y422" s="17">
        <v>5.8999999999999997E-2</v>
      </c>
      <c r="Z422" s="21">
        <f t="shared" si="103"/>
        <v>5.8999999999999997E-2</v>
      </c>
      <c r="AA422" s="19">
        <v>1.224</v>
      </c>
      <c r="AB422" s="19">
        <v>1.23</v>
      </c>
      <c r="AC422" s="21">
        <f t="shared" si="104"/>
        <v>1.2270000000000001</v>
      </c>
      <c r="AD422" s="19">
        <v>0.14699999999999999</v>
      </c>
      <c r="AE422" s="19">
        <v>0.13800000000000001</v>
      </c>
      <c r="AF422" s="21">
        <f t="shared" si="105"/>
        <v>0.14299999999999999</v>
      </c>
      <c r="AG422" s="30">
        <v>0.107</v>
      </c>
      <c r="AH422" s="30">
        <v>0.114</v>
      </c>
      <c r="AI422" s="31">
        <f t="shared" si="106"/>
        <v>0.111</v>
      </c>
      <c r="AJ422" s="30">
        <v>0.105</v>
      </c>
      <c r="AK422" s="30">
        <v>0.11</v>
      </c>
      <c r="AL422" s="31">
        <f t="shared" si="107"/>
        <v>0.108</v>
      </c>
      <c r="AM422" s="19">
        <v>9.1890000000000001</v>
      </c>
      <c r="AN422" s="19">
        <v>9.1210000000000004</v>
      </c>
      <c r="AO422" s="21">
        <f t="shared" si="108"/>
        <v>9.1549999999999994</v>
      </c>
      <c r="AP422" s="46">
        <v>0.1154</v>
      </c>
      <c r="AQ422" s="46">
        <v>0.1118</v>
      </c>
      <c r="AR422" s="45">
        <f t="shared" si="109"/>
        <v>0.11360000000000001</v>
      </c>
      <c r="AS422" s="3">
        <v>8.43</v>
      </c>
      <c r="AT422" s="97">
        <v>4.5199999999999996</v>
      </c>
    </row>
    <row r="423" spans="1:46">
      <c r="A423" s="7" t="s">
        <v>29</v>
      </c>
      <c r="B423" s="5" t="s">
        <v>99</v>
      </c>
      <c r="C423" s="6" t="s">
        <v>44</v>
      </c>
      <c r="D423" s="6" t="s">
        <v>100</v>
      </c>
      <c r="E423" s="23">
        <v>28.4</v>
      </c>
      <c r="F423" s="23">
        <v>7.9</v>
      </c>
      <c r="G423" s="41">
        <v>278</v>
      </c>
      <c r="H423" s="23">
        <v>4.4000000000000004</v>
      </c>
      <c r="I423" s="23">
        <v>1.4</v>
      </c>
      <c r="J423" s="23">
        <v>7.3</v>
      </c>
      <c r="K423" s="15">
        <v>5.0999999999999996</v>
      </c>
      <c r="L423" s="15">
        <v>4.8</v>
      </c>
      <c r="M423" s="15"/>
      <c r="N423" s="20">
        <f t="shared" si="99"/>
        <v>5</v>
      </c>
      <c r="O423" s="37">
        <v>4.5999999999999996</v>
      </c>
      <c r="P423" s="37">
        <v>4.5999999999999996</v>
      </c>
      <c r="Q423" s="38">
        <f t="shared" si="100"/>
        <v>4.5999999999999996</v>
      </c>
      <c r="R423" s="17">
        <v>1.248</v>
      </c>
      <c r="S423" s="17">
        <v>1.2050000000000001</v>
      </c>
      <c r="T423" s="22">
        <f t="shared" si="101"/>
        <v>1.2270000000000001</v>
      </c>
      <c r="U423" s="34">
        <v>1.083</v>
      </c>
      <c r="V423" s="34">
        <v>1.091</v>
      </c>
      <c r="W423" s="33">
        <f t="shared" si="102"/>
        <v>1.087</v>
      </c>
      <c r="X423" s="17">
        <v>0.17799999999999999</v>
      </c>
      <c r="Y423" s="17">
        <v>0.17699999999999999</v>
      </c>
      <c r="Z423" s="21">
        <f t="shared" si="103"/>
        <v>0.17799999999999999</v>
      </c>
      <c r="AA423" s="19">
        <v>0.51700000000000002</v>
      </c>
      <c r="AB423" s="19">
        <v>0.51900000000000002</v>
      </c>
      <c r="AC423" s="21">
        <f t="shared" si="104"/>
        <v>0.51800000000000002</v>
      </c>
      <c r="AD423" s="19">
        <v>0.36299999999999999</v>
      </c>
      <c r="AE423" s="19">
        <v>0.35199999999999998</v>
      </c>
      <c r="AF423" s="21">
        <f t="shared" si="105"/>
        <v>0.35799999999999998</v>
      </c>
      <c r="AG423" s="30">
        <v>0.30499999999999999</v>
      </c>
      <c r="AH423" s="30">
        <v>0.313</v>
      </c>
      <c r="AI423" s="31">
        <f t="shared" si="106"/>
        <v>0.309</v>
      </c>
      <c r="AJ423" s="30">
        <v>0.30299999999999999</v>
      </c>
      <c r="AK423" s="30">
        <v>0.309</v>
      </c>
      <c r="AL423" s="31">
        <f t="shared" si="107"/>
        <v>0.30599999999999999</v>
      </c>
      <c r="AM423" s="19">
        <v>15.602</v>
      </c>
      <c r="AN423" s="19">
        <v>15.502000000000001</v>
      </c>
      <c r="AO423" s="21">
        <f t="shared" si="108"/>
        <v>15.552</v>
      </c>
      <c r="AP423" s="46">
        <v>0.1348</v>
      </c>
      <c r="AQ423" s="46">
        <v>0.13150000000000001</v>
      </c>
      <c r="AR423" s="45">
        <f t="shared" si="109"/>
        <v>0.13320000000000001</v>
      </c>
      <c r="AS423" s="3">
        <v>13.02</v>
      </c>
      <c r="AT423" s="3">
        <v>4.28</v>
      </c>
    </row>
    <row r="424" spans="1:46">
      <c r="A424" s="7" t="s">
        <v>30</v>
      </c>
      <c r="B424" s="5" t="s">
        <v>101</v>
      </c>
      <c r="C424" s="6" t="s">
        <v>44</v>
      </c>
      <c r="D424" s="6" t="s">
        <v>160</v>
      </c>
      <c r="E424" s="23">
        <v>29.9</v>
      </c>
      <c r="F424" s="23">
        <v>8.1</v>
      </c>
      <c r="G424" s="41">
        <v>291</v>
      </c>
      <c r="H424" s="23">
        <v>9.1</v>
      </c>
      <c r="I424" s="23">
        <v>1.7</v>
      </c>
      <c r="J424" s="23">
        <v>6.4</v>
      </c>
      <c r="K424" s="15">
        <v>4.8</v>
      </c>
      <c r="L424" s="15">
        <v>4.5999999999999996</v>
      </c>
      <c r="M424" s="15"/>
      <c r="N424" s="20">
        <f t="shared" si="99"/>
        <v>4.7</v>
      </c>
      <c r="O424" s="37">
        <v>4</v>
      </c>
      <c r="P424" s="37">
        <v>4.0999999999999996</v>
      </c>
      <c r="Q424" s="38">
        <f t="shared" si="100"/>
        <v>4.0999999999999996</v>
      </c>
      <c r="R424" s="17">
        <v>1.762</v>
      </c>
      <c r="S424" s="17">
        <v>1.73</v>
      </c>
      <c r="T424" s="22">
        <f t="shared" si="101"/>
        <v>1.746</v>
      </c>
      <c r="U424" s="34">
        <v>1.603</v>
      </c>
      <c r="V424" s="34">
        <v>1.5920000000000001</v>
      </c>
      <c r="W424" s="33">
        <f t="shared" si="102"/>
        <v>1.5980000000000001</v>
      </c>
      <c r="X424" s="17">
        <v>5.7000000000000002E-2</v>
      </c>
      <c r="Y424" s="17">
        <v>5.8000000000000003E-2</v>
      </c>
      <c r="Z424" s="21">
        <f t="shared" si="103"/>
        <v>5.8000000000000003E-2</v>
      </c>
      <c r="AA424" s="19">
        <v>1.1599999999999999</v>
      </c>
      <c r="AB424" s="19">
        <v>1.1639999999999999</v>
      </c>
      <c r="AC424" s="21">
        <f t="shared" si="104"/>
        <v>1.1619999999999999</v>
      </c>
      <c r="AD424" s="19">
        <v>0.126</v>
      </c>
      <c r="AE424" s="19">
        <v>0.122</v>
      </c>
      <c r="AF424" s="21">
        <f t="shared" si="105"/>
        <v>0.124</v>
      </c>
      <c r="AG424" s="30">
        <v>9.5000000000000001E-2</v>
      </c>
      <c r="AH424" s="30">
        <v>8.6999999999999994E-2</v>
      </c>
      <c r="AI424" s="31">
        <f t="shared" si="106"/>
        <v>9.0999999999999998E-2</v>
      </c>
      <c r="AJ424" s="30">
        <v>7.8E-2</v>
      </c>
      <c r="AK424" s="30">
        <v>7.5999999999999998E-2</v>
      </c>
      <c r="AL424" s="31">
        <f t="shared" si="107"/>
        <v>7.6999999999999999E-2</v>
      </c>
      <c r="AM424" s="19">
        <v>31.606000000000002</v>
      </c>
      <c r="AN424" s="19">
        <v>31.477</v>
      </c>
      <c r="AO424" s="21">
        <f t="shared" si="108"/>
        <v>31.542000000000002</v>
      </c>
      <c r="AP424" s="46">
        <v>0.1057</v>
      </c>
      <c r="AQ424" s="46">
        <v>0.10290000000000001</v>
      </c>
      <c r="AR424" s="45">
        <f t="shared" si="109"/>
        <v>0.1043</v>
      </c>
      <c r="AS424" s="3">
        <v>10.99</v>
      </c>
      <c r="AT424" s="3">
        <v>4.58</v>
      </c>
    </row>
    <row r="425" spans="1:46">
      <c r="A425" s="7" t="s">
        <v>31</v>
      </c>
      <c r="B425" s="5" t="s">
        <v>102</v>
      </c>
      <c r="C425" s="6" t="s">
        <v>103</v>
      </c>
      <c r="D425" s="6" t="s">
        <v>36</v>
      </c>
      <c r="E425" s="23">
        <v>29.5</v>
      </c>
      <c r="F425" s="23">
        <v>8.1</v>
      </c>
      <c r="G425" s="41">
        <v>188</v>
      </c>
      <c r="H425" s="23">
        <v>7</v>
      </c>
      <c r="I425" s="23">
        <v>1</v>
      </c>
      <c r="J425" s="23">
        <v>6.2</v>
      </c>
      <c r="K425" s="15">
        <v>4.0999999999999996</v>
      </c>
      <c r="L425" s="15">
        <v>4</v>
      </c>
      <c r="M425" s="15"/>
      <c r="N425" s="20">
        <f t="shared" si="99"/>
        <v>4.0999999999999996</v>
      </c>
      <c r="O425" s="37">
        <v>3.8</v>
      </c>
      <c r="P425" s="37">
        <v>3.8</v>
      </c>
      <c r="Q425" s="38">
        <f t="shared" si="100"/>
        <v>3.8</v>
      </c>
      <c r="R425" s="17">
        <v>1.6639999999999999</v>
      </c>
      <c r="S425" s="17">
        <v>1.643</v>
      </c>
      <c r="T425" s="22">
        <f t="shared" si="101"/>
        <v>1.6539999999999999</v>
      </c>
      <c r="U425" s="34">
        <v>1.534</v>
      </c>
      <c r="V425" s="34">
        <v>1.514</v>
      </c>
      <c r="W425" s="33">
        <f t="shared" si="102"/>
        <v>1.524</v>
      </c>
      <c r="X425" s="17">
        <v>5.3999999999999999E-2</v>
      </c>
      <c r="Y425" s="17">
        <v>5.2999999999999999E-2</v>
      </c>
      <c r="Z425" s="21">
        <f t="shared" si="103"/>
        <v>5.3999999999999999E-2</v>
      </c>
      <c r="AA425" s="19">
        <v>1.2</v>
      </c>
      <c r="AB425" s="19">
        <v>1.2110000000000001</v>
      </c>
      <c r="AC425" s="21">
        <f t="shared" si="104"/>
        <v>1.206</v>
      </c>
      <c r="AD425" s="19">
        <v>0.14599999999999999</v>
      </c>
      <c r="AE425" s="19">
        <v>0.14000000000000001</v>
      </c>
      <c r="AF425" s="21">
        <f t="shared" si="105"/>
        <v>0.14299999999999999</v>
      </c>
      <c r="AG425" s="30">
        <v>0.11899999999999999</v>
      </c>
      <c r="AH425" s="30">
        <v>0.11899999999999999</v>
      </c>
      <c r="AI425" s="31">
        <f t="shared" si="106"/>
        <v>0.11899999999999999</v>
      </c>
      <c r="AJ425" s="30">
        <v>0.114</v>
      </c>
      <c r="AK425" s="30">
        <v>0.11600000000000001</v>
      </c>
      <c r="AL425" s="31">
        <f t="shared" si="107"/>
        <v>0.115</v>
      </c>
      <c r="AM425" s="19">
        <v>9.2560000000000002</v>
      </c>
      <c r="AN425" s="19">
        <v>9.2110000000000003</v>
      </c>
      <c r="AO425" s="21">
        <f t="shared" si="108"/>
        <v>9.234</v>
      </c>
      <c r="AP425" s="46">
        <v>0.1149</v>
      </c>
      <c r="AQ425" s="46">
        <v>0.1124</v>
      </c>
      <c r="AR425" s="45">
        <f t="shared" si="109"/>
        <v>0.1137</v>
      </c>
      <c r="AS425" s="3">
        <v>8.61</v>
      </c>
      <c r="AT425" s="97">
        <v>4.58</v>
      </c>
    </row>
    <row r="426" spans="1:46">
      <c r="A426" s="7" t="s">
        <v>32</v>
      </c>
      <c r="B426" s="5" t="s">
        <v>104</v>
      </c>
      <c r="C426" s="6" t="s">
        <v>44</v>
      </c>
      <c r="D426" s="6" t="s">
        <v>105</v>
      </c>
      <c r="E426" s="23">
        <v>28.6</v>
      </c>
      <c r="F426" s="23">
        <v>8.8000000000000007</v>
      </c>
      <c r="G426" s="41">
        <v>211</v>
      </c>
      <c r="H426" s="23">
        <v>6.9</v>
      </c>
      <c r="I426" s="23">
        <v>0.9</v>
      </c>
      <c r="J426" s="23">
        <v>6.3</v>
      </c>
      <c r="K426" s="15">
        <v>4.3</v>
      </c>
      <c r="L426" s="15">
        <v>4.4000000000000004</v>
      </c>
      <c r="M426" s="15"/>
      <c r="N426" s="20">
        <f t="shared" si="99"/>
        <v>4.4000000000000004</v>
      </c>
      <c r="O426" s="37">
        <v>4.0999999999999996</v>
      </c>
      <c r="P426" s="37">
        <v>4.0999999999999996</v>
      </c>
      <c r="Q426" s="38">
        <f t="shared" si="100"/>
        <v>4.0999999999999996</v>
      </c>
      <c r="R426" s="17">
        <v>1.6459999999999999</v>
      </c>
      <c r="S426" s="17">
        <v>1.597</v>
      </c>
      <c r="T426" s="22">
        <f t="shared" si="101"/>
        <v>1.6220000000000001</v>
      </c>
      <c r="U426" s="34">
        <v>1.53</v>
      </c>
      <c r="V426" s="34">
        <v>1.514</v>
      </c>
      <c r="W426" s="33">
        <f t="shared" si="102"/>
        <v>1.522</v>
      </c>
      <c r="X426" s="17">
        <v>0.05</v>
      </c>
      <c r="Y426" s="17">
        <v>0.05</v>
      </c>
      <c r="Z426" s="21">
        <f t="shared" si="103"/>
        <v>0.05</v>
      </c>
      <c r="AA426" s="19">
        <v>1.1759999999999999</v>
      </c>
      <c r="AB426" s="19">
        <v>1.1819999999999999</v>
      </c>
      <c r="AC426" s="21">
        <f t="shared" si="104"/>
        <v>1.179</v>
      </c>
      <c r="AD426" s="19">
        <v>0.159</v>
      </c>
      <c r="AE426" s="19">
        <v>0.154</v>
      </c>
      <c r="AF426" s="21">
        <f t="shared" si="105"/>
        <v>0.157</v>
      </c>
      <c r="AG426" s="30">
        <v>0.123</v>
      </c>
      <c r="AH426" s="30">
        <v>0.12</v>
      </c>
      <c r="AI426" s="31">
        <f t="shared" si="106"/>
        <v>0.122</v>
      </c>
      <c r="AJ426" s="30">
        <v>0.115</v>
      </c>
      <c r="AK426" s="30">
        <v>0.11600000000000001</v>
      </c>
      <c r="AL426" s="31">
        <f t="shared" si="107"/>
        <v>0.11600000000000001</v>
      </c>
      <c r="AM426" s="19">
        <v>11.737</v>
      </c>
      <c r="AN426" s="19">
        <v>11.686999999999999</v>
      </c>
      <c r="AO426" s="21">
        <f t="shared" si="108"/>
        <v>11.712</v>
      </c>
      <c r="AP426" s="46">
        <v>0.1275</v>
      </c>
      <c r="AQ426" s="46">
        <v>0.12429999999999999</v>
      </c>
      <c r="AR426" s="45">
        <f t="shared" si="109"/>
        <v>0.12590000000000001</v>
      </c>
      <c r="AS426" s="3">
        <v>9.18</v>
      </c>
      <c r="AT426" s="3">
        <v>4.43</v>
      </c>
    </row>
    <row r="427" spans="1:46">
      <c r="A427" s="7" t="s">
        <v>33</v>
      </c>
      <c r="B427" s="5" t="s">
        <v>106</v>
      </c>
      <c r="C427" s="6" t="s">
        <v>107</v>
      </c>
      <c r="D427" s="6" t="s">
        <v>36</v>
      </c>
      <c r="E427" s="23">
        <v>28.8</v>
      </c>
      <c r="F427" s="23">
        <v>8.4</v>
      </c>
      <c r="G427" s="41">
        <v>212</v>
      </c>
      <c r="H427" s="23">
        <v>7.3</v>
      </c>
      <c r="I427" s="23">
        <v>1</v>
      </c>
      <c r="J427" s="23">
        <v>6</v>
      </c>
      <c r="K427" s="15">
        <v>4</v>
      </c>
      <c r="L427" s="15">
        <v>4.0999999999999996</v>
      </c>
      <c r="M427" s="15"/>
      <c r="N427" s="20">
        <f t="shared" si="99"/>
        <v>4.0999999999999996</v>
      </c>
      <c r="O427" s="37">
        <v>3.8</v>
      </c>
      <c r="P427" s="37">
        <v>3.8</v>
      </c>
      <c r="Q427" s="38">
        <f t="shared" si="100"/>
        <v>3.8</v>
      </c>
      <c r="R427" s="17">
        <v>2.2069999999999999</v>
      </c>
      <c r="S427" s="17">
        <v>2.173</v>
      </c>
      <c r="T427" s="22">
        <f t="shared" si="101"/>
        <v>2.19</v>
      </c>
      <c r="U427" s="34">
        <v>2.069</v>
      </c>
      <c r="V427" s="34">
        <v>2.06</v>
      </c>
      <c r="W427" s="33">
        <f t="shared" si="102"/>
        <v>2.0649999999999999</v>
      </c>
      <c r="X427" s="17">
        <v>2.5000000000000001E-2</v>
      </c>
      <c r="Y427" s="17">
        <v>2.5000000000000001E-2</v>
      </c>
      <c r="Z427" s="21">
        <f t="shared" si="103"/>
        <v>2.5000000000000001E-2</v>
      </c>
      <c r="AA427" s="19">
        <v>1.764</v>
      </c>
      <c r="AB427" s="19">
        <v>1.776</v>
      </c>
      <c r="AC427" s="21">
        <f t="shared" si="104"/>
        <v>1.77</v>
      </c>
      <c r="AD427" s="19">
        <v>0.189</v>
      </c>
      <c r="AE427" s="19">
        <v>0.18</v>
      </c>
      <c r="AF427" s="21">
        <f t="shared" si="105"/>
        <v>0.185</v>
      </c>
      <c r="AG427" s="30">
        <v>0.154</v>
      </c>
      <c r="AH427" s="30">
        <v>0.155</v>
      </c>
      <c r="AI427" s="31">
        <f t="shared" si="106"/>
        <v>0.155</v>
      </c>
      <c r="AJ427" s="30">
        <v>0.153</v>
      </c>
      <c r="AK427" s="30">
        <v>0.14899999999999999</v>
      </c>
      <c r="AL427" s="31">
        <f t="shared" si="107"/>
        <v>0.151</v>
      </c>
      <c r="AM427" s="19">
        <v>11.637</v>
      </c>
      <c r="AN427" s="19">
        <v>11.6</v>
      </c>
      <c r="AO427" s="21">
        <f t="shared" si="108"/>
        <v>11.619</v>
      </c>
      <c r="AP427" s="46">
        <v>0.11459999999999999</v>
      </c>
      <c r="AQ427" s="46">
        <v>0.11169999999999999</v>
      </c>
      <c r="AR427" s="45">
        <f t="shared" si="109"/>
        <v>0.1132</v>
      </c>
      <c r="AS427" s="3">
        <v>11.63</v>
      </c>
      <c r="AT427" s="97">
        <v>3.26</v>
      </c>
    </row>
    <row r="428" spans="1:46">
      <c r="A428" s="7" t="s">
        <v>137</v>
      </c>
      <c r="B428" s="5" t="s">
        <v>138</v>
      </c>
      <c r="C428" s="6"/>
      <c r="D428" s="6"/>
      <c r="E428" s="23">
        <v>27.1</v>
      </c>
      <c r="F428" s="23">
        <v>6.9</v>
      </c>
      <c r="G428" s="41">
        <v>409</v>
      </c>
      <c r="H428" s="23">
        <v>6.7</v>
      </c>
      <c r="I428" s="23">
        <v>12</v>
      </c>
      <c r="J428" s="23">
        <v>17.7</v>
      </c>
      <c r="K428" s="4">
        <v>10.8</v>
      </c>
      <c r="L428" s="4">
        <v>10.3</v>
      </c>
      <c r="M428" s="4"/>
      <c r="N428" s="20">
        <f t="shared" si="99"/>
        <v>10.6</v>
      </c>
      <c r="O428" s="37">
        <v>5.8</v>
      </c>
      <c r="P428" s="37">
        <v>5.9</v>
      </c>
      <c r="Q428" s="38">
        <f t="shared" si="100"/>
        <v>5.9</v>
      </c>
      <c r="R428" s="17">
        <v>7.2220000000000004</v>
      </c>
      <c r="S428" s="17">
        <v>7.2380000000000004</v>
      </c>
      <c r="T428" s="22">
        <f t="shared" si="101"/>
        <v>7.23</v>
      </c>
      <c r="U428" s="34">
        <v>6.35</v>
      </c>
      <c r="V428" s="34">
        <v>6.3339999999999996</v>
      </c>
      <c r="W428" s="33">
        <f t="shared" si="102"/>
        <v>6.3419999999999996</v>
      </c>
      <c r="X428" s="17">
        <v>2.4369999999999998</v>
      </c>
      <c r="Y428" s="17">
        <v>2.4209999999999998</v>
      </c>
      <c r="Z428" s="21">
        <f t="shared" si="103"/>
        <v>2.4289999999999998</v>
      </c>
      <c r="AA428" s="19">
        <v>3.2559999999999998</v>
      </c>
      <c r="AB428" s="19">
        <v>3.2839999999999998</v>
      </c>
      <c r="AC428" s="21">
        <f t="shared" si="104"/>
        <v>3.27</v>
      </c>
      <c r="AD428" s="19">
        <v>0.621</v>
      </c>
      <c r="AE428" s="19">
        <v>0.59899999999999998</v>
      </c>
      <c r="AF428" s="21">
        <f t="shared" si="105"/>
        <v>0.61</v>
      </c>
      <c r="AG428" s="30">
        <v>0.28999999999999998</v>
      </c>
      <c r="AH428" s="30">
        <v>0.27900000000000003</v>
      </c>
      <c r="AI428" s="31">
        <f t="shared" si="106"/>
        <v>0.28499999999999998</v>
      </c>
      <c r="AJ428" s="30">
        <v>0.25900000000000001</v>
      </c>
      <c r="AK428" s="30">
        <v>0.255</v>
      </c>
      <c r="AL428" s="31">
        <f t="shared" si="107"/>
        <v>0.25700000000000001</v>
      </c>
      <c r="AM428" s="19">
        <v>40.01</v>
      </c>
      <c r="AN428" s="19">
        <v>39.904000000000003</v>
      </c>
      <c r="AO428" s="21">
        <f t="shared" si="108"/>
        <v>39.957000000000001</v>
      </c>
      <c r="AP428" s="46">
        <v>0.12809999999999999</v>
      </c>
      <c r="AQ428" s="46">
        <v>0.1249</v>
      </c>
      <c r="AR428" s="45">
        <f t="shared" si="109"/>
        <v>0.1265</v>
      </c>
      <c r="AS428" s="3">
        <v>18.02</v>
      </c>
      <c r="AT428" s="98">
        <v>0.77</v>
      </c>
    </row>
    <row r="429" spans="1:46">
      <c r="A429" s="7" t="s">
        <v>158</v>
      </c>
      <c r="B429" s="5" t="s">
        <v>159</v>
      </c>
      <c r="C429" s="6"/>
      <c r="D429" s="6"/>
      <c r="E429" s="23">
        <v>27.9</v>
      </c>
      <c r="F429" s="23">
        <v>6.9</v>
      </c>
      <c r="G429" s="41">
        <v>370</v>
      </c>
      <c r="H429" s="23">
        <v>7.1</v>
      </c>
      <c r="I429" s="23">
        <v>2.2999999999999998</v>
      </c>
      <c r="J429" s="23">
        <v>8.3000000000000007</v>
      </c>
      <c r="K429" s="15">
        <v>5.2</v>
      </c>
      <c r="L429" s="15">
        <v>5.2</v>
      </c>
      <c r="M429" s="15"/>
      <c r="N429" s="20">
        <f t="shared" si="99"/>
        <v>5.2</v>
      </c>
      <c r="O429" s="37">
        <v>4.2</v>
      </c>
      <c r="P429" s="37">
        <v>4.0999999999999996</v>
      </c>
      <c r="Q429" s="38">
        <f t="shared" si="100"/>
        <v>4.2</v>
      </c>
      <c r="R429" s="17">
        <v>2.411</v>
      </c>
      <c r="S429" s="17">
        <v>2.387</v>
      </c>
      <c r="T429" s="22">
        <f t="shared" si="101"/>
        <v>2.399</v>
      </c>
      <c r="U429" s="34">
        <v>2.0760000000000001</v>
      </c>
      <c r="V429" s="34">
        <v>2.0840000000000001</v>
      </c>
      <c r="W429" s="33">
        <f t="shared" si="102"/>
        <v>2.08</v>
      </c>
      <c r="X429" s="17">
        <v>9.7000000000000003E-2</v>
      </c>
      <c r="Y429" s="17">
        <v>9.8000000000000004E-2</v>
      </c>
      <c r="Z429" s="21">
        <f t="shared" si="103"/>
        <v>9.8000000000000004E-2</v>
      </c>
      <c r="AA429" s="19">
        <v>1.58</v>
      </c>
      <c r="AB429" s="19">
        <v>1.593</v>
      </c>
      <c r="AC429" s="21">
        <f t="shared" si="104"/>
        <v>1.587</v>
      </c>
      <c r="AD429" s="19">
        <v>0.16800000000000001</v>
      </c>
      <c r="AE429" s="19">
        <v>0.16600000000000001</v>
      </c>
      <c r="AF429" s="21">
        <f t="shared" si="105"/>
        <v>0.16700000000000001</v>
      </c>
      <c r="AG429" s="30">
        <v>0.08</v>
      </c>
      <c r="AH429" s="30">
        <v>0.08</v>
      </c>
      <c r="AI429" s="31">
        <f t="shared" si="106"/>
        <v>0.08</v>
      </c>
      <c r="AJ429" s="30">
        <v>5.5E-2</v>
      </c>
      <c r="AK429" s="30">
        <v>5.3999999999999999E-2</v>
      </c>
      <c r="AL429" s="31">
        <f t="shared" si="107"/>
        <v>5.5E-2</v>
      </c>
      <c r="AM429" s="19">
        <v>51.808</v>
      </c>
      <c r="AN429" s="19">
        <v>51.698</v>
      </c>
      <c r="AO429" s="21">
        <f t="shared" si="108"/>
        <v>51.753</v>
      </c>
      <c r="AP429" s="46">
        <v>0.1067</v>
      </c>
      <c r="AQ429" s="46">
        <v>0.1043</v>
      </c>
      <c r="AR429" s="45">
        <f t="shared" si="109"/>
        <v>0.1055</v>
      </c>
      <c r="AS429" s="3">
        <v>10.89</v>
      </c>
      <c r="AT429" s="98">
        <v>0.19</v>
      </c>
    </row>
    <row r="430" spans="1:46">
      <c r="A430" s="8" t="s">
        <v>136</v>
      </c>
      <c r="B430" s="9" t="s">
        <v>34</v>
      </c>
      <c r="C430" s="10" t="s">
        <v>35</v>
      </c>
      <c r="D430" s="10" t="s">
        <v>36</v>
      </c>
      <c r="E430" s="20">
        <v>20.6</v>
      </c>
      <c r="F430" s="20">
        <v>7.6</v>
      </c>
      <c r="G430" s="62">
        <v>106</v>
      </c>
      <c r="H430" s="38">
        <v>10.1</v>
      </c>
      <c r="I430" s="20">
        <v>0.6</v>
      </c>
      <c r="J430" s="20">
        <v>3.2</v>
      </c>
      <c r="K430" s="36">
        <v>2</v>
      </c>
      <c r="L430" s="36">
        <v>1.9</v>
      </c>
      <c r="M430" s="36"/>
      <c r="N430" s="38">
        <f>ROUND(AVERAGE(K430:M430),1)</f>
        <v>2</v>
      </c>
      <c r="O430" s="36">
        <v>1.9</v>
      </c>
      <c r="P430" s="36">
        <v>1.9</v>
      </c>
      <c r="Q430" s="38">
        <f>ROUND(AVERAGE(O430:P430),1)</f>
        <v>1.9</v>
      </c>
      <c r="R430" s="16">
        <v>1.288</v>
      </c>
      <c r="S430" s="16">
        <v>1.2989999999999999</v>
      </c>
      <c r="T430" s="22">
        <f>ROUND(AVERAGE(R430:S430),3)</f>
        <v>1.294</v>
      </c>
      <c r="U430" s="32">
        <v>1.2869999999999999</v>
      </c>
      <c r="V430" s="32">
        <v>1.2869999999999999</v>
      </c>
      <c r="W430" s="33">
        <f>ROUND(AVERAGE(U430:V430),3)</f>
        <v>1.2869999999999999</v>
      </c>
      <c r="X430" s="16">
        <v>2.1999999999999999E-2</v>
      </c>
      <c r="Y430" s="16">
        <v>2.3E-2</v>
      </c>
      <c r="Z430" s="21">
        <f>ROUND(AVERAGE(X430:Y430),3)</f>
        <v>2.3E-2</v>
      </c>
      <c r="AA430" s="18">
        <v>1.1619999999999999</v>
      </c>
      <c r="AB430" s="18">
        <v>1.151</v>
      </c>
      <c r="AC430" s="21">
        <f>ROUND(AVERAGE(AA430:AB430),3)</f>
        <v>1.157</v>
      </c>
      <c r="AD430" s="18">
        <v>3.2000000000000001E-2</v>
      </c>
      <c r="AE430" s="18">
        <v>3.1E-2</v>
      </c>
      <c r="AF430" s="21">
        <f>ROUND(AVERAGE(AD430:AE430),3)</f>
        <v>3.2000000000000001E-2</v>
      </c>
      <c r="AG430" s="29">
        <v>3.1E-2</v>
      </c>
      <c r="AH430" s="29">
        <v>3.1E-2</v>
      </c>
      <c r="AI430" s="31">
        <f>ROUND(AVERAGE(AG430:AH430),3)</f>
        <v>3.1E-2</v>
      </c>
      <c r="AJ430" s="29">
        <v>7.0000000000000001E-3</v>
      </c>
      <c r="AK430" s="29">
        <v>5.0000000000000001E-3</v>
      </c>
      <c r="AL430" s="31">
        <f>ROUND(AVERAGE(AJ430:AK430),3)</f>
        <v>6.0000000000000001E-3</v>
      </c>
      <c r="AM430" s="18">
        <v>7.798</v>
      </c>
      <c r="AN430" s="18">
        <v>7.8739999999999997</v>
      </c>
      <c r="AO430" s="21">
        <f>ROUND(AVERAGE(AM430:AN430),3)</f>
        <v>7.8360000000000003</v>
      </c>
      <c r="AP430" s="25">
        <v>6.9000000000000006E-2</v>
      </c>
      <c r="AQ430" s="25">
        <v>6.8199999999999997E-2</v>
      </c>
      <c r="AR430" s="26">
        <f>ROUND(AVERAGE(AP430:AQ430),4)</f>
        <v>6.8599999999999994E-2</v>
      </c>
      <c r="AS430" s="93">
        <v>3.79</v>
      </c>
      <c r="AT430" s="93">
        <v>2.09</v>
      </c>
    </row>
    <row r="431" spans="1:46">
      <c r="A431" s="7" t="s">
        <v>37</v>
      </c>
      <c r="B431" s="5" t="s">
        <v>38</v>
      </c>
      <c r="C431" s="6" t="s">
        <v>39</v>
      </c>
      <c r="D431" s="6" t="s">
        <v>40</v>
      </c>
      <c r="E431" s="23">
        <v>21.5</v>
      </c>
      <c r="F431" s="23">
        <v>7.2</v>
      </c>
      <c r="G431" s="63">
        <v>70</v>
      </c>
      <c r="H431" s="39">
        <v>9.4</v>
      </c>
      <c r="I431" s="23">
        <v>0.8</v>
      </c>
      <c r="J431" s="23">
        <v>4.9000000000000004</v>
      </c>
      <c r="K431" s="37">
        <v>3.5</v>
      </c>
      <c r="L431" s="37">
        <v>3.5</v>
      </c>
      <c r="M431" s="37"/>
      <c r="N431" s="38">
        <f t="shared" ref="N431:N467" si="110">ROUND(AVERAGE(K431:M431),1)</f>
        <v>3.5</v>
      </c>
      <c r="O431" s="37">
        <v>2.7</v>
      </c>
      <c r="P431" s="37">
        <v>2.7</v>
      </c>
      <c r="Q431" s="38">
        <f t="shared" ref="Q431:Q467" si="111">ROUND(AVERAGE(O431:P431),1)</f>
        <v>2.7</v>
      </c>
      <c r="R431" s="17">
        <v>1.615</v>
      </c>
      <c r="S431" s="17">
        <v>1.599</v>
      </c>
      <c r="T431" s="22">
        <f t="shared" ref="T431:T467" si="112">ROUND(AVERAGE(R431:S431),3)</f>
        <v>1.607</v>
      </c>
      <c r="U431" s="34">
        <v>1.5229999999999999</v>
      </c>
      <c r="V431" s="34">
        <v>1.52</v>
      </c>
      <c r="W431" s="33">
        <f t="shared" ref="W431:W467" si="113">ROUND(AVERAGE(U431:V431),3)</f>
        <v>1.522</v>
      </c>
      <c r="X431" s="17">
        <v>3.9E-2</v>
      </c>
      <c r="Y431" s="17">
        <v>3.9E-2</v>
      </c>
      <c r="Z431" s="21">
        <f t="shared" ref="Z431:Z467" si="114">ROUND(AVERAGE(X431:Y431),3)</f>
        <v>3.9E-2</v>
      </c>
      <c r="AA431" s="19">
        <v>1.373</v>
      </c>
      <c r="AB431" s="19">
        <v>1.373</v>
      </c>
      <c r="AC431" s="21">
        <f t="shared" ref="AC431:AC467" si="115">ROUND(AVERAGE(AA431:AB431),3)</f>
        <v>1.373</v>
      </c>
      <c r="AD431" s="19">
        <v>8.6999999999999994E-2</v>
      </c>
      <c r="AE431" s="19">
        <v>8.4000000000000005E-2</v>
      </c>
      <c r="AF431" s="21">
        <f t="shared" ref="AF431:AF467" si="116">ROUND(AVERAGE(AD431:AE431),3)</f>
        <v>8.5999999999999993E-2</v>
      </c>
      <c r="AG431" s="30">
        <v>7.0000000000000007E-2</v>
      </c>
      <c r="AH431" s="30">
        <v>7.2999999999999995E-2</v>
      </c>
      <c r="AI431" s="31">
        <f t="shared" ref="AI431:AI467" si="117">ROUND(AVERAGE(AG431:AH431),3)</f>
        <v>7.1999999999999995E-2</v>
      </c>
      <c r="AJ431" s="30">
        <v>8.0000000000000002E-3</v>
      </c>
      <c r="AK431" s="30">
        <v>8.0000000000000002E-3</v>
      </c>
      <c r="AL431" s="31">
        <f t="shared" ref="AL431:AL467" si="118">ROUND(AVERAGE(AJ431:AK431),3)</f>
        <v>8.0000000000000002E-3</v>
      </c>
      <c r="AM431" s="19">
        <v>4.03</v>
      </c>
      <c r="AN431" s="19">
        <v>4.0460000000000003</v>
      </c>
      <c r="AO431" s="21">
        <f t="shared" ref="AO431:AO467" si="119">ROUND(AVERAGE(AM431:AN431),3)</f>
        <v>4.0380000000000003</v>
      </c>
      <c r="AP431" s="27">
        <v>0.12</v>
      </c>
      <c r="AQ431" s="27">
        <v>0.121</v>
      </c>
      <c r="AR431" s="26">
        <f t="shared" ref="AR431:AR467" si="120">ROUND(AVERAGE(AP431:AQ431),4)</f>
        <v>0.1205</v>
      </c>
      <c r="AS431" s="94">
        <v>4.9800000000000004</v>
      </c>
      <c r="AT431" s="3">
        <v>1.2</v>
      </c>
    </row>
    <row r="432" spans="1:46">
      <c r="A432" s="7" t="s">
        <v>0</v>
      </c>
      <c r="B432" s="5" t="s">
        <v>41</v>
      </c>
      <c r="C432" s="6" t="s">
        <v>42</v>
      </c>
      <c r="D432" s="6" t="s">
        <v>36</v>
      </c>
      <c r="E432" s="23">
        <v>21.4</v>
      </c>
      <c r="F432" s="23">
        <v>6.8</v>
      </c>
      <c r="G432" s="63">
        <v>84</v>
      </c>
      <c r="H432" s="39">
        <v>9.6</v>
      </c>
      <c r="I432" s="23">
        <v>0.8</v>
      </c>
      <c r="J432" s="23">
        <v>4.5999999999999996</v>
      </c>
      <c r="K432" s="37">
        <v>3.1</v>
      </c>
      <c r="L432" s="37">
        <v>3</v>
      </c>
      <c r="M432" s="37"/>
      <c r="N432" s="38">
        <f t="shared" si="110"/>
        <v>3.1</v>
      </c>
      <c r="O432" s="37">
        <v>2.5</v>
      </c>
      <c r="P432" s="37">
        <v>2.4</v>
      </c>
      <c r="Q432" s="38">
        <f t="shared" si="111"/>
        <v>2.5</v>
      </c>
      <c r="R432" s="17">
        <v>1.5209999999999999</v>
      </c>
      <c r="S432" s="17">
        <v>1.4930000000000001</v>
      </c>
      <c r="T432" s="22">
        <f t="shared" si="112"/>
        <v>1.5069999999999999</v>
      </c>
      <c r="U432" s="34">
        <v>1.44</v>
      </c>
      <c r="V432" s="34">
        <v>1.419</v>
      </c>
      <c r="W432" s="33">
        <f t="shared" si="113"/>
        <v>1.43</v>
      </c>
      <c r="X432" s="17">
        <v>0.03</v>
      </c>
      <c r="Y432" s="17">
        <v>0.03</v>
      </c>
      <c r="Z432" s="21">
        <f t="shared" si="114"/>
        <v>0.03</v>
      </c>
      <c r="AA432" s="19">
        <v>1.3169999999999999</v>
      </c>
      <c r="AB432" s="19">
        <v>1.3140000000000001</v>
      </c>
      <c r="AC432" s="21">
        <f t="shared" si="115"/>
        <v>1.3160000000000001</v>
      </c>
      <c r="AD432" s="19">
        <v>7.0000000000000007E-2</v>
      </c>
      <c r="AE432" s="19">
        <v>7.0999999999999994E-2</v>
      </c>
      <c r="AF432" s="21">
        <f t="shared" si="116"/>
        <v>7.0999999999999994E-2</v>
      </c>
      <c r="AG432" s="30">
        <v>6.9000000000000006E-2</v>
      </c>
      <c r="AH432" s="30">
        <v>7.0000000000000007E-2</v>
      </c>
      <c r="AI432" s="31">
        <f t="shared" si="117"/>
        <v>7.0000000000000007E-2</v>
      </c>
      <c r="AJ432" s="30">
        <v>7.0000000000000001E-3</v>
      </c>
      <c r="AK432" s="30">
        <v>7.0000000000000001E-3</v>
      </c>
      <c r="AL432" s="31">
        <f t="shared" si="118"/>
        <v>7.0000000000000001E-3</v>
      </c>
      <c r="AM432" s="19">
        <v>5.6139999999999999</v>
      </c>
      <c r="AN432" s="19">
        <v>5.6369999999999996</v>
      </c>
      <c r="AO432" s="21">
        <f t="shared" si="119"/>
        <v>5.6260000000000003</v>
      </c>
      <c r="AP432" s="27">
        <v>0.10009999999999999</v>
      </c>
      <c r="AQ432" s="27">
        <v>9.98E-2</v>
      </c>
      <c r="AR432" s="26">
        <f t="shared" si="120"/>
        <v>0.1</v>
      </c>
      <c r="AS432" s="94">
        <v>4.9800000000000004</v>
      </c>
      <c r="AT432" s="94">
        <v>1.47</v>
      </c>
    </row>
    <row r="433" spans="1:46">
      <c r="A433" s="7" t="s">
        <v>1</v>
      </c>
      <c r="B433" s="5" t="s">
        <v>43</v>
      </c>
      <c r="C433" s="6" t="s">
        <v>44</v>
      </c>
      <c r="D433" s="6" t="s">
        <v>45</v>
      </c>
      <c r="E433" s="23">
        <v>20.3</v>
      </c>
      <c r="F433" s="23">
        <v>7</v>
      </c>
      <c r="G433" s="63">
        <v>60</v>
      </c>
      <c r="H433" s="39">
        <v>10</v>
      </c>
      <c r="I433" s="23">
        <v>0.6</v>
      </c>
      <c r="J433" s="23">
        <v>3.5</v>
      </c>
      <c r="K433" s="37">
        <v>2.5</v>
      </c>
      <c r="L433" s="37">
        <v>2.2999999999999998</v>
      </c>
      <c r="M433" s="37"/>
      <c r="N433" s="38">
        <f t="shared" si="110"/>
        <v>2.4</v>
      </c>
      <c r="O433" s="37">
        <v>2.2000000000000002</v>
      </c>
      <c r="P433" s="37">
        <v>2.1</v>
      </c>
      <c r="Q433" s="38">
        <f t="shared" si="111"/>
        <v>2.2000000000000002</v>
      </c>
      <c r="R433" s="17">
        <v>1.123</v>
      </c>
      <c r="S433" s="17">
        <v>1.1339999999999999</v>
      </c>
      <c r="T433" s="22">
        <f t="shared" si="112"/>
        <v>1.129</v>
      </c>
      <c r="U433" s="34">
        <v>1.099</v>
      </c>
      <c r="V433" s="34">
        <v>1.087</v>
      </c>
      <c r="W433" s="33">
        <f t="shared" si="113"/>
        <v>1.093</v>
      </c>
      <c r="X433" s="17">
        <v>3.3000000000000002E-2</v>
      </c>
      <c r="Y433" s="17">
        <v>3.2000000000000001E-2</v>
      </c>
      <c r="Z433" s="21">
        <f t="shared" si="114"/>
        <v>3.3000000000000002E-2</v>
      </c>
      <c r="AA433" s="19">
        <v>0.96099999999999997</v>
      </c>
      <c r="AB433" s="19">
        <v>0.95799999999999996</v>
      </c>
      <c r="AC433" s="21">
        <f t="shared" si="115"/>
        <v>0.96</v>
      </c>
      <c r="AD433" s="19">
        <v>4.4999999999999998E-2</v>
      </c>
      <c r="AE433" s="19">
        <v>4.3999999999999997E-2</v>
      </c>
      <c r="AF433" s="21">
        <f t="shared" si="116"/>
        <v>4.4999999999999998E-2</v>
      </c>
      <c r="AG433" s="30">
        <v>4.3999999999999997E-2</v>
      </c>
      <c r="AH433" s="30">
        <v>4.2999999999999997E-2</v>
      </c>
      <c r="AI433" s="31">
        <f t="shared" si="117"/>
        <v>4.3999999999999997E-2</v>
      </c>
      <c r="AJ433" s="30">
        <v>4.0000000000000001E-3</v>
      </c>
      <c r="AK433" s="30">
        <v>4.0000000000000001E-3</v>
      </c>
      <c r="AL433" s="31">
        <f t="shared" si="118"/>
        <v>4.0000000000000001E-3</v>
      </c>
      <c r="AM433" s="19">
        <v>3.9380000000000002</v>
      </c>
      <c r="AN433" s="19">
        <v>3.9580000000000002</v>
      </c>
      <c r="AO433" s="21">
        <f t="shared" si="119"/>
        <v>3.948</v>
      </c>
      <c r="AP433" s="27">
        <v>0.1056</v>
      </c>
      <c r="AQ433" s="27">
        <v>0.1057</v>
      </c>
      <c r="AR433" s="26">
        <f t="shared" si="120"/>
        <v>0.1057</v>
      </c>
      <c r="AS433" s="94">
        <v>2.75</v>
      </c>
      <c r="AT433" s="3">
        <v>2.54</v>
      </c>
    </row>
    <row r="434" spans="1:46">
      <c r="A434" s="7" t="s">
        <v>2</v>
      </c>
      <c r="B434" s="5" t="s">
        <v>46</v>
      </c>
      <c r="C434" s="6" t="s">
        <v>47</v>
      </c>
      <c r="D434" s="6" t="s">
        <v>36</v>
      </c>
      <c r="E434" s="23">
        <v>21.1</v>
      </c>
      <c r="F434" s="23">
        <v>7</v>
      </c>
      <c r="G434" s="63">
        <v>82</v>
      </c>
      <c r="H434" s="39">
        <v>9.6</v>
      </c>
      <c r="I434" s="23">
        <v>0.7</v>
      </c>
      <c r="J434" s="23">
        <v>4</v>
      </c>
      <c r="K434" s="37">
        <v>2.9</v>
      </c>
      <c r="L434" s="37">
        <v>2.6</v>
      </c>
      <c r="M434" s="37"/>
      <c r="N434" s="38">
        <f t="shared" si="110"/>
        <v>2.8</v>
      </c>
      <c r="O434" s="37">
        <v>2.2999999999999998</v>
      </c>
      <c r="P434" s="37">
        <v>2.2000000000000002</v>
      </c>
      <c r="Q434" s="38">
        <f t="shared" si="111"/>
        <v>2.2999999999999998</v>
      </c>
      <c r="R434" s="17">
        <v>1.4690000000000001</v>
      </c>
      <c r="S434" s="17">
        <v>1.4370000000000001</v>
      </c>
      <c r="T434" s="22">
        <f t="shared" si="112"/>
        <v>1.4530000000000001</v>
      </c>
      <c r="U434" s="34">
        <v>1.387</v>
      </c>
      <c r="V434" s="34">
        <v>1.3779999999999999</v>
      </c>
      <c r="W434" s="33">
        <f t="shared" si="113"/>
        <v>1.383</v>
      </c>
      <c r="X434" s="17">
        <v>3.5000000000000003E-2</v>
      </c>
      <c r="Y434" s="17">
        <v>3.4000000000000002E-2</v>
      </c>
      <c r="Z434" s="21">
        <f t="shared" si="114"/>
        <v>3.5000000000000003E-2</v>
      </c>
      <c r="AA434" s="19">
        <v>1.256</v>
      </c>
      <c r="AB434" s="19">
        <v>1.2529999999999999</v>
      </c>
      <c r="AC434" s="21">
        <f t="shared" si="115"/>
        <v>1.2549999999999999</v>
      </c>
      <c r="AD434" s="19">
        <v>6.0999999999999999E-2</v>
      </c>
      <c r="AE434" s="19">
        <v>5.8999999999999997E-2</v>
      </c>
      <c r="AF434" s="21">
        <f t="shared" si="116"/>
        <v>0.06</v>
      </c>
      <c r="AG434" s="30">
        <v>5.6000000000000001E-2</v>
      </c>
      <c r="AH434" s="30">
        <v>6.2E-2</v>
      </c>
      <c r="AI434" s="31">
        <f t="shared" si="117"/>
        <v>5.8999999999999997E-2</v>
      </c>
      <c r="AJ434" s="30">
        <v>8.0000000000000002E-3</v>
      </c>
      <c r="AK434" s="30">
        <v>8.0000000000000002E-3</v>
      </c>
      <c r="AL434" s="31">
        <f t="shared" si="118"/>
        <v>8.0000000000000002E-3</v>
      </c>
      <c r="AM434" s="19">
        <v>5.3609999999999998</v>
      </c>
      <c r="AN434" s="19">
        <v>5.3849999999999998</v>
      </c>
      <c r="AO434" s="21">
        <f t="shared" si="119"/>
        <v>5.3730000000000002</v>
      </c>
      <c r="AP434" s="27">
        <v>9.7699999999999995E-2</v>
      </c>
      <c r="AQ434" s="27">
        <v>9.7500000000000003E-2</v>
      </c>
      <c r="AR434" s="26">
        <f t="shared" si="120"/>
        <v>9.7600000000000006E-2</v>
      </c>
      <c r="AS434" s="94">
        <v>4.99</v>
      </c>
      <c r="AT434" s="94">
        <v>1.62</v>
      </c>
    </row>
    <row r="435" spans="1:46">
      <c r="A435" s="7" t="s">
        <v>3</v>
      </c>
      <c r="B435" s="5" t="s">
        <v>46</v>
      </c>
      <c r="C435" s="6" t="s">
        <v>44</v>
      </c>
      <c r="D435" s="6" t="s">
        <v>48</v>
      </c>
      <c r="E435" s="23">
        <v>20.399999999999999</v>
      </c>
      <c r="F435" s="23">
        <v>7</v>
      </c>
      <c r="G435" s="63">
        <v>82</v>
      </c>
      <c r="H435" s="39">
        <v>9.9</v>
      </c>
      <c r="I435" s="23">
        <v>0.7</v>
      </c>
      <c r="J435" s="23">
        <v>2.9</v>
      </c>
      <c r="K435" s="37">
        <v>2</v>
      </c>
      <c r="L435" s="37">
        <v>1.9</v>
      </c>
      <c r="M435" s="37"/>
      <c r="N435" s="38">
        <f t="shared" si="110"/>
        <v>2</v>
      </c>
      <c r="O435" s="37">
        <v>1.8</v>
      </c>
      <c r="P435" s="37">
        <v>1.8</v>
      </c>
      <c r="Q435" s="38">
        <f t="shared" si="111"/>
        <v>1.8</v>
      </c>
      <c r="R435" s="17">
        <v>1.3520000000000001</v>
      </c>
      <c r="S435" s="17">
        <v>1.359</v>
      </c>
      <c r="T435" s="22">
        <f t="shared" si="112"/>
        <v>1.3560000000000001</v>
      </c>
      <c r="U435" s="34">
        <v>1.3069999999999999</v>
      </c>
      <c r="V435" s="34">
        <v>1.32</v>
      </c>
      <c r="W435" s="33">
        <f t="shared" si="113"/>
        <v>1.3140000000000001</v>
      </c>
      <c r="X435" s="17">
        <v>3.2000000000000001E-2</v>
      </c>
      <c r="Y435" s="17">
        <v>3.2000000000000001E-2</v>
      </c>
      <c r="Z435" s="21">
        <f t="shared" si="114"/>
        <v>3.2000000000000001E-2</v>
      </c>
      <c r="AA435" s="19">
        <v>1.2070000000000001</v>
      </c>
      <c r="AB435" s="19">
        <v>1.2050000000000001</v>
      </c>
      <c r="AC435" s="21">
        <f t="shared" si="115"/>
        <v>1.206</v>
      </c>
      <c r="AD435" s="19">
        <v>4.7E-2</v>
      </c>
      <c r="AE435" s="19">
        <v>4.4999999999999998E-2</v>
      </c>
      <c r="AF435" s="21">
        <f t="shared" si="116"/>
        <v>4.5999999999999999E-2</v>
      </c>
      <c r="AG435" s="30">
        <v>4.4999999999999998E-2</v>
      </c>
      <c r="AH435" s="30">
        <v>4.3999999999999997E-2</v>
      </c>
      <c r="AI435" s="31">
        <f t="shared" si="117"/>
        <v>4.4999999999999998E-2</v>
      </c>
      <c r="AJ435" s="30">
        <v>1.4E-2</v>
      </c>
      <c r="AK435" s="30">
        <v>1.4999999999999999E-2</v>
      </c>
      <c r="AL435" s="31">
        <f t="shared" si="118"/>
        <v>1.4999999999999999E-2</v>
      </c>
      <c r="AM435" s="19">
        <v>5.0369999999999999</v>
      </c>
      <c r="AN435" s="19">
        <v>5.0670000000000002</v>
      </c>
      <c r="AO435" s="21">
        <f t="shared" si="119"/>
        <v>5.0519999999999996</v>
      </c>
      <c r="AP435" s="27">
        <v>6.5799999999999997E-2</v>
      </c>
      <c r="AQ435" s="27">
        <v>6.54E-2</v>
      </c>
      <c r="AR435" s="26">
        <f t="shared" si="120"/>
        <v>6.5600000000000006E-2</v>
      </c>
      <c r="AS435" s="95">
        <v>5.13</v>
      </c>
      <c r="AT435" s="3">
        <v>1.68</v>
      </c>
    </row>
    <row r="436" spans="1:46">
      <c r="A436" s="7" t="s">
        <v>4</v>
      </c>
      <c r="B436" s="5" t="s">
        <v>49</v>
      </c>
      <c r="C436" s="6" t="s">
        <v>44</v>
      </c>
      <c r="D436" s="6" t="s">
        <v>36</v>
      </c>
      <c r="E436" s="23">
        <v>20.9</v>
      </c>
      <c r="F436" s="23">
        <v>7</v>
      </c>
      <c r="G436" s="63">
        <v>85</v>
      </c>
      <c r="H436" s="39">
        <v>9.4</v>
      </c>
      <c r="I436" s="23">
        <v>0.7</v>
      </c>
      <c r="J436" s="23">
        <v>3.6</v>
      </c>
      <c r="K436" s="37">
        <v>2.4</v>
      </c>
      <c r="L436" s="37">
        <v>2.4</v>
      </c>
      <c r="M436" s="37"/>
      <c r="N436" s="38">
        <f t="shared" si="110"/>
        <v>2.4</v>
      </c>
      <c r="O436" s="37">
        <v>2.2000000000000002</v>
      </c>
      <c r="P436" s="37">
        <v>2.2000000000000002</v>
      </c>
      <c r="Q436" s="38">
        <f t="shared" si="111"/>
        <v>2.2000000000000002</v>
      </c>
      <c r="R436" s="17">
        <v>1.4650000000000001</v>
      </c>
      <c r="S436" s="17">
        <v>1.4810000000000001</v>
      </c>
      <c r="T436" s="22">
        <f t="shared" si="112"/>
        <v>1.4730000000000001</v>
      </c>
      <c r="U436" s="34">
        <v>1.4379999999999999</v>
      </c>
      <c r="V436" s="34">
        <v>1.4350000000000001</v>
      </c>
      <c r="W436" s="33">
        <f t="shared" si="113"/>
        <v>1.4370000000000001</v>
      </c>
      <c r="X436" s="17">
        <v>0.04</v>
      </c>
      <c r="Y436" s="17">
        <v>3.9E-2</v>
      </c>
      <c r="Z436" s="21">
        <f t="shared" si="114"/>
        <v>0.04</v>
      </c>
      <c r="AA436" s="19">
        <v>1.3069999999999999</v>
      </c>
      <c r="AB436" s="19">
        <v>1.306</v>
      </c>
      <c r="AC436" s="21">
        <f t="shared" si="115"/>
        <v>1.3069999999999999</v>
      </c>
      <c r="AD436" s="19">
        <v>4.2999999999999997E-2</v>
      </c>
      <c r="AE436" s="19">
        <v>4.1000000000000002E-2</v>
      </c>
      <c r="AF436" s="21">
        <f t="shared" si="116"/>
        <v>4.2000000000000003E-2</v>
      </c>
      <c r="AG436" s="30">
        <v>4.1000000000000002E-2</v>
      </c>
      <c r="AH436" s="30">
        <v>4.1000000000000002E-2</v>
      </c>
      <c r="AI436" s="31">
        <f t="shared" si="117"/>
        <v>4.1000000000000002E-2</v>
      </c>
      <c r="AJ436" s="30">
        <v>0.01</v>
      </c>
      <c r="AK436" s="30">
        <v>0.01</v>
      </c>
      <c r="AL436" s="31">
        <f t="shared" si="118"/>
        <v>0.01</v>
      </c>
      <c r="AM436" s="19">
        <v>5.4630000000000001</v>
      </c>
      <c r="AN436" s="19">
        <v>5.4820000000000002</v>
      </c>
      <c r="AO436" s="21">
        <f t="shared" si="119"/>
        <v>5.4729999999999999</v>
      </c>
      <c r="AP436" s="27">
        <v>8.2500000000000004E-2</v>
      </c>
      <c r="AQ436" s="27">
        <v>8.2600000000000007E-2</v>
      </c>
      <c r="AR436" s="26">
        <f t="shared" si="120"/>
        <v>8.2600000000000007E-2</v>
      </c>
      <c r="AS436" s="95">
        <v>6.46</v>
      </c>
      <c r="AT436" s="97">
        <v>2</v>
      </c>
    </row>
    <row r="437" spans="1:46">
      <c r="A437" s="7" t="s">
        <v>5</v>
      </c>
      <c r="B437" s="5" t="s">
        <v>50</v>
      </c>
      <c r="C437" s="6" t="s">
        <v>42</v>
      </c>
      <c r="D437" s="6" t="s">
        <v>51</v>
      </c>
      <c r="E437" s="23">
        <v>21.5</v>
      </c>
      <c r="F437" s="23">
        <v>6.7</v>
      </c>
      <c r="G437" s="63">
        <v>93</v>
      </c>
      <c r="H437" s="39">
        <v>8.6</v>
      </c>
      <c r="I437" s="23">
        <v>0.8</v>
      </c>
      <c r="J437" s="23">
        <v>2.6</v>
      </c>
      <c r="K437" s="37">
        <v>1.8</v>
      </c>
      <c r="L437" s="37">
        <v>1.7</v>
      </c>
      <c r="M437" s="37"/>
      <c r="N437" s="38">
        <f t="shared" si="110"/>
        <v>1.8</v>
      </c>
      <c r="O437" s="37">
        <v>1.6</v>
      </c>
      <c r="P437" s="37">
        <v>1.5</v>
      </c>
      <c r="Q437" s="38">
        <f t="shared" si="111"/>
        <v>1.6</v>
      </c>
      <c r="R437" s="17">
        <v>2.04</v>
      </c>
      <c r="S437" s="17">
        <v>2.077</v>
      </c>
      <c r="T437" s="22">
        <f t="shared" si="112"/>
        <v>2.0590000000000002</v>
      </c>
      <c r="U437" s="34">
        <v>1.9950000000000001</v>
      </c>
      <c r="V437" s="34">
        <v>2.012</v>
      </c>
      <c r="W437" s="33">
        <f t="shared" si="113"/>
        <v>2.004</v>
      </c>
      <c r="X437" s="17">
        <v>0.04</v>
      </c>
      <c r="Y437" s="17">
        <v>0.04</v>
      </c>
      <c r="Z437" s="21">
        <f t="shared" si="114"/>
        <v>0.04</v>
      </c>
      <c r="AA437" s="19">
        <v>1.92</v>
      </c>
      <c r="AB437" s="19">
        <v>1.9159999999999999</v>
      </c>
      <c r="AC437" s="21">
        <f t="shared" si="115"/>
        <v>1.9179999999999999</v>
      </c>
      <c r="AD437" s="19">
        <v>0.108</v>
      </c>
      <c r="AE437" s="19">
        <v>0.107</v>
      </c>
      <c r="AF437" s="21">
        <f t="shared" si="116"/>
        <v>0.108</v>
      </c>
      <c r="AG437" s="30">
        <v>0.105</v>
      </c>
      <c r="AH437" s="30">
        <v>0.10100000000000001</v>
      </c>
      <c r="AI437" s="31">
        <f t="shared" si="117"/>
        <v>0.10299999999999999</v>
      </c>
      <c r="AJ437" s="30">
        <v>7.6999999999999999E-2</v>
      </c>
      <c r="AK437" s="30">
        <v>7.8E-2</v>
      </c>
      <c r="AL437" s="31">
        <f t="shared" si="118"/>
        <v>7.8E-2</v>
      </c>
      <c r="AM437" s="19">
        <v>5.4589999999999996</v>
      </c>
      <c r="AN437" s="19">
        <v>5.4779999999999998</v>
      </c>
      <c r="AO437" s="21">
        <f t="shared" si="119"/>
        <v>5.4690000000000003</v>
      </c>
      <c r="AP437" s="27">
        <v>5.0500000000000003E-2</v>
      </c>
      <c r="AQ437" s="27">
        <v>4.9700000000000001E-2</v>
      </c>
      <c r="AR437" s="26">
        <f t="shared" si="120"/>
        <v>5.0099999999999999E-2</v>
      </c>
      <c r="AS437" s="95">
        <v>9.15</v>
      </c>
      <c r="AT437" s="3">
        <v>2.52</v>
      </c>
    </row>
    <row r="438" spans="1:46">
      <c r="A438" s="7" t="s">
        <v>6</v>
      </c>
      <c r="B438" s="5" t="s">
        <v>52</v>
      </c>
      <c r="C438" s="6" t="s">
        <v>53</v>
      </c>
      <c r="D438" s="6" t="s">
        <v>36</v>
      </c>
      <c r="E438" s="23">
        <v>21.7</v>
      </c>
      <c r="F438" s="23">
        <v>6.6</v>
      </c>
      <c r="G438" s="63">
        <v>94</v>
      </c>
      <c r="H438" s="39">
        <v>8.6999999999999993</v>
      </c>
      <c r="I438" s="23">
        <v>0.9</v>
      </c>
      <c r="J438" s="23">
        <v>3.4</v>
      </c>
      <c r="K438" s="37">
        <v>2.1</v>
      </c>
      <c r="L438" s="37">
        <v>2.2999999999999998</v>
      </c>
      <c r="M438" s="37"/>
      <c r="N438" s="38">
        <f t="shared" si="110"/>
        <v>2.2000000000000002</v>
      </c>
      <c r="O438" s="37">
        <v>1.9</v>
      </c>
      <c r="P438" s="37">
        <v>1.9</v>
      </c>
      <c r="Q438" s="38">
        <f t="shared" si="111"/>
        <v>1.9</v>
      </c>
      <c r="R438" s="17">
        <v>1.633</v>
      </c>
      <c r="S438" s="17">
        <v>1.671</v>
      </c>
      <c r="T438" s="22">
        <f t="shared" si="112"/>
        <v>1.6519999999999999</v>
      </c>
      <c r="U438" s="34">
        <v>1.6220000000000001</v>
      </c>
      <c r="V438" s="34">
        <v>1.5920000000000001</v>
      </c>
      <c r="W438" s="33">
        <f t="shared" si="113"/>
        <v>1.607</v>
      </c>
      <c r="X438" s="17">
        <v>3.9E-2</v>
      </c>
      <c r="Y438" s="17">
        <v>3.7999999999999999E-2</v>
      </c>
      <c r="Z438" s="21">
        <f t="shared" si="114"/>
        <v>3.9E-2</v>
      </c>
      <c r="AA438" s="19">
        <v>1.4830000000000001</v>
      </c>
      <c r="AB438" s="19">
        <v>1.48</v>
      </c>
      <c r="AC438" s="21">
        <f t="shared" si="115"/>
        <v>1.482</v>
      </c>
      <c r="AD438" s="19">
        <v>6.8000000000000005E-2</v>
      </c>
      <c r="AE438" s="19">
        <v>6.6000000000000003E-2</v>
      </c>
      <c r="AF438" s="21">
        <f t="shared" si="116"/>
        <v>6.7000000000000004E-2</v>
      </c>
      <c r="AG438" s="30">
        <v>6.6000000000000003E-2</v>
      </c>
      <c r="AH438" s="30">
        <v>6.5000000000000002E-2</v>
      </c>
      <c r="AI438" s="31">
        <f t="shared" si="117"/>
        <v>6.6000000000000003E-2</v>
      </c>
      <c r="AJ438" s="30">
        <v>0.03</v>
      </c>
      <c r="AK438" s="30">
        <v>0.03</v>
      </c>
      <c r="AL438" s="31">
        <f t="shared" si="118"/>
        <v>0.03</v>
      </c>
      <c r="AM438" s="19">
        <v>5.4930000000000003</v>
      </c>
      <c r="AN438" s="19">
        <v>5.51</v>
      </c>
      <c r="AO438" s="21">
        <f t="shared" si="119"/>
        <v>5.5019999999999998</v>
      </c>
      <c r="AP438" s="27">
        <v>7.0800000000000002E-2</v>
      </c>
      <c r="AQ438" s="27">
        <v>7.0800000000000002E-2</v>
      </c>
      <c r="AR438" s="26">
        <f t="shared" si="120"/>
        <v>7.0800000000000002E-2</v>
      </c>
      <c r="AS438" s="95">
        <v>7.09</v>
      </c>
      <c r="AT438" s="97">
        <v>2.09</v>
      </c>
    </row>
    <row r="439" spans="1:46">
      <c r="A439" s="7" t="s">
        <v>7</v>
      </c>
      <c r="B439" s="5" t="s">
        <v>54</v>
      </c>
      <c r="C439" s="6" t="s">
        <v>55</v>
      </c>
      <c r="D439" s="6" t="s">
        <v>56</v>
      </c>
      <c r="E439" s="23">
        <v>21.8</v>
      </c>
      <c r="F439" s="23">
        <v>7</v>
      </c>
      <c r="G439" s="63">
        <v>76</v>
      </c>
      <c r="H439" s="39">
        <v>8.6</v>
      </c>
      <c r="I439" s="23">
        <v>0.7</v>
      </c>
      <c r="J439" s="23">
        <v>3.6</v>
      </c>
      <c r="K439" s="37">
        <v>2.2999999999999998</v>
      </c>
      <c r="L439" s="37">
        <v>2.1</v>
      </c>
      <c r="M439" s="37"/>
      <c r="N439" s="38">
        <f t="shared" si="110"/>
        <v>2.2000000000000002</v>
      </c>
      <c r="O439" s="37">
        <v>2.1</v>
      </c>
      <c r="P439" s="37">
        <v>2.1</v>
      </c>
      <c r="Q439" s="38">
        <f t="shared" si="111"/>
        <v>2.1</v>
      </c>
      <c r="R439" s="17">
        <v>1.004</v>
      </c>
      <c r="S439" s="17">
        <v>1.0289999999999999</v>
      </c>
      <c r="T439" s="22">
        <f t="shared" si="112"/>
        <v>1.0169999999999999</v>
      </c>
      <c r="U439" s="34">
        <v>0.96599999999999997</v>
      </c>
      <c r="V439" s="34">
        <v>0.96299999999999997</v>
      </c>
      <c r="W439" s="33">
        <f t="shared" si="113"/>
        <v>0.96499999999999997</v>
      </c>
      <c r="X439" s="17">
        <v>0.05</v>
      </c>
      <c r="Y439" s="17">
        <v>4.9000000000000002E-2</v>
      </c>
      <c r="Z439" s="21">
        <f t="shared" si="114"/>
        <v>0.05</v>
      </c>
      <c r="AA439" s="19">
        <v>0.85299999999999998</v>
      </c>
      <c r="AB439" s="19">
        <v>0.85299999999999998</v>
      </c>
      <c r="AC439" s="21">
        <f t="shared" si="115"/>
        <v>0.85299999999999998</v>
      </c>
      <c r="AD439" s="19">
        <v>4.3999999999999997E-2</v>
      </c>
      <c r="AE439" s="19">
        <v>4.2999999999999997E-2</v>
      </c>
      <c r="AF439" s="21">
        <f t="shared" si="116"/>
        <v>4.3999999999999997E-2</v>
      </c>
      <c r="AG439" s="30">
        <v>4.2999999999999997E-2</v>
      </c>
      <c r="AH439" s="30">
        <v>0.04</v>
      </c>
      <c r="AI439" s="31">
        <f t="shared" si="117"/>
        <v>4.2000000000000003E-2</v>
      </c>
      <c r="AJ439" s="30">
        <v>1.6E-2</v>
      </c>
      <c r="AK439" s="30">
        <v>1.4E-2</v>
      </c>
      <c r="AL439" s="31">
        <f t="shared" si="118"/>
        <v>1.4999999999999999E-2</v>
      </c>
      <c r="AM439" s="19">
        <v>5.085</v>
      </c>
      <c r="AN439" s="19">
        <v>5.0960000000000001</v>
      </c>
      <c r="AO439" s="21">
        <f t="shared" si="119"/>
        <v>5.0910000000000002</v>
      </c>
      <c r="AP439" s="27">
        <v>7.1300000000000002E-2</v>
      </c>
      <c r="AQ439" s="27">
        <v>7.1300000000000002E-2</v>
      </c>
      <c r="AR439" s="26">
        <f t="shared" si="120"/>
        <v>7.1300000000000002E-2</v>
      </c>
      <c r="AS439" s="95">
        <v>5.73</v>
      </c>
      <c r="AT439" s="3">
        <v>1.39</v>
      </c>
    </row>
    <row r="440" spans="1:46">
      <c r="A440" s="7" t="s">
        <v>8</v>
      </c>
      <c r="B440" s="5" t="s">
        <v>54</v>
      </c>
      <c r="C440" s="6" t="s">
        <v>44</v>
      </c>
      <c r="D440" s="6" t="s">
        <v>36</v>
      </c>
      <c r="E440" s="23">
        <v>22.2</v>
      </c>
      <c r="F440" s="23">
        <v>6.9</v>
      </c>
      <c r="G440" s="63">
        <v>100</v>
      </c>
      <c r="H440" s="39">
        <v>8.4</v>
      </c>
      <c r="I440" s="23">
        <v>0.9</v>
      </c>
      <c r="J440" s="23">
        <v>3.7</v>
      </c>
      <c r="K440" s="37">
        <v>2.5</v>
      </c>
      <c r="L440" s="37">
        <v>2.4</v>
      </c>
      <c r="M440" s="37"/>
      <c r="N440" s="38">
        <f t="shared" si="110"/>
        <v>2.5</v>
      </c>
      <c r="O440" s="37">
        <v>2.1</v>
      </c>
      <c r="P440" s="37">
        <v>2</v>
      </c>
      <c r="Q440" s="38">
        <f t="shared" si="111"/>
        <v>2.1</v>
      </c>
      <c r="R440" s="17">
        <v>1.8049999999999999</v>
      </c>
      <c r="S440" s="17">
        <v>1.8149999999999999</v>
      </c>
      <c r="T440" s="22">
        <f t="shared" si="112"/>
        <v>1.81</v>
      </c>
      <c r="U440" s="34">
        <v>1.7130000000000001</v>
      </c>
      <c r="V440" s="34">
        <v>1.726</v>
      </c>
      <c r="W440" s="33">
        <f t="shared" si="113"/>
        <v>1.72</v>
      </c>
      <c r="X440" s="17">
        <v>6.0999999999999999E-2</v>
      </c>
      <c r="Y440" s="17">
        <v>0.06</v>
      </c>
      <c r="Z440" s="21">
        <f t="shared" si="114"/>
        <v>6.0999999999999999E-2</v>
      </c>
      <c r="AA440" s="19">
        <v>1.581</v>
      </c>
      <c r="AB440" s="19">
        <v>1.58</v>
      </c>
      <c r="AC440" s="21">
        <f t="shared" si="115"/>
        <v>1.581</v>
      </c>
      <c r="AD440" s="19">
        <v>0.104</v>
      </c>
      <c r="AE440" s="19">
        <v>0.10199999999999999</v>
      </c>
      <c r="AF440" s="21">
        <f t="shared" si="116"/>
        <v>0.10299999999999999</v>
      </c>
      <c r="AG440" s="30">
        <v>0.10100000000000001</v>
      </c>
      <c r="AH440" s="30">
        <v>0.10100000000000001</v>
      </c>
      <c r="AI440" s="31">
        <f t="shared" si="117"/>
        <v>0.10100000000000001</v>
      </c>
      <c r="AJ440" s="30">
        <v>5.5E-2</v>
      </c>
      <c r="AK440" s="30">
        <v>0.06</v>
      </c>
      <c r="AL440" s="31">
        <f t="shared" si="118"/>
        <v>5.8000000000000003E-2</v>
      </c>
      <c r="AM440" s="19">
        <v>5.75</v>
      </c>
      <c r="AN440" s="19">
        <v>5.7590000000000003</v>
      </c>
      <c r="AO440" s="21">
        <f t="shared" si="119"/>
        <v>5.7549999999999999</v>
      </c>
      <c r="AP440" s="27">
        <v>7.2099999999999997E-2</v>
      </c>
      <c r="AQ440" s="27">
        <v>7.2099999999999997E-2</v>
      </c>
      <c r="AR440" s="26">
        <f t="shared" si="120"/>
        <v>7.2099999999999997E-2</v>
      </c>
      <c r="AS440" s="95">
        <v>8.2799999999999994</v>
      </c>
      <c r="AT440" s="97">
        <v>2.52</v>
      </c>
    </row>
    <row r="441" spans="1:46">
      <c r="A441" s="7" t="s">
        <v>9</v>
      </c>
      <c r="B441" s="5" t="s">
        <v>57</v>
      </c>
      <c r="C441" s="6" t="s">
        <v>58</v>
      </c>
      <c r="D441" s="6" t="s">
        <v>59</v>
      </c>
      <c r="E441" s="23">
        <v>22.9</v>
      </c>
      <c r="F441" s="23">
        <v>6.8</v>
      </c>
      <c r="G441" s="63">
        <v>118</v>
      </c>
      <c r="H441" s="39">
        <v>8.4</v>
      </c>
      <c r="I441" s="23">
        <v>1</v>
      </c>
      <c r="J441" s="23">
        <v>3.5</v>
      </c>
      <c r="K441" s="37">
        <v>2</v>
      </c>
      <c r="L441" s="37">
        <v>2.2999999999999998</v>
      </c>
      <c r="M441" s="37"/>
      <c r="N441" s="38">
        <f t="shared" si="110"/>
        <v>2.2000000000000002</v>
      </c>
      <c r="O441" s="37">
        <v>2</v>
      </c>
      <c r="P441" s="37">
        <v>1.9</v>
      </c>
      <c r="Q441" s="38">
        <f t="shared" si="111"/>
        <v>2</v>
      </c>
      <c r="R441" s="17">
        <v>2.5539999999999998</v>
      </c>
      <c r="S441" s="17">
        <v>2.5739999999999998</v>
      </c>
      <c r="T441" s="22">
        <f t="shared" si="112"/>
        <v>2.5640000000000001</v>
      </c>
      <c r="U441" s="34">
        <v>2.5289999999999999</v>
      </c>
      <c r="V441" s="34">
        <v>2.5089999999999999</v>
      </c>
      <c r="W441" s="33">
        <f t="shared" si="113"/>
        <v>2.5190000000000001</v>
      </c>
      <c r="X441" s="17">
        <v>3.5999999999999997E-2</v>
      </c>
      <c r="Y441" s="17">
        <v>3.5000000000000003E-2</v>
      </c>
      <c r="Z441" s="21">
        <f t="shared" si="114"/>
        <v>3.5999999999999997E-2</v>
      </c>
      <c r="AA441" s="19">
        <v>2.3809999999999998</v>
      </c>
      <c r="AB441" s="19">
        <v>2.3969999999999998</v>
      </c>
      <c r="AC441" s="21">
        <f t="shared" si="115"/>
        <v>2.3889999999999998</v>
      </c>
      <c r="AD441" s="19">
        <v>2.7E-2</v>
      </c>
      <c r="AE441" s="19">
        <v>2.3E-2</v>
      </c>
      <c r="AF441" s="21">
        <f t="shared" si="116"/>
        <v>2.5000000000000001E-2</v>
      </c>
      <c r="AG441" s="30">
        <v>2.4500000000000001E-2</v>
      </c>
      <c r="AH441" s="30">
        <v>2.4E-2</v>
      </c>
      <c r="AI441" s="31">
        <f t="shared" si="117"/>
        <v>2.4E-2</v>
      </c>
      <c r="AJ441" s="30">
        <v>4.0000000000000001E-3</v>
      </c>
      <c r="AK441" s="30">
        <v>2E-3</v>
      </c>
      <c r="AL441" s="31">
        <f t="shared" si="118"/>
        <v>3.0000000000000001E-3</v>
      </c>
      <c r="AM441" s="19">
        <v>4.8479999999999999</v>
      </c>
      <c r="AN441" s="19">
        <v>4.851</v>
      </c>
      <c r="AO441" s="21">
        <f t="shared" si="119"/>
        <v>4.8499999999999996</v>
      </c>
      <c r="AP441" s="27">
        <v>5.6300000000000003E-2</v>
      </c>
      <c r="AQ441" s="27">
        <v>5.5899999999999998E-2</v>
      </c>
      <c r="AR441" s="26">
        <f t="shared" si="120"/>
        <v>5.6099999999999997E-2</v>
      </c>
      <c r="AS441" s="95">
        <v>8.2899999999999991</v>
      </c>
      <c r="AT441" s="3">
        <v>1.39</v>
      </c>
    </row>
    <row r="442" spans="1:46">
      <c r="A442" s="7" t="s">
        <v>10</v>
      </c>
      <c r="B442" s="5" t="s">
        <v>60</v>
      </c>
      <c r="C442" s="6" t="s">
        <v>61</v>
      </c>
      <c r="D442" s="6" t="s">
        <v>36</v>
      </c>
      <c r="E442" s="23">
        <v>22.2</v>
      </c>
      <c r="F442" s="23">
        <v>6.8</v>
      </c>
      <c r="G442" s="63">
        <v>105</v>
      </c>
      <c r="H442" s="39">
        <v>8.6</v>
      </c>
      <c r="I442" s="23">
        <v>0.9</v>
      </c>
      <c r="J442" s="23">
        <v>3.7</v>
      </c>
      <c r="K442" s="37">
        <v>2.2000000000000002</v>
      </c>
      <c r="L442" s="37">
        <v>2.2000000000000002</v>
      </c>
      <c r="M442" s="37"/>
      <c r="N442" s="38">
        <f t="shared" si="110"/>
        <v>2.2000000000000002</v>
      </c>
      <c r="O442" s="37">
        <v>2</v>
      </c>
      <c r="P442" s="37">
        <v>2</v>
      </c>
      <c r="Q442" s="38">
        <f t="shared" si="111"/>
        <v>2</v>
      </c>
      <c r="R442" s="17">
        <v>1.9319999999999999</v>
      </c>
      <c r="S442" s="17">
        <v>1.9330000000000001</v>
      </c>
      <c r="T442" s="22">
        <f t="shared" si="112"/>
        <v>1.9330000000000001</v>
      </c>
      <c r="U442" s="34">
        <v>1.895</v>
      </c>
      <c r="V442" s="34">
        <v>1.883</v>
      </c>
      <c r="W442" s="33">
        <f t="shared" si="113"/>
        <v>1.889</v>
      </c>
      <c r="X442" s="17">
        <v>4.3999999999999997E-2</v>
      </c>
      <c r="Y442" s="17">
        <v>4.2999999999999997E-2</v>
      </c>
      <c r="Z442" s="21">
        <f t="shared" si="114"/>
        <v>4.3999999999999997E-2</v>
      </c>
      <c r="AA442" s="19">
        <v>1.7350000000000001</v>
      </c>
      <c r="AB442" s="19">
        <v>1.736</v>
      </c>
      <c r="AC442" s="21">
        <f t="shared" si="115"/>
        <v>1.736</v>
      </c>
      <c r="AD442" s="19">
        <v>7.0999999999999994E-2</v>
      </c>
      <c r="AE442" s="19">
        <v>7.0000000000000007E-2</v>
      </c>
      <c r="AF442" s="21">
        <f t="shared" si="116"/>
        <v>7.0999999999999994E-2</v>
      </c>
      <c r="AG442" s="30">
        <v>7.0000000000000007E-2</v>
      </c>
      <c r="AH442" s="30">
        <v>6.8000000000000005E-2</v>
      </c>
      <c r="AI442" s="31">
        <f t="shared" si="117"/>
        <v>6.9000000000000006E-2</v>
      </c>
      <c r="AJ442" s="30">
        <v>3.4000000000000002E-2</v>
      </c>
      <c r="AK442" s="30">
        <v>3.5000000000000003E-2</v>
      </c>
      <c r="AL442" s="31">
        <f t="shared" si="118"/>
        <v>3.5000000000000003E-2</v>
      </c>
      <c r="AM442" s="19">
        <v>5.4489999999999998</v>
      </c>
      <c r="AN442" s="19">
        <v>5.4539999999999997</v>
      </c>
      <c r="AO442" s="21">
        <f t="shared" si="119"/>
        <v>5.452</v>
      </c>
      <c r="AP442" s="27">
        <v>7.17E-2</v>
      </c>
      <c r="AQ442" s="27">
        <v>7.17E-2</v>
      </c>
      <c r="AR442" s="26">
        <f t="shared" si="120"/>
        <v>7.17E-2</v>
      </c>
      <c r="AS442" s="95">
        <v>7.46</v>
      </c>
      <c r="AT442" s="97">
        <v>2.1</v>
      </c>
    </row>
    <row r="443" spans="1:46">
      <c r="A443" s="7" t="s">
        <v>11</v>
      </c>
      <c r="B443" s="5" t="s">
        <v>108</v>
      </c>
      <c r="C443" s="6" t="s">
        <v>62</v>
      </c>
      <c r="D443" s="6" t="s">
        <v>63</v>
      </c>
      <c r="E443" s="23">
        <v>22.2</v>
      </c>
      <c r="F443" s="23">
        <v>6.7</v>
      </c>
      <c r="G443" s="63">
        <v>115</v>
      </c>
      <c r="H443" s="39">
        <v>8.5</v>
      </c>
      <c r="I443" s="23">
        <v>0.9</v>
      </c>
      <c r="J443" s="23">
        <v>4.7</v>
      </c>
      <c r="K443" s="37">
        <v>2.9</v>
      </c>
      <c r="L443" s="37">
        <v>2.9</v>
      </c>
      <c r="M443" s="37"/>
      <c r="N443" s="38">
        <f t="shared" si="110"/>
        <v>2.9</v>
      </c>
      <c r="O443" s="37">
        <v>2.5</v>
      </c>
      <c r="P443" s="37">
        <v>2.6</v>
      </c>
      <c r="Q443" s="38">
        <f t="shared" si="111"/>
        <v>2.6</v>
      </c>
      <c r="R443" s="17">
        <v>2.113</v>
      </c>
      <c r="S443" s="17">
        <v>2.1579999999999999</v>
      </c>
      <c r="T443" s="22">
        <f t="shared" si="112"/>
        <v>2.1360000000000001</v>
      </c>
      <c r="U443" s="34">
        <v>2.1019999999999999</v>
      </c>
      <c r="V443" s="34">
        <v>2.1150000000000002</v>
      </c>
      <c r="W443" s="33">
        <f t="shared" si="113"/>
        <v>2.109</v>
      </c>
      <c r="X443" s="17">
        <v>4.5999999999999999E-2</v>
      </c>
      <c r="Y443" s="17">
        <v>4.4999999999999998E-2</v>
      </c>
      <c r="Z443" s="21">
        <f t="shared" si="114"/>
        <v>4.5999999999999999E-2</v>
      </c>
      <c r="AA443" s="19">
        <v>1.9530000000000001</v>
      </c>
      <c r="AB443" s="19">
        <v>1.956</v>
      </c>
      <c r="AC443" s="21">
        <f t="shared" si="115"/>
        <v>1.9550000000000001</v>
      </c>
      <c r="AD443" s="19">
        <v>7.1999999999999995E-2</v>
      </c>
      <c r="AE443" s="19">
        <v>7.0999999999999994E-2</v>
      </c>
      <c r="AF443" s="21">
        <f t="shared" si="116"/>
        <v>7.1999999999999995E-2</v>
      </c>
      <c r="AG443" s="30">
        <v>6.7000000000000004E-2</v>
      </c>
      <c r="AH443" s="30">
        <v>6.9000000000000006E-2</v>
      </c>
      <c r="AI443" s="31">
        <f t="shared" si="117"/>
        <v>6.8000000000000005E-2</v>
      </c>
      <c r="AJ443" s="30">
        <v>3.1E-2</v>
      </c>
      <c r="AK443" s="30">
        <v>3.1E-2</v>
      </c>
      <c r="AL443" s="31">
        <f t="shared" si="118"/>
        <v>3.1E-2</v>
      </c>
      <c r="AM443" s="19">
        <v>5.8769999999999998</v>
      </c>
      <c r="AN443" s="19">
        <v>5.8869999999999996</v>
      </c>
      <c r="AO443" s="21">
        <f t="shared" si="119"/>
        <v>5.8819999999999997</v>
      </c>
      <c r="AP443" s="27">
        <v>0.1048</v>
      </c>
      <c r="AQ443" s="27">
        <v>0.1047</v>
      </c>
      <c r="AR443" s="26">
        <f t="shared" si="120"/>
        <v>0.1048</v>
      </c>
      <c r="AS443" s="95">
        <v>4.8099999999999996</v>
      </c>
      <c r="AT443" s="3">
        <v>2.5</v>
      </c>
    </row>
    <row r="444" spans="1:46">
      <c r="A444" s="7" t="s">
        <v>12</v>
      </c>
      <c r="B444" s="5" t="s">
        <v>64</v>
      </c>
      <c r="C444" s="6" t="s">
        <v>65</v>
      </c>
      <c r="D444" s="6" t="s">
        <v>36</v>
      </c>
      <c r="E444" s="23">
        <v>21.9</v>
      </c>
      <c r="F444" s="23">
        <v>7.3</v>
      </c>
      <c r="G444" s="63">
        <v>106</v>
      </c>
      <c r="H444" s="39">
        <v>8.6</v>
      </c>
      <c r="I444" s="23">
        <v>0.9</v>
      </c>
      <c r="J444" s="23">
        <v>4</v>
      </c>
      <c r="K444" s="37">
        <v>2.5</v>
      </c>
      <c r="L444" s="37">
        <v>2.6</v>
      </c>
      <c r="M444" s="37"/>
      <c r="N444" s="38">
        <f t="shared" si="110"/>
        <v>2.6</v>
      </c>
      <c r="O444" s="37">
        <v>2.2000000000000002</v>
      </c>
      <c r="P444" s="37">
        <v>2.2000000000000002</v>
      </c>
      <c r="Q444" s="38">
        <f t="shared" si="111"/>
        <v>2.2000000000000002</v>
      </c>
      <c r="R444" s="17">
        <v>2.0619999999999998</v>
      </c>
      <c r="S444" s="17">
        <v>2.0569999999999999</v>
      </c>
      <c r="T444" s="22">
        <f t="shared" si="112"/>
        <v>2.06</v>
      </c>
      <c r="U444" s="34">
        <v>2.0089999999999999</v>
      </c>
      <c r="V444" s="34">
        <v>1.9950000000000001</v>
      </c>
      <c r="W444" s="33">
        <f t="shared" si="113"/>
        <v>2.0019999999999998</v>
      </c>
      <c r="X444" s="17">
        <v>4.4999999999999998E-2</v>
      </c>
      <c r="Y444" s="17">
        <v>4.3999999999999997E-2</v>
      </c>
      <c r="Z444" s="21">
        <f t="shared" si="114"/>
        <v>4.4999999999999998E-2</v>
      </c>
      <c r="AA444" s="19">
        <v>1.8420000000000001</v>
      </c>
      <c r="AB444" s="19">
        <v>1.845</v>
      </c>
      <c r="AC444" s="21">
        <f t="shared" si="115"/>
        <v>1.8440000000000001</v>
      </c>
      <c r="AD444" s="19">
        <v>8.2000000000000003E-2</v>
      </c>
      <c r="AE444" s="19">
        <v>0.08</v>
      </c>
      <c r="AF444" s="21">
        <f t="shared" si="116"/>
        <v>8.1000000000000003E-2</v>
      </c>
      <c r="AG444" s="30">
        <v>7.8E-2</v>
      </c>
      <c r="AH444" s="30">
        <v>7.1999999999999995E-2</v>
      </c>
      <c r="AI444" s="31">
        <f t="shared" si="117"/>
        <v>7.4999999999999997E-2</v>
      </c>
      <c r="AJ444" s="30">
        <v>4.2000000000000003E-2</v>
      </c>
      <c r="AK444" s="30">
        <v>4.2000000000000003E-2</v>
      </c>
      <c r="AL444" s="31">
        <f t="shared" si="118"/>
        <v>4.2000000000000003E-2</v>
      </c>
      <c r="AM444" s="19">
        <v>5.5890000000000004</v>
      </c>
      <c r="AN444" s="19">
        <v>5.5890000000000004</v>
      </c>
      <c r="AO444" s="21">
        <f t="shared" si="119"/>
        <v>5.5890000000000004</v>
      </c>
      <c r="AP444" s="27">
        <v>7.9200000000000007E-2</v>
      </c>
      <c r="AQ444" s="27">
        <v>7.8899999999999998E-2</v>
      </c>
      <c r="AR444" s="26">
        <f t="shared" si="120"/>
        <v>7.9100000000000004E-2</v>
      </c>
      <c r="AS444" s="3">
        <v>7.03</v>
      </c>
      <c r="AT444" s="97">
        <v>2.77</v>
      </c>
    </row>
    <row r="445" spans="1:46">
      <c r="A445" s="7" t="s">
        <v>13</v>
      </c>
      <c r="B445" s="5" t="s">
        <v>66</v>
      </c>
      <c r="C445" s="6" t="s">
        <v>44</v>
      </c>
      <c r="D445" s="6" t="s">
        <v>67</v>
      </c>
      <c r="E445" s="23">
        <v>22.4</v>
      </c>
      <c r="F445" s="23">
        <v>6.6</v>
      </c>
      <c r="G445" s="63">
        <v>143</v>
      </c>
      <c r="H445" s="39">
        <v>8</v>
      </c>
      <c r="I445" s="23">
        <v>1</v>
      </c>
      <c r="J445" s="23">
        <v>5.8</v>
      </c>
      <c r="K445" s="37">
        <v>4.0999999999999996</v>
      </c>
      <c r="L445" s="37">
        <v>4.0999999999999996</v>
      </c>
      <c r="M445" s="37"/>
      <c r="N445" s="38">
        <f t="shared" si="110"/>
        <v>4.0999999999999996</v>
      </c>
      <c r="O445" s="37">
        <v>3.7</v>
      </c>
      <c r="P445" s="37">
        <v>3.6</v>
      </c>
      <c r="Q445" s="38">
        <f t="shared" si="111"/>
        <v>3.7</v>
      </c>
      <c r="R445" s="17">
        <v>2.9790000000000001</v>
      </c>
      <c r="S445" s="17">
        <v>2.9860000000000002</v>
      </c>
      <c r="T445" s="22">
        <f t="shared" si="112"/>
        <v>2.9830000000000001</v>
      </c>
      <c r="U445" s="34">
        <v>2.93</v>
      </c>
      <c r="V445" s="34">
        <v>2.9449999999999998</v>
      </c>
      <c r="W445" s="33">
        <f t="shared" si="113"/>
        <v>2.9380000000000002</v>
      </c>
      <c r="X445" s="17">
        <v>7.8E-2</v>
      </c>
      <c r="Y445" s="17">
        <v>7.6999999999999999E-2</v>
      </c>
      <c r="Z445" s="21">
        <f t="shared" si="114"/>
        <v>7.8E-2</v>
      </c>
      <c r="AA445" s="19">
        <v>2.673</v>
      </c>
      <c r="AB445" s="19">
        <v>2.6720000000000002</v>
      </c>
      <c r="AC445" s="21">
        <f t="shared" si="115"/>
        <v>2.673</v>
      </c>
      <c r="AD445" s="19">
        <v>9.6000000000000002E-2</v>
      </c>
      <c r="AE445" s="19">
        <v>9.4E-2</v>
      </c>
      <c r="AF445" s="21">
        <f t="shared" si="116"/>
        <v>9.5000000000000001E-2</v>
      </c>
      <c r="AG445" s="30">
        <v>9.0999999999999998E-2</v>
      </c>
      <c r="AH445" s="30">
        <v>9.2999999999999999E-2</v>
      </c>
      <c r="AI445" s="31">
        <f t="shared" si="117"/>
        <v>9.1999999999999998E-2</v>
      </c>
      <c r="AJ445" s="30">
        <v>4.8000000000000001E-2</v>
      </c>
      <c r="AK445" s="30">
        <v>4.7E-2</v>
      </c>
      <c r="AL445" s="31">
        <f t="shared" si="118"/>
        <v>4.8000000000000001E-2</v>
      </c>
      <c r="AM445" s="19">
        <v>6.89</v>
      </c>
      <c r="AN445" s="19">
        <v>6.8940000000000001</v>
      </c>
      <c r="AO445" s="21">
        <f t="shared" si="119"/>
        <v>6.8920000000000003</v>
      </c>
      <c r="AP445" s="27">
        <v>0.14630000000000001</v>
      </c>
      <c r="AQ445" s="27">
        <v>0.1467</v>
      </c>
      <c r="AR445" s="26">
        <f t="shared" si="120"/>
        <v>0.14649999999999999</v>
      </c>
      <c r="AS445" s="3">
        <v>6.74</v>
      </c>
      <c r="AT445" s="3">
        <v>2.6</v>
      </c>
    </row>
    <row r="446" spans="1:46">
      <c r="A446" s="7" t="s">
        <v>14</v>
      </c>
      <c r="B446" s="5" t="s">
        <v>64</v>
      </c>
      <c r="C446" s="6" t="s">
        <v>68</v>
      </c>
      <c r="D446" s="6" t="s">
        <v>36</v>
      </c>
      <c r="E446" s="23">
        <v>22</v>
      </c>
      <c r="F446" s="23">
        <v>6.7</v>
      </c>
      <c r="G446" s="63">
        <v>109</v>
      </c>
      <c r="H446" s="39">
        <v>8.5</v>
      </c>
      <c r="I446" s="23">
        <v>1</v>
      </c>
      <c r="J446" s="23">
        <v>3.9</v>
      </c>
      <c r="K446" s="37">
        <v>2.6</v>
      </c>
      <c r="L446" s="37">
        <v>2.8</v>
      </c>
      <c r="M446" s="37"/>
      <c r="N446" s="38">
        <f t="shared" si="110"/>
        <v>2.7</v>
      </c>
      <c r="O446" s="37">
        <v>2.5</v>
      </c>
      <c r="P446" s="37">
        <v>2.4</v>
      </c>
      <c r="Q446" s="38">
        <f t="shared" si="111"/>
        <v>2.5</v>
      </c>
      <c r="R446" s="17">
        <v>2.1549999999999998</v>
      </c>
      <c r="S446" s="17">
        <v>2.1850000000000001</v>
      </c>
      <c r="T446" s="22">
        <f t="shared" si="112"/>
        <v>2.17</v>
      </c>
      <c r="U446" s="34">
        <v>2.1349999999999998</v>
      </c>
      <c r="V446" s="34">
        <v>2.1</v>
      </c>
      <c r="W446" s="33">
        <f t="shared" si="113"/>
        <v>2.1179999999999999</v>
      </c>
      <c r="X446" s="17">
        <v>0.05</v>
      </c>
      <c r="Y446" s="17">
        <v>0.05</v>
      </c>
      <c r="Z446" s="21">
        <f t="shared" si="114"/>
        <v>0.05</v>
      </c>
      <c r="AA446" s="19">
        <v>1.944</v>
      </c>
      <c r="AB446" s="19">
        <v>1.9430000000000001</v>
      </c>
      <c r="AC446" s="21">
        <f t="shared" si="115"/>
        <v>1.944</v>
      </c>
      <c r="AD446" s="19">
        <v>8.7999999999999995E-2</v>
      </c>
      <c r="AE446" s="19">
        <v>8.7999999999999995E-2</v>
      </c>
      <c r="AF446" s="21">
        <f t="shared" si="116"/>
        <v>8.7999999999999995E-2</v>
      </c>
      <c r="AG446" s="30">
        <v>8.1000000000000003E-2</v>
      </c>
      <c r="AH446" s="30">
        <v>8.4000000000000005E-2</v>
      </c>
      <c r="AI446" s="31">
        <f t="shared" si="117"/>
        <v>8.3000000000000004E-2</v>
      </c>
      <c r="AJ446" s="30">
        <v>4.9000000000000002E-2</v>
      </c>
      <c r="AK446" s="30">
        <v>4.8000000000000001E-2</v>
      </c>
      <c r="AL446" s="31">
        <f t="shared" si="118"/>
        <v>4.9000000000000002E-2</v>
      </c>
      <c r="AM446" s="19">
        <v>5.69</v>
      </c>
      <c r="AN446" s="19">
        <v>5.6909999999999998</v>
      </c>
      <c r="AO446" s="21">
        <f t="shared" si="119"/>
        <v>5.6909999999999998</v>
      </c>
      <c r="AP446" s="27">
        <v>8.6499999999999994E-2</v>
      </c>
      <c r="AQ446" s="27">
        <v>8.5900000000000004E-2</v>
      </c>
      <c r="AR446" s="26">
        <f t="shared" si="120"/>
        <v>8.6199999999999999E-2</v>
      </c>
      <c r="AS446" s="3">
        <v>7.25</v>
      </c>
      <c r="AT446" s="97">
        <v>3.13</v>
      </c>
    </row>
    <row r="447" spans="1:46">
      <c r="A447" s="7" t="s">
        <v>15</v>
      </c>
      <c r="B447" s="5" t="s">
        <v>69</v>
      </c>
      <c r="C447" s="6" t="s">
        <v>70</v>
      </c>
      <c r="D447" s="6" t="s">
        <v>71</v>
      </c>
      <c r="E447" s="23">
        <v>23.5</v>
      </c>
      <c r="F447" s="23">
        <v>6.6</v>
      </c>
      <c r="G447" s="63">
        <v>105</v>
      </c>
      <c r="H447" s="39">
        <v>8.1</v>
      </c>
      <c r="I447" s="23">
        <v>0.8</v>
      </c>
      <c r="J447" s="23">
        <v>6.4</v>
      </c>
      <c r="K447" s="37">
        <v>4.4000000000000004</v>
      </c>
      <c r="L447" s="37">
        <v>4.5</v>
      </c>
      <c r="M447" s="37"/>
      <c r="N447" s="38">
        <f t="shared" si="110"/>
        <v>4.5</v>
      </c>
      <c r="O447" s="37">
        <v>3.7</v>
      </c>
      <c r="P447" s="37">
        <v>3.6</v>
      </c>
      <c r="Q447" s="38">
        <f t="shared" si="111"/>
        <v>3.7</v>
      </c>
      <c r="R447" s="17">
        <v>1.6990000000000001</v>
      </c>
      <c r="S447" s="17">
        <v>1.712</v>
      </c>
      <c r="T447" s="22">
        <f t="shared" si="112"/>
        <v>1.706</v>
      </c>
      <c r="U447" s="34">
        <v>1.6120000000000001</v>
      </c>
      <c r="V447" s="34">
        <v>1.6120000000000001</v>
      </c>
      <c r="W447" s="33">
        <f t="shared" si="113"/>
        <v>1.6120000000000001</v>
      </c>
      <c r="X447" s="17">
        <v>4.5999999999999999E-2</v>
      </c>
      <c r="Y447" s="17">
        <v>4.5999999999999999E-2</v>
      </c>
      <c r="Z447" s="21">
        <f t="shared" si="114"/>
        <v>4.5999999999999999E-2</v>
      </c>
      <c r="AA447" s="19">
        <v>1.4219999999999999</v>
      </c>
      <c r="AB447" s="19">
        <v>1.413</v>
      </c>
      <c r="AC447" s="21">
        <f t="shared" si="115"/>
        <v>1.4179999999999999</v>
      </c>
      <c r="AD447" s="19">
        <v>9.2999999999999999E-2</v>
      </c>
      <c r="AE447" s="19">
        <v>9.4E-2</v>
      </c>
      <c r="AF447" s="21">
        <f t="shared" si="116"/>
        <v>9.4E-2</v>
      </c>
      <c r="AG447" s="30">
        <v>8.1000000000000003E-2</v>
      </c>
      <c r="AH447" s="30">
        <v>7.5999999999999998E-2</v>
      </c>
      <c r="AI447" s="31">
        <f t="shared" si="117"/>
        <v>7.9000000000000001E-2</v>
      </c>
      <c r="AJ447" s="30">
        <v>1.4E-2</v>
      </c>
      <c r="AK447" s="30">
        <v>1.2999999999999999E-2</v>
      </c>
      <c r="AL447" s="31">
        <f t="shared" si="118"/>
        <v>1.4E-2</v>
      </c>
      <c r="AM447" s="19">
        <v>3.5139999999999998</v>
      </c>
      <c r="AN447" s="19">
        <v>3.516</v>
      </c>
      <c r="AO447" s="21">
        <f t="shared" si="119"/>
        <v>3.5150000000000001</v>
      </c>
      <c r="AP447" s="27">
        <v>0.1656</v>
      </c>
      <c r="AQ447" s="27">
        <v>0.16569999999999999</v>
      </c>
      <c r="AR447" s="26">
        <f t="shared" si="120"/>
        <v>0.16569999999999999</v>
      </c>
      <c r="AS447" s="3">
        <v>2.63</v>
      </c>
      <c r="AT447" s="3">
        <v>0.05</v>
      </c>
    </row>
    <row r="448" spans="1:46">
      <c r="A448" s="7" t="s">
        <v>16</v>
      </c>
      <c r="B448" s="5" t="s">
        <v>72</v>
      </c>
      <c r="C448" s="6" t="s">
        <v>73</v>
      </c>
      <c r="D448" s="6" t="s">
        <v>36</v>
      </c>
      <c r="E448" s="23">
        <v>22.6</v>
      </c>
      <c r="F448" s="23">
        <v>6.6</v>
      </c>
      <c r="G448" s="63">
        <v>109</v>
      </c>
      <c r="H448" s="39">
        <v>8.5</v>
      </c>
      <c r="I448" s="23">
        <v>0.6</v>
      </c>
      <c r="J448" s="23">
        <v>4.4000000000000004</v>
      </c>
      <c r="K448" s="37">
        <v>2.9</v>
      </c>
      <c r="L448" s="37">
        <v>3.2</v>
      </c>
      <c r="M448" s="37"/>
      <c r="N448" s="38">
        <f t="shared" si="110"/>
        <v>3.1</v>
      </c>
      <c r="O448" s="37">
        <v>2.7</v>
      </c>
      <c r="P448" s="37">
        <v>2.6</v>
      </c>
      <c r="Q448" s="38">
        <f t="shared" si="111"/>
        <v>2.7</v>
      </c>
      <c r="R448" s="17">
        <v>2.1019999999999999</v>
      </c>
      <c r="S448" s="17">
        <v>2.08</v>
      </c>
      <c r="T448" s="22">
        <f t="shared" si="112"/>
        <v>2.0910000000000002</v>
      </c>
      <c r="U448" s="34">
        <v>2.0339999999999998</v>
      </c>
      <c r="V448" s="34">
        <v>2.0499999999999998</v>
      </c>
      <c r="W448" s="33">
        <f t="shared" si="113"/>
        <v>2.0419999999999998</v>
      </c>
      <c r="X448" s="17">
        <v>5.0999999999999997E-2</v>
      </c>
      <c r="Y448" s="17">
        <v>0.05</v>
      </c>
      <c r="Z448" s="21">
        <f t="shared" si="114"/>
        <v>5.0999999999999997E-2</v>
      </c>
      <c r="AA448" s="19">
        <v>1.8560000000000001</v>
      </c>
      <c r="AB448" s="19">
        <v>1.8680000000000001</v>
      </c>
      <c r="AC448" s="21">
        <f t="shared" si="115"/>
        <v>1.8620000000000001</v>
      </c>
      <c r="AD448" s="19">
        <v>8.6999999999999994E-2</v>
      </c>
      <c r="AE448" s="19">
        <v>8.4000000000000005E-2</v>
      </c>
      <c r="AF448" s="21">
        <f t="shared" si="116"/>
        <v>8.5999999999999993E-2</v>
      </c>
      <c r="AG448" s="30">
        <v>8.3000000000000004E-2</v>
      </c>
      <c r="AH448" s="30">
        <v>8.3000000000000004E-2</v>
      </c>
      <c r="AI448" s="31">
        <f t="shared" si="117"/>
        <v>8.3000000000000004E-2</v>
      </c>
      <c r="AJ448" s="30">
        <v>3.7999999999999999E-2</v>
      </c>
      <c r="AK448" s="30">
        <v>3.9E-2</v>
      </c>
      <c r="AL448" s="31">
        <f t="shared" si="118"/>
        <v>3.9E-2</v>
      </c>
      <c r="AM448" s="19">
        <v>5.2910000000000004</v>
      </c>
      <c r="AN448" s="19">
        <v>5.2969999999999997</v>
      </c>
      <c r="AO448" s="21">
        <f t="shared" si="119"/>
        <v>5.2939999999999996</v>
      </c>
      <c r="AP448" s="27">
        <v>9.9500000000000005E-2</v>
      </c>
      <c r="AQ448" s="27">
        <v>9.9000000000000005E-2</v>
      </c>
      <c r="AR448" s="26">
        <f t="shared" si="120"/>
        <v>9.9299999999999999E-2</v>
      </c>
      <c r="AS448" s="3">
        <v>6.38</v>
      </c>
      <c r="AT448" s="97">
        <v>1.05</v>
      </c>
    </row>
    <row r="449" spans="1:46">
      <c r="A449" s="7" t="s">
        <v>17</v>
      </c>
      <c r="B449" s="5" t="s">
        <v>74</v>
      </c>
      <c r="C449" s="6" t="s">
        <v>75</v>
      </c>
      <c r="D449" s="6" t="s">
        <v>76</v>
      </c>
      <c r="E449" s="23">
        <v>21.5</v>
      </c>
      <c r="F449" s="23">
        <v>6.7</v>
      </c>
      <c r="G449" s="63">
        <v>161</v>
      </c>
      <c r="H449" s="39">
        <v>8.8000000000000007</v>
      </c>
      <c r="I449" s="23">
        <v>0.5</v>
      </c>
      <c r="J449" s="23">
        <v>4</v>
      </c>
      <c r="K449" s="37">
        <v>2.7</v>
      </c>
      <c r="L449" s="37">
        <v>2.7</v>
      </c>
      <c r="M449" s="37"/>
      <c r="N449" s="38">
        <f t="shared" si="110"/>
        <v>2.7</v>
      </c>
      <c r="O449" s="37">
        <v>2.4</v>
      </c>
      <c r="P449" s="37">
        <v>2.2999999999999998</v>
      </c>
      <c r="Q449" s="38">
        <f t="shared" si="111"/>
        <v>2.4</v>
      </c>
      <c r="R449" s="17">
        <v>2.573</v>
      </c>
      <c r="S449" s="17">
        <v>2.5939999999999999</v>
      </c>
      <c r="T449" s="22">
        <f t="shared" si="112"/>
        <v>2.5840000000000001</v>
      </c>
      <c r="U449" s="34">
        <v>2.5289999999999999</v>
      </c>
      <c r="V449" s="34">
        <v>2.5350000000000001</v>
      </c>
      <c r="W449" s="33">
        <f t="shared" si="113"/>
        <v>2.532</v>
      </c>
      <c r="X449" s="17">
        <v>4.7E-2</v>
      </c>
      <c r="Y449" s="17">
        <v>4.8000000000000001E-2</v>
      </c>
      <c r="Z449" s="21">
        <f t="shared" si="114"/>
        <v>4.8000000000000001E-2</v>
      </c>
      <c r="AA449" s="19">
        <v>2.3719999999999999</v>
      </c>
      <c r="AB449" s="19">
        <v>2.375</v>
      </c>
      <c r="AC449" s="21">
        <f t="shared" si="115"/>
        <v>2.3740000000000001</v>
      </c>
      <c r="AD449" s="19">
        <v>8.3000000000000004E-2</v>
      </c>
      <c r="AE449" s="19">
        <v>8.5000000000000006E-2</v>
      </c>
      <c r="AF449" s="21">
        <f t="shared" si="116"/>
        <v>8.4000000000000005E-2</v>
      </c>
      <c r="AG449" s="30">
        <v>8.2000000000000003E-2</v>
      </c>
      <c r="AH449" s="30">
        <v>8.3000000000000004E-2</v>
      </c>
      <c r="AI449" s="31">
        <f t="shared" si="117"/>
        <v>8.3000000000000004E-2</v>
      </c>
      <c r="AJ449" s="30">
        <v>4.2000000000000003E-2</v>
      </c>
      <c r="AK449" s="30">
        <v>4.2999999999999997E-2</v>
      </c>
      <c r="AL449" s="31">
        <f t="shared" si="118"/>
        <v>4.2999999999999997E-2</v>
      </c>
      <c r="AM449" s="19">
        <v>7.2279999999999998</v>
      </c>
      <c r="AN449" s="19">
        <v>7.2229999999999999</v>
      </c>
      <c r="AO449" s="21">
        <f t="shared" si="119"/>
        <v>7.226</v>
      </c>
      <c r="AP449" s="27">
        <v>8.6599999999999996E-2</v>
      </c>
      <c r="AQ449" s="27">
        <v>8.6300000000000002E-2</v>
      </c>
      <c r="AR449" s="26">
        <f t="shared" si="120"/>
        <v>8.6499999999999994E-2</v>
      </c>
      <c r="AS449" s="3">
        <v>6.1</v>
      </c>
      <c r="AT449" s="3">
        <v>-0.49</v>
      </c>
    </row>
    <row r="450" spans="1:46">
      <c r="A450" s="7" t="s">
        <v>18</v>
      </c>
      <c r="B450" s="5" t="s">
        <v>109</v>
      </c>
      <c r="C450" s="6" t="s">
        <v>77</v>
      </c>
      <c r="D450" s="6" t="s">
        <v>36</v>
      </c>
      <c r="E450" s="23">
        <v>22.7</v>
      </c>
      <c r="F450" s="23">
        <v>7</v>
      </c>
      <c r="G450" s="63">
        <v>136</v>
      </c>
      <c r="H450" s="39">
        <v>8.3000000000000007</v>
      </c>
      <c r="I450" s="23">
        <v>0.8</v>
      </c>
      <c r="J450" s="23">
        <v>4.5999999999999996</v>
      </c>
      <c r="K450" s="37">
        <v>3.1</v>
      </c>
      <c r="L450" s="37">
        <v>3</v>
      </c>
      <c r="M450" s="37"/>
      <c r="N450" s="38">
        <f t="shared" si="110"/>
        <v>3.1</v>
      </c>
      <c r="O450" s="37">
        <v>2.6</v>
      </c>
      <c r="P450" s="37">
        <v>2.7</v>
      </c>
      <c r="Q450" s="38">
        <f t="shared" si="111"/>
        <v>2.7</v>
      </c>
      <c r="R450" s="17">
        <v>2.4590000000000001</v>
      </c>
      <c r="S450" s="17">
        <v>2.4569999999999999</v>
      </c>
      <c r="T450" s="22">
        <f t="shared" si="112"/>
        <v>2.4580000000000002</v>
      </c>
      <c r="U450" s="34">
        <v>2.3570000000000002</v>
      </c>
      <c r="V450" s="34">
        <v>2.3780000000000001</v>
      </c>
      <c r="W450" s="33">
        <f t="shared" si="113"/>
        <v>2.3679999999999999</v>
      </c>
      <c r="X450" s="17">
        <v>8.5999999999999993E-2</v>
      </c>
      <c r="Y450" s="17">
        <v>8.4000000000000005E-2</v>
      </c>
      <c r="Z450" s="21">
        <f t="shared" si="114"/>
        <v>8.5000000000000006E-2</v>
      </c>
      <c r="AA450" s="19">
        <v>2.145</v>
      </c>
      <c r="AB450" s="19">
        <v>2.1419999999999999</v>
      </c>
      <c r="AC450" s="21">
        <f t="shared" si="115"/>
        <v>2.1440000000000001</v>
      </c>
      <c r="AD450" s="19">
        <v>9.6000000000000002E-2</v>
      </c>
      <c r="AE450" s="19">
        <v>9.7000000000000003E-2</v>
      </c>
      <c r="AF450" s="21">
        <f t="shared" si="116"/>
        <v>9.7000000000000003E-2</v>
      </c>
      <c r="AG450" s="30">
        <v>9.1999999999999998E-2</v>
      </c>
      <c r="AH450" s="30">
        <v>8.8999999999999996E-2</v>
      </c>
      <c r="AI450" s="31">
        <f t="shared" si="117"/>
        <v>9.0999999999999998E-2</v>
      </c>
      <c r="AJ450" s="30">
        <v>4.2999999999999997E-2</v>
      </c>
      <c r="AK450" s="30">
        <v>4.7E-2</v>
      </c>
      <c r="AL450" s="31">
        <f t="shared" si="118"/>
        <v>4.4999999999999998E-2</v>
      </c>
      <c r="AM450" s="19">
        <v>6.5620000000000003</v>
      </c>
      <c r="AN450" s="19">
        <v>6.569</v>
      </c>
      <c r="AO450" s="21">
        <f t="shared" si="119"/>
        <v>6.5659999999999998</v>
      </c>
      <c r="AP450" s="27">
        <v>9.5399999999999999E-2</v>
      </c>
      <c r="AQ450" s="27">
        <v>9.5100000000000004E-2</v>
      </c>
      <c r="AR450" s="26">
        <f t="shared" si="120"/>
        <v>9.5299999999999996E-2</v>
      </c>
      <c r="AS450" s="3">
        <v>6.17</v>
      </c>
      <c r="AT450" s="97">
        <v>-0.3</v>
      </c>
    </row>
    <row r="451" spans="1:46">
      <c r="A451" s="7" t="s">
        <v>19</v>
      </c>
      <c r="B451" s="5" t="s">
        <v>78</v>
      </c>
      <c r="C451" s="6" t="s">
        <v>44</v>
      </c>
      <c r="D451" s="6" t="s">
        <v>79</v>
      </c>
      <c r="E451" s="23">
        <v>22.4</v>
      </c>
      <c r="F451" s="23">
        <v>7.2</v>
      </c>
      <c r="G451" s="63">
        <v>179</v>
      </c>
      <c r="H451" s="39">
        <v>8.5</v>
      </c>
      <c r="I451" s="23">
        <v>0.4</v>
      </c>
      <c r="J451" s="23">
        <v>3.7</v>
      </c>
      <c r="K451" s="37">
        <v>2.6</v>
      </c>
      <c r="L451" s="37">
        <v>2.8</v>
      </c>
      <c r="M451" s="37"/>
      <c r="N451" s="38">
        <f t="shared" si="110"/>
        <v>2.7</v>
      </c>
      <c r="O451" s="37">
        <v>2.5</v>
      </c>
      <c r="P451" s="37">
        <v>2.5</v>
      </c>
      <c r="Q451" s="38">
        <f t="shared" si="111"/>
        <v>2.5</v>
      </c>
      <c r="R451" s="17">
        <v>3.5659999999999998</v>
      </c>
      <c r="S451" s="17">
        <v>3.5390000000000001</v>
      </c>
      <c r="T451" s="22">
        <f t="shared" si="112"/>
        <v>3.5529999999999999</v>
      </c>
      <c r="U451" s="34">
        <v>3.548</v>
      </c>
      <c r="V451" s="34">
        <v>3.5350000000000001</v>
      </c>
      <c r="W451" s="33">
        <f t="shared" si="113"/>
        <v>3.5419999999999998</v>
      </c>
      <c r="X451" s="17">
        <v>0.02</v>
      </c>
      <c r="Y451" s="17">
        <v>0.02</v>
      </c>
      <c r="Z451" s="21">
        <f t="shared" si="114"/>
        <v>0.02</v>
      </c>
      <c r="AA451" s="19">
        <v>3.4169999999999998</v>
      </c>
      <c r="AB451" s="19">
        <v>3.411</v>
      </c>
      <c r="AC451" s="21">
        <f t="shared" si="115"/>
        <v>3.4140000000000001</v>
      </c>
      <c r="AD451" s="19">
        <v>6.6000000000000003E-2</v>
      </c>
      <c r="AE451" s="19">
        <v>3.7999999999999999E-2</v>
      </c>
      <c r="AF451" s="21">
        <f t="shared" si="116"/>
        <v>5.1999999999999998E-2</v>
      </c>
      <c r="AG451" s="30">
        <v>4.9000000000000002E-2</v>
      </c>
      <c r="AH451" s="30">
        <v>4.8000000000000001E-2</v>
      </c>
      <c r="AI451" s="31">
        <f t="shared" si="117"/>
        <v>4.9000000000000002E-2</v>
      </c>
      <c r="AJ451" s="30">
        <v>4.2000000000000003E-2</v>
      </c>
      <c r="AK451" s="30">
        <v>4.2999999999999997E-2</v>
      </c>
      <c r="AL451" s="31">
        <f t="shared" si="118"/>
        <v>4.2999999999999997E-2</v>
      </c>
      <c r="AM451" s="19">
        <v>10.074</v>
      </c>
      <c r="AN451" s="19">
        <v>10.071</v>
      </c>
      <c r="AO451" s="21">
        <f t="shared" si="119"/>
        <v>10.073</v>
      </c>
      <c r="AP451" s="27">
        <v>7.1400000000000005E-2</v>
      </c>
      <c r="AQ451" s="27">
        <v>7.0699999999999999E-2</v>
      </c>
      <c r="AR451" s="26">
        <f t="shared" si="120"/>
        <v>7.1099999999999997E-2</v>
      </c>
      <c r="AS451" s="3">
        <v>7.52</v>
      </c>
      <c r="AT451" s="3">
        <v>-0.82</v>
      </c>
    </row>
    <row r="452" spans="1:46">
      <c r="A452" s="7" t="s">
        <v>20</v>
      </c>
      <c r="B452" s="5" t="s">
        <v>80</v>
      </c>
      <c r="C452" s="6" t="s">
        <v>81</v>
      </c>
      <c r="D452" s="6" t="s">
        <v>36</v>
      </c>
      <c r="E452" s="23">
        <v>22.6</v>
      </c>
      <c r="F452" s="23">
        <v>7.4</v>
      </c>
      <c r="G452" s="63">
        <v>139</v>
      </c>
      <c r="H452" s="39">
        <v>8.3000000000000007</v>
      </c>
      <c r="I452" s="23">
        <v>0.8</v>
      </c>
      <c r="J452" s="23">
        <v>4.5</v>
      </c>
      <c r="K452" s="37">
        <v>3.3</v>
      </c>
      <c r="L452" s="37">
        <v>3.3</v>
      </c>
      <c r="M452" s="37"/>
      <c r="N452" s="38">
        <f t="shared" si="110"/>
        <v>3.3</v>
      </c>
      <c r="O452" s="37">
        <v>2.7</v>
      </c>
      <c r="P452" s="37">
        <v>2.6</v>
      </c>
      <c r="Q452" s="38">
        <f t="shared" si="111"/>
        <v>2.7</v>
      </c>
      <c r="R452" s="17">
        <v>2.4039999999999999</v>
      </c>
      <c r="S452" s="17">
        <v>2.4239999999999999</v>
      </c>
      <c r="T452" s="22">
        <f t="shared" si="112"/>
        <v>2.4140000000000001</v>
      </c>
      <c r="U452" s="34">
        <v>2.3410000000000002</v>
      </c>
      <c r="V452" s="34">
        <v>2.3450000000000002</v>
      </c>
      <c r="W452" s="33">
        <f t="shared" si="113"/>
        <v>2.343</v>
      </c>
      <c r="X452" s="17">
        <v>7.9000000000000001E-2</v>
      </c>
      <c r="Y452" s="17">
        <v>7.8E-2</v>
      </c>
      <c r="Z452" s="21">
        <f t="shared" si="114"/>
        <v>7.9000000000000001E-2</v>
      </c>
      <c r="AA452" s="19">
        <v>2.129</v>
      </c>
      <c r="AB452" s="19">
        <v>2.1309999999999998</v>
      </c>
      <c r="AC452" s="21">
        <f t="shared" si="115"/>
        <v>2.13</v>
      </c>
      <c r="AD452" s="19">
        <v>9.8000000000000004E-2</v>
      </c>
      <c r="AE452" s="19">
        <v>9.9000000000000005E-2</v>
      </c>
      <c r="AF452" s="21">
        <f t="shared" si="116"/>
        <v>9.9000000000000005E-2</v>
      </c>
      <c r="AG452" s="30">
        <v>9.0999999999999998E-2</v>
      </c>
      <c r="AH452" s="30">
        <v>9.6000000000000002E-2</v>
      </c>
      <c r="AI452" s="31">
        <f t="shared" si="117"/>
        <v>9.4E-2</v>
      </c>
      <c r="AJ452" s="30">
        <v>4.8000000000000001E-2</v>
      </c>
      <c r="AK452" s="30">
        <v>4.9000000000000002E-2</v>
      </c>
      <c r="AL452" s="31">
        <f t="shared" si="118"/>
        <v>4.9000000000000002E-2</v>
      </c>
      <c r="AM452" s="19">
        <v>6.48</v>
      </c>
      <c r="AN452" s="19">
        <v>6.492</v>
      </c>
      <c r="AO452" s="21">
        <f t="shared" si="119"/>
        <v>6.4859999999999998</v>
      </c>
      <c r="AP452" s="27">
        <v>9.5799999999999996E-2</v>
      </c>
      <c r="AQ452" s="27">
        <v>9.5399999999999999E-2</v>
      </c>
      <c r="AR452" s="26">
        <f t="shared" si="120"/>
        <v>9.5600000000000004E-2</v>
      </c>
      <c r="AS452" s="3">
        <v>6.29</v>
      </c>
      <c r="AT452" s="97">
        <v>-0.36</v>
      </c>
    </row>
    <row r="453" spans="1:46">
      <c r="A453" s="7" t="s">
        <v>21</v>
      </c>
      <c r="B453" s="5" t="s">
        <v>82</v>
      </c>
      <c r="C453" s="6" t="s">
        <v>44</v>
      </c>
      <c r="D453" s="6" t="s">
        <v>83</v>
      </c>
      <c r="E453" s="23">
        <v>22</v>
      </c>
      <c r="F453" s="23">
        <v>7.4</v>
      </c>
      <c r="G453" s="63">
        <v>162</v>
      </c>
      <c r="H453" s="39">
        <v>8.1999999999999993</v>
      </c>
      <c r="I453" s="23">
        <v>0.8</v>
      </c>
      <c r="J453" s="23">
        <v>5.9</v>
      </c>
      <c r="K453" s="37">
        <v>4.0999999999999996</v>
      </c>
      <c r="L453" s="37">
        <v>4.0999999999999996</v>
      </c>
      <c r="M453" s="37"/>
      <c r="N453" s="38">
        <f t="shared" si="110"/>
        <v>4.0999999999999996</v>
      </c>
      <c r="O453" s="37">
        <v>3.9</v>
      </c>
      <c r="P453" s="37">
        <v>3.8</v>
      </c>
      <c r="Q453" s="38">
        <f t="shared" si="111"/>
        <v>3.9</v>
      </c>
      <c r="R453" s="17">
        <v>3.6619999999999999</v>
      </c>
      <c r="S453" s="17">
        <v>3.6840000000000002</v>
      </c>
      <c r="T453" s="22">
        <f t="shared" si="112"/>
        <v>3.673</v>
      </c>
      <c r="U453" s="34">
        <v>3.6309999999999998</v>
      </c>
      <c r="V453" s="34">
        <v>3.657</v>
      </c>
      <c r="W453" s="33">
        <f t="shared" si="113"/>
        <v>3.6440000000000001</v>
      </c>
      <c r="X453" s="17">
        <v>8.5000000000000006E-2</v>
      </c>
      <c r="Y453" s="17">
        <v>8.5000000000000006E-2</v>
      </c>
      <c r="Z453" s="21">
        <f t="shared" si="114"/>
        <v>8.5000000000000006E-2</v>
      </c>
      <c r="AA453" s="19">
        <v>3.3860000000000001</v>
      </c>
      <c r="AB453" s="19">
        <v>3.3959999999999999</v>
      </c>
      <c r="AC453" s="21">
        <f t="shared" si="115"/>
        <v>3.391</v>
      </c>
      <c r="AD453" s="19">
        <v>0.105</v>
      </c>
      <c r="AE453" s="19">
        <v>0.105</v>
      </c>
      <c r="AF453" s="21">
        <f t="shared" si="116"/>
        <v>0.105</v>
      </c>
      <c r="AG453" s="30">
        <v>0.1</v>
      </c>
      <c r="AH453" s="30">
        <v>9.7000000000000003E-2</v>
      </c>
      <c r="AI453" s="31">
        <f t="shared" si="117"/>
        <v>9.9000000000000005E-2</v>
      </c>
      <c r="AJ453" s="30">
        <v>6.4000000000000001E-2</v>
      </c>
      <c r="AK453" s="30">
        <v>6.4000000000000001E-2</v>
      </c>
      <c r="AL453" s="31">
        <f t="shared" si="118"/>
        <v>6.4000000000000001E-2</v>
      </c>
      <c r="AM453" s="19">
        <v>7.0010000000000003</v>
      </c>
      <c r="AN453" s="19">
        <v>7.0010000000000003</v>
      </c>
      <c r="AO453" s="21">
        <f t="shared" si="119"/>
        <v>7.0010000000000003</v>
      </c>
      <c r="AP453" s="27">
        <v>0.14419999999999999</v>
      </c>
      <c r="AQ453" s="27">
        <v>0.14549999999999999</v>
      </c>
      <c r="AR453" s="26">
        <f t="shared" si="120"/>
        <v>0.1449</v>
      </c>
      <c r="AS453" s="3">
        <v>4.3899999999999997</v>
      </c>
      <c r="AT453" s="3">
        <v>0.76</v>
      </c>
    </row>
    <row r="454" spans="1:46">
      <c r="A454" s="7" t="s">
        <v>22</v>
      </c>
      <c r="B454" s="5" t="s">
        <v>84</v>
      </c>
      <c r="C454" s="6" t="s">
        <v>85</v>
      </c>
      <c r="D454" s="6" t="s">
        <v>36</v>
      </c>
      <c r="E454" s="23">
        <v>22.4</v>
      </c>
      <c r="F454" s="23">
        <v>7.4</v>
      </c>
      <c r="G454" s="63">
        <v>138</v>
      </c>
      <c r="H454" s="39">
        <v>8.1999999999999993</v>
      </c>
      <c r="I454" s="23">
        <v>0.8</v>
      </c>
      <c r="J454" s="23">
        <v>4.9000000000000004</v>
      </c>
      <c r="K454" s="37">
        <v>2.9</v>
      </c>
      <c r="L454" s="37">
        <v>3.4</v>
      </c>
      <c r="M454" s="37"/>
      <c r="N454" s="38">
        <f t="shared" si="110"/>
        <v>3.2</v>
      </c>
      <c r="O454" s="37">
        <v>2.8</v>
      </c>
      <c r="P454" s="37">
        <v>2.8</v>
      </c>
      <c r="Q454" s="38">
        <f t="shared" si="111"/>
        <v>2.8</v>
      </c>
      <c r="R454" s="17">
        <v>2.4079999999999999</v>
      </c>
      <c r="S454" s="17">
        <v>2.3759999999999999</v>
      </c>
      <c r="T454" s="22">
        <f t="shared" si="112"/>
        <v>2.3919999999999999</v>
      </c>
      <c r="U454" s="34">
        <v>2.387</v>
      </c>
      <c r="V454" s="34">
        <v>2.3769999999999998</v>
      </c>
      <c r="W454" s="33">
        <f t="shared" si="113"/>
        <v>2.3820000000000001</v>
      </c>
      <c r="X454" s="17">
        <v>8.3000000000000004E-2</v>
      </c>
      <c r="Y454" s="17">
        <v>8.3000000000000004E-2</v>
      </c>
      <c r="Z454" s="21">
        <f t="shared" si="114"/>
        <v>8.3000000000000004E-2</v>
      </c>
      <c r="AA454" s="19">
        <v>2.1440000000000001</v>
      </c>
      <c r="AB454" s="19">
        <v>2.1459999999999999</v>
      </c>
      <c r="AC454" s="21">
        <f t="shared" si="115"/>
        <v>2.145</v>
      </c>
      <c r="AD454" s="19">
        <v>0.115</v>
      </c>
      <c r="AE454" s="19">
        <v>0.11799999999999999</v>
      </c>
      <c r="AF454" s="21">
        <f t="shared" si="116"/>
        <v>0.11700000000000001</v>
      </c>
      <c r="AG454" s="30">
        <v>0.111</v>
      </c>
      <c r="AH454" s="30">
        <v>0.107</v>
      </c>
      <c r="AI454" s="31">
        <f t="shared" si="117"/>
        <v>0.109</v>
      </c>
      <c r="AJ454" s="30">
        <v>5.8999999999999997E-2</v>
      </c>
      <c r="AK454" s="30">
        <v>5.8000000000000003E-2</v>
      </c>
      <c r="AL454" s="31">
        <f t="shared" si="118"/>
        <v>5.8999999999999997E-2</v>
      </c>
      <c r="AM454" s="19">
        <v>6.3639999999999999</v>
      </c>
      <c r="AN454" s="19">
        <v>6.3739999999999997</v>
      </c>
      <c r="AO454" s="21">
        <f t="shared" si="119"/>
        <v>6.3689999999999998</v>
      </c>
      <c r="AP454" s="27">
        <v>0.1002</v>
      </c>
      <c r="AQ454" s="27">
        <v>9.9099999999999994E-2</v>
      </c>
      <c r="AR454" s="26">
        <f t="shared" si="120"/>
        <v>9.9699999999999997E-2</v>
      </c>
      <c r="AS454" s="96">
        <v>6.15</v>
      </c>
      <c r="AT454" s="98">
        <v>0.93</v>
      </c>
    </row>
    <row r="455" spans="1:46">
      <c r="A455" s="7" t="s">
        <v>23</v>
      </c>
      <c r="B455" s="5" t="s">
        <v>86</v>
      </c>
      <c r="C455" s="6" t="s">
        <v>87</v>
      </c>
      <c r="D455" s="6" t="s">
        <v>88</v>
      </c>
      <c r="E455" s="23">
        <v>22.6</v>
      </c>
      <c r="F455" s="23">
        <v>7.3</v>
      </c>
      <c r="G455" s="63">
        <v>169</v>
      </c>
      <c r="H455" s="39">
        <v>7.1</v>
      </c>
      <c r="I455" s="23">
        <v>0.6</v>
      </c>
      <c r="J455" s="23">
        <v>6.3</v>
      </c>
      <c r="K455" s="37">
        <v>4.3</v>
      </c>
      <c r="L455" s="37">
        <v>4.5999999999999996</v>
      </c>
      <c r="M455" s="37"/>
      <c r="N455" s="38">
        <f t="shared" si="110"/>
        <v>4.5</v>
      </c>
      <c r="O455" s="37">
        <v>4</v>
      </c>
      <c r="P455" s="37">
        <v>3.8</v>
      </c>
      <c r="Q455" s="38">
        <f t="shared" si="111"/>
        <v>3.9</v>
      </c>
      <c r="R455" s="17">
        <v>2.5950000000000002</v>
      </c>
      <c r="S455" s="17">
        <v>2.5609999999999999</v>
      </c>
      <c r="T455" s="22">
        <f t="shared" si="112"/>
        <v>2.5779999999999998</v>
      </c>
      <c r="U455" s="34">
        <v>2.5470000000000002</v>
      </c>
      <c r="V455" s="34">
        <v>2.5270000000000001</v>
      </c>
      <c r="W455" s="33">
        <f t="shared" si="113"/>
        <v>2.5369999999999999</v>
      </c>
      <c r="X455" s="17">
        <v>8.3000000000000004E-2</v>
      </c>
      <c r="Y455" s="17">
        <v>8.2000000000000003E-2</v>
      </c>
      <c r="Z455" s="21">
        <f t="shared" si="114"/>
        <v>8.3000000000000004E-2</v>
      </c>
      <c r="AA455" s="19">
        <v>2.1779999999999999</v>
      </c>
      <c r="AB455" s="19">
        <v>2.1819999999999999</v>
      </c>
      <c r="AC455" s="21">
        <f t="shared" si="115"/>
        <v>2.1800000000000002</v>
      </c>
      <c r="AD455" s="19">
        <v>0.14499999999999999</v>
      </c>
      <c r="AE455" s="19">
        <v>0.14000000000000001</v>
      </c>
      <c r="AF455" s="21">
        <f t="shared" si="116"/>
        <v>0.14299999999999999</v>
      </c>
      <c r="AG455" s="30">
        <v>0.13700000000000001</v>
      </c>
      <c r="AH455" s="30">
        <v>0.13800000000000001</v>
      </c>
      <c r="AI455" s="31">
        <f t="shared" si="117"/>
        <v>0.13800000000000001</v>
      </c>
      <c r="AJ455" s="30">
        <v>9.7000000000000003E-2</v>
      </c>
      <c r="AK455" s="30">
        <v>0.10100000000000001</v>
      </c>
      <c r="AL455" s="31">
        <f t="shared" si="118"/>
        <v>9.9000000000000005E-2</v>
      </c>
      <c r="AM455" s="19">
        <v>7.7560000000000002</v>
      </c>
      <c r="AN455" s="19">
        <v>7.766</v>
      </c>
      <c r="AO455" s="21">
        <f t="shared" si="119"/>
        <v>7.7610000000000001</v>
      </c>
      <c r="AP455" s="27">
        <v>0.15659999999999999</v>
      </c>
      <c r="AQ455" s="27">
        <v>0.15759999999999999</v>
      </c>
      <c r="AR455" s="26">
        <f t="shared" si="120"/>
        <v>0.15709999999999999</v>
      </c>
      <c r="AS455" s="3">
        <v>7.27</v>
      </c>
      <c r="AT455" s="3">
        <v>0.54</v>
      </c>
    </row>
    <row r="456" spans="1:46">
      <c r="A456" s="7" t="s">
        <v>24</v>
      </c>
      <c r="B456" s="5" t="s">
        <v>89</v>
      </c>
      <c r="C456" s="6" t="s">
        <v>42</v>
      </c>
      <c r="D456" s="6" t="s">
        <v>36</v>
      </c>
      <c r="E456" s="23">
        <v>22.8</v>
      </c>
      <c r="F456" s="23">
        <v>7.4</v>
      </c>
      <c r="G456" s="63">
        <v>145</v>
      </c>
      <c r="H456" s="39">
        <v>7.9</v>
      </c>
      <c r="I456" s="23">
        <v>0.5</v>
      </c>
      <c r="J456" s="23">
        <v>4.7</v>
      </c>
      <c r="K456" s="37">
        <v>3.2</v>
      </c>
      <c r="L456" s="37">
        <v>3.3</v>
      </c>
      <c r="M456" s="37"/>
      <c r="N456" s="38">
        <f t="shared" si="110"/>
        <v>3.3</v>
      </c>
      <c r="O456" s="37">
        <v>2.7</v>
      </c>
      <c r="P456" s="37">
        <v>2.6</v>
      </c>
      <c r="Q456" s="38">
        <f t="shared" si="111"/>
        <v>2.7</v>
      </c>
      <c r="R456" s="17">
        <v>2.621</v>
      </c>
      <c r="S456" s="17">
        <v>2.637</v>
      </c>
      <c r="T456" s="22">
        <f t="shared" si="112"/>
        <v>2.629</v>
      </c>
      <c r="U456" s="34">
        <v>2.5819999999999999</v>
      </c>
      <c r="V456" s="34">
        <v>2.5790000000000002</v>
      </c>
      <c r="W456" s="33">
        <f t="shared" si="113"/>
        <v>2.581</v>
      </c>
      <c r="X456" s="17">
        <v>0.08</v>
      </c>
      <c r="Y456" s="17">
        <v>8.1000000000000003E-2</v>
      </c>
      <c r="Z456" s="21">
        <f t="shared" si="114"/>
        <v>8.1000000000000003E-2</v>
      </c>
      <c r="AA456" s="19">
        <v>2.3140000000000001</v>
      </c>
      <c r="AB456" s="19">
        <v>2.319</v>
      </c>
      <c r="AC456" s="21">
        <f t="shared" si="115"/>
        <v>2.3170000000000002</v>
      </c>
      <c r="AD456" s="19">
        <v>0.10100000000000001</v>
      </c>
      <c r="AE456" s="19">
        <v>0.10299999999999999</v>
      </c>
      <c r="AF456" s="21">
        <f t="shared" si="116"/>
        <v>0.10199999999999999</v>
      </c>
      <c r="AG456" s="30">
        <v>9.9000000000000005E-2</v>
      </c>
      <c r="AH456" s="30">
        <v>9.5000000000000001E-2</v>
      </c>
      <c r="AI456" s="31">
        <f t="shared" si="117"/>
        <v>9.7000000000000003E-2</v>
      </c>
      <c r="AJ456" s="30">
        <v>5.1999999999999998E-2</v>
      </c>
      <c r="AK456" s="30">
        <v>0.05</v>
      </c>
      <c r="AL456" s="31">
        <f t="shared" si="118"/>
        <v>5.0999999999999997E-2</v>
      </c>
      <c r="AM456" s="19">
        <v>6.7969999999999997</v>
      </c>
      <c r="AN456" s="19">
        <v>6.7969999999999997</v>
      </c>
      <c r="AO456" s="21">
        <f t="shared" si="119"/>
        <v>6.7969999999999997</v>
      </c>
      <c r="AP456" s="27">
        <v>9.5000000000000001E-2</v>
      </c>
      <c r="AQ456" s="27">
        <v>9.4600000000000004E-2</v>
      </c>
      <c r="AR456" s="26">
        <f t="shared" si="120"/>
        <v>9.4799999999999995E-2</v>
      </c>
      <c r="AS456" s="3">
        <v>6.5</v>
      </c>
      <c r="AT456" s="97">
        <v>0.08</v>
      </c>
    </row>
    <row r="457" spans="1:46">
      <c r="A457" s="7" t="s">
        <v>25</v>
      </c>
      <c r="B457" s="5" t="s">
        <v>90</v>
      </c>
      <c r="C457" s="6" t="s">
        <v>44</v>
      </c>
      <c r="D457" s="6" t="s">
        <v>91</v>
      </c>
      <c r="E457" s="23">
        <v>21.8</v>
      </c>
      <c r="F457" s="23">
        <v>7.1</v>
      </c>
      <c r="G457" s="63">
        <v>273</v>
      </c>
      <c r="H457" s="39">
        <v>7.9</v>
      </c>
      <c r="I457" s="23">
        <v>0.5</v>
      </c>
      <c r="J457" s="23">
        <v>4.7</v>
      </c>
      <c r="K457" s="37">
        <v>3.5</v>
      </c>
      <c r="L457" s="37">
        <v>3.8</v>
      </c>
      <c r="M457" s="37"/>
      <c r="N457" s="38">
        <f t="shared" si="110"/>
        <v>3.7</v>
      </c>
      <c r="O457" s="37">
        <v>3.3</v>
      </c>
      <c r="P457" s="37">
        <v>3.2</v>
      </c>
      <c r="Q457" s="38">
        <f t="shared" si="111"/>
        <v>3.3</v>
      </c>
      <c r="R457" s="17">
        <v>5.6050000000000004</v>
      </c>
      <c r="S457" s="17">
        <v>5.6280000000000001</v>
      </c>
      <c r="T457" s="22">
        <f t="shared" si="112"/>
        <v>5.617</v>
      </c>
      <c r="U457" s="34">
        <v>5.5410000000000004</v>
      </c>
      <c r="V457" s="34">
        <v>5.5609999999999999</v>
      </c>
      <c r="W457" s="33">
        <f t="shared" si="113"/>
        <v>5.5510000000000002</v>
      </c>
      <c r="X457" s="17">
        <v>3.4000000000000002E-2</v>
      </c>
      <c r="Y457" s="17">
        <v>3.3000000000000002E-2</v>
      </c>
      <c r="Z457" s="21">
        <f t="shared" si="114"/>
        <v>3.4000000000000002E-2</v>
      </c>
      <c r="AA457" s="19">
        <v>5.5149999999999997</v>
      </c>
      <c r="AB457" s="19">
        <v>5.5140000000000002</v>
      </c>
      <c r="AC457" s="21">
        <f t="shared" si="115"/>
        <v>5.5149999999999997</v>
      </c>
      <c r="AD457" s="19">
        <v>9.8000000000000004E-2</v>
      </c>
      <c r="AE457" s="19">
        <v>9.9000000000000005E-2</v>
      </c>
      <c r="AF457" s="21">
        <f t="shared" si="116"/>
        <v>9.9000000000000005E-2</v>
      </c>
      <c r="AG457" s="30">
        <v>9.0999999999999998E-2</v>
      </c>
      <c r="AH457" s="30">
        <v>9.5000000000000001E-2</v>
      </c>
      <c r="AI457" s="31">
        <f t="shared" si="117"/>
        <v>9.2999999999999999E-2</v>
      </c>
      <c r="AJ457" s="30">
        <v>6.2E-2</v>
      </c>
      <c r="AK457" s="30">
        <v>6.0999999999999999E-2</v>
      </c>
      <c r="AL457" s="31">
        <f t="shared" si="118"/>
        <v>6.2E-2</v>
      </c>
      <c r="AM457" s="19">
        <v>11.885</v>
      </c>
      <c r="AN457" s="19">
        <v>11.891999999999999</v>
      </c>
      <c r="AO457" s="21">
        <f t="shared" si="119"/>
        <v>11.888999999999999</v>
      </c>
      <c r="AP457" s="27">
        <v>9.9900000000000003E-2</v>
      </c>
      <c r="AQ457" s="27">
        <v>0.1</v>
      </c>
      <c r="AR457" s="26">
        <f t="shared" si="120"/>
        <v>0.1</v>
      </c>
      <c r="AS457" s="3">
        <v>6.02</v>
      </c>
      <c r="AT457" s="3">
        <v>0.03</v>
      </c>
    </row>
    <row r="458" spans="1:46">
      <c r="A458" s="7" t="s">
        <v>26</v>
      </c>
      <c r="B458" s="5" t="s">
        <v>92</v>
      </c>
      <c r="C458" s="6" t="s">
        <v>93</v>
      </c>
      <c r="D458" s="6" t="s">
        <v>36</v>
      </c>
      <c r="E458" s="23">
        <v>22.5</v>
      </c>
      <c r="F458" s="23">
        <v>7</v>
      </c>
      <c r="G458" s="63">
        <v>140</v>
      </c>
      <c r="H458" s="39">
        <v>7.8</v>
      </c>
      <c r="I458" s="23">
        <v>0.8</v>
      </c>
      <c r="J458" s="23">
        <v>4.7</v>
      </c>
      <c r="K458" s="37">
        <v>3.5</v>
      </c>
      <c r="L458" s="37">
        <v>3.7</v>
      </c>
      <c r="M458" s="37"/>
      <c r="N458" s="38">
        <f t="shared" si="110"/>
        <v>3.6</v>
      </c>
      <c r="O458" s="37">
        <v>3.2</v>
      </c>
      <c r="P458" s="37">
        <v>3.1</v>
      </c>
      <c r="Q458" s="38">
        <f t="shared" si="111"/>
        <v>3.2</v>
      </c>
      <c r="R458" s="17">
        <v>2.68</v>
      </c>
      <c r="S458" s="17">
        <v>2.625</v>
      </c>
      <c r="T458" s="22">
        <f t="shared" si="112"/>
        <v>2.653</v>
      </c>
      <c r="U458" s="34">
        <v>2.6560000000000001</v>
      </c>
      <c r="V458" s="34">
        <v>2.6379999999999999</v>
      </c>
      <c r="W458" s="33">
        <f t="shared" si="113"/>
        <v>2.6469999999999998</v>
      </c>
      <c r="X458" s="17">
        <v>0.109</v>
      </c>
      <c r="Y458" s="17">
        <v>0.108</v>
      </c>
      <c r="Z458" s="21">
        <f t="shared" si="114"/>
        <v>0.109</v>
      </c>
      <c r="AA458" s="19">
        <v>2.3540000000000001</v>
      </c>
      <c r="AB458" s="19">
        <v>2.359</v>
      </c>
      <c r="AC458" s="21">
        <f t="shared" si="115"/>
        <v>2.3570000000000002</v>
      </c>
      <c r="AD458" s="19">
        <v>0.11</v>
      </c>
      <c r="AE458" s="19">
        <v>0.106</v>
      </c>
      <c r="AF458" s="21">
        <f t="shared" si="116"/>
        <v>0.108</v>
      </c>
      <c r="AG458" s="30">
        <v>9.9000000000000005E-2</v>
      </c>
      <c r="AH458" s="30">
        <v>0.1</v>
      </c>
      <c r="AI458" s="31">
        <f t="shared" si="117"/>
        <v>0.1</v>
      </c>
      <c r="AJ458" s="30">
        <v>6.0999999999999999E-2</v>
      </c>
      <c r="AK458" s="30">
        <v>6.2E-2</v>
      </c>
      <c r="AL458" s="31">
        <f t="shared" si="118"/>
        <v>6.2E-2</v>
      </c>
      <c r="AM458" s="19">
        <v>6.819</v>
      </c>
      <c r="AN458" s="19">
        <v>6.8319999999999999</v>
      </c>
      <c r="AO458" s="21">
        <f t="shared" si="119"/>
        <v>6.8259999999999996</v>
      </c>
      <c r="AP458" s="27">
        <v>0.106</v>
      </c>
      <c r="AQ458" s="27">
        <v>0.1061</v>
      </c>
      <c r="AR458" s="26">
        <f t="shared" si="120"/>
        <v>0.1061</v>
      </c>
      <c r="AS458" s="3">
        <v>5.81</v>
      </c>
      <c r="AT458" s="97">
        <v>0</v>
      </c>
    </row>
    <row r="459" spans="1:46">
      <c r="A459" s="7" t="s">
        <v>27</v>
      </c>
      <c r="B459" s="5" t="s">
        <v>94</v>
      </c>
      <c r="C459" s="6" t="s">
        <v>95</v>
      </c>
      <c r="D459" s="6" t="s">
        <v>96</v>
      </c>
      <c r="E459" s="23">
        <v>21.8</v>
      </c>
      <c r="F459" s="23">
        <v>7.1</v>
      </c>
      <c r="G459" s="63">
        <v>204</v>
      </c>
      <c r="H459" s="39">
        <v>8</v>
      </c>
      <c r="I459" s="23">
        <v>0.2</v>
      </c>
      <c r="J459" s="23">
        <v>3.9</v>
      </c>
      <c r="K459" s="37">
        <v>2.8</v>
      </c>
      <c r="L459" s="37">
        <v>2.8</v>
      </c>
      <c r="M459" s="37"/>
      <c r="N459" s="38">
        <f t="shared" si="110"/>
        <v>2.8</v>
      </c>
      <c r="O459" s="37">
        <v>2.6</v>
      </c>
      <c r="P459" s="37">
        <v>2.6</v>
      </c>
      <c r="Q459" s="38">
        <f t="shared" si="111"/>
        <v>2.6</v>
      </c>
      <c r="R459" s="17">
        <v>6.9459999999999997</v>
      </c>
      <c r="S459" s="17">
        <v>6.9290000000000003</v>
      </c>
      <c r="T459" s="22">
        <f t="shared" si="112"/>
        <v>6.9379999999999997</v>
      </c>
      <c r="U459" s="34">
        <v>6.89</v>
      </c>
      <c r="V459" s="34">
        <v>6.8810000000000002</v>
      </c>
      <c r="W459" s="33">
        <f t="shared" si="113"/>
        <v>6.8860000000000001</v>
      </c>
      <c r="X459" s="17">
        <v>0.02</v>
      </c>
      <c r="Y459" s="17">
        <v>0.02</v>
      </c>
      <c r="Z459" s="21">
        <f t="shared" si="114"/>
        <v>0.02</v>
      </c>
      <c r="AA459" s="19">
        <v>6.843</v>
      </c>
      <c r="AB459" s="19">
        <v>6.8440000000000003</v>
      </c>
      <c r="AC459" s="21">
        <f t="shared" si="115"/>
        <v>6.8440000000000003</v>
      </c>
      <c r="AD459" s="19">
        <v>7.2999999999999995E-2</v>
      </c>
      <c r="AE459" s="19">
        <v>7.4999999999999997E-2</v>
      </c>
      <c r="AF459" s="21">
        <f t="shared" si="116"/>
        <v>7.3999999999999996E-2</v>
      </c>
      <c r="AG459" s="30">
        <v>7.0000000000000007E-2</v>
      </c>
      <c r="AH459" s="30">
        <v>6.9000000000000006E-2</v>
      </c>
      <c r="AI459" s="31">
        <f t="shared" si="117"/>
        <v>7.0000000000000007E-2</v>
      </c>
      <c r="AJ459" s="30">
        <v>4.7E-2</v>
      </c>
      <c r="AK459" s="30">
        <v>4.3999999999999997E-2</v>
      </c>
      <c r="AL459" s="31">
        <f t="shared" si="118"/>
        <v>4.5999999999999999E-2</v>
      </c>
      <c r="AM459" s="19">
        <v>9.92</v>
      </c>
      <c r="AN459" s="19">
        <v>9.93</v>
      </c>
      <c r="AO459" s="21">
        <f t="shared" si="119"/>
        <v>9.9250000000000007</v>
      </c>
      <c r="AP459" s="27">
        <v>7.6499999999999999E-2</v>
      </c>
      <c r="AQ459" s="27">
        <v>7.6399999999999996E-2</v>
      </c>
      <c r="AR459" s="26">
        <f t="shared" si="120"/>
        <v>7.6499999999999999E-2</v>
      </c>
      <c r="AS459" s="3">
        <v>8.5</v>
      </c>
      <c r="AT459" s="3">
        <v>-0.96</v>
      </c>
    </row>
    <row r="460" spans="1:46">
      <c r="A460" s="7" t="s">
        <v>28</v>
      </c>
      <c r="B460" s="5" t="s">
        <v>97</v>
      </c>
      <c r="C460" s="6" t="s">
        <v>98</v>
      </c>
      <c r="D460" s="6" t="s">
        <v>36</v>
      </c>
      <c r="E460" s="23">
        <v>22.9</v>
      </c>
      <c r="F460" s="23">
        <v>6.8</v>
      </c>
      <c r="G460" s="63">
        <v>139</v>
      </c>
      <c r="H460" s="39">
        <v>8.1</v>
      </c>
      <c r="I460" s="23">
        <v>0.6</v>
      </c>
      <c r="J460" s="23">
        <v>4.7</v>
      </c>
      <c r="K460" s="37">
        <v>3.1</v>
      </c>
      <c r="L460" s="37">
        <v>3.4</v>
      </c>
      <c r="M460" s="37"/>
      <c r="N460" s="38">
        <f t="shared" si="110"/>
        <v>3.3</v>
      </c>
      <c r="O460" s="37">
        <v>3</v>
      </c>
      <c r="P460" s="37">
        <v>3</v>
      </c>
      <c r="Q460" s="38">
        <f t="shared" si="111"/>
        <v>3</v>
      </c>
      <c r="R460" s="17">
        <v>2.718</v>
      </c>
      <c r="S460" s="17">
        <v>2.7170000000000001</v>
      </c>
      <c r="T460" s="22">
        <f t="shared" si="112"/>
        <v>2.718</v>
      </c>
      <c r="U460" s="34">
        <v>2.6909999999999998</v>
      </c>
      <c r="V460" s="34">
        <v>2.6829999999999998</v>
      </c>
      <c r="W460" s="33">
        <f t="shared" si="113"/>
        <v>2.6869999999999998</v>
      </c>
      <c r="X460" s="17">
        <v>9.0999999999999998E-2</v>
      </c>
      <c r="Y460" s="17">
        <v>9.0999999999999998E-2</v>
      </c>
      <c r="Z460" s="21">
        <f t="shared" si="114"/>
        <v>9.0999999999999998E-2</v>
      </c>
      <c r="AA460" s="19">
        <v>2.4390000000000001</v>
      </c>
      <c r="AB460" s="19">
        <v>2.4359999999999999</v>
      </c>
      <c r="AC460" s="21">
        <f t="shared" si="115"/>
        <v>2.4380000000000002</v>
      </c>
      <c r="AD460" s="19">
        <v>0.11700000000000001</v>
      </c>
      <c r="AE460" s="19">
        <v>0.11700000000000001</v>
      </c>
      <c r="AF460" s="21">
        <f t="shared" si="116"/>
        <v>0.11700000000000001</v>
      </c>
      <c r="AG460" s="30">
        <v>0.113</v>
      </c>
      <c r="AH460" s="30">
        <v>0.11</v>
      </c>
      <c r="AI460" s="31">
        <f t="shared" si="117"/>
        <v>0.112</v>
      </c>
      <c r="AJ460" s="30">
        <v>5.6000000000000001E-2</v>
      </c>
      <c r="AK460" s="30">
        <v>5.8999999999999997E-2</v>
      </c>
      <c r="AL460" s="31">
        <f t="shared" si="118"/>
        <v>5.8000000000000003E-2</v>
      </c>
      <c r="AM460" s="19">
        <v>6.766</v>
      </c>
      <c r="AN460" s="19">
        <v>6.7690000000000001</v>
      </c>
      <c r="AO460" s="21">
        <f t="shared" si="119"/>
        <v>6.7679999999999998</v>
      </c>
      <c r="AP460" s="27">
        <v>0.1066</v>
      </c>
      <c r="AQ460" s="27">
        <v>0.107</v>
      </c>
      <c r="AR460" s="26">
        <f t="shared" si="120"/>
        <v>0.10680000000000001</v>
      </c>
      <c r="AS460" s="3">
        <v>6.14</v>
      </c>
      <c r="AT460" s="97">
        <v>-0.39</v>
      </c>
    </row>
    <row r="461" spans="1:46">
      <c r="A461" s="7" t="s">
        <v>29</v>
      </c>
      <c r="B461" s="5" t="s">
        <v>99</v>
      </c>
      <c r="C461" s="6" t="s">
        <v>44</v>
      </c>
      <c r="D461" s="6" t="s">
        <v>100</v>
      </c>
      <c r="E461" s="23">
        <v>21.6</v>
      </c>
      <c r="F461" s="23">
        <v>6.8</v>
      </c>
      <c r="G461" s="63">
        <v>206</v>
      </c>
      <c r="H461" s="39">
        <v>6.8</v>
      </c>
      <c r="I461" s="23">
        <v>0.5</v>
      </c>
      <c r="J461" s="23">
        <v>4.9000000000000004</v>
      </c>
      <c r="K461" s="37">
        <v>3.6</v>
      </c>
      <c r="L461" s="37">
        <v>3.9</v>
      </c>
      <c r="M461" s="37"/>
      <c r="N461" s="38">
        <f t="shared" si="110"/>
        <v>3.8</v>
      </c>
      <c r="O461" s="37">
        <v>3.2</v>
      </c>
      <c r="P461" s="37">
        <v>3.2</v>
      </c>
      <c r="Q461" s="38">
        <f t="shared" si="111"/>
        <v>3.2</v>
      </c>
      <c r="R461" s="17">
        <v>4.6890000000000001</v>
      </c>
      <c r="S461" s="17">
        <v>4.6500000000000004</v>
      </c>
      <c r="T461" s="22">
        <f t="shared" si="112"/>
        <v>4.67</v>
      </c>
      <c r="U461" s="34">
        <v>4.657</v>
      </c>
      <c r="V461" s="34">
        <v>4.6550000000000002</v>
      </c>
      <c r="W461" s="33">
        <f t="shared" si="113"/>
        <v>4.6559999999999997</v>
      </c>
      <c r="X461" s="17">
        <v>6.3E-2</v>
      </c>
      <c r="Y461" s="17">
        <v>6.3E-2</v>
      </c>
      <c r="Z461" s="21">
        <f t="shared" si="114"/>
        <v>6.3E-2</v>
      </c>
      <c r="AA461" s="19">
        <v>4.4889999999999999</v>
      </c>
      <c r="AB461" s="19">
        <v>4.4720000000000004</v>
      </c>
      <c r="AC461" s="21">
        <f t="shared" si="115"/>
        <v>4.4809999999999999</v>
      </c>
      <c r="AD461" s="19">
        <v>0.154</v>
      </c>
      <c r="AE461" s="19">
        <v>0.152</v>
      </c>
      <c r="AF461" s="21">
        <f t="shared" si="116"/>
        <v>0.153</v>
      </c>
      <c r="AG461" s="30">
        <v>0.14499999999999999</v>
      </c>
      <c r="AH461" s="30">
        <v>0.14099999999999999</v>
      </c>
      <c r="AI461" s="31">
        <f t="shared" si="117"/>
        <v>0.14299999999999999</v>
      </c>
      <c r="AJ461" s="30">
        <v>0.10100000000000001</v>
      </c>
      <c r="AK461" s="30">
        <v>0.10199999999999999</v>
      </c>
      <c r="AL461" s="31">
        <f t="shared" si="118"/>
        <v>0.10199999999999999</v>
      </c>
      <c r="AM461" s="19">
        <v>11.304</v>
      </c>
      <c r="AN461" s="19">
        <v>11.321999999999999</v>
      </c>
      <c r="AO461" s="21">
        <f t="shared" si="119"/>
        <v>11.313000000000001</v>
      </c>
      <c r="AP461" s="27">
        <v>9.6699999999999994E-2</v>
      </c>
      <c r="AQ461" s="27">
        <v>9.6600000000000005E-2</v>
      </c>
      <c r="AR461" s="26">
        <f t="shared" si="120"/>
        <v>9.6699999999999994E-2</v>
      </c>
      <c r="AS461" s="3">
        <v>9.7799999999999994</v>
      </c>
      <c r="AT461" s="3">
        <v>0.77</v>
      </c>
    </row>
    <row r="462" spans="1:46">
      <c r="A462" s="7" t="s">
        <v>30</v>
      </c>
      <c r="B462" s="5" t="s">
        <v>101</v>
      </c>
      <c r="C462" s="6" t="s">
        <v>44</v>
      </c>
      <c r="D462" s="6" t="s">
        <v>160</v>
      </c>
      <c r="E462" s="23">
        <v>23.5</v>
      </c>
      <c r="F462" s="23">
        <v>7</v>
      </c>
      <c r="G462" s="63">
        <v>219</v>
      </c>
      <c r="H462" s="39">
        <v>8.3000000000000007</v>
      </c>
      <c r="I462" s="23">
        <v>1.4</v>
      </c>
      <c r="J462" s="23">
        <v>6.5</v>
      </c>
      <c r="K462" s="37">
        <v>4.3</v>
      </c>
      <c r="L462" s="37">
        <v>4.5999999999999996</v>
      </c>
      <c r="M462" s="37"/>
      <c r="N462" s="38">
        <f t="shared" si="110"/>
        <v>4.5</v>
      </c>
      <c r="O462" s="37">
        <v>3.7</v>
      </c>
      <c r="P462" s="37">
        <v>3.6</v>
      </c>
      <c r="Q462" s="38">
        <f t="shared" si="111"/>
        <v>3.7</v>
      </c>
      <c r="R462" s="17">
        <v>3.1219999999999999</v>
      </c>
      <c r="S462" s="17">
        <v>3.11</v>
      </c>
      <c r="T462" s="22">
        <f t="shared" si="112"/>
        <v>3.1160000000000001</v>
      </c>
      <c r="U462" s="34">
        <v>3.0329999999999999</v>
      </c>
      <c r="V462" s="34">
        <v>3.05</v>
      </c>
      <c r="W462" s="33">
        <f t="shared" si="113"/>
        <v>3.0419999999999998</v>
      </c>
      <c r="X462" s="17">
        <v>0.20499999999999999</v>
      </c>
      <c r="Y462" s="17">
        <v>0.20499999999999999</v>
      </c>
      <c r="Z462" s="21">
        <f t="shared" si="114"/>
        <v>0.20499999999999999</v>
      </c>
      <c r="AA462" s="19">
        <v>2.496</v>
      </c>
      <c r="AB462" s="19">
        <v>2.4940000000000002</v>
      </c>
      <c r="AC462" s="21">
        <f t="shared" si="115"/>
        <v>2.4950000000000001</v>
      </c>
      <c r="AD462" s="19">
        <v>0.20300000000000001</v>
      </c>
      <c r="AE462" s="19">
        <v>0.20100000000000001</v>
      </c>
      <c r="AF462" s="21">
        <f t="shared" si="116"/>
        <v>0.20200000000000001</v>
      </c>
      <c r="AG462" s="30">
        <v>0.17299999999999999</v>
      </c>
      <c r="AH462" s="30">
        <v>0.159</v>
      </c>
      <c r="AI462" s="31">
        <f t="shared" si="117"/>
        <v>0.16600000000000001</v>
      </c>
      <c r="AJ462" s="30">
        <v>0.107</v>
      </c>
      <c r="AK462" s="30">
        <v>0.105</v>
      </c>
      <c r="AL462" s="31">
        <f t="shared" si="118"/>
        <v>0.106</v>
      </c>
      <c r="AM462" s="19">
        <v>15.879</v>
      </c>
      <c r="AN462" s="19">
        <v>15.875999999999999</v>
      </c>
      <c r="AO462" s="21">
        <f t="shared" si="119"/>
        <v>15.878</v>
      </c>
      <c r="AP462" s="27">
        <v>0.11849999999999999</v>
      </c>
      <c r="AQ462" s="27">
        <v>0.1182</v>
      </c>
      <c r="AR462" s="26">
        <f t="shared" si="120"/>
        <v>0.11840000000000001</v>
      </c>
      <c r="AS462" s="3">
        <v>7.44</v>
      </c>
      <c r="AT462" s="3">
        <v>0.61</v>
      </c>
    </row>
    <row r="463" spans="1:46">
      <c r="A463" s="7" t="s">
        <v>31</v>
      </c>
      <c r="B463" s="5" t="s">
        <v>102</v>
      </c>
      <c r="C463" s="6" t="s">
        <v>103</v>
      </c>
      <c r="D463" s="6" t="s">
        <v>36</v>
      </c>
      <c r="E463" s="23">
        <v>22.9</v>
      </c>
      <c r="F463" s="23">
        <v>7.2</v>
      </c>
      <c r="G463" s="63">
        <v>139</v>
      </c>
      <c r="H463" s="39">
        <v>8.3000000000000007</v>
      </c>
      <c r="I463" s="23">
        <v>0.5</v>
      </c>
      <c r="J463" s="23">
        <v>4.7</v>
      </c>
      <c r="K463" s="37">
        <v>3.2</v>
      </c>
      <c r="L463" s="37">
        <v>3.4</v>
      </c>
      <c r="M463" s="37"/>
      <c r="N463" s="38">
        <f t="shared" si="110"/>
        <v>3.3</v>
      </c>
      <c r="O463" s="37">
        <v>3</v>
      </c>
      <c r="P463" s="37">
        <v>3</v>
      </c>
      <c r="Q463" s="38">
        <f t="shared" si="111"/>
        <v>3</v>
      </c>
      <c r="R463" s="17">
        <v>2.7839999999999998</v>
      </c>
      <c r="S463" s="17">
        <v>2.774</v>
      </c>
      <c r="T463" s="22">
        <f t="shared" si="112"/>
        <v>2.7789999999999999</v>
      </c>
      <c r="U463" s="34">
        <v>2.7290000000000001</v>
      </c>
      <c r="V463" s="34">
        <v>2.7069999999999999</v>
      </c>
      <c r="W463" s="33">
        <f t="shared" si="113"/>
        <v>2.718</v>
      </c>
      <c r="X463" s="17">
        <v>8.5999999999999993E-2</v>
      </c>
      <c r="Y463" s="17">
        <v>8.5999999999999993E-2</v>
      </c>
      <c r="Z463" s="21">
        <f t="shared" si="114"/>
        <v>8.5999999999999993E-2</v>
      </c>
      <c r="AA463" s="19">
        <v>2.4460000000000002</v>
      </c>
      <c r="AB463" s="19">
        <v>2.4409999999999998</v>
      </c>
      <c r="AC463" s="21">
        <f t="shared" si="115"/>
        <v>2.444</v>
      </c>
      <c r="AD463" s="19">
        <v>0.11</v>
      </c>
      <c r="AE463" s="19">
        <v>0.112</v>
      </c>
      <c r="AF463" s="21">
        <f t="shared" si="116"/>
        <v>0.111</v>
      </c>
      <c r="AG463" s="30">
        <v>9.8000000000000004E-2</v>
      </c>
      <c r="AH463" s="30">
        <v>0.104</v>
      </c>
      <c r="AI463" s="31">
        <f t="shared" si="117"/>
        <v>0.10100000000000001</v>
      </c>
      <c r="AJ463" s="30">
        <v>6.8000000000000005E-2</v>
      </c>
      <c r="AK463" s="30">
        <v>6.4000000000000001E-2</v>
      </c>
      <c r="AL463" s="31">
        <f t="shared" si="118"/>
        <v>6.6000000000000003E-2</v>
      </c>
      <c r="AM463" s="19">
        <v>6.8230000000000004</v>
      </c>
      <c r="AN463" s="19">
        <v>6.8250000000000002</v>
      </c>
      <c r="AO463" s="21">
        <f t="shared" si="119"/>
        <v>6.8239999999999998</v>
      </c>
      <c r="AP463" s="27">
        <v>0.1081</v>
      </c>
      <c r="AQ463" s="27">
        <v>0.1081</v>
      </c>
      <c r="AR463" s="26">
        <f t="shared" si="120"/>
        <v>0.1081</v>
      </c>
      <c r="AS463" s="3">
        <v>6.43</v>
      </c>
      <c r="AT463" s="97">
        <v>0.53</v>
      </c>
    </row>
    <row r="464" spans="1:46">
      <c r="A464" s="7" t="s">
        <v>32</v>
      </c>
      <c r="B464" s="5" t="s">
        <v>104</v>
      </c>
      <c r="C464" s="6" t="s">
        <v>44</v>
      </c>
      <c r="D464" s="6" t="s">
        <v>105</v>
      </c>
      <c r="E464" s="23">
        <v>23.3</v>
      </c>
      <c r="F464" s="23">
        <v>7.2</v>
      </c>
      <c r="G464" s="63">
        <v>166</v>
      </c>
      <c r="H464" s="39">
        <v>6.3</v>
      </c>
      <c r="I464" s="23">
        <v>0.8</v>
      </c>
      <c r="J464" s="23">
        <v>7.4</v>
      </c>
      <c r="K464" s="37">
        <v>5</v>
      </c>
      <c r="L464" s="37">
        <v>5.3</v>
      </c>
      <c r="M464" s="37"/>
      <c r="N464" s="38">
        <f t="shared" si="110"/>
        <v>5.2</v>
      </c>
      <c r="O464" s="37">
        <v>4.5</v>
      </c>
      <c r="P464" s="37">
        <v>4.4000000000000004</v>
      </c>
      <c r="Q464" s="38">
        <f t="shared" si="111"/>
        <v>4.5</v>
      </c>
      <c r="R464" s="17">
        <v>2.2069999999999999</v>
      </c>
      <c r="S464" s="17">
        <v>2.1960000000000002</v>
      </c>
      <c r="T464" s="22">
        <f t="shared" si="112"/>
        <v>2.202</v>
      </c>
      <c r="U464" s="34">
        <v>2.12</v>
      </c>
      <c r="V464" s="34">
        <v>2.1</v>
      </c>
      <c r="W464" s="33">
        <f t="shared" si="113"/>
        <v>2.11</v>
      </c>
      <c r="X464" s="17">
        <v>7.0999999999999994E-2</v>
      </c>
      <c r="Y464" s="17">
        <v>7.1999999999999995E-2</v>
      </c>
      <c r="Z464" s="21">
        <f t="shared" si="114"/>
        <v>7.1999999999999995E-2</v>
      </c>
      <c r="AA464" s="19">
        <v>1.6739999999999999</v>
      </c>
      <c r="AB464" s="19">
        <v>1.669</v>
      </c>
      <c r="AC464" s="21">
        <f t="shared" si="115"/>
        <v>1.6719999999999999</v>
      </c>
      <c r="AD464" s="19">
        <v>0.20399999999999999</v>
      </c>
      <c r="AE464" s="19">
        <v>0.20599999999999999</v>
      </c>
      <c r="AF464" s="21">
        <f t="shared" si="116"/>
        <v>0.20499999999999999</v>
      </c>
      <c r="AG464" s="30">
        <v>0.17</v>
      </c>
      <c r="AH464" s="30">
        <v>0.17399999999999999</v>
      </c>
      <c r="AI464" s="31">
        <f t="shared" si="117"/>
        <v>0.17199999999999999</v>
      </c>
      <c r="AJ464" s="30">
        <v>0.106</v>
      </c>
      <c r="AK464" s="30">
        <v>0.106</v>
      </c>
      <c r="AL464" s="31">
        <f t="shared" si="118"/>
        <v>0.106</v>
      </c>
      <c r="AM464" s="19">
        <v>8.7940000000000005</v>
      </c>
      <c r="AN464" s="19">
        <v>8.8010000000000002</v>
      </c>
      <c r="AO464" s="21">
        <f t="shared" si="119"/>
        <v>8.798</v>
      </c>
      <c r="AP464" s="27">
        <v>0.20050000000000001</v>
      </c>
      <c r="AQ464" s="27">
        <v>0.20100000000000001</v>
      </c>
      <c r="AR464" s="26">
        <f t="shared" si="120"/>
        <v>0.20080000000000001</v>
      </c>
      <c r="AS464" s="3">
        <v>7.04</v>
      </c>
      <c r="AT464" s="3">
        <v>0.66</v>
      </c>
    </row>
    <row r="465" spans="1:48">
      <c r="A465" s="7" t="s">
        <v>33</v>
      </c>
      <c r="B465" s="5" t="s">
        <v>106</v>
      </c>
      <c r="C465" s="6" t="s">
        <v>107</v>
      </c>
      <c r="D465" s="6" t="s">
        <v>36</v>
      </c>
      <c r="E465" s="23">
        <v>23.2</v>
      </c>
      <c r="F465" s="23">
        <v>7.3</v>
      </c>
      <c r="G465" s="63">
        <v>143</v>
      </c>
      <c r="H465" s="39">
        <v>8.4</v>
      </c>
      <c r="I465" s="23">
        <v>0.6</v>
      </c>
      <c r="J465" s="23">
        <v>5.2</v>
      </c>
      <c r="K465" s="37">
        <v>3.3</v>
      </c>
      <c r="L465" s="37">
        <v>3.7</v>
      </c>
      <c r="M465" s="37"/>
      <c r="N465" s="38">
        <f t="shared" si="110"/>
        <v>3.5</v>
      </c>
      <c r="O465" s="37">
        <v>3.2</v>
      </c>
      <c r="P465" s="37">
        <v>3</v>
      </c>
      <c r="Q465" s="38">
        <f t="shared" si="111"/>
        <v>3.1</v>
      </c>
      <c r="R465" s="17">
        <v>2.89</v>
      </c>
      <c r="S465" s="17">
        <v>2.8740000000000001</v>
      </c>
      <c r="T465" s="22">
        <f t="shared" si="112"/>
        <v>2.8820000000000001</v>
      </c>
      <c r="U465" s="34">
        <v>2.7589999999999999</v>
      </c>
      <c r="V465" s="34">
        <v>2.7789999999999999</v>
      </c>
      <c r="W465" s="33">
        <f t="shared" si="113"/>
        <v>2.7690000000000001</v>
      </c>
      <c r="X465" s="17">
        <v>9.0999999999999998E-2</v>
      </c>
      <c r="Y465" s="17">
        <v>8.8999999999999996E-2</v>
      </c>
      <c r="Z465" s="21">
        <f t="shared" si="114"/>
        <v>0.09</v>
      </c>
      <c r="AA465" s="19">
        <v>2.524</v>
      </c>
      <c r="AB465" s="19">
        <v>2.5110000000000001</v>
      </c>
      <c r="AC465" s="21">
        <f t="shared" si="115"/>
        <v>2.5179999999999998</v>
      </c>
      <c r="AD465" s="19">
        <v>0.14399999999999999</v>
      </c>
      <c r="AE465" s="19">
        <v>0.14199999999999999</v>
      </c>
      <c r="AF465" s="21">
        <f t="shared" si="116"/>
        <v>0.14299999999999999</v>
      </c>
      <c r="AG465" s="30">
        <v>0.128</v>
      </c>
      <c r="AH465" s="30">
        <v>0.14000000000000001</v>
      </c>
      <c r="AI465" s="31">
        <f t="shared" si="117"/>
        <v>0.13400000000000001</v>
      </c>
      <c r="AJ465" s="30">
        <v>8.2000000000000003E-2</v>
      </c>
      <c r="AK465" s="30">
        <v>8.1000000000000003E-2</v>
      </c>
      <c r="AL465" s="31">
        <f t="shared" si="118"/>
        <v>8.2000000000000003E-2</v>
      </c>
      <c r="AM465" s="19">
        <v>7.1150000000000002</v>
      </c>
      <c r="AN465" s="19">
        <v>7.0960000000000001</v>
      </c>
      <c r="AO465" s="21">
        <f t="shared" si="119"/>
        <v>7.1059999999999999</v>
      </c>
      <c r="AP465" s="27">
        <v>0.11310000000000001</v>
      </c>
      <c r="AQ465" s="27">
        <v>0.1124</v>
      </c>
      <c r="AR465" s="26">
        <f t="shared" si="120"/>
        <v>0.1128</v>
      </c>
      <c r="AS465" s="3">
        <v>6.43</v>
      </c>
      <c r="AT465" s="97">
        <v>0.03</v>
      </c>
    </row>
    <row r="466" spans="1:48">
      <c r="A466" s="7" t="s">
        <v>137</v>
      </c>
      <c r="B466" s="5" t="s">
        <v>138</v>
      </c>
      <c r="C466" s="6"/>
      <c r="D466" s="6"/>
      <c r="E466" s="23">
        <v>23.8</v>
      </c>
      <c r="F466" s="23">
        <v>6.7</v>
      </c>
      <c r="G466" s="63">
        <v>327</v>
      </c>
      <c r="H466" s="39">
        <v>7.8</v>
      </c>
      <c r="I466" s="23">
        <v>10.9</v>
      </c>
      <c r="J466" s="23">
        <v>12.7</v>
      </c>
      <c r="K466" s="37">
        <v>9.9</v>
      </c>
      <c r="L466" s="37">
        <v>8.8000000000000007</v>
      </c>
      <c r="M466" s="37">
        <v>8</v>
      </c>
      <c r="N466" s="38">
        <f t="shared" si="110"/>
        <v>8.9</v>
      </c>
      <c r="O466" s="37">
        <v>5.3</v>
      </c>
      <c r="P466" s="37">
        <v>5.2</v>
      </c>
      <c r="Q466" s="38">
        <f t="shared" si="111"/>
        <v>5.3</v>
      </c>
      <c r="R466" s="17">
        <v>11.406000000000001</v>
      </c>
      <c r="S466" s="17">
        <v>11.42</v>
      </c>
      <c r="T466" s="22">
        <f t="shared" si="112"/>
        <v>11.413</v>
      </c>
      <c r="U466" s="34">
        <v>10.449</v>
      </c>
      <c r="V466" s="34">
        <v>10.445</v>
      </c>
      <c r="W466" s="33">
        <f t="shared" si="113"/>
        <v>10.446999999999999</v>
      </c>
      <c r="X466" s="17">
        <v>3.0430000000000001</v>
      </c>
      <c r="Y466" s="17">
        <v>3.0680000000000001</v>
      </c>
      <c r="Z466" s="21">
        <f t="shared" si="114"/>
        <v>3.056</v>
      </c>
      <c r="AA466" s="19">
        <v>7.2249999999999996</v>
      </c>
      <c r="AB466" s="19">
        <v>7.2460000000000004</v>
      </c>
      <c r="AC466" s="21">
        <f t="shared" si="115"/>
        <v>7.2359999999999998</v>
      </c>
      <c r="AD466" s="19">
        <v>0.60099999999999998</v>
      </c>
      <c r="AE466" s="19">
        <v>0.59799999999999998</v>
      </c>
      <c r="AF466" s="21">
        <f t="shared" si="116"/>
        <v>0.6</v>
      </c>
      <c r="AG466" s="30">
        <v>0.36199999999999999</v>
      </c>
      <c r="AH466" s="30">
        <v>0.36599999999999999</v>
      </c>
      <c r="AI466" s="31">
        <f t="shared" si="117"/>
        <v>0.36399999999999999</v>
      </c>
      <c r="AJ466" s="30">
        <v>0.27200000000000002</v>
      </c>
      <c r="AK466" s="30">
        <v>0.27400000000000002</v>
      </c>
      <c r="AL466" s="31">
        <f t="shared" si="118"/>
        <v>0.27300000000000002</v>
      </c>
      <c r="AM466" s="19">
        <v>31.702999999999999</v>
      </c>
      <c r="AN466" s="19">
        <v>31.765999999999998</v>
      </c>
      <c r="AO466" s="21">
        <f t="shared" si="119"/>
        <v>31.734999999999999</v>
      </c>
      <c r="AP466" s="27">
        <v>0.1168</v>
      </c>
      <c r="AQ466" s="27">
        <v>0.1169</v>
      </c>
      <c r="AR466" s="26">
        <f t="shared" si="120"/>
        <v>0.1169</v>
      </c>
      <c r="AS466" s="3">
        <v>23.7</v>
      </c>
      <c r="AT466" s="98">
        <v>6.6</v>
      </c>
    </row>
    <row r="467" spans="1:48">
      <c r="A467" s="7" t="s">
        <v>158</v>
      </c>
      <c r="B467" s="5" t="s">
        <v>159</v>
      </c>
      <c r="C467" s="6"/>
      <c r="D467" s="6"/>
      <c r="E467" s="23">
        <v>25.8</v>
      </c>
      <c r="F467" s="23">
        <v>6.5</v>
      </c>
      <c r="G467" s="63">
        <v>151</v>
      </c>
      <c r="H467" s="39">
        <v>6.4</v>
      </c>
      <c r="I467" s="23">
        <v>1</v>
      </c>
      <c r="J467" s="23">
        <v>5</v>
      </c>
      <c r="K467" s="37">
        <v>3.4</v>
      </c>
      <c r="L467" s="37">
        <v>3.4</v>
      </c>
      <c r="M467" s="37"/>
      <c r="N467" s="38">
        <f t="shared" si="110"/>
        <v>3.4</v>
      </c>
      <c r="O467" s="37">
        <v>3</v>
      </c>
      <c r="P467" s="37">
        <v>2.9</v>
      </c>
      <c r="Q467" s="38">
        <f t="shared" si="111"/>
        <v>3</v>
      </c>
      <c r="R467" s="17">
        <v>1.3740000000000001</v>
      </c>
      <c r="S467" s="17">
        <v>1.365</v>
      </c>
      <c r="T467" s="22">
        <f t="shared" si="112"/>
        <v>1.37</v>
      </c>
      <c r="U467" s="34">
        <v>1.208</v>
      </c>
      <c r="V467" s="34">
        <v>1.1859999999999999</v>
      </c>
      <c r="W467" s="33">
        <f t="shared" si="113"/>
        <v>1.1970000000000001</v>
      </c>
      <c r="X467" s="17">
        <v>2.3E-2</v>
      </c>
      <c r="Y467" s="17">
        <v>2.1999999999999999E-2</v>
      </c>
      <c r="Z467" s="21">
        <f t="shared" si="114"/>
        <v>2.3E-2</v>
      </c>
      <c r="AA467" s="19">
        <v>0.83599999999999997</v>
      </c>
      <c r="AB467" s="19">
        <v>0.83399999999999996</v>
      </c>
      <c r="AC467" s="21">
        <f t="shared" si="115"/>
        <v>0.83499999999999996</v>
      </c>
      <c r="AD467" s="19">
        <v>9.9000000000000005E-2</v>
      </c>
      <c r="AE467" s="19">
        <v>9.8000000000000004E-2</v>
      </c>
      <c r="AF467" s="21">
        <f t="shared" si="116"/>
        <v>9.9000000000000005E-2</v>
      </c>
      <c r="AG467" s="30">
        <v>8.2000000000000003E-2</v>
      </c>
      <c r="AH467" s="30">
        <v>7.2999999999999995E-2</v>
      </c>
      <c r="AI467" s="31">
        <f t="shared" si="117"/>
        <v>7.8E-2</v>
      </c>
      <c r="AJ467" s="30">
        <v>1.6E-2</v>
      </c>
      <c r="AK467" s="30">
        <v>1.4E-2</v>
      </c>
      <c r="AL467" s="31">
        <f t="shared" si="118"/>
        <v>1.4999999999999999E-2</v>
      </c>
      <c r="AM467" s="19">
        <v>27.614999999999998</v>
      </c>
      <c r="AN467" s="19">
        <v>27.693000000000001</v>
      </c>
      <c r="AO467" s="21">
        <f t="shared" si="119"/>
        <v>27.654</v>
      </c>
      <c r="AP467" s="27">
        <v>7.1999999999999995E-2</v>
      </c>
      <c r="AQ467" s="27">
        <v>7.1800000000000003E-2</v>
      </c>
      <c r="AR467" s="26">
        <f t="shared" si="120"/>
        <v>7.1900000000000006E-2</v>
      </c>
      <c r="AS467" s="3">
        <v>10.95</v>
      </c>
      <c r="AT467" s="98">
        <v>-2.96</v>
      </c>
    </row>
    <row r="468" spans="1:48" s="1" customFormat="1">
      <c r="A468" s="71" t="s">
        <v>118</v>
      </c>
      <c r="B468" s="73" t="s">
        <v>119</v>
      </c>
      <c r="C468" s="74" t="s">
        <v>120</v>
      </c>
      <c r="D468" s="74" t="s">
        <v>121</v>
      </c>
      <c r="E468" s="73" t="s">
        <v>122</v>
      </c>
      <c r="F468" s="73"/>
      <c r="G468" s="73"/>
      <c r="H468" s="73"/>
      <c r="I468" s="69" t="s">
        <v>123</v>
      </c>
      <c r="J468" s="79" t="s">
        <v>133</v>
      </c>
      <c r="K468" s="76" t="s">
        <v>124</v>
      </c>
      <c r="L468" s="77"/>
      <c r="M468" s="77"/>
      <c r="N468" s="78"/>
      <c r="O468" s="76" t="s">
        <v>125</v>
      </c>
      <c r="P468" s="77"/>
      <c r="Q468" s="77"/>
      <c r="R468" s="77"/>
      <c r="S468" s="78"/>
      <c r="T468" s="76" t="s">
        <v>135</v>
      </c>
      <c r="U468" s="77"/>
      <c r="V468" s="78"/>
      <c r="W468" s="76" t="s">
        <v>126</v>
      </c>
      <c r="X468" s="77"/>
      <c r="Y468" s="78"/>
      <c r="Z468" s="76" t="s">
        <v>127</v>
      </c>
      <c r="AA468" s="77"/>
      <c r="AB468" s="78"/>
      <c r="AC468" s="76" t="s">
        <v>128</v>
      </c>
      <c r="AD468" s="77"/>
      <c r="AE468" s="78"/>
      <c r="AF468" s="76" t="s">
        <v>129</v>
      </c>
      <c r="AG468" s="77"/>
      <c r="AH468" s="78"/>
      <c r="AI468" s="76" t="s">
        <v>130</v>
      </c>
      <c r="AJ468" s="77"/>
      <c r="AK468" s="78"/>
      <c r="AL468" s="76" t="s">
        <v>131</v>
      </c>
      <c r="AM468" s="77"/>
      <c r="AN468" s="78"/>
      <c r="AO468" s="76" t="s">
        <v>132</v>
      </c>
      <c r="AP468" s="77"/>
      <c r="AQ468" s="78"/>
      <c r="AR468" s="76" t="s">
        <v>134</v>
      </c>
      <c r="AS468" s="77"/>
      <c r="AT468" s="78"/>
    </row>
    <row r="469" spans="1:48" s="1" customFormat="1" ht="17.25" thickBot="1">
      <c r="A469" s="72"/>
      <c r="B469" s="70"/>
      <c r="C469" s="75"/>
      <c r="D469" s="75"/>
      <c r="E469" s="12" t="s">
        <v>111</v>
      </c>
      <c r="F469" s="12" t="s">
        <v>110</v>
      </c>
      <c r="G469" s="12" t="s">
        <v>113</v>
      </c>
      <c r="H469" s="12" t="s">
        <v>112</v>
      </c>
      <c r="I469" s="70"/>
      <c r="J469" s="80"/>
      <c r="K469" s="13" t="s">
        <v>115</v>
      </c>
      <c r="L469" s="13" t="s">
        <v>116</v>
      </c>
      <c r="M469" s="13" t="s">
        <v>117</v>
      </c>
      <c r="N469" s="12" t="s">
        <v>114</v>
      </c>
      <c r="O469" s="13" t="s">
        <v>115</v>
      </c>
      <c r="P469" s="13" t="s">
        <v>116</v>
      </c>
      <c r="Q469" s="13" t="s">
        <v>117</v>
      </c>
      <c r="R469" s="13" t="s">
        <v>165</v>
      </c>
      <c r="S469" s="12" t="s">
        <v>114</v>
      </c>
      <c r="T469" s="13" t="s">
        <v>115</v>
      </c>
      <c r="U469" s="13" t="s">
        <v>116</v>
      </c>
      <c r="V469" s="12" t="s">
        <v>114</v>
      </c>
      <c r="W469" s="13" t="s">
        <v>115</v>
      </c>
      <c r="X469" s="13" t="s">
        <v>116</v>
      </c>
      <c r="Y469" s="12" t="s">
        <v>114</v>
      </c>
      <c r="Z469" s="13" t="s">
        <v>115</v>
      </c>
      <c r="AA469" s="13" t="s">
        <v>116</v>
      </c>
      <c r="AB469" s="12" t="s">
        <v>114</v>
      </c>
      <c r="AC469" s="13" t="s">
        <v>115</v>
      </c>
      <c r="AD469" s="13" t="s">
        <v>116</v>
      </c>
      <c r="AE469" s="12" t="s">
        <v>114</v>
      </c>
      <c r="AF469" s="13" t="s">
        <v>115</v>
      </c>
      <c r="AG469" s="13" t="s">
        <v>116</v>
      </c>
      <c r="AH469" s="12" t="s">
        <v>114</v>
      </c>
      <c r="AI469" s="13" t="s">
        <v>115</v>
      </c>
      <c r="AJ469" s="13" t="s">
        <v>116</v>
      </c>
      <c r="AK469" s="12" t="s">
        <v>114</v>
      </c>
      <c r="AL469" s="13" t="s">
        <v>115</v>
      </c>
      <c r="AM469" s="13" t="s">
        <v>116</v>
      </c>
      <c r="AN469" s="12" t="s">
        <v>114</v>
      </c>
      <c r="AO469" s="13" t="s">
        <v>115</v>
      </c>
      <c r="AP469" s="13" t="s">
        <v>116</v>
      </c>
      <c r="AQ469" s="12" t="s">
        <v>114</v>
      </c>
      <c r="AR469" s="13" t="s">
        <v>115</v>
      </c>
      <c r="AS469" s="13" t="s">
        <v>116</v>
      </c>
      <c r="AT469" s="12" t="s">
        <v>114</v>
      </c>
      <c r="AU469" s="1" t="s">
        <v>166</v>
      </c>
      <c r="AV469" s="1" t="s">
        <v>167</v>
      </c>
    </row>
    <row r="470" spans="1:48">
      <c r="A470" s="8" t="s">
        <v>136</v>
      </c>
      <c r="B470" s="9" t="s">
        <v>34</v>
      </c>
      <c r="C470" s="10" t="s">
        <v>35</v>
      </c>
      <c r="D470" s="10" t="s">
        <v>36</v>
      </c>
      <c r="E470" s="20">
        <v>18.899999999999999</v>
      </c>
      <c r="F470" s="20">
        <v>7.5</v>
      </c>
      <c r="G470" s="40">
        <v>122</v>
      </c>
      <c r="H470" s="20">
        <v>9.5</v>
      </c>
      <c r="I470" s="20">
        <v>0.8</v>
      </c>
      <c r="J470" s="20">
        <v>3.9</v>
      </c>
      <c r="K470" s="36">
        <v>2.6</v>
      </c>
      <c r="L470" s="36">
        <v>2.6</v>
      </c>
      <c r="M470" s="36"/>
      <c r="N470" s="38">
        <f>ROUND(AVERAGE(K470:M470),1)</f>
        <v>2.6</v>
      </c>
      <c r="O470" s="36">
        <v>2.2999999999999998</v>
      </c>
      <c r="P470" s="36">
        <v>2.2000000000000002</v>
      </c>
      <c r="Q470" s="36"/>
      <c r="R470" s="36"/>
      <c r="S470" s="38">
        <f>ROUND(AVERAGE(O470:R470),1)</f>
        <v>2.2999999999999998</v>
      </c>
      <c r="T470" s="16">
        <v>1.506</v>
      </c>
      <c r="U470" s="16">
        <v>1.5469999999999999</v>
      </c>
      <c r="V470" s="22">
        <f>ROUND(AVERAGE(T470:U470),3)</f>
        <v>1.5269999999999999</v>
      </c>
      <c r="W470" s="32">
        <v>0.95399999999999996</v>
      </c>
      <c r="X470" s="32">
        <v>0.94399999999999995</v>
      </c>
      <c r="Y470" s="33">
        <f>ROUND(AVERAGE(W470:X470),3)</f>
        <v>0.94899999999999995</v>
      </c>
      <c r="Z470" s="16">
        <v>1.7999999999999999E-2</v>
      </c>
      <c r="AA470" s="16">
        <v>1.7999999999999999E-2</v>
      </c>
      <c r="AB470" s="21">
        <f>ROUND(AVERAGE(Z470:AA470),3)</f>
        <v>1.7999999999999999E-2</v>
      </c>
      <c r="AC470" s="18">
        <v>0.84399999999999997</v>
      </c>
      <c r="AD470" s="18">
        <v>0.83399999999999996</v>
      </c>
      <c r="AE470" s="21">
        <f>ROUND(AVERAGE(AC470:AD470),3)</f>
        <v>0.83899999999999997</v>
      </c>
      <c r="AF470" s="18">
        <v>2.9000000000000001E-2</v>
      </c>
      <c r="AG470" s="18">
        <v>2.9000000000000001E-2</v>
      </c>
      <c r="AH470" s="21">
        <f>ROUND(AVERAGE(AF470:AG470),3)</f>
        <v>2.9000000000000001E-2</v>
      </c>
      <c r="AI470" s="29">
        <v>1.7000000000000001E-2</v>
      </c>
      <c r="AJ470" s="29">
        <v>1.4999999999999999E-2</v>
      </c>
      <c r="AK470" s="31">
        <f>ROUND(AVERAGE(AI470:AJ470),3)</f>
        <v>1.6E-2</v>
      </c>
      <c r="AL470" s="29">
        <v>5.0000000000000001E-3</v>
      </c>
      <c r="AM470" s="29">
        <v>4.0000000000000001E-3</v>
      </c>
      <c r="AN470" s="31">
        <f>ROUND(AVERAGE(AL470:AM470),3)</f>
        <v>5.0000000000000001E-3</v>
      </c>
      <c r="AO470" s="18">
        <v>9.0310000000000006</v>
      </c>
      <c r="AP470" s="18">
        <v>9.0120000000000005</v>
      </c>
      <c r="AQ470" s="21">
        <f>ROUND(AVERAGE(AO470:AP470),3)</f>
        <v>9.0220000000000002</v>
      </c>
      <c r="AR470" s="44">
        <v>6.7000000000000004E-2</v>
      </c>
      <c r="AS470" s="44">
        <v>6.6500000000000004E-2</v>
      </c>
      <c r="AT470" s="45">
        <f>ROUND(AVERAGE(AR470:AS470),4)</f>
        <v>6.6799999999999998E-2</v>
      </c>
      <c r="AU470" s="93">
        <v>4.37</v>
      </c>
      <c r="AV470" s="93">
        <v>1.06</v>
      </c>
    </row>
    <row r="471" spans="1:48">
      <c r="A471" s="7" t="s">
        <v>37</v>
      </c>
      <c r="B471" s="5" t="s">
        <v>38</v>
      </c>
      <c r="C471" s="6" t="s">
        <v>39</v>
      </c>
      <c r="D471" s="6" t="s">
        <v>40</v>
      </c>
      <c r="E471" s="23">
        <v>19.399999999999999</v>
      </c>
      <c r="F471" s="23">
        <v>7.1</v>
      </c>
      <c r="G471" s="41">
        <v>87</v>
      </c>
      <c r="H471" s="23">
        <v>8.8000000000000007</v>
      </c>
      <c r="I471" s="23">
        <v>1.2</v>
      </c>
      <c r="J471" s="23">
        <v>4.7</v>
      </c>
      <c r="K471" s="37">
        <v>3.4</v>
      </c>
      <c r="L471" s="37">
        <v>3.5</v>
      </c>
      <c r="M471" s="37"/>
      <c r="N471" s="38">
        <f t="shared" ref="N471:N506" si="121">ROUND(AVERAGE(K471:M471),1)</f>
        <v>3.5</v>
      </c>
      <c r="O471" s="37">
        <v>2.9</v>
      </c>
      <c r="P471" s="37">
        <v>3</v>
      </c>
      <c r="Q471" s="36"/>
      <c r="R471" s="36"/>
      <c r="S471" s="38">
        <f t="shared" ref="S471:S506" si="122">ROUND(AVERAGE(O471:R471),1)</f>
        <v>3</v>
      </c>
      <c r="T471" s="17">
        <v>1.0880000000000001</v>
      </c>
      <c r="U471" s="17">
        <v>1.091</v>
      </c>
      <c r="V471" s="22">
        <f t="shared" ref="V471:V506" si="123">ROUND(AVERAGE(T471:U471),3)</f>
        <v>1.0900000000000001</v>
      </c>
      <c r="W471" s="34">
        <v>0.96099999999999997</v>
      </c>
      <c r="X471" s="34">
        <v>0.96299999999999997</v>
      </c>
      <c r="Y471" s="33">
        <f t="shared" ref="Y471:Y506" si="124">ROUND(AVERAGE(W471:X471),3)</f>
        <v>0.96199999999999997</v>
      </c>
      <c r="Z471" s="17">
        <v>3.9E-2</v>
      </c>
      <c r="AA471" s="17">
        <v>3.6999999999999998E-2</v>
      </c>
      <c r="AB471" s="21">
        <f t="shared" ref="AB471:AB506" si="125">ROUND(AVERAGE(Z471:AA471),3)</f>
        <v>3.7999999999999999E-2</v>
      </c>
      <c r="AC471" s="19">
        <v>0.78500000000000003</v>
      </c>
      <c r="AD471" s="19">
        <v>0.78900000000000003</v>
      </c>
      <c r="AE471" s="21">
        <f t="shared" ref="AE471:AE506" si="126">ROUND(AVERAGE(AC471:AD471),3)</f>
        <v>0.78700000000000003</v>
      </c>
      <c r="AF471" s="19">
        <v>5.8000000000000003E-2</v>
      </c>
      <c r="AG471" s="19">
        <v>5.6000000000000001E-2</v>
      </c>
      <c r="AH471" s="21">
        <f t="shared" ref="AH471:AH506" si="127">ROUND(AVERAGE(AF471:AG471),3)</f>
        <v>5.7000000000000002E-2</v>
      </c>
      <c r="AI471" s="30">
        <v>2.9000000000000001E-2</v>
      </c>
      <c r="AJ471" s="30">
        <v>3.1E-2</v>
      </c>
      <c r="AK471" s="31">
        <f t="shared" ref="AK471:AK506" si="128">ROUND(AVERAGE(AI471:AJ471),3)</f>
        <v>0.03</v>
      </c>
      <c r="AL471" s="30">
        <v>1.6E-2</v>
      </c>
      <c r="AM471" s="30">
        <v>1.6E-2</v>
      </c>
      <c r="AN471" s="31">
        <f t="shared" ref="AN471:AN506" si="129">ROUND(AVERAGE(AL471:AM471),3)</f>
        <v>1.6E-2</v>
      </c>
      <c r="AO471" s="19">
        <v>5.3890000000000002</v>
      </c>
      <c r="AP471" s="19">
        <v>5.3659999999999997</v>
      </c>
      <c r="AQ471" s="21">
        <f t="shared" ref="AQ471:AQ506" si="130">ROUND(AVERAGE(AO471:AP471),3)</f>
        <v>5.3780000000000001</v>
      </c>
      <c r="AR471" s="46">
        <v>8.9300000000000004E-2</v>
      </c>
      <c r="AS471" s="46">
        <v>8.8999999999999996E-2</v>
      </c>
      <c r="AT471" s="45">
        <f t="shared" ref="AT471:AT506" si="131">ROUND(AVERAGE(AR471:AS471),4)</f>
        <v>8.9200000000000002E-2</v>
      </c>
      <c r="AU471" s="94">
        <v>6.4</v>
      </c>
      <c r="AV471" s="1">
        <v>2.48</v>
      </c>
    </row>
    <row r="472" spans="1:48">
      <c r="A472" s="7" t="s">
        <v>0</v>
      </c>
      <c r="B472" s="5" t="s">
        <v>41</v>
      </c>
      <c r="C472" s="6" t="s">
        <v>42</v>
      </c>
      <c r="D472" s="6" t="s">
        <v>36</v>
      </c>
      <c r="E472" s="23">
        <v>19.399999999999999</v>
      </c>
      <c r="F472" s="23">
        <v>6.8</v>
      </c>
      <c r="G472" s="41">
        <v>104</v>
      </c>
      <c r="H472" s="23">
        <v>8.9</v>
      </c>
      <c r="I472" s="23">
        <v>1</v>
      </c>
      <c r="J472" s="23">
        <v>4.3</v>
      </c>
      <c r="K472" s="37">
        <v>3.1</v>
      </c>
      <c r="L472" s="37">
        <v>3.2</v>
      </c>
      <c r="M472" s="37"/>
      <c r="N472" s="38">
        <f t="shared" si="121"/>
        <v>3.2</v>
      </c>
      <c r="O472" s="37">
        <v>2.8</v>
      </c>
      <c r="P472" s="37">
        <v>2.8</v>
      </c>
      <c r="Q472" s="36"/>
      <c r="R472" s="36"/>
      <c r="S472" s="38">
        <f t="shared" si="122"/>
        <v>2.8</v>
      </c>
      <c r="T472" s="17">
        <v>1.0229999999999999</v>
      </c>
      <c r="U472" s="17">
        <v>1.04</v>
      </c>
      <c r="V472" s="22">
        <f t="shared" si="123"/>
        <v>1.032</v>
      </c>
      <c r="W472" s="34">
        <v>0.94599999999999995</v>
      </c>
      <c r="X472" s="34">
        <v>0.95799999999999996</v>
      </c>
      <c r="Y472" s="33">
        <f t="shared" si="124"/>
        <v>0.95199999999999996</v>
      </c>
      <c r="Z472" s="17">
        <v>3.7999999999999999E-2</v>
      </c>
      <c r="AA472" s="17">
        <v>3.6999999999999998E-2</v>
      </c>
      <c r="AB472" s="21">
        <f t="shared" si="125"/>
        <v>3.7999999999999999E-2</v>
      </c>
      <c r="AC472" s="19">
        <v>0.78700000000000003</v>
      </c>
      <c r="AD472" s="19">
        <v>0.77300000000000002</v>
      </c>
      <c r="AE472" s="21">
        <f t="shared" si="126"/>
        <v>0.78</v>
      </c>
      <c r="AF472" s="19">
        <v>5.1999999999999998E-2</v>
      </c>
      <c r="AG472" s="19">
        <v>5.0999999999999997E-2</v>
      </c>
      <c r="AH472" s="21">
        <f t="shared" si="127"/>
        <v>5.1999999999999998E-2</v>
      </c>
      <c r="AI472" s="30">
        <v>2.7E-2</v>
      </c>
      <c r="AJ472" s="30">
        <v>2.8000000000000001E-2</v>
      </c>
      <c r="AK472" s="31">
        <f t="shared" si="128"/>
        <v>2.8000000000000001E-2</v>
      </c>
      <c r="AL472" s="30">
        <v>1.2999999999999999E-2</v>
      </c>
      <c r="AM472" s="30">
        <v>1.2E-2</v>
      </c>
      <c r="AN472" s="31">
        <f t="shared" si="129"/>
        <v>1.2999999999999999E-2</v>
      </c>
      <c r="AO472" s="19">
        <v>7.0279999999999996</v>
      </c>
      <c r="AP472" s="19">
        <v>6.9829999999999997</v>
      </c>
      <c r="AQ472" s="21">
        <f t="shared" si="130"/>
        <v>7.0060000000000002</v>
      </c>
      <c r="AR472" s="46">
        <v>8.2500000000000004E-2</v>
      </c>
      <c r="AS472" s="46">
        <v>8.2500000000000004E-2</v>
      </c>
      <c r="AT472" s="45">
        <f t="shared" si="131"/>
        <v>8.2500000000000004E-2</v>
      </c>
      <c r="AU472" s="94">
        <v>5.54</v>
      </c>
      <c r="AV472" s="94">
        <v>1.69</v>
      </c>
    </row>
    <row r="473" spans="1:48">
      <c r="A473" s="7" t="s">
        <v>1</v>
      </c>
      <c r="B473" s="5" t="s">
        <v>43</v>
      </c>
      <c r="C473" s="6" t="s">
        <v>44</v>
      </c>
      <c r="D473" s="6" t="s">
        <v>45</v>
      </c>
      <c r="E473" s="23">
        <v>18.7</v>
      </c>
      <c r="F473" s="23">
        <v>6.9</v>
      </c>
      <c r="G473" s="41">
        <v>88</v>
      </c>
      <c r="H473" s="23">
        <v>9.3000000000000007</v>
      </c>
      <c r="I473" s="23">
        <v>1.5</v>
      </c>
      <c r="J473" s="23">
        <v>6.4</v>
      </c>
      <c r="K473" s="37">
        <v>4.4000000000000004</v>
      </c>
      <c r="L473" s="37">
        <v>4.3</v>
      </c>
      <c r="M473" s="37"/>
      <c r="N473" s="38">
        <f t="shared" si="121"/>
        <v>4.4000000000000004</v>
      </c>
      <c r="O473" s="37">
        <v>4</v>
      </c>
      <c r="P473" s="37">
        <v>3.6</v>
      </c>
      <c r="Q473" s="36">
        <v>3.9</v>
      </c>
      <c r="R473" s="36">
        <v>3.7</v>
      </c>
      <c r="S473" s="38">
        <f t="shared" si="122"/>
        <v>3.8</v>
      </c>
      <c r="T473" s="17">
        <v>0.91100000000000003</v>
      </c>
      <c r="U473" s="17">
        <v>0.90500000000000003</v>
      </c>
      <c r="V473" s="22">
        <f t="shared" si="123"/>
        <v>0.90800000000000003</v>
      </c>
      <c r="W473" s="34">
        <v>0.81599999999999995</v>
      </c>
      <c r="X473" s="34">
        <v>0.81899999999999995</v>
      </c>
      <c r="Y473" s="33">
        <f t="shared" si="124"/>
        <v>0.81799999999999995</v>
      </c>
      <c r="Z473" s="17">
        <v>2.1000000000000001E-2</v>
      </c>
      <c r="AA473" s="17">
        <v>2.1000000000000001E-2</v>
      </c>
      <c r="AB473" s="21">
        <f t="shared" si="125"/>
        <v>2.1000000000000001E-2</v>
      </c>
      <c r="AC473" s="19">
        <v>0.65300000000000002</v>
      </c>
      <c r="AD473" s="19">
        <v>0.64700000000000002</v>
      </c>
      <c r="AE473" s="21">
        <f t="shared" si="126"/>
        <v>0.65</v>
      </c>
      <c r="AF473" s="19">
        <v>6.6000000000000003E-2</v>
      </c>
      <c r="AG473" s="19">
        <v>6.4000000000000001E-2</v>
      </c>
      <c r="AH473" s="21">
        <f t="shared" si="127"/>
        <v>6.5000000000000002E-2</v>
      </c>
      <c r="AI473" s="30">
        <v>3.5000000000000003E-2</v>
      </c>
      <c r="AJ473" s="30">
        <v>3.5000000000000003E-2</v>
      </c>
      <c r="AK473" s="31">
        <f t="shared" si="128"/>
        <v>3.5000000000000003E-2</v>
      </c>
      <c r="AL473" s="30">
        <v>1.7999999999999999E-2</v>
      </c>
      <c r="AM473" s="30">
        <v>1.7999999999999999E-2</v>
      </c>
      <c r="AN473" s="31">
        <f t="shared" si="129"/>
        <v>1.7999999999999999E-2</v>
      </c>
      <c r="AO473" s="19">
        <v>6.2779999999999996</v>
      </c>
      <c r="AP473" s="19">
        <v>6.2549999999999999</v>
      </c>
      <c r="AQ473" s="21">
        <f t="shared" si="130"/>
        <v>6.2670000000000003</v>
      </c>
      <c r="AR473" s="46">
        <v>0.12820000000000001</v>
      </c>
      <c r="AS473" s="46">
        <v>0.1288</v>
      </c>
      <c r="AT473" s="45">
        <f t="shared" si="131"/>
        <v>0.1285</v>
      </c>
      <c r="AU473" s="94">
        <v>5.17</v>
      </c>
      <c r="AV473" s="1">
        <v>1.58</v>
      </c>
    </row>
    <row r="474" spans="1:48">
      <c r="A474" s="7" t="s">
        <v>2</v>
      </c>
      <c r="B474" s="5" t="s">
        <v>46</v>
      </c>
      <c r="C474" s="6" t="s">
        <v>47</v>
      </c>
      <c r="D474" s="6" t="s">
        <v>36</v>
      </c>
      <c r="E474" s="23">
        <v>19.2</v>
      </c>
      <c r="F474" s="23">
        <v>6.8</v>
      </c>
      <c r="G474" s="41">
        <v>100</v>
      </c>
      <c r="H474" s="23">
        <v>9</v>
      </c>
      <c r="I474" s="23">
        <v>1.3</v>
      </c>
      <c r="J474" s="23">
        <v>4.7</v>
      </c>
      <c r="K474" s="37">
        <v>3.6</v>
      </c>
      <c r="L474" s="37">
        <v>3.4</v>
      </c>
      <c r="M474" s="37"/>
      <c r="N474" s="38">
        <f t="shared" si="121"/>
        <v>3.5</v>
      </c>
      <c r="O474" s="37">
        <v>2.8</v>
      </c>
      <c r="P474" s="37">
        <v>2.8</v>
      </c>
      <c r="Q474" s="36"/>
      <c r="R474" s="36"/>
      <c r="S474" s="38">
        <f t="shared" si="122"/>
        <v>2.8</v>
      </c>
      <c r="T474" s="17">
        <v>1.0620000000000001</v>
      </c>
      <c r="U474" s="17">
        <v>1.0840000000000001</v>
      </c>
      <c r="V474" s="22">
        <f t="shared" si="123"/>
        <v>1.073</v>
      </c>
      <c r="W474" s="34">
        <v>0.97099999999999997</v>
      </c>
      <c r="X474" s="34">
        <v>0.97299999999999998</v>
      </c>
      <c r="Y474" s="33">
        <f t="shared" si="124"/>
        <v>0.97199999999999998</v>
      </c>
      <c r="Z474" s="17">
        <v>4.3999999999999997E-2</v>
      </c>
      <c r="AA474" s="17">
        <v>4.2999999999999997E-2</v>
      </c>
      <c r="AB474" s="21">
        <f t="shared" si="125"/>
        <v>4.3999999999999997E-2</v>
      </c>
      <c r="AC474" s="19">
        <v>0.79700000000000004</v>
      </c>
      <c r="AD474" s="19">
        <v>0.78700000000000003</v>
      </c>
      <c r="AE474" s="21">
        <f t="shared" si="126"/>
        <v>0.79200000000000004</v>
      </c>
      <c r="AF474" s="19">
        <v>6.3E-2</v>
      </c>
      <c r="AG474" s="19">
        <v>6.2E-2</v>
      </c>
      <c r="AH474" s="21">
        <f t="shared" si="127"/>
        <v>6.3E-2</v>
      </c>
      <c r="AI474" s="30">
        <v>3.5999999999999997E-2</v>
      </c>
      <c r="AJ474" s="30">
        <v>3.5999999999999997E-2</v>
      </c>
      <c r="AK474" s="31">
        <f t="shared" si="128"/>
        <v>3.5999999999999997E-2</v>
      </c>
      <c r="AL474" s="30">
        <v>2.1999999999999999E-2</v>
      </c>
      <c r="AM474" s="30">
        <v>2.3E-2</v>
      </c>
      <c r="AN474" s="31">
        <f t="shared" si="129"/>
        <v>2.3E-2</v>
      </c>
      <c r="AO474" s="19">
        <v>6.8440000000000003</v>
      </c>
      <c r="AP474" s="19">
        <v>6.81</v>
      </c>
      <c r="AQ474" s="21">
        <f t="shared" si="130"/>
        <v>6.827</v>
      </c>
      <c r="AR474" s="46">
        <v>9.2399999999999996E-2</v>
      </c>
      <c r="AS474" s="46">
        <v>9.1300000000000006E-2</v>
      </c>
      <c r="AT474" s="45">
        <f t="shared" si="131"/>
        <v>9.1899999999999996E-2</v>
      </c>
      <c r="AU474" s="94">
        <v>5.75</v>
      </c>
      <c r="AV474" s="94">
        <v>3.51</v>
      </c>
    </row>
    <row r="475" spans="1:48">
      <c r="A475" s="7" t="s">
        <v>3</v>
      </c>
      <c r="B475" s="5" t="s">
        <v>46</v>
      </c>
      <c r="C475" s="6" t="s">
        <v>44</v>
      </c>
      <c r="D475" s="6" t="s">
        <v>48</v>
      </c>
      <c r="E475" s="23">
        <v>19.100000000000001</v>
      </c>
      <c r="F475" s="23">
        <v>7</v>
      </c>
      <c r="G475" s="41">
        <v>102</v>
      </c>
      <c r="H475" s="23">
        <v>9.3000000000000007</v>
      </c>
      <c r="I475" s="23">
        <v>1.3</v>
      </c>
      <c r="J475" s="23">
        <v>5.6</v>
      </c>
      <c r="K475" s="37">
        <v>3.8</v>
      </c>
      <c r="L475" s="37">
        <v>3.6</v>
      </c>
      <c r="M475" s="37"/>
      <c r="N475" s="38">
        <f t="shared" si="121"/>
        <v>3.7</v>
      </c>
      <c r="O475" s="37">
        <v>3.3</v>
      </c>
      <c r="P475" s="37">
        <v>3.1</v>
      </c>
      <c r="Q475" s="36"/>
      <c r="R475" s="36"/>
      <c r="S475" s="38">
        <f t="shared" si="122"/>
        <v>3.2</v>
      </c>
      <c r="T475" s="17">
        <v>1.1950000000000001</v>
      </c>
      <c r="U475" s="17">
        <v>1.204</v>
      </c>
      <c r="V475" s="22">
        <f t="shared" si="123"/>
        <v>1.2</v>
      </c>
      <c r="W475" s="34">
        <v>1.149</v>
      </c>
      <c r="X475" s="34">
        <v>1.129</v>
      </c>
      <c r="Y475" s="33">
        <f t="shared" si="124"/>
        <v>1.139</v>
      </c>
      <c r="Z475" s="17">
        <v>3.1E-2</v>
      </c>
      <c r="AA475" s="17">
        <v>3.1E-2</v>
      </c>
      <c r="AB475" s="21">
        <f t="shared" si="125"/>
        <v>3.1E-2</v>
      </c>
      <c r="AC475" s="19">
        <v>0.94299999999999995</v>
      </c>
      <c r="AD475" s="19">
        <v>0.93400000000000005</v>
      </c>
      <c r="AE475" s="21">
        <f t="shared" si="126"/>
        <v>0.93899999999999995</v>
      </c>
      <c r="AF475" s="19">
        <v>7.2999999999999995E-2</v>
      </c>
      <c r="AG475" s="19">
        <v>7.0999999999999994E-2</v>
      </c>
      <c r="AH475" s="21">
        <f t="shared" si="127"/>
        <v>7.1999999999999995E-2</v>
      </c>
      <c r="AI475" s="30">
        <v>4.3999999999999997E-2</v>
      </c>
      <c r="AJ475" s="30">
        <v>4.3999999999999997E-2</v>
      </c>
      <c r="AK475" s="31">
        <f t="shared" si="128"/>
        <v>4.3999999999999997E-2</v>
      </c>
      <c r="AL475" s="30">
        <v>3.1E-2</v>
      </c>
      <c r="AM475" s="30">
        <v>3.3000000000000002E-2</v>
      </c>
      <c r="AN475" s="31">
        <f t="shared" si="129"/>
        <v>3.2000000000000001E-2</v>
      </c>
      <c r="AO475" s="19">
        <v>6.5919999999999996</v>
      </c>
      <c r="AP475" s="19">
        <v>6.5659999999999998</v>
      </c>
      <c r="AQ475" s="21">
        <f t="shared" si="130"/>
        <v>6.5789999999999997</v>
      </c>
      <c r="AR475" s="46">
        <v>9.9900000000000003E-2</v>
      </c>
      <c r="AS475" s="46">
        <v>9.98E-2</v>
      </c>
      <c r="AT475" s="45">
        <f t="shared" si="131"/>
        <v>9.9900000000000003E-2</v>
      </c>
      <c r="AU475" s="95">
        <v>5.46</v>
      </c>
      <c r="AV475" s="1">
        <v>-0.3</v>
      </c>
    </row>
    <row r="476" spans="1:48">
      <c r="A476" s="7" t="s">
        <v>4</v>
      </c>
      <c r="B476" s="5" t="s">
        <v>49</v>
      </c>
      <c r="C476" s="6" t="s">
        <v>44</v>
      </c>
      <c r="D476" s="6" t="s">
        <v>36</v>
      </c>
      <c r="E476" s="23">
        <v>19.100000000000001</v>
      </c>
      <c r="F476" s="23">
        <v>6.9</v>
      </c>
      <c r="G476" s="41">
        <v>103</v>
      </c>
      <c r="H476" s="23">
        <v>8.5</v>
      </c>
      <c r="I476" s="23">
        <v>1</v>
      </c>
      <c r="J476" s="23">
        <v>4.2</v>
      </c>
      <c r="K476" s="37">
        <v>2.9</v>
      </c>
      <c r="L476" s="37">
        <v>3</v>
      </c>
      <c r="M476" s="37"/>
      <c r="N476" s="38">
        <f t="shared" si="121"/>
        <v>3</v>
      </c>
      <c r="O476" s="37">
        <v>2.6</v>
      </c>
      <c r="P476" s="37">
        <v>2.5</v>
      </c>
      <c r="Q476" s="36"/>
      <c r="R476" s="36"/>
      <c r="S476" s="38">
        <f t="shared" si="122"/>
        <v>2.6</v>
      </c>
      <c r="T476" s="17">
        <v>1.0660000000000001</v>
      </c>
      <c r="U476" s="17">
        <v>1.0960000000000001</v>
      </c>
      <c r="V476" s="22">
        <f t="shared" si="123"/>
        <v>1.081</v>
      </c>
      <c r="W476" s="34">
        <v>0.99199999999999999</v>
      </c>
      <c r="X476" s="34">
        <v>1.004</v>
      </c>
      <c r="Y476" s="33">
        <f t="shared" si="124"/>
        <v>0.998</v>
      </c>
      <c r="Z476" s="17">
        <v>4.1000000000000002E-2</v>
      </c>
      <c r="AA476" s="17">
        <v>4.2000000000000003E-2</v>
      </c>
      <c r="AB476" s="21">
        <f t="shared" si="125"/>
        <v>4.2000000000000003E-2</v>
      </c>
      <c r="AC476" s="19">
        <v>0.84</v>
      </c>
      <c r="AD476" s="19">
        <v>0.83099999999999996</v>
      </c>
      <c r="AE476" s="21">
        <f t="shared" si="126"/>
        <v>0.83599999999999997</v>
      </c>
      <c r="AF476" s="19">
        <v>6.9000000000000006E-2</v>
      </c>
      <c r="AG476" s="19">
        <v>6.7000000000000004E-2</v>
      </c>
      <c r="AH476" s="21">
        <f t="shared" si="127"/>
        <v>6.8000000000000005E-2</v>
      </c>
      <c r="AI476" s="30">
        <v>3.9E-2</v>
      </c>
      <c r="AJ476" s="30">
        <v>0.04</v>
      </c>
      <c r="AK476" s="31">
        <f t="shared" si="128"/>
        <v>0.04</v>
      </c>
      <c r="AL476" s="30">
        <v>0.03</v>
      </c>
      <c r="AM476" s="30">
        <v>3.1E-2</v>
      </c>
      <c r="AN476" s="31">
        <f t="shared" si="129"/>
        <v>3.1E-2</v>
      </c>
      <c r="AO476" s="19">
        <v>6.9930000000000003</v>
      </c>
      <c r="AP476" s="19">
        <v>6.9669999999999996</v>
      </c>
      <c r="AQ476" s="21">
        <f t="shared" si="130"/>
        <v>6.98</v>
      </c>
      <c r="AR476" s="46">
        <v>8.1199999999999994E-2</v>
      </c>
      <c r="AS476" s="46">
        <v>8.1199999999999994E-2</v>
      </c>
      <c r="AT476" s="45">
        <f t="shared" si="131"/>
        <v>8.1199999999999994E-2</v>
      </c>
      <c r="AU476" s="95">
        <v>5.83</v>
      </c>
      <c r="AV476" s="97">
        <v>3.65</v>
      </c>
    </row>
    <row r="477" spans="1:48">
      <c r="A477" s="7" t="s">
        <v>5</v>
      </c>
      <c r="B477" s="5" t="s">
        <v>50</v>
      </c>
      <c r="C477" s="6" t="s">
        <v>42</v>
      </c>
      <c r="D477" s="6" t="s">
        <v>51</v>
      </c>
      <c r="E477" s="23">
        <v>20.100000000000001</v>
      </c>
      <c r="F477" s="23">
        <v>7.1</v>
      </c>
      <c r="G477" s="41">
        <v>106</v>
      </c>
      <c r="H477" s="23">
        <v>8.1</v>
      </c>
      <c r="I477" s="23">
        <v>1.1000000000000001</v>
      </c>
      <c r="J477" s="23">
        <v>4.7</v>
      </c>
      <c r="K477" s="37">
        <v>3.3</v>
      </c>
      <c r="L477" s="37">
        <v>3.3</v>
      </c>
      <c r="M477" s="37"/>
      <c r="N477" s="38">
        <f t="shared" si="121"/>
        <v>3.3</v>
      </c>
      <c r="O477" s="37">
        <v>2.8</v>
      </c>
      <c r="P477" s="37">
        <v>2.7</v>
      </c>
      <c r="Q477" s="36"/>
      <c r="R477" s="36"/>
      <c r="S477" s="38">
        <f t="shared" si="122"/>
        <v>2.8</v>
      </c>
      <c r="T477" s="17">
        <v>1.9370000000000001</v>
      </c>
      <c r="U477" s="17">
        <v>1.944</v>
      </c>
      <c r="V477" s="22">
        <f t="shared" si="123"/>
        <v>1.9410000000000001</v>
      </c>
      <c r="W477" s="34">
        <v>1.847</v>
      </c>
      <c r="X477" s="34">
        <v>1.861</v>
      </c>
      <c r="Y477" s="33">
        <f t="shared" si="124"/>
        <v>1.8540000000000001</v>
      </c>
      <c r="Z477" s="17">
        <v>6.7000000000000004E-2</v>
      </c>
      <c r="AA477" s="17">
        <v>6.8000000000000005E-2</v>
      </c>
      <c r="AB477" s="21">
        <f t="shared" si="125"/>
        <v>6.8000000000000005E-2</v>
      </c>
      <c r="AC477" s="19">
        <v>1.556</v>
      </c>
      <c r="AD477" s="19">
        <v>1.54</v>
      </c>
      <c r="AE477" s="21">
        <f t="shared" si="126"/>
        <v>1.548</v>
      </c>
      <c r="AF477" s="19">
        <v>0.151</v>
      </c>
      <c r="AG477" s="19">
        <v>0.14899999999999999</v>
      </c>
      <c r="AH477" s="21">
        <f t="shared" si="127"/>
        <v>0.15</v>
      </c>
      <c r="AI477" s="30">
        <v>0.11700000000000001</v>
      </c>
      <c r="AJ477" s="30">
        <v>0.121</v>
      </c>
      <c r="AK477" s="31">
        <f t="shared" si="128"/>
        <v>0.11899999999999999</v>
      </c>
      <c r="AL477" s="30">
        <v>0.114</v>
      </c>
      <c r="AM477" s="30">
        <v>0.11600000000000001</v>
      </c>
      <c r="AN477" s="31">
        <f t="shared" si="129"/>
        <v>0.115</v>
      </c>
      <c r="AO477" s="19">
        <v>6.093</v>
      </c>
      <c r="AP477" s="19">
        <v>6.0670000000000002</v>
      </c>
      <c r="AQ477" s="21">
        <f t="shared" si="130"/>
        <v>6.08</v>
      </c>
      <c r="AR477" s="46">
        <v>8.4000000000000005E-2</v>
      </c>
      <c r="AS477" s="46">
        <v>8.4500000000000006E-2</v>
      </c>
      <c r="AT477" s="45">
        <f t="shared" si="131"/>
        <v>8.43E-2</v>
      </c>
      <c r="AU477" s="95">
        <v>8.41</v>
      </c>
      <c r="AV477" s="1">
        <v>1.85</v>
      </c>
    </row>
    <row r="478" spans="1:48">
      <c r="A478" s="7" t="s">
        <v>6</v>
      </c>
      <c r="B478" s="5" t="s">
        <v>52</v>
      </c>
      <c r="C478" s="6" t="s">
        <v>53</v>
      </c>
      <c r="D478" s="6" t="s">
        <v>36</v>
      </c>
      <c r="E478" s="23">
        <v>20</v>
      </c>
      <c r="F478" s="23">
        <v>6.8</v>
      </c>
      <c r="G478" s="41">
        <v>117</v>
      </c>
      <c r="H478" s="23">
        <v>9</v>
      </c>
      <c r="I478" s="23">
        <v>0.9</v>
      </c>
      <c r="J478" s="23">
        <v>3.9</v>
      </c>
      <c r="K478" s="37">
        <v>2.5</v>
      </c>
      <c r="L478" s="37">
        <v>2.2999999999999998</v>
      </c>
      <c r="M478" s="37"/>
      <c r="N478" s="38">
        <f t="shared" si="121"/>
        <v>2.4</v>
      </c>
      <c r="O478" s="37">
        <v>1.8</v>
      </c>
      <c r="P478" s="37">
        <v>1.9</v>
      </c>
      <c r="Q478" s="36"/>
      <c r="R478" s="36"/>
      <c r="S478" s="38">
        <f t="shared" si="122"/>
        <v>1.9</v>
      </c>
      <c r="T478" s="17">
        <v>1.5469999999999999</v>
      </c>
      <c r="U478" s="17">
        <v>1.5649999999999999</v>
      </c>
      <c r="V478" s="22">
        <f t="shared" si="123"/>
        <v>1.556</v>
      </c>
      <c r="W478" s="34">
        <v>1.474</v>
      </c>
      <c r="X478" s="34">
        <v>1.48</v>
      </c>
      <c r="Y478" s="33">
        <f t="shared" si="124"/>
        <v>1.4770000000000001</v>
      </c>
      <c r="Z478" s="17">
        <v>8.5000000000000006E-2</v>
      </c>
      <c r="AA478" s="17">
        <v>8.5999999999999993E-2</v>
      </c>
      <c r="AB478" s="21">
        <f t="shared" si="125"/>
        <v>8.5999999999999993E-2</v>
      </c>
      <c r="AC478" s="19">
        <v>1.232</v>
      </c>
      <c r="AD478" s="19">
        <v>1.22</v>
      </c>
      <c r="AE478" s="21">
        <f t="shared" si="126"/>
        <v>1.226</v>
      </c>
      <c r="AF478" s="19">
        <v>0.13200000000000001</v>
      </c>
      <c r="AG478" s="19">
        <v>0.129</v>
      </c>
      <c r="AH478" s="21">
        <f t="shared" si="127"/>
        <v>0.13100000000000001</v>
      </c>
      <c r="AI478" s="30">
        <v>9.7000000000000003E-2</v>
      </c>
      <c r="AJ478" s="30">
        <v>9.7000000000000003E-2</v>
      </c>
      <c r="AK478" s="31">
        <f t="shared" si="128"/>
        <v>9.7000000000000003E-2</v>
      </c>
      <c r="AL478" s="30">
        <v>9.7000000000000003E-2</v>
      </c>
      <c r="AM478" s="30">
        <v>9.7000000000000003E-2</v>
      </c>
      <c r="AN478" s="31">
        <f t="shared" si="129"/>
        <v>9.7000000000000003E-2</v>
      </c>
      <c r="AO478" s="19">
        <v>7.0629999999999997</v>
      </c>
      <c r="AP478" s="19">
        <v>7.0540000000000003</v>
      </c>
      <c r="AQ478" s="21">
        <f t="shared" si="130"/>
        <v>7.0590000000000002</v>
      </c>
      <c r="AR478" s="46">
        <v>5.5500000000000001E-2</v>
      </c>
      <c r="AS478" s="46">
        <v>5.4899999999999997E-2</v>
      </c>
      <c r="AT478" s="45">
        <f t="shared" si="131"/>
        <v>5.5199999999999999E-2</v>
      </c>
      <c r="AU478" s="95">
        <v>10.27</v>
      </c>
      <c r="AV478" s="97">
        <v>3.79</v>
      </c>
    </row>
    <row r="479" spans="1:48">
      <c r="A479" s="7" t="s">
        <v>7</v>
      </c>
      <c r="B479" s="5" t="s">
        <v>54</v>
      </c>
      <c r="C479" s="6" t="s">
        <v>55</v>
      </c>
      <c r="D479" s="6" t="s">
        <v>56</v>
      </c>
      <c r="E479" s="23">
        <v>19.3</v>
      </c>
      <c r="F479" s="23">
        <v>6.6</v>
      </c>
      <c r="G479" s="41">
        <v>111</v>
      </c>
      <c r="H479" s="23">
        <v>9.1</v>
      </c>
      <c r="I479" s="23">
        <v>1.1000000000000001</v>
      </c>
      <c r="J479" s="23">
        <v>4.4000000000000004</v>
      </c>
      <c r="K479" s="37">
        <v>2.9</v>
      </c>
      <c r="L479" s="37">
        <v>3.1</v>
      </c>
      <c r="M479" s="37"/>
      <c r="N479" s="38">
        <f t="shared" si="121"/>
        <v>3</v>
      </c>
      <c r="O479" s="37">
        <v>2.4</v>
      </c>
      <c r="P479" s="37">
        <v>2.4</v>
      </c>
      <c r="Q479" s="36"/>
      <c r="R479" s="36"/>
      <c r="S479" s="38">
        <f t="shared" si="122"/>
        <v>2.4</v>
      </c>
      <c r="T479" s="17">
        <v>1.3740000000000001</v>
      </c>
      <c r="U479" s="17">
        <v>1.3879999999999999</v>
      </c>
      <c r="V479" s="22">
        <f t="shared" si="123"/>
        <v>1.381</v>
      </c>
      <c r="W479" s="34">
        <v>1.3080000000000001</v>
      </c>
      <c r="X479" s="34">
        <v>1.2989999999999999</v>
      </c>
      <c r="Y479" s="33">
        <f t="shared" si="124"/>
        <v>1.304</v>
      </c>
      <c r="Z479" s="17">
        <v>7.2999999999999995E-2</v>
      </c>
      <c r="AA479" s="17">
        <v>7.3999999999999996E-2</v>
      </c>
      <c r="AB479" s="21">
        <f t="shared" si="125"/>
        <v>7.3999999999999996E-2</v>
      </c>
      <c r="AC479" s="19">
        <v>1.0720000000000001</v>
      </c>
      <c r="AD479" s="19">
        <v>1.0609999999999999</v>
      </c>
      <c r="AE479" s="21">
        <f t="shared" si="126"/>
        <v>1.0669999999999999</v>
      </c>
      <c r="AF479" s="19">
        <v>9.5000000000000001E-2</v>
      </c>
      <c r="AG479" s="19">
        <v>9.1999999999999998E-2</v>
      </c>
      <c r="AH479" s="21">
        <f t="shared" si="127"/>
        <v>9.4E-2</v>
      </c>
      <c r="AI479" s="30">
        <v>6.2E-2</v>
      </c>
      <c r="AJ479" s="30">
        <v>5.8999999999999997E-2</v>
      </c>
      <c r="AK479" s="31">
        <f t="shared" si="128"/>
        <v>6.0999999999999999E-2</v>
      </c>
      <c r="AL479" s="30">
        <v>6.2E-2</v>
      </c>
      <c r="AM479" s="30">
        <v>5.8999999999999997E-2</v>
      </c>
      <c r="AN479" s="31">
        <f t="shared" si="129"/>
        <v>6.0999999999999999E-2</v>
      </c>
      <c r="AO479" s="19">
        <v>6.992</v>
      </c>
      <c r="AP479" s="19">
        <v>6.97</v>
      </c>
      <c r="AQ479" s="21">
        <f t="shared" si="130"/>
        <v>6.9809999999999999</v>
      </c>
      <c r="AR479" s="46">
        <v>7.4399999999999994E-2</v>
      </c>
      <c r="AS479" s="46">
        <v>7.4399999999999994E-2</v>
      </c>
      <c r="AT479" s="45">
        <f t="shared" si="131"/>
        <v>7.4399999999999994E-2</v>
      </c>
      <c r="AU479" s="95">
        <v>4.99</v>
      </c>
      <c r="AV479" s="1">
        <v>-1.19</v>
      </c>
    </row>
    <row r="480" spans="1:48">
      <c r="A480" s="7" t="s">
        <v>8</v>
      </c>
      <c r="B480" s="5" t="s">
        <v>54</v>
      </c>
      <c r="C480" s="6" t="s">
        <v>44</v>
      </c>
      <c r="D480" s="6" t="s">
        <v>36</v>
      </c>
      <c r="E480" s="23">
        <v>20.5</v>
      </c>
      <c r="F480" s="23">
        <v>6.8</v>
      </c>
      <c r="G480" s="41">
        <v>119</v>
      </c>
      <c r="H480" s="23">
        <v>8.8000000000000007</v>
      </c>
      <c r="I480" s="23">
        <v>1</v>
      </c>
      <c r="J480" s="23">
        <v>3.4</v>
      </c>
      <c r="K480" s="37">
        <v>2.6</v>
      </c>
      <c r="L480" s="37">
        <v>2.7</v>
      </c>
      <c r="M480" s="37"/>
      <c r="N480" s="38">
        <f t="shared" si="121"/>
        <v>2.7</v>
      </c>
      <c r="O480" s="37">
        <v>2.2000000000000002</v>
      </c>
      <c r="P480" s="37">
        <v>1.9</v>
      </c>
      <c r="Q480" s="36"/>
      <c r="R480" s="36"/>
      <c r="S480" s="38">
        <f t="shared" si="122"/>
        <v>2.1</v>
      </c>
      <c r="T480" s="17">
        <v>1.889</v>
      </c>
      <c r="U480" s="17">
        <v>1.9059999999999999</v>
      </c>
      <c r="V480" s="22">
        <f t="shared" si="123"/>
        <v>1.8979999999999999</v>
      </c>
      <c r="W480" s="34">
        <v>1.79</v>
      </c>
      <c r="X480" s="34">
        <v>1.806</v>
      </c>
      <c r="Y480" s="33">
        <f t="shared" si="124"/>
        <v>1.798</v>
      </c>
      <c r="Z480" s="17">
        <v>7.9000000000000001E-2</v>
      </c>
      <c r="AA480" s="17">
        <v>7.8E-2</v>
      </c>
      <c r="AB480" s="21">
        <f t="shared" si="125"/>
        <v>7.9000000000000001E-2</v>
      </c>
      <c r="AC480" s="19">
        <v>1.5329999999999999</v>
      </c>
      <c r="AD480" s="19">
        <v>1.516</v>
      </c>
      <c r="AE480" s="21">
        <f t="shared" si="126"/>
        <v>1.5249999999999999</v>
      </c>
      <c r="AF480" s="19">
        <v>0.16700000000000001</v>
      </c>
      <c r="AG480" s="19">
        <v>0.16500000000000001</v>
      </c>
      <c r="AH480" s="21">
        <f t="shared" si="127"/>
        <v>0.16600000000000001</v>
      </c>
      <c r="AI480" s="30">
        <v>0.11700000000000001</v>
      </c>
      <c r="AJ480" s="30">
        <v>0.125</v>
      </c>
      <c r="AK480" s="31">
        <f t="shared" si="128"/>
        <v>0.121</v>
      </c>
      <c r="AL480" s="30">
        <v>0.114</v>
      </c>
      <c r="AM480" s="30">
        <v>0.12</v>
      </c>
      <c r="AN480" s="31">
        <f t="shared" si="129"/>
        <v>0.11700000000000001</v>
      </c>
      <c r="AO480" s="19">
        <v>7.0430000000000001</v>
      </c>
      <c r="AP480" s="19">
        <v>7.0279999999999996</v>
      </c>
      <c r="AQ480" s="21">
        <f t="shared" si="130"/>
        <v>7.0359999999999996</v>
      </c>
      <c r="AR480" s="46">
        <v>5.7099999999999998E-2</v>
      </c>
      <c r="AS480" s="46">
        <v>5.6599999999999998E-2</v>
      </c>
      <c r="AT480" s="45">
        <f t="shared" si="131"/>
        <v>5.6899999999999999E-2</v>
      </c>
      <c r="AU480" s="95">
        <v>9.9499999999999993</v>
      </c>
      <c r="AV480" s="97">
        <v>3.94</v>
      </c>
    </row>
    <row r="481" spans="1:48">
      <c r="A481" s="7" t="s">
        <v>9</v>
      </c>
      <c r="B481" s="5" t="s">
        <v>57</v>
      </c>
      <c r="C481" s="6" t="s">
        <v>58</v>
      </c>
      <c r="D481" s="6" t="s">
        <v>59</v>
      </c>
      <c r="E481" s="23">
        <v>21.3</v>
      </c>
      <c r="F481" s="23">
        <v>6.8</v>
      </c>
      <c r="G481" s="41">
        <v>190</v>
      </c>
      <c r="H481" s="23">
        <v>8.6</v>
      </c>
      <c r="I481" s="23">
        <v>0.3</v>
      </c>
      <c r="J481" s="23">
        <v>2.1</v>
      </c>
      <c r="K481" s="37">
        <v>1.5</v>
      </c>
      <c r="L481" s="37">
        <v>1.5</v>
      </c>
      <c r="M481" s="37"/>
      <c r="N481" s="38">
        <f t="shared" si="121"/>
        <v>1.5</v>
      </c>
      <c r="O481" s="37">
        <v>1.2</v>
      </c>
      <c r="P481" s="37">
        <v>1.2</v>
      </c>
      <c r="Q481" s="36"/>
      <c r="R481" s="36"/>
      <c r="S481" s="38">
        <f t="shared" si="122"/>
        <v>1.2</v>
      </c>
      <c r="T481" s="17">
        <v>1.6120000000000001</v>
      </c>
      <c r="U481" s="17">
        <v>1.653</v>
      </c>
      <c r="V481" s="22">
        <f t="shared" si="123"/>
        <v>1.633</v>
      </c>
      <c r="W481" s="34">
        <v>1.5469999999999999</v>
      </c>
      <c r="X481" s="34">
        <v>1.5609999999999999</v>
      </c>
      <c r="Y481" s="33">
        <f t="shared" si="124"/>
        <v>1.554</v>
      </c>
      <c r="Z481" s="17">
        <v>2.5999999999999999E-2</v>
      </c>
      <c r="AA481" s="17">
        <v>2.7E-2</v>
      </c>
      <c r="AB481" s="21">
        <f t="shared" si="125"/>
        <v>2.7E-2</v>
      </c>
      <c r="AC481" s="19">
        <v>1.411</v>
      </c>
      <c r="AD481" s="19">
        <v>1.3959999999999999</v>
      </c>
      <c r="AE481" s="21">
        <f t="shared" si="126"/>
        <v>1.4039999999999999</v>
      </c>
      <c r="AF481" s="19">
        <v>1.7999999999999999E-2</v>
      </c>
      <c r="AG481" s="19">
        <v>1.4999999999999999E-2</v>
      </c>
      <c r="AH481" s="21">
        <f t="shared" si="127"/>
        <v>1.7000000000000001E-2</v>
      </c>
      <c r="AI481" s="30">
        <v>7.0000000000000001E-3</v>
      </c>
      <c r="AJ481" s="30">
        <v>6.0000000000000001E-3</v>
      </c>
      <c r="AK481" s="31">
        <f t="shared" si="128"/>
        <v>7.0000000000000001E-3</v>
      </c>
      <c r="AL481" s="30">
        <v>2E-3</v>
      </c>
      <c r="AM481" s="30">
        <v>0</v>
      </c>
      <c r="AN481" s="31">
        <f t="shared" si="129"/>
        <v>1E-3</v>
      </c>
      <c r="AO481" s="19">
        <v>5.5380000000000003</v>
      </c>
      <c r="AP481" s="19">
        <v>5.5110000000000001</v>
      </c>
      <c r="AQ481" s="21">
        <f t="shared" si="130"/>
        <v>5.5250000000000004</v>
      </c>
      <c r="AR481" s="46">
        <v>2.8299999999999999E-2</v>
      </c>
      <c r="AS481" s="46">
        <v>2.8199999999999999E-2</v>
      </c>
      <c r="AT481" s="45">
        <f t="shared" si="131"/>
        <v>2.8299999999999999E-2</v>
      </c>
      <c r="AU481" s="95">
        <v>9.6999999999999993</v>
      </c>
      <c r="AV481" s="1">
        <v>3.94</v>
      </c>
    </row>
    <row r="482" spans="1:48">
      <c r="A482" s="7" t="s">
        <v>10</v>
      </c>
      <c r="B482" s="5" t="s">
        <v>60</v>
      </c>
      <c r="C482" s="6" t="s">
        <v>61</v>
      </c>
      <c r="D482" s="6" t="s">
        <v>36</v>
      </c>
      <c r="E482" s="23">
        <v>20.6</v>
      </c>
      <c r="F482" s="23">
        <v>7</v>
      </c>
      <c r="G482" s="41">
        <v>140</v>
      </c>
      <c r="H482" s="23">
        <v>9.1</v>
      </c>
      <c r="I482" s="23">
        <v>0.8</v>
      </c>
      <c r="J482" s="23">
        <v>4</v>
      </c>
      <c r="K482" s="37">
        <v>2.6</v>
      </c>
      <c r="L482" s="37">
        <v>2.8</v>
      </c>
      <c r="M482" s="37"/>
      <c r="N482" s="38">
        <f t="shared" si="121"/>
        <v>2.7</v>
      </c>
      <c r="O482" s="37">
        <v>2.2000000000000002</v>
      </c>
      <c r="P482" s="37">
        <v>2.2000000000000002</v>
      </c>
      <c r="Q482" s="36"/>
      <c r="R482" s="36"/>
      <c r="S482" s="38">
        <f t="shared" si="122"/>
        <v>2.2000000000000002</v>
      </c>
      <c r="T482" s="17">
        <v>2.1419999999999999</v>
      </c>
      <c r="U482" s="17">
        <v>2.157</v>
      </c>
      <c r="V482" s="22">
        <f t="shared" si="123"/>
        <v>2.15</v>
      </c>
      <c r="W482" s="34">
        <v>2.0950000000000002</v>
      </c>
      <c r="X482" s="34">
        <v>2.0960000000000001</v>
      </c>
      <c r="Y482" s="33">
        <f t="shared" si="124"/>
        <v>2.0960000000000001</v>
      </c>
      <c r="Z482" s="17">
        <v>0.111</v>
      </c>
      <c r="AA482" s="17">
        <v>0.13700000000000001</v>
      </c>
      <c r="AB482" s="21">
        <f t="shared" si="125"/>
        <v>0.124</v>
      </c>
      <c r="AC482" s="19">
        <v>1.7430000000000001</v>
      </c>
      <c r="AD482" s="19">
        <v>1.722</v>
      </c>
      <c r="AE482" s="21">
        <f t="shared" si="126"/>
        <v>1.7330000000000001</v>
      </c>
      <c r="AF482" s="19">
        <v>0.20599999999999999</v>
      </c>
      <c r="AG482" s="19">
        <v>0.20300000000000001</v>
      </c>
      <c r="AH482" s="21">
        <f t="shared" si="127"/>
        <v>0.20499999999999999</v>
      </c>
      <c r="AI482" s="30">
        <v>0.158</v>
      </c>
      <c r="AJ482" s="30">
        <v>0.161</v>
      </c>
      <c r="AK482" s="31">
        <f t="shared" si="128"/>
        <v>0.16</v>
      </c>
      <c r="AL482" s="30">
        <v>0.156</v>
      </c>
      <c r="AM482" s="30">
        <v>0.158</v>
      </c>
      <c r="AN482" s="31">
        <f t="shared" si="129"/>
        <v>0.157</v>
      </c>
      <c r="AO482" s="19">
        <v>7.577</v>
      </c>
      <c r="AP482" s="19">
        <v>7.5410000000000004</v>
      </c>
      <c r="AQ482" s="21">
        <f t="shared" si="130"/>
        <v>7.5590000000000002</v>
      </c>
      <c r="AR482" s="46">
        <v>6.7599999999999993E-2</v>
      </c>
      <c r="AS482" s="46">
        <v>6.7900000000000002E-2</v>
      </c>
      <c r="AT482" s="45">
        <f t="shared" si="131"/>
        <v>6.7799999999999999E-2</v>
      </c>
      <c r="AU482" s="95">
        <v>8.44</v>
      </c>
      <c r="AV482" s="97">
        <v>7.09</v>
      </c>
    </row>
    <row r="483" spans="1:48">
      <c r="A483" s="7" t="s">
        <v>11</v>
      </c>
      <c r="B483" s="5" t="s">
        <v>108</v>
      </c>
      <c r="C483" s="6" t="s">
        <v>62</v>
      </c>
      <c r="D483" s="6" t="s">
        <v>63</v>
      </c>
      <c r="E483" s="23">
        <v>19.8</v>
      </c>
      <c r="F483" s="23">
        <v>6.9</v>
      </c>
      <c r="G483" s="41">
        <v>162</v>
      </c>
      <c r="H483" s="23">
        <v>8.8000000000000007</v>
      </c>
      <c r="I483" s="23">
        <v>1.3</v>
      </c>
      <c r="J483" s="23">
        <v>5.2</v>
      </c>
      <c r="K483" s="37">
        <v>4.2</v>
      </c>
      <c r="L483" s="37">
        <v>3.9</v>
      </c>
      <c r="M483" s="37"/>
      <c r="N483" s="38">
        <f t="shared" si="121"/>
        <v>4.0999999999999996</v>
      </c>
      <c r="O483" s="37">
        <v>3.2</v>
      </c>
      <c r="P483" s="37">
        <v>3.1</v>
      </c>
      <c r="Q483" s="36"/>
      <c r="R483" s="36"/>
      <c r="S483" s="38">
        <f t="shared" si="122"/>
        <v>3.2</v>
      </c>
      <c r="T483" s="17">
        <v>2.0209999999999999</v>
      </c>
      <c r="U483" s="17">
        <v>2.0630000000000002</v>
      </c>
      <c r="V483" s="22">
        <f t="shared" si="123"/>
        <v>2.0419999999999998</v>
      </c>
      <c r="W483" s="34">
        <v>1.964</v>
      </c>
      <c r="X483" s="34">
        <v>1.962</v>
      </c>
      <c r="Y483" s="33">
        <f t="shared" si="124"/>
        <v>1.9630000000000001</v>
      </c>
      <c r="Z483" s="17">
        <v>9.2999999999999999E-2</v>
      </c>
      <c r="AA483" s="17">
        <v>0.09</v>
      </c>
      <c r="AB483" s="21">
        <f t="shared" si="125"/>
        <v>9.1999999999999998E-2</v>
      </c>
      <c r="AC483" s="19">
        <v>1.556</v>
      </c>
      <c r="AD483" s="19">
        <v>1.546</v>
      </c>
      <c r="AE483" s="21">
        <f t="shared" si="126"/>
        <v>1.5509999999999999</v>
      </c>
      <c r="AF483" s="19">
        <v>0.127</v>
      </c>
      <c r="AG483" s="19">
        <v>0.128</v>
      </c>
      <c r="AH483" s="21">
        <f t="shared" si="127"/>
        <v>0.128</v>
      </c>
      <c r="AI483" s="30">
        <v>6.3E-2</v>
      </c>
      <c r="AJ483" s="30">
        <v>6.0999999999999999E-2</v>
      </c>
      <c r="AK483" s="31">
        <f t="shared" si="128"/>
        <v>6.2E-2</v>
      </c>
      <c r="AL483" s="30">
        <v>5.3999999999999999E-2</v>
      </c>
      <c r="AM483" s="30">
        <v>5.2999999999999999E-2</v>
      </c>
      <c r="AN483" s="31">
        <f t="shared" si="129"/>
        <v>5.3999999999999999E-2</v>
      </c>
      <c r="AO483" s="19">
        <v>10.000999999999999</v>
      </c>
      <c r="AP483" s="19">
        <v>9.984</v>
      </c>
      <c r="AQ483" s="21">
        <f t="shared" si="130"/>
        <v>9.9930000000000003</v>
      </c>
      <c r="AR483" s="46">
        <v>0.10639999999999999</v>
      </c>
      <c r="AS483" s="46">
        <v>0.10680000000000001</v>
      </c>
      <c r="AT483" s="45">
        <f t="shared" si="131"/>
        <v>0.1066</v>
      </c>
      <c r="AU483" s="95">
        <v>8.01</v>
      </c>
      <c r="AV483" s="1">
        <v>2.19</v>
      </c>
    </row>
    <row r="484" spans="1:48">
      <c r="A484" s="7" t="s">
        <v>12</v>
      </c>
      <c r="B484" s="5" t="s">
        <v>64</v>
      </c>
      <c r="C484" s="6" t="s">
        <v>65</v>
      </c>
      <c r="D484" s="6" t="s">
        <v>36</v>
      </c>
      <c r="E484" s="23">
        <v>20</v>
      </c>
      <c r="F484" s="23">
        <v>7.8</v>
      </c>
      <c r="G484" s="41">
        <v>156</v>
      </c>
      <c r="H484" s="23">
        <v>9.5</v>
      </c>
      <c r="I484" s="23">
        <v>0.7</v>
      </c>
      <c r="J484" s="23">
        <v>3.7</v>
      </c>
      <c r="K484" s="37">
        <v>2.4</v>
      </c>
      <c r="L484" s="37">
        <v>2.4</v>
      </c>
      <c r="M484" s="37"/>
      <c r="N484" s="38">
        <f t="shared" si="121"/>
        <v>2.4</v>
      </c>
      <c r="O484" s="37">
        <v>1.9</v>
      </c>
      <c r="P484" s="37">
        <v>1.9</v>
      </c>
      <c r="Q484" s="36"/>
      <c r="R484" s="36"/>
      <c r="S484" s="38">
        <f t="shared" si="122"/>
        <v>1.9</v>
      </c>
      <c r="T484" s="17">
        <v>1.8140000000000001</v>
      </c>
      <c r="U484" s="17">
        <v>1.8260000000000001</v>
      </c>
      <c r="V484" s="22">
        <f t="shared" si="123"/>
        <v>1.82</v>
      </c>
      <c r="W484" s="34">
        <v>1.7849999999999999</v>
      </c>
      <c r="X484" s="34">
        <v>1.7749999999999999</v>
      </c>
      <c r="Y484" s="33">
        <f t="shared" si="124"/>
        <v>1.78</v>
      </c>
      <c r="Z484" s="17">
        <v>5.3999999999999999E-2</v>
      </c>
      <c r="AA484" s="17">
        <v>5.3999999999999999E-2</v>
      </c>
      <c r="AB484" s="21">
        <f t="shared" si="125"/>
        <v>5.3999999999999999E-2</v>
      </c>
      <c r="AC484" s="19">
        <v>1.5069999999999999</v>
      </c>
      <c r="AD484" s="19">
        <v>1.5069999999999999</v>
      </c>
      <c r="AE484" s="21">
        <f t="shared" si="126"/>
        <v>1.5069999999999999</v>
      </c>
      <c r="AF484" s="19">
        <v>0.115</v>
      </c>
      <c r="AG484" s="19">
        <v>0.111</v>
      </c>
      <c r="AH484" s="21">
        <f t="shared" si="127"/>
        <v>0.113</v>
      </c>
      <c r="AI484" s="30">
        <v>0.08</v>
      </c>
      <c r="AJ484" s="30">
        <v>0.08</v>
      </c>
      <c r="AK484" s="31">
        <f t="shared" si="128"/>
        <v>0.08</v>
      </c>
      <c r="AL484" s="30">
        <v>7.5999999999999998E-2</v>
      </c>
      <c r="AM484" s="30">
        <v>7.6999999999999999E-2</v>
      </c>
      <c r="AN484" s="31">
        <f t="shared" si="129"/>
        <v>7.6999999999999999E-2</v>
      </c>
      <c r="AO484" s="19">
        <v>8.0250000000000004</v>
      </c>
      <c r="AP484" s="19">
        <v>8.0359999999999996</v>
      </c>
      <c r="AQ484" s="21">
        <f t="shared" si="130"/>
        <v>8.0310000000000006</v>
      </c>
      <c r="AR484" s="46">
        <v>5.4800000000000001E-2</v>
      </c>
      <c r="AS484" s="46">
        <v>5.7000000000000002E-2</v>
      </c>
      <c r="AT484" s="45">
        <f t="shared" si="131"/>
        <v>5.5899999999999998E-2</v>
      </c>
      <c r="AU484" s="3">
        <v>10.1</v>
      </c>
      <c r="AV484" s="97">
        <v>5.42</v>
      </c>
    </row>
    <row r="485" spans="1:48">
      <c r="A485" s="7" t="s">
        <v>13</v>
      </c>
      <c r="B485" s="5" t="s">
        <v>66</v>
      </c>
      <c r="C485" s="6" t="s">
        <v>44</v>
      </c>
      <c r="D485" s="6" t="s">
        <v>67</v>
      </c>
      <c r="E485" s="23">
        <v>20</v>
      </c>
      <c r="F485" s="23">
        <v>6.8</v>
      </c>
      <c r="G485" s="41">
        <v>201</v>
      </c>
      <c r="H485" s="23">
        <v>9.1</v>
      </c>
      <c r="I485" s="23">
        <v>1.7</v>
      </c>
      <c r="J485" s="23">
        <v>6</v>
      </c>
      <c r="K485" s="37">
        <v>4.8</v>
      </c>
      <c r="L485" s="37">
        <v>4.9000000000000004</v>
      </c>
      <c r="M485" s="37"/>
      <c r="N485" s="38">
        <f t="shared" si="121"/>
        <v>4.9000000000000004</v>
      </c>
      <c r="O485" s="37">
        <v>4</v>
      </c>
      <c r="P485" s="37">
        <v>3.9</v>
      </c>
      <c r="Q485" s="36"/>
      <c r="R485" s="36"/>
      <c r="S485" s="38">
        <f t="shared" si="122"/>
        <v>4</v>
      </c>
      <c r="T485" s="17">
        <v>2.3519999999999999</v>
      </c>
      <c r="U485" s="17">
        <v>2.331</v>
      </c>
      <c r="V485" s="22">
        <f t="shared" si="123"/>
        <v>2.3420000000000001</v>
      </c>
      <c r="W485" s="34">
        <v>2.2330000000000001</v>
      </c>
      <c r="X485" s="34">
        <v>2.222</v>
      </c>
      <c r="Y485" s="33">
        <f t="shared" si="124"/>
        <v>2.2280000000000002</v>
      </c>
      <c r="Z485" s="17">
        <v>0.11799999999999999</v>
      </c>
      <c r="AA485" s="17">
        <v>0.11899999999999999</v>
      </c>
      <c r="AB485" s="21">
        <f t="shared" si="125"/>
        <v>0.11899999999999999</v>
      </c>
      <c r="AC485" s="19">
        <v>1.714</v>
      </c>
      <c r="AD485" s="19">
        <v>1.6990000000000001</v>
      </c>
      <c r="AE485" s="21">
        <f t="shared" si="126"/>
        <v>1.7070000000000001</v>
      </c>
      <c r="AF485" s="19">
        <v>0.121</v>
      </c>
      <c r="AG485" s="19">
        <v>0.11799999999999999</v>
      </c>
      <c r="AH485" s="21">
        <f t="shared" si="127"/>
        <v>0.12</v>
      </c>
      <c r="AI485" s="30">
        <v>7.6999999999999999E-2</v>
      </c>
      <c r="AJ485" s="30">
        <v>7.6999999999999999E-2</v>
      </c>
      <c r="AK485" s="31">
        <f t="shared" si="128"/>
        <v>7.6999999999999999E-2</v>
      </c>
      <c r="AL485" s="30">
        <v>6.5000000000000002E-2</v>
      </c>
      <c r="AM485" s="30">
        <v>6.5000000000000002E-2</v>
      </c>
      <c r="AN485" s="31">
        <f t="shared" si="129"/>
        <v>6.5000000000000002E-2</v>
      </c>
      <c r="AO485" s="19">
        <v>11.042</v>
      </c>
      <c r="AP485" s="19">
        <v>10.994999999999999</v>
      </c>
      <c r="AQ485" s="21">
        <f t="shared" si="130"/>
        <v>11.019</v>
      </c>
      <c r="AR485" s="46">
        <v>0.1109</v>
      </c>
      <c r="AS485" s="46">
        <v>0.111</v>
      </c>
      <c r="AT485" s="45">
        <f t="shared" si="131"/>
        <v>0.111</v>
      </c>
      <c r="AU485" s="3">
        <v>10.86</v>
      </c>
      <c r="AV485" s="1">
        <v>2.88</v>
      </c>
    </row>
    <row r="486" spans="1:48">
      <c r="A486" s="7" t="s">
        <v>14</v>
      </c>
      <c r="B486" s="5" t="s">
        <v>64</v>
      </c>
      <c r="C486" s="6" t="s">
        <v>68</v>
      </c>
      <c r="D486" s="6" t="s">
        <v>36</v>
      </c>
      <c r="E486" s="23">
        <v>20.100000000000001</v>
      </c>
      <c r="F486" s="23">
        <v>6.8</v>
      </c>
      <c r="G486" s="41">
        <v>160</v>
      </c>
      <c r="H486" s="23">
        <v>9.3000000000000007</v>
      </c>
      <c r="I486" s="23">
        <v>1</v>
      </c>
      <c r="J486" s="23">
        <v>4</v>
      </c>
      <c r="K486" s="37">
        <v>2.8</v>
      </c>
      <c r="L486" s="37">
        <v>2.8</v>
      </c>
      <c r="M486" s="37"/>
      <c r="N486" s="38">
        <f t="shared" si="121"/>
        <v>2.8</v>
      </c>
      <c r="O486" s="37">
        <v>2.2000000000000002</v>
      </c>
      <c r="P486" s="37">
        <v>2.1</v>
      </c>
      <c r="Q486" s="36"/>
      <c r="R486" s="36"/>
      <c r="S486" s="38">
        <f t="shared" si="122"/>
        <v>2.2000000000000002</v>
      </c>
      <c r="T486" s="17">
        <v>2.0990000000000002</v>
      </c>
      <c r="U486" s="17">
        <v>2.1179999999999999</v>
      </c>
      <c r="V486" s="22">
        <f t="shared" si="123"/>
        <v>2.109</v>
      </c>
      <c r="W486" s="34">
        <v>2.0379999999999998</v>
      </c>
      <c r="X486" s="34">
        <v>2.0409999999999999</v>
      </c>
      <c r="Y486" s="33">
        <f t="shared" si="124"/>
        <v>2.04</v>
      </c>
      <c r="Z486" s="17">
        <v>7.3999999999999996E-2</v>
      </c>
      <c r="AA486" s="17">
        <v>8.5000000000000006E-2</v>
      </c>
      <c r="AB486" s="21">
        <f t="shared" si="125"/>
        <v>0.08</v>
      </c>
      <c r="AC486" s="19">
        <v>1.7010000000000001</v>
      </c>
      <c r="AD486" s="19">
        <v>1.69</v>
      </c>
      <c r="AE486" s="21">
        <f t="shared" si="126"/>
        <v>1.696</v>
      </c>
      <c r="AF486" s="19">
        <v>0.16200000000000001</v>
      </c>
      <c r="AG486" s="19">
        <v>0.16</v>
      </c>
      <c r="AH486" s="21">
        <f t="shared" si="127"/>
        <v>0.161</v>
      </c>
      <c r="AI486" s="30">
        <v>0.123</v>
      </c>
      <c r="AJ486" s="30">
        <v>0.124</v>
      </c>
      <c r="AK486" s="31">
        <f t="shared" si="128"/>
        <v>0.124</v>
      </c>
      <c r="AL486" s="30">
        <v>0.121</v>
      </c>
      <c r="AM486" s="30">
        <v>0.122</v>
      </c>
      <c r="AN486" s="31">
        <f t="shared" si="129"/>
        <v>0.122</v>
      </c>
      <c r="AO486" s="19">
        <v>8.2040000000000006</v>
      </c>
      <c r="AP486" s="19">
        <v>8.1890000000000001</v>
      </c>
      <c r="AQ486" s="21">
        <f t="shared" si="130"/>
        <v>8.1969999999999992</v>
      </c>
      <c r="AR486" s="46">
        <v>6.0900000000000003E-2</v>
      </c>
      <c r="AS486" s="46">
        <v>6.1199999999999997E-2</v>
      </c>
      <c r="AT486" s="45">
        <f t="shared" si="131"/>
        <v>6.1100000000000002E-2</v>
      </c>
      <c r="AU486" s="3">
        <v>9.3000000000000007</v>
      </c>
      <c r="AV486" s="97">
        <v>5.83</v>
      </c>
    </row>
    <row r="487" spans="1:48">
      <c r="A487" s="7" t="s">
        <v>15</v>
      </c>
      <c r="B487" s="5" t="s">
        <v>69</v>
      </c>
      <c r="C487" s="6" t="s">
        <v>70</v>
      </c>
      <c r="D487" s="6" t="s">
        <v>71</v>
      </c>
      <c r="E487" s="23">
        <v>20.2</v>
      </c>
      <c r="F487" s="23">
        <v>6.8</v>
      </c>
      <c r="G487" s="41">
        <v>196</v>
      </c>
      <c r="H487" s="23">
        <v>9.1</v>
      </c>
      <c r="I487" s="23">
        <v>0.5</v>
      </c>
      <c r="J487" s="23">
        <v>3.6</v>
      </c>
      <c r="K487" s="37">
        <v>2.5</v>
      </c>
      <c r="L487" s="37">
        <v>2.6</v>
      </c>
      <c r="M487" s="37"/>
      <c r="N487" s="38">
        <f t="shared" si="121"/>
        <v>2.6</v>
      </c>
      <c r="O487" s="37">
        <v>3.1</v>
      </c>
      <c r="P487" s="37">
        <v>2.1</v>
      </c>
      <c r="Q487" s="36">
        <v>2.5</v>
      </c>
      <c r="R487" s="36">
        <v>2.4</v>
      </c>
      <c r="S487" s="38">
        <f t="shared" si="122"/>
        <v>2.5</v>
      </c>
      <c r="T487" s="17">
        <v>1.6080000000000001</v>
      </c>
      <c r="U487" s="17">
        <v>1.593</v>
      </c>
      <c r="V487" s="22">
        <f t="shared" si="123"/>
        <v>1.601</v>
      </c>
      <c r="W487" s="34">
        <v>1.5429999999999999</v>
      </c>
      <c r="X487" s="34">
        <v>1.5509999999999999</v>
      </c>
      <c r="Y487" s="33">
        <f t="shared" si="124"/>
        <v>1.5469999999999999</v>
      </c>
      <c r="Z487" s="17">
        <v>2.1999999999999999E-2</v>
      </c>
      <c r="AA487" s="17">
        <v>2.1000000000000001E-2</v>
      </c>
      <c r="AB487" s="21">
        <f t="shared" si="125"/>
        <v>2.1999999999999999E-2</v>
      </c>
      <c r="AC487" s="19">
        <v>1.3720000000000001</v>
      </c>
      <c r="AD487" s="19">
        <v>1.365</v>
      </c>
      <c r="AE487" s="21">
        <f t="shared" si="126"/>
        <v>1.369</v>
      </c>
      <c r="AF487" s="19">
        <v>4.1000000000000002E-2</v>
      </c>
      <c r="AG487" s="19">
        <v>3.9E-2</v>
      </c>
      <c r="AH487" s="21">
        <f t="shared" si="127"/>
        <v>0.04</v>
      </c>
      <c r="AI487" s="30">
        <v>2.8000000000000001E-2</v>
      </c>
      <c r="AJ487" s="30">
        <v>2.5999999999999999E-2</v>
      </c>
      <c r="AK487" s="31">
        <f t="shared" si="128"/>
        <v>2.7E-2</v>
      </c>
      <c r="AL487" s="30">
        <v>2.1999999999999999E-2</v>
      </c>
      <c r="AM487" s="30">
        <v>0.02</v>
      </c>
      <c r="AN487" s="31">
        <f t="shared" si="129"/>
        <v>2.1000000000000001E-2</v>
      </c>
      <c r="AO487" s="19">
        <v>6.2130000000000001</v>
      </c>
      <c r="AP487" s="19">
        <v>6.1890000000000001</v>
      </c>
      <c r="AQ487" s="21">
        <f t="shared" si="130"/>
        <v>6.2009999999999996</v>
      </c>
      <c r="AR487" s="46">
        <v>6.4699999999999994E-2</v>
      </c>
      <c r="AS487" s="46">
        <v>6.4699999999999994E-2</v>
      </c>
      <c r="AT487" s="45">
        <f t="shared" si="131"/>
        <v>6.4699999999999994E-2</v>
      </c>
      <c r="AU487" s="3">
        <v>7.83</v>
      </c>
      <c r="AV487" s="1">
        <v>-0.55000000000000004</v>
      </c>
    </row>
    <row r="488" spans="1:48">
      <c r="A488" s="7" t="s">
        <v>16</v>
      </c>
      <c r="B488" s="5" t="s">
        <v>72</v>
      </c>
      <c r="C488" s="6" t="s">
        <v>73</v>
      </c>
      <c r="D488" s="6" t="s">
        <v>36</v>
      </c>
      <c r="E488" s="23">
        <v>20.5</v>
      </c>
      <c r="F488" s="23">
        <v>7</v>
      </c>
      <c r="G488" s="41">
        <v>162</v>
      </c>
      <c r="H488" s="23">
        <v>10</v>
      </c>
      <c r="I488" s="23">
        <v>0.9</v>
      </c>
      <c r="J488" s="23">
        <v>3.9</v>
      </c>
      <c r="K488" s="37">
        <v>2.5</v>
      </c>
      <c r="L488" s="37">
        <v>2.6</v>
      </c>
      <c r="M488" s="37"/>
      <c r="N488" s="38">
        <f t="shared" si="121"/>
        <v>2.6</v>
      </c>
      <c r="O488" s="37">
        <v>2</v>
      </c>
      <c r="P488" s="37">
        <v>2.1</v>
      </c>
      <c r="Q488" s="36"/>
      <c r="R488" s="36"/>
      <c r="S488" s="38">
        <f t="shared" si="122"/>
        <v>2.1</v>
      </c>
      <c r="T488" s="17">
        <v>1.8360000000000001</v>
      </c>
      <c r="U488" s="17">
        <v>1.867</v>
      </c>
      <c r="V488" s="22">
        <f t="shared" si="123"/>
        <v>1.8520000000000001</v>
      </c>
      <c r="W488" s="34">
        <v>1.7869999999999999</v>
      </c>
      <c r="X488" s="34">
        <v>1.776</v>
      </c>
      <c r="Y488" s="33">
        <f t="shared" si="124"/>
        <v>1.782</v>
      </c>
      <c r="Z488" s="17">
        <v>2.4E-2</v>
      </c>
      <c r="AA488" s="17">
        <v>2.5000000000000001E-2</v>
      </c>
      <c r="AB488" s="21">
        <f t="shared" si="125"/>
        <v>2.5000000000000001E-2</v>
      </c>
      <c r="AC488" s="19">
        <v>1.5249999999999999</v>
      </c>
      <c r="AD488" s="19">
        <v>1.514</v>
      </c>
      <c r="AE488" s="21">
        <f t="shared" si="126"/>
        <v>1.52</v>
      </c>
      <c r="AF488" s="19">
        <v>0.115</v>
      </c>
      <c r="AG488" s="19">
        <v>0.111</v>
      </c>
      <c r="AH488" s="21">
        <f t="shared" si="127"/>
        <v>0.113</v>
      </c>
      <c r="AI488" s="30">
        <v>7.9000000000000001E-2</v>
      </c>
      <c r="AJ488" s="30">
        <v>8.3000000000000004E-2</v>
      </c>
      <c r="AK488" s="31">
        <f t="shared" si="128"/>
        <v>8.1000000000000003E-2</v>
      </c>
      <c r="AL488" s="30">
        <v>7.5999999999999998E-2</v>
      </c>
      <c r="AM488" s="30">
        <v>7.6999999999999999E-2</v>
      </c>
      <c r="AN488" s="31">
        <f t="shared" si="129"/>
        <v>7.6999999999999999E-2</v>
      </c>
      <c r="AO488" s="19">
        <v>8.1029999999999998</v>
      </c>
      <c r="AP488" s="19">
        <v>8.0790000000000006</v>
      </c>
      <c r="AQ488" s="21">
        <f t="shared" si="130"/>
        <v>8.0909999999999993</v>
      </c>
      <c r="AR488" s="46">
        <v>5.7599999999999998E-2</v>
      </c>
      <c r="AS488" s="46">
        <v>5.7200000000000001E-2</v>
      </c>
      <c r="AT488" s="45">
        <f t="shared" si="131"/>
        <v>5.74E-2</v>
      </c>
      <c r="AU488" s="3">
        <v>10.51</v>
      </c>
      <c r="AV488" s="97">
        <v>4.8499999999999996</v>
      </c>
    </row>
    <row r="489" spans="1:48">
      <c r="A489" s="7" t="s">
        <v>17</v>
      </c>
      <c r="B489" s="5" t="s">
        <v>74</v>
      </c>
      <c r="C489" s="6" t="s">
        <v>75</v>
      </c>
      <c r="D489" s="6" t="s">
        <v>76</v>
      </c>
      <c r="E489" s="23">
        <v>20.2</v>
      </c>
      <c r="F489" s="23">
        <v>7</v>
      </c>
      <c r="G489" s="41">
        <v>286</v>
      </c>
      <c r="H489" s="23">
        <v>9.6999999999999993</v>
      </c>
      <c r="I489" s="23">
        <v>1.8</v>
      </c>
      <c r="J489" s="23">
        <v>4.4000000000000004</v>
      </c>
      <c r="K489" s="37">
        <v>3.4</v>
      </c>
      <c r="L489" s="37">
        <v>3.7</v>
      </c>
      <c r="M489" s="37"/>
      <c r="N489" s="38">
        <f t="shared" si="121"/>
        <v>3.6</v>
      </c>
      <c r="O489" s="37">
        <v>2.5</v>
      </c>
      <c r="P489" s="37">
        <v>2.5</v>
      </c>
      <c r="Q489" s="36"/>
      <c r="R489" s="36"/>
      <c r="S489" s="38">
        <f t="shared" si="122"/>
        <v>2.5</v>
      </c>
      <c r="T489" s="17">
        <v>1.7549999999999999</v>
      </c>
      <c r="U489" s="17">
        <v>1.766</v>
      </c>
      <c r="V489" s="22">
        <f t="shared" si="123"/>
        <v>1.7609999999999999</v>
      </c>
      <c r="W489" s="34">
        <v>1.645</v>
      </c>
      <c r="X489" s="34">
        <v>1.6539999999999999</v>
      </c>
      <c r="Y489" s="33">
        <f t="shared" si="124"/>
        <v>1.65</v>
      </c>
      <c r="Z489" s="17">
        <v>9.6000000000000002E-2</v>
      </c>
      <c r="AA489" s="17">
        <v>9.5000000000000001E-2</v>
      </c>
      <c r="AB489" s="21">
        <f t="shared" si="125"/>
        <v>9.6000000000000002E-2</v>
      </c>
      <c r="AC489" s="19">
        <v>1.2949999999999999</v>
      </c>
      <c r="AD489" s="19">
        <v>1.2889999999999999</v>
      </c>
      <c r="AE489" s="21">
        <f t="shared" si="126"/>
        <v>1.292</v>
      </c>
      <c r="AF489" s="19">
        <v>0.152</v>
      </c>
      <c r="AG489" s="19">
        <v>0.15</v>
      </c>
      <c r="AH489" s="21">
        <f t="shared" si="127"/>
        <v>0.151</v>
      </c>
      <c r="AI489" s="30">
        <v>0.1</v>
      </c>
      <c r="AJ489" s="30">
        <v>0.10199999999999999</v>
      </c>
      <c r="AK489" s="31">
        <f t="shared" si="128"/>
        <v>0.10100000000000001</v>
      </c>
      <c r="AL489" s="30">
        <v>9.9000000000000005E-2</v>
      </c>
      <c r="AM489" s="30">
        <v>9.9000000000000005E-2</v>
      </c>
      <c r="AN489" s="31">
        <f t="shared" si="129"/>
        <v>9.9000000000000005E-2</v>
      </c>
      <c r="AO489" s="19">
        <v>9.8620000000000001</v>
      </c>
      <c r="AP489" s="19">
        <v>9.8480000000000008</v>
      </c>
      <c r="AQ489" s="21">
        <f t="shared" si="130"/>
        <v>9.8550000000000004</v>
      </c>
      <c r="AR489" s="46">
        <v>6.5699999999999995E-2</v>
      </c>
      <c r="AS489" s="46">
        <v>6.5799999999999997E-2</v>
      </c>
      <c r="AT489" s="45">
        <f t="shared" si="131"/>
        <v>6.5799999999999997E-2</v>
      </c>
      <c r="AU489" s="3">
        <v>10.050000000000001</v>
      </c>
      <c r="AV489" s="1">
        <v>5.0999999999999996</v>
      </c>
    </row>
    <row r="490" spans="1:48">
      <c r="A490" s="7" t="s">
        <v>18</v>
      </c>
      <c r="B490" s="5" t="s">
        <v>109</v>
      </c>
      <c r="C490" s="6" t="s">
        <v>77</v>
      </c>
      <c r="D490" s="6" t="s">
        <v>36</v>
      </c>
      <c r="E490" s="23">
        <v>20.8</v>
      </c>
      <c r="F490" s="23">
        <v>0.1</v>
      </c>
      <c r="G490" s="41">
        <v>228</v>
      </c>
      <c r="H490" s="23">
        <v>9.5</v>
      </c>
      <c r="I490" s="23">
        <v>1.6</v>
      </c>
      <c r="J490" s="23">
        <v>4.3</v>
      </c>
      <c r="K490" s="37">
        <v>3.4</v>
      </c>
      <c r="L490" s="37">
        <v>3.1</v>
      </c>
      <c r="M490" s="37"/>
      <c r="N490" s="38">
        <f t="shared" si="121"/>
        <v>3.3</v>
      </c>
      <c r="O490" s="37">
        <v>2.4</v>
      </c>
      <c r="P490" s="37">
        <v>2.2999999999999998</v>
      </c>
      <c r="Q490" s="36"/>
      <c r="R490" s="36"/>
      <c r="S490" s="38">
        <f t="shared" si="122"/>
        <v>2.4</v>
      </c>
      <c r="T490" s="17">
        <v>1.9690000000000001</v>
      </c>
      <c r="U490" s="17">
        <v>1.988</v>
      </c>
      <c r="V490" s="22">
        <f t="shared" si="123"/>
        <v>1.9790000000000001</v>
      </c>
      <c r="W490" s="34">
        <v>1.8879999999999999</v>
      </c>
      <c r="X490" s="34">
        <v>1.8759999999999999</v>
      </c>
      <c r="Y490" s="33">
        <f t="shared" si="124"/>
        <v>1.8819999999999999</v>
      </c>
      <c r="Z490" s="17">
        <v>0.106</v>
      </c>
      <c r="AA490" s="17">
        <v>0.106</v>
      </c>
      <c r="AB490" s="21">
        <f t="shared" si="125"/>
        <v>0.106</v>
      </c>
      <c r="AC490" s="19">
        <v>1.524</v>
      </c>
      <c r="AD490" s="19">
        <v>1.5109999999999999</v>
      </c>
      <c r="AE490" s="21">
        <f t="shared" si="126"/>
        <v>1.518</v>
      </c>
      <c r="AF490" s="19">
        <v>0.13</v>
      </c>
      <c r="AG490" s="19">
        <v>0.128</v>
      </c>
      <c r="AH490" s="21">
        <f t="shared" si="127"/>
        <v>0.129</v>
      </c>
      <c r="AI490" s="30">
        <v>7.9000000000000001E-2</v>
      </c>
      <c r="AJ490" s="30">
        <v>8.3000000000000004E-2</v>
      </c>
      <c r="AK490" s="31">
        <f t="shared" si="128"/>
        <v>8.1000000000000003E-2</v>
      </c>
      <c r="AL490" s="30">
        <v>7.6999999999999999E-2</v>
      </c>
      <c r="AM490" s="30">
        <v>0.08</v>
      </c>
      <c r="AN490" s="31">
        <f t="shared" si="129"/>
        <v>7.9000000000000001E-2</v>
      </c>
      <c r="AO490" s="19">
        <v>10.384</v>
      </c>
      <c r="AP490" s="19">
        <v>10.371</v>
      </c>
      <c r="AQ490" s="21">
        <f t="shared" si="130"/>
        <v>10.378</v>
      </c>
      <c r="AR490" s="46">
        <v>6.2600000000000003E-2</v>
      </c>
      <c r="AS490" s="46">
        <v>6.2399999999999997E-2</v>
      </c>
      <c r="AT490" s="45">
        <f t="shared" si="131"/>
        <v>6.25E-2</v>
      </c>
      <c r="AU490" s="3">
        <v>10.08</v>
      </c>
      <c r="AV490" s="97">
        <v>3.78</v>
      </c>
    </row>
    <row r="491" spans="1:48">
      <c r="A491" s="7" t="s">
        <v>19</v>
      </c>
      <c r="B491" s="5" t="s">
        <v>78</v>
      </c>
      <c r="C491" s="6" t="s">
        <v>44</v>
      </c>
      <c r="D491" s="6" t="s">
        <v>79</v>
      </c>
      <c r="E491" s="23">
        <v>20.7</v>
      </c>
      <c r="F491" s="23">
        <v>7.1</v>
      </c>
      <c r="G491" s="41">
        <v>216</v>
      </c>
      <c r="H491" s="23">
        <v>8.9</v>
      </c>
      <c r="I491" s="23">
        <v>0.7</v>
      </c>
      <c r="J491" s="23">
        <v>3.8</v>
      </c>
      <c r="K491" s="37">
        <v>2.9</v>
      </c>
      <c r="L491" s="37">
        <v>2.6</v>
      </c>
      <c r="M491" s="37"/>
      <c r="N491" s="38">
        <f t="shared" si="121"/>
        <v>2.8</v>
      </c>
      <c r="O491" s="37">
        <v>2.2999999999999998</v>
      </c>
      <c r="P491" s="37">
        <v>2.2000000000000002</v>
      </c>
      <c r="Q491" s="36"/>
      <c r="R491" s="36"/>
      <c r="S491" s="38">
        <f t="shared" si="122"/>
        <v>2.2999999999999998</v>
      </c>
      <c r="T491" s="17">
        <v>1.6279999999999999</v>
      </c>
      <c r="U491" s="17">
        <v>1.637</v>
      </c>
      <c r="V491" s="22">
        <f t="shared" si="123"/>
        <v>1.633</v>
      </c>
      <c r="W491" s="34">
        <v>1.6060000000000001</v>
      </c>
      <c r="X491" s="34">
        <v>1.62</v>
      </c>
      <c r="Y491" s="33">
        <f t="shared" si="124"/>
        <v>1.613</v>
      </c>
      <c r="Z491" s="17">
        <v>0.12</v>
      </c>
      <c r="AA491" s="17">
        <v>0.12</v>
      </c>
      <c r="AB491" s="21">
        <f t="shared" si="125"/>
        <v>0.12</v>
      </c>
      <c r="AC491" s="19">
        <v>1.236</v>
      </c>
      <c r="AD491" s="19">
        <v>1.226</v>
      </c>
      <c r="AE491" s="21">
        <f t="shared" si="126"/>
        <v>1.2310000000000001</v>
      </c>
      <c r="AF491" s="19">
        <v>6.2E-2</v>
      </c>
      <c r="AG491" s="19">
        <v>5.7000000000000002E-2</v>
      </c>
      <c r="AH491" s="21">
        <f t="shared" si="127"/>
        <v>0.06</v>
      </c>
      <c r="AI491" s="30">
        <v>3.9E-2</v>
      </c>
      <c r="AJ491" s="30">
        <v>3.7999999999999999E-2</v>
      </c>
      <c r="AK491" s="31">
        <f t="shared" si="128"/>
        <v>3.9E-2</v>
      </c>
      <c r="AL491" s="30">
        <v>3.4000000000000002E-2</v>
      </c>
      <c r="AM491" s="30">
        <v>3.4000000000000002E-2</v>
      </c>
      <c r="AN491" s="31">
        <f t="shared" si="129"/>
        <v>3.4000000000000002E-2</v>
      </c>
      <c r="AO491" s="19">
        <v>18.518000000000001</v>
      </c>
      <c r="AP491" s="19">
        <v>18.510999999999999</v>
      </c>
      <c r="AQ491" s="21">
        <f t="shared" si="130"/>
        <v>18.515000000000001</v>
      </c>
      <c r="AR491" s="46">
        <v>6.6299999999999998E-2</v>
      </c>
      <c r="AS491" s="46">
        <v>6.6500000000000004E-2</v>
      </c>
      <c r="AT491" s="45">
        <f t="shared" si="131"/>
        <v>6.6400000000000001E-2</v>
      </c>
      <c r="AU491" s="3">
        <v>10.44</v>
      </c>
      <c r="AV491" s="1">
        <v>2.35</v>
      </c>
    </row>
    <row r="492" spans="1:48">
      <c r="A492" s="7" t="s">
        <v>20</v>
      </c>
      <c r="B492" s="5" t="s">
        <v>80</v>
      </c>
      <c r="C492" s="6" t="s">
        <v>81</v>
      </c>
      <c r="D492" s="6" t="s">
        <v>36</v>
      </c>
      <c r="E492" s="23">
        <v>21</v>
      </c>
      <c r="F492" s="23">
        <v>7.3</v>
      </c>
      <c r="G492" s="41">
        <v>281</v>
      </c>
      <c r="H492" s="23">
        <v>8.5</v>
      </c>
      <c r="I492" s="23">
        <v>1.9</v>
      </c>
      <c r="J492" s="23">
        <v>4.2</v>
      </c>
      <c r="K492" s="37">
        <v>3.4</v>
      </c>
      <c r="L492" s="37">
        <v>3.5</v>
      </c>
      <c r="M492" s="37"/>
      <c r="N492" s="38">
        <f t="shared" si="121"/>
        <v>3.5</v>
      </c>
      <c r="O492" s="37">
        <v>2.5</v>
      </c>
      <c r="P492" s="37">
        <v>2.4</v>
      </c>
      <c r="Q492" s="36"/>
      <c r="R492" s="36"/>
      <c r="S492" s="38">
        <f t="shared" si="122"/>
        <v>2.5</v>
      </c>
      <c r="T492" s="17">
        <v>2.6339999999999999</v>
      </c>
      <c r="U492" s="17">
        <v>2.6269999999999998</v>
      </c>
      <c r="V492" s="22">
        <f t="shared" si="123"/>
        <v>2.6309999999999998</v>
      </c>
      <c r="W492" s="34">
        <v>2.4689999999999999</v>
      </c>
      <c r="X492" s="34">
        <v>2.48</v>
      </c>
      <c r="Y492" s="33">
        <f t="shared" si="124"/>
        <v>2.4750000000000001</v>
      </c>
      <c r="Z492" s="17">
        <v>0.378</v>
      </c>
      <c r="AA492" s="17">
        <v>0.378</v>
      </c>
      <c r="AB492" s="21">
        <f t="shared" si="125"/>
        <v>0.378</v>
      </c>
      <c r="AC492" s="19">
        <v>1.784</v>
      </c>
      <c r="AD492" s="19">
        <v>1.7709999999999999</v>
      </c>
      <c r="AE492" s="21">
        <f t="shared" si="126"/>
        <v>1.778</v>
      </c>
      <c r="AF492" s="19">
        <v>0.17599999999999999</v>
      </c>
      <c r="AG492" s="19">
        <v>0.17</v>
      </c>
      <c r="AH492" s="21">
        <f t="shared" si="127"/>
        <v>0.17299999999999999</v>
      </c>
      <c r="AI492" s="30">
        <v>0.11</v>
      </c>
      <c r="AJ492" s="30">
        <v>0.114</v>
      </c>
      <c r="AK492" s="31">
        <f t="shared" si="128"/>
        <v>0.112</v>
      </c>
      <c r="AL492" s="30">
        <v>0.109</v>
      </c>
      <c r="AM492" s="30">
        <v>0.11</v>
      </c>
      <c r="AN492" s="31">
        <f t="shared" si="129"/>
        <v>0.11</v>
      </c>
      <c r="AO492" s="19">
        <v>12.885</v>
      </c>
      <c r="AP492" s="19">
        <v>12.881</v>
      </c>
      <c r="AQ492" s="21">
        <f t="shared" si="130"/>
        <v>12.882999999999999</v>
      </c>
      <c r="AR492" s="46">
        <v>6.1600000000000002E-2</v>
      </c>
      <c r="AS492" s="46">
        <v>6.1800000000000001E-2</v>
      </c>
      <c r="AT492" s="45">
        <f t="shared" si="131"/>
        <v>6.1699999999999998E-2</v>
      </c>
      <c r="AU492" s="3">
        <v>9.59</v>
      </c>
      <c r="AV492" s="97">
        <v>5.07</v>
      </c>
    </row>
    <row r="493" spans="1:48">
      <c r="A493" s="7" t="s">
        <v>21</v>
      </c>
      <c r="B493" s="5" t="s">
        <v>82</v>
      </c>
      <c r="C493" s="6" t="s">
        <v>44</v>
      </c>
      <c r="D493" s="6" t="s">
        <v>83</v>
      </c>
      <c r="E493" s="23">
        <v>20.100000000000001</v>
      </c>
      <c r="F493" s="23">
        <v>7.2</v>
      </c>
      <c r="G493" s="41">
        <v>255</v>
      </c>
      <c r="H493" s="23">
        <v>8.4</v>
      </c>
      <c r="I493" s="23">
        <v>2.2000000000000002</v>
      </c>
      <c r="J493" s="23">
        <v>6.4</v>
      </c>
      <c r="K493" s="37">
        <v>4.7</v>
      </c>
      <c r="L493" s="37">
        <v>4.7</v>
      </c>
      <c r="M493" s="37"/>
      <c r="N493" s="38">
        <f t="shared" si="121"/>
        <v>4.7</v>
      </c>
      <c r="O493" s="37">
        <v>3.9</v>
      </c>
      <c r="P493" s="37">
        <v>3.9</v>
      </c>
      <c r="Q493" s="36"/>
      <c r="R493" s="36"/>
      <c r="S493" s="38">
        <f t="shared" si="122"/>
        <v>3.9</v>
      </c>
      <c r="T493" s="17">
        <v>3.6760000000000002</v>
      </c>
      <c r="U493" s="17">
        <v>3.6219999999999999</v>
      </c>
      <c r="V493" s="22">
        <f t="shared" si="123"/>
        <v>3.649</v>
      </c>
      <c r="W493" s="34">
        <v>3.488</v>
      </c>
      <c r="X493" s="34">
        <v>3.4990000000000001</v>
      </c>
      <c r="Y493" s="33">
        <f t="shared" si="124"/>
        <v>3.4940000000000002</v>
      </c>
      <c r="Z493" s="17">
        <v>0.71299999999999997</v>
      </c>
      <c r="AA493" s="17">
        <v>0.71399999999999997</v>
      </c>
      <c r="AB493" s="21">
        <f t="shared" si="125"/>
        <v>0.71399999999999997</v>
      </c>
      <c r="AC493" s="19">
        <v>2.2869999999999999</v>
      </c>
      <c r="AD493" s="19">
        <v>2.2749999999999999</v>
      </c>
      <c r="AE493" s="21">
        <f t="shared" si="126"/>
        <v>2.2810000000000001</v>
      </c>
      <c r="AF493" s="19">
        <v>0.32500000000000001</v>
      </c>
      <c r="AG493" s="19">
        <v>0.31900000000000001</v>
      </c>
      <c r="AH493" s="21">
        <f t="shared" si="127"/>
        <v>0.32200000000000001</v>
      </c>
      <c r="AI493" s="30">
        <v>0.23499999999999999</v>
      </c>
      <c r="AJ493" s="30">
        <v>0.248</v>
      </c>
      <c r="AK493" s="31">
        <f t="shared" si="128"/>
        <v>0.24199999999999999</v>
      </c>
      <c r="AL493" s="30">
        <v>0.23200000000000001</v>
      </c>
      <c r="AM493" s="30">
        <v>0.23699999999999999</v>
      </c>
      <c r="AN493" s="31">
        <f t="shared" si="129"/>
        <v>0.23499999999999999</v>
      </c>
      <c r="AO493" s="19">
        <v>14.923</v>
      </c>
      <c r="AP493" s="19">
        <v>14.901999999999999</v>
      </c>
      <c r="AQ493" s="21">
        <f t="shared" si="130"/>
        <v>14.913</v>
      </c>
      <c r="AR493" s="46">
        <v>0.1128</v>
      </c>
      <c r="AS493" s="46">
        <v>0.1132</v>
      </c>
      <c r="AT493" s="45">
        <f t="shared" si="131"/>
        <v>0.113</v>
      </c>
      <c r="AU493" s="3">
        <v>7.98</v>
      </c>
      <c r="AV493" s="1">
        <v>2.72</v>
      </c>
    </row>
    <row r="494" spans="1:48">
      <c r="A494" s="7" t="s">
        <v>22</v>
      </c>
      <c r="B494" s="5" t="s">
        <v>84</v>
      </c>
      <c r="C494" s="6" t="s">
        <v>85</v>
      </c>
      <c r="D494" s="6" t="s">
        <v>36</v>
      </c>
      <c r="E494" s="23">
        <v>20.5</v>
      </c>
      <c r="F494" s="23">
        <v>7.4</v>
      </c>
      <c r="G494" s="41">
        <v>279</v>
      </c>
      <c r="H494" s="23">
        <v>8.3000000000000007</v>
      </c>
      <c r="I494" s="23">
        <v>2.2000000000000002</v>
      </c>
      <c r="J494" s="23">
        <v>4.2</v>
      </c>
      <c r="K494" s="37">
        <v>3.3</v>
      </c>
      <c r="L494" s="37">
        <v>3.4</v>
      </c>
      <c r="M494" s="37"/>
      <c r="N494" s="38">
        <f t="shared" si="121"/>
        <v>3.4</v>
      </c>
      <c r="O494" s="37">
        <v>2.5</v>
      </c>
      <c r="P494" s="37">
        <v>2.4</v>
      </c>
      <c r="Q494" s="36"/>
      <c r="R494" s="36"/>
      <c r="S494" s="38">
        <f t="shared" si="122"/>
        <v>2.5</v>
      </c>
      <c r="T494" s="17">
        <v>2.86</v>
      </c>
      <c r="U494" s="17">
        <v>2.9049999999999998</v>
      </c>
      <c r="V494" s="22">
        <f t="shared" si="123"/>
        <v>2.883</v>
      </c>
      <c r="W494" s="34">
        <v>2.8029999999999999</v>
      </c>
      <c r="X494" s="34">
        <v>2.8079999999999998</v>
      </c>
      <c r="Y494" s="33">
        <f t="shared" si="124"/>
        <v>2.806</v>
      </c>
      <c r="Z494" s="17">
        <v>0.39400000000000002</v>
      </c>
      <c r="AA494" s="17">
        <v>0.39800000000000002</v>
      </c>
      <c r="AB494" s="21">
        <f t="shared" si="125"/>
        <v>0.39600000000000002</v>
      </c>
      <c r="AC494" s="19">
        <v>2.04</v>
      </c>
      <c r="AD494" s="19">
        <v>2.0209999999999999</v>
      </c>
      <c r="AE494" s="21">
        <f t="shared" si="126"/>
        <v>2.0310000000000001</v>
      </c>
      <c r="AF494" s="19">
        <v>0.19500000000000001</v>
      </c>
      <c r="AG494" s="19">
        <v>0.192</v>
      </c>
      <c r="AH494" s="21">
        <f t="shared" si="127"/>
        <v>0.19400000000000001</v>
      </c>
      <c r="AI494" s="30">
        <v>0.14000000000000001</v>
      </c>
      <c r="AJ494" s="30">
        <v>0.13500000000000001</v>
      </c>
      <c r="AK494" s="31">
        <f t="shared" si="128"/>
        <v>0.13800000000000001</v>
      </c>
      <c r="AL494" s="30">
        <v>0.13400000000000001</v>
      </c>
      <c r="AM494" s="30">
        <v>0.13200000000000001</v>
      </c>
      <c r="AN494" s="31">
        <f t="shared" si="129"/>
        <v>0.13300000000000001</v>
      </c>
      <c r="AO494" s="19">
        <v>13.250999999999999</v>
      </c>
      <c r="AP494" s="19">
        <v>13.244999999999999</v>
      </c>
      <c r="AQ494" s="21">
        <f t="shared" si="130"/>
        <v>13.247999999999999</v>
      </c>
      <c r="AR494" s="46">
        <v>8.3000000000000007</v>
      </c>
      <c r="AS494" s="46">
        <v>6.2100000000000002E-2</v>
      </c>
      <c r="AT494" s="45">
        <f t="shared" si="131"/>
        <v>4.1810999999999998</v>
      </c>
      <c r="AU494" s="3">
        <v>8.73</v>
      </c>
      <c r="AV494" s="88">
        <v>5.89</v>
      </c>
    </row>
    <row r="495" spans="1:48">
      <c r="A495" s="7" t="s">
        <v>23</v>
      </c>
      <c r="B495" s="5" t="s">
        <v>86</v>
      </c>
      <c r="C495" s="6" t="s">
        <v>87</v>
      </c>
      <c r="D495" s="6" t="s">
        <v>88</v>
      </c>
      <c r="E495" s="23">
        <v>20.399999999999999</v>
      </c>
      <c r="F495" s="23">
        <v>7.2</v>
      </c>
      <c r="G495" s="41">
        <v>153</v>
      </c>
      <c r="H495" s="23">
        <v>7.8</v>
      </c>
      <c r="I495" s="23">
        <v>1.3</v>
      </c>
      <c r="J495" s="23">
        <v>5.3</v>
      </c>
      <c r="K495" s="37">
        <v>4.0999999999999996</v>
      </c>
      <c r="L495" s="37">
        <v>3.9</v>
      </c>
      <c r="M495" s="37"/>
      <c r="N495" s="38">
        <f t="shared" si="121"/>
        <v>4</v>
      </c>
      <c r="O495" s="37">
        <v>3.4</v>
      </c>
      <c r="P495" s="37">
        <v>3.2</v>
      </c>
      <c r="Q495" s="36"/>
      <c r="R495" s="36"/>
      <c r="S495" s="38">
        <f t="shared" si="122"/>
        <v>3.3</v>
      </c>
      <c r="T495" s="17">
        <v>1.3460000000000001</v>
      </c>
      <c r="U495" s="17">
        <v>1.3740000000000001</v>
      </c>
      <c r="V495" s="22">
        <f t="shared" si="123"/>
        <v>1.36</v>
      </c>
      <c r="W495" s="34">
        <v>1.258</v>
      </c>
      <c r="X495" s="34">
        <v>1.256</v>
      </c>
      <c r="Y495" s="33">
        <f t="shared" si="124"/>
        <v>1.2569999999999999</v>
      </c>
      <c r="Z495" s="17">
        <v>4.3999999999999997E-2</v>
      </c>
      <c r="AA495" s="17">
        <v>4.2999999999999997E-2</v>
      </c>
      <c r="AB495" s="21">
        <f t="shared" si="125"/>
        <v>4.3999999999999997E-2</v>
      </c>
      <c r="AC495" s="19">
        <v>0.95899999999999996</v>
      </c>
      <c r="AD495" s="19">
        <v>0.94699999999999995</v>
      </c>
      <c r="AE495" s="21">
        <f t="shared" si="126"/>
        <v>0.95299999999999996</v>
      </c>
      <c r="AF495" s="19">
        <v>0.11700000000000001</v>
      </c>
      <c r="AG495" s="19">
        <v>0.113</v>
      </c>
      <c r="AH495" s="21">
        <f t="shared" si="127"/>
        <v>0.115</v>
      </c>
      <c r="AI495" s="30">
        <v>7.3999999999999996E-2</v>
      </c>
      <c r="AJ495" s="30">
        <v>7.1999999999999995E-2</v>
      </c>
      <c r="AK495" s="31">
        <f t="shared" si="128"/>
        <v>7.2999999999999995E-2</v>
      </c>
      <c r="AL495" s="30">
        <v>6.7000000000000004E-2</v>
      </c>
      <c r="AM495" s="30">
        <v>6.5000000000000002E-2</v>
      </c>
      <c r="AN495" s="31">
        <f t="shared" si="129"/>
        <v>6.6000000000000003E-2</v>
      </c>
      <c r="AO495" s="19">
        <v>8.0739999999999998</v>
      </c>
      <c r="AP495" s="19">
        <v>8.0489999999999995</v>
      </c>
      <c r="AQ495" s="21">
        <f t="shared" si="130"/>
        <v>8.0619999999999994</v>
      </c>
      <c r="AR495" s="46">
        <v>8.2900000000000001E-2</v>
      </c>
      <c r="AS495" s="46">
        <v>8.3400000000000002E-2</v>
      </c>
      <c r="AT495" s="45">
        <f t="shared" si="131"/>
        <v>8.3199999999999996E-2</v>
      </c>
      <c r="AU495" s="3">
        <v>10.42</v>
      </c>
      <c r="AV495" s="1">
        <v>1.32</v>
      </c>
    </row>
    <row r="496" spans="1:48">
      <c r="A496" s="7" t="s">
        <v>24</v>
      </c>
      <c r="B496" s="5" t="s">
        <v>89</v>
      </c>
      <c r="C496" s="6" t="s">
        <v>42</v>
      </c>
      <c r="D496" s="6" t="s">
        <v>36</v>
      </c>
      <c r="E496" s="23">
        <v>22.2</v>
      </c>
      <c r="F496" s="23">
        <v>7.1</v>
      </c>
      <c r="G496" s="41">
        <v>294</v>
      </c>
      <c r="H496" s="23">
        <v>9.4</v>
      </c>
      <c r="I496" s="23">
        <v>1.6</v>
      </c>
      <c r="J496" s="23">
        <v>6.2</v>
      </c>
      <c r="K496" s="37">
        <v>5.5</v>
      </c>
      <c r="L496" s="37">
        <v>5.0999999999999996</v>
      </c>
      <c r="M496" s="37"/>
      <c r="N496" s="38">
        <f t="shared" si="121"/>
        <v>5.3</v>
      </c>
      <c r="O496" s="37">
        <v>4.9000000000000004</v>
      </c>
      <c r="P496" s="37">
        <v>4.7</v>
      </c>
      <c r="Q496" s="36"/>
      <c r="R496" s="36"/>
      <c r="S496" s="38">
        <f t="shared" si="122"/>
        <v>4.8</v>
      </c>
      <c r="T496" s="17">
        <v>8.452</v>
      </c>
      <c r="U496" s="17">
        <v>8.48</v>
      </c>
      <c r="V496" s="22">
        <f t="shared" si="123"/>
        <v>8.4659999999999993</v>
      </c>
      <c r="W496" s="34">
        <v>8.3309999999999995</v>
      </c>
      <c r="X496" s="34">
        <v>8.3379999999999992</v>
      </c>
      <c r="Y496" s="33">
        <f t="shared" si="124"/>
        <v>8.3350000000000009</v>
      </c>
      <c r="Z496" s="17">
        <v>0.69799999999999995</v>
      </c>
      <c r="AA496" s="17">
        <v>0.70499999999999996</v>
      </c>
      <c r="AB496" s="21">
        <f t="shared" si="125"/>
        <v>0.70199999999999996</v>
      </c>
      <c r="AC496" s="19">
        <v>6.01</v>
      </c>
      <c r="AD496" s="19">
        <v>5.984</v>
      </c>
      <c r="AE496" s="21">
        <f t="shared" si="126"/>
        <v>5.9969999999999999</v>
      </c>
      <c r="AF496" s="19">
        <v>0.76</v>
      </c>
      <c r="AG496" s="19">
        <v>0.77400000000000002</v>
      </c>
      <c r="AH496" s="21">
        <f t="shared" si="127"/>
        <v>0.76700000000000002</v>
      </c>
      <c r="AI496" s="30">
        <v>0.70899999999999996</v>
      </c>
      <c r="AJ496" s="30">
        <v>0.72699999999999998</v>
      </c>
      <c r="AK496" s="31">
        <f t="shared" si="128"/>
        <v>0.71799999999999997</v>
      </c>
      <c r="AL496" s="30">
        <v>0.70399999999999996</v>
      </c>
      <c r="AM496" s="30">
        <v>0.71399999999999997</v>
      </c>
      <c r="AN496" s="31">
        <f t="shared" si="129"/>
        <v>0.70899999999999996</v>
      </c>
      <c r="AO496" s="19">
        <v>15.717000000000001</v>
      </c>
      <c r="AP496" s="19">
        <v>15.685</v>
      </c>
      <c r="AQ496" s="21">
        <f t="shared" si="130"/>
        <v>15.701000000000001</v>
      </c>
      <c r="AR496" s="46">
        <v>0.10639999999999999</v>
      </c>
      <c r="AS496" s="46">
        <v>0.1067</v>
      </c>
      <c r="AT496" s="45">
        <f t="shared" si="131"/>
        <v>0.1066</v>
      </c>
      <c r="AU496" s="3">
        <v>12.12</v>
      </c>
      <c r="AV496" s="97">
        <v>4.95</v>
      </c>
    </row>
    <row r="497" spans="1:48">
      <c r="A497" s="7" t="s">
        <v>25</v>
      </c>
      <c r="B497" s="5" t="s">
        <v>90</v>
      </c>
      <c r="C497" s="6" t="s">
        <v>44</v>
      </c>
      <c r="D497" s="6" t="s">
        <v>91</v>
      </c>
      <c r="E497" s="23">
        <v>19.5</v>
      </c>
      <c r="F497" s="23">
        <v>7</v>
      </c>
      <c r="G497" s="41">
        <v>301</v>
      </c>
      <c r="H497" s="23">
        <v>7.8</v>
      </c>
      <c r="I497" s="23">
        <v>0.8</v>
      </c>
      <c r="J497" s="23">
        <v>3.8</v>
      </c>
      <c r="K497" s="37">
        <v>3.3</v>
      </c>
      <c r="L497" s="37">
        <v>3.1</v>
      </c>
      <c r="M497" s="37"/>
      <c r="N497" s="38">
        <f t="shared" si="121"/>
        <v>3.2</v>
      </c>
      <c r="O497" s="37">
        <v>2.7</v>
      </c>
      <c r="P497" s="37">
        <v>2.7</v>
      </c>
      <c r="Q497" s="36"/>
      <c r="R497" s="36"/>
      <c r="S497" s="38">
        <f t="shared" si="122"/>
        <v>2.7</v>
      </c>
      <c r="T497" s="17">
        <v>2.6640000000000001</v>
      </c>
      <c r="U497" s="17">
        <v>2.6949999999999998</v>
      </c>
      <c r="V497" s="22">
        <f t="shared" si="123"/>
        <v>2.68</v>
      </c>
      <c r="W497" s="34">
        <v>2.6680000000000001</v>
      </c>
      <c r="X497" s="34">
        <v>2.6739999999999999</v>
      </c>
      <c r="Y497" s="33">
        <f t="shared" si="124"/>
        <v>2.6709999999999998</v>
      </c>
      <c r="Z497" s="17">
        <v>3.5999999999999997E-2</v>
      </c>
      <c r="AA497" s="17">
        <v>3.5999999999999997E-2</v>
      </c>
      <c r="AB497" s="21">
        <f t="shared" si="125"/>
        <v>3.5999999999999997E-2</v>
      </c>
      <c r="AC497" s="19">
        <v>2.4119999999999999</v>
      </c>
      <c r="AD497" s="19">
        <v>2.4049999999999998</v>
      </c>
      <c r="AE497" s="21">
        <f t="shared" si="126"/>
        <v>2.4089999999999998</v>
      </c>
      <c r="AF497" s="19">
        <v>0.107</v>
      </c>
      <c r="AG497" s="19">
        <v>0.10299999999999999</v>
      </c>
      <c r="AH497" s="21">
        <f t="shared" si="127"/>
        <v>0.105</v>
      </c>
      <c r="AI497" s="30">
        <v>0.08</v>
      </c>
      <c r="AJ497" s="30">
        <v>7.3999999999999996E-2</v>
      </c>
      <c r="AK497" s="31">
        <f t="shared" si="128"/>
        <v>7.6999999999999999E-2</v>
      </c>
      <c r="AL497" s="30">
        <v>7.4999999999999997E-2</v>
      </c>
      <c r="AM497" s="30">
        <v>7.1999999999999995E-2</v>
      </c>
      <c r="AN497" s="31">
        <f t="shared" si="129"/>
        <v>7.3999999999999996E-2</v>
      </c>
      <c r="AO497" s="19">
        <v>15.823</v>
      </c>
      <c r="AP497" s="19">
        <v>15.81</v>
      </c>
      <c r="AQ497" s="21">
        <f t="shared" si="130"/>
        <v>15.817</v>
      </c>
      <c r="AR497" s="46">
        <v>7.2499999999999995E-2</v>
      </c>
      <c r="AS497" s="46">
        <v>7.2800000000000004E-2</v>
      </c>
      <c r="AT497" s="45">
        <f t="shared" si="131"/>
        <v>7.2700000000000001E-2</v>
      </c>
      <c r="AU497" s="3">
        <v>9.3699999999999992</v>
      </c>
      <c r="AV497" s="1">
        <v>2.36</v>
      </c>
    </row>
    <row r="498" spans="1:48">
      <c r="A498" s="7" t="s">
        <v>26</v>
      </c>
      <c r="B498" s="5" t="s">
        <v>92</v>
      </c>
      <c r="C498" s="6" t="s">
        <v>93</v>
      </c>
      <c r="D498" s="6" t="s">
        <v>36</v>
      </c>
      <c r="E498" s="23">
        <v>21.1</v>
      </c>
      <c r="F498" s="23">
        <v>6.3</v>
      </c>
      <c r="G498" s="41">
        <v>228</v>
      </c>
      <c r="H498" s="23">
        <v>8.8000000000000007</v>
      </c>
      <c r="I498" s="23">
        <v>1</v>
      </c>
      <c r="J498" s="23">
        <v>3.9</v>
      </c>
      <c r="K498" s="37">
        <v>3</v>
      </c>
      <c r="L498" s="37">
        <v>2.8</v>
      </c>
      <c r="M498" s="37"/>
      <c r="N498" s="38">
        <f t="shared" si="121"/>
        <v>2.9</v>
      </c>
      <c r="O498" s="37">
        <v>2.6</v>
      </c>
      <c r="P498" s="37">
        <v>2.5</v>
      </c>
      <c r="Q498" s="36"/>
      <c r="R498" s="36"/>
      <c r="S498" s="38">
        <f t="shared" si="122"/>
        <v>2.6</v>
      </c>
      <c r="T498" s="17">
        <v>2.38</v>
      </c>
      <c r="U498" s="17">
        <v>2.444</v>
      </c>
      <c r="V498" s="22">
        <f t="shared" si="123"/>
        <v>2.4119999999999999</v>
      </c>
      <c r="W498" s="34">
        <v>2.3330000000000002</v>
      </c>
      <c r="X498" s="34">
        <v>2.3119999999999998</v>
      </c>
      <c r="Y498" s="33">
        <f t="shared" si="124"/>
        <v>2.323</v>
      </c>
      <c r="Z498" s="17">
        <v>3.6999999999999998E-2</v>
      </c>
      <c r="AA498" s="17">
        <v>3.5999999999999997E-2</v>
      </c>
      <c r="AB498" s="21">
        <f t="shared" si="125"/>
        <v>3.6999999999999998E-2</v>
      </c>
      <c r="AC498" s="19">
        <v>2</v>
      </c>
      <c r="AD498" s="19">
        <v>2</v>
      </c>
      <c r="AE498" s="21">
        <f t="shared" si="126"/>
        <v>2</v>
      </c>
      <c r="AF498" s="19">
        <v>0.11600000000000001</v>
      </c>
      <c r="AG498" s="19">
        <v>0.113</v>
      </c>
      <c r="AH498" s="21">
        <f t="shared" si="127"/>
        <v>0.115</v>
      </c>
      <c r="AI498" s="30">
        <v>8.5000000000000006E-2</v>
      </c>
      <c r="AJ498" s="30">
        <v>8.1000000000000003E-2</v>
      </c>
      <c r="AK498" s="31">
        <f t="shared" si="128"/>
        <v>8.3000000000000004E-2</v>
      </c>
      <c r="AL498" s="30">
        <v>7.9000000000000001E-2</v>
      </c>
      <c r="AM498" s="30">
        <v>7.9000000000000001E-2</v>
      </c>
      <c r="AN498" s="31">
        <f t="shared" si="129"/>
        <v>7.9000000000000001E-2</v>
      </c>
      <c r="AO498" s="19">
        <v>13.097</v>
      </c>
      <c r="AP498" s="19">
        <v>13.085000000000001</v>
      </c>
      <c r="AQ498" s="21">
        <f t="shared" si="130"/>
        <v>13.090999999999999</v>
      </c>
      <c r="AR498" s="46">
        <v>5.9299999999999999E-2</v>
      </c>
      <c r="AS498" s="46">
        <v>5.9400000000000001E-2</v>
      </c>
      <c r="AT498" s="45">
        <f t="shared" si="131"/>
        <v>5.9400000000000001E-2</v>
      </c>
      <c r="AU498" s="3">
        <v>10.06</v>
      </c>
      <c r="AV498" s="97">
        <v>5.44</v>
      </c>
    </row>
    <row r="499" spans="1:48">
      <c r="A499" s="7" t="s">
        <v>27</v>
      </c>
      <c r="B499" s="5" t="s">
        <v>94</v>
      </c>
      <c r="C499" s="6" t="s">
        <v>95</v>
      </c>
      <c r="D499" s="6" t="s">
        <v>96</v>
      </c>
      <c r="E499" s="23">
        <v>19.8</v>
      </c>
      <c r="F499" s="23">
        <v>6.9</v>
      </c>
      <c r="G499" s="41">
        <v>158</v>
      </c>
      <c r="H499" s="23">
        <v>6.9</v>
      </c>
      <c r="I499" s="23">
        <v>0.9</v>
      </c>
      <c r="J499" s="23">
        <v>4.5999999999999996</v>
      </c>
      <c r="K499" s="37">
        <v>3.3</v>
      </c>
      <c r="L499" s="37">
        <v>3.3</v>
      </c>
      <c r="M499" s="37"/>
      <c r="N499" s="38">
        <f t="shared" si="121"/>
        <v>3.3</v>
      </c>
      <c r="O499" s="37">
        <v>3</v>
      </c>
      <c r="P499" s="37">
        <v>3</v>
      </c>
      <c r="Q499" s="36"/>
      <c r="R499" s="36"/>
      <c r="S499" s="38">
        <f t="shared" si="122"/>
        <v>3</v>
      </c>
      <c r="T499" s="17">
        <v>1.9159999999999999</v>
      </c>
      <c r="U499" s="17">
        <v>1.9330000000000001</v>
      </c>
      <c r="V499" s="22">
        <f t="shared" si="123"/>
        <v>1.925</v>
      </c>
      <c r="W499" s="34">
        <v>1.869</v>
      </c>
      <c r="X499" s="34">
        <v>1.8440000000000001</v>
      </c>
      <c r="Y499" s="33">
        <f t="shared" si="124"/>
        <v>1.857</v>
      </c>
      <c r="Z499" s="17">
        <v>2.5000000000000001E-2</v>
      </c>
      <c r="AA499" s="17">
        <v>2.4E-2</v>
      </c>
      <c r="AB499" s="21">
        <f t="shared" si="125"/>
        <v>2.5000000000000001E-2</v>
      </c>
      <c r="AC499" s="19">
        <v>1.577</v>
      </c>
      <c r="AD499" s="19">
        <v>1.57</v>
      </c>
      <c r="AE499" s="21">
        <f t="shared" si="126"/>
        <v>1.5740000000000001</v>
      </c>
      <c r="AF499" s="19">
        <v>0.114</v>
      </c>
      <c r="AG499" s="19">
        <v>0.111</v>
      </c>
      <c r="AH499" s="21">
        <f t="shared" si="127"/>
        <v>0.113</v>
      </c>
      <c r="AI499" s="30">
        <v>9.0999999999999998E-2</v>
      </c>
      <c r="AJ499" s="30">
        <v>0.09</v>
      </c>
      <c r="AK499" s="31">
        <f t="shared" si="128"/>
        <v>9.0999999999999998E-2</v>
      </c>
      <c r="AL499" s="30">
        <v>8.7999999999999995E-2</v>
      </c>
      <c r="AM499" s="30">
        <v>8.7999999999999995E-2</v>
      </c>
      <c r="AN499" s="31">
        <f t="shared" si="129"/>
        <v>8.7999999999999995E-2</v>
      </c>
      <c r="AO499" s="19">
        <v>8.5459999999999994</v>
      </c>
      <c r="AP499" s="19">
        <v>8.5399999999999991</v>
      </c>
      <c r="AQ499" s="21">
        <f t="shared" si="130"/>
        <v>8.5429999999999993</v>
      </c>
      <c r="AR499" s="46">
        <v>8.5099999999999995E-2</v>
      </c>
      <c r="AS499" s="46">
        <v>8.5400000000000004E-2</v>
      </c>
      <c r="AT499" s="45">
        <f t="shared" si="131"/>
        <v>8.5300000000000001E-2</v>
      </c>
      <c r="AU499" s="3">
        <v>9.86</v>
      </c>
      <c r="AV499" s="1">
        <v>3.42</v>
      </c>
    </row>
    <row r="500" spans="1:48">
      <c r="A500" s="7" t="s">
        <v>28</v>
      </c>
      <c r="B500" s="5" t="s">
        <v>97</v>
      </c>
      <c r="C500" s="6" t="s">
        <v>98</v>
      </c>
      <c r="D500" s="6" t="s">
        <v>36</v>
      </c>
      <c r="E500" s="23">
        <v>20.7</v>
      </c>
      <c r="F500" s="23">
        <v>6.8</v>
      </c>
      <c r="G500" s="41">
        <v>214</v>
      </c>
      <c r="H500" s="23">
        <v>8.3000000000000007</v>
      </c>
      <c r="I500" s="23">
        <v>2.2000000000000002</v>
      </c>
      <c r="J500" s="23">
        <v>4</v>
      </c>
      <c r="K500" s="37">
        <v>2.9</v>
      </c>
      <c r="L500" s="37">
        <v>2.8</v>
      </c>
      <c r="M500" s="37"/>
      <c r="N500" s="38">
        <f t="shared" si="121"/>
        <v>2.9</v>
      </c>
      <c r="O500" s="37">
        <v>2.5</v>
      </c>
      <c r="P500" s="37">
        <v>2.4</v>
      </c>
      <c r="Q500" s="36"/>
      <c r="R500" s="36"/>
      <c r="S500" s="38">
        <f t="shared" si="122"/>
        <v>2.5</v>
      </c>
      <c r="T500" s="17">
        <v>2.2610000000000001</v>
      </c>
      <c r="U500" s="17">
        <v>2.254</v>
      </c>
      <c r="V500" s="22">
        <f t="shared" si="123"/>
        <v>2.258</v>
      </c>
      <c r="W500" s="34">
        <v>2.14</v>
      </c>
      <c r="X500" s="34">
        <v>2.1429999999999998</v>
      </c>
      <c r="Y500" s="33">
        <f t="shared" si="124"/>
        <v>2.1419999999999999</v>
      </c>
      <c r="Z500" s="17">
        <v>2.7E-2</v>
      </c>
      <c r="AA500" s="17">
        <v>2.7E-2</v>
      </c>
      <c r="AB500" s="21">
        <f t="shared" si="125"/>
        <v>2.7E-2</v>
      </c>
      <c r="AC500" s="19">
        <v>1.86</v>
      </c>
      <c r="AD500" s="19">
        <v>1.851</v>
      </c>
      <c r="AE500" s="21">
        <f t="shared" si="126"/>
        <v>1.8560000000000001</v>
      </c>
      <c r="AF500" s="19">
        <v>0.11</v>
      </c>
      <c r="AG500" s="19">
        <v>0.109</v>
      </c>
      <c r="AH500" s="21">
        <f t="shared" si="127"/>
        <v>0.11</v>
      </c>
      <c r="AI500" s="30">
        <v>6.7000000000000004E-2</v>
      </c>
      <c r="AJ500" s="30">
        <v>7.0999999999999994E-2</v>
      </c>
      <c r="AK500" s="31">
        <f t="shared" si="128"/>
        <v>6.9000000000000006E-2</v>
      </c>
      <c r="AL500" s="30">
        <v>6.6000000000000003E-2</v>
      </c>
      <c r="AM500" s="30">
        <v>6.9000000000000006E-2</v>
      </c>
      <c r="AN500" s="31">
        <f t="shared" si="129"/>
        <v>6.8000000000000005E-2</v>
      </c>
      <c r="AO500" s="19">
        <v>11.958</v>
      </c>
      <c r="AP500" s="19">
        <v>11.98</v>
      </c>
      <c r="AQ500" s="21">
        <f t="shared" si="130"/>
        <v>11.968999999999999</v>
      </c>
      <c r="AR500" s="46">
        <v>5.9900000000000002E-2</v>
      </c>
      <c r="AS500" s="46">
        <v>5.9499999999999997E-2</v>
      </c>
      <c r="AT500" s="45">
        <f t="shared" si="131"/>
        <v>5.9700000000000003E-2</v>
      </c>
      <c r="AU500" s="3">
        <v>10.16</v>
      </c>
      <c r="AV500" s="97">
        <v>5.15</v>
      </c>
    </row>
    <row r="501" spans="1:48">
      <c r="A501" s="7" t="s">
        <v>29</v>
      </c>
      <c r="B501" s="5" t="s">
        <v>99</v>
      </c>
      <c r="C501" s="6" t="s">
        <v>44</v>
      </c>
      <c r="D501" s="6" t="s">
        <v>100</v>
      </c>
      <c r="E501" s="23">
        <v>19.2</v>
      </c>
      <c r="F501" s="23">
        <v>6.6</v>
      </c>
      <c r="G501" s="41">
        <v>143</v>
      </c>
      <c r="H501" s="23">
        <v>6.8</v>
      </c>
      <c r="I501" s="23">
        <v>2.6</v>
      </c>
      <c r="J501" s="23">
        <v>6.1</v>
      </c>
      <c r="K501" s="37">
        <v>5.0999999999999996</v>
      </c>
      <c r="L501" s="37">
        <v>4.7</v>
      </c>
      <c r="M501" s="37"/>
      <c r="N501" s="38">
        <f t="shared" si="121"/>
        <v>4.9000000000000004</v>
      </c>
      <c r="O501" s="37">
        <v>3.5</v>
      </c>
      <c r="P501" s="37">
        <v>3.5</v>
      </c>
      <c r="Q501" s="36"/>
      <c r="R501" s="36"/>
      <c r="S501" s="38">
        <f t="shared" si="122"/>
        <v>3.5</v>
      </c>
      <c r="T501" s="17">
        <v>2.5960000000000001</v>
      </c>
      <c r="U501" s="17">
        <v>2.548</v>
      </c>
      <c r="V501" s="22">
        <f t="shared" si="123"/>
        <v>2.5720000000000001</v>
      </c>
      <c r="W501" s="34">
        <v>2.3660000000000001</v>
      </c>
      <c r="X501" s="34">
        <v>2.3719999999999999</v>
      </c>
      <c r="Y501" s="33">
        <f t="shared" si="124"/>
        <v>2.3690000000000002</v>
      </c>
      <c r="Z501" s="17">
        <v>0.34200000000000003</v>
      </c>
      <c r="AA501" s="17">
        <v>0.34599999999999997</v>
      </c>
      <c r="AB501" s="21">
        <f t="shared" si="125"/>
        <v>0.34399999999999997</v>
      </c>
      <c r="AC501" s="19">
        <v>1.621</v>
      </c>
      <c r="AD501" s="19">
        <v>1.62</v>
      </c>
      <c r="AE501" s="21">
        <f t="shared" si="126"/>
        <v>1.621</v>
      </c>
      <c r="AF501" s="19">
        <v>0.40699999999999997</v>
      </c>
      <c r="AG501" s="19">
        <v>0.40200000000000002</v>
      </c>
      <c r="AH501" s="21">
        <f t="shared" si="127"/>
        <v>0.40500000000000003</v>
      </c>
      <c r="AI501" s="30">
        <v>0.27900000000000003</v>
      </c>
      <c r="AJ501" s="30">
        <v>0.28899999999999998</v>
      </c>
      <c r="AK501" s="31">
        <f t="shared" si="128"/>
        <v>0.28399999999999997</v>
      </c>
      <c r="AL501" s="30">
        <v>0.27800000000000002</v>
      </c>
      <c r="AM501" s="30">
        <v>0.28599999999999998</v>
      </c>
      <c r="AN501" s="31">
        <f t="shared" si="129"/>
        <v>0.28199999999999997</v>
      </c>
      <c r="AO501" s="19">
        <v>6.782</v>
      </c>
      <c r="AP501" s="19">
        <v>6.7910000000000004</v>
      </c>
      <c r="AQ501" s="21">
        <f t="shared" si="130"/>
        <v>6.7869999999999999</v>
      </c>
      <c r="AR501" s="46">
        <v>0.11119999999999999</v>
      </c>
      <c r="AS501" s="46">
        <v>0.11219999999999999</v>
      </c>
      <c r="AT501" s="45">
        <f t="shared" si="131"/>
        <v>0.11169999999999999</v>
      </c>
      <c r="AU501" s="3">
        <v>8.08</v>
      </c>
      <c r="AV501" s="1">
        <v>3.15</v>
      </c>
    </row>
    <row r="502" spans="1:48">
      <c r="A502" s="7" t="s">
        <v>30</v>
      </c>
      <c r="B502" s="5" t="s">
        <v>101</v>
      </c>
      <c r="C502" s="6" t="s">
        <v>44</v>
      </c>
      <c r="D502" s="6" t="s">
        <v>160</v>
      </c>
      <c r="E502" s="23">
        <v>19.899999999999999</v>
      </c>
      <c r="F502" s="23">
        <v>6.7</v>
      </c>
      <c r="G502" s="41">
        <v>171</v>
      </c>
      <c r="H502" s="23">
        <v>8.1</v>
      </c>
      <c r="I502" s="23">
        <v>3.4</v>
      </c>
      <c r="J502" s="23">
        <v>6.3</v>
      </c>
      <c r="K502" s="37">
        <v>5.2</v>
      </c>
      <c r="L502" s="37">
        <v>5.3</v>
      </c>
      <c r="M502" s="37"/>
      <c r="N502" s="38">
        <f t="shared" si="121"/>
        <v>5.3</v>
      </c>
      <c r="O502" s="37">
        <v>3.4</v>
      </c>
      <c r="P502" s="37">
        <v>3.3</v>
      </c>
      <c r="Q502" s="36"/>
      <c r="R502" s="36"/>
      <c r="S502" s="38">
        <f t="shared" si="122"/>
        <v>3.4</v>
      </c>
      <c r="T502" s="17">
        <v>2.5390000000000001</v>
      </c>
      <c r="U502" s="17">
        <v>2.5649999999999999</v>
      </c>
      <c r="V502" s="22">
        <f t="shared" si="123"/>
        <v>2.552</v>
      </c>
      <c r="W502" s="34">
        <v>2.254</v>
      </c>
      <c r="X502" s="34">
        <v>2.2440000000000002</v>
      </c>
      <c r="Y502" s="33">
        <f t="shared" si="124"/>
        <v>2.2490000000000001</v>
      </c>
      <c r="Z502" s="17">
        <v>0.40100000000000002</v>
      </c>
      <c r="AA502" s="17">
        <v>0.4</v>
      </c>
      <c r="AB502" s="21">
        <f t="shared" si="125"/>
        <v>0.40100000000000002</v>
      </c>
      <c r="AC502" s="19">
        <v>1.4690000000000001</v>
      </c>
      <c r="AD502" s="19">
        <v>1.458</v>
      </c>
      <c r="AE502" s="21">
        <f t="shared" si="126"/>
        <v>1.464</v>
      </c>
      <c r="AF502" s="19">
        <v>0.28100000000000003</v>
      </c>
      <c r="AG502" s="19">
        <v>0.28499999999999998</v>
      </c>
      <c r="AH502" s="21">
        <f t="shared" si="127"/>
        <v>0.28299999999999997</v>
      </c>
      <c r="AI502" s="30">
        <v>0.122</v>
      </c>
      <c r="AJ502" s="30">
        <v>0.11899999999999999</v>
      </c>
      <c r="AK502" s="31">
        <f t="shared" si="128"/>
        <v>0.121</v>
      </c>
      <c r="AL502" s="30">
        <v>0.113</v>
      </c>
      <c r="AM502" s="30">
        <v>0.111</v>
      </c>
      <c r="AN502" s="31">
        <f t="shared" si="129"/>
        <v>0.112</v>
      </c>
      <c r="AO502" s="19">
        <v>16.105</v>
      </c>
      <c r="AP502" s="19">
        <v>16.158999999999999</v>
      </c>
      <c r="AQ502" s="21">
        <f t="shared" si="130"/>
        <v>16.132000000000001</v>
      </c>
      <c r="AR502" s="46">
        <v>0.1052</v>
      </c>
      <c r="AS502" s="46">
        <v>0.1051</v>
      </c>
      <c r="AT502" s="45">
        <f t="shared" si="131"/>
        <v>0.1052</v>
      </c>
      <c r="AU502" s="3">
        <v>6.94</v>
      </c>
      <c r="AV502" s="1">
        <v>5.23</v>
      </c>
    </row>
    <row r="503" spans="1:48">
      <c r="A503" s="7" t="s">
        <v>31</v>
      </c>
      <c r="B503" s="5" t="s">
        <v>102</v>
      </c>
      <c r="C503" s="6" t="s">
        <v>103</v>
      </c>
      <c r="D503" s="6" t="s">
        <v>36</v>
      </c>
      <c r="E503" s="23">
        <v>20.8</v>
      </c>
      <c r="F503" s="23">
        <v>6.9</v>
      </c>
      <c r="G503" s="41">
        <v>203</v>
      </c>
      <c r="H503" s="23">
        <v>8.8000000000000007</v>
      </c>
      <c r="I503" s="23">
        <v>1.6</v>
      </c>
      <c r="J503" s="23">
        <v>3.8</v>
      </c>
      <c r="K503" s="37">
        <v>3</v>
      </c>
      <c r="L503" s="37">
        <v>2.7</v>
      </c>
      <c r="M503" s="37"/>
      <c r="N503" s="38">
        <f t="shared" si="121"/>
        <v>2.9</v>
      </c>
      <c r="O503" s="37">
        <v>2.2999999999999998</v>
      </c>
      <c r="P503" s="37">
        <v>2.2999999999999998</v>
      </c>
      <c r="Q503" s="36"/>
      <c r="R503" s="36"/>
      <c r="S503" s="38">
        <f t="shared" si="122"/>
        <v>2.2999999999999998</v>
      </c>
      <c r="T503" s="17">
        <v>2.1019999999999999</v>
      </c>
      <c r="U503" s="17">
        <v>2.0859999999999999</v>
      </c>
      <c r="V503" s="22">
        <f t="shared" si="123"/>
        <v>2.0939999999999999</v>
      </c>
      <c r="W503" s="34">
        <v>2.0150000000000001</v>
      </c>
      <c r="X503" s="34">
        <v>2.0110000000000001</v>
      </c>
      <c r="Y503" s="33">
        <f t="shared" si="124"/>
        <v>2.0129999999999999</v>
      </c>
      <c r="Z503" s="17">
        <v>0.03</v>
      </c>
      <c r="AA503" s="17">
        <v>2.8000000000000001E-2</v>
      </c>
      <c r="AB503" s="21">
        <f t="shared" si="125"/>
        <v>2.9000000000000001E-2</v>
      </c>
      <c r="AC503" s="19">
        <v>1.7190000000000001</v>
      </c>
      <c r="AD503" s="19">
        <v>1.7150000000000001</v>
      </c>
      <c r="AE503" s="21">
        <f t="shared" si="126"/>
        <v>1.7170000000000001</v>
      </c>
      <c r="AF503" s="19">
        <v>0.11</v>
      </c>
      <c r="AG503" s="19">
        <v>0.106</v>
      </c>
      <c r="AH503" s="21">
        <f t="shared" si="127"/>
        <v>0.108</v>
      </c>
      <c r="AI503" s="30">
        <v>6.4000000000000001E-2</v>
      </c>
      <c r="AJ503" s="30">
        <v>6.2E-2</v>
      </c>
      <c r="AK503" s="31">
        <f t="shared" si="128"/>
        <v>6.3E-2</v>
      </c>
      <c r="AL503" s="30">
        <v>6.2E-2</v>
      </c>
      <c r="AM503" s="30">
        <v>6.0999999999999999E-2</v>
      </c>
      <c r="AN503" s="31">
        <f t="shared" si="129"/>
        <v>6.2E-2</v>
      </c>
      <c r="AO503" s="19">
        <v>11.494</v>
      </c>
      <c r="AP503" s="19">
        <v>11.509</v>
      </c>
      <c r="AQ503" s="21">
        <f t="shared" si="130"/>
        <v>11.502000000000001</v>
      </c>
      <c r="AR503" s="46">
        <v>5.9400000000000001E-2</v>
      </c>
      <c r="AS503" s="46">
        <v>5.8599999999999999E-2</v>
      </c>
      <c r="AT503" s="45">
        <f t="shared" si="131"/>
        <v>5.8999999999999997E-2</v>
      </c>
      <c r="AU503" s="3">
        <v>10.95</v>
      </c>
      <c r="AV503" s="97">
        <v>6.71</v>
      </c>
    </row>
    <row r="504" spans="1:48">
      <c r="A504" s="7" t="s">
        <v>32</v>
      </c>
      <c r="B504" s="5" t="s">
        <v>104</v>
      </c>
      <c r="C504" s="6" t="s">
        <v>44</v>
      </c>
      <c r="D504" s="6" t="s">
        <v>105</v>
      </c>
      <c r="E504" s="23">
        <v>20.2</v>
      </c>
      <c r="F504" s="23">
        <v>7.2</v>
      </c>
      <c r="G504" s="41">
        <v>197</v>
      </c>
      <c r="H504" s="23">
        <v>7.9</v>
      </c>
      <c r="I504" s="23">
        <v>2.5</v>
      </c>
      <c r="J504" s="23">
        <v>6.6</v>
      </c>
      <c r="K504" s="37">
        <v>5.2</v>
      </c>
      <c r="L504" s="37">
        <v>5.4</v>
      </c>
      <c r="M504" s="37"/>
      <c r="N504" s="38">
        <f t="shared" si="121"/>
        <v>5.3</v>
      </c>
      <c r="O504" s="37">
        <v>4.3</v>
      </c>
      <c r="P504" s="37">
        <v>4.0999999999999996</v>
      </c>
      <c r="Q504" s="36"/>
      <c r="R504" s="36"/>
      <c r="S504" s="38">
        <f t="shared" si="122"/>
        <v>4.2</v>
      </c>
      <c r="T504" s="17">
        <v>2.1930000000000001</v>
      </c>
      <c r="U504" s="17">
        <v>2.226</v>
      </c>
      <c r="V504" s="22">
        <f t="shared" si="123"/>
        <v>2.21</v>
      </c>
      <c r="W504" s="34">
        <v>1.992</v>
      </c>
      <c r="X504" s="34">
        <v>1.972</v>
      </c>
      <c r="Y504" s="33">
        <f t="shared" si="124"/>
        <v>1.982</v>
      </c>
      <c r="Z504" s="17">
        <v>6.5000000000000002E-2</v>
      </c>
      <c r="AA504" s="17">
        <v>6.5000000000000002E-2</v>
      </c>
      <c r="AB504" s="21">
        <f t="shared" si="125"/>
        <v>6.5000000000000002E-2</v>
      </c>
      <c r="AC504" s="19">
        <v>1.591</v>
      </c>
      <c r="AD504" s="19">
        <v>1.59</v>
      </c>
      <c r="AE504" s="21">
        <f t="shared" si="126"/>
        <v>1.591</v>
      </c>
      <c r="AF504" s="19">
        <v>0.245</v>
      </c>
      <c r="AG504" s="19">
        <v>0.24099999999999999</v>
      </c>
      <c r="AH504" s="21">
        <f t="shared" si="127"/>
        <v>0.24299999999999999</v>
      </c>
      <c r="AI504" s="30">
        <v>0.14599999999999999</v>
      </c>
      <c r="AJ504" s="30">
        <v>0.14399999999999999</v>
      </c>
      <c r="AK504" s="31">
        <f t="shared" si="128"/>
        <v>0.14499999999999999</v>
      </c>
      <c r="AL504" s="30">
        <v>0.14000000000000001</v>
      </c>
      <c r="AM504" s="30">
        <v>0.14000000000000001</v>
      </c>
      <c r="AN504" s="31">
        <f t="shared" si="129"/>
        <v>0.14000000000000001</v>
      </c>
      <c r="AO504" s="19">
        <v>12.847</v>
      </c>
      <c r="AP504" s="19">
        <v>12.881</v>
      </c>
      <c r="AQ504" s="21">
        <f t="shared" si="130"/>
        <v>12.864000000000001</v>
      </c>
      <c r="AR504" s="46">
        <v>0.1439</v>
      </c>
      <c r="AS504" s="46">
        <v>0.14430000000000001</v>
      </c>
      <c r="AT504" s="45">
        <f t="shared" si="131"/>
        <v>0.14410000000000001</v>
      </c>
      <c r="AU504" s="3">
        <v>8.7799999999999994</v>
      </c>
      <c r="AV504" s="1">
        <v>2.95</v>
      </c>
    </row>
    <row r="505" spans="1:48">
      <c r="A505" s="7" t="s">
        <v>33</v>
      </c>
      <c r="B505" s="5" t="s">
        <v>106</v>
      </c>
      <c r="C505" s="6" t="s">
        <v>107</v>
      </c>
      <c r="D505" s="6" t="s">
        <v>36</v>
      </c>
      <c r="E505" s="23">
        <v>20.8</v>
      </c>
      <c r="F505" s="23">
        <v>7.1</v>
      </c>
      <c r="G505" s="41">
        <v>207</v>
      </c>
      <c r="H505" s="23">
        <v>8.8000000000000007</v>
      </c>
      <c r="I505" s="23">
        <v>2.4</v>
      </c>
      <c r="J505" s="23">
        <v>5.2</v>
      </c>
      <c r="K505" s="37">
        <v>4.0999999999999996</v>
      </c>
      <c r="L505" s="37">
        <v>4</v>
      </c>
      <c r="M505" s="37"/>
      <c r="N505" s="38">
        <f t="shared" si="121"/>
        <v>4.0999999999999996</v>
      </c>
      <c r="O505" s="37">
        <v>2.7</v>
      </c>
      <c r="P505" s="37">
        <v>2.5</v>
      </c>
      <c r="Q505" s="36"/>
      <c r="R505" s="36"/>
      <c r="S505" s="38">
        <f t="shared" si="122"/>
        <v>2.6</v>
      </c>
      <c r="T505" s="17">
        <v>2.5870000000000002</v>
      </c>
      <c r="U505" s="17">
        <v>2.5449999999999999</v>
      </c>
      <c r="V505" s="22">
        <f t="shared" si="123"/>
        <v>2.5659999999999998</v>
      </c>
      <c r="W505" s="34">
        <v>2.3679999999999999</v>
      </c>
      <c r="X505" s="34">
        <v>2.3650000000000002</v>
      </c>
      <c r="Y505" s="33">
        <f t="shared" si="124"/>
        <v>2.367</v>
      </c>
      <c r="Z505" s="17">
        <v>8.6999999999999994E-2</v>
      </c>
      <c r="AA505" s="17">
        <v>8.7999999999999995E-2</v>
      </c>
      <c r="AB505" s="21">
        <f t="shared" si="125"/>
        <v>8.7999999999999995E-2</v>
      </c>
      <c r="AC505" s="19">
        <v>1.9530000000000001</v>
      </c>
      <c r="AD505" s="19">
        <v>1.9530000000000001</v>
      </c>
      <c r="AE505" s="21">
        <f t="shared" si="126"/>
        <v>1.9530000000000001</v>
      </c>
      <c r="AF505" s="19">
        <v>0.161</v>
      </c>
      <c r="AG505" s="19">
        <v>0.159</v>
      </c>
      <c r="AH505" s="21">
        <f t="shared" si="127"/>
        <v>0.16</v>
      </c>
      <c r="AI505" s="30">
        <v>0.08</v>
      </c>
      <c r="AJ505" s="30">
        <v>7.9000000000000001E-2</v>
      </c>
      <c r="AK505" s="31">
        <f t="shared" si="128"/>
        <v>0.08</v>
      </c>
      <c r="AL505" s="30">
        <v>7.5999999999999998E-2</v>
      </c>
      <c r="AM505" s="30">
        <v>7.3999999999999996E-2</v>
      </c>
      <c r="AN505" s="31">
        <f t="shared" si="129"/>
        <v>7.4999999999999997E-2</v>
      </c>
      <c r="AO505" s="19">
        <v>14.86</v>
      </c>
      <c r="AP505" s="19">
        <v>14.929</v>
      </c>
      <c r="AQ505" s="21">
        <f t="shared" si="130"/>
        <v>14.895</v>
      </c>
      <c r="AR505" s="46">
        <v>7.0699999999999999E-2</v>
      </c>
      <c r="AS505" s="46">
        <v>7.0099999999999996E-2</v>
      </c>
      <c r="AT505" s="45">
        <f t="shared" si="131"/>
        <v>7.0400000000000004E-2</v>
      </c>
      <c r="AU505" s="3">
        <v>10.64</v>
      </c>
      <c r="AV505" s="97">
        <v>4.3099999999999996</v>
      </c>
    </row>
    <row r="506" spans="1:48">
      <c r="A506" s="7" t="s">
        <v>137</v>
      </c>
      <c r="B506" s="5" t="s">
        <v>138</v>
      </c>
      <c r="C506" s="6"/>
      <c r="D506" s="6"/>
      <c r="E506" s="23">
        <v>22.5</v>
      </c>
      <c r="F506" s="23">
        <v>6.9</v>
      </c>
      <c r="G506" s="41">
        <v>307</v>
      </c>
      <c r="H506" s="23">
        <v>8.6999999999999993</v>
      </c>
      <c r="I506" s="23">
        <v>7</v>
      </c>
      <c r="J506" s="23">
        <v>9.3000000000000007</v>
      </c>
      <c r="K506" s="37">
        <v>5.6</v>
      </c>
      <c r="L506" s="37">
        <v>6</v>
      </c>
      <c r="M506" s="37"/>
      <c r="N506" s="38">
        <f t="shared" si="121"/>
        <v>5.8</v>
      </c>
      <c r="O506" s="37">
        <v>3.8</v>
      </c>
      <c r="P506" s="37">
        <v>3.6</v>
      </c>
      <c r="Q506" s="36"/>
      <c r="R506" s="36"/>
      <c r="S506" s="38">
        <f t="shared" si="122"/>
        <v>3.7</v>
      </c>
      <c r="T506" s="17">
        <v>7.2030000000000003</v>
      </c>
      <c r="U506" s="17">
        <v>7.157</v>
      </c>
      <c r="V506" s="22">
        <f t="shared" si="123"/>
        <v>7.18</v>
      </c>
      <c r="W506" s="34">
        <v>6.6719999999999997</v>
      </c>
      <c r="X506" s="34">
        <v>6.6769999999999996</v>
      </c>
      <c r="Y506" s="33">
        <f t="shared" si="124"/>
        <v>6.6749999999999998</v>
      </c>
      <c r="Z506" s="17">
        <v>1.7809999999999999</v>
      </c>
      <c r="AA506" s="17">
        <v>1.7849999999999999</v>
      </c>
      <c r="AB506" s="21">
        <f t="shared" si="125"/>
        <v>1.7829999999999999</v>
      </c>
      <c r="AC506" s="19">
        <v>4.2039999999999997</v>
      </c>
      <c r="AD506" s="19">
        <v>4.2119999999999997</v>
      </c>
      <c r="AE506" s="21">
        <f t="shared" si="126"/>
        <v>4.2080000000000002</v>
      </c>
      <c r="AF506" s="19">
        <v>0.33600000000000002</v>
      </c>
      <c r="AG506" s="19">
        <v>0.34</v>
      </c>
      <c r="AH506" s="21">
        <f t="shared" si="127"/>
        <v>0.33800000000000002</v>
      </c>
      <c r="AI506" s="30">
        <v>0.152</v>
      </c>
      <c r="AJ506" s="30">
        <v>0.15</v>
      </c>
      <c r="AK506" s="31">
        <f t="shared" si="128"/>
        <v>0.151</v>
      </c>
      <c r="AL506" s="30">
        <v>0.14399999999999999</v>
      </c>
      <c r="AM506" s="30">
        <v>0.14000000000000001</v>
      </c>
      <c r="AN506" s="31">
        <f t="shared" si="129"/>
        <v>0.14199999999999999</v>
      </c>
      <c r="AO506" s="19">
        <v>33.35</v>
      </c>
      <c r="AP506" s="19">
        <v>33.453000000000003</v>
      </c>
      <c r="AQ506" s="21">
        <f t="shared" si="130"/>
        <v>33.402000000000001</v>
      </c>
      <c r="AR506" s="46">
        <v>7.5499999999999998E-2</v>
      </c>
      <c r="AS506" s="46">
        <v>7.5600000000000001E-2</v>
      </c>
      <c r="AT506" s="45">
        <f t="shared" si="131"/>
        <v>7.5600000000000001E-2</v>
      </c>
      <c r="AU506" s="3">
        <v>12.15</v>
      </c>
      <c r="AV506" s="88">
        <v>-0.53</v>
      </c>
    </row>
    <row r="507" spans="1:48" s="1" customFormat="1">
      <c r="A507" s="71" t="s">
        <v>118</v>
      </c>
      <c r="B507" s="73" t="s">
        <v>119</v>
      </c>
      <c r="C507" s="74" t="s">
        <v>120</v>
      </c>
      <c r="D507" s="74" t="s">
        <v>121</v>
      </c>
      <c r="E507" s="73" t="s">
        <v>122</v>
      </c>
      <c r="F507" s="73"/>
      <c r="G507" s="73"/>
      <c r="H507" s="73"/>
      <c r="I507" s="69" t="s">
        <v>123</v>
      </c>
      <c r="J507" s="79" t="s">
        <v>133</v>
      </c>
      <c r="K507" s="76" t="s">
        <v>124</v>
      </c>
      <c r="L507" s="77"/>
      <c r="M507" s="77"/>
      <c r="N507" s="78"/>
      <c r="O507" s="76" t="s">
        <v>125</v>
      </c>
      <c r="P507" s="77"/>
      <c r="Q507" s="78"/>
      <c r="R507" s="76" t="s">
        <v>135</v>
      </c>
      <c r="S507" s="77"/>
      <c r="T507" s="78"/>
      <c r="U507" s="76" t="s">
        <v>126</v>
      </c>
      <c r="V507" s="77"/>
      <c r="W507" s="78"/>
      <c r="X507" s="76" t="s">
        <v>127</v>
      </c>
      <c r="Y507" s="77"/>
      <c r="Z507" s="78"/>
      <c r="AA507" s="76" t="s">
        <v>128</v>
      </c>
      <c r="AB507" s="77"/>
      <c r="AC507" s="78"/>
      <c r="AD507" s="76" t="s">
        <v>129</v>
      </c>
      <c r="AE507" s="77"/>
      <c r="AF507" s="78"/>
      <c r="AG507" s="76" t="s">
        <v>130</v>
      </c>
      <c r="AH507" s="77"/>
      <c r="AI507" s="78"/>
      <c r="AJ507" s="76" t="s">
        <v>131</v>
      </c>
      <c r="AK507" s="77"/>
      <c r="AL507" s="78"/>
      <c r="AM507" s="76" t="s">
        <v>132</v>
      </c>
      <c r="AN507" s="77"/>
      <c r="AO507" s="78"/>
      <c r="AP507" s="76" t="s">
        <v>134</v>
      </c>
      <c r="AQ507" s="77"/>
      <c r="AR507" s="78"/>
    </row>
    <row r="508" spans="1:48" s="1" customFormat="1" ht="17.25" thickBot="1">
      <c r="A508" s="72"/>
      <c r="B508" s="70"/>
      <c r="C508" s="75"/>
      <c r="D508" s="75"/>
      <c r="E508" s="12" t="s">
        <v>111</v>
      </c>
      <c r="F508" s="12" t="s">
        <v>110</v>
      </c>
      <c r="G508" s="12" t="s">
        <v>113</v>
      </c>
      <c r="H508" s="12" t="s">
        <v>112</v>
      </c>
      <c r="I508" s="70"/>
      <c r="J508" s="80"/>
      <c r="K508" s="13" t="s">
        <v>115</v>
      </c>
      <c r="L508" s="13" t="s">
        <v>116</v>
      </c>
      <c r="M508" s="13" t="s">
        <v>117</v>
      </c>
      <c r="N508" s="12" t="s">
        <v>114</v>
      </c>
      <c r="O508" s="13" t="s">
        <v>115</v>
      </c>
      <c r="P508" s="13" t="s">
        <v>116</v>
      </c>
      <c r="Q508" s="12" t="s">
        <v>114</v>
      </c>
      <c r="R508" s="13" t="s">
        <v>115</v>
      </c>
      <c r="S508" s="13" t="s">
        <v>116</v>
      </c>
      <c r="T508" s="12" t="s">
        <v>114</v>
      </c>
      <c r="U508" s="13" t="s">
        <v>115</v>
      </c>
      <c r="V508" s="13" t="s">
        <v>116</v>
      </c>
      <c r="W508" s="12" t="s">
        <v>114</v>
      </c>
      <c r="X508" s="13" t="s">
        <v>115</v>
      </c>
      <c r="Y508" s="13" t="s">
        <v>116</v>
      </c>
      <c r="Z508" s="12" t="s">
        <v>114</v>
      </c>
      <c r="AA508" s="13" t="s">
        <v>115</v>
      </c>
      <c r="AB508" s="13" t="s">
        <v>116</v>
      </c>
      <c r="AC508" s="12" t="s">
        <v>114</v>
      </c>
      <c r="AD508" s="13" t="s">
        <v>115</v>
      </c>
      <c r="AE508" s="13" t="s">
        <v>116</v>
      </c>
      <c r="AF508" s="12" t="s">
        <v>114</v>
      </c>
      <c r="AG508" s="13" t="s">
        <v>115</v>
      </c>
      <c r="AH508" s="13" t="s">
        <v>116</v>
      </c>
      <c r="AI508" s="12" t="s">
        <v>114</v>
      </c>
      <c r="AJ508" s="13" t="s">
        <v>115</v>
      </c>
      <c r="AK508" s="13" t="s">
        <v>116</v>
      </c>
      <c r="AL508" s="12" t="s">
        <v>114</v>
      </c>
      <c r="AM508" s="13" t="s">
        <v>115</v>
      </c>
      <c r="AN508" s="13" t="s">
        <v>116</v>
      </c>
      <c r="AO508" s="12" t="s">
        <v>114</v>
      </c>
      <c r="AP508" s="13" t="s">
        <v>115</v>
      </c>
      <c r="AQ508" s="13" t="s">
        <v>116</v>
      </c>
      <c r="AR508" s="12" t="s">
        <v>114</v>
      </c>
      <c r="AS508" s="1" t="s">
        <v>166</v>
      </c>
      <c r="AT508" s="1" t="s">
        <v>167</v>
      </c>
    </row>
    <row r="509" spans="1:48">
      <c r="A509" s="8" t="s">
        <v>136</v>
      </c>
      <c r="B509" s="9" t="s">
        <v>34</v>
      </c>
      <c r="C509" s="10" t="s">
        <v>35</v>
      </c>
      <c r="D509" s="10" t="s">
        <v>36</v>
      </c>
      <c r="E509" s="20">
        <v>12.9</v>
      </c>
      <c r="F509" s="20">
        <v>7.7</v>
      </c>
      <c r="G509" s="40">
        <v>134</v>
      </c>
      <c r="H509" s="11">
        <v>10.9</v>
      </c>
      <c r="I509" s="20">
        <v>0.5</v>
      </c>
      <c r="J509" s="20">
        <v>1.9</v>
      </c>
      <c r="K509" s="14">
        <v>1.2</v>
      </c>
      <c r="L509" s="14">
        <v>1.3</v>
      </c>
      <c r="M509" s="14"/>
      <c r="N509" s="20">
        <f>ROUND(AVERAGE(K509:M509),1)</f>
        <v>1.3</v>
      </c>
      <c r="O509" s="36">
        <v>1.1000000000000001</v>
      </c>
      <c r="P509" s="36">
        <v>1</v>
      </c>
      <c r="Q509" s="38">
        <f>ROUND(AVERAGE(O509:P509),1)</f>
        <v>1.1000000000000001</v>
      </c>
      <c r="R509" s="16">
        <v>0.83199999999999996</v>
      </c>
      <c r="S509" s="16">
        <v>0.82899999999999996</v>
      </c>
      <c r="T509" s="22">
        <f>ROUND(AVERAGE(R509:S509),3)</f>
        <v>0.83099999999999996</v>
      </c>
      <c r="U509" s="16">
        <v>0.82599999999999996</v>
      </c>
      <c r="V509" s="16">
        <v>0.82699999999999996</v>
      </c>
      <c r="W509" s="22">
        <f>ROUND(AVERAGE(U509:V509),3)</f>
        <v>0.82699999999999996</v>
      </c>
      <c r="X509" s="16">
        <v>2.4E-2</v>
      </c>
      <c r="Y509" s="16">
        <v>2.4E-2</v>
      </c>
      <c r="Z509" s="21">
        <f>ROUND(AVERAGE(X509:Y509),3)</f>
        <v>2.4E-2</v>
      </c>
      <c r="AA509" s="18">
        <v>0.61199999999999999</v>
      </c>
      <c r="AB509" s="18">
        <v>0.60799999999999998</v>
      </c>
      <c r="AC509" s="21">
        <f>ROUND(AVERAGE(AA509:AB509),3)</f>
        <v>0.61</v>
      </c>
      <c r="AD509" s="18">
        <v>1.4E-2</v>
      </c>
      <c r="AE509" s="18">
        <v>1.7000000000000001E-2</v>
      </c>
      <c r="AF509" s="21">
        <f>ROUND(AVERAGE(AD509:AE509),3)</f>
        <v>1.6E-2</v>
      </c>
      <c r="AG509" s="18">
        <v>1.2E-2</v>
      </c>
      <c r="AH509" s="18">
        <v>8.0000000000000002E-3</v>
      </c>
      <c r="AI509" s="21">
        <f>ROUND(AVERAGE(AG509:AH509),3)</f>
        <v>0.01</v>
      </c>
      <c r="AJ509" s="18">
        <v>4.0000000000000001E-3</v>
      </c>
      <c r="AK509" s="18">
        <v>3.0000000000000001E-3</v>
      </c>
      <c r="AL509" s="21">
        <f>ROUND(AVERAGE(AJ509:AK509),3)</f>
        <v>4.0000000000000001E-3</v>
      </c>
      <c r="AM509" s="18">
        <v>9.4700000000000006</v>
      </c>
      <c r="AN509" s="18">
        <v>9.4730000000000008</v>
      </c>
      <c r="AO509" s="21">
        <f>ROUND(AVERAGE(AM509:AN509),3)</f>
        <v>9.4719999999999995</v>
      </c>
      <c r="AP509" s="44">
        <v>3.2300000000000002E-2</v>
      </c>
      <c r="AQ509" s="44">
        <v>3.4299999999999997E-2</v>
      </c>
      <c r="AR509" s="45">
        <f>ROUND(AVERAGE(AP509:AQ509),4)</f>
        <v>3.3300000000000003E-2</v>
      </c>
      <c r="AS509" s="99">
        <v>5.3</v>
      </c>
      <c r="AT509" s="93">
        <v>3.01</v>
      </c>
    </row>
    <row r="510" spans="1:48">
      <c r="A510" s="7" t="s">
        <v>37</v>
      </c>
      <c r="B510" s="5" t="s">
        <v>38</v>
      </c>
      <c r="C510" s="6" t="s">
        <v>39</v>
      </c>
      <c r="D510" s="6" t="s">
        <v>40</v>
      </c>
      <c r="E510" s="23">
        <v>13.7</v>
      </c>
      <c r="F510" s="23">
        <v>7.3</v>
      </c>
      <c r="G510" s="41">
        <v>87</v>
      </c>
      <c r="H510" s="24">
        <v>10.4</v>
      </c>
      <c r="I510" s="23">
        <v>0.6</v>
      </c>
      <c r="J510" s="23">
        <v>2.7</v>
      </c>
      <c r="K510" s="15">
        <v>1.8</v>
      </c>
      <c r="L510" s="15">
        <v>2.1</v>
      </c>
      <c r="M510" s="15"/>
      <c r="N510" s="20">
        <f t="shared" ref="N510:N545" si="132">ROUND(AVERAGE(K510:M510),1)</f>
        <v>2</v>
      </c>
      <c r="O510" s="37">
        <v>1.7</v>
      </c>
      <c r="P510" s="37">
        <v>1.6</v>
      </c>
      <c r="Q510" s="38">
        <f t="shared" ref="Q510:Q545" si="133">ROUND(AVERAGE(O510:P510),1)</f>
        <v>1.7</v>
      </c>
      <c r="R510" s="17">
        <v>0.92</v>
      </c>
      <c r="S510" s="17">
        <v>0.92100000000000004</v>
      </c>
      <c r="T510" s="22">
        <f t="shared" ref="T510:T545" si="134">ROUND(AVERAGE(R510:S510),3)</f>
        <v>0.92100000000000004</v>
      </c>
      <c r="U510" s="17">
        <v>0.91500000000000004</v>
      </c>
      <c r="V510" s="17">
        <v>0.91600000000000004</v>
      </c>
      <c r="W510" s="22">
        <f t="shared" ref="W510:W545" si="135">ROUND(AVERAGE(U510:V510),3)</f>
        <v>0.91600000000000004</v>
      </c>
      <c r="X510" s="17">
        <v>2.4E-2</v>
      </c>
      <c r="Y510" s="17">
        <v>2.3E-2</v>
      </c>
      <c r="Z510" s="21">
        <f t="shared" ref="Z510:Z545" si="136">ROUND(AVERAGE(X510:Y510),3)</f>
        <v>2.4E-2</v>
      </c>
      <c r="AA510" s="19">
        <v>0.63600000000000001</v>
      </c>
      <c r="AB510" s="19">
        <v>0.63700000000000001</v>
      </c>
      <c r="AC510" s="21">
        <f t="shared" ref="AC510:AC545" si="137">ROUND(AVERAGE(AA510:AB510),3)</f>
        <v>0.63700000000000001</v>
      </c>
      <c r="AD510" s="19">
        <v>2.1999999999999999E-2</v>
      </c>
      <c r="AE510" s="19">
        <v>2.3E-2</v>
      </c>
      <c r="AF510" s="21">
        <f t="shared" ref="AF510:AF545" si="138">ROUND(AVERAGE(AD510:AE510),3)</f>
        <v>2.3E-2</v>
      </c>
      <c r="AG510" s="19">
        <v>0.01</v>
      </c>
      <c r="AH510" s="19">
        <v>0.01</v>
      </c>
      <c r="AI510" s="21">
        <f t="shared" ref="AI510:AI545" si="139">ROUND(AVERAGE(AG510:AH510),3)</f>
        <v>0.01</v>
      </c>
      <c r="AJ510" s="19">
        <v>4.0000000000000001E-3</v>
      </c>
      <c r="AK510" s="19">
        <v>4.0000000000000001E-3</v>
      </c>
      <c r="AL510" s="21">
        <f t="shared" ref="AL510:AL545" si="140">ROUND(AVERAGE(AJ510:AK510),3)</f>
        <v>4.0000000000000001E-3</v>
      </c>
      <c r="AM510" s="19">
        <v>4.4429999999999996</v>
      </c>
      <c r="AN510" s="19">
        <v>4.431</v>
      </c>
      <c r="AO510" s="21">
        <f t="shared" ref="AO510:AO545" si="141">ROUND(AVERAGE(AM510:AN510),3)</f>
        <v>4.4370000000000003</v>
      </c>
      <c r="AP510" s="46">
        <v>5.2299999999999999E-2</v>
      </c>
      <c r="AQ510" s="46">
        <v>5.3199999999999997E-2</v>
      </c>
      <c r="AR510" s="45">
        <f t="shared" ref="AR510:AR545" si="142">ROUND(AVERAGE(AP510:AQ510),4)</f>
        <v>5.28E-2</v>
      </c>
      <c r="AS510" s="91">
        <v>4.8899999999999997</v>
      </c>
      <c r="AT510">
        <v>1.86</v>
      </c>
    </row>
    <row r="511" spans="1:48">
      <c r="A511" s="7" t="s">
        <v>0</v>
      </c>
      <c r="B511" s="5" t="s">
        <v>41</v>
      </c>
      <c r="C511" s="6" t="s">
        <v>42</v>
      </c>
      <c r="D511" s="6" t="s">
        <v>36</v>
      </c>
      <c r="E511" s="23">
        <v>13.7</v>
      </c>
      <c r="F511" s="23">
        <v>7</v>
      </c>
      <c r="G511" s="41">
        <v>106</v>
      </c>
      <c r="H511" s="24">
        <v>10.3</v>
      </c>
      <c r="I511" s="23">
        <v>0.5</v>
      </c>
      <c r="J511" s="23">
        <v>2.2999999999999998</v>
      </c>
      <c r="K511" s="15">
        <v>1.7</v>
      </c>
      <c r="L511" s="15">
        <v>1.7</v>
      </c>
      <c r="M511" s="15"/>
      <c r="N511" s="20">
        <f t="shared" si="132"/>
        <v>1.7</v>
      </c>
      <c r="O511" s="37">
        <v>1.4</v>
      </c>
      <c r="P511" s="37">
        <v>1.4</v>
      </c>
      <c r="Q511" s="38">
        <f t="shared" si="133"/>
        <v>1.4</v>
      </c>
      <c r="R511" s="17">
        <v>0.91600000000000004</v>
      </c>
      <c r="S511" s="17">
        <v>0.93600000000000005</v>
      </c>
      <c r="T511" s="22">
        <f t="shared" si="134"/>
        <v>0.92600000000000005</v>
      </c>
      <c r="U511" s="17">
        <v>0.93200000000000005</v>
      </c>
      <c r="V511" s="17">
        <v>0.91800000000000004</v>
      </c>
      <c r="W511" s="22">
        <f t="shared" si="135"/>
        <v>0.92500000000000004</v>
      </c>
      <c r="X511" s="17">
        <v>2.5999999999999999E-2</v>
      </c>
      <c r="Y511" s="17">
        <v>2.5000000000000001E-2</v>
      </c>
      <c r="Z511" s="21">
        <f t="shared" si="136"/>
        <v>2.5999999999999999E-2</v>
      </c>
      <c r="AA511" s="19">
        <v>0.65300000000000002</v>
      </c>
      <c r="AB511" s="19">
        <v>0.65300000000000002</v>
      </c>
      <c r="AC511" s="21">
        <f t="shared" si="137"/>
        <v>0.65300000000000002</v>
      </c>
      <c r="AD511" s="19">
        <v>1.9E-2</v>
      </c>
      <c r="AE511" s="19">
        <v>2.3E-2</v>
      </c>
      <c r="AF511" s="21">
        <f t="shared" si="138"/>
        <v>2.1000000000000001E-2</v>
      </c>
      <c r="AG511" s="19">
        <v>8.9999999999999993E-3</v>
      </c>
      <c r="AH511" s="19">
        <v>8.9999999999999993E-3</v>
      </c>
      <c r="AI511" s="21">
        <f t="shared" si="139"/>
        <v>8.9999999999999993E-3</v>
      </c>
      <c r="AJ511" s="19">
        <v>4.0000000000000001E-3</v>
      </c>
      <c r="AK511" s="19">
        <v>4.0000000000000001E-3</v>
      </c>
      <c r="AL511" s="21">
        <f t="shared" si="140"/>
        <v>4.0000000000000001E-3</v>
      </c>
      <c r="AM511" s="19">
        <v>6.2880000000000003</v>
      </c>
      <c r="AN511" s="19">
        <v>6.2759999999999998</v>
      </c>
      <c r="AO511" s="21">
        <f t="shared" si="141"/>
        <v>6.282</v>
      </c>
      <c r="AP511" s="46">
        <v>4.4900000000000002E-2</v>
      </c>
      <c r="AQ511" s="46">
        <v>4.3999999999999997E-2</v>
      </c>
      <c r="AR511" s="45">
        <f t="shared" si="142"/>
        <v>4.4499999999999998E-2</v>
      </c>
      <c r="AS511" s="100">
        <v>5.7</v>
      </c>
      <c r="AT511" s="94">
        <v>2.2999999999999998</v>
      </c>
    </row>
    <row r="512" spans="1:48">
      <c r="A512" s="7" t="s">
        <v>1</v>
      </c>
      <c r="B512" s="5" t="s">
        <v>43</v>
      </c>
      <c r="C512" s="6" t="s">
        <v>44</v>
      </c>
      <c r="D512" s="6" t="s">
        <v>45</v>
      </c>
      <c r="E512" s="23">
        <v>13</v>
      </c>
      <c r="F512" s="23">
        <v>7</v>
      </c>
      <c r="G512" s="41">
        <v>76</v>
      </c>
      <c r="H512" s="24">
        <v>10.7</v>
      </c>
      <c r="I512" s="23">
        <v>0.4</v>
      </c>
      <c r="J512" s="23">
        <v>2.4</v>
      </c>
      <c r="K512" s="15">
        <v>1.5</v>
      </c>
      <c r="L512" s="15">
        <v>1.6</v>
      </c>
      <c r="M512" s="15"/>
      <c r="N512" s="20">
        <f t="shared" si="132"/>
        <v>1.6</v>
      </c>
      <c r="O512" s="37">
        <v>1.4</v>
      </c>
      <c r="P512" s="37">
        <v>1.3</v>
      </c>
      <c r="Q512" s="38">
        <f t="shared" si="133"/>
        <v>1.4</v>
      </c>
      <c r="R512" s="17">
        <v>0.59199999999999997</v>
      </c>
      <c r="S512" s="17">
        <v>0.62</v>
      </c>
      <c r="T512" s="22">
        <f t="shared" si="134"/>
        <v>0.60599999999999998</v>
      </c>
      <c r="U512" s="17">
        <v>0.58699999999999997</v>
      </c>
      <c r="V512" s="17">
        <v>0.57899999999999996</v>
      </c>
      <c r="W512" s="22">
        <f t="shared" si="135"/>
        <v>0.58299999999999996</v>
      </c>
      <c r="X512" s="17">
        <v>1.7999999999999999E-2</v>
      </c>
      <c r="Y512" s="17">
        <v>1.7999999999999999E-2</v>
      </c>
      <c r="Z512" s="21">
        <f t="shared" si="136"/>
        <v>1.7999999999999999E-2</v>
      </c>
      <c r="AA512" s="19">
        <v>0.442</v>
      </c>
      <c r="AB512" s="19">
        <v>0.436</v>
      </c>
      <c r="AC512" s="21">
        <f t="shared" si="137"/>
        <v>0.439</v>
      </c>
      <c r="AD512" s="19">
        <v>0.02</v>
      </c>
      <c r="AE512" s="19">
        <v>2.1000000000000001E-2</v>
      </c>
      <c r="AF512" s="21">
        <f t="shared" si="138"/>
        <v>2.1000000000000001E-2</v>
      </c>
      <c r="AG512" s="19">
        <v>8.0000000000000002E-3</v>
      </c>
      <c r="AH512" s="19">
        <v>8.0000000000000002E-3</v>
      </c>
      <c r="AI512" s="21">
        <f t="shared" si="139"/>
        <v>8.0000000000000002E-3</v>
      </c>
      <c r="AJ512" s="19">
        <v>3.0000000000000001E-3</v>
      </c>
      <c r="AK512" s="19">
        <v>2E-3</v>
      </c>
      <c r="AL512" s="21">
        <f t="shared" si="140"/>
        <v>3.0000000000000001E-3</v>
      </c>
      <c r="AM512" s="19">
        <v>4.5469999999999997</v>
      </c>
      <c r="AN512" s="19">
        <v>4.5350000000000001</v>
      </c>
      <c r="AO512" s="21">
        <f t="shared" si="141"/>
        <v>4.5410000000000004</v>
      </c>
      <c r="AP512" s="46">
        <v>5.3900000000000003E-2</v>
      </c>
      <c r="AQ512" s="46">
        <v>5.6000000000000001E-2</v>
      </c>
      <c r="AR512" s="45">
        <f t="shared" si="142"/>
        <v>5.5E-2</v>
      </c>
      <c r="AS512" s="91">
        <v>4.66</v>
      </c>
      <c r="AT512">
        <v>2.84</v>
      </c>
    </row>
    <row r="513" spans="1:46">
      <c r="A513" s="7" t="s">
        <v>2</v>
      </c>
      <c r="B513" s="5" t="s">
        <v>46</v>
      </c>
      <c r="C513" s="6" t="s">
        <v>47</v>
      </c>
      <c r="D513" s="6" t="s">
        <v>36</v>
      </c>
      <c r="E513" s="23">
        <v>14.2</v>
      </c>
      <c r="F513" s="23">
        <v>7.2</v>
      </c>
      <c r="G513" s="41">
        <v>104</v>
      </c>
      <c r="H513" s="24">
        <v>10.199999999999999</v>
      </c>
      <c r="I513" s="23">
        <v>0.5</v>
      </c>
      <c r="J513" s="23">
        <v>2.2000000000000002</v>
      </c>
      <c r="K513" s="15">
        <v>1.5</v>
      </c>
      <c r="L513" s="15">
        <v>1.5</v>
      </c>
      <c r="M513" s="15"/>
      <c r="N513" s="20">
        <f t="shared" si="132"/>
        <v>1.5</v>
      </c>
      <c r="O513" s="37">
        <v>1.4</v>
      </c>
      <c r="P513" s="37">
        <v>1.3</v>
      </c>
      <c r="Q513" s="38">
        <f t="shared" si="133"/>
        <v>1.4</v>
      </c>
      <c r="R513" s="17">
        <v>0.874</v>
      </c>
      <c r="S513" s="17">
        <v>0.91700000000000004</v>
      </c>
      <c r="T513" s="22">
        <f t="shared" si="134"/>
        <v>0.89600000000000002</v>
      </c>
      <c r="U513" s="17">
        <v>0.871</v>
      </c>
      <c r="V513" s="17">
        <v>0.872</v>
      </c>
      <c r="W513" s="22">
        <f t="shared" si="135"/>
        <v>0.872</v>
      </c>
      <c r="X513" s="17">
        <v>2.1000000000000001E-2</v>
      </c>
      <c r="Y513" s="17">
        <v>0.02</v>
      </c>
      <c r="Z513" s="21">
        <f t="shared" si="136"/>
        <v>2.1000000000000001E-2</v>
      </c>
      <c r="AA513" s="19">
        <v>0.629</v>
      </c>
      <c r="AB513" s="19">
        <v>0.627</v>
      </c>
      <c r="AC513" s="21">
        <f t="shared" si="137"/>
        <v>0.628</v>
      </c>
      <c r="AD513" s="19">
        <v>2.1999999999999999E-2</v>
      </c>
      <c r="AE513" s="19">
        <v>2.7E-2</v>
      </c>
      <c r="AF513" s="21">
        <f t="shared" si="138"/>
        <v>2.5000000000000001E-2</v>
      </c>
      <c r="AG513" s="19">
        <v>1.0999999999999999E-2</v>
      </c>
      <c r="AH513" s="19">
        <v>1.0999999999999999E-2</v>
      </c>
      <c r="AI513" s="21">
        <f t="shared" si="139"/>
        <v>1.0999999999999999E-2</v>
      </c>
      <c r="AJ513" s="19">
        <v>5.0000000000000001E-3</v>
      </c>
      <c r="AK513" s="19">
        <v>5.0000000000000001E-3</v>
      </c>
      <c r="AL513" s="21">
        <f t="shared" si="140"/>
        <v>5.0000000000000001E-3</v>
      </c>
      <c r="AM513" s="19">
        <v>6.2389999999999999</v>
      </c>
      <c r="AN513" s="19">
        <v>6.218</v>
      </c>
      <c r="AO513" s="21">
        <f t="shared" si="141"/>
        <v>6.2290000000000001</v>
      </c>
      <c r="AP513" s="46">
        <v>4.4699999999999997E-2</v>
      </c>
      <c r="AQ513" s="46">
        <v>4.7E-2</v>
      </c>
      <c r="AR513" s="45">
        <f t="shared" si="142"/>
        <v>4.5900000000000003E-2</v>
      </c>
      <c r="AS513" s="100">
        <v>6.17</v>
      </c>
      <c r="AT513" s="94">
        <v>2.82</v>
      </c>
    </row>
    <row r="514" spans="1:46">
      <c r="A514" s="7" t="s">
        <v>3</v>
      </c>
      <c r="B514" s="5" t="s">
        <v>46</v>
      </c>
      <c r="C514" s="6" t="s">
        <v>44</v>
      </c>
      <c r="D514" s="6" t="s">
        <v>48</v>
      </c>
      <c r="E514" s="23">
        <v>12.9</v>
      </c>
      <c r="F514" s="23">
        <v>7.3</v>
      </c>
      <c r="G514" s="41">
        <v>103</v>
      </c>
      <c r="H514" s="24">
        <v>10.8</v>
      </c>
      <c r="I514" s="23">
        <v>0.5</v>
      </c>
      <c r="J514" s="23">
        <v>3.2</v>
      </c>
      <c r="K514" s="15">
        <v>1.4</v>
      </c>
      <c r="L514" s="15">
        <v>1.6</v>
      </c>
      <c r="M514" s="15"/>
      <c r="N514" s="20">
        <f t="shared" si="132"/>
        <v>1.5</v>
      </c>
      <c r="O514" s="37">
        <v>1.2</v>
      </c>
      <c r="P514" s="37">
        <v>1.2</v>
      </c>
      <c r="Q514" s="38">
        <f t="shared" si="133"/>
        <v>1.2</v>
      </c>
      <c r="R514" s="17">
        <v>0.95399999999999996</v>
      </c>
      <c r="S514" s="17">
        <v>0.98899999999999999</v>
      </c>
      <c r="T514" s="22">
        <f t="shared" si="134"/>
        <v>0.97199999999999998</v>
      </c>
      <c r="U514" s="17">
        <v>0.93300000000000005</v>
      </c>
      <c r="V514" s="17">
        <v>0.95099999999999996</v>
      </c>
      <c r="W514" s="22">
        <f t="shared" si="135"/>
        <v>0.94199999999999995</v>
      </c>
      <c r="X514" s="17">
        <v>2.4E-2</v>
      </c>
      <c r="Y514" s="17">
        <v>2.7E-2</v>
      </c>
      <c r="Z514" s="21">
        <f t="shared" si="136"/>
        <v>2.5999999999999999E-2</v>
      </c>
      <c r="AA514" s="19">
        <v>0.67400000000000004</v>
      </c>
      <c r="AB514" s="19">
        <v>0.67600000000000005</v>
      </c>
      <c r="AC514" s="21">
        <f t="shared" si="137"/>
        <v>0.67500000000000004</v>
      </c>
      <c r="AD514" s="19">
        <v>0.02</v>
      </c>
      <c r="AE514" s="19">
        <v>2.4E-2</v>
      </c>
      <c r="AF514" s="21">
        <f t="shared" si="138"/>
        <v>2.1999999999999999E-2</v>
      </c>
      <c r="AG514" s="19">
        <v>0.01</v>
      </c>
      <c r="AH514" s="19">
        <v>0.01</v>
      </c>
      <c r="AI514" s="21">
        <f t="shared" si="139"/>
        <v>0.01</v>
      </c>
      <c r="AJ514" s="19">
        <v>3.0000000000000001E-3</v>
      </c>
      <c r="AK514" s="19">
        <v>4.0000000000000001E-3</v>
      </c>
      <c r="AL514" s="21">
        <f t="shared" si="140"/>
        <v>4.0000000000000001E-3</v>
      </c>
      <c r="AM514" s="19">
        <v>6.3120000000000003</v>
      </c>
      <c r="AN514" s="19">
        <v>6.2990000000000004</v>
      </c>
      <c r="AO514" s="21">
        <f t="shared" si="141"/>
        <v>6.306</v>
      </c>
      <c r="AP514" s="46">
        <v>3.9100000000000003E-2</v>
      </c>
      <c r="AQ514" s="46">
        <v>0.04</v>
      </c>
      <c r="AR514" s="45">
        <f t="shared" si="142"/>
        <v>3.9600000000000003E-2</v>
      </c>
      <c r="AS514" s="96">
        <v>7.22</v>
      </c>
      <c r="AT514">
        <v>2.5299999999999998</v>
      </c>
    </row>
    <row r="515" spans="1:46">
      <c r="A515" s="7" t="s">
        <v>4</v>
      </c>
      <c r="B515" s="5" t="s">
        <v>49</v>
      </c>
      <c r="C515" s="6" t="s">
        <v>44</v>
      </c>
      <c r="D515" s="6" t="s">
        <v>36</v>
      </c>
      <c r="E515" s="23">
        <v>14.4</v>
      </c>
      <c r="F515" s="23">
        <v>7</v>
      </c>
      <c r="G515" s="41">
        <v>106</v>
      </c>
      <c r="H515" s="24">
        <v>9.8000000000000007</v>
      </c>
      <c r="I515" s="23">
        <v>0.5</v>
      </c>
      <c r="J515" s="23">
        <v>1.8</v>
      </c>
      <c r="K515" s="15">
        <v>1.1000000000000001</v>
      </c>
      <c r="L515" s="15">
        <v>1.3</v>
      </c>
      <c r="M515" s="15"/>
      <c r="N515" s="20">
        <f t="shared" si="132"/>
        <v>1.2</v>
      </c>
      <c r="O515" s="37">
        <v>1.1000000000000001</v>
      </c>
      <c r="P515" s="37">
        <v>1</v>
      </c>
      <c r="Q515" s="38">
        <f t="shared" si="133"/>
        <v>1.1000000000000001</v>
      </c>
      <c r="R515" s="17">
        <v>0.92900000000000005</v>
      </c>
      <c r="S515" s="17">
        <v>0.95699999999999996</v>
      </c>
      <c r="T515" s="22">
        <f t="shared" si="134"/>
        <v>0.94299999999999995</v>
      </c>
      <c r="U515" s="17">
        <v>0.91200000000000003</v>
      </c>
      <c r="V515" s="17">
        <v>0.92100000000000004</v>
      </c>
      <c r="W515" s="22">
        <f t="shared" si="135"/>
        <v>0.91700000000000004</v>
      </c>
      <c r="X515" s="17">
        <v>2.4E-2</v>
      </c>
      <c r="Y515" s="17">
        <v>2.4E-2</v>
      </c>
      <c r="Z515" s="21">
        <f t="shared" si="136"/>
        <v>2.4E-2</v>
      </c>
      <c r="AA515" s="19">
        <v>0.65300000000000002</v>
      </c>
      <c r="AB515" s="19">
        <v>0.64900000000000002</v>
      </c>
      <c r="AC515" s="21">
        <f t="shared" si="137"/>
        <v>0.65100000000000002</v>
      </c>
      <c r="AD515" s="19">
        <v>2.4E-2</v>
      </c>
      <c r="AE515" s="19">
        <v>2.9000000000000001E-2</v>
      </c>
      <c r="AF515" s="21">
        <f t="shared" si="138"/>
        <v>2.7E-2</v>
      </c>
      <c r="AG515" s="19">
        <v>1.2999999999999999E-2</v>
      </c>
      <c r="AH515" s="19">
        <v>1.2999999999999999E-2</v>
      </c>
      <c r="AI515" s="21">
        <f t="shared" si="139"/>
        <v>1.2999999999999999E-2</v>
      </c>
      <c r="AJ515" s="19">
        <v>7.0000000000000001E-3</v>
      </c>
      <c r="AK515" s="19">
        <v>7.0000000000000001E-3</v>
      </c>
      <c r="AL515" s="21">
        <f t="shared" si="140"/>
        <v>7.0000000000000001E-3</v>
      </c>
      <c r="AM515" s="19">
        <v>5.7830000000000004</v>
      </c>
      <c r="AN515" s="19">
        <v>5.77</v>
      </c>
      <c r="AO515" s="21">
        <f t="shared" si="141"/>
        <v>5.7770000000000001</v>
      </c>
      <c r="AP515" s="46">
        <v>3.6299999999999999E-2</v>
      </c>
      <c r="AQ515" s="46">
        <v>3.6600000000000001E-2</v>
      </c>
      <c r="AR515" s="45">
        <f t="shared" si="142"/>
        <v>3.6499999999999998E-2</v>
      </c>
      <c r="AS515" s="101">
        <v>6.56</v>
      </c>
      <c r="AT515" s="97">
        <v>2.4500000000000002</v>
      </c>
    </row>
    <row r="516" spans="1:46">
      <c r="A516" s="7" t="s">
        <v>5</v>
      </c>
      <c r="B516" s="5" t="s">
        <v>50</v>
      </c>
      <c r="C516" s="6" t="s">
        <v>42</v>
      </c>
      <c r="D516" s="6" t="s">
        <v>51</v>
      </c>
      <c r="E516" s="23">
        <v>14.9</v>
      </c>
      <c r="F516" s="23">
        <v>7.3</v>
      </c>
      <c r="G516" s="41">
        <v>114</v>
      </c>
      <c r="H516" s="24">
        <v>9.1999999999999993</v>
      </c>
      <c r="I516" s="23">
        <v>0.6</v>
      </c>
      <c r="J516" s="23">
        <v>1.9</v>
      </c>
      <c r="K516" s="15">
        <v>1.2</v>
      </c>
      <c r="L516" s="15">
        <v>1.2</v>
      </c>
      <c r="M516" s="15"/>
      <c r="N516" s="20">
        <f t="shared" si="132"/>
        <v>1.2</v>
      </c>
      <c r="O516" s="37">
        <v>1.1000000000000001</v>
      </c>
      <c r="P516" s="37">
        <v>1</v>
      </c>
      <c r="Q516" s="38">
        <f t="shared" si="133"/>
        <v>1.1000000000000001</v>
      </c>
      <c r="R516" s="17">
        <v>2.4089999999999998</v>
      </c>
      <c r="S516" s="17">
        <v>2.407</v>
      </c>
      <c r="T516" s="22">
        <f t="shared" si="134"/>
        <v>2.4079999999999999</v>
      </c>
      <c r="U516" s="17">
        <v>2.3969999999999998</v>
      </c>
      <c r="V516" s="17">
        <v>2.4</v>
      </c>
      <c r="W516" s="22">
        <f t="shared" si="135"/>
        <v>2.399</v>
      </c>
      <c r="X516" s="17">
        <v>4.3999999999999997E-2</v>
      </c>
      <c r="Y516" s="17">
        <v>0.04</v>
      </c>
      <c r="Z516" s="21">
        <f t="shared" si="136"/>
        <v>4.2000000000000003E-2</v>
      </c>
      <c r="AA516" s="19">
        <v>1.7070000000000001</v>
      </c>
      <c r="AB516" s="19">
        <v>1.7</v>
      </c>
      <c r="AC516" s="21">
        <f t="shared" si="137"/>
        <v>1.704</v>
      </c>
      <c r="AD516" s="19">
        <v>0.23</v>
      </c>
      <c r="AE516" s="19">
        <v>0.23100000000000001</v>
      </c>
      <c r="AF516" s="21">
        <f t="shared" si="138"/>
        <v>0.23100000000000001</v>
      </c>
      <c r="AG516" s="19">
        <v>0.184</v>
      </c>
      <c r="AH516" s="19">
        <v>0.193</v>
      </c>
      <c r="AI516" s="21">
        <f t="shared" si="139"/>
        <v>0.189</v>
      </c>
      <c r="AJ516" s="19">
        <v>0.183</v>
      </c>
      <c r="AK516" s="19">
        <v>0.186</v>
      </c>
      <c r="AL516" s="21">
        <f t="shared" si="140"/>
        <v>0.185</v>
      </c>
      <c r="AM516" s="19">
        <v>6.4790000000000001</v>
      </c>
      <c r="AN516" s="19">
        <v>6.4640000000000004</v>
      </c>
      <c r="AO516" s="21">
        <f t="shared" si="141"/>
        <v>6.4720000000000004</v>
      </c>
      <c r="AP516" s="46">
        <v>2.6599999999999999E-2</v>
      </c>
      <c r="AQ516" s="46">
        <v>2.6100000000000002E-2</v>
      </c>
      <c r="AR516" s="45">
        <f t="shared" si="142"/>
        <v>2.64E-2</v>
      </c>
      <c r="AS516" s="95">
        <v>10.25</v>
      </c>
      <c r="AT516">
        <v>7.06</v>
      </c>
    </row>
    <row r="517" spans="1:46">
      <c r="A517" s="7" t="s">
        <v>6</v>
      </c>
      <c r="B517" s="5" t="s">
        <v>52</v>
      </c>
      <c r="C517" s="6" t="s">
        <v>53</v>
      </c>
      <c r="D517" s="6" t="s">
        <v>36</v>
      </c>
      <c r="E517" s="23">
        <v>15.8</v>
      </c>
      <c r="F517" s="23">
        <v>7</v>
      </c>
      <c r="G517" s="41">
        <v>112</v>
      </c>
      <c r="H517" s="24">
        <v>10.1</v>
      </c>
      <c r="I517" s="23">
        <v>0.5</v>
      </c>
      <c r="J517" s="23">
        <v>2</v>
      </c>
      <c r="K517" s="15">
        <v>1.3</v>
      </c>
      <c r="L517" s="15">
        <v>1.3</v>
      </c>
      <c r="M517" s="15"/>
      <c r="N517" s="20">
        <f t="shared" si="132"/>
        <v>1.3</v>
      </c>
      <c r="O517" s="37">
        <v>1.1000000000000001</v>
      </c>
      <c r="P517" s="37">
        <v>1.2</v>
      </c>
      <c r="Q517" s="38">
        <f t="shared" si="133"/>
        <v>1.2</v>
      </c>
      <c r="R517" s="17">
        <v>1.4870000000000001</v>
      </c>
      <c r="S517" s="17">
        <v>1.5249999999999999</v>
      </c>
      <c r="T517" s="22">
        <f t="shared" si="134"/>
        <v>1.506</v>
      </c>
      <c r="U517" s="17">
        <v>1.504</v>
      </c>
      <c r="V517" s="17">
        <v>1.47</v>
      </c>
      <c r="W517" s="22">
        <f t="shared" si="135"/>
        <v>1.4870000000000001</v>
      </c>
      <c r="X517" s="17">
        <v>3.4000000000000002E-2</v>
      </c>
      <c r="Y517" s="17">
        <v>3.5000000000000003E-2</v>
      </c>
      <c r="Z517" s="21">
        <f t="shared" si="136"/>
        <v>3.5000000000000003E-2</v>
      </c>
      <c r="AA517" s="19">
        <v>1.0349999999999999</v>
      </c>
      <c r="AB517" s="19">
        <v>1.0309999999999999</v>
      </c>
      <c r="AC517" s="21">
        <f t="shared" si="137"/>
        <v>1.0329999999999999</v>
      </c>
      <c r="AD517" s="19">
        <v>7.9000000000000001E-2</v>
      </c>
      <c r="AE517" s="19">
        <v>8.5000000000000006E-2</v>
      </c>
      <c r="AF517" s="21">
        <f t="shared" si="138"/>
        <v>8.2000000000000003E-2</v>
      </c>
      <c r="AG517" s="19">
        <v>6.2E-2</v>
      </c>
      <c r="AH517" s="19">
        <v>5.8999999999999997E-2</v>
      </c>
      <c r="AI517" s="21">
        <f t="shared" si="139"/>
        <v>6.0999999999999999E-2</v>
      </c>
      <c r="AJ517" s="19">
        <v>5.6000000000000001E-2</v>
      </c>
      <c r="AK517" s="19">
        <v>5.5E-2</v>
      </c>
      <c r="AL517" s="21">
        <f t="shared" si="140"/>
        <v>5.6000000000000001E-2</v>
      </c>
      <c r="AM517" s="19">
        <v>6.7539999999999996</v>
      </c>
      <c r="AN517" s="19">
        <v>6.7409999999999997</v>
      </c>
      <c r="AO517" s="21">
        <f t="shared" si="141"/>
        <v>6.7480000000000002</v>
      </c>
      <c r="AP517" s="46">
        <v>3.4340000000000002E-2</v>
      </c>
      <c r="AQ517" s="46">
        <v>3.3799999999999997E-2</v>
      </c>
      <c r="AR517" s="45">
        <f t="shared" si="142"/>
        <v>3.4099999999999998E-2</v>
      </c>
      <c r="AS517" s="95">
        <v>9.6999999999999993</v>
      </c>
      <c r="AT517" s="97">
        <v>5.74</v>
      </c>
    </row>
    <row r="518" spans="1:46">
      <c r="A518" s="7" t="s">
        <v>7</v>
      </c>
      <c r="B518" s="5" t="s">
        <v>54</v>
      </c>
      <c r="C518" s="6" t="s">
        <v>55</v>
      </c>
      <c r="D518" s="6" t="s">
        <v>56</v>
      </c>
      <c r="E518" s="23">
        <v>14.8</v>
      </c>
      <c r="F518" s="23">
        <v>6.8</v>
      </c>
      <c r="G518" s="41">
        <v>111</v>
      </c>
      <c r="H518" s="24">
        <v>10.4</v>
      </c>
      <c r="I518" s="23">
        <v>0.6</v>
      </c>
      <c r="J518" s="23">
        <v>1.9</v>
      </c>
      <c r="K518" s="15">
        <v>1.4</v>
      </c>
      <c r="L518" s="15">
        <v>1.4</v>
      </c>
      <c r="M518" s="15"/>
      <c r="N518" s="20">
        <f t="shared" si="132"/>
        <v>1.4</v>
      </c>
      <c r="O518" s="37">
        <v>1.1000000000000001</v>
      </c>
      <c r="P518" s="37">
        <v>1.1000000000000001</v>
      </c>
      <c r="Q518" s="38">
        <f t="shared" si="133"/>
        <v>1.1000000000000001</v>
      </c>
      <c r="R518" s="17">
        <v>0.92300000000000004</v>
      </c>
      <c r="S518" s="17">
        <v>0.95699999999999996</v>
      </c>
      <c r="T518" s="22">
        <f t="shared" si="134"/>
        <v>0.94</v>
      </c>
      <c r="U518" s="17">
        <v>0.91100000000000003</v>
      </c>
      <c r="V518" s="17">
        <v>0.91300000000000003</v>
      </c>
      <c r="W518" s="22">
        <f t="shared" si="135"/>
        <v>0.91200000000000003</v>
      </c>
      <c r="X518" s="17">
        <v>0.115</v>
      </c>
      <c r="Y518" s="17">
        <v>0.115</v>
      </c>
      <c r="Z518" s="21">
        <f t="shared" si="136"/>
        <v>0.115</v>
      </c>
      <c r="AA518" s="19">
        <v>0.57699999999999996</v>
      </c>
      <c r="AB518" s="19">
        <v>0.57699999999999996</v>
      </c>
      <c r="AC518" s="21">
        <f t="shared" si="137"/>
        <v>0.57699999999999996</v>
      </c>
      <c r="AD518" s="19">
        <v>5.1999999999999998E-2</v>
      </c>
      <c r="AE518" s="19">
        <v>5.8000000000000003E-2</v>
      </c>
      <c r="AF518" s="21">
        <f t="shared" si="138"/>
        <v>5.5E-2</v>
      </c>
      <c r="AG518" s="19">
        <v>3.7999999999999999E-2</v>
      </c>
      <c r="AH518" s="19">
        <v>3.6999999999999998E-2</v>
      </c>
      <c r="AI518" s="21">
        <f t="shared" si="139"/>
        <v>3.7999999999999999E-2</v>
      </c>
      <c r="AJ518" s="19">
        <v>3.4000000000000002E-2</v>
      </c>
      <c r="AK518" s="19">
        <v>3.3000000000000002E-2</v>
      </c>
      <c r="AL518" s="21">
        <f t="shared" si="140"/>
        <v>3.4000000000000002E-2</v>
      </c>
      <c r="AM518" s="19">
        <v>8.15</v>
      </c>
      <c r="AN518" s="19">
        <v>8.1289999999999996</v>
      </c>
      <c r="AO518" s="21">
        <f t="shared" si="141"/>
        <v>8.14</v>
      </c>
      <c r="AP518" s="46">
        <v>3.2899999999999999E-2</v>
      </c>
      <c r="AQ518" s="46">
        <v>3.27E-2</v>
      </c>
      <c r="AR518" s="45">
        <f t="shared" si="142"/>
        <v>3.2800000000000003E-2</v>
      </c>
      <c r="AS518" s="96">
        <v>8.2799999999999994</v>
      </c>
      <c r="AT518">
        <v>1.69</v>
      </c>
    </row>
    <row r="519" spans="1:46">
      <c r="A519" s="7" t="s">
        <v>8</v>
      </c>
      <c r="B519" s="5" t="s">
        <v>54</v>
      </c>
      <c r="C519" s="6" t="s">
        <v>44</v>
      </c>
      <c r="D519" s="6" t="s">
        <v>36</v>
      </c>
      <c r="E519" s="23">
        <v>15.7</v>
      </c>
      <c r="F519" s="23">
        <v>7.1</v>
      </c>
      <c r="G519" s="41">
        <v>122</v>
      </c>
      <c r="H519" s="24">
        <v>10.1</v>
      </c>
      <c r="I519" s="23">
        <v>0.6</v>
      </c>
      <c r="J519" s="23">
        <v>2.2000000000000002</v>
      </c>
      <c r="K519" s="15">
        <v>1.6</v>
      </c>
      <c r="L519" s="15">
        <v>1.5</v>
      </c>
      <c r="M519" s="15"/>
      <c r="N519" s="20">
        <f t="shared" si="132"/>
        <v>1.6</v>
      </c>
      <c r="O519" s="37">
        <v>1.3</v>
      </c>
      <c r="P519" s="37">
        <v>1.2</v>
      </c>
      <c r="Q519" s="38">
        <f t="shared" si="133"/>
        <v>1.3</v>
      </c>
      <c r="R519" s="17">
        <v>1.909</v>
      </c>
      <c r="S519" s="17">
        <v>1.9510000000000001</v>
      </c>
      <c r="T519" s="22">
        <f t="shared" si="134"/>
        <v>1.93</v>
      </c>
      <c r="U519" s="17">
        <v>1.89</v>
      </c>
      <c r="V519" s="17">
        <v>1.8979999999999999</v>
      </c>
      <c r="W519" s="22">
        <f t="shared" si="135"/>
        <v>1.8939999999999999</v>
      </c>
      <c r="X519" s="17">
        <v>0.1</v>
      </c>
      <c r="Y519" s="17">
        <v>0.10100000000000001</v>
      </c>
      <c r="Z519" s="21">
        <f t="shared" si="136"/>
        <v>0.10100000000000001</v>
      </c>
      <c r="AA519" s="19">
        <v>1.266</v>
      </c>
      <c r="AB519" s="19">
        <v>1.256</v>
      </c>
      <c r="AC519" s="21">
        <f t="shared" si="137"/>
        <v>1.2609999999999999</v>
      </c>
      <c r="AD519" s="19">
        <v>0.159</v>
      </c>
      <c r="AE519" s="19">
        <v>0.16300000000000001</v>
      </c>
      <c r="AF519" s="21">
        <f t="shared" si="138"/>
        <v>0.161</v>
      </c>
      <c r="AG519" s="19">
        <v>0.11899999999999999</v>
      </c>
      <c r="AH519" s="19">
        <v>0.127</v>
      </c>
      <c r="AI519" s="21">
        <f t="shared" si="139"/>
        <v>0.123</v>
      </c>
      <c r="AJ519" s="19">
        <v>0.11899999999999999</v>
      </c>
      <c r="AK519" s="19">
        <v>0.123</v>
      </c>
      <c r="AL519" s="21">
        <f t="shared" si="140"/>
        <v>0.121</v>
      </c>
      <c r="AM519" s="19">
        <v>7.2960000000000003</v>
      </c>
      <c r="AN519" s="19">
        <v>7.274</v>
      </c>
      <c r="AO519" s="21">
        <f t="shared" si="141"/>
        <v>7.2850000000000001</v>
      </c>
      <c r="AP519" s="46">
        <v>3.5499999999999997E-2</v>
      </c>
      <c r="AQ519" s="46">
        <v>3.5700000000000003E-2</v>
      </c>
      <c r="AR519" s="45">
        <f t="shared" si="142"/>
        <v>3.56E-2</v>
      </c>
      <c r="AS519" s="95">
        <v>10</v>
      </c>
      <c r="AT519" s="97">
        <v>3.95</v>
      </c>
    </row>
    <row r="520" spans="1:46">
      <c r="A520" s="7" t="s">
        <v>9</v>
      </c>
      <c r="B520" s="5" t="s">
        <v>57</v>
      </c>
      <c r="C520" s="6" t="s">
        <v>58</v>
      </c>
      <c r="D520" s="6" t="s">
        <v>59</v>
      </c>
      <c r="E520" s="23">
        <v>17.100000000000001</v>
      </c>
      <c r="F520" s="23">
        <v>7.2</v>
      </c>
      <c r="G520" s="41">
        <v>139</v>
      </c>
      <c r="H520" s="24">
        <v>10.1</v>
      </c>
      <c r="I520" s="23">
        <v>0.3</v>
      </c>
      <c r="J520" s="23">
        <v>1.8</v>
      </c>
      <c r="K520" s="15">
        <v>1.3</v>
      </c>
      <c r="L520" s="15">
        <v>1.4</v>
      </c>
      <c r="M520" s="15"/>
      <c r="N520" s="20">
        <f t="shared" si="132"/>
        <v>1.4</v>
      </c>
      <c r="O520" s="37">
        <v>1.2</v>
      </c>
      <c r="P520" s="37">
        <v>1.2</v>
      </c>
      <c r="Q520" s="38">
        <f t="shared" si="133"/>
        <v>1.2</v>
      </c>
      <c r="R520" s="17">
        <v>1.6639999999999999</v>
      </c>
      <c r="S520" s="17">
        <v>1.6970000000000001</v>
      </c>
      <c r="T520" s="22">
        <f t="shared" si="134"/>
        <v>1.681</v>
      </c>
      <c r="U520" s="17">
        <v>1.66</v>
      </c>
      <c r="V520" s="17">
        <v>1.665</v>
      </c>
      <c r="W520" s="22">
        <f t="shared" si="135"/>
        <v>1.663</v>
      </c>
      <c r="X520" s="17">
        <v>1.9E-2</v>
      </c>
      <c r="Y520" s="17">
        <v>1.9E-2</v>
      </c>
      <c r="Z520" s="21">
        <f t="shared" si="136"/>
        <v>1.9E-2</v>
      </c>
      <c r="AA520" s="19">
        <v>1.1739999999999999</v>
      </c>
      <c r="AB520" s="19">
        <v>1.173</v>
      </c>
      <c r="AC520" s="21">
        <f t="shared" si="137"/>
        <v>1.1739999999999999</v>
      </c>
      <c r="AD520" s="19">
        <v>1.0999999999999999E-2</v>
      </c>
      <c r="AE520" s="19">
        <v>1.2E-2</v>
      </c>
      <c r="AF520" s="21">
        <f t="shared" si="138"/>
        <v>1.2E-2</v>
      </c>
      <c r="AG520" s="19">
        <v>6.0000000000000001E-3</v>
      </c>
      <c r="AH520" s="19">
        <v>4.0000000000000001E-3</v>
      </c>
      <c r="AI520" s="21">
        <f t="shared" si="139"/>
        <v>5.0000000000000001E-3</v>
      </c>
      <c r="AJ520" s="19">
        <v>2E-3</v>
      </c>
      <c r="AK520" s="19">
        <v>1E-3</v>
      </c>
      <c r="AL520" s="21">
        <f t="shared" si="140"/>
        <v>2E-3</v>
      </c>
      <c r="AM520" s="19">
        <v>4.8639999999999999</v>
      </c>
      <c r="AN520" s="19">
        <v>4.8470000000000004</v>
      </c>
      <c r="AO520" s="21">
        <f t="shared" si="141"/>
        <v>4.8559999999999999</v>
      </c>
      <c r="AP520" s="46">
        <v>2.87E-2</v>
      </c>
      <c r="AQ520" s="46">
        <v>2.9600000000000001E-2</v>
      </c>
      <c r="AR520" s="45">
        <f t="shared" si="142"/>
        <v>2.92E-2</v>
      </c>
      <c r="AS520" s="95">
        <v>7.91</v>
      </c>
      <c r="AT520">
        <v>2.34</v>
      </c>
    </row>
    <row r="521" spans="1:46">
      <c r="A521" s="7" t="s">
        <v>10</v>
      </c>
      <c r="B521" s="5" t="s">
        <v>60</v>
      </c>
      <c r="C521" s="6" t="s">
        <v>61</v>
      </c>
      <c r="D521" s="6" t="s">
        <v>36</v>
      </c>
      <c r="E521" s="23">
        <v>16</v>
      </c>
      <c r="F521" s="23">
        <v>7.3</v>
      </c>
      <c r="G521" s="41">
        <v>132</v>
      </c>
      <c r="H521" s="24">
        <v>10.8</v>
      </c>
      <c r="I521" s="23">
        <v>0.5</v>
      </c>
      <c r="J521" s="23">
        <v>2.5</v>
      </c>
      <c r="K521" s="15">
        <v>1.5</v>
      </c>
      <c r="L521" s="15">
        <v>1.5</v>
      </c>
      <c r="M521" s="15"/>
      <c r="N521" s="20">
        <f t="shared" si="132"/>
        <v>1.5</v>
      </c>
      <c r="O521" s="37">
        <v>1.3</v>
      </c>
      <c r="P521" s="37">
        <v>1.2</v>
      </c>
      <c r="Q521" s="38">
        <f t="shared" si="133"/>
        <v>1.3</v>
      </c>
      <c r="R521" s="17">
        <v>2.0179999999999998</v>
      </c>
      <c r="S521" s="17">
        <v>2.0299999999999998</v>
      </c>
      <c r="T521" s="22">
        <f t="shared" si="134"/>
        <v>2.024</v>
      </c>
      <c r="U521" s="17">
        <v>1.974</v>
      </c>
      <c r="V521" s="17">
        <v>1.9830000000000001</v>
      </c>
      <c r="W521" s="22">
        <f t="shared" si="135"/>
        <v>1.9790000000000001</v>
      </c>
      <c r="X521" s="17">
        <v>4.4999999999999998E-2</v>
      </c>
      <c r="Y521" s="17">
        <v>4.3999999999999997E-2</v>
      </c>
      <c r="Z521" s="21">
        <f t="shared" si="136"/>
        <v>4.4999999999999998E-2</v>
      </c>
      <c r="AA521" s="19">
        <v>1.375</v>
      </c>
      <c r="AB521" s="19">
        <v>1.367</v>
      </c>
      <c r="AC521" s="21">
        <f t="shared" si="137"/>
        <v>1.371</v>
      </c>
      <c r="AD521" s="19">
        <v>0.13200000000000001</v>
      </c>
      <c r="AE521" s="19">
        <v>0.13400000000000001</v>
      </c>
      <c r="AF521" s="21">
        <f t="shared" si="138"/>
        <v>0.13300000000000001</v>
      </c>
      <c r="AG521" s="19">
        <v>9.8000000000000004E-2</v>
      </c>
      <c r="AH521" s="19">
        <v>0.104</v>
      </c>
      <c r="AI521" s="21">
        <f t="shared" si="139"/>
        <v>0.10100000000000001</v>
      </c>
      <c r="AJ521" s="19">
        <v>9.7000000000000003E-2</v>
      </c>
      <c r="AK521" s="19">
        <v>0.10299999999999999</v>
      </c>
      <c r="AL521" s="21">
        <f t="shared" si="140"/>
        <v>0.1</v>
      </c>
      <c r="AM521" s="19">
        <v>7.0350000000000001</v>
      </c>
      <c r="AN521" s="19">
        <v>6.9989999999999997</v>
      </c>
      <c r="AO521" s="21">
        <f t="shared" si="141"/>
        <v>7.0170000000000003</v>
      </c>
      <c r="AP521" s="46">
        <v>3.5499999999999997E-2</v>
      </c>
      <c r="AQ521" s="46">
        <v>3.5400000000000001E-2</v>
      </c>
      <c r="AR521" s="45">
        <f t="shared" si="142"/>
        <v>3.5499999999999997E-2</v>
      </c>
      <c r="AS521" s="95">
        <v>10.02</v>
      </c>
      <c r="AT521" s="97">
        <v>3.95</v>
      </c>
    </row>
    <row r="522" spans="1:46">
      <c r="A522" s="7" t="s">
        <v>11</v>
      </c>
      <c r="B522" s="5" t="s">
        <v>108</v>
      </c>
      <c r="C522" s="6" t="s">
        <v>62</v>
      </c>
      <c r="D522" s="6" t="s">
        <v>63</v>
      </c>
      <c r="E522" s="23">
        <v>15.3</v>
      </c>
      <c r="F522" s="23">
        <v>7.4</v>
      </c>
      <c r="G522" s="41">
        <v>152</v>
      </c>
      <c r="H522" s="24">
        <v>11.2</v>
      </c>
      <c r="I522" s="23">
        <v>0.5</v>
      </c>
      <c r="J522" s="23">
        <v>2.8</v>
      </c>
      <c r="K522" s="15">
        <v>1.8</v>
      </c>
      <c r="L522" s="15">
        <v>2</v>
      </c>
      <c r="M522" s="15"/>
      <c r="N522" s="20">
        <f t="shared" si="132"/>
        <v>1.9</v>
      </c>
      <c r="O522" s="37">
        <v>1.6</v>
      </c>
      <c r="P522" s="37">
        <v>1.6</v>
      </c>
      <c r="Q522" s="38">
        <f t="shared" si="133"/>
        <v>1.6</v>
      </c>
      <c r="R522" s="17">
        <v>1.4850000000000001</v>
      </c>
      <c r="S522" s="17">
        <v>1.498</v>
      </c>
      <c r="T522" s="22">
        <f t="shared" si="134"/>
        <v>1.492</v>
      </c>
      <c r="U522" s="17">
        <v>1.4750000000000001</v>
      </c>
      <c r="V522" s="17">
        <v>1.4830000000000001</v>
      </c>
      <c r="W522" s="22">
        <f t="shared" si="135"/>
        <v>1.4790000000000001</v>
      </c>
      <c r="X522" s="17">
        <v>3.4000000000000002E-2</v>
      </c>
      <c r="Y522" s="17">
        <v>3.3000000000000002E-2</v>
      </c>
      <c r="Z522" s="21">
        <f t="shared" si="136"/>
        <v>3.4000000000000002E-2</v>
      </c>
      <c r="AA522" s="19">
        <v>0.99299999999999999</v>
      </c>
      <c r="AB522" s="19">
        <v>0.99299999999999999</v>
      </c>
      <c r="AC522" s="21">
        <f t="shared" si="137"/>
        <v>0.99299999999999999</v>
      </c>
      <c r="AD522" s="19">
        <v>2.9000000000000001E-2</v>
      </c>
      <c r="AE522" s="19">
        <v>0.03</v>
      </c>
      <c r="AF522" s="21">
        <f t="shared" si="138"/>
        <v>0.03</v>
      </c>
      <c r="AG522" s="19">
        <v>1.9E-2</v>
      </c>
      <c r="AH522" s="19">
        <v>1.7000000000000001E-2</v>
      </c>
      <c r="AI522" s="21">
        <f t="shared" si="139"/>
        <v>1.7999999999999999E-2</v>
      </c>
      <c r="AJ522" s="19">
        <v>1.2999999999999999E-2</v>
      </c>
      <c r="AK522" s="19">
        <v>1.2E-2</v>
      </c>
      <c r="AL522" s="21">
        <f t="shared" si="140"/>
        <v>1.2999999999999999E-2</v>
      </c>
      <c r="AM522" s="19">
        <v>8.3109999999999999</v>
      </c>
      <c r="AN522" s="19">
        <v>8.2810000000000006</v>
      </c>
      <c r="AO522" s="21">
        <f t="shared" si="141"/>
        <v>8.2959999999999994</v>
      </c>
      <c r="AP522" s="46">
        <v>4.2900000000000001E-2</v>
      </c>
      <c r="AQ522" s="46">
        <v>4.3299999999999998E-2</v>
      </c>
      <c r="AR522" s="45">
        <f t="shared" si="142"/>
        <v>4.3099999999999999E-2</v>
      </c>
      <c r="AS522" s="95">
        <v>8.6199999999999992</v>
      </c>
      <c r="AT522">
        <v>3.8</v>
      </c>
    </row>
    <row r="523" spans="1:46">
      <c r="A523" s="7" t="s">
        <v>12</v>
      </c>
      <c r="B523" s="5" t="s">
        <v>64</v>
      </c>
      <c r="C523" s="6" t="s">
        <v>65</v>
      </c>
      <c r="D523" s="6" t="s">
        <v>36</v>
      </c>
      <c r="E523" s="23">
        <v>14.8</v>
      </c>
      <c r="F523" s="23">
        <v>6.9</v>
      </c>
      <c r="G523" s="41">
        <v>134</v>
      </c>
      <c r="H523" s="24">
        <v>9.8000000000000007</v>
      </c>
      <c r="I523" s="23">
        <v>0.5</v>
      </c>
      <c r="J523" s="23">
        <v>2.2999999999999998</v>
      </c>
      <c r="K523" s="15">
        <v>1.6</v>
      </c>
      <c r="L523" s="15">
        <v>1.8</v>
      </c>
      <c r="M523" s="15"/>
      <c r="N523" s="20">
        <f t="shared" si="132"/>
        <v>1.7</v>
      </c>
      <c r="O523" s="37">
        <v>1.4</v>
      </c>
      <c r="P523" s="37">
        <v>1.4</v>
      </c>
      <c r="Q523" s="38">
        <f t="shared" si="133"/>
        <v>1.4</v>
      </c>
      <c r="R523" s="17">
        <v>1.855</v>
      </c>
      <c r="S523" s="17">
        <v>1.8839999999999999</v>
      </c>
      <c r="T523" s="22">
        <f t="shared" si="134"/>
        <v>1.87</v>
      </c>
      <c r="U523" s="17">
        <v>1.833</v>
      </c>
      <c r="V523" s="17">
        <v>1.8280000000000001</v>
      </c>
      <c r="W523" s="22">
        <f t="shared" si="135"/>
        <v>1.831</v>
      </c>
      <c r="X523" s="17">
        <v>3.1E-2</v>
      </c>
      <c r="Y523" s="17">
        <v>0.03</v>
      </c>
      <c r="Z523" s="21">
        <f t="shared" si="136"/>
        <v>3.1E-2</v>
      </c>
      <c r="AA523" s="19">
        <v>1.2709999999999999</v>
      </c>
      <c r="AB523" s="19">
        <v>1.266</v>
      </c>
      <c r="AC523" s="21">
        <f t="shared" si="137"/>
        <v>1.2689999999999999</v>
      </c>
      <c r="AD523" s="19">
        <v>8.8999999999999996E-2</v>
      </c>
      <c r="AE523" s="19">
        <v>9.1999999999999998E-2</v>
      </c>
      <c r="AF523" s="21">
        <f t="shared" si="138"/>
        <v>9.0999999999999998E-2</v>
      </c>
      <c r="AG523" s="19">
        <v>6.4000000000000001E-2</v>
      </c>
      <c r="AH523" s="19">
        <v>6.6000000000000003E-2</v>
      </c>
      <c r="AI523" s="21">
        <f t="shared" si="139"/>
        <v>6.5000000000000002E-2</v>
      </c>
      <c r="AJ523" s="19">
        <v>6.3E-2</v>
      </c>
      <c r="AK523" s="19">
        <v>6.5000000000000002E-2</v>
      </c>
      <c r="AL523" s="21">
        <f t="shared" si="140"/>
        <v>6.4000000000000001E-2</v>
      </c>
      <c r="AM523" s="19">
        <v>7.282</v>
      </c>
      <c r="AN523" s="19">
        <v>7.25</v>
      </c>
      <c r="AO523" s="21">
        <f t="shared" si="141"/>
        <v>7.266</v>
      </c>
      <c r="AP523" s="46">
        <v>3.7499999999999999E-2</v>
      </c>
      <c r="AQ523" s="46">
        <v>3.6900000000000002E-2</v>
      </c>
      <c r="AR523" s="45">
        <f t="shared" si="142"/>
        <v>3.7199999999999997E-2</v>
      </c>
      <c r="AS523" s="3">
        <v>9.9</v>
      </c>
      <c r="AT523" s="97">
        <v>4.57</v>
      </c>
    </row>
    <row r="524" spans="1:46">
      <c r="A524" s="7" t="s">
        <v>13</v>
      </c>
      <c r="B524" s="5" t="s">
        <v>66</v>
      </c>
      <c r="C524" s="6" t="s">
        <v>44</v>
      </c>
      <c r="D524" s="6" t="s">
        <v>67</v>
      </c>
      <c r="E524" s="23">
        <v>14.9</v>
      </c>
      <c r="F524" s="23">
        <v>6.8</v>
      </c>
      <c r="G524" s="41">
        <v>213</v>
      </c>
      <c r="H524" s="24">
        <v>11.3</v>
      </c>
      <c r="I524" s="23">
        <v>0.8</v>
      </c>
      <c r="J524" s="23">
        <v>3.9</v>
      </c>
      <c r="K524" s="15">
        <v>2.9</v>
      </c>
      <c r="L524" s="15">
        <v>3.1</v>
      </c>
      <c r="M524" s="15"/>
      <c r="N524" s="20">
        <f t="shared" si="132"/>
        <v>3</v>
      </c>
      <c r="O524" s="37">
        <v>2.6</v>
      </c>
      <c r="P524" s="37">
        <v>2.5</v>
      </c>
      <c r="Q524" s="38">
        <f t="shared" si="133"/>
        <v>2.6</v>
      </c>
      <c r="R524" s="17">
        <v>2.4980000000000002</v>
      </c>
      <c r="S524" s="17">
        <v>2.492</v>
      </c>
      <c r="T524" s="22">
        <f t="shared" si="134"/>
        <v>2.4950000000000001</v>
      </c>
      <c r="U524" s="17">
        <v>2.4260000000000002</v>
      </c>
      <c r="V524" s="17">
        <v>2.4180000000000001</v>
      </c>
      <c r="W524" s="22">
        <f t="shared" si="135"/>
        <v>2.4220000000000002</v>
      </c>
      <c r="X524" s="17">
        <v>4.1000000000000002E-2</v>
      </c>
      <c r="Y524" s="17">
        <v>3.9E-2</v>
      </c>
      <c r="Z524" s="21">
        <f t="shared" si="136"/>
        <v>0.04</v>
      </c>
      <c r="AA524" s="19">
        <v>1.66</v>
      </c>
      <c r="AB524" s="19">
        <v>1.657</v>
      </c>
      <c r="AC524" s="21">
        <f t="shared" si="137"/>
        <v>1.659</v>
      </c>
      <c r="AD524" s="19">
        <v>0.05</v>
      </c>
      <c r="AE524" s="19">
        <v>5.5E-2</v>
      </c>
      <c r="AF524" s="21">
        <f t="shared" si="138"/>
        <v>5.2999999999999999E-2</v>
      </c>
      <c r="AG524" s="19">
        <v>3.3000000000000002E-2</v>
      </c>
      <c r="AH524" s="19">
        <v>3.1E-2</v>
      </c>
      <c r="AI524" s="21">
        <f t="shared" si="139"/>
        <v>3.2000000000000001E-2</v>
      </c>
      <c r="AJ524" s="19">
        <v>2.5999999999999999E-2</v>
      </c>
      <c r="AK524" s="19">
        <v>2.5000000000000001E-2</v>
      </c>
      <c r="AL524" s="21">
        <f t="shared" si="140"/>
        <v>2.5999999999999999E-2</v>
      </c>
      <c r="AM524" s="19">
        <v>12.382999999999999</v>
      </c>
      <c r="AN524" s="19">
        <v>12.327999999999999</v>
      </c>
      <c r="AO524" s="21">
        <f t="shared" si="141"/>
        <v>12.356</v>
      </c>
      <c r="AP524" s="46">
        <v>6.7199999999999996E-2</v>
      </c>
      <c r="AQ524" s="46">
        <v>6.7199999999999996E-2</v>
      </c>
      <c r="AR524" s="45">
        <f t="shared" si="142"/>
        <v>6.7199999999999996E-2</v>
      </c>
      <c r="AS524" s="3">
        <v>10.37</v>
      </c>
      <c r="AT524">
        <v>3.36</v>
      </c>
    </row>
    <row r="525" spans="1:46">
      <c r="A525" s="7" t="s">
        <v>14</v>
      </c>
      <c r="B525" s="5" t="s">
        <v>64</v>
      </c>
      <c r="C525" s="6" t="s">
        <v>68</v>
      </c>
      <c r="D525" s="6" t="s">
        <v>36</v>
      </c>
      <c r="E525" s="23">
        <v>15</v>
      </c>
      <c r="F525" s="23">
        <v>6.9</v>
      </c>
      <c r="G525" s="41">
        <v>137</v>
      </c>
      <c r="H525" s="24">
        <v>9.6999999999999993</v>
      </c>
      <c r="I525" s="23">
        <v>0.5</v>
      </c>
      <c r="J525" s="23">
        <v>2.2000000000000002</v>
      </c>
      <c r="K525" s="15">
        <v>1.6</v>
      </c>
      <c r="L525" s="15">
        <v>1.6</v>
      </c>
      <c r="M525" s="15"/>
      <c r="N525" s="20">
        <f t="shared" si="132"/>
        <v>1.6</v>
      </c>
      <c r="O525" s="37">
        <v>1.5</v>
      </c>
      <c r="P525" s="37">
        <v>1.4</v>
      </c>
      <c r="Q525" s="38">
        <f t="shared" si="133"/>
        <v>1.5</v>
      </c>
      <c r="R525" s="17">
        <v>1.89</v>
      </c>
      <c r="S525" s="17">
        <v>1.8620000000000001</v>
      </c>
      <c r="T525" s="22">
        <f t="shared" si="134"/>
        <v>1.8759999999999999</v>
      </c>
      <c r="U525" s="17">
        <v>1.7889999999999999</v>
      </c>
      <c r="V525" s="17">
        <v>1.7789999999999999</v>
      </c>
      <c r="W525" s="22">
        <f t="shared" si="135"/>
        <v>1.784</v>
      </c>
      <c r="X525" s="17">
        <v>2.1000000000000001E-2</v>
      </c>
      <c r="Y525" s="17">
        <v>2.1999999999999999E-2</v>
      </c>
      <c r="Z525" s="21">
        <f t="shared" si="136"/>
        <v>2.1999999999999999E-2</v>
      </c>
      <c r="AA525" s="19">
        <v>1.274</v>
      </c>
      <c r="AB525" s="19">
        <v>1.2629999999999999</v>
      </c>
      <c r="AC525" s="21">
        <f t="shared" si="137"/>
        <v>1.2689999999999999</v>
      </c>
      <c r="AD525" s="19">
        <v>8.5999999999999993E-2</v>
      </c>
      <c r="AE525" s="19">
        <v>8.7999999999999995E-2</v>
      </c>
      <c r="AF525" s="21">
        <f t="shared" si="138"/>
        <v>8.6999999999999994E-2</v>
      </c>
      <c r="AG525" s="19">
        <v>6.3E-2</v>
      </c>
      <c r="AH525" s="19">
        <v>6.4000000000000001E-2</v>
      </c>
      <c r="AI525" s="21">
        <f t="shared" si="139"/>
        <v>6.4000000000000001E-2</v>
      </c>
      <c r="AJ525" s="19">
        <v>6.2E-2</v>
      </c>
      <c r="AK525" s="19">
        <v>6.3E-2</v>
      </c>
      <c r="AL525" s="21">
        <f t="shared" si="140"/>
        <v>6.3E-2</v>
      </c>
      <c r="AM525" s="19">
        <v>7.3259999999999996</v>
      </c>
      <c r="AN525" s="19">
        <v>7.3029999999999999</v>
      </c>
      <c r="AO525" s="21">
        <f t="shared" si="141"/>
        <v>7.3150000000000004</v>
      </c>
      <c r="AP525" s="46">
        <v>3.7199999999999997E-2</v>
      </c>
      <c r="AQ525" s="46">
        <v>3.7499999999999999E-2</v>
      </c>
      <c r="AR525" s="45">
        <f t="shared" si="142"/>
        <v>3.7400000000000003E-2</v>
      </c>
      <c r="AS525" s="3">
        <v>9.3000000000000007</v>
      </c>
      <c r="AT525" s="97">
        <v>4.78</v>
      </c>
    </row>
    <row r="526" spans="1:46">
      <c r="A526" s="7" t="s">
        <v>15</v>
      </c>
      <c r="B526" s="5" t="s">
        <v>69</v>
      </c>
      <c r="C526" s="6" t="s">
        <v>70</v>
      </c>
      <c r="D526" s="6" t="s">
        <v>71</v>
      </c>
      <c r="E526" s="23">
        <v>16</v>
      </c>
      <c r="F526" s="23">
        <v>6.9</v>
      </c>
      <c r="G526" s="41">
        <v>176</v>
      </c>
      <c r="H526" s="24">
        <v>9.6999999999999993</v>
      </c>
      <c r="I526" s="23">
        <v>0.5</v>
      </c>
      <c r="J526" s="23">
        <v>3.6</v>
      </c>
      <c r="K526" s="15">
        <v>2.6</v>
      </c>
      <c r="L526" s="15">
        <v>2.8</v>
      </c>
      <c r="M526" s="15"/>
      <c r="N526" s="20">
        <f t="shared" si="132"/>
        <v>2.7</v>
      </c>
      <c r="O526" s="37">
        <v>2.4</v>
      </c>
      <c r="P526" s="37">
        <v>2.4</v>
      </c>
      <c r="Q526" s="38">
        <f t="shared" si="133"/>
        <v>2.4</v>
      </c>
      <c r="R526" s="17">
        <v>1.216</v>
      </c>
      <c r="S526" s="17">
        <v>1.236</v>
      </c>
      <c r="T526" s="22">
        <f t="shared" si="134"/>
        <v>1.226</v>
      </c>
      <c r="U526" s="17">
        <v>1.1719999999999999</v>
      </c>
      <c r="V526" s="17">
        <v>1.149</v>
      </c>
      <c r="W526" s="22">
        <f t="shared" si="135"/>
        <v>1.161</v>
      </c>
      <c r="X526" s="17">
        <v>1.4999999999999999E-2</v>
      </c>
      <c r="Y526" s="17">
        <v>1.6E-2</v>
      </c>
      <c r="Z526" s="21">
        <f t="shared" si="136"/>
        <v>1.6E-2</v>
      </c>
      <c r="AA526" s="19">
        <v>0.80100000000000005</v>
      </c>
      <c r="AB526" s="19">
        <v>0.79500000000000004</v>
      </c>
      <c r="AC526" s="21">
        <f t="shared" si="137"/>
        <v>0.79800000000000004</v>
      </c>
      <c r="AD526" s="19">
        <v>1.2999999999999999E-2</v>
      </c>
      <c r="AE526" s="19">
        <v>1.7999999999999999E-2</v>
      </c>
      <c r="AF526" s="21">
        <f t="shared" si="138"/>
        <v>1.6E-2</v>
      </c>
      <c r="AG526" s="19">
        <v>8.0000000000000002E-3</v>
      </c>
      <c r="AH526" s="19">
        <v>5.0000000000000001E-3</v>
      </c>
      <c r="AI526" s="21">
        <f t="shared" si="139"/>
        <v>7.0000000000000001E-3</v>
      </c>
      <c r="AJ526" s="19">
        <v>1E-3</v>
      </c>
      <c r="AK526" s="19">
        <v>0</v>
      </c>
      <c r="AL526" s="21">
        <f t="shared" si="140"/>
        <v>1E-3</v>
      </c>
      <c r="AM526" s="19">
        <v>4.3479999999999999</v>
      </c>
      <c r="AN526" s="19">
        <v>4.3220000000000001</v>
      </c>
      <c r="AO526" s="21">
        <f t="shared" si="141"/>
        <v>4.335</v>
      </c>
      <c r="AP526" s="46">
        <v>6.2E-2</v>
      </c>
      <c r="AQ526" s="46">
        <v>6.1400000000000003E-2</v>
      </c>
      <c r="AR526" s="45">
        <f t="shared" si="142"/>
        <v>6.1699999999999998E-2</v>
      </c>
      <c r="AS526" s="96">
        <v>4.1100000000000003</v>
      </c>
      <c r="AT526">
        <v>0.88</v>
      </c>
    </row>
    <row r="527" spans="1:46">
      <c r="A527" s="7" t="s">
        <v>16</v>
      </c>
      <c r="B527" s="5" t="s">
        <v>72</v>
      </c>
      <c r="C527" s="6" t="s">
        <v>73</v>
      </c>
      <c r="D527" s="6" t="s">
        <v>36</v>
      </c>
      <c r="E527" s="23">
        <v>14.9</v>
      </c>
      <c r="F527" s="23">
        <v>7</v>
      </c>
      <c r="G527" s="41">
        <v>145</v>
      </c>
      <c r="H527" s="24">
        <v>10.5</v>
      </c>
      <c r="I527" s="23">
        <v>0.5</v>
      </c>
      <c r="J527" s="23">
        <v>2.5</v>
      </c>
      <c r="K527" s="15">
        <v>1.8</v>
      </c>
      <c r="L527" s="15">
        <v>1.9</v>
      </c>
      <c r="M527" s="15"/>
      <c r="N527" s="20">
        <f t="shared" si="132"/>
        <v>1.9</v>
      </c>
      <c r="O527" s="37">
        <v>1.6</v>
      </c>
      <c r="P527" s="37">
        <v>1.6</v>
      </c>
      <c r="Q527" s="38">
        <f t="shared" si="133"/>
        <v>1.6</v>
      </c>
      <c r="R527" s="17">
        <v>1.736</v>
      </c>
      <c r="S527" s="17">
        <v>1.7410000000000001</v>
      </c>
      <c r="T527" s="22">
        <f t="shared" si="134"/>
        <v>1.7390000000000001</v>
      </c>
      <c r="U527" s="17">
        <v>1.708</v>
      </c>
      <c r="V527" s="17">
        <v>1.6970000000000001</v>
      </c>
      <c r="W527" s="22">
        <f t="shared" si="135"/>
        <v>1.7030000000000001</v>
      </c>
      <c r="X527" s="17">
        <v>1.7000000000000001E-2</v>
      </c>
      <c r="Y527" s="17">
        <v>1.7000000000000001E-2</v>
      </c>
      <c r="Z527" s="21">
        <f t="shared" si="136"/>
        <v>1.7000000000000001E-2</v>
      </c>
      <c r="AA527" s="19">
        <v>1.194</v>
      </c>
      <c r="AB527" s="19">
        <v>1.19</v>
      </c>
      <c r="AC527" s="21">
        <f t="shared" si="137"/>
        <v>1.1919999999999999</v>
      </c>
      <c r="AD527" s="19">
        <v>0.06</v>
      </c>
      <c r="AE527" s="19">
        <v>6.5000000000000002E-2</v>
      </c>
      <c r="AF527" s="21">
        <f t="shared" si="138"/>
        <v>6.3E-2</v>
      </c>
      <c r="AG527" s="19">
        <v>0.04</v>
      </c>
      <c r="AH527" s="19">
        <v>4.2000000000000003E-2</v>
      </c>
      <c r="AI527" s="21">
        <f t="shared" si="139"/>
        <v>4.1000000000000002E-2</v>
      </c>
      <c r="AJ527" s="19">
        <v>3.9E-2</v>
      </c>
      <c r="AK527" s="19">
        <v>0.04</v>
      </c>
      <c r="AL527" s="21">
        <f t="shared" si="140"/>
        <v>0.04</v>
      </c>
      <c r="AM527" s="19">
        <v>7.226</v>
      </c>
      <c r="AN527" s="19">
        <v>7.1820000000000004</v>
      </c>
      <c r="AO527" s="21">
        <f t="shared" si="141"/>
        <v>7.2039999999999997</v>
      </c>
      <c r="AP527" s="46">
        <v>4.1300000000000003E-2</v>
      </c>
      <c r="AQ527" s="46">
        <v>4.1500000000000002E-2</v>
      </c>
      <c r="AR527" s="45">
        <f t="shared" si="142"/>
        <v>4.1399999999999999E-2</v>
      </c>
      <c r="AS527" s="3">
        <v>9.08</v>
      </c>
      <c r="AT527" s="97">
        <v>4.32</v>
      </c>
    </row>
    <row r="528" spans="1:46">
      <c r="A528" s="7" t="s">
        <v>17</v>
      </c>
      <c r="B528" s="5" t="s">
        <v>74</v>
      </c>
      <c r="C528" s="6" t="s">
        <v>75</v>
      </c>
      <c r="D528" s="6" t="s">
        <v>76</v>
      </c>
      <c r="E528" s="23">
        <v>15.6</v>
      </c>
      <c r="F528" s="23">
        <v>7.3</v>
      </c>
      <c r="G528" s="41">
        <v>314</v>
      </c>
      <c r="H528" s="24">
        <v>10.6</v>
      </c>
      <c r="I528" s="23">
        <v>0.7</v>
      </c>
      <c r="J528" s="23">
        <v>2.6</v>
      </c>
      <c r="K528" s="15">
        <v>2.2999999999999998</v>
      </c>
      <c r="L528" s="15">
        <v>2</v>
      </c>
      <c r="M528" s="15"/>
      <c r="N528" s="20">
        <f t="shared" si="132"/>
        <v>2.2000000000000002</v>
      </c>
      <c r="O528" s="37">
        <v>1.7</v>
      </c>
      <c r="P528" s="37">
        <v>1.5</v>
      </c>
      <c r="Q528" s="38">
        <f t="shared" si="133"/>
        <v>1.6</v>
      </c>
      <c r="R528" s="17">
        <v>1.988</v>
      </c>
      <c r="S528" s="17">
        <v>1.972</v>
      </c>
      <c r="T528" s="22">
        <f t="shared" si="134"/>
        <v>1.98</v>
      </c>
      <c r="U528" s="17">
        <v>1.9139999999999999</v>
      </c>
      <c r="V528" s="17">
        <v>1.895</v>
      </c>
      <c r="W528" s="22">
        <f t="shared" si="135"/>
        <v>1.905</v>
      </c>
      <c r="X528" s="17">
        <v>3.3000000000000002E-2</v>
      </c>
      <c r="Y528" s="17">
        <v>3.3000000000000002E-2</v>
      </c>
      <c r="Z528" s="21">
        <f t="shared" si="136"/>
        <v>3.3000000000000002E-2</v>
      </c>
      <c r="AA528" s="19">
        <v>1.3260000000000001</v>
      </c>
      <c r="AB528" s="19">
        <v>1.327</v>
      </c>
      <c r="AC528" s="21">
        <f t="shared" si="137"/>
        <v>1.327</v>
      </c>
      <c r="AD528" s="19">
        <v>0.10299999999999999</v>
      </c>
      <c r="AE528" s="19">
        <v>0.10199999999999999</v>
      </c>
      <c r="AF528" s="21">
        <f t="shared" si="138"/>
        <v>0.10299999999999999</v>
      </c>
      <c r="AG528" s="19">
        <v>6.8000000000000005E-2</v>
      </c>
      <c r="AH528" s="19">
        <v>6.9000000000000006E-2</v>
      </c>
      <c r="AI528" s="21">
        <f t="shared" si="139"/>
        <v>6.9000000000000006E-2</v>
      </c>
      <c r="AJ528" s="19">
        <v>6.6000000000000003E-2</v>
      </c>
      <c r="AK528" s="19">
        <v>6.8000000000000005E-2</v>
      </c>
      <c r="AL528" s="21">
        <f t="shared" si="140"/>
        <v>6.7000000000000004E-2</v>
      </c>
      <c r="AM528" s="19">
        <v>11.935</v>
      </c>
      <c r="AN528" s="19">
        <v>11.891999999999999</v>
      </c>
      <c r="AO528" s="21">
        <f t="shared" si="141"/>
        <v>11.914</v>
      </c>
      <c r="AP528" s="46">
        <v>3.5299999999999998E-2</v>
      </c>
      <c r="AQ528" s="46">
        <v>3.6299999999999999E-2</v>
      </c>
      <c r="AR528" s="45">
        <f t="shared" si="142"/>
        <v>3.5799999999999998E-2</v>
      </c>
      <c r="AS528" s="3">
        <v>10.59</v>
      </c>
      <c r="AT528">
        <v>4.21</v>
      </c>
    </row>
    <row r="529" spans="1:46">
      <c r="A529" s="7" t="s">
        <v>18</v>
      </c>
      <c r="B529" s="5" t="s">
        <v>109</v>
      </c>
      <c r="C529" s="6" t="s">
        <v>77</v>
      </c>
      <c r="D529" s="6" t="s">
        <v>36</v>
      </c>
      <c r="E529" s="23">
        <v>15.7</v>
      </c>
      <c r="F529" s="23">
        <v>7.2</v>
      </c>
      <c r="G529" s="41">
        <v>219</v>
      </c>
      <c r="H529" s="24">
        <v>11</v>
      </c>
      <c r="I529" s="23">
        <v>0.4</v>
      </c>
      <c r="J529" s="23">
        <v>3.1</v>
      </c>
      <c r="K529" s="15">
        <v>2.2999999999999998</v>
      </c>
      <c r="L529" s="15">
        <v>2.2999999999999998</v>
      </c>
      <c r="M529" s="15"/>
      <c r="N529" s="20">
        <f t="shared" si="132"/>
        <v>2.2999999999999998</v>
      </c>
      <c r="O529" s="37">
        <v>1.9</v>
      </c>
      <c r="P529" s="37">
        <v>2.1</v>
      </c>
      <c r="Q529" s="38">
        <f t="shared" si="133"/>
        <v>2</v>
      </c>
      <c r="R529" s="17">
        <v>2.5139999999999998</v>
      </c>
      <c r="S529" s="17">
        <v>2.4820000000000002</v>
      </c>
      <c r="T529" s="22">
        <f t="shared" si="134"/>
        <v>2.4980000000000002</v>
      </c>
      <c r="U529" s="17">
        <v>2.415</v>
      </c>
      <c r="V529" s="17">
        <v>2.3969999999999998</v>
      </c>
      <c r="W529" s="22">
        <f t="shared" si="135"/>
        <v>2.4060000000000001</v>
      </c>
      <c r="X529" s="17">
        <v>6.4000000000000001E-2</v>
      </c>
      <c r="Y529" s="17">
        <v>6.5000000000000002E-2</v>
      </c>
      <c r="Z529" s="21">
        <f t="shared" si="136"/>
        <v>6.5000000000000002E-2</v>
      </c>
      <c r="AA529" s="19">
        <v>1.6759999999999999</v>
      </c>
      <c r="AB529" s="19">
        <v>1.677</v>
      </c>
      <c r="AC529" s="21">
        <f t="shared" si="137"/>
        <v>1.677</v>
      </c>
      <c r="AD529" s="19">
        <v>8.1000000000000003E-2</v>
      </c>
      <c r="AE529" s="19">
        <v>8.7999999999999995E-2</v>
      </c>
      <c r="AF529" s="21">
        <f t="shared" si="138"/>
        <v>8.5000000000000006E-2</v>
      </c>
      <c r="AG529" s="19">
        <v>5.6000000000000001E-2</v>
      </c>
      <c r="AH529" s="19">
        <v>6.0999999999999999E-2</v>
      </c>
      <c r="AI529" s="21">
        <f t="shared" si="139"/>
        <v>5.8999999999999997E-2</v>
      </c>
      <c r="AJ529" s="19">
        <v>5.5E-2</v>
      </c>
      <c r="AK529" s="19">
        <v>5.8999999999999997E-2</v>
      </c>
      <c r="AL529" s="21">
        <f t="shared" si="140"/>
        <v>5.7000000000000002E-2</v>
      </c>
      <c r="AM529" s="19">
        <v>12.375999999999999</v>
      </c>
      <c r="AN529" s="19">
        <v>12.335000000000001</v>
      </c>
      <c r="AO529" s="21">
        <f t="shared" si="141"/>
        <v>12.356</v>
      </c>
      <c r="AP529" s="46">
        <v>4.7600000000000003E-2</v>
      </c>
      <c r="AQ529" s="46">
        <v>4.7E-2</v>
      </c>
      <c r="AR529" s="45">
        <f t="shared" si="142"/>
        <v>4.7300000000000002E-2</v>
      </c>
      <c r="AS529" s="3">
        <v>9.73</v>
      </c>
      <c r="AT529" s="97">
        <v>4.3600000000000003</v>
      </c>
    </row>
    <row r="530" spans="1:46">
      <c r="A530" s="7" t="s">
        <v>19</v>
      </c>
      <c r="B530" s="5" t="s">
        <v>78</v>
      </c>
      <c r="C530" s="6" t="s">
        <v>44</v>
      </c>
      <c r="D530" s="6" t="s">
        <v>79</v>
      </c>
      <c r="E530" s="23">
        <v>16.100000000000001</v>
      </c>
      <c r="F530" s="23">
        <v>8</v>
      </c>
      <c r="G530" s="41">
        <v>235</v>
      </c>
      <c r="H530" s="24">
        <v>11.6</v>
      </c>
      <c r="I530" s="23">
        <v>0.6</v>
      </c>
      <c r="J530" s="23">
        <v>2.9</v>
      </c>
      <c r="K530" s="15">
        <v>2.5</v>
      </c>
      <c r="L530" s="15">
        <v>2.8</v>
      </c>
      <c r="M530" s="15"/>
      <c r="N530" s="20">
        <f t="shared" si="132"/>
        <v>2.7</v>
      </c>
      <c r="O530" s="37">
        <v>2</v>
      </c>
      <c r="P530" s="37">
        <v>1.9</v>
      </c>
      <c r="Q530" s="38">
        <f t="shared" si="133"/>
        <v>2</v>
      </c>
      <c r="R530" s="17">
        <v>1.7310000000000001</v>
      </c>
      <c r="S530" s="17">
        <v>1.6870000000000001</v>
      </c>
      <c r="T530" s="22">
        <f t="shared" si="134"/>
        <v>1.7090000000000001</v>
      </c>
      <c r="U530" s="17">
        <v>1.647</v>
      </c>
      <c r="V530" s="17">
        <v>1.6379999999999999</v>
      </c>
      <c r="W530" s="22">
        <f t="shared" si="135"/>
        <v>1.643</v>
      </c>
      <c r="X530" s="17">
        <v>1.7000000000000001E-2</v>
      </c>
      <c r="Y530" s="17">
        <v>1.7000000000000001E-2</v>
      </c>
      <c r="Z530" s="21">
        <f t="shared" si="136"/>
        <v>1.7000000000000001E-2</v>
      </c>
      <c r="AA530" s="19">
        <v>1.0980000000000001</v>
      </c>
      <c r="AB530" s="19">
        <v>1.0940000000000001</v>
      </c>
      <c r="AC530" s="21">
        <f t="shared" si="137"/>
        <v>1.0960000000000001</v>
      </c>
      <c r="AD530" s="19">
        <v>3.7999999999999999E-2</v>
      </c>
      <c r="AE530" s="19">
        <v>4.2000000000000003E-2</v>
      </c>
      <c r="AF530" s="21">
        <f t="shared" si="138"/>
        <v>0.04</v>
      </c>
      <c r="AG530" s="19">
        <v>2.5999999999999999E-2</v>
      </c>
      <c r="AH530" s="19">
        <v>2.4E-2</v>
      </c>
      <c r="AI530" s="21">
        <f t="shared" si="139"/>
        <v>2.5000000000000001E-2</v>
      </c>
      <c r="AJ530" s="19">
        <v>0.02</v>
      </c>
      <c r="AK530" s="19">
        <v>1.9E-2</v>
      </c>
      <c r="AL530" s="21">
        <f t="shared" si="140"/>
        <v>0.02</v>
      </c>
      <c r="AM530" s="19">
        <v>24.965</v>
      </c>
      <c r="AN530" s="19">
        <v>24.891999999999999</v>
      </c>
      <c r="AO530" s="21">
        <f t="shared" si="141"/>
        <v>24.928999999999998</v>
      </c>
      <c r="AP530" s="46">
        <v>4.24E-2</v>
      </c>
      <c r="AQ530" s="46">
        <v>4.2299999999999997E-2</v>
      </c>
      <c r="AR530" s="45">
        <f t="shared" si="142"/>
        <v>4.24E-2</v>
      </c>
      <c r="AS530" s="3">
        <v>12.48</v>
      </c>
      <c r="AT530">
        <v>2.4700000000000002</v>
      </c>
    </row>
    <row r="531" spans="1:46">
      <c r="A531" s="7" t="s">
        <v>20</v>
      </c>
      <c r="B531" s="5" t="s">
        <v>80</v>
      </c>
      <c r="C531" s="6" t="s">
        <v>81</v>
      </c>
      <c r="D531" s="6" t="s">
        <v>36</v>
      </c>
      <c r="E531" s="23">
        <v>15.8</v>
      </c>
      <c r="F531" s="23">
        <v>7.8</v>
      </c>
      <c r="G531" s="41">
        <v>207</v>
      </c>
      <c r="H531" s="24">
        <v>11.1</v>
      </c>
      <c r="I531" s="23">
        <v>0.7</v>
      </c>
      <c r="J531" s="23">
        <v>2.6</v>
      </c>
      <c r="K531" s="15">
        <v>2.4</v>
      </c>
      <c r="L531" s="15">
        <v>2.2000000000000002</v>
      </c>
      <c r="M531" s="15"/>
      <c r="N531" s="20">
        <f t="shared" si="132"/>
        <v>2.2999999999999998</v>
      </c>
      <c r="O531" s="37">
        <v>1.9</v>
      </c>
      <c r="P531" s="37">
        <v>1.8</v>
      </c>
      <c r="Q531" s="38">
        <f t="shared" si="133"/>
        <v>1.9</v>
      </c>
      <c r="R531" s="17">
        <v>2.464</v>
      </c>
      <c r="S531" s="17">
        <v>2.444</v>
      </c>
      <c r="T531" s="22">
        <f t="shared" si="134"/>
        <v>2.4540000000000002</v>
      </c>
      <c r="U531" s="17">
        <v>2.351</v>
      </c>
      <c r="V531" s="17">
        <v>2.3559999999999999</v>
      </c>
      <c r="W531" s="22">
        <f t="shared" si="135"/>
        <v>2.3540000000000001</v>
      </c>
      <c r="X531" s="17">
        <v>2.8000000000000001E-2</v>
      </c>
      <c r="Y531" s="17">
        <v>2.5999999999999999E-2</v>
      </c>
      <c r="Z531" s="21">
        <f t="shared" si="136"/>
        <v>2.7E-2</v>
      </c>
      <c r="AA531" s="19">
        <v>1.659</v>
      </c>
      <c r="AB531" s="19">
        <v>1.651</v>
      </c>
      <c r="AC531" s="21">
        <f t="shared" si="137"/>
        <v>1.655</v>
      </c>
      <c r="AD531" s="19">
        <v>9.1999999999999998E-2</v>
      </c>
      <c r="AE531" s="19">
        <v>0.10199999999999999</v>
      </c>
      <c r="AF531" s="21">
        <f t="shared" si="138"/>
        <v>9.7000000000000003E-2</v>
      </c>
      <c r="AG531" s="19">
        <v>6.7000000000000004E-2</v>
      </c>
      <c r="AH531" s="19">
        <v>6.8000000000000005E-2</v>
      </c>
      <c r="AI531" s="21">
        <f t="shared" si="139"/>
        <v>6.8000000000000005E-2</v>
      </c>
      <c r="AJ531" s="19">
        <v>6.6000000000000003E-2</v>
      </c>
      <c r="AK531" s="19">
        <v>6.6000000000000003E-2</v>
      </c>
      <c r="AL531" s="21">
        <f t="shared" si="140"/>
        <v>6.6000000000000003E-2</v>
      </c>
      <c r="AM531" s="19">
        <v>11.534000000000001</v>
      </c>
      <c r="AN531" s="19">
        <v>11.494</v>
      </c>
      <c r="AO531" s="21">
        <f t="shared" si="141"/>
        <v>11.513999999999999</v>
      </c>
      <c r="AP531" s="46">
        <v>4.3499999999999997E-2</v>
      </c>
      <c r="AQ531" s="46">
        <v>4.3499999999999997E-2</v>
      </c>
      <c r="AR531" s="45">
        <f t="shared" si="142"/>
        <v>4.3499999999999997E-2</v>
      </c>
      <c r="AS531" s="3">
        <v>9.1</v>
      </c>
      <c r="AT531" s="97">
        <v>4.71</v>
      </c>
    </row>
    <row r="532" spans="1:46">
      <c r="A532" s="7" t="s">
        <v>21</v>
      </c>
      <c r="B532" s="5" t="s">
        <v>82</v>
      </c>
      <c r="C532" s="6" t="s">
        <v>44</v>
      </c>
      <c r="D532" s="6" t="s">
        <v>83</v>
      </c>
      <c r="E532" s="23">
        <v>15.2</v>
      </c>
      <c r="F532" s="23">
        <v>7.4</v>
      </c>
      <c r="G532" s="41">
        <v>234</v>
      </c>
      <c r="H532" s="24">
        <v>11.1</v>
      </c>
      <c r="I532" s="23">
        <v>0.7</v>
      </c>
      <c r="J532" s="23">
        <v>4.4000000000000004</v>
      </c>
      <c r="K532" s="15">
        <v>3.5</v>
      </c>
      <c r="L532" s="15">
        <v>3.3</v>
      </c>
      <c r="M532" s="15"/>
      <c r="N532" s="20">
        <f t="shared" si="132"/>
        <v>3.4</v>
      </c>
      <c r="O532" s="37">
        <v>2.8</v>
      </c>
      <c r="P532" s="37">
        <v>2.7</v>
      </c>
      <c r="Q532" s="38">
        <f t="shared" si="133"/>
        <v>2.8</v>
      </c>
      <c r="R532" s="17">
        <v>4.7930000000000001</v>
      </c>
      <c r="S532" s="17">
        <v>4.7649999999999997</v>
      </c>
      <c r="T532" s="22">
        <f t="shared" si="134"/>
        <v>4.7789999999999999</v>
      </c>
      <c r="U532" s="17">
        <v>4.7240000000000002</v>
      </c>
      <c r="V532" s="17">
        <v>4.7240000000000002</v>
      </c>
      <c r="W532" s="22">
        <f t="shared" si="135"/>
        <v>4.7240000000000002</v>
      </c>
      <c r="X532" s="17">
        <v>0.17</v>
      </c>
      <c r="Y532" s="17">
        <v>0.16600000000000001</v>
      </c>
      <c r="Z532" s="21">
        <f t="shared" si="136"/>
        <v>0.16800000000000001</v>
      </c>
      <c r="AA532" s="19">
        <v>3.3330000000000002</v>
      </c>
      <c r="AB532" s="19">
        <v>3.3239999999999998</v>
      </c>
      <c r="AC532" s="21">
        <f t="shared" si="137"/>
        <v>3.3290000000000002</v>
      </c>
      <c r="AD532" s="19">
        <v>0.32600000000000001</v>
      </c>
      <c r="AE532" s="19">
        <v>0.33300000000000002</v>
      </c>
      <c r="AF532" s="21">
        <f t="shared" si="138"/>
        <v>0.33</v>
      </c>
      <c r="AG532" s="19">
        <v>0.251</v>
      </c>
      <c r="AH532" s="19">
        <v>0.255</v>
      </c>
      <c r="AI532" s="21">
        <f t="shared" si="139"/>
        <v>0.253</v>
      </c>
      <c r="AJ532" s="19">
        <v>0.249</v>
      </c>
      <c r="AK532" s="19">
        <v>0.251</v>
      </c>
      <c r="AL532" s="21">
        <f t="shared" si="140"/>
        <v>0.25</v>
      </c>
      <c r="AM532" s="19">
        <v>12.359</v>
      </c>
      <c r="AN532" s="19">
        <v>12.303000000000001</v>
      </c>
      <c r="AO532" s="21">
        <f t="shared" si="141"/>
        <v>12.331</v>
      </c>
      <c r="AP532" s="46">
        <v>7.3099999999999998E-2</v>
      </c>
      <c r="AQ532" s="46">
        <v>7.3899999999999993E-2</v>
      </c>
      <c r="AR532" s="45">
        <f t="shared" si="142"/>
        <v>7.3499999999999996E-2</v>
      </c>
      <c r="AS532" s="102">
        <v>6.28</v>
      </c>
      <c r="AT532">
        <v>8.36</v>
      </c>
    </row>
    <row r="533" spans="1:46">
      <c r="A533" s="7" t="s">
        <v>22</v>
      </c>
      <c r="B533" s="5" t="s">
        <v>84</v>
      </c>
      <c r="C533" s="6" t="s">
        <v>85</v>
      </c>
      <c r="D533" s="6" t="s">
        <v>36</v>
      </c>
      <c r="E533" s="23">
        <v>15.2</v>
      </c>
      <c r="F533" s="23">
        <v>7.6</v>
      </c>
      <c r="G533" s="41">
        <v>212</v>
      </c>
      <c r="H533" s="24">
        <v>11.9</v>
      </c>
      <c r="I533" s="23">
        <v>0.6</v>
      </c>
      <c r="J533" s="23">
        <v>2.7</v>
      </c>
      <c r="K533" s="15">
        <v>2.2000000000000002</v>
      </c>
      <c r="L533" s="15">
        <v>2.1</v>
      </c>
      <c r="M533" s="15"/>
      <c r="N533" s="20">
        <f t="shared" si="132"/>
        <v>2.2000000000000002</v>
      </c>
      <c r="O533" s="37">
        <v>1.8</v>
      </c>
      <c r="P533" s="37">
        <v>1.7</v>
      </c>
      <c r="Q533" s="38">
        <f t="shared" si="133"/>
        <v>1.8</v>
      </c>
      <c r="R533" s="17">
        <v>2.7010000000000001</v>
      </c>
      <c r="S533" s="17">
        <v>2.67</v>
      </c>
      <c r="T533" s="22">
        <f t="shared" si="134"/>
        <v>2.6859999999999999</v>
      </c>
      <c r="U533" s="17">
        <v>2.605</v>
      </c>
      <c r="V533" s="17">
        <v>2.5659999999999998</v>
      </c>
      <c r="W533" s="22">
        <f t="shared" si="135"/>
        <v>2.5859999999999999</v>
      </c>
      <c r="X533" s="17">
        <v>2.5999999999999999E-2</v>
      </c>
      <c r="Y533" s="17">
        <v>2.5999999999999999E-2</v>
      </c>
      <c r="Z533" s="21">
        <f t="shared" si="136"/>
        <v>2.5999999999999999E-2</v>
      </c>
      <c r="AA533" s="19">
        <v>1.835</v>
      </c>
      <c r="AB533" s="19">
        <v>1.8340000000000001</v>
      </c>
      <c r="AC533" s="21">
        <f t="shared" si="137"/>
        <v>1.835</v>
      </c>
      <c r="AD533" s="19">
        <v>0.127</v>
      </c>
      <c r="AE533" s="19">
        <v>0.13500000000000001</v>
      </c>
      <c r="AF533" s="21">
        <f t="shared" si="138"/>
        <v>0.13100000000000001</v>
      </c>
      <c r="AG533" s="19">
        <v>0.10199999999999999</v>
      </c>
      <c r="AH533" s="19">
        <v>9.8000000000000004E-2</v>
      </c>
      <c r="AI533" s="21">
        <f t="shared" si="139"/>
        <v>0.1</v>
      </c>
      <c r="AJ533" s="19">
        <v>9.9000000000000005E-2</v>
      </c>
      <c r="AK533" s="19">
        <v>9.7000000000000003E-2</v>
      </c>
      <c r="AL533" s="21">
        <f t="shared" si="140"/>
        <v>9.8000000000000004E-2</v>
      </c>
      <c r="AM533" s="19">
        <v>11.72</v>
      </c>
      <c r="AN533" s="19">
        <v>11.680999999999999</v>
      </c>
      <c r="AO533" s="21">
        <f t="shared" si="141"/>
        <v>11.701000000000001</v>
      </c>
      <c r="AP533" s="46">
        <v>4.3799999999999999E-2</v>
      </c>
      <c r="AQ533" s="46">
        <v>4.4299999999999999E-2</v>
      </c>
      <c r="AR533" s="45">
        <f t="shared" si="142"/>
        <v>4.41E-2</v>
      </c>
      <c r="AS533" s="3">
        <v>9.08</v>
      </c>
      <c r="AT533" s="88">
        <v>5.62</v>
      </c>
    </row>
    <row r="534" spans="1:46">
      <c r="A534" s="7" t="s">
        <v>23</v>
      </c>
      <c r="B534" s="5" t="s">
        <v>86</v>
      </c>
      <c r="C534" s="6" t="s">
        <v>87</v>
      </c>
      <c r="D534" s="6" t="s">
        <v>88</v>
      </c>
      <c r="E534" s="23">
        <v>14.9</v>
      </c>
      <c r="F534" s="23">
        <v>7.2</v>
      </c>
      <c r="G534" s="41">
        <v>176</v>
      </c>
      <c r="H534" s="24">
        <v>9.8000000000000007</v>
      </c>
      <c r="I534" s="23">
        <v>0.6</v>
      </c>
      <c r="J534" s="23">
        <v>3.7</v>
      </c>
      <c r="K534" s="15">
        <v>3.1</v>
      </c>
      <c r="L534" s="15">
        <v>2.8</v>
      </c>
      <c r="M534" s="15"/>
      <c r="N534" s="20">
        <f t="shared" si="132"/>
        <v>3</v>
      </c>
      <c r="O534" s="37">
        <v>2.4</v>
      </c>
      <c r="P534" s="37">
        <v>2.2999999999999998</v>
      </c>
      <c r="Q534" s="38">
        <f t="shared" si="133"/>
        <v>2.4</v>
      </c>
      <c r="R534" s="17">
        <v>2.2989999999999999</v>
      </c>
      <c r="S534" s="17">
        <v>2.2690000000000001</v>
      </c>
      <c r="T534" s="22">
        <f t="shared" si="134"/>
        <v>2.2839999999999998</v>
      </c>
      <c r="U534" s="17">
        <v>2.1989999999999998</v>
      </c>
      <c r="V534" s="17">
        <v>2.1949999999999998</v>
      </c>
      <c r="W534" s="22">
        <f t="shared" si="135"/>
        <v>2.1970000000000001</v>
      </c>
      <c r="X534" s="17">
        <v>1.6E-2</v>
      </c>
      <c r="Y534" s="17">
        <v>1.4999999999999999E-2</v>
      </c>
      <c r="Z534" s="21">
        <f t="shared" si="136"/>
        <v>1.6E-2</v>
      </c>
      <c r="AA534" s="19">
        <v>1.5189999999999999</v>
      </c>
      <c r="AB534" s="19">
        <v>1.506</v>
      </c>
      <c r="AC534" s="21">
        <f t="shared" si="137"/>
        <v>1.5129999999999999</v>
      </c>
      <c r="AD534" s="19">
        <v>0.14799999999999999</v>
      </c>
      <c r="AE534" s="19">
        <v>0.153</v>
      </c>
      <c r="AF534" s="21">
        <f t="shared" si="138"/>
        <v>0.151</v>
      </c>
      <c r="AG534" s="19">
        <v>0.114</v>
      </c>
      <c r="AH534" s="19">
        <v>0.11600000000000001</v>
      </c>
      <c r="AI534" s="21">
        <f t="shared" si="139"/>
        <v>0.115</v>
      </c>
      <c r="AJ534" s="19">
        <v>0.112</v>
      </c>
      <c r="AK534" s="19">
        <v>0.113</v>
      </c>
      <c r="AL534" s="21">
        <f t="shared" si="140"/>
        <v>0.113</v>
      </c>
      <c r="AM534" s="19">
        <v>9.1980000000000004</v>
      </c>
      <c r="AN534" s="19">
        <v>9.16</v>
      </c>
      <c r="AO534" s="21">
        <f t="shared" si="141"/>
        <v>9.1790000000000003</v>
      </c>
      <c r="AP534" s="46">
        <v>6.1800000000000001E-2</v>
      </c>
      <c r="AQ534" s="46">
        <v>6.2100000000000002E-2</v>
      </c>
      <c r="AR534" s="45">
        <f t="shared" si="142"/>
        <v>6.2E-2</v>
      </c>
      <c r="AS534" s="3">
        <v>12.37</v>
      </c>
      <c r="AT534">
        <v>3.18</v>
      </c>
    </row>
    <row r="535" spans="1:46">
      <c r="A535" s="7" t="s">
        <v>24</v>
      </c>
      <c r="B535" s="5" t="s">
        <v>89</v>
      </c>
      <c r="C535" s="6" t="s">
        <v>42</v>
      </c>
      <c r="D535" s="6" t="s">
        <v>36</v>
      </c>
      <c r="E535" s="23">
        <v>15.4</v>
      </c>
      <c r="F535" s="23">
        <v>7.7</v>
      </c>
      <c r="G535" s="41">
        <v>213</v>
      </c>
      <c r="H535" s="24">
        <v>11.2</v>
      </c>
      <c r="I535" s="23">
        <v>0.6</v>
      </c>
      <c r="J535" s="23">
        <v>2.7</v>
      </c>
      <c r="K535" s="15">
        <v>2.2000000000000002</v>
      </c>
      <c r="L535" s="15">
        <v>2.1</v>
      </c>
      <c r="M535" s="15"/>
      <c r="N535" s="20">
        <f t="shared" si="132"/>
        <v>2.2000000000000002</v>
      </c>
      <c r="O535" s="37">
        <v>1.8</v>
      </c>
      <c r="P535" s="37">
        <v>1.8</v>
      </c>
      <c r="Q535" s="38">
        <f t="shared" si="133"/>
        <v>1.8</v>
      </c>
      <c r="R535" s="17">
        <v>2.5489999999999999</v>
      </c>
      <c r="S535" s="17">
        <v>2.5219999999999998</v>
      </c>
      <c r="T535" s="22">
        <f t="shared" si="134"/>
        <v>2.536</v>
      </c>
      <c r="U535" s="17">
        <v>2.472</v>
      </c>
      <c r="V535" s="17">
        <v>2.464</v>
      </c>
      <c r="W535" s="22">
        <f t="shared" si="135"/>
        <v>2.468</v>
      </c>
      <c r="X535" s="17">
        <v>2.1999999999999999E-2</v>
      </c>
      <c r="Y535" s="17">
        <v>2.3E-2</v>
      </c>
      <c r="Z535" s="21">
        <f t="shared" si="136"/>
        <v>2.3E-2</v>
      </c>
      <c r="AA535" s="19">
        <v>1.736</v>
      </c>
      <c r="AB535" s="19">
        <v>1.7310000000000001</v>
      </c>
      <c r="AC535" s="21">
        <f t="shared" si="137"/>
        <v>1.734</v>
      </c>
      <c r="AD535" s="19">
        <v>0.10199999999999999</v>
      </c>
      <c r="AE535" s="19">
        <v>0.108</v>
      </c>
      <c r="AF535" s="21">
        <f t="shared" si="138"/>
        <v>0.105</v>
      </c>
      <c r="AG535" s="19">
        <v>7.8E-2</v>
      </c>
      <c r="AH535" s="19">
        <v>7.6999999999999999E-2</v>
      </c>
      <c r="AI535" s="21">
        <f t="shared" si="139"/>
        <v>7.8E-2</v>
      </c>
      <c r="AJ535" s="19">
        <v>7.6999999999999999E-2</v>
      </c>
      <c r="AK535" s="19">
        <v>7.5999999999999998E-2</v>
      </c>
      <c r="AL535" s="21">
        <f t="shared" si="140"/>
        <v>7.6999999999999999E-2</v>
      </c>
      <c r="AM535" s="19">
        <v>11.859</v>
      </c>
      <c r="AN535" s="19">
        <v>11.808</v>
      </c>
      <c r="AO535" s="21">
        <f t="shared" si="141"/>
        <v>11.834</v>
      </c>
      <c r="AP535" s="46">
        <v>4.4499999999999998E-2</v>
      </c>
      <c r="AQ535" s="46">
        <v>4.3799999999999999E-2</v>
      </c>
      <c r="AR535" s="45">
        <f t="shared" si="142"/>
        <v>4.4200000000000003E-2</v>
      </c>
      <c r="AS535" s="3">
        <v>9.59</v>
      </c>
      <c r="AT535" s="97">
        <v>5.23</v>
      </c>
    </row>
    <row r="536" spans="1:46">
      <c r="A536" s="7" t="s">
        <v>25</v>
      </c>
      <c r="B536" s="5" t="s">
        <v>90</v>
      </c>
      <c r="C536" s="6" t="s">
        <v>44</v>
      </c>
      <c r="D536" s="6" t="s">
        <v>91</v>
      </c>
      <c r="E536" s="23">
        <v>14.8</v>
      </c>
      <c r="F536" s="23">
        <v>7.4</v>
      </c>
      <c r="G536" s="41">
        <v>282</v>
      </c>
      <c r="H536" s="24">
        <v>9.6</v>
      </c>
      <c r="I536" s="23">
        <v>0.5</v>
      </c>
      <c r="J536" s="23">
        <v>2.9</v>
      </c>
      <c r="K536" s="15">
        <v>2.4</v>
      </c>
      <c r="L536" s="15">
        <v>2.2000000000000002</v>
      </c>
      <c r="M536" s="15"/>
      <c r="N536" s="20">
        <f t="shared" si="132"/>
        <v>2.2999999999999998</v>
      </c>
      <c r="O536" s="37">
        <v>1.9</v>
      </c>
      <c r="P536" s="37">
        <v>1.8</v>
      </c>
      <c r="Q536" s="38">
        <f t="shared" si="133"/>
        <v>1.9</v>
      </c>
      <c r="R536" s="17">
        <v>3.83</v>
      </c>
      <c r="S536" s="17">
        <v>3.7759999999999998</v>
      </c>
      <c r="T536" s="22">
        <f t="shared" si="134"/>
        <v>3.8029999999999999</v>
      </c>
      <c r="U536" s="17">
        <v>3.66</v>
      </c>
      <c r="V536" s="17">
        <v>3.7109999999999999</v>
      </c>
      <c r="W536" s="22">
        <f t="shared" si="135"/>
        <v>3.6859999999999999</v>
      </c>
      <c r="X536" s="17">
        <v>3.1E-2</v>
      </c>
      <c r="Y536" s="17">
        <v>0.03</v>
      </c>
      <c r="Z536" s="21">
        <f t="shared" si="136"/>
        <v>3.1E-2</v>
      </c>
      <c r="AA536" s="19">
        <v>2.7360000000000002</v>
      </c>
      <c r="AB536" s="19">
        <v>2.7120000000000002</v>
      </c>
      <c r="AC536" s="21">
        <f t="shared" si="137"/>
        <v>2.7240000000000002</v>
      </c>
      <c r="AD536" s="19">
        <v>5.8999999999999997E-2</v>
      </c>
      <c r="AE536" s="19">
        <v>5.7000000000000002E-2</v>
      </c>
      <c r="AF536" s="21">
        <f t="shared" si="138"/>
        <v>5.8000000000000003E-2</v>
      </c>
      <c r="AG536" s="19">
        <v>0.04</v>
      </c>
      <c r="AH536" s="19">
        <v>3.9E-2</v>
      </c>
      <c r="AI536" s="21">
        <f t="shared" si="139"/>
        <v>0.04</v>
      </c>
      <c r="AJ536" s="19">
        <v>3.7999999999999999E-2</v>
      </c>
      <c r="AK536" s="19">
        <v>3.5000000000000003E-2</v>
      </c>
      <c r="AL536" s="21">
        <f t="shared" si="140"/>
        <v>3.6999999999999998E-2</v>
      </c>
      <c r="AM536" s="19">
        <v>14.756</v>
      </c>
      <c r="AN536" s="19">
        <v>14.705</v>
      </c>
      <c r="AO536" s="21">
        <f t="shared" si="141"/>
        <v>14.731</v>
      </c>
      <c r="AP536" s="46">
        <v>4.4900000000000002E-2</v>
      </c>
      <c r="AQ536" s="46">
        <v>4.4999999999999998E-2</v>
      </c>
      <c r="AR536" s="45">
        <f t="shared" si="142"/>
        <v>4.4999999999999998E-2</v>
      </c>
      <c r="AS536" s="3">
        <v>8.6999999999999993</v>
      </c>
      <c r="AT536">
        <v>3.55</v>
      </c>
    </row>
    <row r="537" spans="1:46">
      <c r="A537" s="7" t="s">
        <v>26</v>
      </c>
      <c r="B537" s="5" t="s">
        <v>92</v>
      </c>
      <c r="C537" s="6" t="s">
        <v>93</v>
      </c>
      <c r="D537" s="6" t="s">
        <v>36</v>
      </c>
      <c r="E537" s="23">
        <v>14.6</v>
      </c>
      <c r="F537" s="23">
        <v>7.6</v>
      </c>
      <c r="G537" s="41">
        <v>190</v>
      </c>
      <c r="H537" s="24">
        <v>10.4</v>
      </c>
      <c r="I537" s="23">
        <v>0.9</v>
      </c>
      <c r="J537" s="23">
        <v>3.1</v>
      </c>
      <c r="K537" s="15">
        <v>2.6</v>
      </c>
      <c r="L537" s="15">
        <v>2.4</v>
      </c>
      <c r="M537" s="15"/>
      <c r="N537" s="20">
        <f t="shared" si="132"/>
        <v>2.5</v>
      </c>
      <c r="O537" s="37">
        <v>2</v>
      </c>
      <c r="P537" s="37">
        <v>1.8</v>
      </c>
      <c r="Q537" s="38">
        <f t="shared" si="133"/>
        <v>1.9</v>
      </c>
      <c r="R537" s="17">
        <v>2.2970000000000002</v>
      </c>
      <c r="S537" s="17">
        <v>2.2829999999999999</v>
      </c>
      <c r="T537" s="22">
        <f t="shared" si="134"/>
        <v>2.29</v>
      </c>
      <c r="U537" s="17">
        <v>2.1760000000000002</v>
      </c>
      <c r="V537" s="17">
        <v>2.1389999999999998</v>
      </c>
      <c r="W537" s="22">
        <f t="shared" si="135"/>
        <v>2.1579999999999999</v>
      </c>
      <c r="X537" s="17">
        <v>0.02</v>
      </c>
      <c r="Y537" s="17">
        <v>0.02</v>
      </c>
      <c r="Z537" s="21">
        <f t="shared" si="136"/>
        <v>0.02</v>
      </c>
      <c r="AA537" s="19">
        <v>1.5009999999999999</v>
      </c>
      <c r="AB537" s="19">
        <v>1.494</v>
      </c>
      <c r="AC537" s="21">
        <f t="shared" si="137"/>
        <v>1.498</v>
      </c>
      <c r="AD537" s="19">
        <v>0.1</v>
      </c>
      <c r="AE537" s="19">
        <v>0.109</v>
      </c>
      <c r="AF537" s="21">
        <f t="shared" si="138"/>
        <v>0.105</v>
      </c>
      <c r="AG537" s="19">
        <v>7.2999999999999995E-2</v>
      </c>
      <c r="AH537" s="19">
        <v>7.3999999999999996E-2</v>
      </c>
      <c r="AI537" s="21">
        <f t="shared" si="139"/>
        <v>7.3999999999999996E-2</v>
      </c>
      <c r="AJ537" s="19">
        <v>7.1999999999999995E-2</v>
      </c>
      <c r="AK537" s="19">
        <v>7.1999999999999995E-2</v>
      </c>
      <c r="AL537" s="21">
        <f t="shared" si="140"/>
        <v>7.1999999999999995E-2</v>
      </c>
      <c r="AM537" s="19">
        <v>10.688000000000001</v>
      </c>
      <c r="AN537" s="19">
        <v>10.664999999999999</v>
      </c>
      <c r="AO537" s="21">
        <f t="shared" si="141"/>
        <v>10.677</v>
      </c>
      <c r="AP537" s="46">
        <v>4.8800000000000003E-2</v>
      </c>
      <c r="AQ537" s="46">
        <v>4.8800000000000003E-2</v>
      </c>
      <c r="AR537" s="45">
        <f t="shared" si="142"/>
        <v>4.8800000000000003E-2</v>
      </c>
      <c r="AS537" s="3">
        <v>9.44</v>
      </c>
      <c r="AT537" s="97">
        <v>4.88</v>
      </c>
    </row>
    <row r="538" spans="1:46">
      <c r="A538" s="7" t="s">
        <v>27</v>
      </c>
      <c r="B538" s="5" t="s">
        <v>94</v>
      </c>
      <c r="C538" s="6" t="s">
        <v>95</v>
      </c>
      <c r="D538" s="6" t="s">
        <v>96</v>
      </c>
      <c r="E538" s="23">
        <v>17.3</v>
      </c>
      <c r="F538" s="23">
        <v>7.3</v>
      </c>
      <c r="G538" s="41">
        <v>194</v>
      </c>
      <c r="H538" s="24">
        <v>7.1</v>
      </c>
      <c r="I538" s="23">
        <v>0.2</v>
      </c>
      <c r="J538" s="23">
        <v>1.7</v>
      </c>
      <c r="K538" s="15">
        <v>1.2</v>
      </c>
      <c r="L538" s="15">
        <v>1.2</v>
      </c>
      <c r="M538" s="15"/>
      <c r="N538" s="20">
        <f t="shared" si="132"/>
        <v>1.2</v>
      </c>
      <c r="O538" s="37">
        <v>1</v>
      </c>
      <c r="P538" s="37">
        <v>0.9</v>
      </c>
      <c r="Q538" s="38">
        <f t="shared" si="133"/>
        <v>1</v>
      </c>
      <c r="R538" s="17">
        <v>2.9860000000000002</v>
      </c>
      <c r="S538" s="17">
        <v>2.948</v>
      </c>
      <c r="T538" s="22">
        <f t="shared" si="134"/>
        <v>2.9670000000000001</v>
      </c>
      <c r="U538" s="17">
        <v>2.9039999999999999</v>
      </c>
      <c r="V538" s="17">
        <v>2.9180000000000001</v>
      </c>
      <c r="W538" s="22">
        <f t="shared" si="135"/>
        <v>2.911</v>
      </c>
      <c r="X538" s="17">
        <v>1.6E-2</v>
      </c>
      <c r="Y538" s="17">
        <v>1.4999999999999999E-2</v>
      </c>
      <c r="Z538" s="21">
        <f t="shared" si="136"/>
        <v>1.6E-2</v>
      </c>
      <c r="AA538" s="19">
        <v>2.1589999999999998</v>
      </c>
      <c r="AB538" s="19">
        <v>2.1520000000000001</v>
      </c>
      <c r="AC538" s="21">
        <f t="shared" si="137"/>
        <v>2.1560000000000001</v>
      </c>
      <c r="AD538" s="19">
        <v>3.4000000000000002E-2</v>
      </c>
      <c r="AE538" s="19">
        <v>3.2000000000000001E-2</v>
      </c>
      <c r="AF538" s="21">
        <f t="shared" si="138"/>
        <v>3.3000000000000002E-2</v>
      </c>
      <c r="AG538" s="19">
        <v>2.4E-2</v>
      </c>
      <c r="AH538" s="19">
        <v>2.1999999999999999E-2</v>
      </c>
      <c r="AI538" s="21">
        <f t="shared" si="139"/>
        <v>2.3E-2</v>
      </c>
      <c r="AJ538" s="19">
        <v>2.1999999999999999E-2</v>
      </c>
      <c r="AK538" s="19">
        <v>2.1000000000000001E-2</v>
      </c>
      <c r="AL538" s="21">
        <f t="shared" si="140"/>
        <v>2.1999999999999999E-2</v>
      </c>
      <c r="AM538" s="19">
        <v>8.7769999999999992</v>
      </c>
      <c r="AN538" s="19">
        <v>8.7420000000000009</v>
      </c>
      <c r="AO538" s="21">
        <f t="shared" si="141"/>
        <v>8.76</v>
      </c>
      <c r="AP538" s="46">
        <v>2.1899999999999999E-2</v>
      </c>
      <c r="AQ538" s="46">
        <v>2.2800000000000001E-2</v>
      </c>
      <c r="AR538" s="45">
        <f t="shared" si="142"/>
        <v>2.24E-2</v>
      </c>
      <c r="AS538" s="3">
        <v>10.81</v>
      </c>
      <c r="AT538">
        <v>2.67</v>
      </c>
    </row>
    <row r="539" spans="1:46">
      <c r="A539" s="7" t="s">
        <v>28</v>
      </c>
      <c r="B539" s="5" t="s">
        <v>97</v>
      </c>
      <c r="C539" s="6" t="s">
        <v>98</v>
      </c>
      <c r="D539" s="6" t="s">
        <v>36</v>
      </c>
      <c r="E539" s="23">
        <v>15</v>
      </c>
      <c r="F539" s="23">
        <v>7.4</v>
      </c>
      <c r="G539" s="41">
        <v>203</v>
      </c>
      <c r="H539" s="24">
        <v>9.9</v>
      </c>
      <c r="I539" s="23">
        <v>0.6</v>
      </c>
      <c r="J539" s="23">
        <v>3.2</v>
      </c>
      <c r="K539" s="15">
        <v>2.4</v>
      </c>
      <c r="L539" s="15">
        <v>2.2999999999999998</v>
      </c>
      <c r="M539" s="15"/>
      <c r="N539" s="20">
        <f t="shared" si="132"/>
        <v>2.4</v>
      </c>
      <c r="O539" s="37">
        <v>1.9</v>
      </c>
      <c r="P539" s="37">
        <v>1.8</v>
      </c>
      <c r="Q539" s="38">
        <f t="shared" si="133"/>
        <v>1.9</v>
      </c>
      <c r="R539" s="17">
        <v>2.35</v>
      </c>
      <c r="S539" s="17">
        <v>2.3079999999999998</v>
      </c>
      <c r="T539" s="22">
        <f t="shared" si="134"/>
        <v>2.3290000000000002</v>
      </c>
      <c r="U539" s="17">
        <v>2.2130000000000001</v>
      </c>
      <c r="V539" s="17">
        <v>2.2290000000000001</v>
      </c>
      <c r="W539" s="22">
        <f t="shared" si="135"/>
        <v>2.2210000000000001</v>
      </c>
      <c r="X539" s="17">
        <v>1.2999999999999999E-2</v>
      </c>
      <c r="Y539" s="17">
        <v>1.2999999999999999E-2</v>
      </c>
      <c r="Z539" s="21">
        <f t="shared" si="136"/>
        <v>1.2999999999999999E-2</v>
      </c>
      <c r="AA539" s="19">
        <v>1.585</v>
      </c>
      <c r="AB539" s="19">
        <v>1.575</v>
      </c>
      <c r="AC539" s="21">
        <f t="shared" si="137"/>
        <v>1.58</v>
      </c>
      <c r="AD539" s="19">
        <v>9.0999999999999998E-2</v>
      </c>
      <c r="AE539" s="19">
        <v>9.7000000000000003E-2</v>
      </c>
      <c r="AF539" s="21">
        <f t="shared" si="138"/>
        <v>9.4E-2</v>
      </c>
      <c r="AG539" s="19">
        <v>6.2E-2</v>
      </c>
      <c r="AH539" s="19">
        <v>6.7000000000000004E-2</v>
      </c>
      <c r="AI539" s="21">
        <f t="shared" si="139"/>
        <v>6.5000000000000002E-2</v>
      </c>
      <c r="AJ539" s="19">
        <v>6.0999999999999999E-2</v>
      </c>
      <c r="AK539" s="19">
        <v>6.5000000000000002E-2</v>
      </c>
      <c r="AL539" s="21">
        <f t="shared" si="140"/>
        <v>6.3E-2</v>
      </c>
      <c r="AM539" s="19">
        <v>11.077999999999999</v>
      </c>
      <c r="AN539" s="19">
        <v>11.055999999999999</v>
      </c>
      <c r="AO539" s="21">
        <f t="shared" si="141"/>
        <v>11.067</v>
      </c>
      <c r="AP539" s="46">
        <v>4.65E-2</v>
      </c>
      <c r="AQ539" s="46">
        <v>4.6399999999999997E-2</v>
      </c>
      <c r="AR539" s="45">
        <f t="shared" si="142"/>
        <v>4.65E-2</v>
      </c>
      <c r="AS539" s="3">
        <v>9.4</v>
      </c>
      <c r="AT539" s="97">
        <v>6.24</v>
      </c>
    </row>
    <row r="540" spans="1:46">
      <c r="A540" s="7" t="s">
        <v>29</v>
      </c>
      <c r="B540" s="5" t="s">
        <v>99</v>
      </c>
      <c r="C540" s="6" t="s">
        <v>44</v>
      </c>
      <c r="D540" s="6" t="s">
        <v>100</v>
      </c>
      <c r="E540" s="23">
        <v>14.4</v>
      </c>
      <c r="F540" s="23">
        <v>7.3</v>
      </c>
      <c r="G540" s="41">
        <v>147</v>
      </c>
      <c r="H540" s="24">
        <v>8.9</v>
      </c>
      <c r="I540" s="23">
        <v>0.9</v>
      </c>
      <c r="J540" s="23">
        <v>3.5</v>
      </c>
      <c r="K540" s="15">
        <v>2.9</v>
      </c>
      <c r="L540" s="15">
        <v>3</v>
      </c>
      <c r="M540" s="15"/>
      <c r="N540" s="20">
        <f t="shared" si="132"/>
        <v>3</v>
      </c>
      <c r="O540" s="37">
        <v>2.2000000000000002</v>
      </c>
      <c r="P540" s="37">
        <v>2.2999999999999998</v>
      </c>
      <c r="Q540" s="38">
        <f t="shared" si="133"/>
        <v>2.2999999999999998</v>
      </c>
      <c r="R540" s="17">
        <v>5.3550000000000004</v>
      </c>
      <c r="S540" s="17">
        <v>5.3</v>
      </c>
      <c r="T540" s="22">
        <f t="shared" si="134"/>
        <v>5.3280000000000003</v>
      </c>
      <c r="U540" s="17">
        <v>5.2069999999999999</v>
      </c>
      <c r="V540" s="17">
        <v>5.218</v>
      </c>
      <c r="W540" s="22">
        <f t="shared" si="135"/>
        <v>5.2130000000000001</v>
      </c>
      <c r="X540" s="17">
        <v>9.4E-2</v>
      </c>
      <c r="Y540" s="17">
        <v>9.2999999999999999E-2</v>
      </c>
      <c r="Z540" s="21">
        <f t="shared" si="136"/>
        <v>9.4E-2</v>
      </c>
      <c r="AA540" s="19">
        <v>4.0129999999999999</v>
      </c>
      <c r="AB540" s="19">
        <v>4.0199999999999996</v>
      </c>
      <c r="AC540" s="21">
        <f t="shared" si="137"/>
        <v>4.0170000000000003</v>
      </c>
      <c r="AD540" s="19">
        <v>9.5000000000000001E-2</v>
      </c>
      <c r="AE540" s="19">
        <v>0.107</v>
      </c>
      <c r="AF540" s="21">
        <f t="shared" si="138"/>
        <v>0.10100000000000001</v>
      </c>
      <c r="AG540" s="19">
        <v>5.0999999999999997E-2</v>
      </c>
      <c r="AH540" s="19">
        <v>4.7E-2</v>
      </c>
      <c r="AI540" s="21">
        <f t="shared" si="139"/>
        <v>4.9000000000000002E-2</v>
      </c>
      <c r="AJ540" s="19">
        <v>4.7E-2</v>
      </c>
      <c r="AK540" s="19">
        <v>4.4999999999999998E-2</v>
      </c>
      <c r="AL540" s="21">
        <f t="shared" si="140"/>
        <v>4.5999999999999999E-2</v>
      </c>
      <c r="AM540" s="19">
        <v>20.774999999999999</v>
      </c>
      <c r="AN540" s="19">
        <v>20.809000000000001</v>
      </c>
      <c r="AO540" s="21">
        <f t="shared" si="141"/>
        <v>20.792000000000002</v>
      </c>
      <c r="AP540" s="46">
        <v>5.45E-2</v>
      </c>
      <c r="AQ540" s="46">
        <v>5.4699999999999999E-2</v>
      </c>
      <c r="AR540" s="45">
        <f t="shared" si="142"/>
        <v>5.4600000000000003E-2</v>
      </c>
      <c r="AS540" s="3">
        <v>11.16</v>
      </c>
      <c r="AT540">
        <v>3.64</v>
      </c>
    </row>
    <row r="541" spans="1:46">
      <c r="A541" s="7" t="s">
        <v>30</v>
      </c>
      <c r="B541" s="5" t="s">
        <v>101</v>
      </c>
      <c r="C541" s="6" t="s">
        <v>44</v>
      </c>
      <c r="D541" s="6" t="s">
        <v>160</v>
      </c>
      <c r="E541" s="23">
        <v>15.2</v>
      </c>
      <c r="F541" s="23">
        <v>7.2</v>
      </c>
      <c r="G541" s="41">
        <v>333</v>
      </c>
      <c r="H541" s="24">
        <v>10.199999999999999</v>
      </c>
      <c r="I541" s="23">
        <v>1.3</v>
      </c>
      <c r="J541" s="23">
        <v>4.4000000000000004</v>
      </c>
      <c r="K541" s="15">
        <v>3.6</v>
      </c>
      <c r="L541" s="15">
        <v>3.3</v>
      </c>
      <c r="M541" s="15"/>
      <c r="N541" s="20">
        <f t="shared" si="132"/>
        <v>3.5</v>
      </c>
      <c r="O541" s="37">
        <v>2.8</v>
      </c>
      <c r="P541" s="37">
        <v>2.7</v>
      </c>
      <c r="Q541" s="38">
        <f t="shared" si="133"/>
        <v>2.8</v>
      </c>
      <c r="R541" s="17">
        <v>3.7639999999999998</v>
      </c>
      <c r="S541" s="17">
        <v>3.72</v>
      </c>
      <c r="T541" s="22">
        <f t="shared" si="134"/>
        <v>3.742</v>
      </c>
      <c r="U541" s="17">
        <v>3.5880000000000001</v>
      </c>
      <c r="V541" s="17">
        <v>3.621</v>
      </c>
      <c r="W541" s="22">
        <f t="shared" si="135"/>
        <v>3.605</v>
      </c>
      <c r="X541" s="17">
        <v>0.27600000000000002</v>
      </c>
      <c r="Y541" s="17">
        <v>0.27300000000000002</v>
      </c>
      <c r="Z541" s="21">
        <f t="shared" si="136"/>
        <v>0.27500000000000002</v>
      </c>
      <c r="AA541" s="19">
        <v>2.2589999999999999</v>
      </c>
      <c r="AB541" s="19">
        <v>2.262</v>
      </c>
      <c r="AC541" s="21">
        <f t="shared" si="137"/>
        <v>2.2610000000000001</v>
      </c>
      <c r="AD541" s="19">
        <v>0.106</v>
      </c>
      <c r="AE541" s="19">
        <v>0.11600000000000001</v>
      </c>
      <c r="AF541" s="21">
        <f t="shared" si="138"/>
        <v>0.111</v>
      </c>
      <c r="AG541" s="19">
        <v>6.6000000000000003E-2</v>
      </c>
      <c r="AH541" s="19">
        <v>6.8000000000000005E-2</v>
      </c>
      <c r="AI541" s="21">
        <f t="shared" si="139"/>
        <v>6.7000000000000004E-2</v>
      </c>
      <c r="AJ541" s="19">
        <v>6.3E-2</v>
      </c>
      <c r="AK541" s="19">
        <v>6.4000000000000001E-2</v>
      </c>
      <c r="AL541" s="21">
        <f t="shared" si="140"/>
        <v>6.4000000000000001E-2</v>
      </c>
      <c r="AM541" s="19">
        <v>38.814999999999998</v>
      </c>
      <c r="AN541" s="19">
        <v>38.741</v>
      </c>
      <c r="AO541" s="21">
        <f t="shared" si="141"/>
        <v>38.777999999999999</v>
      </c>
      <c r="AP541" s="46">
        <v>6.1699999999999998E-2</v>
      </c>
      <c r="AQ541" s="46">
        <v>6.0600000000000001E-2</v>
      </c>
      <c r="AR541" s="45">
        <f t="shared" si="142"/>
        <v>6.1199999999999997E-2</v>
      </c>
      <c r="AS541" s="3">
        <v>12.38</v>
      </c>
      <c r="AT541">
        <v>2.5</v>
      </c>
    </row>
    <row r="542" spans="1:46">
      <c r="A542" s="7" t="s">
        <v>31</v>
      </c>
      <c r="B542" s="5" t="s">
        <v>102</v>
      </c>
      <c r="C542" s="6" t="s">
        <v>103</v>
      </c>
      <c r="D542" s="6" t="s">
        <v>36</v>
      </c>
      <c r="E542" s="23">
        <v>15.6</v>
      </c>
      <c r="F542" s="23">
        <v>7.4</v>
      </c>
      <c r="G542" s="41">
        <v>270</v>
      </c>
      <c r="H542" s="24">
        <v>9.6</v>
      </c>
      <c r="I542" s="23">
        <v>0.8</v>
      </c>
      <c r="J542" s="23">
        <v>3.6</v>
      </c>
      <c r="K542" s="15">
        <v>2.7</v>
      </c>
      <c r="L542" s="15">
        <v>3</v>
      </c>
      <c r="M542" s="15"/>
      <c r="N542" s="20">
        <f t="shared" si="132"/>
        <v>2.9</v>
      </c>
      <c r="O542" s="37">
        <v>2.4</v>
      </c>
      <c r="P542" s="37">
        <v>2.2000000000000002</v>
      </c>
      <c r="Q542" s="38">
        <f t="shared" si="133"/>
        <v>2.2999999999999998</v>
      </c>
      <c r="R542" s="17">
        <v>3.19</v>
      </c>
      <c r="S542" s="17">
        <v>3.1219999999999999</v>
      </c>
      <c r="T542" s="22">
        <f t="shared" si="134"/>
        <v>3.1560000000000001</v>
      </c>
      <c r="U542" s="17">
        <v>3.0880000000000001</v>
      </c>
      <c r="V542" s="17">
        <v>3.0950000000000002</v>
      </c>
      <c r="W542" s="22">
        <f t="shared" si="135"/>
        <v>3.0920000000000001</v>
      </c>
      <c r="X542" s="17">
        <v>9.1999999999999998E-2</v>
      </c>
      <c r="Y542" s="17">
        <v>9.0999999999999998E-2</v>
      </c>
      <c r="Z542" s="21">
        <f t="shared" si="136"/>
        <v>9.1999999999999998E-2</v>
      </c>
      <c r="AA542" s="19">
        <v>2.1890000000000001</v>
      </c>
      <c r="AB542" s="19">
        <v>2.173</v>
      </c>
      <c r="AC542" s="21">
        <f t="shared" si="137"/>
        <v>2.181</v>
      </c>
      <c r="AD542" s="19">
        <v>9.4E-2</v>
      </c>
      <c r="AE542" s="19">
        <v>9.8000000000000004E-2</v>
      </c>
      <c r="AF542" s="21">
        <f t="shared" si="138"/>
        <v>9.6000000000000002E-2</v>
      </c>
      <c r="AG542" s="19">
        <v>6.3E-2</v>
      </c>
      <c r="AH542" s="19">
        <v>6.6000000000000003E-2</v>
      </c>
      <c r="AI542" s="21">
        <f t="shared" si="139"/>
        <v>6.5000000000000002E-2</v>
      </c>
      <c r="AJ542" s="19">
        <v>6.0999999999999999E-2</v>
      </c>
      <c r="AK542" s="19">
        <v>6.0999999999999999E-2</v>
      </c>
      <c r="AL542" s="21">
        <f t="shared" si="140"/>
        <v>6.0999999999999999E-2</v>
      </c>
      <c r="AM542" s="19">
        <v>24.276</v>
      </c>
      <c r="AN542" s="19">
        <v>24.219000000000001</v>
      </c>
      <c r="AO542" s="21">
        <f t="shared" si="141"/>
        <v>24.248000000000001</v>
      </c>
      <c r="AP542" s="46">
        <v>5.45E-2</v>
      </c>
      <c r="AQ542" s="46">
        <v>5.4100000000000002E-2</v>
      </c>
      <c r="AR542" s="45">
        <f t="shared" si="142"/>
        <v>5.4300000000000001E-2</v>
      </c>
      <c r="AS542" s="3">
        <v>10.89</v>
      </c>
      <c r="AT542" s="97">
        <v>3.9</v>
      </c>
    </row>
    <row r="543" spans="1:46">
      <c r="A543" s="7" t="s">
        <v>32</v>
      </c>
      <c r="B543" s="5" t="s">
        <v>104</v>
      </c>
      <c r="C543" s="6" t="s">
        <v>44</v>
      </c>
      <c r="D543" s="6" t="s">
        <v>105</v>
      </c>
      <c r="E543" s="23">
        <v>14.8</v>
      </c>
      <c r="F543" s="23">
        <v>7.6</v>
      </c>
      <c r="G543" s="41">
        <v>240</v>
      </c>
      <c r="H543" s="24">
        <v>10.8</v>
      </c>
      <c r="I543" s="23">
        <v>0.7</v>
      </c>
      <c r="J543" s="23">
        <v>3.6</v>
      </c>
      <c r="K543" s="15">
        <v>2.8</v>
      </c>
      <c r="L543" s="15">
        <v>2.6</v>
      </c>
      <c r="M543" s="15"/>
      <c r="N543" s="20">
        <f t="shared" si="132"/>
        <v>2.7</v>
      </c>
      <c r="O543" s="37">
        <v>2.4</v>
      </c>
      <c r="P543" s="37">
        <v>2.2999999999999998</v>
      </c>
      <c r="Q543" s="38">
        <f t="shared" si="133"/>
        <v>2.4</v>
      </c>
      <c r="R543" s="17">
        <v>2.7669999999999999</v>
      </c>
      <c r="S543" s="17">
        <v>2.718</v>
      </c>
      <c r="T543" s="22">
        <f t="shared" si="134"/>
        <v>2.7429999999999999</v>
      </c>
      <c r="U543" s="17">
        <v>2.5910000000000002</v>
      </c>
      <c r="V543" s="17">
        <v>2.5539999999999998</v>
      </c>
      <c r="W543" s="22">
        <f t="shared" si="135"/>
        <v>2.573</v>
      </c>
      <c r="X543" s="17">
        <v>3.1E-2</v>
      </c>
      <c r="Y543" s="17">
        <v>0.03</v>
      </c>
      <c r="Z543" s="21">
        <f t="shared" si="136"/>
        <v>3.1E-2</v>
      </c>
      <c r="AA543" s="19">
        <v>1.8180000000000001</v>
      </c>
      <c r="AB543" s="19">
        <v>1.8129999999999999</v>
      </c>
      <c r="AC543" s="21">
        <f t="shared" si="137"/>
        <v>1.8160000000000001</v>
      </c>
      <c r="AD543" s="19">
        <v>0.105</v>
      </c>
      <c r="AE543" s="19">
        <v>0.109</v>
      </c>
      <c r="AF543" s="21">
        <f t="shared" si="138"/>
        <v>0.107</v>
      </c>
      <c r="AG543" s="19">
        <v>7.5999999999999998E-2</v>
      </c>
      <c r="AH543" s="19">
        <v>7.5999999999999998E-2</v>
      </c>
      <c r="AI543" s="21">
        <f t="shared" si="139"/>
        <v>7.5999999999999998E-2</v>
      </c>
      <c r="AJ543" s="19">
        <v>7.3999999999999996E-2</v>
      </c>
      <c r="AK543" s="19">
        <v>7.2999999999999995E-2</v>
      </c>
      <c r="AL543" s="21">
        <f t="shared" si="140"/>
        <v>7.3999999999999996E-2</v>
      </c>
      <c r="AM543" s="19">
        <v>17.36</v>
      </c>
      <c r="AN543" s="19">
        <v>17.312999999999999</v>
      </c>
      <c r="AO543" s="21">
        <f t="shared" si="141"/>
        <v>17.337</v>
      </c>
      <c r="AP543" s="46">
        <v>6.0299999999999999E-2</v>
      </c>
      <c r="AQ543" s="46">
        <v>6.0199999999999997E-2</v>
      </c>
      <c r="AR543" s="45">
        <f t="shared" si="142"/>
        <v>6.0299999999999999E-2</v>
      </c>
      <c r="AS543" s="3">
        <v>9.91</v>
      </c>
      <c r="AT543">
        <v>4.82</v>
      </c>
    </row>
    <row r="544" spans="1:46">
      <c r="A544" s="7" t="s">
        <v>33</v>
      </c>
      <c r="B544" s="5" t="s">
        <v>106</v>
      </c>
      <c r="C544" s="6" t="s">
        <v>107</v>
      </c>
      <c r="D544" s="6" t="s">
        <v>36</v>
      </c>
      <c r="E544" s="23">
        <v>16</v>
      </c>
      <c r="F544" s="23">
        <v>8.3000000000000007</v>
      </c>
      <c r="G544" s="41">
        <v>219</v>
      </c>
      <c r="H544" s="24">
        <v>12.4</v>
      </c>
      <c r="I544" s="23">
        <v>1.1000000000000001</v>
      </c>
      <c r="J544" s="23">
        <v>3.8</v>
      </c>
      <c r="K544" s="15">
        <v>2.6</v>
      </c>
      <c r="L544" s="15">
        <v>2.6</v>
      </c>
      <c r="M544" s="15"/>
      <c r="N544" s="20">
        <f t="shared" si="132"/>
        <v>2.6</v>
      </c>
      <c r="O544" s="37">
        <v>2.1</v>
      </c>
      <c r="P544" s="37">
        <v>2</v>
      </c>
      <c r="Q544" s="38">
        <f t="shared" si="133"/>
        <v>2.1</v>
      </c>
      <c r="R544" s="17">
        <v>3.149</v>
      </c>
      <c r="S544" s="17">
        <v>3.0950000000000002</v>
      </c>
      <c r="T544" s="22">
        <f t="shared" si="134"/>
        <v>3.1219999999999999</v>
      </c>
      <c r="U544" s="17">
        <v>2.9369999999999998</v>
      </c>
      <c r="V544" s="17">
        <v>2.9780000000000002</v>
      </c>
      <c r="W544" s="22">
        <f t="shared" si="135"/>
        <v>2.9580000000000002</v>
      </c>
      <c r="X544" s="17">
        <v>2.1999999999999999E-2</v>
      </c>
      <c r="Y544" s="17">
        <v>2.1999999999999999E-2</v>
      </c>
      <c r="Z544" s="21">
        <f t="shared" si="136"/>
        <v>2.1999999999999999E-2</v>
      </c>
      <c r="AA544" s="19">
        <v>2.1640000000000001</v>
      </c>
      <c r="AB544" s="19">
        <v>2.1480000000000001</v>
      </c>
      <c r="AC544" s="21">
        <f t="shared" si="137"/>
        <v>2.1560000000000001</v>
      </c>
      <c r="AD544" s="19">
        <v>9.8000000000000004E-2</v>
      </c>
      <c r="AE544" s="19">
        <v>0.112</v>
      </c>
      <c r="AF544" s="21">
        <f t="shared" si="138"/>
        <v>0.105</v>
      </c>
      <c r="AG544" s="19">
        <v>6.7000000000000004E-2</v>
      </c>
      <c r="AH544" s="19">
        <v>6.7000000000000004E-2</v>
      </c>
      <c r="AI544" s="21">
        <f t="shared" si="139"/>
        <v>6.7000000000000004E-2</v>
      </c>
      <c r="AJ544" s="19">
        <v>6.6000000000000003E-2</v>
      </c>
      <c r="AK544" s="19">
        <v>6.6000000000000003E-2</v>
      </c>
      <c r="AL544" s="21">
        <f t="shared" si="140"/>
        <v>6.6000000000000003E-2</v>
      </c>
      <c r="AM544" s="19">
        <v>13.906000000000001</v>
      </c>
      <c r="AN544" s="19">
        <v>13.872999999999999</v>
      </c>
      <c r="AO544" s="21">
        <f t="shared" si="141"/>
        <v>13.89</v>
      </c>
      <c r="AP544" s="46">
        <v>4.9799999999999997E-2</v>
      </c>
      <c r="AQ544" s="46">
        <v>5.0599999999999999E-2</v>
      </c>
      <c r="AR544" s="45">
        <f t="shared" si="142"/>
        <v>5.0200000000000002E-2</v>
      </c>
      <c r="AS544" s="3">
        <v>10.210000000000001</v>
      </c>
      <c r="AT544" s="97">
        <v>4.7300000000000004</v>
      </c>
    </row>
    <row r="545" spans="1:46">
      <c r="A545" s="7" t="s">
        <v>137</v>
      </c>
      <c r="B545" s="5" t="s">
        <v>138</v>
      </c>
      <c r="C545" s="6"/>
      <c r="D545" s="6"/>
      <c r="E545" s="23">
        <v>19</v>
      </c>
      <c r="F545" s="23">
        <v>7.2</v>
      </c>
      <c r="G545" s="41">
        <v>349</v>
      </c>
      <c r="H545" s="24">
        <v>9.1</v>
      </c>
      <c r="I545" s="23">
        <v>4</v>
      </c>
      <c r="J545" s="23">
        <v>7.2</v>
      </c>
      <c r="K545" s="4">
        <v>5.9</v>
      </c>
      <c r="L545" s="4">
        <v>5.3</v>
      </c>
      <c r="M545" s="4"/>
      <c r="N545" s="20">
        <f t="shared" si="132"/>
        <v>5.6</v>
      </c>
      <c r="O545" s="37">
        <v>4.5999999999999996</v>
      </c>
      <c r="P545" s="37">
        <v>4.5999999999999996</v>
      </c>
      <c r="Q545" s="38">
        <f t="shared" si="133"/>
        <v>4.5999999999999996</v>
      </c>
      <c r="R545" s="17">
        <v>7.7690000000000001</v>
      </c>
      <c r="S545" s="17">
        <v>7.7530000000000001</v>
      </c>
      <c r="T545" s="22">
        <f t="shared" si="134"/>
        <v>7.7610000000000001</v>
      </c>
      <c r="U545" s="4">
        <v>7.6219999999999999</v>
      </c>
      <c r="V545" s="4">
        <v>7.7009999999999996</v>
      </c>
      <c r="W545" s="22">
        <f t="shared" si="135"/>
        <v>7.6619999999999999</v>
      </c>
      <c r="X545" s="17">
        <v>0.27800000000000002</v>
      </c>
      <c r="Y545" s="17">
        <v>0.28199999999999997</v>
      </c>
      <c r="Z545" s="21">
        <f t="shared" si="136"/>
        <v>0.28000000000000003</v>
      </c>
      <c r="AA545" s="19">
        <v>5.2750000000000004</v>
      </c>
      <c r="AB545" s="19">
        <v>5.2590000000000003</v>
      </c>
      <c r="AC545" s="21">
        <f t="shared" si="137"/>
        <v>5.2670000000000003</v>
      </c>
      <c r="AD545" s="19">
        <v>8.7999999999999995E-2</v>
      </c>
      <c r="AE545" s="19">
        <v>0.1</v>
      </c>
      <c r="AF545" s="21">
        <f t="shared" si="138"/>
        <v>9.4E-2</v>
      </c>
      <c r="AG545" s="5">
        <v>3.6999999999999998E-2</v>
      </c>
      <c r="AH545" s="5">
        <v>3.1E-2</v>
      </c>
      <c r="AI545" s="21">
        <f t="shared" si="139"/>
        <v>3.4000000000000002E-2</v>
      </c>
      <c r="AJ545" s="5">
        <v>1.7000000000000001E-2</v>
      </c>
      <c r="AK545" s="5">
        <v>1.4E-2</v>
      </c>
      <c r="AL545" s="21">
        <f t="shared" si="140"/>
        <v>1.6E-2</v>
      </c>
      <c r="AM545" s="19">
        <v>48.59</v>
      </c>
      <c r="AN545" s="19">
        <v>48.53</v>
      </c>
      <c r="AO545" s="21">
        <f t="shared" si="141"/>
        <v>48.56</v>
      </c>
      <c r="AP545" s="46">
        <v>0.10150000000000001</v>
      </c>
      <c r="AQ545" s="46">
        <v>0.1013</v>
      </c>
      <c r="AR545" s="45">
        <f t="shared" si="142"/>
        <v>0.1014</v>
      </c>
      <c r="AS545" s="3">
        <v>11.75</v>
      </c>
      <c r="AT545" s="88">
        <v>1.33</v>
      </c>
    </row>
  </sheetData>
  <mergeCells count="108">
    <mergeCell ref="AJ507:AL507"/>
    <mergeCell ref="AM507:AO507"/>
    <mergeCell ref="AP507:AR507"/>
    <mergeCell ref="R507:T507"/>
    <mergeCell ref="U507:W507"/>
    <mergeCell ref="X507:Z507"/>
    <mergeCell ref="AA507:AC507"/>
    <mergeCell ref="AD507:AF507"/>
    <mergeCell ref="AG507:AI507"/>
    <mergeCell ref="AR468:AT468"/>
    <mergeCell ref="A507:A508"/>
    <mergeCell ref="B507:B508"/>
    <mergeCell ref="C507:C508"/>
    <mergeCell ref="D507:D508"/>
    <mergeCell ref="E507:H507"/>
    <mergeCell ref="I507:I508"/>
    <mergeCell ref="J507:J508"/>
    <mergeCell ref="K507:N507"/>
    <mergeCell ref="O507:Q507"/>
    <mergeCell ref="Z468:AB468"/>
    <mergeCell ref="AC468:AE468"/>
    <mergeCell ref="AF468:AH468"/>
    <mergeCell ref="AI468:AK468"/>
    <mergeCell ref="AL468:AN468"/>
    <mergeCell ref="AO468:AQ468"/>
    <mergeCell ref="I468:I469"/>
    <mergeCell ref="J468:J469"/>
    <mergeCell ref="K468:N468"/>
    <mergeCell ref="O468:S468"/>
    <mergeCell ref="T468:V468"/>
    <mergeCell ref="W468:Y468"/>
    <mergeCell ref="AD352:AF352"/>
    <mergeCell ref="AG352:AI352"/>
    <mergeCell ref="AJ352:AL352"/>
    <mergeCell ref="AM352:AO352"/>
    <mergeCell ref="AP352:AR352"/>
    <mergeCell ref="A468:A469"/>
    <mergeCell ref="B468:B469"/>
    <mergeCell ref="C468:C469"/>
    <mergeCell ref="D468:D469"/>
    <mergeCell ref="E468:H468"/>
    <mergeCell ref="K352:N352"/>
    <mergeCell ref="O352:Q352"/>
    <mergeCell ref="R352:T352"/>
    <mergeCell ref="U352:W352"/>
    <mergeCell ref="X352:Z352"/>
    <mergeCell ref="AA352:AC352"/>
    <mergeCell ref="AI312:AK312"/>
    <mergeCell ref="AL312:AN312"/>
    <mergeCell ref="AO312:AQ312"/>
    <mergeCell ref="A352:A353"/>
    <mergeCell ref="B352:B353"/>
    <mergeCell ref="C352:C353"/>
    <mergeCell ref="D352:D353"/>
    <mergeCell ref="E352:H352"/>
    <mergeCell ref="I352:I353"/>
    <mergeCell ref="J352:J353"/>
    <mergeCell ref="Q312:S312"/>
    <mergeCell ref="T312:V312"/>
    <mergeCell ref="W312:Y312"/>
    <mergeCell ref="Z312:AB312"/>
    <mergeCell ref="AC312:AE312"/>
    <mergeCell ref="AF312:AH312"/>
    <mergeCell ref="A312:A313"/>
    <mergeCell ref="B312:B313"/>
    <mergeCell ref="C312:C313"/>
    <mergeCell ref="D312:D313"/>
    <mergeCell ref="E312:H312"/>
    <mergeCell ref="I312:I313"/>
    <mergeCell ref="J312:J313"/>
    <mergeCell ref="K312:M312"/>
    <mergeCell ref="N312:P312"/>
    <mergeCell ref="AA39:AC39"/>
    <mergeCell ref="AD39:AF39"/>
    <mergeCell ref="AG39:AI39"/>
    <mergeCell ref="AJ39:AL39"/>
    <mergeCell ref="AM39:AO39"/>
    <mergeCell ref="AP39:AR39"/>
    <mergeCell ref="J39:J40"/>
    <mergeCell ref="K39:N39"/>
    <mergeCell ref="O39:Q39"/>
    <mergeCell ref="R39:T39"/>
    <mergeCell ref="U39:W39"/>
    <mergeCell ref="X39:Z39"/>
    <mergeCell ref="A39:A40"/>
    <mergeCell ref="B39:B40"/>
    <mergeCell ref="C39:C40"/>
    <mergeCell ref="D39:D40"/>
    <mergeCell ref="E39:H39"/>
    <mergeCell ref="I39:I40"/>
    <mergeCell ref="AE1:AH1"/>
    <mergeCell ref="AI1:AL1"/>
    <mergeCell ref="AM1:AP1"/>
    <mergeCell ref="AQ1:AT1"/>
    <mergeCell ref="AU1:AX1"/>
    <mergeCell ref="AY1:BB1"/>
    <mergeCell ref="J1:J2"/>
    <mergeCell ref="K1:N1"/>
    <mergeCell ref="O1:R1"/>
    <mergeCell ref="S1:V1"/>
    <mergeCell ref="W1:Z1"/>
    <mergeCell ref="AA1:AD1"/>
    <mergeCell ref="A1:A2"/>
    <mergeCell ref="B1:B2"/>
    <mergeCell ref="C1:C2"/>
    <mergeCell ref="D1:D2"/>
    <mergeCell ref="E1:H1"/>
    <mergeCell ref="I1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1회차(0402)</vt:lpstr>
      <vt:lpstr>2회차(0416)</vt:lpstr>
      <vt:lpstr>3회차(0508)</vt:lpstr>
      <vt:lpstr>4회차(0528)</vt:lpstr>
      <vt:lpstr>5회차(0611-0612)</vt:lpstr>
      <vt:lpstr>6회차(0625)</vt:lpstr>
      <vt:lpstr>7회차(0709)</vt:lpstr>
      <vt:lpstr>8회차(0723)</vt:lpstr>
      <vt:lpstr>9회차(0807)</vt:lpstr>
      <vt:lpstr>10회차(0827)</vt:lpstr>
      <vt:lpstr>11회차(0910)</vt:lpstr>
      <vt:lpstr>12회차(0924)</vt:lpstr>
      <vt:lpstr>13회차(1015)</vt:lpstr>
      <vt:lpstr>14회차(1112)</vt:lpstr>
      <vt:lpstr>총정리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dcterms:created xsi:type="dcterms:W3CDTF">2024-04-08T00:04:25Z</dcterms:created>
  <dcterms:modified xsi:type="dcterms:W3CDTF">2026-07-26T13:42:22Z</dcterms:modified>
</cp:coreProperties>
</file>